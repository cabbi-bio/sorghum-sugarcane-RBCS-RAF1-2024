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Aug 4 2023 sorghum aci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 iterateCount="1"/>
</workbook>
</file>

<file path=xl/calcChain.xml><?xml version="1.0" encoding="utf-8"?>
<calcChain xmlns="http://schemas.openxmlformats.org/spreadsheetml/2006/main">
  <c r="S17" i="1" l="1"/>
  <c r="AA17" i="1"/>
  <c r="AB17" i="1"/>
  <c r="AL17" i="1"/>
  <c r="AJ17" i="1" s="1"/>
  <c r="L17" i="1" s="1"/>
  <c r="K17" i="1" s="1"/>
  <c r="AD17" i="1" s="1"/>
  <c r="AQ17" i="1"/>
  <c r="BD17" i="1" s="1"/>
  <c r="AW17" i="1"/>
  <c r="BC17" i="1"/>
  <c r="BG17" i="1"/>
  <c r="BH17" i="1" s="1"/>
  <c r="BK17" i="1"/>
  <c r="BL17" i="1"/>
  <c r="CW17" i="1"/>
  <c r="CY17" i="1"/>
  <c r="CZ17" i="1"/>
  <c r="S18" i="1"/>
  <c r="AA18" i="1"/>
  <c r="Z18" i="1" s="1"/>
  <c r="AB18" i="1"/>
  <c r="AL18" i="1"/>
  <c r="AJ18" i="1" s="1"/>
  <c r="AQ18" i="1"/>
  <c r="BD18" i="1" s="1"/>
  <c r="AW18" i="1"/>
  <c r="BC18" i="1"/>
  <c r="BG18" i="1"/>
  <c r="BH18" i="1" s="1"/>
  <c r="BJ18" i="1"/>
  <c r="BK18" i="1"/>
  <c r="BL18" i="1"/>
  <c r="CW18" i="1"/>
  <c r="V18" i="1" s="1"/>
  <c r="CY18" i="1"/>
  <c r="CZ18" i="1"/>
  <c r="S19" i="1"/>
  <c r="AA19" i="1"/>
  <c r="AB19" i="1"/>
  <c r="AL19" i="1"/>
  <c r="AJ19" i="1" s="1"/>
  <c r="AQ19" i="1"/>
  <c r="BD19" i="1" s="1"/>
  <c r="AW19" i="1"/>
  <c r="BC19" i="1"/>
  <c r="BG19" i="1"/>
  <c r="BH19" i="1" s="1"/>
  <c r="BJ19" i="1"/>
  <c r="BK19" i="1"/>
  <c r="BL19" i="1"/>
  <c r="CW19" i="1"/>
  <c r="CY19" i="1"/>
  <c r="CZ19" i="1"/>
  <c r="S20" i="1"/>
  <c r="AA20" i="1"/>
  <c r="Z20" i="1" s="1"/>
  <c r="AB20" i="1"/>
  <c r="AL20" i="1"/>
  <c r="AJ20" i="1" s="1"/>
  <c r="AQ20" i="1"/>
  <c r="AW20" i="1"/>
  <c r="BC20" i="1"/>
  <c r="BD20" i="1"/>
  <c r="BG20" i="1"/>
  <c r="BK20" i="1"/>
  <c r="BL20" i="1"/>
  <c r="CW20" i="1"/>
  <c r="V20" i="1" s="1"/>
  <c r="CY20" i="1"/>
  <c r="CX20" i="1" s="1"/>
  <c r="AY20" i="1" s="1"/>
  <c r="CZ20" i="1"/>
  <c r="S21" i="1"/>
  <c r="AA21" i="1"/>
  <c r="AB21" i="1"/>
  <c r="AL21" i="1"/>
  <c r="AJ21" i="1" s="1"/>
  <c r="L21" i="1" s="1"/>
  <c r="K21" i="1" s="1"/>
  <c r="AD21" i="1" s="1"/>
  <c r="AQ21" i="1"/>
  <c r="BD21" i="1" s="1"/>
  <c r="AW21" i="1"/>
  <c r="BC21" i="1"/>
  <c r="BG21" i="1"/>
  <c r="BH21" i="1" s="1"/>
  <c r="BK21" i="1"/>
  <c r="BL21" i="1"/>
  <c r="CW21" i="1"/>
  <c r="CY21" i="1"/>
  <c r="CZ21" i="1"/>
  <c r="N22" i="1"/>
  <c r="S22" i="1"/>
  <c r="AA22" i="1"/>
  <c r="Z22" i="1" s="1"/>
  <c r="AB22" i="1"/>
  <c r="AL22" i="1"/>
  <c r="AJ22" i="1" s="1"/>
  <c r="AQ22" i="1"/>
  <c r="BD22" i="1" s="1"/>
  <c r="AW22" i="1"/>
  <c r="BC22" i="1"/>
  <c r="BG22" i="1"/>
  <c r="BH22" i="1" s="1"/>
  <c r="BK22" i="1"/>
  <c r="BL22" i="1"/>
  <c r="CW22" i="1"/>
  <c r="V22" i="1" s="1"/>
  <c r="CX22" i="1"/>
  <c r="AY22" i="1" s="1"/>
  <c r="CY22" i="1"/>
  <c r="CZ22" i="1"/>
  <c r="S23" i="1"/>
  <c r="AA23" i="1"/>
  <c r="AB23" i="1"/>
  <c r="AL23" i="1"/>
  <c r="AJ23" i="1" s="1"/>
  <c r="Q23" i="1" s="1"/>
  <c r="AQ23" i="1"/>
  <c r="BD23" i="1" s="1"/>
  <c r="AW23" i="1"/>
  <c r="BC23" i="1"/>
  <c r="BG23" i="1"/>
  <c r="BK23" i="1"/>
  <c r="BL23" i="1"/>
  <c r="CW23" i="1"/>
  <c r="CY23" i="1"/>
  <c r="CZ23" i="1"/>
  <c r="S24" i="1"/>
  <c r="AA24" i="1"/>
  <c r="AB24" i="1"/>
  <c r="AJ24" i="1"/>
  <c r="AK24" i="1" s="1"/>
  <c r="AL24" i="1"/>
  <c r="AQ24" i="1"/>
  <c r="BD24" i="1" s="1"/>
  <c r="AW24" i="1"/>
  <c r="BC24" i="1"/>
  <c r="BG24" i="1"/>
  <c r="BH24" i="1" s="1"/>
  <c r="BK24" i="1"/>
  <c r="BL24" i="1"/>
  <c r="CW24" i="1"/>
  <c r="V24" i="1" s="1"/>
  <c r="CY24" i="1"/>
  <c r="CX24" i="1" s="1"/>
  <c r="AY24" i="1" s="1"/>
  <c r="CZ24" i="1"/>
  <c r="S25" i="1"/>
  <c r="AA25" i="1"/>
  <c r="AB25" i="1"/>
  <c r="AL25" i="1"/>
  <c r="AJ25" i="1" s="1"/>
  <c r="AK25" i="1" s="1"/>
  <c r="AQ25" i="1"/>
  <c r="AW25" i="1"/>
  <c r="BC25" i="1"/>
  <c r="BD25" i="1"/>
  <c r="BG25" i="1"/>
  <c r="BK25" i="1"/>
  <c r="BL25" i="1"/>
  <c r="CW25" i="1"/>
  <c r="CY25" i="1"/>
  <c r="CZ25" i="1"/>
  <c r="S26" i="1"/>
  <c r="Z26" i="1"/>
  <c r="AA26" i="1"/>
  <c r="AB26" i="1"/>
  <c r="AL26" i="1"/>
  <c r="AJ26" i="1" s="1"/>
  <c r="AQ26" i="1"/>
  <c r="BD26" i="1" s="1"/>
  <c r="AW26" i="1"/>
  <c r="BC26" i="1"/>
  <c r="BG26" i="1"/>
  <c r="BH26" i="1" s="1"/>
  <c r="BJ26" i="1"/>
  <c r="BK26" i="1"/>
  <c r="BL26" i="1"/>
  <c r="CW26" i="1"/>
  <c r="CY26" i="1"/>
  <c r="CX26" i="1" s="1"/>
  <c r="AY26" i="1" s="1"/>
  <c r="CZ26" i="1"/>
  <c r="V26" i="1" s="1"/>
  <c r="S27" i="1"/>
  <c r="AA27" i="1"/>
  <c r="Z27" i="1" s="1"/>
  <c r="AB27" i="1"/>
  <c r="AL27" i="1"/>
  <c r="AJ27" i="1" s="1"/>
  <c r="M27" i="1" s="1"/>
  <c r="AZ27" i="1" s="1"/>
  <c r="AQ27" i="1"/>
  <c r="BD27" i="1" s="1"/>
  <c r="AW27" i="1"/>
  <c r="BC27" i="1"/>
  <c r="BG27" i="1"/>
  <c r="BJ27" i="1"/>
  <c r="BK27" i="1"/>
  <c r="BL27" i="1"/>
  <c r="CW27" i="1"/>
  <c r="CY27" i="1"/>
  <c r="CZ27" i="1"/>
  <c r="S28" i="1"/>
  <c r="Z28" i="1"/>
  <c r="AA28" i="1"/>
  <c r="AB28" i="1"/>
  <c r="AL28" i="1"/>
  <c r="AJ28" i="1" s="1"/>
  <c r="AQ28" i="1"/>
  <c r="BD28" i="1" s="1"/>
  <c r="AW28" i="1"/>
  <c r="BC28" i="1"/>
  <c r="BG28" i="1"/>
  <c r="BH28" i="1"/>
  <c r="BK28" i="1"/>
  <c r="BL28" i="1"/>
  <c r="CW28" i="1"/>
  <c r="CY28" i="1"/>
  <c r="CX28" i="1" s="1"/>
  <c r="AY28" i="1" s="1"/>
  <c r="CZ28" i="1"/>
  <c r="V28" i="1" s="1"/>
  <c r="S29" i="1"/>
  <c r="AA29" i="1"/>
  <c r="AB29" i="1"/>
  <c r="AL29" i="1"/>
  <c r="AJ29" i="1" s="1"/>
  <c r="AK29" i="1" s="1"/>
  <c r="AQ29" i="1"/>
  <c r="AW29" i="1"/>
  <c r="BC29" i="1"/>
  <c r="BD29" i="1"/>
  <c r="BG29" i="1"/>
  <c r="BK29" i="1"/>
  <c r="BL29" i="1"/>
  <c r="CW29" i="1"/>
  <c r="CY29" i="1"/>
  <c r="CZ29" i="1"/>
  <c r="S30" i="1"/>
  <c r="Z30" i="1"/>
  <c r="AA30" i="1"/>
  <c r="AB30" i="1"/>
  <c r="AL30" i="1"/>
  <c r="AJ30" i="1" s="1"/>
  <c r="AQ30" i="1"/>
  <c r="BD30" i="1" s="1"/>
  <c r="AW30" i="1"/>
  <c r="BC30" i="1"/>
  <c r="BG30" i="1"/>
  <c r="BH30" i="1" s="1"/>
  <c r="BJ30" i="1"/>
  <c r="BK30" i="1"/>
  <c r="BL30" i="1"/>
  <c r="CW30" i="1"/>
  <c r="CY30" i="1"/>
  <c r="CX30" i="1" s="1"/>
  <c r="AY30" i="1" s="1"/>
  <c r="CZ30" i="1"/>
  <c r="V30" i="1" s="1"/>
  <c r="S31" i="1"/>
  <c r="AA31" i="1"/>
  <c r="Z31" i="1" s="1"/>
  <c r="AB31" i="1"/>
  <c r="AL31" i="1"/>
  <c r="AJ31" i="1" s="1"/>
  <c r="AQ31" i="1"/>
  <c r="BD31" i="1" s="1"/>
  <c r="AW31" i="1"/>
  <c r="BC31" i="1"/>
  <c r="BG31" i="1"/>
  <c r="BJ31" i="1"/>
  <c r="BK31" i="1"/>
  <c r="BL31" i="1"/>
  <c r="CW31" i="1"/>
  <c r="CY31" i="1"/>
  <c r="CZ31" i="1"/>
  <c r="S32" i="1"/>
  <c r="AA32" i="1"/>
  <c r="AB32" i="1"/>
  <c r="AL32" i="1"/>
  <c r="AJ32" i="1" s="1"/>
  <c r="AQ32" i="1"/>
  <c r="BD32" i="1" s="1"/>
  <c r="AW32" i="1"/>
  <c r="BC32" i="1"/>
  <c r="BG32" i="1"/>
  <c r="BJ32" i="1" s="1"/>
  <c r="BK32" i="1"/>
  <c r="BL32" i="1"/>
  <c r="CW32" i="1"/>
  <c r="CY32" i="1"/>
  <c r="CX32" i="1" s="1"/>
  <c r="AY32" i="1" s="1"/>
  <c r="CZ32" i="1"/>
  <c r="S33" i="1"/>
  <c r="V33" i="1"/>
  <c r="AA33" i="1"/>
  <c r="AB33" i="1"/>
  <c r="AL33" i="1"/>
  <c r="AJ33" i="1" s="1"/>
  <c r="AK33" i="1" s="1"/>
  <c r="AQ33" i="1"/>
  <c r="BD33" i="1" s="1"/>
  <c r="AW33" i="1"/>
  <c r="BC33" i="1"/>
  <c r="BG33" i="1"/>
  <c r="BK33" i="1"/>
  <c r="BL33" i="1"/>
  <c r="CW33" i="1"/>
  <c r="CX33" i="1" s="1"/>
  <c r="AY33" i="1" s="1"/>
  <c r="CY33" i="1"/>
  <c r="CZ33" i="1"/>
  <c r="S34" i="1"/>
  <c r="AA34" i="1"/>
  <c r="Z34" i="1" s="1"/>
  <c r="AB34" i="1"/>
  <c r="AL34" i="1"/>
  <c r="AJ34" i="1" s="1"/>
  <c r="M34" i="1" s="1"/>
  <c r="AZ34" i="1" s="1"/>
  <c r="AQ34" i="1"/>
  <c r="BD34" i="1" s="1"/>
  <c r="AW34" i="1"/>
  <c r="BC34" i="1"/>
  <c r="BG34" i="1"/>
  <c r="BH34" i="1" s="1"/>
  <c r="BJ34" i="1"/>
  <c r="BK34" i="1"/>
  <c r="BL34" i="1"/>
  <c r="CW34" i="1"/>
  <c r="CY34" i="1"/>
  <c r="CZ34" i="1"/>
  <c r="S35" i="1"/>
  <c r="AA35" i="1"/>
  <c r="AB35" i="1"/>
  <c r="AL35" i="1"/>
  <c r="AJ35" i="1" s="1"/>
  <c r="AK35" i="1" s="1"/>
  <c r="AQ35" i="1"/>
  <c r="BD35" i="1" s="1"/>
  <c r="AW35" i="1"/>
  <c r="BC35" i="1"/>
  <c r="BG35" i="1"/>
  <c r="BH35" i="1" s="1"/>
  <c r="BI35" i="1"/>
  <c r="BM35" i="1" s="1"/>
  <c r="BN35" i="1" s="1"/>
  <c r="BJ35" i="1"/>
  <c r="BK35" i="1"/>
  <c r="BL35" i="1"/>
  <c r="CW35" i="1"/>
  <c r="V35" i="1" s="1"/>
  <c r="CY35" i="1"/>
  <c r="CZ35" i="1"/>
  <c r="Q36" i="1"/>
  <c r="S36" i="1"/>
  <c r="AA36" i="1"/>
  <c r="AB36" i="1"/>
  <c r="AL36" i="1"/>
  <c r="AJ36" i="1" s="1"/>
  <c r="AQ36" i="1"/>
  <c r="BD36" i="1" s="1"/>
  <c r="AW36" i="1"/>
  <c r="BC36" i="1"/>
  <c r="BG36" i="1"/>
  <c r="BK36" i="1"/>
  <c r="BL36" i="1"/>
  <c r="CW36" i="1"/>
  <c r="CY36" i="1"/>
  <c r="CZ36" i="1"/>
  <c r="S37" i="1"/>
  <c r="AA37" i="1"/>
  <c r="Z37" i="1" s="1"/>
  <c r="AB37" i="1"/>
  <c r="AL37" i="1"/>
  <c r="AJ37" i="1" s="1"/>
  <c r="AK37" i="1" s="1"/>
  <c r="AQ37" i="1"/>
  <c r="BD37" i="1" s="1"/>
  <c r="AW37" i="1"/>
  <c r="BC37" i="1"/>
  <c r="BG37" i="1"/>
  <c r="BH37" i="1"/>
  <c r="BK37" i="1"/>
  <c r="BL37" i="1"/>
  <c r="CW37" i="1"/>
  <c r="V37" i="1" s="1"/>
  <c r="CY37" i="1"/>
  <c r="CZ37" i="1"/>
  <c r="S38" i="1"/>
  <c r="AA38" i="1"/>
  <c r="Z38" i="1" s="1"/>
  <c r="AB38" i="1"/>
  <c r="AL38" i="1"/>
  <c r="AJ38" i="1" s="1"/>
  <c r="Q38" i="1" s="1"/>
  <c r="AQ38" i="1"/>
  <c r="BD38" i="1" s="1"/>
  <c r="AW38" i="1"/>
  <c r="BC38" i="1"/>
  <c r="BG38" i="1"/>
  <c r="BH38" i="1" s="1"/>
  <c r="BI38" i="1"/>
  <c r="BM38" i="1" s="1"/>
  <c r="BN38" i="1" s="1"/>
  <c r="BJ38" i="1"/>
  <c r="BK38" i="1"/>
  <c r="BL38" i="1"/>
  <c r="CW38" i="1"/>
  <c r="CY38" i="1"/>
  <c r="CZ38" i="1"/>
  <c r="Q39" i="1"/>
  <c r="S39" i="1"/>
  <c r="AA39" i="1"/>
  <c r="Z39" i="1" s="1"/>
  <c r="AB39" i="1"/>
  <c r="AJ39" i="1"/>
  <c r="AK39" i="1" s="1"/>
  <c r="AL39" i="1"/>
  <c r="AQ39" i="1"/>
  <c r="BD39" i="1" s="1"/>
  <c r="AW39" i="1"/>
  <c r="BC39" i="1"/>
  <c r="BG39" i="1"/>
  <c r="BK39" i="1"/>
  <c r="BL39" i="1"/>
  <c r="CW39" i="1"/>
  <c r="CY39" i="1"/>
  <c r="CZ39" i="1"/>
  <c r="S40" i="1"/>
  <c r="AA40" i="1"/>
  <c r="AB40" i="1"/>
  <c r="AL40" i="1"/>
  <c r="AJ40" i="1" s="1"/>
  <c r="Q40" i="1" s="1"/>
  <c r="AQ40" i="1"/>
  <c r="BD40" i="1" s="1"/>
  <c r="AW40" i="1"/>
  <c r="BC40" i="1"/>
  <c r="BG40" i="1"/>
  <c r="BK40" i="1"/>
  <c r="BL40" i="1"/>
  <c r="CW40" i="1"/>
  <c r="CY40" i="1"/>
  <c r="CZ40" i="1"/>
  <c r="L41" i="1"/>
  <c r="K41" i="1" s="1"/>
  <c r="M41" i="1"/>
  <c r="AZ41" i="1" s="1"/>
  <c r="Q41" i="1"/>
  <c r="S41" i="1"/>
  <c r="AA41" i="1"/>
  <c r="AB41" i="1"/>
  <c r="AK41" i="1"/>
  <c r="AL41" i="1"/>
  <c r="AJ41" i="1" s="1"/>
  <c r="N41" i="1" s="1"/>
  <c r="AQ41" i="1"/>
  <c r="BD41" i="1" s="1"/>
  <c r="AW41" i="1"/>
  <c r="BC41" i="1"/>
  <c r="BG41" i="1"/>
  <c r="BJ41" i="1" s="1"/>
  <c r="BI41" i="1"/>
  <c r="BM41" i="1" s="1"/>
  <c r="BN41" i="1" s="1"/>
  <c r="BK41" i="1"/>
  <c r="BL41" i="1"/>
  <c r="CW41" i="1"/>
  <c r="CY41" i="1"/>
  <c r="CZ41" i="1"/>
  <c r="S42" i="1"/>
  <c r="AA42" i="1"/>
  <c r="Z42" i="1" s="1"/>
  <c r="AB42" i="1"/>
  <c r="AL42" i="1"/>
  <c r="AJ42" i="1" s="1"/>
  <c r="AQ42" i="1"/>
  <c r="BD42" i="1" s="1"/>
  <c r="AW42" i="1"/>
  <c r="BC42" i="1"/>
  <c r="BG42" i="1"/>
  <c r="BK42" i="1"/>
  <c r="BL42" i="1"/>
  <c r="CW42" i="1"/>
  <c r="V42" i="1" s="1"/>
  <c r="CX42" i="1"/>
  <c r="AY42" i="1" s="1"/>
  <c r="CY42" i="1"/>
  <c r="CZ42" i="1"/>
  <c r="S43" i="1"/>
  <c r="AA43" i="1"/>
  <c r="AB43" i="1"/>
  <c r="AJ43" i="1"/>
  <c r="AL43" i="1"/>
  <c r="AQ43" i="1"/>
  <c r="BD43" i="1" s="1"/>
  <c r="AW43" i="1"/>
  <c r="BC43" i="1"/>
  <c r="BG43" i="1"/>
  <c r="BI43" i="1"/>
  <c r="BM43" i="1" s="1"/>
  <c r="BN43" i="1" s="1"/>
  <c r="BK43" i="1"/>
  <c r="BL43" i="1"/>
  <c r="CW43" i="1"/>
  <c r="CY43" i="1"/>
  <c r="CZ43" i="1"/>
  <c r="S44" i="1"/>
  <c r="AA44" i="1"/>
  <c r="AB44" i="1"/>
  <c r="AL44" i="1"/>
  <c r="AJ44" i="1" s="1"/>
  <c r="AQ44" i="1"/>
  <c r="BD44" i="1" s="1"/>
  <c r="AW44" i="1"/>
  <c r="BC44" i="1"/>
  <c r="BG44" i="1"/>
  <c r="BK44" i="1"/>
  <c r="BL44" i="1"/>
  <c r="CW44" i="1"/>
  <c r="V44" i="1" s="1"/>
  <c r="CX44" i="1"/>
  <c r="AY44" i="1" s="1"/>
  <c r="BA44" i="1" s="1"/>
  <c r="CY44" i="1"/>
  <c r="CZ44" i="1"/>
  <c r="S45" i="1"/>
  <c r="AA45" i="1"/>
  <c r="Z45" i="1" s="1"/>
  <c r="AB45" i="1"/>
  <c r="AL45" i="1"/>
  <c r="AJ45" i="1" s="1"/>
  <c r="AQ45" i="1"/>
  <c r="BD45" i="1" s="1"/>
  <c r="AW45" i="1"/>
  <c r="BC45" i="1"/>
  <c r="BG45" i="1"/>
  <c r="BH45" i="1" s="1"/>
  <c r="BK45" i="1"/>
  <c r="BL45" i="1"/>
  <c r="CW45" i="1"/>
  <c r="CY45" i="1"/>
  <c r="CZ45" i="1"/>
  <c r="S46" i="1"/>
  <c r="AA46" i="1"/>
  <c r="AB46" i="1"/>
  <c r="AJ46" i="1"/>
  <c r="N46" i="1" s="1"/>
  <c r="AL46" i="1"/>
  <c r="AQ46" i="1"/>
  <c r="BD46" i="1" s="1"/>
  <c r="AW46" i="1"/>
  <c r="BC46" i="1"/>
  <c r="BG46" i="1"/>
  <c r="BJ46" i="1" s="1"/>
  <c r="BH46" i="1"/>
  <c r="BI46" i="1"/>
  <c r="BM46" i="1" s="1"/>
  <c r="BN46" i="1" s="1"/>
  <c r="BK46" i="1"/>
  <c r="BL46" i="1"/>
  <c r="CW46" i="1"/>
  <c r="V46" i="1" s="1"/>
  <c r="CY46" i="1"/>
  <c r="CZ46" i="1"/>
  <c r="S47" i="1"/>
  <c r="AA47" i="1"/>
  <c r="AB47" i="1"/>
  <c r="AL47" i="1"/>
  <c r="AJ47" i="1" s="1"/>
  <c r="AQ47" i="1"/>
  <c r="BD47" i="1" s="1"/>
  <c r="AW47" i="1"/>
  <c r="BC47" i="1"/>
  <c r="BG47" i="1"/>
  <c r="BH47" i="1" s="1"/>
  <c r="BJ47" i="1"/>
  <c r="BK47" i="1"/>
  <c r="BL47" i="1"/>
  <c r="CW47" i="1"/>
  <c r="V47" i="1" s="1"/>
  <c r="CY47" i="1"/>
  <c r="CZ47" i="1"/>
  <c r="S48" i="1"/>
  <c r="AA48" i="1"/>
  <c r="Z48" i="1" s="1"/>
  <c r="AB48" i="1"/>
  <c r="AJ48" i="1"/>
  <c r="AL48" i="1"/>
  <c r="AQ48" i="1"/>
  <c r="BD48" i="1" s="1"/>
  <c r="AW48" i="1"/>
  <c r="BC48" i="1"/>
  <c r="BG48" i="1"/>
  <c r="BH48" i="1"/>
  <c r="BK48" i="1"/>
  <c r="BL48" i="1"/>
  <c r="CW48" i="1"/>
  <c r="V48" i="1" s="1"/>
  <c r="CY48" i="1"/>
  <c r="CZ48" i="1"/>
  <c r="S49" i="1"/>
  <c r="AA49" i="1"/>
  <c r="AB49" i="1"/>
  <c r="AL49" i="1"/>
  <c r="AJ49" i="1" s="1"/>
  <c r="AQ49" i="1"/>
  <c r="BD49" i="1" s="1"/>
  <c r="AW49" i="1"/>
  <c r="BC49" i="1"/>
  <c r="BG49" i="1"/>
  <c r="BI49" i="1"/>
  <c r="BM49" i="1" s="1"/>
  <c r="BN49" i="1" s="1"/>
  <c r="BK49" i="1"/>
  <c r="BL49" i="1"/>
  <c r="CW49" i="1"/>
  <c r="CY49" i="1"/>
  <c r="CZ49" i="1"/>
  <c r="S50" i="1"/>
  <c r="AA50" i="1"/>
  <c r="Z50" i="1" s="1"/>
  <c r="AB50" i="1"/>
  <c r="AJ50" i="1"/>
  <c r="AL50" i="1"/>
  <c r="AQ50" i="1"/>
  <c r="BD50" i="1" s="1"/>
  <c r="AW50" i="1"/>
  <c r="BC50" i="1"/>
  <c r="BG50" i="1"/>
  <c r="BJ50" i="1" s="1"/>
  <c r="BH50" i="1"/>
  <c r="BI50" i="1"/>
  <c r="BM50" i="1" s="1"/>
  <c r="BN50" i="1" s="1"/>
  <c r="BK50" i="1"/>
  <c r="BL50" i="1"/>
  <c r="CW50" i="1"/>
  <c r="V50" i="1" s="1"/>
  <c r="CX50" i="1"/>
  <c r="AY50" i="1" s="1"/>
  <c r="BA50" i="1" s="1"/>
  <c r="CY50" i="1"/>
  <c r="CZ50" i="1"/>
  <c r="L51" i="1"/>
  <c r="K51" i="1" s="1"/>
  <c r="M51" i="1"/>
  <c r="AZ51" i="1" s="1"/>
  <c r="S51" i="1"/>
  <c r="AA51" i="1"/>
  <c r="Z51" i="1" s="1"/>
  <c r="AB51" i="1"/>
  <c r="AL51" i="1"/>
  <c r="AJ51" i="1" s="1"/>
  <c r="N51" i="1" s="1"/>
  <c r="AQ51" i="1"/>
  <c r="BD51" i="1" s="1"/>
  <c r="AW51" i="1"/>
  <c r="BC51" i="1"/>
  <c r="BG51" i="1"/>
  <c r="BJ51" i="1"/>
  <c r="BK51" i="1"/>
  <c r="BL51" i="1"/>
  <c r="CW51" i="1"/>
  <c r="CY51" i="1"/>
  <c r="CZ51" i="1"/>
  <c r="S52" i="1"/>
  <c r="AA52" i="1"/>
  <c r="Z52" i="1" s="1"/>
  <c r="AB52" i="1"/>
  <c r="AJ52" i="1"/>
  <c r="AK52" i="1" s="1"/>
  <c r="AL52" i="1"/>
  <c r="AQ52" i="1"/>
  <c r="BD52" i="1" s="1"/>
  <c r="AW52" i="1"/>
  <c r="BC52" i="1"/>
  <c r="BG52" i="1"/>
  <c r="BI52" i="1" s="1"/>
  <c r="BM52" i="1" s="1"/>
  <c r="BN52" i="1" s="1"/>
  <c r="BK52" i="1"/>
  <c r="BL52" i="1"/>
  <c r="CW52" i="1"/>
  <c r="V52" i="1" s="1"/>
  <c r="CY52" i="1"/>
  <c r="CZ52" i="1"/>
  <c r="L53" i="1"/>
  <c r="K53" i="1" s="1"/>
  <c r="M53" i="1"/>
  <c r="Q53" i="1"/>
  <c r="S53" i="1"/>
  <c r="AA53" i="1"/>
  <c r="AB53" i="1"/>
  <c r="AK53" i="1"/>
  <c r="AL53" i="1"/>
  <c r="AJ53" i="1" s="1"/>
  <c r="N53" i="1" s="1"/>
  <c r="AQ53" i="1"/>
  <c r="AW53" i="1"/>
  <c r="AZ53" i="1"/>
  <c r="BC53" i="1"/>
  <c r="BD53" i="1"/>
  <c r="BG53" i="1"/>
  <c r="BH53" i="1" s="1"/>
  <c r="BK53" i="1"/>
  <c r="BL53" i="1"/>
  <c r="CW53" i="1"/>
  <c r="CY53" i="1"/>
  <c r="CZ53" i="1"/>
  <c r="S54" i="1"/>
  <c r="AA54" i="1"/>
  <c r="Z54" i="1" s="1"/>
  <c r="AB54" i="1"/>
  <c r="AJ54" i="1"/>
  <c r="L54" i="1" s="1"/>
  <c r="K54" i="1" s="1"/>
  <c r="AL54" i="1"/>
  <c r="AQ54" i="1"/>
  <c r="BD54" i="1" s="1"/>
  <c r="AW54" i="1"/>
  <c r="BC54" i="1"/>
  <c r="BG54" i="1"/>
  <c r="BH54" i="1" s="1"/>
  <c r="BK54" i="1"/>
  <c r="BL54" i="1"/>
  <c r="CW54" i="1"/>
  <c r="CY54" i="1"/>
  <c r="CZ54" i="1"/>
  <c r="S55" i="1"/>
  <c r="AA55" i="1"/>
  <c r="Z55" i="1" s="1"/>
  <c r="AB55" i="1"/>
  <c r="AL55" i="1"/>
  <c r="AJ55" i="1" s="1"/>
  <c r="N55" i="1" s="1"/>
  <c r="AQ55" i="1"/>
  <c r="BD55" i="1" s="1"/>
  <c r="AW55" i="1"/>
  <c r="BC55" i="1"/>
  <c r="BG55" i="1"/>
  <c r="BH55" i="1" s="1"/>
  <c r="BI55" i="1"/>
  <c r="BM55" i="1" s="1"/>
  <c r="BN55" i="1" s="1"/>
  <c r="BK55" i="1"/>
  <c r="BL55" i="1"/>
  <c r="CW55" i="1"/>
  <c r="CY55" i="1"/>
  <c r="CZ55" i="1"/>
  <c r="S56" i="1"/>
  <c r="AA56" i="1"/>
  <c r="AB56" i="1"/>
  <c r="AL56" i="1"/>
  <c r="AJ56" i="1" s="1"/>
  <c r="AQ56" i="1"/>
  <c r="AW56" i="1"/>
  <c r="BC56" i="1"/>
  <c r="BD56" i="1"/>
  <c r="BG56" i="1"/>
  <c r="BH56" i="1" s="1"/>
  <c r="BJ56" i="1"/>
  <c r="BK56" i="1"/>
  <c r="BL56" i="1"/>
  <c r="CW56" i="1"/>
  <c r="CY56" i="1"/>
  <c r="CZ56" i="1"/>
  <c r="S57" i="1"/>
  <c r="AA57" i="1"/>
  <c r="AB57" i="1"/>
  <c r="AL57" i="1"/>
  <c r="AJ57" i="1" s="1"/>
  <c r="AQ57" i="1"/>
  <c r="BD57" i="1" s="1"/>
  <c r="AW57" i="1"/>
  <c r="BC57" i="1"/>
  <c r="BG57" i="1"/>
  <c r="BH57" i="1" s="1"/>
  <c r="BK57" i="1"/>
  <c r="BL57" i="1"/>
  <c r="CW57" i="1"/>
  <c r="CX57" i="1" s="1"/>
  <c r="AY57" i="1" s="1"/>
  <c r="CY57" i="1"/>
  <c r="CZ57" i="1"/>
  <c r="S58" i="1"/>
  <c r="AA58" i="1"/>
  <c r="Z58" i="1" s="1"/>
  <c r="AB58" i="1"/>
  <c r="AL58" i="1"/>
  <c r="AJ58" i="1" s="1"/>
  <c r="AQ58" i="1"/>
  <c r="BD58" i="1" s="1"/>
  <c r="AW58" i="1"/>
  <c r="BC58" i="1"/>
  <c r="BG58" i="1"/>
  <c r="BJ58" i="1"/>
  <c r="BK58" i="1"/>
  <c r="BL58" i="1"/>
  <c r="CW58" i="1"/>
  <c r="CY58" i="1"/>
  <c r="CZ58" i="1"/>
  <c r="S59" i="1"/>
  <c r="AA59" i="1"/>
  <c r="Z59" i="1" s="1"/>
  <c r="AB59" i="1"/>
  <c r="AJ59" i="1"/>
  <c r="Q59" i="1" s="1"/>
  <c r="AL59" i="1"/>
  <c r="AQ59" i="1"/>
  <c r="BD59" i="1" s="1"/>
  <c r="AW59" i="1"/>
  <c r="BC59" i="1"/>
  <c r="BG59" i="1"/>
  <c r="BK59" i="1"/>
  <c r="BL59" i="1"/>
  <c r="CW59" i="1"/>
  <c r="CY59" i="1"/>
  <c r="CX59" i="1" s="1"/>
  <c r="AY59" i="1" s="1"/>
  <c r="BA59" i="1" s="1"/>
  <c r="CZ59" i="1"/>
  <c r="V59" i="1" s="1"/>
  <c r="S60" i="1"/>
  <c r="AA60" i="1"/>
  <c r="AB60" i="1"/>
  <c r="AL60" i="1"/>
  <c r="AJ60" i="1" s="1"/>
  <c r="AQ60" i="1"/>
  <c r="AW60" i="1"/>
  <c r="BC60" i="1"/>
  <c r="BD60" i="1"/>
  <c r="BG60" i="1"/>
  <c r="BH60" i="1" s="1"/>
  <c r="BK60" i="1"/>
  <c r="BL60" i="1"/>
  <c r="CW60" i="1"/>
  <c r="V60" i="1" s="1"/>
  <c r="CY60" i="1"/>
  <c r="CZ60" i="1"/>
  <c r="M61" i="1"/>
  <c r="AZ61" i="1" s="1"/>
  <c r="N61" i="1"/>
  <c r="S61" i="1"/>
  <c r="AA61" i="1"/>
  <c r="AB61" i="1"/>
  <c r="AJ61" i="1"/>
  <c r="Q61" i="1" s="1"/>
  <c r="AL61" i="1"/>
  <c r="AQ61" i="1"/>
  <c r="BD61" i="1" s="1"/>
  <c r="AW61" i="1"/>
  <c r="BC61" i="1"/>
  <c r="BG61" i="1"/>
  <c r="BH61" i="1" s="1"/>
  <c r="BK61" i="1"/>
  <c r="BL61" i="1"/>
  <c r="CW61" i="1"/>
  <c r="CX61" i="1" s="1"/>
  <c r="AY61" i="1" s="1"/>
  <c r="CY61" i="1"/>
  <c r="CZ61" i="1"/>
  <c r="S62" i="1"/>
  <c r="AA62" i="1"/>
  <c r="AB62" i="1"/>
  <c r="AL62" i="1"/>
  <c r="AJ62" i="1" s="1"/>
  <c r="AQ62" i="1"/>
  <c r="BD62" i="1" s="1"/>
  <c r="AW62" i="1"/>
  <c r="BC62" i="1"/>
  <c r="BG62" i="1"/>
  <c r="BI62" i="1" s="1"/>
  <c r="BM62" i="1" s="1"/>
  <c r="BN62" i="1" s="1"/>
  <c r="BK62" i="1"/>
  <c r="BL62" i="1"/>
  <c r="CW62" i="1"/>
  <c r="CY62" i="1"/>
  <c r="CZ62" i="1"/>
  <c r="S63" i="1"/>
  <c r="AA63" i="1"/>
  <c r="Z63" i="1" s="1"/>
  <c r="AB63" i="1"/>
  <c r="AJ63" i="1"/>
  <c r="Q63" i="1" s="1"/>
  <c r="AL63" i="1"/>
  <c r="AQ63" i="1"/>
  <c r="BD63" i="1" s="1"/>
  <c r="AW63" i="1"/>
  <c r="BC63" i="1"/>
  <c r="BG63" i="1"/>
  <c r="BJ63" i="1" s="1"/>
  <c r="BK63" i="1"/>
  <c r="BL63" i="1"/>
  <c r="CW63" i="1"/>
  <c r="V63" i="1" s="1"/>
  <c r="CY63" i="1"/>
  <c r="CZ63" i="1"/>
  <c r="S64" i="1"/>
  <c r="AA64" i="1"/>
  <c r="AB64" i="1"/>
  <c r="AL64" i="1"/>
  <c r="AJ64" i="1" s="1"/>
  <c r="AQ64" i="1"/>
  <c r="BD64" i="1" s="1"/>
  <c r="AW64" i="1"/>
  <c r="BC64" i="1"/>
  <c r="BG64" i="1"/>
  <c r="BK64" i="1"/>
  <c r="BL64" i="1"/>
  <c r="CW64" i="1"/>
  <c r="CY64" i="1"/>
  <c r="CZ64" i="1"/>
  <c r="M65" i="1"/>
  <c r="AZ65" i="1" s="1"/>
  <c r="N65" i="1"/>
  <c r="S65" i="1"/>
  <c r="AA65" i="1"/>
  <c r="Z65" i="1" s="1"/>
  <c r="AB65" i="1"/>
  <c r="AL65" i="1"/>
  <c r="AJ65" i="1" s="1"/>
  <c r="AK65" i="1" s="1"/>
  <c r="AQ65" i="1"/>
  <c r="BD65" i="1" s="1"/>
  <c r="AW65" i="1"/>
  <c r="BC65" i="1"/>
  <c r="BG65" i="1"/>
  <c r="BJ65" i="1" s="1"/>
  <c r="BK65" i="1"/>
  <c r="BL65" i="1"/>
  <c r="CW65" i="1"/>
  <c r="CY65" i="1"/>
  <c r="CZ65" i="1"/>
  <c r="Q66" i="1"/>
  <c r="S66" i="1"/>
  <c r="AA66" i="1"/>
  <c r="AB66" i="1"/>
  <c r="AK66" i="1"/>
  <c r="AL66" i="1"/>
  <c r="AJ66" i="1" s="1"/>
  <c r="N66" i="1" s="1"/>
  <c r="AQ66" i="1"/>
  <c r="AW66" i="1"/>
  <c r="BC66" i="1"/>
  <c r="BD66" i="1"/>
  <c r="BG66" i="1"/>
  <c r="BK66" i="1"/>
  <c r="BL66" i="1"/>
  <c r="CW66" i="1"/>
  <c r="CY66" i="1"/>
  <c r="CZ66" i="1"/>
  <c r="S67" i="1"/>
  <c r="AA67" i="1"/>
  <c r="AB67" i="1"/>
  <c r="Z67" i="1" s="1"/>
  <c r="AL67" i="1"/>
  <c r="AJ67" i="1" s="1"/>
  <c r="AQ67" i="1"/>
  <c r="BD67" i="1" s="1"/>
  <c r="AW67" i="1"/>
  <c r="BC67" i="1"/>
  <c r="BG67" i="1"/>
  <c r="BJ67" i="1" s="1"/>
  <c r="BI67" i="1"/>
  <c r="BM67" i="1" s="1"/>
  <c r="BN67" i="1" s="1"/>
  <c r="BK67" i="1"/>
  <c r="BL67" i="1"/>
  <c r="CW67" i="1"/>
  <c r="CY67" i="1"/>
  <c r="CX67" i="1" s="1"/>
  <c r="AY67" i="1" s="1"/>
  <c r="CZ67" i="1"/>
  <c r="V67" i="1" s="1"/>
  <c r="N68" i="1"/>
  <c r="S68" i="1"/>
  <c r="AA68" i="1"/>
  <c r="AB68" i="1"/>
  <c r="AL68" i="1"/>
  <c r="AJ68" i="1" s="1"/>
  <c r="Q68" i="1" s="1"/>
  <c r="AQ68" i="1"/>
  <c r="BD68" i="1" s="1"/>
  <c r="AW68" i="1"/>
  <c r="BC68" i="1"/>
  <c r="BG68" i="1"/>
  <c r="BJ68" i="1" s="1"/>
  <c r="BH68" i="1"/>
  <c r="BI68" i="1"/>
  <c r="BM68" i="1" s="1"/>
  <c r="BN68" i="1" s="1"/>
  <c r="BK68" i="1"/>
  <c r="BL68" i="1"/>
  <c r="CW68" i="1"/>
  <c r="CX68" i="1" s="1"/>
  <c r="AY68" i="1" s="1"/>
  <c r="CY68" i="1"/>
  <c r="CZ68" i="1"/>
  <c r="V68" i="1" s="1"/>
  <c r="S69" i="1"/>
  <c r="AA69" i="1"/>
  <c r="Z69" i="1" s="1"/>
  <c r="AB69" i="1"/>
  <c r="AJ69" i="1"/>
  <c r="AL69" i="1"/>
  <c r="AQ69" i="1"/>
  <c r="BD69" i="1" s="1"/>
  <c r="AW69" i="1"/>
  <c r="BC69" i="1"/>
  <c r="BG69" i="1"/>
  <c r="BH69" i="1"/>
  <c r="BI69" i="1"/>
  <c r="BJ69" i="1"/>
  <c r="BK69" i="1"/>
  <c r="BL69" i="1"/>
  <c r="BM69" i="1"/>
  <c r="BN69" i="1" s="1"/>
  <c r="CW69" i="1"/>
  <c r="CX69" i="1" s="1"/>
  <c r="AY69" i="1" s="1"/>
  <c r="CY69" i="1"/>
  <c r="CZ69" i="1"/>
  <c r="S70" i="1"/>
  <c r="AA70" i="1"/>
  <c r="Z70" i="1" s="1"/>
  <c r="AB70" i="1"/>
  <c r="AL70" i="1"/>
  <c r="AJ70" i="1" s="1"/>
  <c r="AQ70" i="1"/>
  <c r="BD70" i="1" s="1"/>
  <c r="AW70" i="1"/>
  <c r="BC70" i="1"/>
  <c r="BG70" i="1"/>
  <c r="BK70" i="1"/>
  <c r="BL70" i="1"/>
  <c r="CW70" i="1"/>
  <c r="CY70" i="1"/>
  <c r="CZ70" i="1"/>
  <c r="S71" i="1"/>
  <c r="AA71" i="1"/>
  <c r="AB71" i="1"/>
  <c r="Z71" i="1" s="1"/>
  <c r="AL71" i="1"/>
  <c r="AJ71" i="1" s="1"/>
  <c r="N71" i="1" s="1"/>
  <c r="AQ71" i="1"/>
  <c r="BD71" i="1" s="1"/>
  <c r="AW71" i="1"/>
  <c r="BC71" i="1"/>
  <c r="BG71" i="1"/>
  <c r="BJ71" i="1" s="1"/>
  <c r="BI71" i="1"/>
  <c r="BM71" i="1" s="1"/>
  <c r="BN71" i="1" s="1"/>
  <c r="BK71" i="1"/>
  <c r="BL71" i="1"/>
  <c r="CW71" i="1"/>
  <c r="CY71" i="1"/>
  <c r="CX71" i="1" s="1"/>
  <c r="AY71" i="1" s="1"/>
  <c r="CZ71" i="1"/>
  <c r="V71" i="1" s="1"/>
  <c r="N72" i="1"/>
  <c r="S72" i="1"/>
  <c r="AA72" i="1"/>
  <c r="Z72" i="1" s="1"/>
  <c r="AB72" i="1"/>
  <c r="AL72" i="1"/>
  <c r="AJ72" i="1" s="1"/>
  <c r="Q72" i="1" s="1"/>
  <c r="AQ72" i="1"/>
  <c r="BD72" i="1" s="1"/>
  <c r="AW72" i="1"/>
  <c r="BC72" i="1"/>
  <c r="BG72" i="1"/>
  <c r="BJ72" i="1" s="1"/>
  <c r="BH72" i="1"/>
  <c r="BI72" i="1"/>
  <c r="BM72" i="1" s="1"/>
  <c r="BN72" i="1" s="1"/>
  <c r="BK72" i="1"/>
  <c r="BL72" i="1"/>
  <c r="CW72" i="1"/>
  <c r="CY72" i="1"/>
  <c r="CZ72" i="1"/>
  <c r="V72" i="1" s="1"/>
  <c r="S73" i="1"/>
  <c r="AA73" i="1"/>
  <c r="Z73" i="1" s="1"/>
  <c r="AB73" i="1"/>
  <c r="AJ73" i="1"/>
  <c r="N73" i="1" s="1"/>
  <c r="AL73" i="1"/>
  <c r="AQ73" i="1"/>
  <c r="BD73" i="1" s="1"/>
  <c r="AW73" i="1"/>
  <c r="BC73" i="1"/>
  <c r="BG73" i="1"/>
  <c r="BK73" i="1"/>
  <c r="BL73" i="1"/>
  <c r="CW73" i="1"/>
  <c r="CX73" i="1"/>
  <c r="AY73" i="1" s="1"/>
  <c r="BA73" i="1" s="1"/>
  <c r="CY73" i="1"/>
  <c r="CZ73" i="1"/>
  <c r="S74" i="1"/>
  <c r="AA74" i="1"/>
  <c r="AB74" i="1"/>
  <c r="AL74" i="1"/>
  <c r="AJ74" i="1" s="1"/>
  <c r="N74" i="1" s="1"/>
  <c r="AQ74" i="1"/>
  <c r="BD74" i="1" s="1"/>
  <c r="AW74" i="1"/>
  <c r="BC74" i="1"/>
  <c r="BG74" i="1"/>
  <c r="BJ74" i="1" s="1"/>
  <c r="BK74" i="1"/>
  <c r="BL74" i="1"/>
  <c r="CW74" i="1"/>
  <c r="CY74" i="1"/>
  <c r="CZ74" i="1"/>
  <c r="S75" i="1"/>
  <c r="AA75" i="1"/>
  <c r="AB75" i="1"/>
  <c r="AL75" i="1"/>
  <c r="AJ75" i="1" s="1"/>
  <c r="AQ75" i="1"/>
  <c r="BD75" i="1" s="1"/>
  <c r="AW75" i="1"/>
  <c r="BC75" i="1"/>
  <c r="BG75" i="1"/>
  <c r="BJ75" i="1" s="1"/>
  <c r="BK75" i="1"/>
  <c r="BL75" i="1"/>
  <c r="CW75" i="1"/>
  <c r="CX75" i="1" s="1"/>
  <c r="AY75" i="1" s="1"/>
  <c r="CY75" i="1"/>
  <c r="CZ75" i="1"/>
  <c r="S76" i="1"/>
  <c r="AA76" i="1"/>
  <c r="AB76" i="1"/>
  <c r="AL76" i="1"/>
  <c r="AJ76" i="1" s="1"/>
  <c r="AK76" i="1" s="1"/>
  <c r="AQ76" i="1"/>
  <c r="BD76" i="1" s="1"/>
  <c r="AW76" i="1"/>
  <c r="BC76" i="1"/>
  <c r="BG76" i="1"/>
  <c r="BI76" i="1" s="1"/>
  <c r="BM76" i="1" s="1"/>
  <c r="BN76" i="1" s="1"/>
  <c r="BH76" i="1"/>
  <c r="BJ76" i="1"/>
  <c r="BK76" i="1"/>
  <c r="BL76" i="1"/>
  <c r="CW76" i="1"/>
  <c r="CX76" i="1" s="1"/>
  <c r="AY76" i="1" s="1"/>
  <c r="BA76" i="1" s="1"/>
  <c r="CY76" i="1"/>
  <c r="CZ76" i="1"/>
  <c r="S77" i="1"/>
  <c r="AA77" i="1"/>
  <c r="Z77" i="1" s="1"/>
  <c r="AB77" i="1"/>
  <c r="AJ77" i="1"/>
  <c r="L77" i="1" s="1"/>
  <c r="K77" i="1" s="1"/>
  <c r="AL77" i="1"/>
  <c r="AQ77" i="1"/>
  <c r="BD77" i="1" s="1"/>
  <c r="AW77" i="1"/>
  <c r="BC77" i="1"/>
  <c r="BG77" i="1"/>
  <c r="BK77" i="1"/>
  <c r="BL77" i="1"/>
  <c r="CW77" i="1"/>
  <c r="CX77" i="1" s="1"/>
  <c r="AY77" i="1" s="1"/>
  <c r="BA77" i="1" s="1"/>
  <c r="CY77" i="1"/>
  <c r="CZ77" i="1"/>
  <c r="V77" i="1" s="1"/>
  <c r="S78" i="1"/>
  <c r="Z78" i="1"/>
  <c r="AA78" i="1"/>
  <c r="AB78" i="1"/>
  <c r="AL78" i="1"/>
  <c r="AJ78" i="1" s="1"/>
  <c r="L78" i="1" s="1"/>
  <c r="K78" i="1" s="1"/>
  <c r="AQ78" i="1"/>
  <c r="BD78" i="1" s="1"/>
  <c r="AW78" i="1"/>
  <c r="BC78" i="1"/>
  <c r="BG78" i="1"/>
  <c r="BH78" i="1" s="1"/>
  <c r="BK78" i="1"/>
  <c r="BL78" i="1"/>
  <c r="CW78" i="1"/>
  <c r="CY78" i="1"/>
  <c r="CZ78" i="1"/>
  <c r="S79" i="1"/>
  <c r="AA79" i="1"/>
  <c r="AB79" i="1"/>
  <c r="AL79" i="1"/>
  <c r="AJ79" i="1" s="1"/>
  <c r="M79" i="1" s="1"/>
  <c r="AZ79" i="1" s="1"/>
  <c r="AQ79" i="1"/>
  <c r="BD79" i="1" s="1"/>
  <c r="AW79" i="1"/>
  <c r="BC79" i="1"/>
  <c r="BG79" i="1"/>
  <c r="BI79" i="1" s="1"/>
  <c r="BM79" i="1" s="1"/>
  <c r="BN79" i="1" s="1"/>
  <c r="BJ79" i="1"/>
  <c r="BK79" i="1"/>
  <c r="BL79" i="1"/>
  <c r="CW79" i="1"/>
  <c r="CX79" i="1" s="1"/>
  <c r="AY79" i="1" s="1"/>
  <c r="CY79" i="1"/>
  <c r="CZ79" i="1"/>
  <c r="S80" i="1"/>
  <c r="AA80" i="1"/>
  <c r="Z80" i="1" s="1"/>
  <c r="AB80" i="1"/>
  <c r="AJ80" i="1"/>
  <c r="AL80" i="1"/>
  <c r="AQ80" i="1"/>
  <c r="AW80" i="1"/>
  <c r="BC80" i="1"/>
  <c r="BD80" i="1"/>
  <c r="BG80" i="1"/>
  <c r="BK80" i="1"/>
  <c r="BL80" i="1"/>
  <c r="CW80" i="1"/>
  <c r="CX80" i="1"/>
  <c r="AY80" i="1" s="1"/>
  <c r="CY80" i="1"/>
  <c r="CZ80" i="1"/>
  <c r="S81" i="1"/>
  <c r="Z81" i="1"/>
  <c r="AA81" i="1"/>
  <c r="AB81" i="1"/>
  <c r="AL81" i="1"/>
  <c r="AJ81" i="1" s="1"/>
  <c r="AQ81" i="1"/>
  <c r="BD81" i="1" s="1"/>
  <c r="AW81" i="1"/>
  <c r="BC81" i="1"/>
  <c r="BG81" i="1"/>
  <c r="BI81" i="1" s="1"/>
  <c r="BM81" i="1" s="1"/>
  <c r="BK81" i="1"/>
  <c r="BL81" i="1"/>
  <c r="BN81" i="1"/>
  <c r="CW81" i="1"/>
  <c r="CX81" i="1"/>
  <c r="AY81" i="1" s="1"/>
  <c r="CY81" i="1"/>
  <c r="CZ81" i="1"/>
  <c r="V81" i="1" s="1"/>
  <c r="S82" i="1"/>
  <c r="AA82" i="1"/>
  <c r="AB82" i="1"/>
  <c r="AL82" i="1"/>
  <c r="AJ82" i="1" s="1"/>
  <c r="AQ82" i="1"/>
  <c r="AW82" i="1"/>
  <c r="BC82" i="1"/>
  <c r="BD82" i="1"/>
  <c r="BG82" i="1"/>
  <c r="BH82" i="1"/>
  <c r="BK82" i="1"/>
  <c r="BL82" i="1"/>
  <c r="CW82" i="1"/>
  <c r="V82" i="1" s="1"/>
  <c r="CY82" i="1"/>
  <c r="CZ82" i="1"/>
  <c r="S83" i="1"/>
  <c r="AA83" i="1"/>
  <c r="AB83" i="1"/>
  <c r="Z83" i="1" s="1"/>
  <c r="AL83" i="1"/>
  <c r="AJ83" i="1" s="1"/>
  <c r="L83" i="1" s="1"/>
  <c r="K83" i="1" s="1"/>
  <c r="AD83" i="1" s="1"/>
  <c r="AQ83" i="1"/>
  <c r="AW83" i="1"/>
  <c r="BC83" i="1"/>
  <c r="BD83" i="1"/>
  <c r="BG83" i="1"/>
  <c r="BI83" i="1" s="1"/>
  <c r="BM83" i="1" s="1"/>
  <c r="BH83" i="1"/>
  <c r="BJ83" i="1"/>
  <c r="BK83" i="1"/>
  <c r="BL83" i="1"/>
  <c r="BN83" i="1"/>
  <c r="CW83" i="1"/>
  <c r="CX83" i="1" s="1"/>
  <c r="AY83" i="1" s="1"/>
  <c r="CY83" i="1"/>
  <c r="CZ83" i="1"/>
  <c r="N84" i="1"/>
  <c r="S84" i="1"/>
  <c r="AA84" i="1"/>
  <c r="Z84" i="1" s="1"/>
  <c r="AB84" i="1"/>
  <c r="AL84" i="1"/>
  <c r="AJ84" i="1" s="1"/>
  <c r="AQ84" i="1"/>
  <c r="BD84" i="1" s="1"/>
  <c r="AW84" i="1"/>
  <c r="BC84" i="1"/>
  <c r="BG84" i="1"/>
  <c r="BH84" i="1" s="1"/>
  <c r="BK84" i="1"/>
  <c r="BL84" i="1"/>
  <c r="CW84" i="1"/>
  <c r="CX84" i="1" s="1"/>
  <c r="AY84" i="1" s="1"/>
  <c r="CY84" i="1"/>
  <c r="CZ84" i="1"/>
  <c r="S85" i="1"/>
  <c r="AA85" i="1"/>
  <c r="AB85" i="1"/>
  <c r="Z85" i="1" s="1"/>
  <c r="AJ85" i="1"/>
  <c r="L85" i="1" s="1"/>
  <c r="K85" i="1" s="1"/>
  <c r="AD85" i="1" s="1"/>
  <c r="AL85" i="1"/>
  <c r="AQ85" i="1"/>
  <c r="BD85" i="1" s="1"/>
  <c r="AW85" i="1"/>
  <c r="BC85" i="1"/>
  <c r="BG85" i="1"/>
  <c r="BI85" i="1" s="1"/>
  <c r="BM85" i="1" s="1"/>
  <c r="BN85" i="1" s="1"/>
  <c r="BH85" i="1"/>
  <c r="BJ85" i="1"/>
  <c r="BK85" i="1"/>
  <c r="BL85" i="1"/>
  <c r="CW85" i="1"/>
  <c r="CX85" i="1" s="1"/>
  <c r="AY85" i="1" s="1"/>
  <c r="CY85" i="1"/>
  <c r="CZ85" i="1"/>
  <c r="V85" i="1" s="1"/>
  <c r="N86" i="1"/>
  <c r="S86" i="1"/>
  <c r="Z86" i="1"/>
  <c r="AA86" i="1"/>
  <c r="AB86" i="1"/>
  <c r="AL86" i="1"/>
  <c r="AJ86" i="1" s="1"/>
  <c r="AQ86" i="1"/>
  <c r="BD86" i="1" s="1"/>
  <c r="AW86" i="1"/>
  <c r="BC86" i="1"/>
  <c r="BG86" i="1"/>
  <c r="BH86" i="1" s="1"/>
  <c r="BK86" i="1"/>
  <c r="BL86" i="1"/>
  <c r="CW86" i="1"/>
  <c r="CX86" i="1" s="1"/>
  <c r="AY86" i="1" s="1"/>
  <c r="CY86" i="1"/>
  <c r="CZ86" i="1"/>
  <c r="L87" i="1"/>
  <c r="K87" i="1" s="1"/>
  <c r="AD87" i="1" s="1"/>
  <c r="N87" i="1"/>
  <c r="S87" i="1"/>
  <c r="AA87" i="1"/>
  <c r="AB87" i="1"/>
  <c r="Z87" i="1" s="1"/>
  <c r="AL87" i="1"/>
  <c r="AJ87" i="1" s="1"/>
  <c r="AQ87" i="1"/>
  <c r="AW87" i="1"/>
  <c r="BC87" i="1"/>
  <c r="BD87" i="1"/>
  <c r="BG87" i="1"/>
  <c r="BI87" i="1" s="1"/>
  <c r="BM87" i="1" s="1"/>
  <c r="BN87" i="1" s="1"/>
  <c r="BH87" i="1"/>
  <c r="BJ87" i="1"/>
  <c r="BK87" i="1"/>
  <c r="BL87" i="1"/>
  <c r="CW87" i="1"/>
  <c r="CY87" i="1"/>
  <c r="CX87" i="1" s="1"/>
  <c r="AY87" i="1" s="1"/>
  <c r="CZ87" i="1"/>
  <c r="S88" i="1"/>
  <c r="Z88" i="1"/>
  <c r="AA88" i="1"/>
  <c r="AB88" i="1"/>
  <c r="AL88" i="1"/>
  <c r="AJ88" i="1" s="1"/>
  <c r="N88" i="1" s="1"/>
  <c r="AQ88" i="1"/>
  <c r="BD88" i="1" s="1"/>
  <c r="AW88" i="1"/>
  <c r="BC88" i="1"/>
  <c r="BG88" i="1"/>
  <c r="BH88" i="1"/>
  <c r="BI88" i="1"/>
  <c r="BM88" i="1" s="1"/>
  <c r="BN88" i="1" s="1"/>
  <c r="BJ88" i="1"/>
  <c r="BK88" i="1"/>
  <c r="BL88" i="1"/>
  <c r="CW88" i="1"/>
  <c r="CX88" i="1" s="1"/>
  <c r="AY88" i="1" s="1"/>
  <c r="CY88" i="1"/>
  <c r="CZ88" i="1"/>
  <c r="S89" i="1"/>
  <c r="Z89" i="1"/>
  <c r="AA89" i="1"/>
  <c r="AB89" i="1"/>
  <c r="AJ89" i="1"/>
  <c r="AL89" i="1"/>
  <c r="AQ89" i="1"/>
  <c r="AW89" i="1"/>
  <c r="BC89" i="1"/>
  <c r="BD89" i="1"/>
  <c r="BG89" i="1"/>
  <c r="BK89" i="1"/>
  <c r="BL89" i="1"/>
  <c r="CW89" i="1"/>
  <c r="CX89" i="1"/>
  <c r="AY89" i="1" s="1"/>
  <c r="BA89" i="1" s="1"/>
  <c r="CY89" i="1"/>
  <c r="CZ89" i="1"/>
  <c r="S90" i="1"/>
  <c r="AA90" i="1"/>
  <c r="AB90" i="1"/>
  <c r="Z90" i="1" s="1"/>
  <c r="AJ90" i="1"/>
  <c r="AK90" i="1"/>
  <c r="AL90" i="1"/>
  <c r="AQ90" i="1"/>
  <c r="BD90" i="1" s="1"/>
  <c r="AW90" i="1"/>
  <c r="BC90" i="1"/>
  <c r="BG90" i="1"/>
  <c r="BJ90" i="1" s="1"/>
  <c r="BH90" i="1"/>
  <c r="BI90" i="1"/>
  <c r="BM90" i="1" s="1"/>
  <c r="BN90" i="1" s="1"/>
  <c r="BK90" i="1"/>
  <c r="BL90" i="1"/>
  <c r="CW90" i="1"/>
  <c r="CY90" i="1"/>
  <c r="CX90" i="1" s="1"/>
  <c r="AY90" i="1" s="1"/>
  <c r="CZ90" i="1"/>
  <c r="S91" i="1"/>
  <c r="V91" i="1"/>
  <c r="AA91" i="1"/>
  <c r="Z91" i="1" s="1"/>
  <c r="AB91" i="1"/>
  <c r="AJ91" i="1"/>
  <c r="AL91" i="1"/>
  <c r="AQ91" i="1"/>
  <c r="BD91" i="1" s="1"/>
  <c r="AW91" i="1"/>
  <c r="BC91" i="1"/>
  <c r="BG91" i="1"/>
  <c r="BI91" i="1" s="1"/>
  <c r="BM91" i="1" s="1"/>
  <c r="BJ91" i="1"/>
  <c r="BK91" i="1"/>
  <c r="BL91" i="1"/>
  <c r="BN91" i="1"/>
  <c r="CW91" i="1"/>
  <c r="CX91" i="1"/>
  <c r="AY91" i="1" s="1"/>
  <c r="CY91" i="1"/>
  <c r="CZ91" i="1"/>
  <c r="S92" i="1"/>
  <c r="AA92" i="1"/>
  <c r="Z92" i="1" s="1"/>
  <c r="AB92" i="1"/>
  <c r="AJ92" i="1"/>
  <c r="L92" i="1" s="1"/>
  <c r="K92" i="1" s="1"/>
  <c r="AL92" i="1"/>
  <c r="AQ92" i="1"/>
  <c r="AW92" i="1"/>
  <c r="BC92" i="1"/>
  <c r="BD92" i="1"/>
  <c r="BG92" i="1"/>
  <c r="BK92" i="1"/>
  <c r="BL92" i="1"/>
  <c r="CW92" i="1"/>
  <c r="CY92" i="1"/>
  <c r="CX92" i="1" s="1"/>
  <c r="AY92" i="1" s="1"/>
  <c r="CZ92" i="1"/>
  <c r="V92" i="1" s="1"/>
  <c r="S93" i="1"/>
  <c r="AA93" i="1"/>
  <c r="AB93" i="1"/>
  <c r="AL93" i="1"/>
  <c r="AJ93" i="1" s="1"/>
  <c r="AQ93" i="1"/>
  <c r="BD93" i="1" s="1"/>
  <c r="AW93" i="1"/>
  <c r="BC93" i="1"/>
  <c r="BG93" i="1"/>
  <c r="BK93" i="1"/>
  <c r="BL93" i="1"/>
  <c r="CW93" i="1"/>
  <c r="CY93" i="1"/>
  <c r="CZ93" i="1"/>
  <c r="L94" i="1"/>
  <c r="K94" i="1" s="1"/>
  <c r="S94" i="1"/>
  <c r="AA94" i="1"/>
  <c r="AB94" i="1"/>
  <c r="AJ94" i="1"/>
  <c r="AL94" i="1"/>
  <c r="AQ94" i="1"/>
  <c r="AW94" i="1"/>
  <c r="BC94" i="1"/>
  <c r="BD94" i="1"/>
  <c r="BG94" i="1"/>
  <c r="BJ94" i="1" s="1"/>
  <c r="BH94" i="1"/>
  <c r="BI94" i="1"/>
  <c r="BK94" i="1"/>
  <c r="BL94" i="1"/>
  <c r="BM94" i="1"/>
  <c r="BN94" i="1" s="1"/>
  <c r="CW94" i="1"/>
  <c r="CX94" i="1" s="1"/>
  <c r="AY94" i="1" s="1"/>
  <c r="CY94" i="1"/>
  <c r="CZ94" i="1"/>
  <c r="S95" i="1"/>
  <c r="AA95" i="1"/>
  <c r="AB95" i="1"/>
  <c r="AL95" i="1"/>
  <c r="AJ95" i="1" s="1"/>
  <c r="N95" i="1" s="1"/>
  <c r="AQ95" i="1"/>
  <c r="BD95" i="1" s="1"/>
  <c r="AW95" i="1"/>
  <c r="BC95" i="1"/>
  <c r="BG95" i="1"/>
  <c r="BH95" i="1"/>
  <c r="BI95" i="1"/>
  <c r="BM95" i="1" s="1"/>
  <c r="BN95" i="1" s="1"/>
  <c r="BJ95" i="1"/>
  <c r="BK95" i="1"/>
  <c r="BL95" i="1"/>
  <c r="CW95" i="1"/>
  <c r="CY95" i="1"/>
  <c r="CX95" i="1" s="1"/>
  <c r="AY95" i="1" s="1"/>
  <c r="CZ95" i="1"/>
  <c r="V95" i="1" s="1"/>
  <c r="S96" i="1"/>
  <c r="AA96" i="1"/>
  <c r="Z96" i="1" s="1"/>
  <c r="AB96" i="1"/>
  <c r="AL96" i="1"/>
  <c r="AJ96" i="1" s="1"/>
  <c r="M96" i="1" s="1"/>
  <c r="AZ96" i="1" s="1"/>
  <c r="AQ96" i="1"/>
  <c r="BD96" i="1" s="1"/>
  <c r="AW96" i="1"/>
  <c r="BC96" i="1"/>
  <c r="BG96" i="1"/>
  <c r="BH96" i="1" s="1"/>
  <c r="BJ96" i="1"/>
  <c r="BK96" i="1"/>
  <c r="BL96" i="1"/>
  <c r="CW96" i="1"/>
  <c r="CY96" i="1"/>
  <c r="CZ96" i="1"/>
  <c r="S97" i="1"/>
  <c r="AA97" i="1"/>
  <c r="Z97" i="1" s="1"/>
  <c r="AB97" i="1"/>
  <c r="AL97" i="1"/>
  <c r="AJ97" i="1" s="1"/>
  <c r="AQ97" i="1"/>
  <c r="BD97" i="1" s="1"/>
  <c r="AW97" i="1"/>
  <c r="BC97" i="1"/>
  <c r="BG97" i="1"/>
  <c r="BH97" i="1" s="1"/>
  <c r="BK97" i="1"/>
  <c r="BL97" i="1"/>
  <c r="CW97" i="1"/>
  <c r="V97" i="1" s="1"/>
  <c r="CY97" i="1"/>
  <c r="CZ97" i="1"/>
  <c r="S98" i="1"/>
  <c r="AA98" i="1"/>
  <c r="AB98" i="1"/>
  <c r="Z98" i="1" s="1"/>
  <c r="AL98" i="1"/>
  <c r="AJ98" i="1" s="1"/>
  <c r="L98" i="1" s="1"/>
  <c r="K98" i="1" s="1"/>
  <c r="AQ98" i="1"/>
  <c r="BD98" i="1" s="1"/>
  <c r="AW98" i="1"/>
  <c r="BC98" i="1"/>
  <c r="BG98" i="1"/>
  <c r="BJ98" i="1" s="1"/>
  <c r="BH98" i="1"/>
  <c r="BI98" i="1"/>
  <c r="BM98" i="1" s="1"/>
  <c r="BN98" i="1" s="1"/>
  <c r="BK98" i="1"/>
  <c r="BL98" i="1"/>
  <c r="CW98" i="1"/>
  <c r="V98" i="1" s="1"/>
  <c r="CY98" i="1"/>
  <c r="CZ98" i="1"/>
  <c r="S99" i="1"/>
  <c r="AA99" i="1"/>
  <c r="Z99" i="1" s="1"/>
  <c r="AB99" i="1"/>
  <c r="AL99" i="1"/>
  <c r="AJ99" i="1" s="1"/>
  <c r="N99" i="1" s="1"/>
  <c r="AQ99" i="1"/>
  <c r="AW99" i="1"/>
  <c r="BC99" i="1"/>
  <c r="BD99" i="1"/>
  <c r="BG99" i="1"/>
  <c r="BI99" i="1" s="1"/>
  <c r="BM99" i="1" s="1"/>
  <c r="BN99" i="1" s="1"/>
  <c r="BH99" i="1"/>
  <c r="BJ99" i="1"/>
  <c r="BK99" i="1"/>
  <c r="BL99" i="1"/>
  <c r="CW99" i="1"/>
  <c r="CX99" i="1" s="1"/>
  <c r="AY99" i="1" s="1"/>
  <c r="CY99" i="1"/>
  <c r="CZ99" i="1"/>
  <c r="M100" i="1"/>
  <c r="AZ100" i="1" s="1"/>
  <c r="S100" i="1"/>
  <c r="AA100" i="1"/>
  <c r="AB100" i="1"/>
  <c r="AJ100" i="1"/>
  <c r="AK100" i="1" s="1"/>
  <c r="AL100" i="1"/>
  <c r="AQ100" i="1"/>
  <c r="BD100" i="1" s="1"/>
  <c r="AW100" i="1"/>
  <c r="BC100" i="1"/>
  <c r="BG100" i="1"/>
  <c r="BH100" i="1" s="1"/>
  <c r="BJ100" i="1"/>
  <c r="BK100" i="1"/>
  <c r="BL100" i="1"/>
  <c r="CW100" i="1"/>
  <c r="V100" i="1" s="1"/>
  <c r="CY100" i="1"/>
  <c r="CZ100" i="1"/>
  <c r="S101" i="1"/>
  <c r="AA101" i="1"/>
  <c r="Z101" i="1" s="1"/>
  <c r="AB101" i="1"/>
  <c r="AL101" i="1"/>
  <c r="AJ101" i="1" s="1"/>
  <c r="AQ101" i="1"/>
  <c r="BD101" i="1" s="1"/>
  <c r="AW101" i="1"/>
  <c r="BC101" i="1"/>
  <c r="BG101" i="1"/>
  <c r="BH101" i="1" s="1"/>
  <c r="BK101" i="1"/>
  <c r="BL101" i="1"/>
  <c r="CW101" i="1"/>
  <c r="CY101" i="1"/>
  <c r="CZ101" i="1"/>
  <c r="S102" i="1"/>
  <c r="AA102" i="1"/>
  <c r="AB102" i="1"/>
  <c r="Z102" i="1" s="1"/>
  <c r="AL102" i="1"/>
  <c r="AJ102" i="1" s="1"/>
  <c r="AQ102" i="1"/>
  <c r="AW102" i="1"/>
  <c r="BC102" i="1"/>
  <c r="BD102" i="1"/>
  <c r="BG102" i="1"/>
  <c r="BJ102" i="1" s="1"/>
  <c r="BH102" i="1"/>
  <c r="BI102" i="1"/>
  <c r="BM102" i="1" s="1"/>
  <c r="BN102" i="1" s="1"/>
  <c r="BK102" i="1"/>
  <c r="BL102" i="1"/>
  <c r="CW102" i="1"/>
  <c r="V102" i="1" s="1"/>
  <c r="CY102" i="1"/>
  <c r="CZ102" i="1"/>
  <c r="S103" i="1"/>
  <c r="V103" i="1"/>
  <c r="AA103" i="1"/>
  <c r="Z103" i="1" s="1"/>
  <c r="AB103" i="1"/>
  <c r="AL103" i="1"/>
  <c r="AJ103" i="1" s="1"/>
  <c r="N103" i="1" s="1"/>
  <c r="AQ103" i="1"/>
  <c r="AW103" i="1"/>
  <c r="BC103" i="1"/>
  <c r="BD103" i="1"/>
  <c r="BG103" i="1"/>
  <c r="BI103" i="1" s="1"/>
  <c r="BM103" i="1" s="1"/>
  <c r="BN103" i="1" s="1"/>
  <c r="BH103" i="1"/>
  <c r="BK103" i="1"/>
  <c r="BL103" i="1"/>
  <c r="CW103" i="1"/>
  <c r="CX103" i="1" s="1"/>
  <c r="AY103" i="1" s="1"/>
  <c r="BA103" i="1" s="1"/>
  <c r="CY103" i="1"/>
  <c r="CZ103" i="1"/>
  <c r="M104" i="1"/>
  <c r="AZ104" i="1" s="1"/>
  <c r="S104" i="1"/>
  <c r="AA104" i="1"/>
  <c r="AB104" i="1"/>
  <c r="AJ104" i="1"/>
  <c r="AK104" i="1" s="1"/>
  <c r="AL104" i="1"/>
  <c r="AQ104" i="1"/>
  <c r="BD104" i="1" s="1"/>
  <c r="AW104" i="1"/>
  <c r="BC104" i="1"/>
  <c r="BG104" i="1"/>
  <c r="BJ104" i="1"/>
  <c r="BK104" i="1"/>
  <c r="BL104" i="1"/>
  <c r="CW104" i="1"/>
  <c r="CY104" i="1"/>
  <c r="CZ104" i="1"/>
  <c r="S105" i="1"/>
  <c r="AA105" i="1"/>
  <c r="Z105" i="1" s="1"/>
  <c r="AB105" i="1"/>
  <c r="AJ105" i="1"/>
  <c r="M105" i="1" s="1"/>
  <c r="AZ105" i="1" s="1"/>
  <c r="AL105" i="1"/>
  <c r="AQ105" i="1"/>
  <c r="BD105" i="1" s="1"/>
  <c r="AW105" i="1"/>
  <c r="BC105" i="1"/>
  <c r="BG105" i="1"/>
  <c r="BI105" i="1" s="1"/>
  <c r="BM105" i="1" s="1"/>
  <c r="BN105" i="1" s="1"/>
  <c r="BK105" i="1"/>
  <c r="BL105" i="1"/>
  <c r="CW105" i="1"/>
  <c r="CY105" i="1"/>
  <c r="CZ105" i="1"/>
  <c r="S106" i="1"/>
  <c r="AA106" i="1"/>
  <c r="AB106" i="1"/>
  <c r="Z106" i="1" s="1"/>
  <c r="AL106" i="1"/>
  <c r="AJ106" i="1" s="1"/>
  <c r="L106" i="1" s="1"/>
  <c r="K106" i="1" s="1"/>
  <c r="AQ106" i="1"/>
  <c r="BD106" i="1" s="1"/>
  <c r="AW106" i="1"/>
  <c r="BC106" i="1"/>
  <c r="BG106" i="1"/>
  <c r="BJ106" i="1" s="1"/>
  <c r="BK106" i="1"/>
  <c r="BL106" i="1"/>
  <c r="CW106" i="1"/>
  <c r="CY106" i="1"/>
  <c r="CX106" i="1" s="1"/>
  <c r="AY106" i="1" s="1"/>
  <c r="CZ106" i="1"/>
  <c r="V106" i="1" s="1"/>
  <c r="S107" i="1"/>
  <c r="AA107" i="1"/>
  <c r="AB107" i="1"/>
  <c r="AL107" i="1"/>
  <c r="AJ107" i="1" s="1"/>
  <c r="AQ107" i="1"/>
  <c r="AW107" i="1"/>
  <c r="BC107" i="1"/>
  <c r="BD107" i="1"/>
  <c r="BG107" i="1"/>
  <c r="BI107" i="1"/>
  <c r="BM107" i="1" s="1"/>
  <c r="BN107" i="1" s="1"/>
  <c r="BK107" i="1"/>
  <c r="BL107" i="1"/>
  <c r="CW107" i="1"/>
  <c r="V107" i="1" s="1"/>
  <c r="CX107" i="1"/>
  <c r="AY107" i="1" s="1"/>
  <c r="CY107" i="1"/>
  <c r="CZ107" i="1"/>
  <c r="S108" i="1"/>
  <c r="AA108" i="1"/>
  <c r="Z108" i="1" s="1"/>
  <c r="AB108" i="1"/>
  <c r="AL108" i="1"/>
  <c r="AJ108" i="1" s="1"/>
  <c r="AQ108" i="1"/>
  <c r="BD108" i="1" s="1"/>
  <c r="AW108" i="1"/>
  <c r="BC108" i="1"/>
  <c r="BG108" i="1"/>
  <c r="BJ108" i="1"/>
  <c r="BK108" i="1"/>
  <c r="BL108" i="1"/>
  <c r="CW108" i="1"/>
  <c r="CY108" i="1"/>
  <c r="CZ108" i="1"/>
  <c r="S109" i="1"/>
  <c r="AA109" i="1"/>
  <c r="Z109" i="1" s="1"/>
  <c r="AB109" i="1"/>
  <c r="AJ109" i="1"/>
  <c r="M109" i="1" s="1"/>
  <c r="AZ109" i="1" s="1"/>
  <c r="AL109" i="1"/>
  <c r="AQ109" i="1"/>
  <c r="BD109" i="1" s="1"/>
  <c r="AW109" i="1"/>
  <c r="BC109" i="1"/>
  <c r="BG109" i="1"/>
  <c r="BI109" i="1"/>
  <c r="BM109" i="1" s="1"/>
  <c r="BN109" i="1" s="1"/>
  <c r="BK109" i="1"/>
  <c r="BL109" i="1"/>
  <c r="CW109" i="1"/>
  <c r="CY109" i="1"/>
  <c r="CZ109" i="1"/>
  <c r="S110" i="1"/>
  <c r="AA110" i="1"/>
  <c r="Z110" i="1" s="1"/>
  <c r="AB110" i="1"/>
  <c r="AL110" i="1"/>
  <c r="AJ110" i="1" s="1"/>
  <c r="AQ110" i="1"/>
  <c r="BD110" i="1" s="1"/>
  <c r="AW110" i="1"/>
  <c r="BC110" i="1"/>
  <c r="BG110" i="1"/>
  <c r="BH110" i="1"/>
  <c r="BK110" i="1"/>
  <c r="BL110" i="1"/>
  <c r="CW110" i="1"/>
  <c r="V110" i="1" s="1"/>
  <c r="CY110" i="1"/>
  <c r="CZ110" i="1"/>
  <c r="S111" i="1"/>
  <c r="AA111" i="1"/>
  <c r="Z111" i="1" s="1"/>
  <c r="AB111" i="1"/>
  <c r="AL111" i="1"/>
  <c r="AJ111" i="1" s="1"/>
  <c r="AQ111" i="1"/>
  <c r="AW111" i="1"/>
  <c r="BC111" i="1"/>
  <c r="BD111" i="1"/>
  <c r="BG111" i="1"/>
  <c r="BJ111" i="1" s="1"/>
  <c r="BK111" i="1"/>
  <c r="BL111" i="1"/>
  <c r="CW111" i="1"/>
  <c r="CY111" i="1"/>
  <c r="CX111" i="1" s="1"/>
  <c r="AY111" i="1" s="1"/>
  <c r="CZ111" i="1"/>
  <c r="V111" i="1" s="1"/>
  <c r="S112" i="1"/>
  <c r="AA112" i="1"/>
  <c r="AB112" i="1"/>
  <c r="AL112" i="1"/>
  <c r="AJ112" i="1" s="1"/>
  <c r="AQ112" i="1"/>
  <c r="BD112" i="1" s="1"/>
  <c r="AW112" i="1"/>
  <c r="BC112" i="1"/>
  <c r="BG112" i="1"/>
  <c r="BI112" i="1" s="1"/>
  <c r="BM112" i="1" s="1"/>
  <c r="BN112" i="1" s="1"/>
  <c r="BK112" i="1"/>
  <c r="BL112" i="1"/>
  <c r="CW112" i="1"/>
  <c r="CY112" i="1"/>
  <c r="CZ112" i="1"/>
  <c r="V112" i="1" s="1"/>
  <c r="S113" i="1"/>
  <c r="AA113" i="1"/>
  <c r="Z113" i="1" s="1"/>
  <c r="AB113" i="1"/>
  <c r="AL113" i="1"/>
  <c r="AJ113" i="1" s="1"/>
  <c r="AQ113" i="1"/>
  <c r="BD113" i="1" s="1"/>
  <c r="AW113" i="1"/>
  <c r="BC113" i="1"/>
  <c r="BG113" i="1"/>
  <c r="BH113" i="1" s="1"/>
  <c r="BK113" i="1"/>
  <c r="BL113" i="1"/>
  <c r="CW113" i="1"/>
  <c r="CY113" i="1"/>
  <c r="CZ113" i="1"/>
  <c r="S114" i="1"/>
  <c r="AA114" i="1"/>
  <c r="AB114" i="1"/>
  <c r="AL114" i="1"/>
  <c r="AJ114" i="1" s="1"/>
  <c r="N114" i="1" s="1"/>
  <c r="AQ114" i="1"/>
  <c r="BD114" i="1" s="1"/>
  <c r="AW114" i="1"/>
  <c r="BC114" i="1"/>
  <c r="BG114" i="1"/>
  <c r="BJ114" i="1" s="1"/>
  <c r="BK114" i="1"/>
  <c r="BL114" i="1"/>
  <c r="CW114" i="1"/>
  <c r="CY114" i="1"/>
  <c r="CX114" i="1" s="1"/>
  <c r="AY114" i="1" s="1"/>
  <c r="BA114" i="1" s="1"/>
  <c r="CZ114" i="1"/>
  <c r="V114" i="1" s="1"/>
  <c r="L108" i="1" l="1"/>
  <c r="K108" i="1" s="1"/>
  <c r="AD108" i="1" s="1"/>
  <c r="M108" i="1"/>
  <c r="AZ108" i="1" s="1"/>
  <c r="N108" i="1"/>
  <c r="AK108" i="1"/>
  <c r="AK112" i="1"/>
  <c r="N112" i="1"/>
  <c r="Z95" i="1"/>
  <c r="BJ82" i="1"/>
  <c r="BI82" i="1"/>
  <c r="BM82" i="1" s="1"/>
  <c r="BN82" i="1" s="1"/>
  <c r="Z68" i="1"/>
  <c r="Q57" i="1"/>
  <c r="AK57" i="1"/>
  <c r="M57" i="1"/>
  <c r="AZ57" i="1" s="1"/>
  <c r="N57" i="1"/>
  <c r="CX112" i="1"/>
  <c r="AY112" i="1" s="1"/>
  <c r="BA112" i="1" s="1"/>
  <c r="BJ107" i="1"/>
  <c r="BH107" i="1"/>
  <c r="BH106" i="1"/>
  <c r="BJ103" i="1"/>
  <c r="V90" i="1"/>
  <c r="Z82" i="1"/>
  <c r="BH66" i="1"/>
  <c r="BJ66" i="1"/>
  <c r="BI66" i="1"/>
  <c r="BM66" i="1" s="1"/>
  <c r="BN66" i="1" s="1"/>
  <c r="CX63" i="1"/>
  <c r="AY63" i="1" s="1"/>
  <c r="BA63" i="1" s="1"/>
  <c r="BJ59" i="1"/>
  <c r="BI59" i="1"/>
  <c r="BM59" i="1" s="1"/>
  <c r="BN59" i="1" s="1"/>
  <c r="BH59" i="1"/>
  <c r="Z46" i="1"/>
  <c r="AK43" i="1"/>
  <c r="M43" i="1"/>
  <c r="AZ43" i="1" s="1"/>
  <c r="Q43" i="1"/>
  <c r="M91" i="1"/>
  <c r="AZ91" i="1" s="1"/>
  <c r="BB91" i="1" s="1"/>
  <c r="N91" i="1"/>
  <c r="BI80" i="1"/>
  <c r="BM80" i="1" s="1"/>
  <c r="BN80" i="1" s="1"/>
  <c r="BJ80" i="1"/>
  <c r="BH80" i="1"/>
  <c r="BJ28" i="1"/>
  <c r="BI28" i="1"/>
  <c r="BM28" i="1" s="1"/>
  <c r="BN28" i="1" s="1"/>
  <c r="BI114" i="1"/>
  <c r="BM114" i="1" s="1"/>
  <c r="BN114" i="1" s="1"/>
  <c r="BI111" i="1"/>
  <c r="BM111" i="1" s="1"/>
  <c r="BN111" i="1" s="1"/>
  <c r="M111" i="1"/>
  <c r="AZ111" i="1" s="1"/>
  <c r="BB111" i="1" s="1"/>
  <c r="N111" i="1"/>
  <c r="V99" i="1"/>
  <c r="N90" i="1"/>
  <c r="L90" i="1"/>
  <c r="K90" i="1" s="1"/>
  <c r="AK78" i="1"/>
  <c r="Q78" i="1"/>
  <c r="BI29" i="1"/>
  <c r="BM29" i="1" s="1"/>
  <c r="BN29" i="1" s="1"/>
  <c r="BJ29" i="1"/>
  <c r="BH29" i="1"/>
  <c r="Z35" i="1"/>
  <c r="BH114" i="1"/>
  <c r="Z114" i="1"/>
  <c r="BH111" i="1"/>
  <c r="BI93" i="1"/>
  <c r="BM93" i="1" s="1"/>
  <c r="BN93" i="1" s="1"/>
  <c r="BH93" i="1"/>
  <c r="Z57" i="1"/>
  <c r="BH49" i="1"/>
  <c r="BJ49" i="1"/>
  <c r="AK26" i="1"/>
  <c r="N26" i="1"/>
  <c r="BJ20" i="1"/>
  <c r="BI20" i="1"/>
  <c r="BM20" i="1" s="1"/>
  <c r="BN20" i="1" s="1"/>
  <c r="BH20" i="1"/>
  <c r="BA111" i="1"/>
  <c r="L104" i="1"/>
  <c r="K104" i="1" s="1"/>
  <c r="N104" i="1"/>
  <c r="BI89" i="1"/>
  <c r="BM89" i="1" s="1"/>
  <c r="BN89" i="1" s="1"/>
  <c r="BJ89" i="1"/>
  <c r="BH89" i="1"/>
  <c r="CX82" i="1"/>
  <c r="AY82" i="1" s="1"/>
  <c r="V65" i="1"/>
  <c r="CX65" i="1"/>
  <c r="AY65" i="1" s="1"/>
  <c r="BH62" i="1"/>
  <c r="BJ62" i="1"/>
  <c r="BJ24" i="1"/>
  <c r="BI24" i="1"/>
  <c r="BM24" i="1" s="1"/>
  <c r="BN24" i="1" s="1"/>
  <c r="Q22" i="1"/>
  <c r="AK22" i="1"/>
  <c r="L100" i="1"/>
  <c r="K100" i="1" s="1"/>
  <c r="AD100" i="1" s="1"/>
  <c r="N100" i="1"/>
  <c r="L96" i="1"/>
  <c r="K96" i="1" s="1"/>
  <c r="N96" i="1"/>
  <c r="BB79" i="1"/>
  <c r="L42" i="1"/>
  <c r="K42" i="1" s="1"/>
  <c r="AD42" i="1" s="1"/>
  <c r="N42" i="1"/>
  <c r="L34" i="1"/>
  <c r="K34" i="1" s="1"/>
  <c r="AD34" i="1" s="1"/>
  <c r="N34" i="1"/>
  <c r="BI25" i="1"/>
  <c r="BM25" i="1" s="1"/>
  <c r="BN25" i="1" s="1"/>
  <c r="BJ25" i="1"/>
  <c r="BH25" i="1"/>
  <c r="Q18" i="1"/>
  <c r="N18" i="1"/>
  <c r="BI92" i="1"/>
  <c r="BM92" i="1" s="1"/>
  <c r="BN92" i="1" s="1"/>
  <c r="BJ92" i="1"/>
  <c r="BH92" i="1"/>
  <c r="AK30" i="1"/>
  <c r="N30" i="1"/>
  <c r="M76" i="1"/>
  <c r="AZ76" i="1" s="1"/>
  <c r="L76" i="1"/>
  <c r="K76" i="1" s="1"/>
  <c r="AD76" i="1" s="1"/>
  <c r="BH33" i="1"/>
  <c r="BI33" i="1"/>
  <c r="BM33" i="1" s="1"/>
  <c r="BN33" i="1" s="1"/>
  <c r="L111" i="1"/>
  <c r="K111" i="1" s="1"/>
  <c r="BJ110" i="1"/>
  <c r="BI110" i="1"/>
  <c r="BM110" i="1" s="1"/>
  <c r="BN110" i="1" s="1"/>
  <c r="BH109" i="1"/>
  <c r="BJ109" i="1"/>
  <c r="BI106" i="1"/>
  <c r="BM106" i="1" s="1"/>
  <c r="BN106" i="1" s="1"/>
  <c r="AK96" i="1"/>
  <c r="BI73" i="1"/>
  <c r="BM73" i="1" s="1"/>
  <c r="BN73" i="1" s="1"/>
  <c r="BJ73" i="1"/>
  <c r="BH73" i="1"/>
  <c r="L67" i="1"/>
  <c r="K67" i="1" s="1"/>
  <c r="N67" i="1"/>
  <c r="W42" i="1"/>
  <c r="X42" i="1" s="1"/>
  <c r="AK42" i="1"/>
  <c r="BJ37" i="1"/>
  <c r="BI37" i="1"/>
  <c r="BM37" i="1" s="1"/>
  <c r="BN37" i="1" s="1"/>
  <c r="AK34" i="1"/>
  <c r="AK18" i="1"/>
  <c r="CX110" i="1"/>
  <c r="AY110" i="1" s="1"/>
  <c r="BA110" i="1" s="1"/>
  <c r="Z107" i="1"/>
  <c r="V101" i="1"/>
  <c r="Z94" i="1"/>
  <c r="V89" i="1"/>
  <c r="BA88" i="1"/>
  <c r="V87" i="1"/>
  <c r="V86" i="1"/>
  <c r="V80" i="1"/>
  <c r="BA71" i="1"/>
  <c r="Z62" i="1"/>
  <c r="Z61" i="1"/>
  <c r="V56" i="1"/>
  <c r="CX43" i="1"/>
  <c r="AY43" i="1" s="1"/>
  <c r="BA43" i="1" s="1"/>
  <c r="Z40" i="1"/>
  <c r="Z36" i="1"/>
  <c r="Z33" i="1"/>
  <c r="V32" i="1"/>
  <c r="Z29" i="1"/>
  <c r="Z25" i="1"/>
  <c r="Z23" i="1"/>
  <c r="Z19" i="1"/>
  <c r="BA87" i="1"/>
  <c r="Z43" i="1"/>
  <c r="M39" i="1"/>
  <c r="AZ39" i="1" s="1"/>
  <c r="BI34" i="1"/>
  <c r="BM34" i="1" s="1"/>
  <c r="BN34" i="1" s="1"/>
  <c r="N33" i="1"/>
  <c r="BI30" i="1"/>
  <c r="BM30" i="1" s="1"/>
  <c r="BN30" i="1" s="1"/>
  <c r="BI26" i="1"/>
  <c r="BM26" i="1" s="1"/>
  <c r="BN26" i="1" s="1"/>
  <c r="V25" i="1"/>
  <c r="Z24" i="1"/>
  <c r="BJ22" i="1"/>
  <c r="BI18" i="1"/>
  <c r="BM18" i="1" s="1"/>
  <c r="BN18" i="1" s="1"/>
  <c r="V17" i="1"/>
  <c r="BA107" i="1"/>
  <c r="BA106" i="1"/>
  <c r="Z104" i="1"/>
  <c r="Z100" i="1"/>
  <c r="V88" i="1"/>
  <c r="BJ86" i="1"/>
  <c r="BJ84" i="1"/>
  <c r="V83" i="1"/>
  <c r="BJ81" i="1"/>
  <c r="BA80" i="1"/>
  <c r="V79" i="1"/>
  <c r="BH79" i="1"/>
  <c r="Z79" i="1"/>
  <c r="Z74" i="1"/>
  <c r="CX72" i="1"/>
  <c r="AY72" i="1" s="1"/>
  <c r="BA72" i="1" s="1"/>
  <c r="BH71" i="1"/>
  <c r="BH67" i="1"/>
  <c r="M66" i="1"/>
  <c r="AZ66" i="1" s="1"/>
  <c r="BI65" i="1"/>
  <c r="BM65" i="1" s="1"/>
  <c r="BN65" i="1" s="1"/>
  <c r="Q54" i="1"/>
  <c r="BJ53" i="1"/>
  <c r="N52" i="1"/>
  <c r="Q51" i="1"/>
  <c r="BJ45" i="1"/>
  <c r="V41" i="1"/>
  <c r="CX37" i="1"/>
  <c r="AY37" i="1" s="1"/>
  <c r="BA33" i="1"/>
  <c r="M33" i="1"/>
  <c r="AZ33" i="1" s="1"/>
  <c r="BI32" i="1"/>
  <c r="BM32" i="1" s="1"/>
  <c r="BN32" i="1" s="1"/>
  <c r="Z32" i="1"/>
  <c r="BI22" i="1"/>
  <c r="BM22" i="1" s="1"/>
  <c r="BN22" i="1" s="1"/>
  <c r="V21" i="1"/>
  <c r="Z112" i="1"/>
  <c r="BA99" i="1"/>
  <c r="V93" i="1"/>
  <c r="BI86" i="1"/>
  <c r="BM86" i="1" s="1"/>
  <c r="BN86" i="1" s="1"/>
  <c r="BI84" i="1"/>
  <c r="BM84" i="1" s="1"/>
  <c r="BN84" i="1" s="1"/>
  <c r="BH81" i="1"/>
  <c r="BJ78" i="1"/>
  <c r="V76" i="1"/>
  <c r="BH75" i="1"/>
  <c r="Z75" i="1"/>
  <c r="L66" i="1"/>
  <c r="K66" i="1" s="1"/>
  <c r="AD66" i="1" s="1"/>
  <c r="BH65" i="1"/>
  <c r="BI63" i="1"/>
  <c r="BM63" i="1" s="1"/>
  <c r="BN63" i="1" s="1"/>
  <c r="V61" i="1"/>
  <c r="AK61" i="1"/>
  <c r="M54" i="1"/>
  <c r="AZ54" i="1" s="1"/>
  <c r="BI53" i="1"/>
  <c r="BM53" i="1" s="1"/>
  <c r="BN53" i="1" s="1"/>
  <c r="CX52" i="1"/>
  <c r="AY52" i="1" s="1"/>
  <c r="CX48" i="1"/>
  <c r="AY48" i="1" s="1"/>
  <c r="BA48" i="1" s="1"/>
  <c r="CX46" i="1"/>
  <c r="AY46" i="1" s="1"/>
  <c r="BI45" i="1"/>
  <c r="BM45" i="1" s="1"/>
  <c r="BN45" i="1" s="1"/>
  <c r="CX18" i="1"/>
  <c r="AY18" i="1" s="1"/>
  <c r="CX102" i="1"/>
  <c r="AY102" i="1" s="1"/>
  <c r="BA102" i="1" s="1"/>
  <c r="CX98" i="1"/>
  <c r="AY98" i="1" s="1"/>
  <c r="BA98" i="1" s="1"/>
  <c r="V94" i="1"/>
  <c r="W94" i="1" s="1"/>
  <c r="X94" i="1" s="1"/>
  <c r="AF94" i="1" s="1"/>
  <c r="Z93" i="1"/>
  <c r="BA85" i="1"/>
  <c r="V84" i="1"/>
  <c r="AK73" i="1"/>
  <c r="V69" i="1"/>
  <c r="BA68" i="1"/>
  <c r="BH63" i="1"/>
  <c r="CX55" i="1"/>
  <c r="AY55" i="1" s="1"/>
  <c r="BA55" i="1" s="1"/>
  <c r="AK54" i="1"/>
  <c r="BA46" i="1"/>
  <c r="BA83" i="1"/>
  <c r="V73" i="1"/>
  <c r="Z41" i="1"/>
  <c r="CX34" i="1"/>
  <c r="AY34" i="1" s="1"/>
  <c r="N113" i="1"/>
  <c r="Q113" i="1"/>
  <c r="AK113" i="1"/>
  <c r="M113" i="1"/>
  <c r="AZ113" i="1" s="1"/>
  <c r="L113" i="1"/>
  <c r="K113" i="1" s="1"/>
  <c r="N110" i="1"/>
  <c r="AK110" i="1"/>
  <c r="M110" i="1"/>
  <c r="AZ110" i="1" s="1"/>
  <c r="L110" i="1"/>
  <c r="K110" i="1" s="1"/>
  <c r="Q110" i="1"/>
  <c r="AD111" i="1"/>
  <c r="Y94" i="1"/>
  <c r="AC94" i="1" s="1"/>
  <c r="BB109" i="1"/>
  <c r="AD106" i="1"/>
  <c r="W106" i="1"/>
  <c r="X106" i="1" s="1"/>
  <c r="W111" i="1"/>
  <c r="X111" i="1" s="1"/>
  <c r="AD104" i="1"/>
  <c r="BJ112" i="1"/>
  <c r="M112" i="1"/>
  <c r="AZ112" i="1" s="1"/>
  <c r="Q111" i="1"/>
  <c r="BH108" i="1"/>
  <c r="BI108" i="1"/>
  <c r="BM108" i="1" s="1"/>
  <c r="BN108" i="1" s="1"/>
  <c r="Q106" i="1"/>
  <c r="L105" i="1"/>
  <c r="K105" i="1" s="1"/>
  <c r="N105" i="1"/>
  <c r="Q105" i="1"/>
  <c r="AK105" i="1"/>
  <c r="AK81" i="1"/>
  <c r="M81" i="1"/>
  <c r="AZ81" i="1" s="1"/>
  <c r="BB81" i="1" s="1"/>
  <c r="N81" i="1"/>
  <c r="Q81" i="1"/>
  <c r="L81" i="1"/>
  <c r="K81" i="1" s="1"/>
  <c r="AD92" i="1"/>
  <c r="W83" i="1"/>
  <c r="X83" i="1" s="1"/>
  <c r="T83" i="1" s="1"/>
  <c r="R83" i="1" s="1"/>
  <c r="U83" i="1" s="1"/>
  <c r="V113" i="1"/>
  <c r="CX113" i="1"/>
  <c r="AY113" i="1" s="1"/>
  <c r="BA113" i="1" s="1"/>
  <c r="BH112" i="1"/>
  <c r="BH105" i="1"/>
  <c r="BJ105" i="1"/>
  <c r="W101" i="1"/>
  <c r="X101" i="1" s="1"/>
  <c r="N98" i="1"/>
  <c r="Q98" i="1"/>
  <c r="AK98" i="1"/>
  <c r="M98" i="1"/>
  <c r="AZ98" i="1" s="1"/>
  <c r="BB98" i="1" s="1"/>
  <c r="AE94" i="1"/>
  <c r="Q92" i="1"/>
  <c r="AK92" i="1"/>
  <c r="M92" i="1"/>
  <c r="AZ92" i="1" s="1"/>
  <c r="BB92" i="1" s="1"/>
  <c r="N92" i="1"/>
  <c r="W77" i="1"/>
  <c r="X77" i="1" s="1"/>
  <c r="L112" i="1"/>
  <c r="K112" i="1" s="1"/>
  <c r="W112" i="1" s="1"/>
  <c r="X112" i="1" s="1"/>
  <c r="Q112" i="1"/>
  <c r="W107" i="1"/>
  <c r="X107" i="1" s="1"/>
  <c r="L101" i="1"/>
  <c r="K101" i="1" s="1"/>
  <c r="M101" i="1"/>
  <c r="AZ101" i="1" s="1"/>
  <c r="N101" i="1"/>
  <c r="Q101" i="1"/>
  <c r="AK101" i="1"/>
  <c r="W100" i="1"/>
  <c r="X100" i="1" s="1"/>
  <c r="AE100" i="1" s="1"/>
  <c r="AD94" i="1"/>
  <c r="T94" i="1"/>
  <c r="R94" i="1" s="1"/>
  <c r="U94" i="1" s="1"/>
  <c r="AD90" i="1"/>
  <c r="Q114" i="1"/>
  <c r="L109" i="1"/>
  <c r="K109" i="1" s="1"/>
  <c r="N109" i="1"/>
  <c r="Q109" i="1"/>
  <c r="AK109" i="1"/>
  <c r="V108" i="1"/>
  <c r="CX108" i="1"/>
  <c r="AY108" i="1" s="1"/>
  <c r="BA108" i="1" s="1"/>
  <c r="L107" i="1"/>
  <c r="K107" i="1" s="1"/>
  <c r="M107" i="1"/>
  <c r="AZ107" i="1" s="1"/>
  <c r="BB107" i="1" s="1"/>
  <c r="BH104" i="1"/>
  <c r="BI104" i="1"/>
  <c r="BM104" i="1" s="1"/>
  <c r="BN104" i="1" s="1"/>
  <c r="L97" i="1"/>
  <c r="K97" i="1" s="1"/>
  <c r="M97" i="1"/>
  <c r="AZ97" i="1" s="1"/>
  <c r="N97" i="1"/>
  <c r="Q97" i="1"/>
  <c r="AK97" i="1"/>
  <c r="V96" i="1"/>
  <c r="M86" i="1"/>
  <c r="AZ86" i="1" s="1"/>
  <c r="BB86" i="1" s="1"/>
  <c r="Q86" i="1"/>
  <c r="AK86" i="1"/>
  <c r="L86" i="1"/>
  <c r="K86" i="1" s="1"/>
  <c r="M82" i="1"/>
  <c r="AZ82" i="1" s="1"/>
  <c r="BB82" i="1" s="1"/>
  <c r="Q82" i="1"/>
  <c r="AK82" i="1"/>
  <c r="L82" i="1"/>
  <c r="K82" i="1" s="1"/>
  <c r="W82" i="1" s="1"/>
  <c r="X82" i="1" s="1"/>
  <c r="AE82" i="1" s="1"/>
  <c r="N82" i="1"/>
  <c r="BA65" i="1"/>
  <c r="AD98" i="1"/>
  <c r="W98" i="1"/>
  <c r="X98" i="1" s="1"/>
  <c r="T98" i="1" s="1"/>
  <c r="R98" i="1" s="1"/>
  <c r="U98" i="1" s="1"/>
  <c r="AK107" i="1"/>
  <c r="Q107" i="1"/>
  <c r="BA95" i="1"/>
  <c r="Q80" i="1"/>
  <c r="AK80" i="1"/>
  <c r="L80" i="1"/>
  <c r="K80" i="1" s="1"/>
  <c r="W80" i="1" s="1"/>
  <c r="X80" i="1" s="1"/>
  <c r="M80" i="1"/>
  <c r="AZ80" i="1" s="1"/>
  <c r="BB80" i="1" s="1"/>
  <c r="N80" i="1"/>
  <c r="BJ113" i="1"/>
  <c r="AK111" i="1"/>
  <c r="N107" i="1"/>
  <c r="V105" i="1"/>
  <c r="CX105" i="1"/>
  <c r="AY105" i="1" s="1"/>
  <c r="BB104" i="1"/>
  <c r="T100" i="1"/>
  <c r="R100" i="1" s="1"/>
  <c r="U100" i="1" s="1"/>
  <c r="O100" i="1" s="1"/>
  <c r="P100" i="1" s="1"/>
  <c r="Q99" i="1"/>
  <c r="AK99" i="1"/>
  <c r="L99" i="1"/>
  <c r="K99" i="1" s="1"/>
  <c r="W99" i="1" s="1"/>
  <c r="X99" i="1" s="1"/>
  <c r="M99" i="1"/>
  <c r="AZ99" i="1" s="1"/>
  <c r="BB99" i="1" s="1"/>
  <c r="M94" i="1"/>
  <c r="AZ94" i="1" s="1"/>
  <c r="BB94" i="1" s="1"/>
  <c r="Q94" i="1"/>
  <c r="N94" i="1"/>
  <c r="AK94" i="1"/>
  <c r="W92" i="1"/>
  <c r="X92" i="1" s="1"/>
  <c r="T92" i="1" s="1"/>
  <c r="R92" i="1" s="1"/>
  <c r="U92" i="1" s="1"/>
  <c r="Q75" i="1"/>
  <c r="N75" i="1"/>
  <c r="M75" i="1"/>
  <c r="AZ75" i="1" s="1"/>
  <c r="BB75" i="1" s="1"/>
  <c r="AK75" i="1"/>
  <c r="L75" i="1"/>
  <c r="K75" i="1" s="1"/>
  <c r="AD67" i="1"/>
  <c r="AE111" i="1"/>
  <c r="W84" i="1"/>
  <c r="X84" i="1" s="1"/>
  <c r="AK114" i="1"/>
  <c r="M114" i="1"/>
  <c r="AZ114" i="1" s="1"/>
  <c r="BB114" i="1" s="1"/>
  <c r="L114" i="1"/>
  <c r="K114" i="1" s="1"/>
  <c r="W114" i="1" s="1"/>
  <c r="X114" i="1" s="1"/>
  <c r="BI113" i="1"/>
  <c r="BM113" i="1" s="1"/>
  <c r="BN113" i="1" s="1"/>
  <c r="V109" i="1"/>
  <c r="CX109" i="1"/>
  <c r="AY109" i="1" s="1"/>
  <c r="BA109" i="1" s="1"/>
  <c r="N106" i="1"/>
  <c r="AK106" i="1"/>
  <c r="M106" i="1"/>
  <c r="AZ106" i="1" s="1"/>
  <c r="BB106" i="1" s="1"/>
  <c r="V104" i="1"/>
  <c r="CX104" i="1"/>
  <c r="AY104" i="1" s="1"/>
  <c r="BA104" i="1"/>
  <c r="AK103" i="1"/>
  <c r="L103" i="1"/>
  <c r="K103" i="1" s="1"/>
  <c r="W103" i="1" s="1"/>
  <c r="X103" i="1" s="1"/>
  <c r="M103" i="1"/>
  <c r="AZ103" i="1" s="1"/>
  <c r="BB103" i="1" s="1"/>
  <c r="Q103" i="1"/>
  <c r="N102" i="1"/>
  <c r="Q102" i="1"/>
  <c r="AK102" i="1"/>
  <c r="M102" i="1"/>
  <c r="AZ102" i="1" s="1"/>
  <c r="BB102" i="1" s="1"/>
  <c r="L102" i="1"/>
  <c r="K102" i="1" s="1"/>
  <c r="AD96" i="1"/>
  <c r="Q95" i="1"/>
  <c r="AK95" i="1"/>
  <c r="L95" i="1"/>
  <c r="K95" i="1" s="1"/>
  <c r="W95" i="1" s="1"/>
  <c r="X95" i="1" s="1"/>
  <c r="M95" i="1"/>
  <c r="AZ95" i="1" s="1"/>
  <c r="BB95" i="1" s="1"/>
  <c r="AK93" i="1"/>
  <c r="M93" i="1"/>
  <c r="AZ93" i="1" s="1"/>
  <c r="L93" i="1"/>
  <c r="K93" i="1" s="1"/>
  <c r="N93" i="1"/>
  <c r="Q93" i="1"/>
  <c r="W87" i="1"/>
  <c r="X87" i="1" s="1"/>
  <c r="Q108" i="1"/>
  <c r="Q104" i="1"/>
  <c r="Q100" i="1"/>
  <c r="Q96" i="1"/>
  <c r="BA91" i="1"/>
  <c r="Q84" i="1"/>
  <c r="AK84" i="1"/>
  <c r="L84" i="1"/>
  <c r="K84" i="1" s="1"/>
  <c r="M84" i="1"/>
  <c r="AZ84" i="1" s="1"/>
  <c r="BB84" i="1" s="1"/>
  <c r="AD78" i="1"/>
  <c r="W76" i="1"/>
  <c r="X76" i="1" s="1"/>
  <c r="BI100" i="1"/>
  <c r="BM100" i="1" s="1"/>
  <c r="BN100" i="1" s="1"/>
  <c r="BI96" i="1"/>
  <c r="BM96" i="1" s="1"/>
  <c r="BN96" i="1" s="1"/>
  <c r="BJ93" i="1"/>
  <c r="BH91" i="1"/>
  <c r="Q87" i="1"/>
  <c r="AK87" i="1"/>
  <c r="M87" i="1"/>
  <c r="AZ87" i="1" s="1"/>
  <c r="BB87" i="1" s="1"/>
  <c r="BA81" i="1"/>
  <c r="BA79" i="1"/>
  <c r="L69" i="1"/>
  <c r="K69" i="1" s="1"/>
  <c r="W69" i="1" s="1"/>
  <c r="X69" i="1" s="1"/>
  <c r="AE69" i="1" s="1"/>
  <c r="M69" i="1"/>
  <c r="AZ69" i="1" s="1"/>
  <c r="BB69" i="1" s="1"/>
  <c r="N69" i="1"/>
  <c r="Q69" i="1"/>
  <c r="AK69" i="1"/>
  <c r="BJ101" i="1"/>
  <c r="CX100" i="1"/>
  <c r="AY100" i="1" s="1"/>
  <c r="BB100" i="1" s="1"/>
  <c r="BJ97" i="1"/>
  <c r="CX96" i="1"/>
  <c r="AY96" i="1" s="1"/>
  <c r="BA96" i="1" s="1"/>
  <c r="Q91" i="1"/>
  <c r="AK91" i="1"/>
  <c r="W91" i="1"/>
  <c r="X91" i="1" s="1"/>
  <c r="AE91" i="1" s="1"/>
  <c r="L91" i="1"/>
  <c r="K91" i="1" s="1"/>
  <c r="BA90" i="1"/>
  <c r="AK89" i="1"/>
  <c r="M89" i="1"/>
  <c r="AZ89" i="1" s="1"/>
  <c r="BB89" i="1" s="1"/>
  <c r="N89" i="1"/>
  <c r="Q89" i="1"/>
  <c r="W85" i="1"/>
  <c r="X85" i="1" s="1"/>
  <c r="T85" i="1" s="1"/>
  <c r="R85" i="1" s="1"/>
  <c r="U85" i="1" s="1"/>
  <c r="O85" i="1" s="1"/>
  <c r="P85" i="1" s="1"/>
  <c r="Q83" i="1"/>
  <c r="AK83" i="1"/>
  <c r="M83" i="1"/>
  <c r="AZ83" i="1" s="1"/>
  <c r="BB83" i="1" s="1"/>
  <c r="AE77" i="1"/>
  <c r="BI101" i="1"/>
  <c r="BM101" i="1" s="1"/>
  <c r="BN101" i="1" s="1"/>
  <c r="BI97" i="1"/>
  <c r="BM97" i="1" s="1"/>
  <c r="BN97" i="1" s="1"/>
  <c r="W90" i="1"/>
  <c r="X90" i="1" s="1"/>
  <c r="T90" i="1" s="1"/>
  <c r="R90" i="1" s="1"/>
  <c r="U90" i="1" s="1"/>
  <c r="AK85" i="1"/>
  <c r="M85" i="1"/>
  <c r="AZ85" i="1" s="1"/>
  <c r="BB85" i="1" s="1"/>
  <c r="N85" i="1"/>
  <c r="Q85" i="1"/>
  <c r="W81" i="1"/>
  <c r="X81" i="1" s="1"/>
  <c r="N79" i="1"/>
  <c r="Q79" i="1"/>
  <c r="AK79" i="1"/>
  <c r="L79" i="1"/>
  <c r="K79" i="1" s="1"/>
  <c r="W79" i="1" s="1"/>
  <c r="X79" i="1" s="1"/>
  <c r="BB76" i="1"/>
  <c r="T76" i="1"/>
  <c r="R76" i="1" s="1"/>
  <c r="U76" i="1" s="1"/>
  <c r="V75" i="1"/>
  <c r="CX101" i="1"/>
  <c r="AY101" i="1" s="1"/>
  <c r="BA101" i="1" s="1"/>
  <c r="CX97" i="1"/>
  <c r="AY97" i="1" s="1"/>
  <c r="BA97" i="1" s="1"/>
  <c r="BA94" i="1"/>
  <c r="CX93" i="1"/>
  <c r="AY93" i="1" s="1"/>
  <c r="BA93" i="1" s="1"/>
  <c r="L89" i="1"/>
  <c r="K89" i="1" s="1"/>
  <c r="BA86" i="1"/>
  <c r="BA84" i="1"/>
  <c r="N83" i="1"/>
  <c r="N78" i="1"/>
  <c r="M78" i="1"/>
  <c r="AZ78" i="1" s="1"/>
  <c r="T77" i="1"/>
  <c r="R77" i="1" s="1"/>
  <c r="U77" i="1" s="1"/>
  <c r="AD77" i="1"/>
  <c r="N70" i="1"/>
  <c r="Q70" i="1"/>
  <c r="AK70" i="1"/>
  <c r="L70" i="1"/>
  <c r="K70" i="1" s="1"/>
  <c r="M70" i="1"/>
  <c r="AZ70" i="1" s="1"/>
  <c r="BB70" i="1" s="1"/>
  <c r="W67" i="1"/>
  <c r="X67" i="1" s="1"/>
  <c r="N64" i="1"/>
  <c r="L64" i="1"/>
  <c r="K64" i="1" s="1"/>
  <c r="M64" i="1"/>
  <c r="AZ64" i="1" s="1"/>
  <c r="AK64" i="1"/>
  <c r="Q64" i="1"/>
  <c r="BA92" i="1"/>
  <c r="AE90" i="1"/>
  <c r="BA82" i="1"/>
  <c r="V70" i="1"/>
  <c r="CX70" i="1"/>
  <c r="AY70" i="1" s="1"/>
  <c r="BA70" i="1" s="1"/>
  <c r="M90" i="1"/>
  <c r="AZ90" i="1" s="1"/>
  <c r="BB90" i="1" s="1"/>
  <c r="Q90" i="1"/>
  <c r="Q88" i="1"/>
  <c r="AK88" i="1"/>
  <c r="L88" i="1"/>
  <c r="K88" i="1" s="1"/>
  <c r="W88" i="1" s="1"/>
  <c r="X88" i="1" s="1"/>
  <c r="M88" i="1"/>
  <c r="AZ88" i="1" s="1"/>
  <c r="BB88" i="1" s="1"/>
  <c r="BH77" i="1"/>
  <c r="BI77" i="1"/>
  <c r="BM77" i="1" s="1"/>
  <c r="BN77" i="1" s="1"/>
  <c r="BJ77" i="1"/>
  <c r="BA57" i="1"/>
  <c r="Z76" i="1"/>
  <c r="Q76" i="1"/>
  <c r="Q58" i="1"/>
  <c r="AK58" i="1"/>
  <c r="L58" i="1"/>
  <c r="K58" i="1" s="1"/>
  <c r="N58" i="1"/>
  <c r="M58" i="1"/>
  <c r="AZ58" i="1" s="1"/>
  <c r="V57" i="1"/>
  <c r="BI78" i="1"/>
  <c r="BM78" i="1" s="1"/>
  <c r="BN78" i="1" s="1"/>
  <c r="N77" i="1"/>
  <c r="Q74" i="1"/>
  <c r="L73" i="1"/>
  <c r="K73" i="1" s="1"/>
  <c r="W73" i="1" s="1"/>
  <c r="X73" i="1" s="1"/>
  <c r="M73" i="1"/>
  <c r="AZ73" i="1" s="1"/>
  <c r="BB73" i="1" s="1"/>
  <c r="BA61" i="1"/>
  <c r="Z60" i="1"/>
  <c r="Q48" i="1"/>
  <c r="AK48" i="1"/>
  <c r="L48" i="1"/>
  <c r="K48" i="1" s="1"/>
  <c r="W48" i="1" s="1"/>
  <c r="X48" i="1" s="1"/>
  <c r="M48" i="1"/>
  <c r="AZ48" i="1" s="1"/>
  <c r="N48" i="1"/>
  <c r="M77" i="1"/>
  <c r="AZ77" i="1" s="1"/>
  <c r="BB77" i="1" s="1"/>
  <c r="N76" i="1"/>
  <c r="BH74" i="1"/>
  <c r="BI74" i="1"/>
  <c r="BM74" i="1" s="1"/>
  <c r="BN74" i="1" s="1"/>
  <c r="Q71" i="1"/>
  <c r="AK71" i="1"/>
  <c r="M71" i="1"/>
  <c r="AZ71" i="1" s="1"/>
  <c r="BB71" i="1" s="1"/>
  <c r="AK68" i="1"/>
  <c r="L68" i="1"/>
  <c r="K68" i="1" s="1"/>
  <c r="W68" i="1" s="1"/>
  <c r="X68" i="1" s="1"/>
  <c r="M68" i="1"/>
  <c r="AZ68" i="1" s="1"/>
  <c r="BB68" i="1" s="1"/>
  <c r="V78" i="1"/>
  <c r="CX78" i="1"/>
  <c r="AY78" i="1" s="1"/>
  <c r="BA78" i="1" s="1"/>
  <c r="AK74" i="1"/>
  <c r="M74" i="1"/>
  <c r="AZ74" i="1" s="1"/>
  <c r="AK72" i="1"/>
  <c r="L72" i="1"/>
  <c r="K72" i="1" s="1"/>
  <c r="W72" i="1" s="1"/>
  <c r="X72" i="1" s="1"/>
  <c r="M72" i="1"/>
  <c r="AZ72" i="1" s="1"/>
  <c r="BB72" i="1" s="1"/>
  <c r="BH58" i="1"/>
  <c r="BI58" i="1"/>
  <c r="BM58" i="1" s="1"/>
  <c r="BN58" i="1" s="1"/>
  <c r="BA75" i="1"/>
  <c r="V74" i="1"/>
  <c r="CX74" i="1"/>
  <c r="AY74" i="1" s="1"/>
  <c r="BA74" i="1" s="1"/>
  <c r="L74" i="1"/>
  <c r="K74" i="1" s="1"/>
  <c r="BH70" i="1"/>
  <c r="BI70" i="1"/>
  <c r="BM70" i="1" s="1"/>
  <c r="BN70" i="1" s="1"/>
  <c r="BJ70" i="1"/>
  <c r="BA69" i="1"/>
  <c r="BA67" i="1"/>
  <c r="V66" i="1"/>
  <c r="CX66" i="1"/>
  <c r="AY66" i="1" s="1"/>
  <c r="BA66" i="1" s="1"/>
  <c r="BB65" i="1"/>
  <c r="BH64" i="1"/>
  <c r="BI64" i="1"/>
  <c r="BM64" i="1" s="1"/>
  <c r="BN64" i="1" s="1"/>
  <c r="BJ64" i="1"/>
  <c r="AD53" i="1"/>
  <c r="AK77" i="1"/>
  <c r="BI75" i="1"/>
  <c r="BM75" i="1" s="1"/>
  <c r="BN75" i="1" s="1"/>
  <c r="Q73" i="1"/>
  <c r="L71" i="1"/>
  <c r="K71" i="1" s="1"/>
  <c r="W71" i="1" s="1"/>
  <c r="X71" i="1" s="1"/>
  <c r="Q77" i="1"/>
  <c r="Q67" i="1"/>
  <c r="AK67" i="1"/>
  <c r="M67" i="1"/>
  <c r="AZ67" i="1" s="1"/>
  <c r="BB67" i="1" s="1"/>
  <c r="L63" i="1"/>
  <c r="K63" i="1" s="1"/>
  <c r="M63" i="1"/>
  <c r="AZ63" i="1" s="1"/>
  <c r="BB63" i="1" s="1"/>
  <c r="N63" i="1"/>
  <c r="AK63" i="1"/>
  <c r="Q62" i="1"/>
  <c r="AK62" i="1"/>
  <c r="L62" i="1"/>
  <c r="K62" i="1" s="1"/>
  <c r="N62" i="1"/>
  <c r="W60" i="1"/>
  <c r="X60" i="1" s="1"/>
  <c r="AE60" i="1" s="1"/>
  <c r="BJ54" i="1"/>
  <c r="BI54" i="1"/>
  <c r="BM54" i="1" s="1"/>
  <c r="BN54" i="1" s="1"/>
  <c r="BA52" i="1"/>
  <c r="AD51" i="1"/>
  <c r="L50" i="1"/>
  <c r="K50" i="1" s="1"/>
  <c r="M50" i="1"/>
  <c r="AZ50" i="1" s="1"/>
  <c r="BB50" i="1" s="1"/>
  <c r="AK50" i="1"/>
  <c r="N50" i="1"/>
  <c r="Q50" i="1"/>
  <c r="Q65" i="1"/>
  <c r="L65" i="1"/>
  <c r="K65" i="1" s="1"/>
  <c r="Q45" i="1"/>
  <c r="AK45" i="1"/>
  <c r="M45" i="1"/>
  <c r="AZ45" i="1" s="1"/>
  <c r="N45" i="1"/>
  <c r="L45" i="1"/>
  <c r="K45" i="1" s="1"/>
  <c r="N44" i="1"/>
  <c r="L44" i="1"/>
  <c r="K44" i="1" s="1"/>
  <c r="M44" i="1"/>
  <c r="AZ44" i="1" s="1"/>
  <c r="BB44" i="1" s="1"/>
  <c r="Q44" i="1"/>
  <c r="AK44" i="1"/>
  <c r="M60" i="1"/>
  <c r="AZ60" i="1" s="1"/>
  <c r="N60" i="1"/>
  <c r="Q60" i="1"/>
  <c r="BB57" i="1"/>
  <c r="M56" i="1"/>
  <c r="AZ56" i="1" s="1"/>
  <c r="N56" i="1"/>
  <c r="Q56" i="1"/>
  <c r="BH40" i="1"/>
  <c r="BJ40" i="1"/>
  <c r="BI40" i="1"/>
  <c r="BM40" i="1" s="1"/>
  <c r="BN40" i="1" s="1"/>
  <c r="Z66" i="1"/>
  <c r="V64" i="1"/>
  <c r="CX64" i="1"/>
  <c r="AY64" i="1" s="1"/>
  <c r="BA64" i="1" s="1"/>
  <c r="Z64" i="1"/>
  <c r="M62" i="1"/>
  <c r="AZ62" i="1" s="1"/>
  <c r="BB61" i="1"/>
  <c r="AK60" i="1"/>
  <c r="L60" i="1"/>
  <c r="K60" i="1" s="1"/>
  <c r="V58" i="1"/>
  <c r="CX58" i="1"/>
  <c r="AY58" i="1" s="1"/>
  <c r="BA58" i="1" s="1"/>
  <c r="BI57" i="1"/>
  <c r="BM57" i="1" s="1"/>
  <c r="BN57" i="1" s="1"/>
  <c r="BJ57" i="1"/>
  <c r="AK56" i="1"/>
  <c r="L56" i="1"/>
  <c r="K56" i="1" s="1"/>
  <c r="W56" i="1" s="1"/>
  <c r="X56" i="1" s="1"/>
  <c r="V54" i="1"/>
  <c r="CX54" i="1"/>
  <c r="AY54" i="1" s="1"/>
  <c r="BA54" i="1" s="1"/>
  <c r="W41" i="1"/>
  <c r="X41" i="1" s="1"/>
  <c r="V62" i="1"/>
  <c r="CX62" i="1"/>
  <c r="AY62" i="1" s="1"/>
  <c r="BA62" i="1" s="1"/>
  <c r="BI61" i="1"/>
  <c r="BM61" i="1" s="1"/>
  <c r="BN61" i="1" s="1"/>
  <c r="BJ61" i="1"/>
  <c r="AK59" i="1"/>
  <c r="L59" i="1"/>
  <c r="K59" i="1" s="1"/>
  <c r="M59" i="1"/>
  <c r="AZ59" i="1" s="1"/>
  <c r="BB59" i="1" s="1"/>
  <c r="N59" i="1"/>
  <c r="AD41" i="1"/>
  <c r="BJ52" i="1"/>
  <c r="BH52" i="1"/>
  <c r="V51" i="1"/>
  <c r="CX51" i="1"/>
  <c r="AY51" i="1" s="1"/>
  <c r="BA51" i="1" s="1"/>
  <c r="Q49" i="1"/>
  <c r="AK49" i="1"/>
  <c r="M49" i="1"/>
  <c r="AZ49" i="1" s="1"/>
  <c r="N49" i="1"/>
  <c r="L49" i="1"/>
  <c r="K49" i="1" s="1"/>
  <c r="AK46" i="1"/>
  <c r="L46" i="1"/>
  <c r="K46" i="1" s="1"/>
  <c r="M46" i="1"/>
  <c r="AZ46" i="1" s="1"/>
  <c r="BB46" i="1" s="1"/>
  <c r="Q46" i="1"/>
  <c r="AE42" i="1"/>
  <c r="AF42" i="1"/>
  <c r="Y42" i="1"/>
  <c r="AC42" i="1" s="1"/>
  <c r="Z56" i="1"/>
  <c r="AD54" i="1"/>
  <c r="L61" i="1"/>
  <c r="K61" i="1" s="1"/>
  <c r="W61" i="1" s="1"/>
  <c r="X61" i="1" s="1"/>
  <c r="L57" i="1"/>
  <c r="K57" i="1" s="1"/>
  <c r="BJ55" i="1"/>
  <c r="Q55" i="1"/>
  <c r="N54" i="1"/>
  <c r="BB53" i="1"/>
  <c r="V49" i="1"/>
  <c r="CX49" i="1"/>
  <c r="AY49" i="1" s="1"/>
  <c r="BA49" i="1" s="1"/>
  <c r="W44" i="1"/>
  <c r="X44" i="1" s="1"/>
  <c r="BH43" i="1"/>
  <c r="BJ43" i="1"/>
  <c r="BA42" i="1"/>
  <c r="BJ60" i="1"/>
  <c r="Q52" i="1"/>
  <c r="L52" i="1"/>
  <c r="K52" i="1" s="1"/>
  <c r="W52" i="1" s="1"/>
  <c r="X52" i="1" s="1"/>
  <c r="M52" i="1"/>
  <c r="AZ52" i="1" s="1"/>
  <c r="BB52" i="1" s="1"/>
  <c r="BA37" i="1"/>
  <c r="BI60" i="1"/>
  <c r="BM60" i="1" s="1"/>
  <c r="BN60" i="1" s="1"/>
  <c r="BI56" i="1"/>
  <c r="BM56" i="1" s="1"/>
  <c r="BN56" i="1" s="1"/>
  <c r="V55" i="1"/>
  <c r="AK55" i="1"/>
  <c r="M55" i="1"/>
  <c r="AZ55" i="1" s="1"/>
  <c r="BB55" i="1" s="1"/>
  <c r="Z53" i="1"/>
  <c r="Z49" i="1"/>
  <c r="BI48" i="1"/>
  <c r="BM48" i="1" s="1"/>
  <c r="BN48" i="1" s="1"/>
  <c r="BJ48" i="1"/>
  <c r="M47" i="1"/>
  <c r="AZ47" i="1" s="1"/>
  <c r="N47" i="1"/>
  <c r="Q47" i="1"/>
  <c r="BH44" i="1"/>
  <c r="BI44" i="1"/>
  <c r="BM44" i="1" s="1"/>
  <c r="BN44" i="1" s="1"/>
  <c r="BJ44" i="1"/>
  <c r="V29" i="1"/>
  <c r="CX29" i="1"/>
  <c r="AY29" i="1" s="1"/>
  <c r="V23" i="1"/>
  <c r="CX23" i="1"/>
  <c r="AY23" i="1" s="1"/>
  <c r="BA23" i="1" s="1"/>
  <c r="CX60" i="1"/>
  <c r="AY60" i="1" s="1"/>
  <c r="BA60" i="1" s="1"/>
  <c r="CX56" i="1"/>
  <c r="AY56" i="1" s="1"/>
  <c r="BA56" i="1" s="1"/>
  <c r="L55" i="1"/>
  <c r="K55" i="1" s="1"/>
  <c r="BH51" i="1"/>
  <c r="BI51" i="1"/>
  <c r="BM51" i="1" s="1"/>
  <c r="BN51" i="1" s="1"/>
  <c r="AK51" i="1"/>
  <c r="AK47" i="1"/>
  <c r="L47" i="1"/>
  <c r="K47" i="1" s="1"/>
  <c r="W47" i="1" s="1"/>
  <c r="X47" i="1" s="1"/>
  <c r="V45" i="1"/>
  <c r="Z44" i="1"/>
  <c r="V53" i="1"/>
  <c r="CX53" i="1"/>
  <c r="AY53" i="1" s="1"/>
  <c r="BA53" i="1" s="1"/>
  <c r="BH42" i="1"/>
  <c r="BI42" i="1"/>
  <c r="BM42" i="1" s="1"/>
  <c r="BN42" i="1" s="1"/>
  <c r="BJ42" i="1"/>
  <c r="N40" i="1"/>
  <c r="L40" i="1"/>
  <c r="K40" i="1" s="1"/>
  <c r="M40" i="1"/>
  <c r="AZ40" i="1" s="1"/>
  <c r="AK40" i="1"/>
  <c r="BH39" i="1"/>
  <c r="BJ39" i="1"/>
  <c r="BI39" i="1"/>
  <c r="BM39" i="1" s="1"/>
  <c r="BN39" i="1" s="1"/>
  <c r="L38" i="1"/>
  <c r="K38" i="1" s="1"/>
  <c r="N38" i="1"/>
  <c r="AK38" i="1"/>
  <c r="M38" i="1"/>
  <c r="AZ38" i="1" s="1"/>
  <c r="V36" i="1"/>
  <c r="CX36" i="1"/>
  <c r="AY36" i="1" s="1"/>
  <c r="BA36" i="1" s="1"/>
  <c r="BA34" i="1"/>
  <c r="Z47" i="1"/>
  <c r="AK31" i="1"/>
  <c r="N31" i="1"/>
  <c r="Q31" i="1"/>
  <c r="L31" i="1"/>
  <c r="K31" i="1" s="1"/>
  <c r="M31" i="1"/>
  <c r="AZ31" i="1" s="1"/>
  <c r="CX45" i="1"/>
  <c r="AY45" i="1" s="1"/>
  <c r="BA45" i="1" s="1"/>
  <c r="M42" i="1"/>
  <c r="AZ42" i="1" s="1"/>
  <c r="BB42" i="1" s="1"/>
  <c r="BB34" i="1"/>
  <c r="BA29" i="1"/>
  <c r="M28" i="1"/>
  <c r="AZ28" i="1" s="1"/>
  <c r="BB28" i="1" s="1"/>
  <c r="Q28" i="1"/>
  <c r="N28" i="1"/>
  <c r="AK28" i="1"/>
  <c r="L28" i="1"/>
  <c r="K28" i="1" s="1"/>
  <c r="BH27" i="1"/>
  <c r="BI27" i="1"/>
  <c r="BM27" i="1" s="1"/>
  <c r="BN27" i="1" s="1"/>
  <c r="V43" i="1"/>
  <c r="L43" i="1"/>
  <c r="K43" i="1" s="1"/>
  <c r="N43" i="1"/>
  <c r="T42" i="1"/>
  <c r="R42" i="1" s="1"/>
  <c r="U42" i="1" s="1"/>
  <c r="O42" i="1" s="1"/>
  <c r="P42" i="1" s="1"/>
  <c r="V40" i="1"/>
  <c r="CX40" i="1"/>
  <c r="AY40" i="1" s="1"/>
  <c r="BA40" i="1" s="1"/>
  <c r="Q37" i="1"/>
  <c r="L37" i="1"/>
  <c r="K37" i="1" s="1"/>
  <c r="M37" i="1"/>
  <c r="AZ37" i="1" s="1"/>
  <c r="BB37" i="1" s="1"/>
  <c r="N36" i="1"/>
  <c r="AK36" i="1"/>
  <c r="CX25" i="1"/>
  <c r="AY25" i="1" s="1"/>
  <c r="BA25" i="1" s="1"/>
  <c r="BH23" i="1"/>
  <c r="BI23" i="1"/>
  <c r="BM23" i="1" s="1"/>
  <c r="BN23" i="1" s="1"/>
  <c r="BJ23" i="1"/>
  <c r="BI47" i="1"/>
  <c r="BM47" i="1" s="1"/>
  <c r="BN47" i="1" s="1"/>
  <c r="BH41" i="1"/>
  <c r="L39" i="1"/>
  <c r="K39" i="1" s="1"/>
  <c r="N39" i="1"/>
  <c r="N37" i="1"/>
  <c r="BH36" i="1"/>
  <c r="BI36" i="1"/>
  <c r="BM36" i="1" s="1"/>
  <c r="BN36" i="1" s="1"/>
  <c r="BJ36" i="1"/>
  <c r="M36" i="1"/>
  <c r="AZ36" i="1" s="1"/>
  <c r="CX47" i="1"/>
  <c r="AY47" i="1" s="1"/>
  <c r="BA47" i="1" s="1"/>
  <c r="Q42" i="1"/>
  <c r="CX41" i="1"/>
  <c r="AY41" i="1" s="1"/>
  <c r="BA41" i="1" s="1"/>
  <c r="BB41" i="1"/>
  <c r="L36" i="1"/>
  <c r="K36" i="1" s="1"/>
  <c r="V34" i="1"/>
  <c r="Q32" i="1"/>
  <c r="L32" i="1"/>
  <c r="K32" i="1" s="1"/>
  <c r="W32" i="1" s="1"/>
  <c r="X32" i="1" s="1"/>
  <c r="M32" i="1"/>
  <c r="AZ32" i="1" s="1"/>
  <c r="BB32" i="1" s="1"/>
  <c r="AK32" i="1"/>
  <c r="N32" i="1"/>
  <c r="W30" i="1"/>
  <c r="X30" i="1" s="1"/>
  <c r="AE30" i="1" s="1"/>
  <c r="V27" i="1"/>
  <c r="CX27" i="1"/>
  <c r="AY27" i="1" s="1"/>
  <c r="BA27" i="1" s="1"/>
  <c r="V39" i="1"/>
  <c r="CX39" i="1"/>
  <c r="AY39" i="1" s="1"/>
  <c r="BA39" i="1" s="1"/>
  <c r="V38" i="1"/>
  <c r="CX38" i="1"/>
  <c r="AY38" i="1" s="1"/>
  <c r="BA38" i="1" s="1"/>
  <c r="L35" i="1"/>
  <c r="K35" i="1" s="1"/>
  <c r="M35" i="1"/>
  <c r="AZ35" i="1" s="1"/>
  <c r="N35" i="1"/>
  <c r="Q35" i="1"/>
  <c r="BH31" i="1"/>
  <c r="BI31" i="1"/>
  <c r="BM31" i="1" s="1"/>
  <c r="BN31" i="1" s="1"/>
  <c r="AK27" i="1"/>
  <c r="N27" i="1"/>
  <c r="Q27" i="1"/>
  <c r="L27" i="1"/>
  <c r="K27" i="1" s="1"/>
  <c r="BB33" i="1"/>
  <c r="BA30" i="1"/>
  <c r="BA26" i="1"/>
  <c r="AK23" i="1"/>
  <c r="L23" i="1"/>
  <c r="K23" i="1" s="1"/>
  <c r="N23" i="1"/>
  <c r="AK20" i="1"/>
  <c r="L20" i="1"/>
  <c r="K20" i="1" s="1"/>
  <c r="M20" i="1"/>
  <c r="AZ20" i="1" s="1"/>
  <c r="BB20" i="1" s="1"/>
  <c r="N20" i="1"/>
  <c r="Q20" i="1"/>
  <c r="BJ33" i="1"/>
  <c r="L33" i="1"/>
  <c r="K33" i="1" s="1"/>
  <c r="BA32" i="1"/>
  <c r="V31" i="1"/>
  <c r="CX31" i="1"/>
  <c r="AY31" i="1" s="1"/>
  <c r="BA31" i="1" s="1"/>
  <c r="Q29" i="1"/>
  <c r="Q25" i="1"/>
  <c r="L24" i="1"/>
  <c r="K24" i="1" s="1"/>
  <c r="M24" i="1"/>
  <c r="AZ24" i="1" s="1"/>
  <c r="BB24" i="1" s="1"/>
  <c r="N24" i="1"/>
  <c r="Q24" i="1"/>
  <c r="V19" i="1"/>
  <c r="BA22" i="1"/>
  <c r="W21" i="1"/>
  <c r="X21" i="1" s="1"/>
  <c r="Q19" i="1"/>
  <c r="AK19" i="1"/>
  <c r="L19" i="1"/>
  <c r="K19" i="1" s="1"/>
  <c r="M19" i="1"/>
  <c r="AZ19" i="1" s="1"/>
  <c r="N19" i="1"/>
  <c r="W17" i="1"/>
  <c r="X17" i="1" s="1"/>
  <c r="CX35" i="1"/>
  <c r="AY35" i="1" s="1"/>
  <c r="BA35" i="1" s="1"/>
  <c r="Q34" i="1"/>
  <c r="BH32" i="1"/>
  <c r="N29" i="1"/>
  <c r="N25" i="1"/>
  <c r="M21" i="1"/>
  <c r="AZ21" i="1" s="1"/>
  <c r="BB21" i="1" s="1"/>
  <c r="N21" i="1"/>
  <c r="Q21" i="1"/>
  <c r="AK21" i="1"/>
  <c r="M17" i="1"/>
  <c r="AZ17" i="1" s="1"/>
  <c r="N17" i="1"/>
  <c r="Q17" i="1"/>
  <c r="AK17" i="1"/>
  <c r="Q33" i="1"/>
  <c r="Q30" i="1"/>
  <c r="L30" i="1"/>
  <c r="K30" i="1" s="1"/>
  <c r="M30" i="1"/>
  <c r="AZ30" i="1" s="1"/>
  <c r="BB30" i="1" s="1"/>
  <c r="M29" i="1"/>
  <c r="AZ29" i="1" s="1"/>
  <c r="BB29" i="1" s="1"/>
  <c r="Q26" i="1"/>
  <c r="L26" i="1"/>
  <c r="K26" i="1" s="1"/>
  <c r="W26" i="1" s="1"/>
  <c r="X26" i="1" s="1"/>
  <c r="M26" i="1"/>
  <c r="AZ26" i="1" s="1"/>
  <c r="BB26" i="1" s="1"/>
  <c r="M25" i="1"/>
  <c r="AZ25" i="1" s="1"/>
  <c r="M23" i="1"/>
  <c r="AZ23" i="1" s="1"/>
  <c r="L29" i="1"/>
  <c r="K29" i="1" s="1"/>
  <c r="BA28" i="1"/>
  <c r="L25" i="1"/>
  <c r="K25" i="1" s="1"/>
  <c r="BA24" i="1"/>
  <c r="Z21" i="1"/>
  <c r="BA20" i="1"/>
  <c r="BA18" i="1"/>
  <c r="Z17" i="1"/>
  <c r="M22" i="1"/>
  <c r="AZ22" i="1" s="1"/>
  <c r="BB22" i="1" s="1"/>
  <c r="BI19" i="1"/>
  <c r="BM19" i="1" s="1"/>
  <c r="BN19" i="1" s="1"/>
  <c r="M18" i="1"/>
  <c r="AZ18" i="1" s="1"/>
  <c r="BB18" i="1" s="1"/>
  <c r="L22" i="1"/>
  <c r="K22" i="1" s="1"/>
  <c r="CX19" i="1"/>
  <c r="AY19" i="1" s="1"/>
  <c r="BA19" i="1" s="1"/>
  <c r="L18" i="1"/>
  <c r="K18" i="1" s="1"/>
  <c r="BJ21" i="1"/>
  <c r="BJ17" i="1"/>
  <c r="BI21" i="1"/>
  <c r="BM21" i="1" s="1"/>
  <c r="BN21" i="1" s="1"/>
  <c r="BI17" i="1"/>
  <c r="BM17" i="1" s="1"/>
  <c r="BN17" i="1" s="1"/>
  <c r="CX21" i="1"/>
  <c r="AY21" i="1" s="1"/>
  <c r="BA21" i="1" s="1"/>
  <c r="CX17" i="1"/>
  <c r="AY17" i="1" s="1"/>
  <c r="BA17" i="1" s="1"/>
  <c r="W25" i="1" l="1"/>
  <c r="X25" i="1" s="1"/>
  <c r="AF25" i="1" s="1"/>
  <c r="BB17" i="1"/>
  <c r="BB60" i="1"/>
  <c r="BB112" i="1"/>
  <c r="BB51" i="1"/>
  <c r="BB62" i="1"/>
  <c r="BA100" i="1"/>
  <c r="BB23" i="1"/>
  <c r="BB38" i="1"/>
  <c r="BB40" i="1"/>
  <c r="O83" i="1"/>
  <c r="P83" i="1" s="1"/>
  <c r="BB25" i="1"/>
  <c r="BB19" i="1"/>
  <c r="BB56" i="1"/>
  <c r="BB54" i="1"/>
  <c r="O92" i="1"/>
  <c r="P92" i="1" s="1"/>
  <c r="BB108" i="1"/>
  <c r="O94" i="1"/>
  <c r="P94" i="1" s="1"/>
  <c r="BB31" i="1"/>
  <c r="BB43" i="1"/>
  <c r="BB36" i="1"/>
  <c r="BB48" i="1"/>
  <c r="BB66" i="1"/>
  <c r="O90" i="1"/>
  <c r="P90" i="1" s="1"/>
  <c r="O98" i="1"/>
  <c r="P98" i="1" s="1"/>
  <c r="W86" i="1"/>
  <c r="X86" i="1" s="1"/>
  <c r="AG94" i="1"/>
  <c r="BB110" i="1"/>
  <c r="BB27" i="1"/>
  <c r="BB74" i="1"/>
  <c r="AG42" i="1"/>
  <c r="AF71" i="1"/>
  <c r="Y71" i="1"/>
  <c r="AC71" i="1" s="1"/>
  <c r="AE71" i="1"/>
  <c r="Y88" i="1"/>
  <c r="AC88" i="1" s="1"/>
  <c r="AE88" i="1"/>
  <c r="AF88" i="1"/>
  <c r="AF103" i="1"/>
  <c r="Y103" i="1"/>
  <c r="AC103" i="1" s="1"/>
  <c r="AE103" i="1"/>
  <c r="AF86" i="1"/>
  <c r="Y86" i="1"/>
  <c r="AC86" i="1" s="1"/>
  <c r="AE86" i="1"/>
  <c r="Y47" i="1"/>
  <c r="AC47" i="1" s="1"/>
  <c r="AF47" i="1"/>
  <c r="AE47" i="1"/>
  <c r="AF48" i="1"/>
  <c r="Y48" i="1"/>
  <c r="AC48" i="1" s="1"/>
  <c r="AE48" i="1"/>
  <c r="Y80" i="1"/>
  <c r="AC80" i="1" s="1"/>
  <c r="AE80" i="1"/>
  <c r="AF80" i="1"/>
  <c r="Y112" i="1"/>
  <c r="AC112" i="1" s="1"/>
  <c r="AF112" i="1"/>
  <c r="AE112" i="1"/>
  <c r="AF61" i="1"/>
  <c r="Y61" i="1"/>
  <c r="AC61" i="1" s="1"/>
  <c r="AE61" i="1"/>
  <c r="AF56" i="1"/>
  <c r="Y56" i="1"/>
  <c r="AC56" i="1" s="1"/>
  <c r="AE56" i="1"/>
  <c r="AF114" i="1"/>
  <c r="Y114" i="1"/>
  <c r="AC114" i="1" s="1"/>
  <c r="AE114" i="1"/>
  <c r="Y25" i="1"/>
  <c r="AC25" i="1" s="1"/>
  <c r="AF95" i="1"/>
  <c r="Y95" i="1"/>
  <c r="AC95" i="1" s="1"/>
  <c r="AE95" i="1"/>
  <c r="AF99" i="1"/>
  <c r="Y99" i="1"/>
  <c r="AC99" i="1" s="1"/>
  <c r="AE99" i="1"/>
  <c r="AF52" i="1"/>
  <c r="Y52" i="1"/>
  <c r="AC52" i="1" s="1"/>
  <c r="AE52" i="1"/>
  <c r="AE68" i="1"/>
  <c r="AF68" i="1"/>
  <c r="Y68" i="1"/>
  <c r="AC68" i="1" s="1"/>
  <c r="AF73" i="1"/>
  <c r="Y73" i="1"/>
  <c r="AC73" i="1" s="1"/>
  <c r="AE73" i="1"/>
  <c r="Y79" i="1"/>
  <c r="AC79" i="1" s="1"/>
  <c r="AF79" i="1"/>
  <c r="AE79" i="1"/>
  <c r="AE101" i="1"/>
  <c r="AF101" i="1"/>
  <c r="Y101" i="1"/>
  <c r="AC101" i="1" s="1"/>
  <c r="T30" i="1"/>
  <c r="R30" i="1" s="1"/>
  <c r="U30" i="1" s="1"/>
  <c r="O30" i="1" s="1"/>
  <c r="P30" i="1" s="1"/>
  <c r="AD30" i="1"/>
  <c r="AD33" i="1"/>
  <c r="T33" i="1"/>
  <c r="R33" i="1" s="1"/>
  <c r="U33" i="1" s="1"/>
  <c r="O33" i="1" s="1"/>
  <c r="P33" i="1" s="1"/>
  <c r="W33" i="1"/>
  <c r="X33" i="1" s="1"/>
  <c r="AD43" i="1"/>
  <c r="AD40" i="1"/>
  <c r="BB47" i="1"/>
  <c r="W49" i="1"/>
  <c r="X49" i="1" s="1"/>
  <c r="AD65" i="1"/>
  <c r="W65" i="1"/>
  <c r="X65" i="1" s="1"/>
  <c r="T50" i="1"/>
  <c r="R50" i="1" s="1"/>
  <c r="U50" i="1" s="1"/>
  <c r="O50" i="1" s="1"/>
  <c r="P50" i="1" s="1"/>
  <c r="W50" i="1"/>
  <c r="X50" i="1" s="1"/>
  <c r="AD50" i="1"/>
  <c r="AD62" i="1"/>
  <c r="AF67" i="1"/>
  <c r="Y67" i="1"/>
  <c r="AC67" i="1" s="1"/>
  <c r="AE67" i="1"/>
  <c r="O76" i="1"/>
  <c r="P76" i="1" s="1"/>
  <c r="AE81" i="1"/>
  <c r="Y81" i="1"/>
  <c r="AC81" i="1" s="1"/>
  <c r="AF81" i="1"/>
  <c r="BB97" i="1"/>
  <c r="T101" i="1"/>
  <c r="R101" i="1" s="1"/>
  <c r="U101" i="1" s="1"/>
  <c r="O101" i="1" s="1"/>
  <c r="P101" i="1" s="1"/>
  <c r="AD101" i="1"/>
  <c r="Y77" i="1"/>
  <c r="AC77" i="1" s="1"/>
  <c r="AF77" i="1"/>
  <c r="AG77" i="1" s="1"/>
  <c r="BB96" i="1"/>
  <c r="AD105" i="1"/>
  <c r="W29" i="1"/>
  <c r="X29" i="1" s="1"/>
  <c r="AD46" i="1"/>
  <c r="W62" i="1"/>
  <c r="X62" i="1" s="1"/>
  <c r="T62" i="1" s="1"/>
  <c r="R62" i="1" s="1"/>
  <c r="U62" i="1" s="1"/>
  <c r="O62" i="1" s="1"/>
  <c r="P62" i="1" s="1"/>
  <c r="Y84" i="1"/>
  <c r="AC84" i="1" s="1"/>
  <c r="AE84" i="1"/>
  <c r="AF84" i="1"/>
  <c r="AD97" i="1"/>
  <c r="W108" i="1"/>
  <c r="X108" i="1" s="1"/>
  <c r="AD18" i="1"/>
  <c r="AF21" i="1"/>
  <c r="Y21" i="1"/>
  <c r="AC21" i="1" s="1"/>
  <c r="T21" i="1"/>
  <c r="R21" i="1" s="1"/>
  <c r="U21" i="1" s="1"/>
  <c r="O21" i="1" s="1"/>
  <c r="P21" i="1" s="1"/>
  <c r="AD24" i="1"/>
  <c r="W24" i="1"/>
  <c r="X24" i="1" s="1"/>
  <c r="T24" i="1" s="1"/>
  <c r="R24" i="1" s="1"/>
  <c r="U24" i="1" s="1"/>
  <c r="O24" i="1" s="1"/>
  <c r="P24" i="1" s="1"/>
  <c r="T20" i="1"/>
  <c r="R20" i="1" s="1"/>
  <c r="U20" i="1" s="1"/>
  <c r="O20" i="1" s="1"/>
  <c r="P20" i="1" s="1"/>
  <c r="AD20" i="1"/>
  <c r="W20" i="1"/>
  <c r="X20" i="1" s="1"/>
  <c r="AD39" i="1"/>
  <c r="AD37" i="1"/>
  <c r="W37" i="1"/>
  <c r="X37" i="1" s="1"/>
  <c r="T37" i="1" s="1"/>
  <c r="R37" i="1" s="1"/>
  <c r="U37" i="1" s="1"/>
  <c r="O37" i="1" s="1"/>
  <c r="P37" i="1" s="1"/>
  <c r="AF32" i="1"/>
  <c r="Y32" i="1"/>
  <c r="AC32" i="1" s="1"/>
  <c r="AE32" i="1"/>
  <c r="AD31" i="1"/>
  <c r="BB39" i="1"/>
  <c r="AF41" i="1"/>
  <c r="Y41" i="1"/>
  <c r="AC41" i="1" s="1"/>
  <c r="AE41" i="1"/>
  <c r="W64" i="1"/>
  <c r="X64" i="1" s="1"/>
  <c r="AD70" i="1"/>
  <c r="O77" i="1"/>
  <c r="P77" i="1" s="1"/>
  <c r="AD89" i="1"/>
  <c r="AE83" i="1"/>
  <c r="T69" i="1"/>
  <c r="R69" i="1" s="1"/>
  <c r="U69" i="1" s="1"/>
  <c r="O69" i="1" s="1"/>
  <c r="P69" i="1" s="1"/>
  <c r="AD69" i="1"/>
  <c r="T84" i="1"/>
  <c r="R84" i="1" s="1"/>
  <c r="U84" i="1" s="1"/>
  <c r="O84" i="1" s="1"/>
  <c r="P84" i="1" s="1"/>
  <c r="AD84" i="1"/>
  <c r="BB93" i="1"/>
  <c r="AD102" i="1"/>
  <c r="W102" i="1"/>
  <c r="X102" i="1" s="1"/>
  <c r="T102" i="1" s="1"/>
  <c r="R102" i="1" s="1"/>
  <c r="U102" i="1" s="1"/>
  <c r="O102" i="1" s="1"/>
  <c r="P102" i="1" s="1"/>
  <c r="T82" i="1"/>
  <c r="R82" i="1" s="1"/>
  <c r="U82" i="1" s="1"/>
  <c r="O82" i="1" s="1"/>
  <c r="P82" i="1" s="1"/>
  <c r="AD82" i="1"/>
  <c r="W38" i="1"/>
  <c r="X38" i="1" s="1"/>
  <c r="W43" i="1"/>
  <c r="X43" i="1" s="1"/>
  <c r="W51" i="1"/>
  <c r="X51" i="1" s="1"/>
  <c r="AD93" i="1"/>
  <c r="AF107" i="1"/>
  <c r="Y107" i="1"/>
  <c r="AC107" i="1" s="1"/>
  <c r="AD25" i="1"/>
  <c r="AF17" i="1"/>
  <c r="AG17" i="1" s="1"/>
  <c r="Y17" i="1"/>
  <c r="AC17" i="1" s="1"/>
  <c r="T17" i="1"/>
  <c r="R17" i="1" s="1"/>
  <c r="U17" i="1" s="1"/>
  <c r="O17" i="1" s="1"/>
  <c r="P17" i="1" s="1"/>
  <c r="W39" i="1"/>
  <c r="X39" i="1" s="1"/>
  <c r="AD32" i="1"/>
  <c r="T32" i="1"/>
  <c r="R32" i="1" s="1"/>
  <c r="U32" i="1" s="1"/>
  <c r="O32" i="1" s="1"/>
  <c r="P32" i="1" s="1"/>
  <c r="AE17" i="1"/>
  <c r="AD55" i="1"/>
  <c r="AD49" i="1"/>
  <c r="AD59" i="1"/>
  <c r="W59" i="1"/>
  <c r="X59" i="1" s="1"/>
  <c r="T59" i="1" s="1"/>
  <c r="R59" i="1" s="1"/>
  <c r="U59" i="1" s="1"/>
  <c r="O59" i="1" s="1"/>
  <c r="P59" i="1" s="1"/>
  <c r="W58" i="1"/>
  <c r="X58" i="1" s="1"/>
  <c r="AD44" i="1"/>
  <c r="T44" i="1"/>
  <c r="R44" i="1" s="1"/>
  <c r="U44" i="1" s="1"/>
  <c r="O44" i="1" s="1"/>
  <c r="P44" i="1" s="1"/>
  <c r="W78" i="1"/>
  <c r="X78" i="1" s="1"/>
  <c r="W57" i="1"/>
  <c r="X57" i="1" s="1"/>
  <c r="T57" i="1" s="1"/>
  <c r="R57" i="1" s="1"/>
  <c r="U57" i="1" s="1"/>
  <c r="O57" i="1" s="1"/>
  <c r="P57" i="1" s="1"/>
  <c r="W70" i="1"/>
  <c r="X70" i="1" s="1"/>
  <c r="BB78" i="1"/>
  <c r="AD79" i="1"/>
  <c r="T79" i="1"/>
  <c r="R79" i="1" s="1"/>
  <c r="U79" i="1" s="1"/>
  <c r="O79" i="1" s="1"/>
  <c r="P79" i="1" s="1"/>
  <c r="W109" i="1"/>
  <c r="X109" i="1" s="1"/>
  <c r="Y100" i="1"/>
  <c r="AC100" i="1" s="1"/>
  <c r="AF100" i="1"/>
  <c r="AG100" i="1" s="1"/>
  <c r="AD113" i="1"/>
  <c r="AD38" i="1"/>
  <c r="T48" i="1"/>
  <c r="R48" i="1" s="1"/>
  <c r="U48" i="1" s="1"/>
  <c r="O48" i="1" s="1"/>
  <c r="P48" i="1" s="1"/>
  <c r="AD48" i="1"/>
  <c r="T103" i="1"/>
  <c r="R103" i="1" s="1"/>
  <c r="U103" i="1" s="1"/>
  <c r="O103" i="1" s="1"/>
  <c r="P103" i="1" s="1"/>
  <c r="AD103" i="1"/>
  <c r="W22" i="1"/>
  <c r="X22" i="1" s="1"/>
  <c r="T22" i="1" s="1"/>
  <c r="R22" i="1" s="1"/>
  <c r="U22" i="1" s="1"/>
  <c r="O22" i="1" s="1"/>
  <c r="P22" i="1" s="1"/>
  <c r="AD22" i="1"/>
  <c r="T26" i="1"/>
  <c r="R26" i="1" s="1"/>
  <c r="U26" i="1" s="1"/>
  <c r="O26" i="1" s="1"/>
  <c r="P26" i="1" s="1"/>
  <c r="AD26" i="1"/>
  <c r="AE21" i="1"/>
  <c r="AD28" i="1"/>
  <c r="W28" i="1"/>
  <c r="X28" i="1" s="1"/>
  <c r="T28" i="1" s="1"/>
  <c r="R28" i="1" s="1"/>
  <c r="U28" i="1" s="1"/>
  <c r="O28" i="1" s="1"/>
  <c r="P28" i="1" s="1"/>
  <c r="T41" i="1"/>
  <c r="R41" i="1" s="1"/>
  <c r="U41" i="1" s="1"/>
  <c r="O41" i="1" s="1"/>
  <c r="P41" i="1" s="1"/>
  <c r="AD60" i="1"/>
  <c r="T60" i="1"/>
  <c r="R60" i="1" s="1"/>
  <c r="U60" i="1" s="1"/>
  <c r="O60" i="1" s="1"/>
  <c r="P60" i="1" s="1"/>
  <c r="AD74" i="1"/>
  <c r="BB58" i="1"/>
  <c r="T88" i="1"/>
  <c r="R88" i="1" s="1"/>
  <c r="U88" i="1" s="1"/>
  <c r="O88" i="1" s="1"/>
  <c r="P88" i="1" s="1"/>
  <c r="AD88" i="1"/>
  <c r="BB64" i="1"/>
  <c r="W96" i="1"/>
  <c r="X96" i="1" s="1"/>
  <c r="AE107" i="1"/>
  <c r="Y111" i="1"/>
  <c r="AC111" i="1" s="1"/>
  <c r="AF111" i="1"/>
  <c r="AG111" i="1" s="1"/>
  <c r="BB113" i="1"/>
  <c r="Y26" i="1"/>
  <c r="AC26" i="1" s="1"/>
  <c r="AF26" i="1"/>
  <c r="AE26" i="1"/>
  <c r="W53" i="1"/>
  <c r="X53" i="1" s="1"/>
  <c r="AD71" i="1"/>
  <c r="T71" i="1"/>
  <c r="R71" i="1" s="1"/>
  <c r="U71" i="1" s="1"/>
  <c r="O71" i="1" s="1"/>
  <c r="P71" i="1" s="1"/>
  <c r="W18" i="1"/>
  <c r="X18" i="1" s="1"/>
  <c r="AD29" i="1"/>
  <c r="W19" i="1"/>
  <c r="X19" i="1" s="1"/>
  <c r="AD23" i="1"/>
  <c r="W27" i="1"/>
  <c r="X27" i="1" s="1"/>
  <c r="T27" i="1" s="1"/>
  <c r="R27" i="1" s="1"/>
  <c r="U27" i="1" s="1"/>
  <c r="O27" i="1" s="1"/>
  <c r="P27" i="1" s="1"/>
  <c r="W34" i="1"/>
  <c r="X34" i="1" s="1"/>
  <c r="W40" i="1"/>
  <c r="X40" i="1" s="1"/>
  <c r="W36" i="1"/>
  <c r="X36" i="1" s="1"/>
  <c r="W45" i="1"/>
  <c r="X45" i="1" s="1"/>
  <c r="AD57" i="1"/>
  <c r="BB49" i="1"/>
  <c r="W54" i="1"/>
  <c r="X54" i="1" s="1"/>
  <c r="AD45" i="1"/>
  <c r="T45" i="1"/>
  <c r="R45" i="1" s="1"/>
  <c r="U45" i="1" s="1"/>
  <c r="O45" i="1" s="1"/>
  <c r="P45" i="1" s="1"/>
  <c r="Y69" i="1"/>
  <c r="AC69" i="1" s="1"/>
  <c r="AF69" i="1"/>
  <c r="W66" i="1"/>
  <c r="X66" i="1" s="1"/>
  <c r="T72" i="1"/>
  <c r="R72" i="1" s="1"/>
  <c r="U72" i="1" s="1"/>
  <c r="O72" i="1" s="1"/>
  <c r="P72" i="1" s="1"/>
  <c r="AD72" i="1"/>
  <c r="T68" i="1"/>
  <c r="R68" i="1" s="1"/>
  <c r="U68" i="1" s="1"/>
  <c r="O68" i="1" s="1"/>
  <c r="P68" i="1" s="1"/>
  <c r="AD68" i="1"/>
  <c r="AF82" i="1"/>
  <c r="AG82" i="1" s="1"/>
  <c r="Y82" i="1"/>
  <c r="AC82" i="1" s="1"/>
  <c r="AD64" i="1"/>
  <c r="T64" i="1"/>
  <c r="R64" i="1" s="1"/>
  <c r="U64" i="1" s="1"/>
  <c r="O64" i="1" s="1"/>
  <c r="P64" i="1" s="1"/>
  <c r="T91" i="1"/>
  <c r="R91" i="1" s="1"/>
  <c r="U91" i="1" s="1"/>
  <c r="O91" i="1" s="1"/>
  <c r="P91" i="1" s="1"/>
  <c r="AD91" i="1"/>
  <c r="W89" i="1"/>
  <c r="X89" i="1" s="1"/>
  <c r="AE76" i="1"/>
  <c r="AF76" i="1"/>
  <c r="Y76" i="1"/>
  <c r="AC76" i="1" s="1"/>
  <c r="T95" i="1"/>
  <c r="R95" i="1" s="1"/>
  <c r="U95" i="1" s="1"/>
  <c r="O95" i="1" s="1"/>
  <c r="P95" i="1" s="1"/>
  <c r="AD95" i="1"/>
  <c r="W104" i="1"/>
  <c r="X104" i="1" s="1"/>
  <c r="T67" i="1"/>
  <c r="R67" i="1" s="1"/>
  <c r="U67" i="1" s="1"/>
  <c r="O67" i="1" s="1"/>
  <c r="P67" i="1" s="1"/>
  <c r="Y92" i="1"/>
  <c r="AC92" i="1" s="1"/>
  <c r="AE92" i="1"/>
  <c r="AF92" i="1"/>
  <c r="T109" i="1"/>
  <c r="R109" i="1" s="1"/>
  <c r="U109" i="1" s="1"/>
  <c r="O109" i="1" s="1"/>
  <c r="P109" i="1" s="1"/>
  <c r="AD109" i="1"/>
  <c r="AD81" i="1"/>
  <c r="T81" i="1"/>
  <c r="R81" i="1" s="1"/>
  <c r="U81" i="1" s="1"/>
  <c r="O81" i="1" s="1"/>
  <c r="P81" i="1" s="1"/>
  <c r="T111" i="1"/>
  <c r="R111" i="1" s="1"/>
  <c r="U111" i="1" s="1"/>
  <c r="O111" i="1" s="1"/>
  <c r="P111" i="1" s="1"/>
  <c r="Y83" i="1"/>
  <c r="AC83" i="1" s="1"/>
  <c r="AF83" i="1"/>
  <c r="AG83" i="1" s="1"/>
  <c r="T19" i="1"/>
  <c r="R19" i="1" s="1"/>
  <c r="U19" i="1" s="1"/>
  <c r="O19" i="1" s="1"/>
  <c r="P19" i="1" s="1"/>
  <c r="AD19" i="1"/>
  <c r="W31" i="1"/>
  <c r="X31" i="1" s="1"/>
  <c r="AD27" i="1"/>
  <c r="BB35" i="1"/>
  <c r="Y30" i="1"/>
  <c r="AC30" i="1" s="1"/>
  <c r="AF30" i="1"/>
  <c r="AG30" i="1" s="1"/>
  <c r="AD36" i="1"/>
  <c r="T36" i="1"/>
  <c r="R36" i="1" s="1"/>
  <c r="U36" i="1" s="1"/>
  <c r="O36" i="1" s="1"/>
  <c r="P36" i="1" s="1"/>
  <c r="AD47" i="1"/>
  <c r="T47" i="1"/>
  <c r="R47" i="1" s="1"/>
  <c r="U47" i="1" s="1"/>
  <c r="O47" i="1" s="1"/>
  <c r="P47" i="1" s="1"/>
  <c r="AF44" i="1"/>
  <c r="Y44" i="1"/>
  <c r="AC44" i="1" s="1"/>
  <c r="T61" i="1"/>
  <c r="R61" i="1" s="1"/>
  <c r="U61" i="1" s="1"/>
  <c r="O61" i="1" s="1"/>
  <c r="P61" i="1" s="1"/>
  <c r="AD61" i="1"/>
  <c r="AE44" i="1"/>
  <c r="AD56" i="1"/>
  <c r="T56" i="1"/>
  <c r="R56" i="1" s="1"/>
  <c r="U56" i="1" s="1"/>
  <c r="O56" i="1" s="1"/>
  <c r="P56" i="1" s="1"/>
  <c r="AF60" i="1"/>
  <c r="Y60" i="1"/>
  <c r="AC60" i="1" s="1"/>
  <c r="W74" i="1"/>
  <c r="X74" i="1" s="1"/>
  <c r="T74" i="1" s="1"/>
  <c r="R74" i="1" s="1"/>
  <c r="U74" i="1" s="1"/>
  <c r="O74" i="1" s="1"/>
  <c r="P74" i="1" s="1"/>
  <c r="T58" i="1"/>
  <c r="R58" i="1" s="1"/>
  <c r="U58" i="1" s="1"/>
  <c r="O58" i="1" s="1"/>
  <c r="P58" i="1" s="1"/>
  <c r="AD58" i="1"/>
  <c r="AF90" i="1"/>
  <c r="AG90" i="1" s="1"/>
  <c r="Y90" i="1"/>
  <c r="AC90" i="1" s="1"/>
  <c r="Y87" i="1"/>
  <c r="AC87" i="1" s="1"/>
  <c r="AF87" i="1"/>
  <c r="T87" i="1"/>
  <c r="R87" i="1" s="1"/>
  <c r="U87" i="1" s="1"/>
  <c r="O87" i="1" s="1"/>
  <c r="P87" i="1" s="1"/>
  <c r="AD114" i="1"/>
  <c r="T114" i="1"/>
  <c r="R114" i="1" s="1"/>
  <c r="U114" i="1" s="1"/>
  <c r="O114" i="1" s="1"/>
  <c r="P114" i="1" s="1"/>
  <c r="AD75" i="1"/>
  <c r="BA105" i="1"/>
  <c r="BB105" i="1"/>
  <c r="T80" i="1"/>
  <c r="R80" i="1" s="1"/>
  <c r="U80" i="1" s="1"/>
  <c r="O80" i="1" s="1"/>
  <c r="P80" i="1" s="1"/>
  <c r="AD80" i="1"/>
  <c r="AE98" i="1"/>
  <c r="AF98" i="1"/>
  <c r="AG98" i="1" s="1"/>
  <c r="Y98" i="1"/>
  <c r="AC98" i="1" s="1"/>
  <c r="T86" i="1"/>
  <c r="R86" i="1" s="1"/>
  <c r="U86" i="1" s="1"/>
  <c r="O86" i="1" s="1"/>
  <c r="P86" i="1" s="1"/>
  <c r="AD86" i="1"/>
  <c r="T107" i="1"/>
  <c r="R107" i="1" s="1"/>
  <c r="U107" i="1" s="1"/>
  <c r="O107" i="1" s="1"/>
  <c r="P107" i="1" s="1"/>
  <c r="AD107" i="1"/>
  <c r="T112" i="1"/>
  <c r="R112" i="1" s="1"/>
  <c r="U112" i="1" s="1"/>
  <c r="O112" i="1" s="1"/>
  <c r="P112" i="1" s="1"/>
  <c r="AD112" i="1"/>
  <c r="AF106" i="1"/>
  <c r="AG106" i="1" s="1"/>
  <c r="Y106" i="1"/>
  <c r="AC106" i="1" s="1"/>
  <c r="AE106" i="1"/>
  <c r="AD35" i="1"/>
  <c r="W35" i="1"/>
  <c r="X35" i="1" s="1"/>
  <c r="T35" i="1" s="1"/>
  <c r="R35" i="1" s="1"/>
  <c r="U35" i="1" s="1"/>
  <c r="O35" i="1" s="1"/>
  <c r="P35" i="1" s="1"/>
  <c r="W46" i="1"/>
  <c r="X46" i="1" s="1"/>
  <c r="T46" i="1" s="1"/>
  <c r="R46" i="1" s="1"/>
  <c r="U46" i="1" s="1"/>
  <c r="O46" i="1" s="1"/>
  <c r="P46" i="1" s="1"/>
  <c r="W23" i="1"/>
  <c r="X23" i="1" s="1"/>
  <c r="T23" i="1" s="1"/>
  <c r="R23" i="1" s="1"/>
  <c r="U23" i="1" s="1"/>
  <c r="O23" i="1" s="1"/>
  <c r="P23" i="1" s="1"/>
  <c r="W55" i="1"/>
  <c r="X55" i="1" s="1"/>
  <c r="T52" i="1"/>
  <c r="R52" i="1" s="1"/>
  <c r="U52" i="1" s="1"/>
  <c r="O52" i="1" s="1"/>
  <c r="P52" i="1" s="1"/>
  <c r="AD52" i="1"/>
  <c r="BB45" i="1"/>
  <c r="AD63" i="1"/>
  <c r="W63" i="1"/>
  <c r="X63" i="1" s="1"/>
  <c r="T73" i="1"/>
  <c r="R73" i="1" s="1"/>
  <c r="U73" i="1" s="1"/>
  <c r="O73" i="1" s="1"/>
  <c r="P73" i="1" s="1"/>
  <c r="AD73" i="1"/>
  <c r="AE72" i="1"/>
  <c r="AF72" i="1"/>
  <c r="Y72" i="1"/>
  <c r="AC72" i="1" s="1"/>
  <c r="W75" i="1"/>
  <c r="X75" i="1" s="1"/>
  <c r="T75" i="1" s="1"/>
  <c r="R75" i="1" s="1"/>
  <c r="U75" i="1" s="1"/>
  <c r="O75" i="1" s="1"/>
  <c r="P75" i="1" s="1"/>
  <c r="AE85" i="1"/>
  <c r="Y85" i="1"/>
  <c r="AC85" i="1" s="1"/>
  <c r="AF85" i="1"/>
  <c r="Y91" i="1"/>
  <c r="AC91" i="1" s="1"/>
  <c r="AF91" i="1"/>
  <c r="AG91" i="1" s="1"/>
  <c r="AE87" i="1"/>
  <c r="W93" i="1"/>
  <c r="X93" i="1" s="1"/>
  <c r="T99" i="1"/>
  <c r="R99" i="1" s="1"/>
  <c r="U99" i="1" s="1"/>
  <c r="O99" i="1" s="1"/>
  <c r="P99" i="1" s="1"/>
  <c r="AD99" i="1"/>
  <c r="W105" i="1"/>
  <c r="X105" i="1" s="1"/>
  <c r="W97" i="1"/>
  <c r="X97" i="1" s="1"/>
  <c r="BB101" i="1"/>
  <c r="W113" i="1"/>
  <c r="X113" i="1" s="1"/>
  <c r="T106" i="1"/>
  <c r="R106" i="1" s="1"/>
  <c r="U106" i="1" s="1"/>
  <c r="O106" i="1" s="1"/>
  <c r="P106" i="1" s="1"/>
  <c r="AD110" i="1"/>
  <c r="W110" i="1"/>
  <c r="X110" i="1" s="1"/>
  <c r="T110" i="1" s="1"/>
  <c r="R110" i="1" s="1"/>
  <c r="U110" i="1" s="1"/>
  <c r="O110" i="1" s="1"/>
  <c r="P110" i="1" s="1"/>
  <c r="AG71" i="1" l="1"/>
  <c r="T25" i="1"/>
  <c r="R25" i="1" s="1"/>
  <c r="U25" i="1" s="1"/>
  <c r="O25" i="1" s="1"/>
  <c r="P25" i="1" s="1"/>
  <c r="AG41" i="1"/>
  <c r="AG101" i="1"/>
  <c r="AG48" i="1"/>
  <c r="AG72" i="1"/>
  <c r="AG79" i="1"/>
  <c r="AG84" i="1"/>
  <c r="AE25" i="1"/>
  <c r="AG60" i="1"/>
  <c r="AG69" i="1"/>
  <c r="Y89" i="1"/>
  <c r="AC89" i="1" s="1"/>
  <c r="AF89" i="1"/>
  <c r="AE89" i="1"/>
  <c r="AE18" i="1"/>
  <c r="AF18" i="1"/>
  <c r="Y18" i="1"/>
  <c r="AC18" i="1" s="1"/>
  <c r="AF70" i="1"/>
  <c r="AG70" i="1" s="1"/>
  <c r="Y70" i="1"/>
  <c r="AC70" i="1" s="1"/>
  <c r="AE70" i="1"/>
  <c r="Y108" i="1"/>
  <c r="AC108" i="1" s="1"/>
  <c r="AF108" i="1"/>
  <c r="AE108" i="1"/>
  <c r="T108" i="1"/>
  <c r="R108" i="1" s="1"/>
  <c r="U108" i="1" s="1"/>
  <c r="O108" i="1" s="1"/>
  <c r="P108" i="1" s="1"/>
  <c r="AF65" i="1"/>
  <c r="AG65" i="1" s="1"/>
  <c r="Y65" i="1"/>
  <c r="AC65" i="1" s="1"/>
  <c r="AE65" i="1"/>
  <c r="AG99" i="1"/>
  <c r="AF110" i="1"/>
  <c r="Y110" i="1"/>
  <c r="AC110" i="1" s="1"/>
  <c r="AE110" i="1"/>
  <c r="AF105" i="1"/>
  <c r="Y105" i="1"/>
  <c r="AC105" i="1" s="1"/>
  <c r="AE105" i="1"/>
  <c r="AG85" i="1"/>
  <c r="AF31" i="1"/>
  <c r="Y31" i="1"/>
  <c r="AC31" i="1" s="1"/>
  <c r="AE31" i="1"/>
  <c r="AF36" i="1"/>
  <c r="Y36" i="1"/>
  <c r="AC36" i="1" s="1"/>
  <c r="AE36" i="1"/>
  <c r="AF59" i="1"/>
  <c r="AG59" i="1" s="1"/>
  <c r="Y59" i="1"/>
  <c r="AC59" i="1" s="1"/>
  <c r="AE59" i="1"/>
  <c r="AF43" i="1"/>
  <c r="Y43" i="1"/>
  <c r="AC43" i="1" s="1"/>
  <c r="AE43" i="1"/>
  <c r="T43" i="1"/>
  <c r="R43" i="1" s="1"/>
  <c r="U43" i="1" s="1"/>
  <c r="O43" i="1" s="1"/>
  <c r="P43" i="1" s="1"/>
  <c r="AG68" i="1"/>
  <c r="AG114" i="1"/>
  <c r="AG112" i="1"/>
  <c r="AG103" i="1"/>
  <c r="AE97" i="1"/>
  <c r="AF97" i="1"/>
  <c r="Y97" i="1"/>
  <c r="AC97" i="1" s="1"/>
  <c r="AF55" i="1"/>
  <c r="Y55" i="1"/>
  <c r="AC55" i="1" s="1"/>
  <c r="AE55" i="1"/>
  <c r="Y104" i="1"/>
  <c r="AC104" i="1" s="1"/>
  <c r="AF104" i="1"/>
  <c r="AE104" i="1"/>
  <c r="T104" i="1"/>
  <c r="R104" i="1" s="1"/>
  <c r="U104" i="1" s="1"/>
  <c r="O104" i="1" s="1"/>
  <c r="P104" i="1" s="1"/>
  <c r="AF54" i="1"/>
  <c r="AE54" i="1"/>
  <c r="Y54" i="1"/>
  <c r="AC54" i="1" s="1"/>
  <c r="T54" i="1"/>
  <c r="R54" i="1" s="1"/>
  <c r="U54" i="1" s="1"/>
  <c r="O54" i="1" s="1"/>
  <c r="P54" i="1" s="1"/>
  <c r="Y109" i="1"/>
  <c r="AC109" i="1" s="1"/>
  <c r="AE109" i="1"/>
  <c r="AF109" i="1"/>
  <c r="AG109" i="1" s="1"/>
  <c r="AF57" i="1"/>
  <c r="Y57" i="1"/>
  <c r="AC57" i="1" s="1"/>
  <c r="AE57" i="1"/>
  <c r="T70" i="1"/>
  <c r="R70" i="1" s="1"/>
  <c r="U70" i="1" s="1"/>
  <c r="O70" i="1" s="1"/>
  <c r="P70" i="1" s="1"/>
  <c r="T31" i="1"/>
  <c r="R31" i="1" s="1"/>
  <c r="U31" i="1" s="1"/>
  <c r="O31" i="1" s="1"/>
  <c r="P31" i="1" s="1"/>
  <c r="T97" i="1"/>
  <c r="R97" i="1" s="1"/>
  <c r="U97" i="1" s="1"/>
  <c r="O97" i="1" s="1"/>
  <c r="P97" i="1" s="1"/>
  <c r="AG67" i="1"/>
  <c r="T65" i="1"/>
  <c r="R65" i="1" s="1"/>
  <c r="U65" i="1" s="1"/>
  <c r="O65" i="1" s="1"/>
  <c r="P65" i="1" s="1"/>
  <c r="Y33" i="1"/>
  <c r="AC33" i="1" s="1"/>
  <c r="AE33" i="1"/>
  <c r="AF33" i="1"/>
  <c r="AG47" i="1"/>
  <c r="AG88" i="1"/>
  <c r="Y66" i="1"/>
  <c r="AC66" i="1" s="1"/>
  <c r="AF66" i="1"/>
  <c r="AE66" i="1"/>
  <c r="T66" i="1"/>
  <c r="R66" i="1" s="1"/>
  <c r="U66" i="1" s="1"/>
  <c r="O66" i="1" s="1"/>
  <c r="P66" i="1" s="1"/>
  <c r="AF40" i="1"/>
  <c r="Y40" i="1"/>
  <c r="AC40" i="1" s="1"/>
  <c r="AE40" i="1"/>
  <c r="Y53" i="1"/>
  <c r="AC53" i="1" s="1"/>
  <c r="AF53" i="1"/>
  <c r="T53" i="1"/>
  <c r="R53" i="1" s="1"/>
  <c r="U53" i="1" s="1"/>
  <c r="O53" i="1" s="1"/>
  <c r="P53" i="1" s="1"/>
  <c r="AE53" i="1"/>
  <c r="AF39" i="1"/>
  <c r="AE39" i="1"/>
  <c r="Y39" i="1"/>
  <c r="AC39" i="1" s="1"/>
  <c r="AG107" i="1"/>
  <c r="AF38" i="1"/>
  <c r="AE38" i="1"/>
  <c r="Y38" i="1"/>
  <c r="AC38" i="1" s="1"/>
  <c r="T39" i="1"/>
  <c r="R39" i="1" s="1"/>
  <c r="U39" i="1" s="1"/>
  <c r="O39" i="1" s="1"/>
  <c r="P39" i="1" s="1"/>
  <c r="AE29" i="1"/>
  <c r="Y29" i="1"/>
  <c r="AC29" i="1" s="1"/>
  <c r="AF29" i="1"/>
  <c r="AG29" i="1" s="1"/>
  <c r="Y49" i="1"/>
  <c r="AC49" i="1" s="1"/>
  <c r="AF49" i="1"/>
  <c r="AE49" i="1"/>
  <c r="AG95" i="1"/>
  <c r="AG80" i="1"/>
  <c r="AF75" i="1"/>
  <c r="Y75" i="1"/>
  <c r="AC75" i="1" s="1"/>
  <c r="AE75" i="1"/>
  <c r="AF23" i="1"/>
  <c r="Y23" i="1"/>
  <c r="AC23" i="1" s="1"/>
  <c r="AE23" i="1"/>
  <c r="AF34" i="1"/>
  <c r="Y34" i="1"/>
  <c r="AC34" i="1" s="1"/>
  <c r="AE34" i="1"/>
  <c r="T34" i="1"/>
  <c r="R34" i="1" s="1"/>
  <c r="U34" i="1" s="1"/>
  <c r="O34" i="1" s="1"/>
  <c r="P34" i="1" s="1"/>
  <c r="Y19" i="1"/>
  <c r="AC19" i="1" s="1"/>
  <c r="AF19" i="1"/>
  <c r="AE19" i="1"/>
  <c r="Y78" i="1"/>
  <c r="AC78" i="1" s="1"/>
  <c r="AF78" i="1"/>
  <c r="AE78" i="1"/>
  <c r="T78" i="1"/>
  <c r="R78" i="1" s="1"/>
  <c r="U78" i="1" s="1"/>
  <c r="O78" i="1" s="1"/>
  <c r="P78" i="1" s="1"/>
  <c r="T49" i="1"/>
  <c r="R49" i="1" s="1"/>
  <c r="U49" i="1" s="1"/>
  <c r="O49" i="1" s="1"/>
  <c r="P49" i="1" s="1"/>
  <c r="AF20" i="1"/>
  <c r="Y20" i="1"/>
  <c r="AC20" i="1" s="1"/>
  <c r="AE20" i="1"/>
  <c r="AG21" i="1"/>
  <c r="AG81" i="1"/>
  <c r="AG56" i="1"/>
  <c r="AF63" i="1"/>
  <c r="Y63" i="1"/>
  <c r="AC63" i="1" s="1"/>
  <c r="AE63" i="1"/>
  <c r="Y113" i="1"/>
  <c r="AC113" i="1" s="1"/>
  <c r="AE113" i="1"/>
  <c r="AF113" i="1"/>
  <c r="AF93" i="1"/>
  <c r="Y93" i="1"/>
  <c r="AC93" i="1" s="1"/>
  <c r="AE93" i="1"/>
  <c r="T63" i="1"/>
  <c r="R63" i="1" s="1"/>
  <c r="U63" i="1" s="1"/>
  <c r="O63" i="1" s="1"/>
  <c r="P63" i="1" s="1"/>
  <c r="AF46" i="1"/>
  <c r="AG46" i="1" s="1"/>
  <c r="Y46" i="1"/>
  <c r="AC46" i="1" s="1"/>
  <c r="AE46" i="1"/>
  <c r="AF74" i="1"/>
  <c r="Y74" i="1"/>
  <c r="AC74" i="1" s="1"/>
  <c r="AE74" i="1"/>
  <c r="AG92" i="1"/>
  <c r="Y96" i="1"/>
  <c r="AC96" i="1" s="1"/>
  <c r="AF96" i="1"/>
  <c r="AG96" i="1" s="1"/>
  <c r="AE96" i="1"/>
  <c r="T96" i="1"/>
  <c r="R96" i="1" s="1"/>
  <c r="U96" i="1" s="1"/>
  <c r="O96" i="1" s="1"/>
  <c r="P96" i="1" s="1"/>
  <c r="T38" i="1"/>
  <c r="R38" i="1" s="1"/>
  <c r="U38" i="1" s="1"/>
  <c r="O38" i="1" s="1"/>
  <c r="P38" i="1" s="1"/>
  <c r="T93" i="1"/>
  <c r="R93" i="1" s="1"/>
  <c r="U93" i="1" s="1"/>
  <c r="O93" i="1" s="1"/>
  <c r="P93" i="1" s="1"/>
  <c r="AF64" i="1"/>
  <c r="Y64" i="1"/>
  <c r="AC64" i="1" s="1"/>
  <c r="AE64" i="1"/>
  <c r="T105" i="1"/>
  <c r="R105" i="1" s="1"/>
  <c r="U105" i="1" s="1"/>
  <c r="O105" i="1" s="1"/>
  <c r="P105" i="1" s="1"/>
  <c r="AG52" i="1"/>
  <c r="AG25" i="1"/>
  <c r="AF35" i="1"/>
  <c r="Y35" i="1"/>
  <c r="AC35" i="1" s="1"/>
  <c r="AE35" i="1"/>
  <c r="AG87" i="1"/>
  <c r="AG44" i="1"/>
  <c r="AG76" i="1"/>
  <c r="Y45" i="1"/>
  <c r="AC45" i="1" s="1"/>
  <c r="AE45" i="1"/>
  <c r="AF45" i="1"/>
  <c r="T29" i="1"/>
  <c r="R29" i="1" s="1"/>
  <c r="U29" i="1" s="1"/>
  <c r="O29" i="1" s="1"/>
  <c r="P29" i="1" s="1"/>
  <c r="AG26" i="1"/>
  <c r="AF22" i="1"/>
  <c r="Y22" i="1"/>
  <c r="AC22" i="1" s="1"/>
  <c r="AE22" i="1"/>
  <c r="T113" i="1"/>
  <c r="R113" i="1" s="1"/>
  <c r="U113" i="1" s="1"/>
  <c r="O113" i="1" s="1"/>
  <c r="P113" i="1" s="1"/>
  <c r="T55" i="1"/>
  <c r="R55" i="1" s="1"/>
  <c r="U55" i="1" s="1"/>
  <c r="O55" i="1" s="1"/>
  <c r="P55" i="1" s="1"/>
  <c r="AF102" i="1"/>
  <c r="Y102" i="1"/>
  <c r="AC102" i="1" s="1"/>
  <c r="AE102" i="1"/>
  <c r="AG32" i="1"/>
  <c r="T18" i="1"/>
  <c r="R18" i="1" s="1"/>
  <c r="U18" i="1" s="1"/>
  <c r="O18" i="1" s="1"/>
  <c r="P18" i="1" s="1"/>
  <c r="Y62" i="1"/>
  <c r="AC62" i="1" s="1"/>
  <c r="AE62" i="1"/>
  <c r="AF62" i="1"/>
  <c r="AG62" i="1" s="1"/>
  <c r="AF50" i="1"/>
  <c r="Y50" i="1"/>
  <c r="AC50" i="1" s="1"/>
  <c r="AE50" i="1"/>
  <c r="T40" i="1"/>
  <c r="R40" i="1" s="1"/>
  <c r="U40" i="1" s="1"/>
  <c r="O40" i="1" s="1"/>
  <c r="P40" i="1" s="1"/>
  <c r="AG86" i="1"/>
  <c r="AF27" i="1"/>
  <c r="Y27" i="1"/>
  <c r="AC27" i="1" s="1"/>
  <c r="AE27" i="1"/>
  <c r="AF28" i="1"/>
  <c r="Y28" i="1"/>
  <c r="AC28" i="1" s="1"/>
  <c r="AE28" i="1"/>
  <c r="Y58" i="1"/>
  <c r="AC58" i="1" s="1"/>
  <c r="AF58" i="1"/>
  <c r="AE58" i="1"/>
  <c r="Y51" i="1"/>
  <c r="AC51" i="1" s="1"/>
  <c r="AF51" i="1"/>
  <c r="AG51" i="1" s="1"/>
  <c r="T51" i="1"/>
  <c r="R51" i="1" s="1"/>
  <c r="U51" i="1" s="1"/>
  <c r="O51" i="1" s="1"/>
  <c r="P51" i="1" s="1"/>
  <c r="AE51" i="1"/>
  <c r="T89" i="1"/>
  <c r="R89" i="1" s="1"/>
  <c r="U89" i="1" s="1"/>
  <c r="O89" i="1" s="1"/>
  <c r="P89" i="1" s="1"/>
  <c r="AF37" i="1"/>
  <c r="Y37" i="1"/>
  <c r="AC37" i="1" s="1"/>
  <c r="AE37" i="1"/>
  <c r="AF24" i="1"/>
  <c r="Y24" i="1"/>
  <c r="AC24" i="1" s="1"/>
  <c r="AE24" i="1"/>
  <c r="AG73" i="1"/>
  <c r="AG61" i="1"/>
  <c r="AG20" i="1" l="1"/>
  <c r="AG33" i="1"/>
  <c r="AG55" i="1"/>
  <c r="AG105" i="1"/>
  <c r="AG18" i="1"/>
  <c r="AG58" i="1"/>
  <c r="AG37" i="1"/>
  <c r="AG63" i="1"/>
  <c r="AG39" i="1"/>
  <c r="AG43" i="1"/>
  <c r="AG110" i="1"/>
  <c r="AG89" i="1"/>
  <c r="AG28" i="1"/>
  <c r="AG50" i="1"/>
  <c r="AG102" i="1"/>
  <c r="AG45" i="1"/>
  <c r="AG35" i="1"/>
  <c r="AG113" i="1"/>
  <c r="AG53" i="1"/>
  <c r="AG19" i="1"/>
  <c r="AG74" i="1"/>
  <c r="AG49" i="1"/>
  <c r="AG38" i="1"/>
  <c r="AG24" i="1"/>
  <c r="AG23" i="1"/>
  <c r="AG27" i="1"/>
  <c r="AG40" i="1"/>
  <c r="AG54" i="1"/>
  <c r="AG36" i="1"/>
  <c r="AG22" i="1"/>
  <c r="AG75" i="1"/>
  <c r="AG57" i="1"/>
  <c r="AG97" i="1"/>
  <c r="AG108" i="1"/>
  <c r="AG64" i="1"/>
  <c r="AG93" i="1"/>
  <c r="AG78" i="1"/>
  <c r="AG34" i="1"/>
  <c r="AG66" i="1"/>
  <c r="AG104" i="1"/>
  <c r="AG31" i="1"/>
</calcChain>
</file>

<file path=xl/sharedStrings.xml><?xml version="1.0" encoding="utf-8"?>
<sst xmlns="http://schemas.openxmlformats.org/spreadsheetml/2006/main" count="2590" uniqueCount="920">
  <si>
    <t>File opened</t>
  </si>
  <si>
    <t>2023-08-04 08:50:52</t>
  </si>
  <si>
    <t>Console s/n</t>
  </si>
  <si>
    <t>68C-812063</t>
  </si>
  <si>
    <t>Console ver</t>
  </si>
  <si>
    <t>Bluestem v.2.1.08</t>
  </si>
  <si>
    <t>Scripts ver</t>
  </si>
  <si>
    <t>2022.05  2.1.08, Aug 2022</t>
  </si>
  <si>
    <t>Head s/n</t>
  </si>
  <si>
    <t>68H-712053</t>
  </si>
  <si>
    <t>Head ver</t>
  </si>
  <si>
    <t>1.4.22</t>
  </si>
  <si>
    <t>Head cal</t>
  </si>
  <si>
    <t>{"oxygen": "21", "co2azero": "0.895067", "co2aspan1": "1.00205", "co2aspan2": "-0.0349916", "co2aspan2a": "0.31071", "co2aspan2b": "0.307968", "co2aspanconc1": "2473", "co2aspanconc2": "301.4", "co2bzero": "0.938312", "co2bspan1": "1.00239", "co2bspan2": "-0.0370803", "co2bspan2a": "0.307851", "co2bspan2b": "0.305073", "co2bspanconc1": "2473", "co2bspanconc2": "301.4", "h2oazero": "1.03913", "h2oaspan1": "1.01365", "h2oaspan2": "0", "h2oaspan2a": "0.0728135", "h2oaspan2b": "0.0738075", "h2oaspanconc1": "12.42", "h2oaspanconc2": "0", "h2obzero": "1.04933", "h2obspan1": "0.997188", "h2obspan2": "0", "h2obspan2a": "0.0725159", "h2obspan2b": "0.072312", "h2obspanconc1": "12.42", "h2obspanconc2": "0", "tazero": "0.0634346", "tbzero": "0.156763", "flowmeterzero": "1.01393", "flowazero": "0.29105", "flowbzero": "0.31419", "chamberpressurezero": "2.66326", "ssa_ref": "32350", "ssb_ref": "32257.4"}</t>
  </si>
  <si>
    <t>CO2 rangematch</t>
  </si>
  <si>
    <t>Sat Jul 29 17:01</t>
  </si>
  <si>
    <t>H2O rangematch</t>
  </si>
  <si>
    <t>Sat Jul 29 16:55</t>
  </si>
  <si>
    <t>Chamber type</t>
  </si>
  <si>
    <t>6800-01A</t>
  </si>
  <si>
    <t>Chamber s/n</t>
  </si>
  <si>
    <t>MPF-281812</t>
  </si>
  <si>
    <t>Chamber rev</t>
  </si>
  <si>
    <t>0</t>
  </si>
  <si>
    <t>Chamber cal</t>
  </si>
  <si>
    <t>Fluorometer</t>
  </si>
  <si>
    <t>Flr. Version</t>
  </si>
  <si>
    <t>08:50:52</t>
  </si>
  <si>
    <t>Stability Definition:	A (GasEx): Slp&lt;0.7 Std&lt;0.2 Per=15	gsw (GasEx): Slp&lt;0.05 Std&lt;0.05 Per=15</t>
  </si>
  <si>
    <t>SysConst</t>
  </si>
  <si>
    <t>AvgTime</t>
  </si>
  <si>
    <t>1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</si>
  <si>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</si>
  <si>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</si>
  <si>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</si>
  <si>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</si>
  <si>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</si>
  <si>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</si>
  <si>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</si>
  <si>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</si>
  <si>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</si>
  <si>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</si>
  <si>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</si>
  <si>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</si>
  <si>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</si>
  <si>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</si>
  <si>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</si>
  <si>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</si>
  <si>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</si>
  <si>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</si>
  <si>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</si>
  <si>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</si>
  <si>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</si>
  <si>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</si>
  <si>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</si>
  <si>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</si>
  <si>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</si>
  <si>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</si>
  <si>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</si>
  <si>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</si>
  <si>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</si>
  <si>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</si>
  <si>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</si>
  <si>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</si>
  <si>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</si>
  <si>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</si>
  <si>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</si>
  <si>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</si>
  <si>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</si>
  <si>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</si>
  <si>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</si>
  <si>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</si>
  <si>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</si>
  <si>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</si>
  <si>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</si>
  <si>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</si>
  <si>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</si>
  <si>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</si>
  <si>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</si>
  <si>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</si>
  <si>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</si>
  <si>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4.79593 88.2533 381.915 624.206 858.285 1047.08 1207.34 1361.44</t>
  </si>
  <si>
    <t>Fs_true</t>
  </si>
  <si>
    <t>0.0252897 102.156 401.864 601.036 800.264 1000.91 1200.58 1401.72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</si>
  <si>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</si>
  <si>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</si>
  <si>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</si>
  <si>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</si>
  <si>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</si>
  <si>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</si>
  <si>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</si>
  <si>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</si>
  <si>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</si>
  <si>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</si>
  <si>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</si>
  <si>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</si>
  <si>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</si>
  <si>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</si>
  <si>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</si>
  <si>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</si>
  <si>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</si>
  <si>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</si>
  <si>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</si>
  <si>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</si>
  <si>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</si>
  <si>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</si>
  <si>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</si>
  <si>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</si>
  <si>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</si>
  <si>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</si>
  <si>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</si>
  <si>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</si>
  <si>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plot</t>
  </si>
  <si>
    <t>event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</si>
  <si>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</si>
  <si>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</si>
  <si>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</si>
  <si>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</si>
  <si>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</si>
  <si>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</si>
  <si>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</si>
  <si>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</si>
  <si>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</si>
  <si>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</si>
  <si>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</si>
  <si>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</si>
  <si>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</si>
  <si>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</si>
  <si>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</si>
  <si>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</si>
  <si>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</si>
  <si>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</si>
  <si>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</si>
  <si>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</si>
  <si>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</si>
  <si>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</si>
  <si>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</si>
  <si>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</si>
  <si>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</si>
  <si>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</si>
  <si>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</si>
  <si>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</si>
  <si>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</si>
  <si>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</si>
  <si>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</si>
  <si>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</si>
  <si>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</si>
  <si>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</si>
  <si>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</si>
  <si>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</si>
  <si>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</si>
  <si>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</si>
  <si>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</si>
  <si>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</si>
  <si>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</si>
  <si>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</si>
  <si>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</si>
  <si>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</si>
  <si>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</si>
  <si>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</si>
  <si>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</si>
  <si>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</si>
  <si>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</si>
  <si>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</si>
  <si>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</si>
  <si>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</si>
  <si>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</si>
  <si>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</si>
  <si>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</si>
  <si>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</si>
  <si>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</si>
  <si>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</si>
  <si>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</si>
  <si>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</si>
  <si>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</si>
  <si>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</si>
  <si>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</si>
  <si>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</si>
  <si>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</si>
  <si>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</si>
  <si>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</si>
  <si>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</si>
  <si>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</si>
  <si>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</si>
  <si>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</si>
  <si>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</si>
  <si>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</si>
  <si>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</si>
  <si>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</si>
  <si>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</si>
  <si>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</si>
  <si>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</si>
  <si>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</si>
  <si>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</si>
  <si>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</si>
  <si>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</si>
  <si>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</si>
  <si>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</si>
  <si>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</si>
  <si>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</si>
  <si>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</si>
  <si>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</si>
  <si>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</si>
  <si>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</si>
  <si>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</si>
  <si>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</si>
  <si>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</si>
  <si>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</si>
  <si>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</si>
  <si>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</si>
  <si>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</si>
  <si>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</si>
  <si>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</si>
  <si>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</si>
  <si>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</si>
  <si>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</si>
  <si>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</si>
  <si>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</si>
  <si>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</si>
  <si>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</si>
  <si>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</si>
  <si>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</si>
  <si>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</si>
  <si>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</si>
  <si>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</si>
  <si>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</si>
  <si>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</si>
  <si>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</si>
  <si>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</si>
  <si>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</si>
  <si>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</si>
  <si>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</si>
  <si>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</si>
  <si>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</si>
  <si>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</si>
  <si>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</si>
  <si>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</si>
  <si>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</si>
  <si>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</si>
  <si>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</si>
  <si>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</si>
  <si>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</si>
  <si>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</si>
  <si>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</si>
  <si>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</si>
  <si>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</si>
  <si>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</si>
  <si>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</si>
  <si>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</si>
  <si>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</si>
  <si>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</si>
  <si>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</si>
  <si>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</si>
  <si>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</si>
  <si>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</si>
  <si>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</si>
  <si>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</si>
  <si>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</si>
  <si>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</si>
  <si>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</si>
  <si>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</si>
  <si>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</si>
  <si>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</si>
  <si>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</si>
  <si>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</si>
  <si>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</si>
  <si>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</si>
  <si>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</si>
  <si>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</si>
  <si>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</si>
  <si>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</si>
  <si>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</si>
  <si>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</si>
  <si>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</si>
  <si>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</si>
  <si>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</si>
  <si>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</si>
  <si>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</si>
  <si>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</si>
  <si>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</si>
  <si>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</si>
  <si>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</si>
  <si>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</si>
  <si>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</si>
  <si>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</si>
  <si>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</si>
  <si>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</si>
  <si>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</si>
  <si>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</si>
  <si>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</si>
  <si>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</si>
  <si>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</si>
  <si>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</si>
  <si>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</si>
  <si>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</si>
  <si>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</si>
  <si>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</si>
  <si>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</si>
  <si>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</si>
  <si>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</si>
  <si>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</si>
  <si>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</si>
  <si>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</si>
  <si>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</si>
  <si>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</si>
  <si>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</si>
  <si>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</si>
  <si>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</si>
  <si>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</si>
  <si>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</si>
  <si>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</si>
  <si>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</si>
  <si>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</si>
  <si>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</si>
  <si>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</si>
  <si>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</si>
  <si>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</si>
  <si>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</si>
  <si>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</si>
  <si>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</si>
  <si>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</si>
  <si>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</si>
  <si>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</si>
  <si>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</si>
  <si>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</si>
  <si>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</si>
  <si>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</si>
  <si>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</si>
  <si>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</si>
  <si>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</si>
  <si>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</si>
  <si>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</si>
  <si>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</si>
  <si>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</si>
  <si>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</si>
  <si>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</si>
  <si>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</si>
  <si>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</si>
  <si>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</si>
  <si>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</si>
  <si>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</si>
  <si>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</si>
  <si>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</si>
  <si>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</si>
  <si>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</si>
  <si>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</si>
  <si>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</si>
  <si>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</si>
  <si>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</si>
  <si>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</si>
  <si>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</si>
  <si>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</si>
  <si>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</si>
  <si>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</si>
  <si>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</si>
  <si>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</si>
  <si>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</si>
  <si>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</si>
  <si>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</si>
  <si>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</si>
  <si>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</si>
  <si>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</si>
  <si>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</si>
  <si>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</si>
  <si>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</si>
  <si>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</si>
  <si>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</si>
  <si>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</si>
  <si>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</si>
  <si>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</si>
  <si>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</si>
  <si>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</si>
  <si>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</si>
  <si>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</si>
  <si>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</si>
  <si>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</si>
  <si>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</si>
  <si>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</si>
  <si>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</si>
  <si>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</si>
  <si>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</si>
  <si>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</si>
  <si>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</si>
  <si>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</si>
  <si>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</si>
  <si>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</si>
  <si>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</si>
  <si>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</si>
  <si>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</si>
  <si>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</si>
  <si>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</si>
  <si>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</si>
  <si>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</si>
  <si>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</si>
  <si>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</si>
  <si>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</si>
  <si>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</si>
  <si>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</si>
  <si>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</si>
  <si>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</si>
  <si>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</si>
  <si>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</si>
  <si>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</si>
  <si>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</si>
  <si>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</si>
  <si>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</si>
  <si>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</si>
  <si>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</si>
  <si>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</si>
  <si>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</si>
  <si>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</si>
  <si>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none</t>
  </si>
  <si>
    <t>zg5b</t>
  </si>
  <si>
    <t>2</t>
  </si>
  <si>
    <t>RECT-1150-20230728-06_47_27</t>
  </si>
  <si>
    <t>0: Broadleaf</t>
  </si>
  <si>
    <t>2/2</t>
  </si>
  <si>
    <t>10111111</t>
  </si>
  <si>
    <t>oioooooo</t>
  </si>
  <si>
    <t>off</t>
  </si>
  <si>
    <t>on</t>
  </si>
  <si>
    <t>1/2</t>
  </si>
  <si>
    <t>wt</t>
  </si>
  <si>
    <t>20230804 10:32:43</t>
  </si>
  <si>
    <t>10:32:43</t>
  </si>
  <si>
    <t>MPF-1431-20230804-10_32_38</t>
  </si>
  <si>
    <t>DARK-1432-20230804-10_32_46</t>
  </si>
  <si>
    <t>10:32:13</t>
  </si>
  <si>
    <t>20230804 10:34:25</t>
  </si>
  <si>
    <t>10:34:25</t>
  </si>
  <si>
    <t>MPF-1433-20230804-10_34_21</t>
  </si>
  <si>
    <t>DARK-1434-20230804-10_34_28</t>
  </si>
  <si>
    <t>10:33:58</t>
  </si>
  <si>
    <t>20230804 10:36:05</t>
  </si>
  <si>
    <t>10:36:05</t>
  </si>
  <si>
    <t>MPF-1435-20230804-10_36_01</t>
  </si>
  <si>
    <t>DARK-1436-20230804-10_36_08</t>
  </si>
  <si>
    <t>10:35:37</t>
  </si>
  <si>
    <t>20230804 10:37:48</t>
  </si>
  <si>
    <t>10:37:48</t>
  </si>
  <si>
    <t>MPF-1437-20230804-10_37_43</t>
  </si>
  <si>
    <t>DARK-1438-20230804-10_37_51</t>
  </si>
  <si>
    <t>10:37:16</t>
  </si>
  <si>
    <t>20230804 10:39:58</t>
  </si>
  <si>
    <t>10:39:58</t>
  </si>
  <si>
    <t>MPF-1439-20230804-10_39_54</t>
  </si>
  <si>
    <t>DARK-1440-20230804-10_40_01</t>
  </si>
  <si>
    <t>10:39:29</t>
  </si>
  <si>
    <t>20230804 10:41:45</t>
  </si>
  <si>
    <t>10:41:45</t>
  </si>
  <si>
    <t>MPF-1441-20230804-10_41_40</t>
  </si>
  <si>
    <t>DARK-1442-20230804-10_41_48</t>
  </si>
  <si>
    <t>10:41:14</t>
  </si>
  <si>
    <t>20230804 10:43:26</t>
  </si>
  <si>
    <t>10:43:26</t>
  </si>
  <si>
    <t>MPF-1443-20230804-10_43_22</t>
  </si>
  <si>
    <t>DARK-1444-20230804-10_43_29</t>
  </si>
  <si>
    <t>10:42:54</t>
  </si>
  <si>
    <t>20230804 10:46:36</t>
  </si>
  <si>
    <t>10:46:36</t>
  </si>
  <si>
    <t>MPF-1445-20230804-10_46_31</t>
  </si>
  <si>
    <t>DARK-1446-20230804-10_46_39</t>
  </si>
  <si>
    <t>10:45:01</t>
  </si>
  <si>
    <t>20230804 10:48:36</t>
  </si>
  <si>
    <t>10:48:36</t>
  </si>
  <si>
    <t>MPF-1447-20230804-10_48_31</t>
  </si>
  <si>
    <t>DARK-1448-20230804-10_48_39</t>
  </si>
  <si>
    <t>10:47:44</t>
  </si>
  <si>
    <t>20230804 10:50:19</t>
  </si>
  <si>
    <t>10:50:19</t>
  </si>
  <si>
    <t>MPF-1449-20230804-10_50_15</t>
  </si>
  <si>
    <t>DARK-1450-20230804-10_50_22</t>
  </si>
  <si>
    <t>10:49:51</t>
  </si>
  <si>
    <t>20230804 10:52:00</t>
  </si>
  <si>
    <t>10:52:00</t>
  </si>
  <si>
    <t>MPF-1451-20230804-10_51_55</t>
  </si>
  <si>
    <t>DARK-1452-20230804-10_52_03</t>
  </si>
  <si>
    <t>10:51:31</t>
  </si>
  <si>
    <t>20230804 10:53:43</t>
  </si>
  <si>
    <t>10:53:43</t>
  </si>
  <si>
    <t>MPF-1453-20230804-10_53_38</t>
  </si>
  <si>
    <t>DARK-1454-20230804-10_53_46</t>
  </si>
  <si>
    <t>10:53:09</t>
  </si>
  <si>
    <t>20230804 10:55:27</t>
  </si>
  <si>
    <t>10:55:27</t>
  </si>
  <si>
    <t>MPF-1455-20230804-10_55_22</t>
  </si>
  <si>
    <t>DARK-1456-20230804-10_55_30</t>
  </si>
  <si>
    <t>10:54:55</t>
  </si>
  <si>
    <t>20230804 10:57:06</t>
  </si>
  <si>
    <t>10:57:06</t>
  </si>
  <si>
    <t>MPF-1457-20230804-10_57_02</t>
  </si>
  <si>
    <t>DARK-1458-20230804-10_57_09</t>
  </si>
  <si>
    <t>10:57:34</t>
  </si>
  <si>
    <t>20230804 11:30:54</t>
  </si>
  <si>
    <t>11:30:54</t>
  </si>
  <si>
    <t>3</t>
  </si>
  <si>
    <t>zg12a</t>
  </si>
  <si>
    <t>MPF-1459-20230804-11_30_50</t>
  </si>
  <si>
    <t>DARK-1460-20230804-11_30_57</t>
  </si>
  <si>
    <t>11:30:24</t>
  </si>
  <si>
    <t>20230804 11:33:19</t>
  </si>
  <si>
    <t>11:33:19</t>
  </si>
  <si>
    <t>MPF-1461-20230804-11_33_15</t>
  </si>
  <si>
    <t>DARK-1462-20230804-11_33_22</t>
  </si>
  <si>
    <t>11:32:47</t>
  </si>
  <si>
    <t>20230804 11:35:00</t>
  </si>
  <si>
    <t>11:35:00</t>
  </si>
  <si>
    <t>MPF-1463-20230804-11_34_55</t>
  </si>
  <si>
    <t>DARK-1464-20230804-11_35_03</t>
  </si>
  <si>
    <t>11:34:31</t>
  </si>
  <si>
    <t>20230804 11:37:29</t>
  </si>
  <si>
    <t>11:37:29</t>
  </si>
  <si>
    <t>MPF-1465-20230804-11_37_25</t>
  </si>
  <si>
    <t>DARK-1466-20230804-11_37_32</t>
  </si>
  <si>
    <t>11:37:01</t>
  </si>
  <si>
    <t>20230804 11:39:38</t>
  </si>
  <si>
    <t>11:39:38</t>
  </si>
  <si>
    <t>MPF-1467-20230804-11_39_34</t>
  </si>
  <si>
    <t>DARK-1468-20230804-11_39_41</t>
  </si>
  <si>
    <t>11:39:10</t>
  </si>
  <si>
    <t>20230804 11:41:32</t>
  </si>
  <si>
    <t>11:41:32</t>
  </si>
  <si>
    <t>MPF-1469-20230804-11_41_27</t>
  </si>
  <si>
    <t>DARK-1470-20230804-11_41_35</t>
  </si>
  <si>
    <t>11:42:09</t>
  </si>
  <si>
    <t>20230804 11:44:11</t>
  </si>
  <si>
    <t>11:44:11</t>
  </si>
  <si>
    <t>MPF-1471-20230804-11_44_06</t>
  </si>
  <si>
    <t>DARK-1472-20230804-11_44_14</t>
  </si>
  <si>
    <t>11:43:39</t>
  </si>
  <si>
    <t>20230804 11:46:56</t>
  </si>
  <si>
    <t>11:46:56</t>
  </si>
  <si>
    <t>MPF-1473-20230804-11_46_51</t>
  </si>
  <si>
    <t>DARK-1474-20230804-11_46_59</t>
  </si>
  <si>
    <t>11:45:47</t>
  </si>
  <si>
    <t>20230804 11:49:51</t>
  </si>
  <si>
    <t>11:49:51</t>
  </si>
  <si>
    <t>MPF-1475-20230804-11_49_47</t>
  </si>
  <si>
    <t>DARK-1476-20230804-11_49_54</t>
  </si>
  <si>
    <t>11:48:05</t>
  </si>
  <si>
    <t>20230804 11:51:31</t>
  </si>
  <si>
    <t>11:51:31</t>
  </si>
  <si>
    <t>MPF-1477-20230804-11_51_26</t>
  </si>
  <si>
    <t>DARK-1478-20230804-11_51_34</t>
  </si>
  <si>
    <t>11:51:02</t>
  </si>
  <si>
    <t>20230804 11:53:12</t>
  </si>
  <si>
    <t>11:53:12</t>
  </si>
  <si>
    <t>MPF-1479-20230804-11_53_08</t>
  </si>
  <si>
    <t>DARK-1480-20230804-11_53_15</t>
  </si>
  <si>
    <t>11:52:42</t>
  </si>
  <si>
    <t>20230804 11:55:01</t>
  </si>
  <si>
    <t>11:55:01</t>
  </si>
  <si>
    <t>MPF-1481-20230804-11_54_57</t>
  </si>
  <si>
    <t>DARK-1482-20230804-11_55_04</t>
  </si>
  <si>
    <t>11:54:33</t>
  </si>
  <si>
    <t>20230804 11:57:25</t>
  </si>
  <si>
    <t>11:57:25</t>
  </si>
  <si>
    <t>MPF-1483-20230804-11_57_20</t>
  </si>
  <si>
    <t>DARK-1484-20230804-11_57_28</t>
  </si>
  <si>
    <t>11:56:54</t>
  </si>
  <si>
    <t>20230804 11:59:42</t>
  </si>
  <si>
    <t>11:59:42</t>
  </si>
  <si>
    <t>MPF-1485-20230804-11_59_38</t>
  </si>
  <si>
    <t>DARK-1486-20230804-11_59_45</t>
  </si>
  <si>
    <t>11:58:42</t>
  </si>
  <si>
    <t>20230804 12:33:46</t>
  </si>
  <si>
    <t>12:33:46</t>
  </si>
  <si>
    <t>6</t>
  </si>
  <si>
    <t>hn1a</t>
  </si>
  <si>
    <t>MPF-1487-20230804-12_33_42</t>
  </si>
  <si>
    <t>DARK-1488-20230804-12_33_50</t>
  </si>
  <si>
    <t>12:33:05</t>
  </si>
  <si>
    <t>20230804 12:35:39</t>
  </si>
  <si>
    <t>12:35:39</t>
  </si>
  <si>
    <t>MPF-1489-20230804-12_35_35</t>
  </si>
  <si>
    <t>DARK-1490-20230804-12_35_42</t>
  </si>
  <si>
    <t>12:35:10</t>
  </si>
  <si>
    <t>20230804 12:37:19</t>
  </si>
  <si>
    <t>12:37:19</t>
  </si>
  <si>
    <t>MPF-1491-20230804-12_37_15</t>
  </si>
  <si>
    <t>DARK-1492-20230804-12_37_22</t>
  </si>
  <si>
    <t>12:36:47</t>
  </si>
  <si>
    <t>20230804 12:39:17</t>
  </si>
  <si>
    <t>12:39:17</t>
  </si>
  <si>
    <t>MPF-1493-20230804-12_39_13</t>
  </si>
  <si>
    <t>DARK-1494-20230804-12_39_20</t>
  </si>
  <si>
    <t>12:38:47</t>
  </si>
  <si>
    <t>20230804 12:41:34</t>
  </si>
  <si>
    <t>12:41:34</t>
  </si>
  <si>
    <t>MPF-1495-20230804-12_41_30</t>
  </si>
  <si>
    <t>DARK-1496-20230804-12_41_38</t>
  </si>
  <si>
    <t>12:40:58</t>
  </si>
  <si>
    <t>20230804 12:43:55</t>
  </si>
  <si>
    <t>12:43:55</t>
  </si>
  <si>
    <t>MPF-1497-20230804-12_43_51</t>
  </si>
  <si>
    <t>DARK-1498-20230804-12_43_58</t>
  </si>
  <si>
    <t>12:43:25</t>
  </si>
  <si>
    <t>20230804 12:45:52</t>
  </si>
  <si>
    <t>12:45:52</t>
  </si>
  <si>
    <t>MPF-1499-20230804-12_45_48</t>
  </si>
  <si>
    <t>DARK-1500-20230804-12_45_56</t>
  </si>
  <si>
    <t>12:45:19</t>
  </si>
  <si>
    <t>20230804 12:48:34</t>
  </si>
  <si>
    <t>12:48:34</t>
  </si>
  <si>
    <t>MPF-1501-20230804-12_48_30</t>
  </si>
  <si>
    <t>DARK-1502-20230804-12_48_37</t>
  </si>
  <si>
    <t>12:47:29</t>
  </si>
  <si>
    <t>20230804 12:51:44</t>
  </si>
  <si>
    <t>12:51:44</t>
  </si>
  <si>
    <t>MPF-1503-20230804-12_51_40</t>
  </si>
  <si>
    <t>DARK-1504-20230804-12_51_47</t>
  </si>
  <si>
    <t>12:49:51</t>
  </si>
  <si>
    <t>20230804 12:53:34</t>
  </si>
  <si>
    <t>12:53:34</t>
  </si>
  <si>
    <t>MPF-1505-20230804-12_53_30</t>
  </si>
  <si>
    <t>DARK-1506-20230804-12_53_38</t>
  </si>
  <si>
    <t>12:53:02</t>
  </si>
  <si>
    <t>20230804 12:55:18</t>
  </si>
  <si>
    <t>12:55:18</t>
  </si>
  <si>
    <t>MPF-1507-20230804-12_55_14</t>
  </si>
  <si>
    <t>DARK-1508-20230804-12_55_22</t>
  </si>
  <si>
    <t>12:54:46</t>
  </si>
  <si>
    <t>20230804 12:56:58</t>
  </si>
  <si>
    <t>12:56:58</t>
  </si>
  <si>
    <t>MPF-1509-20230804-12_56_54</t>
  </si>
  <si>
    <t>DARK-1510-20230804-12_57_02</t>
  </si>
  <si>
    <t>12:57:34</t>
  </si>
  <si>
    <t>20230804 13:00:13</t>
  </si>
  <si>
    <t>13:00:13</t>
  </si>
  <si>
    <t>MPF-1511-20230804-13_00_09</t>
  </si>
  <si>
    <t>DARK-1512-20230804-13_00_17</t>
  </si>
  <si>
    <t>12:58:41</t>
  </si>
  <si>
    <t>20230804 13:03:23</t>
  </si>
  <si>
    <t>13:03:23</t>
  </si>
  <si>
    <t>MPF-1513-20230804-13_03_19</t>
  </si>
  <si>
    <t>DARK-1514-20230804-13_03_27</t>
  </si>
  <si>
    <t>13:02:42</t>
  </si>
  <si>
    <t>20230804 13:15:22</t>
  </si>
  <si>
    <t>13:15:22</t>
  </si>
  <si>
    <t>5</t>
  </si>
  <si>
    <t>MPF-1515-20230804-13_15_18</t>
  </si>
  <si>
    <t>DARK-1516-20230804-13_15_26</t>
  </si>
  <si>
    <t>13:14:25</t>
  </si>
  <si>
    <t>20230804 13:17:50</t>
  </si>
  <si>
    <t>13:17:50</t>
  </si>
  <si>
    <t>MPF-1517-20230804-13_17_46</t>
  </si>
  <si>
    <t>DARK-1518-20230804-13_17_54</t>
  </si>
  <si>
    <t>13:17:22</t>
  </si>
  <si>
    <t>20230804 13:19:31</t>
  </si>
  <si>
    <t>13:19:31</t>
  </si>
  <si>
    <t>MPF-1519-20230804-13_19_27</t>
  </si>
  <si>
    <t>DARK-1520-20230804-13_19_35</t>
  </si>
  <si>
    <t>13:19:03</t>
  </si>
  <si>
    <t>20230804 13:21:16</t>
  </si>
  <si>
    <t>13:21:16</t>
  </si>
  <si>
    <t>MPF-1521-20230804-13_21_12</t>
  </si>
  <si>
    <t>DARK-1522-20230804-13_21_20</t>
  </si>
  <si>
    <t>13:20:47</t>
  </si>
  <si>
    <t>20230804 13:23:28</t>
  </si>
  <si>
    <t>13:23:28</t>
  </si>
  <si>
    <t>MPF-1523-20230804-13_23_24</t>
  </si>
  <si>
    <t>DARK-1524-20230804-13_23_32</t>
  </si>
  <si>
    <t>13:22:58</t>
  </si>
  <si>
    <t>20230804 13:26:13</t>
  </si>
  <si>
    <t>13:26:13</t>
  </si>
  <si>
    <t>MPF-1525-20230804-13_26_09</t>
  </si>
  <si>
    <t>DARK-1526-20230804-13_26_17</t>
  </si>
  <si>
    <t>13:25:43</t>
  </si>
  <si>
    <t>20230804 13:28:14</t>
  </si>
  <si>
    <t>13:28:14</t>
  </si>
  <si>
    <t>MPF-1527-20230804-13_28_10</t>
  </si>
  <si>
    <t>DARK-1528-20230804-13_28_18</t>
  </si>
  <si>
    <t>13:27:42</t>
  </si>
  <si>
    <t>20230804 13:31:09</t>
  </si>
  <si>
    <t>13:31:09</t>
  </si>
  <si>
    <t>MPF-1529-20230804-13_31_05</t>
  </si>
  <si>
    <t>DARK-1530-20230804-13_31_13</t>
  </si>
  <si>
    <t>13:29:54</t>
  </si>
  <si>
    <t>20230804 13:34:19</t>
  </si>
  <si>
    <t>13:34:19</t>
  </si>
  <si>
    <t>MPF-1531-20230804-13_34_15</t>
  </si>
  <si>
    <t>DARK-1532-20230804-13_34_22</t>
  </si>
  <si>
    <t>13:32:24</t>
  </si>
  <si>
    <t>20230804 13:35:59</t>
  </si>
  <si>
    <t>13:35:59</t>
  </si>
  <si>
    <t>MPF-1533-20230804-13_35_55</t>
  </si>
  <si>
    <t>DARK-1534-20230804-13_36_03</t>
  </si>
  <si>
    <t>13:35:31</t>
  </si>
  <si>
    <t>20230804 13:37:41</t>
  </si>
  <si>
    <t>13:37:41</t>
  </si>
  <si>
    <t>MPF-1535-20230804-13_37_37</t>
  </si>
  <si>
    <t>DARK-1536-20230804-13_37_45</t>
  </si>
  <si>
    <t>13:37:12</t>
  </si>
  <si>
    <t>20230804 13:39:21</t>
  </si>
  <si>
    <t>13:39:21</t>
  </si>
  <si>
    <t>MPF-1537-20230804-13_39_17</t>
  </si>
  <si>
    <t>DARK-1538-20230804-13_39_24</t>
  </si>
  <si>
    <t>13:38:47</t>
  </si>
  <si>
    <t>20230804 13:41:03</t>
  </si>
  <si>
    <t>13:41:03</t>
  </si>
  <si>
    <t>MPF-1539-20230804-13_40_59</t>
  </si>
  <si>
    <t>DARK-1540-20230804-13_41_06</t>
  </si>
  <si>
    <t>13:41:29</t>
  </si>
  <si>
    <t>20230804 13:43:05</t>
  </si>
  <si>
    <t>13:43:05</t>
  </si>
  <si>
    <t>MPF-1541-20230804-13_43_01</t>
  </si>
  <si>
    <t>DARK-1542-20230804-13_43_09</t>
  </si>
  <si>
    <t>13:43:40</t>
  </si>
  <si>
    <t>20230804 14:23:09</t>
  </si>
  <si>
    <t>14:23:09</t>
  </si>
  <si>
    <t>4</t>
  </si>
  <si>
    <t>MPF-1543-20230804-14_23_05</t>
  </si>
  <si>
    <t>DARK-1544-20230804-14_23_12</t>
  </si>
  <si>
    <t>14:22:34</t>
  </si>
  <si>
    <t>20230804 14:24:48</t>
  </si>
  <si>
    <t>14:24:48</t>
  </si>
  <si>
    <t>MPF-1545-20230804-14_24_44</t>
  </si>
  <si>
    <t>DARK-1546-20230804-14_24_52</t>
  </si>
  <si>
    <t>14:25:21</t>
  </si>
  <si>
    <t>20230804 14:27:33</t>
  </si>
  <si>
    <t>14:27:33</t>
  </si>
  <si>
    <t>MPF-1547-20230804-14_27_29</t>
  </si>
  <si>
    <t>DARK-1548-20230804-14_27_37</t>
  </si>
  <si>
    <t>14:26:29</t>
  </si>
  <si>
    <t>20230804 14:29:14</t>
  </si>
  <si>
    <t>14:29:14</t>
  </si>
  <si>
    <t>MPF-1549-20230804-14_29_10</t>
  </si>
  <si>
    <t>DARK-1550-20230804-14_29_18</t>
  </si>
  <si>
    <t>14:28:42</t>
  </si>
  <si>
    <t>20230804 14:31:11</t>
  </si>
  <si>
    <t>14:31:11</t>
  </si>
  <si>
    <t>MPF-1551-20230804-14_31_07</t>
  </si>
  <si>
    <t>DARK-1552-20230804-14_31_14</t>
  </si>
  <si>
    <t>14:30:38</t>
  </si>
  <si>
    <t>20230804 14:33:52</t>
  </si>
  <si>
    <t>14:33:52</t>
  </si>
  <si>
    <t>MPF-1553-20230804-14_33_48</t>
  </si>
  <si>
    <t>DARK-1554-20230804-14_33_55</t>
  </si>
  <si>
    <t>14:33:15</t>
  </si>
  <si>
    <t>20230804 14:36:03</t>
  </si>
  <si>
    <t>14:36:03</t>
  </si>
  <si>
    <t>MPF-1555-20230804-14_35_59</t>
  </si>
  <si>
    <t>DARK-1556-20230804-14_36_07</t>
  </si>
  <si>
    <t>14:35:29</t>
  </si>
  <si>
    <t>20230804 14:38:46</t>
  </si>
  <si>
    <t>14:38:46</t>
  </si>
  <si>
    <t>MPF-1557-20230804-14_38_42</t>
  </si>
  <si>
    <t>DARK-1558-20230804-14_38_50</t>
  </si>
  <si>
    <t>14:37:32</t>
  </si>
  <si>
    <t>20230804 14:41:39</t>
  </si>
  <si>
    <t>14:41:39</t>
  </si>
  <si>
    <t>MPF-1559-20230804-14_41_35</t>
  </si>
  <si>
    <t>DARK-1560-20230804-14_41_43</t>
  </si>
  <si>
    <t>14:40:00</t>
  </si>
  <si>
    <t>20230804 14:43:56</t>
  </si>
  <si>
    <t>14:43:56</t>
  </si>
  <si>
    <t>MPF-1561-20230804-14_43_52</t>
  </si>
  <si>
    <t>DARK-1562-20230804-14_43_59</t>
  </si>
  <si>
    <t>14:43:21</t>
  </si>
  <si>
    <t>20230804 14:45:56</t>
  </si>
  <si>
    <t>14:45:56</t>
  </si>
  <si>
    <t>MPF-1563-20230804-14_45_52</t>
  </si>
  <si>
    <t>DARK-1564-20230804-14_45_59</t>
  </si>
  <si>
    <t>14:45:16</t>
  </si>
  <si>
    <t>20230804 14:48:51</t>
  </si>
  <si>
    <t>14:48:51</t>
  </si>
  <si>
    <t>MPF-1565-20230804-14_48_47</t>
  </si>
  <si>
    <t>DARK-1566-20230804-14_48_55</t>
  </si>
  <si>
    <t>14:48:15</t>
  </si>
  <si>
    <t>20230804 14:52:01</t>
  </si>
  <si>
    <t>14:52:01</t>
  </si>
  <si>
    <t>MPF-1567-20230804-14_51_57</t>
  </si>
  <si>
    <t>DARK-1568-20230804-14_52_05</t>
  </si>
  <si>
    <t>14:50:15</t>
  </si>
  <si>
    <t>20230804 14:54:16</t>
  </si>
  <si>
    <t>14:54:16</t>
  </si>
  <si>
    <t>MPF-1569-20230804-14_54_12</t>
  </si>
  <si>
    <t>DARK-1570-20230804-14_54_19</t>
  </si>
  <si>
    <t>14:53:26</t>
  </si>
  <si>
    <t>20230804 15:48:53</t>
  </si>
  <si>
    <t>15:48:53</t>
  </si>
  <si>
    <t>22</t>
  </si>
  <si>
    <t>MPF-1571-20230804-15_48_49</t>
  </si>
  <si>
    <t>DARK-1572-20230804-15_48_57</t>
  </si>
  <si>
    <t>15:48:20</t>
  </si>
  <si>
    <t>20230804 15:50:36</t>
  </si>
  <si>
    <t>15:50:36</t>
  </si>
  <si>
    <t>MPF-1573-20230804-15_50_32</t>
  </si>
  <si>
    <t>DARK-1574-20230804-15_50_40</t>
  </si>
  <si>
    <t>15:50:01</t>
  </si>
  <si>
    <t>20230804 15:52:33</t>
  </si>
  <si>
    <t>15:52:33</t>
  </si>
  <si>
    <t>MPF-1575-20230804-15_52_30</t>
  </si>
  <si>
    <t>DARK-1576-20230804-15_52_37</t>
  </si>
  <si>
    <t>15:51:58</t>
  </si>
  <si>
    <t>20230804 15:54:48</t>
  </si>
  <si>
    <t>15:54:48</t>
  </si>
  <si>
    <t>MPF-1577-20230804-15_54_45</t>
  </si>
  <si>
    <t>DARK-1578-20230804-15_54_52</t>
  </si>
  <si>
    <t>15:53:59</t>
  </si>
  <si>
    <t>20230804 15:56:51</t>
  </si>
  <si>
    <t>15:56:51</t>
  </si>
  <si>
    <t>MPF-1579-20230804-15_56_47</t>
  </si>
  <si>
    <t>DARK-1580-20230804-15_56_55</t>
  </si>
  <si>
    <t>15:56:19</t>
  </si>
  <si>
    <t>20230804 15:58:38</t>
  </si>
  <si>
    <t>15:58:38</t>
  </si>
  <si>
    <t>MPF-1581-20230804-15_58_35</t>
  </si>
  <si>
    <t>DARK-1582-20230804-15_58_42</t>
  </si>
  <si>
    <t>15:58:06</t>
  </si>
  <si>
    <t>20230804 16:00:36</t>
  </si>
  <si>
    <t>16:00:36</t>
  </si>
  <si>
    <t>MPF-1583-20230804-16_00_33</t>
  </si>
  <si>
    <t>DARK-1584-20230804-16_00_40</t>
  </si>
  <si>
    <t>16:00:02</t>
  </si>
  <si>
    <t>20230804 16:03:14</t>
  </si>
  <si>
    <t>16:03:14</t>
  </si>
  <si>
    <t>MPF-1585-20230804-16_03_11</t>
  </si>
  <si>
    <t>DARK-1586-20230804-16_03_18</t>
  </si>
  <si>
    <t>16:01:59</t>
  </si>
  <si>
    <t>20230804 16:06:24</t>
  </si>
  <si>
    <t>16:06:24</t>
  </si>
  <si>
    <t>MPF-1587-20230804-16_06_20</t>
  </si>
  <si>
    <t>DARK-1588-20230804-16_06_27</t>
  </si>
  <si>
    <t>16:04:28</t>
  </si>
  <si>
    <t>20230804 16:08:52</t>
  </si>
  <si>
    <t>16:08:52</t>
  </si>
  <si>
    <t>MPF-1589-20230804-16_08_48</t>
  </si>
  <si>
    <t>DARK-1590-20230804-16_08_55</t>
  </si>
  <si>
    <t>16:08:15</t>
  </si>
  <si>
    <t>20230804 16:10:31</t>
  </si>
  <si>
    <t>16:10:31</t>
  </si>
  <si>
    <t>MPF-1591-20230804-16_10_28</t>
  </si>
  <si>
    <t>DARK-1592-20230804-16_10_35</t>
  </si>
  <si>
    <t>16:10:57</t>
  </si>
  <si>
    <t>20230804 16:12:29</t>
  </si>
  <si>
    <t>16:12:29</t>
  </si>
  <si>
    <t>MPF-1593-20230804-16_12_26</t>
  </si>
  <si>
    <t>DARK-1594-20230804-16_12_33</t>
  </si>
  <si>
    <t>16:11:58</t>
  </si>
  <si>
    <t>20230804 16:15:35</t>
  </si>
  <si>
    <t>16:15:35</t>
  </si>
  <si>
    <t>MPF-1595-20230804-16_15_32</t>
  </si>
  <si>
    <t>DARK-1596-20230804-16_15_39</t>
  </si>
  <si>
    <t>16:14:55</t>
  </si>
  <si>
    <t>20230804 16:17:17</t>
  </si>
  <si>
    <t>16:17:17</t>
  </si>
  <si>
    <t>MPF-1597-20230804-16_17_14</t>
  </si>
  <si>
    <t>DARK-1598-20230804-16_17_21</t>
  </si>
  <si>
    <t>16:17:50</t>
  </si>
  <si>
    <t>20230804 16:59:10</t>
  </si>
  <si>
    <t>16:59:10</t>
  </si>
  <si>
    <t>MPF-1599-20230804-16_59_06</t>
  </si>
  <si>
    <t>DARK-1600-20230804-16_59_14</t>
  </si>
  <si>
    <t>16:58:37</t>
  </si>
  <si>
    <t>20230804 17:00:50</t>
  </si>
  <si>
    <t>17:00:50</t>
  </si>
  <si>
    <t>MPF-1601-20230804-17_00_46</t>
  </si>
  <si>
    <t>DARK-1602-20230804-17_00_54</t>
  </si>
  <si>
    <t>17:00:17</t>
  </si>
  <si>
    <t>20230804 17:02:34</t>
  </si>
  <si>
    <t>17:02:34</t>
  </si>
  <si>
    <t>MPF-1603-20230804-17_02_30</t>
  </si>
  <si>
    <t>DARK-1604-20230804-17_02_38</t>
  </si>
  <si>
    <t>17:02:04</t>
  </si>
  <si>
    <t>20230804 17:04:53</t>
  </si>
  <si>
    <t>17:04:53</t>
  </si>
  <si>
    <t>MPF-1605-20230804-17_04_49</t>
  </si>
  <si>
    <t>DARK-1606-20230804-17_04_57</t>
  </si>
  <si>
    <t>17:04:24</t>
  </si>
  <si>
    <t>20230804 17:06:47</t>
  </si>
  <si>
    <t>17:06:47</t>
  </si>
  <si>
    <t>MPF-1607-20230804-17_06_44</t>
  </si>
  <si>
    <t>DARK-1608-20230804-17_06_51</t>
  </si>
  <si>
    <t>17:06:18</t>
  </si>
  <si>
    <t>20230804 17:08:37</t>
  </si>
  <si>
    <t>17:08:37</t>
  </si>
  <si>
    <t>MPF-1609-20230804-17_08_34</t>
  </si>
  <si>
    <t>DARK-1610-20230804-17_08_41</t>
  </si>
  <si>
    <t>17:08:06</t>
  </si>
  <si>
    <t>20230804 17:10:39</t>
  </si>
  <si>
    <t>17:10:39</t>
  </si>
  <si>
    <t>MPF-1611-20230804-17_10_36</t>
  </si>
  <si>
    <t>DARK-1612-20230804-17_10_43</t>
  </si>
  <si>
    <t>17:10:08</t>
  </si>
  <si>
    <t>20230804 17:13:16</t>
  </si>
  <si>
    <t>17:13:16</t>
  </si>
  <si>
    <t>MPF-1613-20230804-17_13_13</t>
  </si>
  <si>
    <t>DARK-1614-20230804-17_13_20</t>
  </si>
  <si>
    <t>17:11:55</t>
  </si>
  <si>
    <t>20230804 17:16:26</t>
  </si>
  <si>
    <t>17:16:26</t>
  </si>
  <si>
    <t>MPF-1615-20230804-17_16_23</t>
  </si>
  <si>
    <t>DARK-1616-20230804-17_16_30</t>
  </si>
  <si>
    <t>17:14:24</t>
  </si>
  <si>
    <t>20230804 17:18:06</t>
  </si>
  <si>
    <t>17:18:06</t>
  </si>
  <si>
    <t>MPF-1617-20230804-17_18_03</t>
  </si>
  <si>
    <t>DARK-1618-20230804-17_18_10</t>
  </si>
  <si>
    <t>17:17:37</t>
  </si>
  <si>
    <t>20230804 17:19:49</t>
  </si>
  <si>
    <t>17:19:49</t>
  </si>
  <si>
    <t>MPF-1619-20230804-17_19_45</t>
  </si>
  <si>
    <t>DARK-1620-20230804-17_19_53</t>
  </si>
  <si>
    <t>17:19:16</t>
  </si>
  <si>
    <t>20230804 17:22:59</t>
  </si>
  <si>
    <t>17:22:59</t>
  </si>
  <si>
    <t>MPF-1621-20230804-17_22_55</t>
  </si>
  <si>
    <t>DARK-1622-20230804-17_23_03</t>
  </si>
  <si>
    <t>17:23:31</t>
  </si>
  <si>
    <t>20230804 17:26:29</t>
  </si>
  <si>
    <t>17:26:29</t>
  </si>
  <si>
    <t>MPF-1623-20230804-17_26_26</t>
  </si>
  <si>
    <t>DARK-1624-20230804-17_26_33</t>
  </si>
  <si>
    <t>17:24:45</t>
  </si>
  <si>
    <t>20230804 17:28:48</t>
  </si>
  <si>
    <t>17:28:48</t>
  </si>
  <si>
    <t>MPF-1625-20230804-17_28_45</t>
  </si>
  <si>
    <t>DARK-1626-20230804-17_28_52</t>
  </si>
  <si>
    <t>17:27:55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</si>
</sst>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U114"/>
  <sheetViews>
    <sheetView tabSelected="1" topLeftCell="A78" workbookViewId="0">
      <selection activeCell="A17" sqref="A17:A114"/>
    </sheetView>
  </sheetViews>
  <sheetFormatPr defaultRowHeight="15" x14ac:dyDescent="0.25"/>
  <sheetData>
    <row r="2" spans="1:281" x14ac:dyDescent="0.25">
      <c r="A2" t="s">
        <v>29</v>
      </c>
      <c r="B2" t="s">
        <v>30</v>
      </c>
      <c r="C2" t="s">
        <v>32</v>
      </c>
    </row>
    <row r="3" spans="1:281" x14ac:dyDescent="0.25">
      <c r="B3" t="s">
        <v>31</v>
      </c>
      <c r="C3">
        <v>21</v>
      </c>
    </row>
    <row r="4" spans="1:281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1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1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1" x14ac:dyDescent="0.25">
      <c r="B7">
        <v>0</v>
      </c>
      <c r="C7">
        <v>1</v>
      </c>
      <c r="D7">
        <v>0</v>
      </c>
      <c r="E7">
        <v>0</v>
      </c>
    </row>
    <row r="8" spans="1:281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1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1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1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1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1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1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90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91</v>
      </c>
      <c r="CW14" t="s">
        <v>92</v>
      </c>
      <c r="CX14" t="s">
        <v>92</v>
      </c>
      <c r="CY14" t="s">
        <v>92</v>
      </c>
      <c r="CZ14" t="s">
        <v>92</v>
      </c>
      <c r="DA14" t="s">
        <v>93</v>
      </c>
      <c r="DB14" t="s">
        <v>93</v>
      </c>
      <c r="DC14" t="s">
        <v>93</v>
      </c>
      <c r="DD14" t="s">
        <v>93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88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191</v>
      </c>
      <c r="CJ15" t="s">
        <v>171</v>
      </c>
      <c r="CK15" t="s">
        <v>192</v>
      </c>
      <c r="CL15" t="s">
        <v>193</v>
      </c>
      <c r="CM15" t="s">
        <v>194</v>
      </c>
      <c r="CN15" t="s">
        <v>145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115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107</v>
      </c>
      <c r="FE15" t="s">
        <v>110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 x14ac:dyDescent="0.25">
      <c r="B16" t="s">
        <v>381</v>
      </c>
      <c r="C16" t="s">
        <v>381</v>
      </c>
      <c r="F16" t="s">
        <v>381</v>
      </c>
      <c r="J16" t="s">
        <v>381</v>
      </c>
      <c r="K16" t="s">
        <v>382</v>
      </c>
      <c r="L16" t="s">
        <v>383</v>
      </c>
      <c r="M16" t="s">
        <v>384</v>
      </c>
      <c r="N16" t="s">
        <v>385</v>
      </c>
      <c r="O16" t="s">
        <v>385</v>
      </c>
      <c r="P16" t="s">
        <v>218</v>
      </c>
      <c r="Q16" t="s">
        <v>218</v>
      </c>
      <c r="R16" t="s">
        <v>382</v>
      </c>
      <c r="S16" t="s">
        <v>382</v>
      </c>
      <c r="T16" t="s">
        <v>382</v>
      </c>
      <c r="U16" t="s">
        <v>382</v>
      </c>
      <c r="V16" t="s">
        <v>386</v>
      </c>
      <c r="W16" t="s">
        <v>387</v>
      </c>
      <c r="X16" t="s">
        <v>387</v>
      </c>
      <c r="Y16" t="s">
        <v>388</v>
      </c>
      <c r="Z16" t="s">
        <v>389</v>
      </c>
      <c r="AA16" t="s">
        <v>388</v>
      </c>
      <c r="AB16" t="s">
        <v>388</v>
      </c>
      <c r="AC16" t="s">
        <v>388</v>
      </c>
      <c r="AD16" t="s">
        <v>386</v>
      </c>
      <c r="AE16" t="s">
        <v>386</v>
      </c>
      <c r="AF16" t="s">
        <v>386</v>
      </c>
      <c r="AG16" t="s">
        <v>386</v>
      </c>
      <c r="AH16" t="s">
        <v>390</v>
      </c>
      <c r="AI16" t="s">
        <v>389</v>
      </c>
      <c r="AK16" t="s">
        <v>389</v>
      </c>
      <c r="AL16" t="s">
        <v>390</v>
      </c>
      <c r="AR16" t="s">
        <v>384</v>
      </c>
      <c r="AY16" t="s">
        <v>384</v>
      </c>
      <c r="AZ16" t="s">
        <v>384</v>
      </c>
      <c r="BA16" t="s">
        <v>384</v>
      </c>
      <c r="BB16" t="s">
        <v>391</v>
      </c>
      <c r="BP16" t="s">
        <v>392</v>
      </c>
      <c r="BR16" t="s">
        <v>392</v>
      </c>
      <c r="BS16" t="s">
        <v>384</v>
      </c>
      <c r="BV16" t="s">
        <v>392</v>
      </c>
      <c r="BW16" t="s">
        <v>389</v>
      </c>
      <c r="BZ16" t="s">
        <v>393</v>
      </c>
      <c r="CA16" t="s">
        <v>393</v>
      </c>
      <c r="CC16" t="s">
        <v>394</v>
      </c>
      <c r="CD16" t="s">
        <v>392</v>
      </c>
      <c r="CF16" t="s">
        <v>392</v>
      </c>
      <c r="CG16" t="s">
        <v>384</v>
      </c>
      <c r="CK16" t="s">
        <v>392</v>
      </c>
      <c r="CM16" t="s">
        <v>395</v>
      </c>
      <c r="CP16" t="s">
        <v>392</v>
      </c>
      <c r="CQ16" t="s">
        <v>392</v>
      </c>
      <c r="CS16" t="s">
        <v>392</v>
      </c>
      <c r="CU16" t="s">
        <v>392</v>
      </c>
      <c r="CW16" t="s">
        <v>384</v>
      </c>
      <c r="CX16" t="s">
        <v>384</v>
      </c>
      <c r="CZ16" t="s">
        <v>396</v>
      </c>
      <c r="DA16" t="s">
        <v>397</v>
      </c>
      <c r="DD16" t="s">
        <v>382</v>
      </c>
      <c r="DE16" t="s">
        <v>381</v>
      </c>
      <c r="DF16" t="s">
        <v>385</v>
      </c>
      <c r="DG16" t="s">
        <v>385</v>
      </c>
      <c r="DH16" t="s">
        <v>398</v>
      </c>
      <c r="DI16" t="s">
        <v>398</v>
      </c>
      <c r="DJ16" t="s">
        <v>385</v>
      </c>
      <c r="DK16" t="s">
        <v>398</v>
      </c>
      <c r="DL16" t="s">
        <v>390</v>
      </c>
      <c r="DM16" t="s">
        <v>388</v>
      </c>
      <c r="DN16" t="s">
        <v>388</v>
      </c>
      <c r="DO16" t="s">
        <v>387</v>
      </c>
      <c r="DP16" t="s">
        <v>387</v>
      </c>
      <c r="DQ16" t="s">
        <v>387</v>
      </c>
      <c r="DR16" t="s">
        <v>387</v>
      </c>
      <c r="DS16" t="s">
        <v>387</v>
      </c>
      <c r="DT16" t="s">
        <v>399</v>
      </c>
      <c r="DU16" t="s">
        <v>384</v>
      </c>
      <c r="DV16" t="s">
        <v>384</v>
      </c>
      <c r="DW16" t="s">
        <v>385</v>
      </c>
      <c r="DX16" t="s">
        <v>385</v>
      </c>
      <c r="DY16" t="s">
        <v>385</v>
      </c>
      <c r="DZ16" t="s">
        <v>398</v>
      </c>
      <c r="EA16" t="s">
        <v>385</v>
      </c>
      <c r="EB16" t="s">
        <v>398</v>
      </c>
      <c r="EC16" t="s">
        <v>388</v>
      </c>
      <c r="ED16" t="s">
        <v>388</v>
      </c>
      <c r="EE16" t="s">
        <v>387</v>
      </c>
      <c r="EF16" t="s">
        <v>387</v>
      </c>
      <c r="EG16" t="s">
        <v>384</v>
      </c>
      <c r="EL16" t="s">
        <v>384</v>
      </c>
      <c r="EO16" t="s">
        <v>387</v>
      </c>
      <c r="EP16" t="s">
        <v>387</v>
      </c>
      <c r="EQ16" t="s">
        <v>387</v>
      </c>
      <c r="ER16" t="s">
        <v>387</v>
      </c>
      <c r="ES16" t="s">
        <v>387</v>
      </c>
      <c r="ET16" t="s">
        <v>384</v>
      </c>
      <c r="EU16" t="s">
        <v>384</v>
      </c>
      <c r="EV16" t="s">
        <v>384</v>
      </c>
      <c r="EW16" t="s">
        <v>381</v>
      </c>
      <c r="EZ16" t="s">
        <v>400</v>
      </c>
      <c r="FA16" t="s">
        <v>400</v>
      </c>
      <c r="FC16" t="s">
        <v>381</v>
      </c>
      <c r="FD16" t="s">
        <v>401</v>
      </c>
      <c r="FF16" t="s">
        <v>381</v>
      </c>
      <c r="FG16" t="s">
        <v>381</v>
      </c>
      <c r="FI16" t="s">
        <v>402</v>
      </c>
      <c r="FJ16" t="s">
        <v>403</v>
      </c>
      <c r="FK16" t="s">
        <v>402</v>
      </c>
      <c r="FL16" t="s">
        <v>403</v>
      </c>
      <c r="FM16" t="s">
        <v>402</v>
      </c>
      <c r="FN16" t="s">
        <v>403</v>
      </c>
      <c r="FO16" t="s">
        <v>389</v>
      </c>
      <c r="FP16" t="s">
        <v>389</v>
      </c>
      <c r="FQ16" t="s">
        <v>384</v>
      </c>
      <c r="FR16" t="s">
        <v>404</v>
      </c>
      <c r="FS16" t="s">
        <v>384</v>
      </c>
      <c r="FU16" t="s">
        <v>382</v>
      </c>
      <c r="FV16" t="s">
        <v>405</v>
      </c>
      <c r="FW16" t="s">
        <v>382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398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402</v>
      </c>
      <c r="II16" t="s">
        <v>403</v>
      </c>
      <c r="IJ16" t="s">
        <v>403</v>
      </c>
      <c r="IN16" t="s">
        <v>403</v>
      </c>
      <c r="IR16" t="s">
        <v>385</v>
      </c>
      <c r="IS16" t="s">
        <v>385</v>
      </c>
      <c r="IT16" t="s">
        <v>398</v>
      </c>
      <c r="IU16" t="s">
        <v>398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390</v>
      </c>
      <c r="JH16" t="s">
        <v>390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398</v>
      </c>
      <c r="JT16" t="s">
        <v>389</v>
      </c>
      <c r="JU16" t="s">
        <v>389</v>
      </c>
    </row>
    <row r="17" spans="1:281" x14ac:dyDescent="0.25">
      <c r="A17">
        <v>1</v>
      </c>
      <c r="B17">
        <v>1691163163.0999999</v>
      </c>
      <c r="C17">
        <v>3432.5</v>
      </c>
      <c r="D17" t="s">
        <v>423</v>
      </c>
      <c r="E17" t="s">
        <v>424</v>
      </c>
      <c r="F17" t="s">
        <v>411</v>
      </c>
      <c r="G17" t="s">
        <v>413</v>
      </c>
      <c r="H17" t="s">
        <v>422</v>
      </c>
      <c r="I17" t="s">
        <v>413</v>
      </c>
      <c r="J17">
        <v>1691163163.0999999</v>
      </c>
      <c r="K17">
        <f t="shared" ref="K17:K34" si="0">(L17)/1000</f>
        <v>5.3454609810679749E-3</v>
      </c>
      <c r="L17">
        <f t="shared" ref="L17:L34" si="1">1000*DL17*AJ17*(DH17-DI17)/(100*DA17*(1000-AJ17*DH17))</f>
        <v>5.3454609810679745</v>
      </c>
      <c r="M17">
        <f t="shared" ref="M17:M34" si="2">DL17*AJ17*(DG17-DF17*(1000-AJ17*DI17)/(1000-AJ17*DH17))/(100*DA17)</f>
        <v>46.50163487536102</v>
      </c>
      <c r="N17">
        <f t="shared" ref="N17:N34" si="3">DF17 - IF(AJ17&gt;1, M17*DA17*100/(AL17*DT17), 0)</f>
        <v>341.98</v>
      </c>
      <c r="O17">
        <f t="shared" ref="O17:O34" si="4">((U17-K17/2)*N17-M17)/(U17+K17/2)</f>
        <v>98.14164286678681</v>
      </c>
      <c r="P17">
        <f t="shared" ref="P17:P34" si="5">O17*(DM17+DN17)/1000</f>
        <v>9.7346410948801534</v>
      </c>
      <c r="Q17">
        <f t="shared" ref="Q17:Q34" si="6">(DF17 - IF(AJ17&gt;1, M17*DA17*100/(AL17*DT17), 0))*(DM17+DN17)/1000</f>
        <v>33.920897025800002</v>
      </c>
      <c r="R17">
        <f t="shared" ref="R17:R34" si="7">2/((1/T17-1/S17)+SIGN(T17)*SQRT((1/T17-1/S17)*(1/T17-1/S17) + 4*DB17/((DB17+1)*(DB17+1))*(2*1/T17*1/S17-1/S17*1/S17)))</f>
        <v>0.32961142535239096</v>
      </c>
      <c r="S17">
        <f t="shared" ref="S17:S34" si="8">IF(LEFT(DC17,1)&lt;&gt;"0",IF(LEFT(DC17,1)="1",3,DD17),$D$5+$E$5*(DT17*DM17/($K$5*1000))+$F$5*(DT17*DM17/($K$5*1000))*MAX(MIN(DA17,$J$5),$I$5)*MAX(MIN(DA17,$J$5),$I$5)+$G$5*MAX(MIN(DA17,$J$5),$I$5)*(DT17*DM17/($K$5*1000))+$H$5*(DT17*DM17/($K$5*1000))*(DT17*DM17/($K$5*1000)))</f>
        <v>2.9144022931930929</v>
      </c>
      <c r="T17">
        <f t="shared" ref="T17:T34" si="9">K17*(1000-(1000*0.61365*EXP(17.502*X17/(240.97+X17))/(DM17+DN17)+DH17)/2)/(1000*0.61365*EXP(17.502*X17/(240.97+X17))/(DM17+DN17)-DH17)</f>
        <v>0.3102134097695608</v>
      </c>
      <c r="U17">
        <f t="shared" ref="U17:U34" si="10">1/((DB17+1)/(R17/1.6)+1/(S17/1.37)) + DB17/((DB17+1)/(R17/1.6) + DB17/(S17/1.37))</f>
        <v>0.19553101476872103</v>
      </c>
      <c r="V17">
        <f t="shared" ref="V17:V34" si="11">(CW17*CZ17)</f>
        <v>289.57647001273136</v>
      </c>
      <c r="W17">
        <f t="shared" ref="W17:W34" si="12">(DO17+(V17+2*0.95*0.0000000567*(((DO17+$B$7)+273)^4-(DO17+273)^4)-44100*K17)/(1.84*29.3*S17+8*0.95*0.0000000567*(DO17+273)^3))</f>
        <v>30.585125253496241</v>
      </c>
      <c r="X17">
        <f t="shared" ref="X17:X34" si="13">($C$7*DP17+$D$7*DQ17+$E$7*W17)</f>
        <v>29.9953</v>
      </c>
      <c r="Y17">
        <f t="shared" ref="Y17:Y34" si="14">0.61365*EXP(17.502*X17/(240.97+X17))</f>
        <v>4.2592997390225413</v>
      </c>
      <c r="Z17">
        <f t="shared" ref="Z17:Z34" si="15">(AA17/AB17*100)</f>
        <v>60.313852383990238</v>
      </c>
      <c r="AA17">
        <f t="shared" ref="AA17:AA34" si="16">DH17*(DM17+DN17)/1000</f>
        <v>2.6092845112600003</v>
      </c>
      <c r="AB17">
        <f t="shared" ref="AB17:AB34" si="17">0.61365*EXP(17.502*DO17/(240.97+DO17))</f>
        <v>4.3261778316660982</v>
      </c>
      <c r="AC17">
        <f t="shared" ref="AC17:AC34" si="18">(Y17-DH17*(DM17+DN17)/1000)</f>
        <v>1.6500152277625411</v>
      </c>
      <c r="AD17">
        <f t="shared" ref="AD17:AD34" si="19">(-K17*44100)</f>
        <v>-235.73482926509769</v>
      </c>
      <c r="AE17">
        <f t="shared" ref="AE17:AE34" si="20">2*29.3*S17*0.92*(DO17-X17)</f>
        <v>42.658421120914909</v>
      </c>
      <c r="AF17">
        <f t="shared" ref="AF17:AF34" si="21">2*0.95*0.0000000567*(((DO17+$B$7)+273)^4-(X17+273)^4)</f>
        <v>3.2588010210854592</v>
      </c>
      <c r="AG17">
        <f t="shared" ref="AG17:AG34" si="22">V17+AF17+AD17+AE17</f>
        <v>99.758862889634031</v>
      </c>
      <c r="AH17">
        <v>0</v>
      </c>
      <c r="AI17">
        <v>0</v>
      </c>
      <c r="AJ17">
        <f t="shared" ref="AJ17:AJ34" si="23">IF(AH17*$H$13&gt;=AL17,1,(AL17/(AL17-AH17*$H$13)))</f>
        <v>1</v>
      </c>
      <c r="AK17">
        <f t="shared" ref="AK17:AK34" si="24">(AJ17-1)*100</f>
        <v>0</v>
      </c>
      <c r="AL17">
        <f t="shared" ref="AL17:AL34" si="25">MAX(0,($B$13+$C$13*DT17)/(1+$D$13*DT17)*DM17/(DO17+273)*$E$13)</f>
        <v>51856.170881763472</v>
      </c>
      <c r="AM17" t="s">
        <v>414</v>
      </c>
      <c r="AN17">
        <v>7361.72</v>
      </c>
      <c r="AO17">
        <v>541.39076923076925</v>
      </c>
      <c r="AP17">
        <v>2141.9899999999998</v>
      </c>
      <c r="AQ17">
        <f t="shared" ref="AQ17:AQ34" si="26">1-AO17/AP17</f>
        <v>0.74724869433061347</v>
      </c>
      <c r="AR17">
        <v>-0.96077199609010144</v>
      </c>
      <c r="AS17" t="s">
        <v>425</v>
      </c>
      <c r="AT17">
        <v>7347.45</v>
      </c>
      <c r="AU17">
        <v>754.37619999999993</v>
      </c>
      <c r="AV17">
        <v>1116.6350117970831</v>
      </c>
      <c r="AW17">
        <f t="shared" ref="AW17:AW34" si="27">1-AU17/AV17</f>
        <v>0.32442007278105434</v>
      </c>
      <c r="AX17">
        <v>0.5</v>
      </c>
      <c r="AY17">
        <f t="shared" ref="AY17:AY34" si="28">CX17</f>
        <v>1513.2126000065966</v>
      </c>
      <c r="AZ17">
        <f t="shared" ref="AZ17:AZ34" si="29">M17</f>
        <v>46.50163487536102</v>
      </c>
      <c r="BA17">
        <f t="shared" ref="BA17:BA34" si="30">AW17*AX17*AY17</f>
        <v>245.45827091367428</v>
      </c>
      <c r="BB17">
        <f t="shared" ref="BB17:BB34" si="31">(AZ17-AR17)/AY17</f>
        <v>3.1365326241166787E-2</v>
      </c>
      <c r="BC17">
        <f t="shared" ref="BC17:BC34" si="32">(AP17-AV17)/AV17</f>
        <v>0.91825437799298215</v>
      </c>
      <c r="BD17">
        <f t="shared" ref="BD17:BD34" si="33">AO17/(AQ17+AO17/AV17)</f>
        <v>439.40846230218278</v>
      </c>
      <c r="BE17" t="s">
        <v>426</v>
      </c>
      <c r="BF17">
        <v>564.79</v>
      </c>
      <c r="BG17">
        <f t="shared" ref="BG17:BG34" si="34">IF(BF17&lt;&gt;0, BF17, BD17)</f>
        <v>564.79</v>
      </c>
      <c r="BH17">
        <f t="shared" ref="BH17:BH34" si="35">1-BG17/AV17</f>
        <v>0.49420357231048861</v>
      </c>
      <c r="BI17">
        <f t="shared" ref="BI17:BI34" si="36">(AV17-AU17)/(AV17-BG17)</f>
        <v>0.65645027870667427</v>
      </c>
      <c r="BJ17">
        <f t="shared" ref="BJ17:BJ34" si="37">(AP17-AV17)/(AP17-BG17)</f>
        <v>0.65011094864501451</v>
      </c>
      <c r="BK17">
        <f t="shared" ref="BK17:BK34" si="38">(AV17-AU17)/(AV17-AO17)</f>
        <v>0.62974782708115873</v>
      </c>
      <c r="BL17">
        <f t="shared" ref="BL17:BL34" si="39">(AP17-AV17)/(AP17-AO17)</f>
        <v>0.64060694800543072</v>
      </c>
      <c r="BM17">
        <f t="shared" ref="BM17:BM34" si="40">(BI17*BG17/AU17)</f>
        <v>0.49147435047757682</v>
      </c>
      <c r="BN17">
        <f t="shared" ref="BN17:BN34" si="41">(1-BM17)</f>
        <v>0.50852564952242318</v>
      </c>
      <c r="BO17">
        <v>1431</v>
      </c>
      <c r="BP17">
        <v>290.00000000000011</v>
      </c>
      <c r="BQ17">
        <v>998.87</v>
      </c>
      <c r="BR17">
        <v>295</v>
      </c>
      <c r="BS17">
        <v>7347.45</v>
      </c>
      <c r="BT17">
        <v>998.77</v>
      </c>
      <c r="BU17">
        <v>0.1</v>
      </c>
      <c r="BV17">
        <v>300.00000000000011</v>
      </c>
      <c r="BW17">
        <v>37.9</v>
      </c>
      <c r="BX17">
        <v>1116.6350117970831</v>
      </c>
      <c r="BY17">
        <v>1.8613238183899501</v>
      </c>
      <c r="BZ17">
        <v>-86.599851704496075</v>
      </c>
      <c r="CA17">
        <v>1.1465346324210579</v>
      </c>
      <c r="CB17">
        <v>0.99511604315405167</v>
      </c>
      <c r="CC17">
        <v>-7.2387617352614106E-3</v>
      </c>
      <c r="CD17">
        <v>289.99999999999989</v>
      </c>
      <c r="CE17">
        <v>994.63</v>
      </c>
      <c r="CF17">
        <v>655</v>
      </c>
      <c r="CG17">
        <v>7343.18</v>
      </c>
      <c r="CH17">
        <v>998.7</v>
      </c>
      <c r="CI17">
        <v>-4.07</v>
      </c>
      <c r="CW17">
        <f t="shared" ref="CW17:CW34" si="42">$B$11*DU17+$C$11*DV17+$F$11*EG17*(1-EJ17)</f>
        <v>1800.03</v>
      </c>
      <c r="CX17">
        <f t="shared" ref="CX17:CX34" si="43">CW17*CY17</f>
        <v>1513.2126000065966</v>
      </c>
      <c r="CY17">
        <f t="shared" ref="CY17:CY34" si="44">($B$11*$D$9+$C$11*$D$9+$F$11*((ET17+EL17)/MAX(ET17+EL17+EU17, 0.1)*$I$9+EU17/MAX(ET17+EL17+EU17, 0.1)*$J$9))/($B$11+$C$11+$F$11)</f>
        <v>0.84065965567607015</v>
      </c>
      <c r="CZ17">
        <f t="shared" ref="CZ17:CZ34" si="45">($B$11*$K$9+$C$11*$K$9+$F$11*((ET17+EL17)/MAX(ET17+EL17+EU17, 0.1)*$P$9+EU17/MAX(ET17+EL17+EU17, 0.1)*$Q$9))/($B$11+$C$11+$F$11)</f>
        <v>0.16087313545481541</v>
      </c>
      <c r="DA17">
        <v>6</v>
      </c>
      <c r="DB17">
        <v>0.5</v>
      </c>
      <c r="DC17" t="s">
        <v>415</v>
      </c>
      <c r="DD17">
        <v>2</v>
      </c>
      <c r="DE17">
        <v>1691163163.0999999</v>
      </c>
      <c r="DF17">
        <v>341.98</v>
      </c>
      <c r="DG17">
        <v>399.96899999999999</v>
      </c>
      <c r="DH17">
        <v>26.306000000000001</v>
      </c>
      <c r="DI17">
        <v>20.0609</v>
      </c>
      <c r="DJ17">
        <v>342.798</v>
      </c>
      <c r="DK17">
        <v>25.967400000000001</v>
      </c>
      <c r="DL17">
        <v>500.05700000000002</v>
      </c>
      <c r="DM17">
        <v>99.089500000000001</v>
      </c>
      <c r="DN17">
        <v>0.10020999999999999</v>
      </c>
      <c r="DO17">
        <v>30.2668</v>
      </c>
      <c r="DP17">
        <v>29.9953</v>
      </c>
      <c r="DQ17">
        <v>999.9</v>
      </c>
      <c r="DR17">
        <v>0</v>
      </c>
      <c r="DS17">
        <v>0</v>
      </c>
      <c r="DT17">
        <v>10005</v>
      </c>
      <c r="DU17">
        <v>0</v>
      </c>
      <c r="DV17">
        <v>1882.55</v>
      </c>
      <c r="DW17">
        <v>-57.988500000000002</v>
      </c>
      <c r="DX17">
        <v>351.21899999999999</v>
      </c>
      <c r="DY17">
        <v>408.15699999999998</v>
      </c>
      <c r="DZ17">
        <v>6.2451600000000003</v>
      </c>
      <c r="EA17">
        <v>399.96899999999999</v>
      </c>
      <c r="EB17">
        <v>20.0609</v>
      </c>
      <c r="EC17">
        <v>2.6066500000000001</v>
      </c>
      <c r="ED17">
        <v>1.9878199999999999</v>
      </c>
      <c r="EE17">
        <v>21.708200000000001</v>
      </c>
      <c r="EF17">
        <v>17.3477</v>
      </c>
      <c r="EG17">
        <v>1800.03</v>
      </c>
      <c r="EH17">
        <v>0.97800799999999999</v>
      </c>
      <c r="EI17">
        <v>2.19922E-2</v>
      </c>
      <c r="EJ17">
        <v>0</v>
      </c>
      <c r="EK17">
        <v>753.02</v>
      </c>
      <c r="EL17">
        <v>9.9989999999999996E-2</v>
      </c>
      <c r="EM17">
        <v>14558.3</v>
      </c>
      <c r="EN17">
        <v>16705.599999999999</v>
      </c>
      <c r="EO17">
        <v>46.811999999999998</v>
      </c>
      <c r="EP17">
        <v>48.75</v>
      </c>
      <c r="EQ17">
        <v>47.75</v>
      </c>
      <c r="ER17">
        <v>47.311999999999998</v>
      </c>
      <c r="ES17">
        <v>47.936999999999998</v>
      </c>
      <c r="ET17">
        <v>1760.35</v>
      </c>
      <c r="EU17">
        <v>39.58</v>
      </c>
      <c r="EV17">
        <v>0</v>
      </c>
      <c r="EW17">
        <v>1450.3999998569491</v>
      </c>
      <c r="EX17">
        <v>0</v>
      </c>
      <c r="EY17">
        <v>754.37619999999993</v>
      </c>
      <c r="EZ17">
        <v>-2.4307691775842608</v>
      </c>
      <c r="FA17">
        <v>-60.430769164838487</v>
      </c>
      <c r="FB17">
        <v>14567.284</v>
      </c>
      <c r="FC17">
        <v>15</v>
      </c>
      <c r="FD17">
        <v>1691163133.0999999</v>
      </c>
      <c r="FE17" t="s">
        <v>427</v>
      </c>
      <c r="FF17">
        <v>1691163123.0999999</v>
      </c>
      <c r="FG17">
        <v>1691163133.0999999</v>
      </c>
      <c r="FH17">
        <v>20</v>
      </c>
      <c r="FI17">
        <v>0.182</v>
      </c>
      <c r="FJ17">
        <v>0.01</v>
      </c>
      <c r="FK17">
        <v>-0.85899999999999999</v>
      </c>
      <c r="FL17">
        <v>0.11899999999999999</v>
      </c>
      <c r="FM17">
        <v>400</v>
      </c>
      <c r="FN17">
        <v>20</v>
      </c>
      <c r="FO17">
        <v>0.1</v>
      </c>
      <c r="FP17">
        <v>0.03</v>
      </c>
      <c r="FQ17">
        <v>46.538302961363279</v>
      </c>
      <c r="FR17">
        <v>-0.67018378708770321</v>
      </c>
      <c r="FS17">
        <v>0.11135686498448071</v>
      </c>
      <c r="FT17">
        <v>1</v>
      </c>
      <c r="FU17">
        <v>0.33084453907820449</v>
      </c>
      <c r="FV17">
        <v>4.3100964847887016E-3</v>
      </c>
      <c r="FW17">
        <v>1.6225216823137921E-3</v>
      </c>
      <c r="FX17">
        <v>1</v>
      </c>
      <c r="FY17">
        <v>2</v>
      </c>
      <c r="FZ17">
        <v>2</v>
      </c>
      <c r="GA17" t="s">
        <v>416</v>
      </c>
      <c r="GB17">
        <v>2.9683899999999999</v>
      </c>
      <c r="GC17">
        <v>2.8119499999999999</v>
      </c>
      <c r="GD17">
        <v>8.5167000000000007E-2</v>
      </c>
      <c r="GE17">
        <v>9.5094600000000001E-2</v>
      </c>
      <c r="GF17">
        <v>0.126303</v>
      </c>
      <c r="GG17">
        <v>0.10388699999999999</v>
      </c>
      <c r="GH17">
        <v>26928.3</v>
      </c>
      <c r="GI17">
        <v>24624.5</v>
      </c>
      <c r="GJ17">
        <v>26463.8</v>
      </c>
      <c r="GK17">
        <v>25683.599999999999</v>
      </c>
      <c r="GL17">
        <v>31472.3</v>
      </c>
      <c r="GM17">
        <v>32491.200000000001</v>
      </c>
      <c r="GN17">
        <v>37468.400000000001</v>
      </c>
      <c r="GO17">
        <v>38078.1</v>
      </c>
      <c r="GP17">
        <v>1.9407000000000001</v>
      </c>
      <c r="GQ17">
        <v>1.9076</v>
      </c>
      <c r="GR17">
        <v>-1.7538700000000001E-2</v>
      </c>
      <c r="GS17">
        <v>0</v>
      </c>
      <c r="GT17">
        <v>30.2806</v>
      </c>
      <c r="GU17">
        <v>999.9</v>
      </c>
      <c r="GV17">
        <v>35.299999999999997</v>
      </c>
      <c r="GW17">
        <v>40.6</v>
      </c>
      <c r="GX17">
        <v>27.270900000000001</v>
      </c>
      <c r="GY17">
        <v>61.771700000000003</v>
      </c>
      <c r="GZ17">
        <v>12.8446</v>
      </c>
      <c r="HA17">
        <v>1</v>
      </c>
      <c r="HB17">
        <v>0.50070099999999995</v>
      </c>
      <c r="HC17">
        <v>3.4308999999999998</v>
      </c>
      <c r="HD17">
        <v>20.216000000000001</v>
      </c>
      <c r="HE17">
        <v>5.2053099999999999</v>
      </c>
      <c r="HF17">
        <v>11.9381</v>
      </c>
      <c r="HG17">
        <v>4.9871999999999996</v>
      </c>
      <c r="HH17">
        <v>3.2909999999999999</v>
      </c>
      <c r="HI17">
        <v>9999</v>
      </c>
      <c r="HJ17">
        <v>9999</v>
      </c>
      <c r="HK17">
        <v>9999</v>
      </c>
      <c r="HL17">
        <v>999.9</v>
      </c>
      <c r="HM17">
        <v>1.8711899999999999</v>
      </c>
      <c r="HN17">
        <v>1.8772899999999999</v>
      </c>
      <c r="HO17">
        <v>1.875</v>
      </c>
      <c r="HP17">
        <v>1.8733200000000001</v>
      </c>
      <c r="HQ17">
        <v>1.8737900000000001</v>
      </c>
      <c r="HR17">
        <v>1.8711899999999999</v>
      </c>
      <c r="HS17">
        <v>1.8771100000000001</v>
      </c>
      <c r="HT17">
        <v>1.87622</v>
      </c>
      <c r="HU17">
        <v>5</v>
      </c>
      <c r="HV17">
        <v>0</v>
      </c>
      <c r="HW17">
        <v>0</v>
      </c>
      <c r="HX17">
        <v>0</v>
      </c>
      <c r="HY17" t="s">
        <v>417</v>
      </c>
      <c r="HZ17" t="s">
        <v>418</v>
      </c>
      <c r="IA17" t="s">
        <v>419</v>
      </c>
      <c r="IB17" t="s">
        <v>420</v>
      </c>
      <c r="IC17" t="s">
        <v>420</v>
      </c>
      <c r="ID17" t="s">
        <v>419</v>
      </c>
      <c r="IE17">
        <v>0</v>
      </c>
      <c r="IF17">
        <v>100</v>
      </c>
      <c r="IG17">
        <v>100</v>
      </c>
      <c r="IH17">
        <v>-0.81799999999999995</v>
      </c>
      <c r="II17">
        <v>0.33860000000000001</v>
      </c>
      <c r="IJ17">
        <v>-0.41994295880718729</v>
      </c>
      <c r="IK17">
        <v>-1.615681629159814E-3</v>
      </c>
      <c r="IL17">
        <v>1.5005605225991581E-6</v>
      </c>
      <c r="IM17">
        <v>-5.1143626075267638E-10</v>
      </c>
      <c r="IN17">
        <v>-0.18990884646804609</v>
      </c>
      <c r="IO17">
        <v>-1.7182111142928099E-3</v>
      </c>
      <c r="IP17">
        <v>9.9985895407488957E-4</v>
      </c>
      <c r="IQ17">
        <v>-5.7750407166627208E-6</v>
      </c>
      <c r="IR17">
        <v>3</v>
      </c>
      <c r="IS17">
        <v>2181</v>
      </c>
      <c r="IT17">
        <v>2</v>
      </c>
      <c r="IU17">
        <v>42</v>
      </c>
      <c r="IV17">
        <v>0.7</v>
      </c>
      <c r="IW17">
        <v>0.5</v>
      </c>
      <c r="IX17">
        <v>0.950928</v>
      </c>
      <c r="IY17">
        <v>2.51831</v>
      </c>
      <c r="IZ17">
        <v>1.5991200000000001</v>
      </c>
      <c r="JA17">
        <v>2.2729499999999998</v>
      </c>
      <c r="JB17">
        <v>1.5502899999999999</v>
      </c>
      <c r="JC17">
        <v>2.3767100000000001</v>
      </c>
      <c r="JD17">
        <v>45.375799999999998</v>
      </c>
      <c r="JE17">
        <v>23.719799999999999</v>
      </c>
      <c r="JF17">
        <v>18</v>
      </c>
      <c r="JG17">
        <v>504.46100000000001</v>
      </c>
      <c r="JH17">
        <v>452.10599999999999</v>
      </c>
      <c r="JI17">
        <v>25.203900000000001</v>
      </c>
      <c r="JJ17">
        <v>33.596200000000003</v>
      </c>
      <c r="JK17">
        <v>30.000499999999999</v>
      </c>
      <c r="JL17">
        <v>33.614100000000001</v>
      </c>
      <c r="JM17">
        <v>33.587699999999998</v>
      </c>
      <c r="JN17">
        <v>19.0564</v>
      </c>
      <c r="JO17">
        <v>32.192500000000003</v>
      </c>
      <c r="JP17">
        <v>0.54802799999999996</v>
      </c>
      <c r="JQ17">
        <v>25.204899999999999</v>
      </c>
      <c r="JR17">
        <v>400</v>
      </c>
      <c r="JS17">
        <v>20.011800000000001</v>
      </c>
      <c r="JT17">
        <v>98.813199999999995</v>
      </c>
      <c r="JU17">
        <v>98.832700000000003</v>
      </c>
    </row>
    <row r="18" spans="1:281" x14ac:dyDescent="0.25">
      <c r="A18">
        <v>2</v>
      </c>
      <c r="B18">
        <v>1691163265.5999999</v>
      </c>
      <c r="C18">
        <v>3535</v>
      </c>
      <c r="D18" t="s">
        <v>428</v>
      </c>
      <c r="E18" t="s">
        <v>429</v>
      </c>
      <c r="F18" t="s">
        <v>411</v>
      </c>
      <c r="G18" t="s">
        <v>413</v>
      </c>
      <c r="H18" t="s">
        <v>422</v>
      </c>
      <c r="I18" t="s">
        <v>413</v>
      </c>
      <c r="J18">
        <v>1691163265.5999999</v>
      </c>
      <c r="K18">
        <f t="shared" si="0"/>
        <v>5.3998154464153488E-3</v>
      </c>
      <c r="L18">
        <f t="shared" si="1"/>
        <v>5.3998154464153485</v>
      </c>
      <c r="M18">
        <f t="shared" si="2"/>
        <v>36.377400004824061</v>
      </c>
      <c r="N18">
        <f t="shared" si="3"/>
        <v>254.77600000000001</v>
      </c>
      <c r="O18">
        <f t="shared" si="4"/>
        <v>65.879214614833742</v>
      </c>
      <c r="P18">
        <f t="shared" si="5"/>
        <v>6.5341341131942352</v>
      </c>
      <c r="Q18">
        <f t="shared" si="6"/>
        <v>25.269587115696002</v>
      </c>
      <c r="R18">
        <f t="shared" si="7"/>
        <v>0.33252440428066121</v>
      </c>
      <c r="S18">
        <f t="shared" si="8"/>
        <v>2.9116653653316442</v>
      </c>
      <c r="T18">
        <f t="shared" si="9"/>
        <v>0.31277565767364635</v>
      </c>
      <c r="U18">
        <f t="shared" si="10"/>
        <v>0.19716131970858886</v>
      </c>
      <c r="V18">
        <f t="shared" si="11"/>
        <v>289.56529801273183</v>
      </c>
      <c r="W18">
        <f t="shared" si="12"/>
        <v>30.55385656239639</v>
      </c>
      <c r="X18">
        <f t="shared" si="13"/>
        <v>30.009499999999999</v>
      </c>
      <c r="Y18">
        <f t="shared" si="14"/>
        <v>4.2627751343415312</v>
      </c>
      <c r="Z18">
        <f t="shared" si="15"/>
        <v>60.385096351169231</v>
      </c>
      <c r="AA18">
        <f t="shared" si="16"/>
        <v>2.6097769724796005</v>
      </c>
      <c r="AB18">
        <f t="shared" si="17"/>
        <v>4.3218892246233329</v>
      </c>
      <c r="AC18">
        <f t="shared" si="18"/>
        <v>1.6529981618619307</v>
      </c>
      <c r="AD18">
        <f t="shared" si="19"/>
        <v>-238.13186118691689</v>
      </c>
      <c r="AE18">
        <f t="shared" si="20"/>
        <v>37.673688762182621</v>
      </c>
      <c r="AF18">
        <f t="shared" si="21"/>
        <v>2.880663769116028</v>
      </c>
      <c r="AG18">
        <f t="shared" si="22"/>
        <v>91.987789357113598</v>
      </c>
      <c r="AH18">
        <v>0</v>
      </c>
      <c r="AI18">
        <v>0</v>
      </c>
      <c r="AJ18">
        <f t="shared" si="23"/>
        <v>1</v>
      </c>
      <c r="AK18">
        <f t="shared" si="24"/>
        <v>0</v>
      </c>
      <c r="AL18">
        <f t="shared" si="25"/>
        <v>51781.205604548901</v>
      </c>
      <c r="AM18" t="s">
        <v>414</v>
      </c>
      <c r="AN18">
        <v>7361.72</v>
      </c>
      <c r="AO18">
        <v>541.39076923076925</v>
      </c>
      <c r="AP18">
        <v>2141.9899999999998</v>
      </c>
      <c r="AQ18">
        <f t="shared" si="26"/>
        <v>0.74724869433061347</v>
      </c>
      <c r="AR18">
        <v>-0.96077199609010144</v>
      </c>
      <c r="AS18" t="s">
        <v>430</v>
      </c>
      <c r="AT18">
        <v>7347.14</v>
      </c>
      <c r="AU18">
        <v>734.15134615384602</v>
      </c>
      <c r="AV18">
        <v>1014.144790517876</v>
      </c>
      <c r="AW18">
        <f t="shared" si="27"/>
        <v>0.27608823412784134</v>
      </c>
      <c r="AX18">
        <v>0.5</v>
      </c>
      <c r="AY18">
        <f t="shared" si="28"/>
        <v>1513.1538000065968</v>
      </c>
      <c r="AZ18">
        <f t="shared" si="29"/>
        <v>36.377400004824061</v>
      </c>
      <c r="BA18">
        <f t="shared" si="30"/>
        <v>208.88198030382705</v>
      </c>
      <c r="BB18">
        <f t="shared" si="31"/>
        <v>2.4675728270815156E-2</v>
      </c>
      <c r="BC18">
        <f t="shared" si="32"/>
        <v>1.112114581692212</v>
      </c>
      <c r="BD18">
        <f t="shared" si="33"/>
        <v>422.60219038423958</v>
      </c>
      <c r="BE18" t="s">
        <v>431</v>
      </c>
      <c r="BF18">
        <v>551.82000000000005</v>
      </c>
      <c r="BG18">
        <f t="shared" si="34"/>
        <v>551.82000000000005</v>
      </c>
      <c r="BH18">
        <f t="shared" si="35"/>
        <v>0.45587651274310492</v>
      </c>
      <c r="BI18">
        <f t="shared" si="36"/>
        <v>0.60562065912665775</v>
      </c>
      <c r="BJ18">
        <f t="shared" si="37"/>
        <v>0.70926077682393951</v>
      </c>
      <c r="BK18">
        <f t="shared" si="38"/>
        <v>0.59226031245959099</v>
      </c>
      <c r="BL18">
        <f t="shared" si="39"/>
        <v>0.70463935493714669</v>
      </c>
      <c r="BM18">
        <f t="shared" si="40"/>
        <v>0.45521075983866677</v>
      </c>
      <c r="BN18">
        <f t="shared" si="41"/>
        <v>0.54478924016133323</v>
      </c>
      <c r="BO18">
        <v>1433</v>
      </c>
      <c r="BP18">
        <v>290.00000000000011</v>
      </c>
      <c r="BQ18">
        <v>922.95</v>
      </c>
      <c r="BR18">
        <v>285</v>
      </c>
      <c r="BS18">
        <v>7347.14</v>
      </c>
      <c r="BT18">
        <v>923.59</v>
      </c>
      <c r="BU18">
        <v>-0.64</v>
      </c>
      <c r="BV18">
        <v>300.00000000000011</v>
      </c>
      <c r="BW18">
        <v>37.9</v>
      </c>
      <c r="BX18">
        <v>1014.144790517876</v>
      </c>
      <c r="BY18">
        <v>0.96386682197320239</v>
      </c>
      <c r="BZ18">
        <v>-66.528957510222256</v>
      </c>
      <c r="CA18">
        <v>0.59370919182834758</v>
      </c>
      <c r="CB18">
        <v>0.99777506776568703</v>
      </c>
      <c r="CC18">
        <v>-7.2378429365962116E-3</v>
      </c>
      <c r="CD18">
        <v>289.99999999999989</v>
      </c>
      <c r="CE18">
        <v>922.7</v>
      </c>
      <c r="CF18">
        <v>715</v>
      </c>
      <c r="CG18">
        <v>7341.13</v>
      </c>
      <c r="CH18">
        <v>923.52</v>
      </c>
      <c r="CI18">
        <v>-0.82</v>
      </c>
      <c r="CW18">
        <f t="shared" si="42"/>
        <v>1799.96</v>
      </c>
      <c r="CX18">
        <f t="shared" si="43"/>
        <v>1513.1538000065968</v>
      </c>
      <c r="CY18">
        <f t="shared" si="44"/>
        <v>0.84065968132991664</v>
      </c>
      <c r="CZ18">
        <f t="shared" si="45"/>
        <v>0.16087318496673916</v>
      </c>
      <c r="DA18">
        <v>6</v>
      </c>
      <c r="DB18">
        <v>0.5</v>
      </c>
      <c r="DC18" t="s">
        <v>415</v>
      </c>
      <c r="DD18">
        <v>2</v>
      </c>
      <c r="DE18">
        <v>1691163265.5999999</v>
      </c>
      <c r="DF18">
        <v>254.77600000000001</v>
      </c>
      <c r="DG18">
        <v>300.06700000000001</v>
      </c>
      <c r="DH18">
        <v>26.3126</v>
      </c>
      <c r="DI18">
        <v>20.005099999999999</v>
      </c>
      <c r="DJ18">
        <v>255.45500000000001</v>
      </c>
      <c r="DK18">
        <v>25.970500000000001</v>
      </c>
      <c r="DL18">
        <v>500.14100000000002</v>
      </c>
      <c r="DM18">
        <v>99.083100000000002</v>
      </c>
      <c r="DN18">
        <v>0.10044599999999999</v>
      </c>
      <c r="DO18">
        <v>30.249500000000001</v>
      </c>
      <c r="DP18">
        <v>30.009499999999999</v>
      </c>
      <c r="DQ18">
        <v>999.9</v>
      </c>
      <c r="DR18">
        <v>0</v>
      </c>
      <c r="DS18">
        <v>0</v>
      </c>
      <c r="DT18">
        <v>9990</v>
      </c>
      <c r="DU18">
        <v>0</v>
      </c>
      <c r="DV18">
        <v>1899.98</v>
      </c>
      <c r="DW18">
        <v>-45.290399999999998</v>
      </c>
      <c r="DX18">
        <v>261.661</v>
      </c>
      <c r="DY18">
        <v>306.19200000000001</v>
      </c>
      <c r="DZ18">
        <v>6.3074700000000004</v>
      </c>
      <c r="EA18">
        <v>300.06700000000001</v>
      </c>
      <c r="EB18">
        <v>20.005099999999999</v>
      </c>
      <c r="EC18">
        <v>2.6071300000000002</v>
      </c>
      <c r="ED18">
        <v>1.98217</v>
      </c>
      <c r="EE18">
        <v>21.711200000000002</v>
      </c>
      <c r="EF18">
        <v>17.302600000000002</v>
      </c>
      <c r="EG18">
        <v>1799.96</v>
      </c>
      <c r="EH18">
        <v>0.97800799999999999</v>
      </c>
      <c r="EI18">
        <v>2.19922E-2</v>
      </c>
      <c r="EJ18">
        <v>0</v>
      </c>
      <c r="EK18">
        <v>734.94</v>
      </c>
      <c r="EL18">
        <v>9.9989999999999996E-2</v>
      </c>
      <c r="EM18">
        <v>14171.7</v>
      </c>
      <c r="EN18">
        <v>16705</v>
      </c>
      <c r="EO18">
        <v>46.75</v>
      </c>
      <c r="EP18">
        <v>48.686999999999998</v>
      </c>
      <c r="EQ18">
        <v>47.686999999999998</v>
      </c>
      <c r="ER18">
        <v>47.25</v>
      </c>
      <c r="ES18">
        <v>47.875</v>
      </c>
      <c r="ET18">
        <v>1760.28</v>
      </c>
      <c r="EU18">
        <v>39.58</v>
      </c>
      <c r="EV18">
        <v>0</v>
      </c>
      <c r="EW18">
        <v>100.3999998569489</v>
      </c>
      <c r="EX18">
        <v>0</v>
      </c>
      <c r="EY18">
        <v>734.15134615384602</v>
      </c>
      <c r="EZ18">
        <v>-10.957435914893679</v>
      </c>
      <c r="FA18">
        <v>-105.9316239006713</v>
      </c>
      <c r="FB18">
        <v>14192.096153846151</v>
      </c>
      <c r="FC18">
        <v>15</v>
      </c>
      <c r="FD18">
        <v>1691163238.0999999</v>
      </c>
      <c r="FE18" t="s">
        <v>432</v>
      </c>
      <c r="FF18">
        <v>1691163222.5999999</v>
      </c>
      <c r="FG18">
        <v>1691163238.0999999</v>
      </c>
      <c r="FH18">
        <v>21</v>
      </c>
      <c r="FI18">
        <v>6.4000000000000001E-2</v>
      </c>
      <c r="FJ18">
        <v>3.0000000000000001E-3</v>
      </c>
      <c r="FK18">
        <v>-0.72</v>
      </c>
      <c r="FL18">
        <v>0.125</v>
      </c>
      <c r="FM18">
        <v>300</v>
      </c>
      <c r="FN18">
        <v>20</v>
      </c>
      <c r="FO18">
        <v>0.16</v>
      </c>
      <c r="FP18">
        <v>0.04</v>
      </c>
      <c r="FQ18">
        <v>36.283646811042637</v>
      </c>
      <c r="FR18">
        <v>-9.2012055924929961E-2</v>
      </c>
      <c r="FS18">
        <v>7.5580154468263452E-2</v>
      </c>
      <c r="FT18">
        <v>1</v>
      </c>
      <c r="FU18">
        <v>0.33096764138127921</v>
      </c>
      <c r="FV18">
        <v>3.5875529882450727E-2</v>
      </c>
      <c r="FW18">
        <v>3.288648779390441E-3</v>
      </c>
      <c r="FX18">
        <v>1</v>
      </c>
      <c r="FY18">
        <v>2</v>
      </c>
      <c r="FZ18">
        <v>2</v>
      </c>
      <c r="GA18" t="s">
        <v>416</v>
      </c>
      <c r="GB18">
        <v>2.9685999999999999</v>
      </c>
      <c r="GC18">
        <v>2.8120500000000002</v>
      </c>
      <c r="GD18">
        <v>6.6799200000000003E-2</v>
      </c>
      <c r="GE18">
        <v>7.5590000000000004E-2</v>
      </c>
      <c r="GF18">
        <v>0.126305</v>
      </c>
      <c r="GG18">
        <v>0.103675</v>
      </c>
      <c r="GH18">
        <v>27470.1</v>
      </c>
      <c r="GI18">
        <v>25155</v>
      </c>
      <c r="GJ18">
        <v>26464.7</v>
      </c>
      <c r="GK18">
        <v>25683</v>
      </c>
      <c r="GL18">
        <v>31472.1</v>
      </c>
      <c r="GM18">
        <v>32495.7</v>
      </c>
      <c r="GN18">
        <v>37469.800000000003</v>
      </c>
      <c r="GO18">
        <v>38076</v>
      </c>
      <c r="GP18">
        <v>1.9410000000000001</v>
      </c>
      <c r="GQ18">
        <v>1.9069</v>
      </c>
      <c r="GR18">
        <v>-1.4245499999999999E-2</v>
      </c>
      <c r="GS18">
        <v>0</v>
      </c>
      <c r="GT18">
        <v>30.241199999999999</v>
      </c>
      <c r="GU18">
        <v>999.9</v>
      </c>
      <c r="GV18">
        <v>35.200000000000003</v>
      </c>
      <c r="GW18">
        <v>40.6</v>
      </c>
      <c r="GX18">
        <v>27.1922</v>
      </c>
      <c r="GY18">
        <v>61.621699999999997</v>
      </c>
      <c r="GZ18">
        <v>13.6579</v>
      </c>
      <c r="HA18">
        <v>1</v>
      </c>
      <c r="HB18">
        <v>0.50083299999999997</v>
      </c>
      <c r="HC18">
        <v>3.3742999999999999</v>
      </c>
      <c r="HD18">
        <v>20.217199999999998</v>
      </c>
      <c r="HE18">
        <v>5.2100999999999997</v>
      </c>
      <c r="HF18">
        <v>11.9381</v>
      </c>
      <c r="HG18">
        <v>4.9870000000000001</v>
      </c>
      <c r="HH18">
        <v>3.2909999999999999</v>
      </c>
      <c r="HI18">
        <v>9999</v>
      </c>
      <c r="HJ18">
        <v>9999</v>
      </c>
      <c r="HK18">
        <v>9999</v>
      </c>
      <c r="HL18">
        <v>999.9</v>
      </c>
      <c r="HM18">
        <v>1.8712299999999999</v>
      </c>
      <c r="HN18">
        <v>1.8772899999999999</v>
      </c>
      <c r="HO18">
        <v>1.8750500000000001</v>
      </c>
      <c r="HP18">
        <v>1.8733200000000001</v>
      </c>
      <c r="HQ18">
        <v>1.87381</v>
      </c>
      <c r="HR18">
        <v>1.8711899999999999</v>
      </c>
      <c r="HS18">
        <v>1.8770800000000001</v>
      </c>
      <c r="HT18">
        <v>1.87622</v>
      </c>
      <c r="HU18">
        <v>5</v>
      </c>
      <c r="HV18">
        <v>0</v>
      </c>
      <c r="HW18">
        <v>0</v>
      </c>
      <c r="HX18">
        <v>0</v>
      </c>
      <c r="HY18" t="s">
        <v>417</v>
      </c>
      <c r="HZ18" t="s">
        <v>418</v>
      </c>
      <c r="IA18" t="s">
        <v>419</v>
      </c>
      <c r="IB18" t="s">
        <v>420</v>
      </c>
      <c r="IC18" t="s">
        <v>420</v>
      </c>
      <c r="ID18" t="s">
        <v>419</v>
      </c>
      <c r="IE18">
        <v>0</v>
      </c>
      <c r="IF18">
        <v>100</v>
      </c>
      <c r="IG18">
        <v>100</v>
      </c>
      <c r="IH18">
        <v>-0.67900000000000005</v>
      </c>
      <c r="II18">
        <v>0.34210000000000002</v>
      </c>
      <c r="IJ18">
        <v>-0.35567268156778992</v>
      </c>
      <c r="IK18">
        <v>-1.615681629159814E-3</v>
      </c>
      <c r="IL18">
        <v>1.5005605225991581E-6</v>
      </c>
      <c r="IM18">
        <v>-5.1143626075267638E-10</v>
      </c>
      <c r="IN18">
        <v>-0.1864893717659899</v>
      </c>
      <c r="IO18">
        <v>-1.7182111142928099E-3</v>
      </c>
      <c r="IP18">
        <v>9.9985895407488957E-4</v>
      </c>
      <c r="IQ18">
        <v>-5.7750407166627208E-6</v>
      </c>
      <c r="IR18">
        <v>3</v>
      </c>
      <c r="IS18">
        <v>2181</v>
      </c>
      <c r="IT18">
        <v>2</v>
      </c>
      <c r="IU18">
        <v>42</v>
      </c>
      <c r="IV18">
        <v>0.7</v>
      </c>
      <c r="IW18">
        <v>0.5</v>
      </c>
      <c r="IX18">
        <v>0.75683599999999995</v>
      </c>
      <c r="IY18">
        <v>2.5146500000000001</v>
      </c>
      <c r="IZ18">
        <v>1.6003400000000001</v>
      </c>
      <c r="JA18">
        <v>2.2729499999999998</v>
      </c>
      <c r="JB18">
        <v>1.5502899999999999</v>
      </c>
      <c r="JC18">
        <v>2.34497</v>
      </c>
      <c r="JD18">
        <v>45.375799999999998</v>
      </c>
      <c r="JE18">
        <v>23.710999999999999</v>
      </c>
      <c r="JF18">
        <v>18</v>
      </c>
      <c r="JG18">
        <v>504.65699999999998</v>
      </c>
      <c r="JH18">
        <v>451.65</v>
      </c>
      <c r="JI18">
        <v>25.279299999999999</v>
      </c>
      <c r="JJ18">
        <v>33.603999999999999</v>
      </c>
      <c r="JK18">
        <v>30.0002</v>
      </c>
      <c r="JL18">
        <v>33.614400000000003</v>
      </c>
      <c r="JM18">
        <v>33.584699999999998</v>
      </c>
      <c r="JN18">
        <v>15.190300000000001</v>
      </c>
      <c r="JO18">
        <v>32.499000000000002</v>
      </c>
      <c r="JP18">
        <v>0</v>
      </c>
      <c r="JQ18">
        <v>25.2807</v>
      </c>
      <c r="JR18">
        <v>300</v>
      </c>
      <c r="JS18">
        <v>19.922699999999999</v>
      </c>
      <c r="JT18">
        <v>98.816800000000001</v>
      </c>
      <c r="JU18">
        <v>98.828500000000005</v>
      </c>
    </row>
    <row r="19" spans="1:281" x14ac:dyDescent="0.25">
      <c r="A19">
        <v>3</v>
      </c>
      <c r="B19">
        <v>1691163365.5999999</v>
      </c>
      <c r="C19">
        <v>3635</v>
      </c>
      <c r="D19" t="s">
        <v>433</v>
      </c>
      <c r="E19" t="s">
        <v>434</v>
      </c>
      <c r="F19" t="s">
        <v>411</v>
      </c>
      <c r="G19" t="s">
        <v>413</v>
      </c>
      <c r="H19" t="s">
        <v>422</v>
      </c>
      <c r="I19" t="s">
        <v>413</v>
      </c>
      <c r="J19">
        <v>1691163365.5999999</v>
      </c>
      <c r="K19">
        <f t="shared" si="0"/>
        <v>5.7804445967783655E-3</v>
      </c>
      <c r="L19">
        <f t="shared" si="1"/>
        <v>5.7804445967783655</v>
      </c>
      <c r="M19">
        <f t="shared" si="2"/>
        <v>25.514880324597058</v>
      </c>
      <c r="N19">
        <f t="shared" si="3"/>
        <v>168.21700000000001</v>
      </c>
      <c r="O19">
        <f t="shared" si="4"/>
        <v>46.103043526502688</v>
      </c>
      <c r="P19">
        <f t="shared" si="5"/>
        <v>4.5725392289577087</v>
      </c>
      <c r="Q19">
        <f t="shared" si="6"/>
        <v>16.683905717318002</v>
      </c>
      <c r="R19">
        <f t="shared" si="7"/>
        <v>0.3626650259067839</v>
      </c>
      <c r="S19">
        <f t="shared" si="8"/>
        <v>2.905492037852933</v>
      </c>
      <c r="T19">
        <f t="shared" si="9"/>
        <v>0.33926260416560178</v>
      </c>
      <c r="U19">
        <f t="shared" si="10"/>
        <v>0.21401577385678339</v>
      </c>
      <c r="V19">
        <f t="shared" si="11"/>
        <v>289.58662501273415</v>
      </c>
      <c r="W19">
        <f t="shared" si="12"/>
        <v>30.457757819038644</v>
      </c>
      <c r="X19">
        <f t="shared" si="13"/>
        <v>29.988399999999999</v>
      </c>
      <c r="Y19">
        <f t="shared" si="14"/>
        <v>4.2576118822538902</v>
      </c>
      <c r="Z19">
        <f t="shared" si="15"/>
        <v>60.760044766985729</v>
      </c>
      <c r="AA19">
        <f t="shared" si="16"/>
        <v>2.6263883586032</v>
      </c>
      <c r="AB19">
        <f t="shared" si="17"/>
        <v>4.3225583007309778</v>
      </c>
      <c r="AC19">
        <f t="shared" si="18"/>
        <v>1.6312235236506902</v>
      </c>
      <c r="AD19">
        <f t="shared" si="19"/>
        <v>-254.91760671792591</v>
      </c>
      <c r="AE19">
        <f t="shared" si="20"/>
        <v>41.32186592325904</v>
      </c>
      <c r="AF19">
        <f t="shared" si="21"/>
        <v>3.1660414100313012</v>
      </c>
      <c r="AG19">
        <f t="shared" si="22"/>
        <v>79.156925628098591</v>
      </c>
      <c r="AH19">
        <v>0</v>
      </c>
      <c r="AI19">
        <v>0</v>
      </c>
      <c r="AJ19">
        <f t="shared" si="23"/>
        <v>1</v>
      </c>
      <c r="AK19">
        <f t="shared" si="24"/>
        <v>0</v>
      </c>
      <c r="AL19">
        <f t="shared" si="25"/>
        <v>51605.414824952917</v>
      </c>
      <c r="AM19" t="s">
        <v>414</v>
      </c>
      <c r="AN19">
        <v>7361.72</v>
      </c>
      <c r="AO19">
        <v>541.39076923076925</v>
      </c>
      <c r="AP19">
        <v>2141.9899999999998</v>
      </c>
      <c r="AQ19">
        <f t="shared" si="26"/>
        <v>0.74724869433061347</v>
      </c>
      <c r="AR19">
        <v>-0.96077199609010144</v>
      </c>
      <c r="AS19" t="s">
        <v>435</v>
      </c>
      <c r="AT19">
        <v>7346.92</v>
      </c>
      <c r="AU19">
        <v>732.54939999999999</v>
      </c>
      <c r="AV19">
        <v>937.11796183940544</v>
      </c>
      <c r="AW19">
        <f t="shared" si="27"/>
        <v>0.21829542295600834</v>
      </c>
      <c r="AX19">
        <v>0.5</v>
      </c>
      <c r="AY19">
        <f t="shared" si="28"/>
        <v>1513.263300006598</v>
      </c>
      <c r="AZ19">
        <f t="shared" si="29"/>
        <v>25.514880324597058</v>
      </c>
      <c r="BA19">
        <f t="shared" si="30"/>
        <v>165.16922605937262</v>
      </c>
      <c r="BB19">
        <f t="shared" si="31"/>
        <v>1.7495734100319307E-2</v>
      </c>
      <c r="BC19">
        <f t="shared" si="32"/>
        <v>1.2857207814004894</v>
      </c>
      <c r="BD19">
        <f t="shared" si="33"/>
        <v>408.60679663947622</v>
      </c>
      <c r="BE19" t="s">
        <v>436</v>
      </c>
      <c r="BF19">
        <v>539.53</v>
      </c>
      <c r="BG19">
        <f t="shared" si="34"/>
        <v>539.53</v>
      </c>
      <c r="BH19">
        <f t="shared" si="35"/>
        <v>0.42426671777692426</v>
      </c>
      <c r="BI19">
        <f t="shared" si="36"/>
        <v>0.51452403360752452</v>
      </c>
      <c r="BJ19">
        <f t="shared" si="37"/>
        <v>0.7518889945212951</v>
      </c>
      <c r="BK19">
        <f t="shared" si="38"/>
        <v>0.51694340358793178</v>
      </c>
      <c r="BL19">
        <f t="shared" si="39"/>
        <v>0.75276309959336052</v>
      </c>
      <c r="BM19">
        <f t="shared" si="40"/>
        <v>0.37895212507479731</v>
      </c>
      <c r="BN19">
        <f t="shared" si="41"/>
        <v>0.62104787492520264</v>
      </c>
      <c r="BO19">
        <v>1435</v>
      </c>
      <c r="BP19">
        <v>290.00000000000011</v>
      </c>
      <c r="BQ19">
        <v>874.55</v>
      </c>
      <c r="BR19">
        <v>295</v>
      </c>
      <c r="BS19">
        <v>7346.92</v>
      </c>
      <c r="BT19">
        <v>875.36</v>
      </c>
      <c r="BU19">
        <v>-0.81</v>
      </c>
      <c r="BV19">
        <v>300.00000000000011</v>
      </c>
      <c r="BW19">
        <v>37.9</v>
      </c>
      <c r="BX19">
        <v>937.11796183940544</v>
      </c>
      <c r="BY19">
        <v>1.2465288327499779</v>
      </c>
      <c r="BZ19">
        <v>-45.372899607667662</v>
      </c>
      <c r="CA19">
        <v>0.7677843220413012</v>
      </c>
      <c r="CB19">
        <v>0.99204618775844189</v>
      </c>
      <c r="CC19">
        <v>-7.2378556173526218E-3</v>
      </c>
      <c r="CD19">
        <v>289.99999999999989</v>
      </c>
      <c r="CE19">
        <v>877.48</v>
      </c>
      <c r="CF19">
        <v>865</v>
      </c>
      <c r="CG19">
        <v>7337.21</v>
      </c>
      <c r="CH19">
        <v>875.28</v>
      </c>
      <c r="CI19">
        <v>2.2000000000000002</v>
      </c>
      <c r="CW19">
        <f t="shared" si="42"/>
        <v>1800.09</v>
      </c>
      <c r="CX19">
        <f t="shared" si="43"/>
        <v>1513.263300006598</v>
      </c>
      <c r="CY19">
        <f t="shared" si="44"/>
        <v>0.84065980034698162</v>
      </c>
      <c r="CZ19">
        <f t="shared" si="45"/>
        <v>0.16087341466967439</v>
      </c>
      <c r="DA19">
        <v>6</v>
      </c>
      <c r="DB19">
        <v>0.5</v>
      </c>
      <c r="DC19" t="s">
        <v>415</v>
      </c>
      <c r="DD19">
        <v>2</v>
      </c>
      <c r="DE19">
        <v>1691163365.5999999</v>
      </c>
      <c r="DF19">
        <v>168.21700000000001</v>
      </c>
      <c r="DG19">
        <v>200.001</v>
      </c>
      <c r="DH19">
        <v>26.480799999999999</v>
      </c>
      <c r="DI19">
        <v>19.728100000000001</v>
      </c>
      <c r="DJ19">
        <v>168.75200000000001</v>
      </c>
      <c r="DK19">
        <v>26.130500000000001</v>
      </c>
      <c r="DL19">
        <v>500.01100000000002</v>
      </c>
      <c r="DM19">
        <v>99.080799999999996</v>
      </c>
      <c r="DN19">
        <v>0.100054</v>
      </c>
      <c r="DO19">
        <v>30.252199999999998</v>
      </c>
      <c r="DP19">
        <v>29.988399999999999</v>
      </c>
      <c r="DQ19">
        <v>999.9</v>
      </c>
      <c r="DR19">
        <v>0</v>
      </c>
      <c r="DS19">
        <v>0</v>
      </c>
      <c r="DT19">
        <v>9955</v>
      </c>
      <c r="DU19">
        <v>0</v>
      </c>
      <c r="DV19">
        <v>1893.92</v>
      </c>
      <c r="DW19">
        <v>-31.783899999999999</v>
      </c>
      <c r="DX19">
        <v>172.79300000000001</v>
      </c>
      <c r="DY19">
        <v>204.02600000000001</v>
      </c>
      <c r="DZ19">
        <v>6.7526700000000002</v>
      </c>
      <c r="EA19">
        <v>200.001</v>
      </c>
      <c r="EB19">
        <v>19.728100000000001</v>
      </c>
      <c r="EC19">
        <v>2.6237400000000002</v>
      </c>
      <c r="ED19">
        <v>1.95468</v>
      </c>
      <c r="EE19">
        <v>21.815100000000001</v>
      </c>
      <c r="EF19">
        <v>17.081900000000001</v>
      </c>
      <c r="EG19">
        <v>1800.09</v>
      </c>
      <c r="EH19">
        <v>0.97800799999999999</v>
      </c>
      <c r="EI19">
        <v>2.19922E-2</v>
      </c>
      <c r="EJ19">
        <v>0</v>
      </c>
      <c r="EK19">
        <v>733.08500000000004</v>
      </c>
      <c r="EL19">
        <v>9.9989999999999996E-2</v>
      </c>
      <c r="EM19">
        <v>14158.9</v>
      </c>
      <c r="EN19">
        <v>16706.099999999999</v>
      </c>
      <c r="EO19">
        <v>46.75</v>
      </c>
      <c r="EP19">
        <v>48.686999999999998</v>
      </c>
      <c r="EQ19">
        <v>47.686999999999998</v>
      </c>
      <c r="ER19">
        <v>47.25</v>
      </c>
      <c r="ES19">
        <v>47.936999999999998</v>
      </c>
      <c r="ET19">
        <v>1760.4</v>
      </c>
      <c r="EU19">
        <v>39.590000000000003</v>
      </c>
      <c r="EV19">
        <v>0</v>
      </c>
      <c r="EW19">
        <v>97.799999952316284</v>
      </c>
      <c r="EX19">
        <v>0</v>
      </c>
      <c r="EY19">
        <v>732.54939999999999</v>
      </c>
      <c r="EZ19">
        <v>-1.6273077394526549</v>
      </c>
      <c r="FA19">
        <v>-112.26923063766159</v>
      </c>
      <c r="FB19">
        <v>14169.263999999999</v>
      </c>
      <c r="FC19">
        <v>15</v>
      </c>
      <c r="FD19">
        <v>1691163337.5999999</v>
      </c>
      <c r="FE19" t="s">
        <v>437</v>
      </c>
      <c r="FF19">
        <v>1691163327.0999999</v>
      </c>
      <c r="FG19">
        <v>1691163337.5999999</v>
      </c>
      <c r="FH19">
        <v>22</v>
      </c>
      <c r="FI19">
        <v>5.2999999999999999E-2</v>
      </c>
      <c r="FJ19">
        <v>2E-3</v>
      </c>
      <c r="FK19">
        <v>-0.56999999999999995</v>
      </c>
      <c r="FL19">
        <v>0.127</v>
      </c>
      <c r="FM19">
        <v>200</v>
      </c>
      <c r="FN19">
        <v>20</v>
      </c>
      <c r="FO19">
        <v>0.15</v>
      </c>
      <c r="FP19">
        <v>0.03</v>
      </c>
      <c r="FQ19">
        <v>25.417439131884109</v>
      </c>
      <c r="FR19">
        <v>-0.19415044861676131</v>
      </c>
      <c r="FS19">
        <v>6.9149648720752799E-2</v>
      </c>
      <c r="FT19">
        <v>1</v>
      </c>
      <c r="FU19">
        <v>0.36075104755713733</v>
      </c>
      <c r="FV19">
        <v>3.9679084407290337E-2</v>
      </c>
      <c r="FW19">
        <v>3.8655272007414778E-3</v>
      </c>
      <c r="FX19">
        <v>1</v>
      </c>
      <c r="FY19">
        <v>2</v>
      </c>
      <c r="FZ19">
        <v>2</v>
      </c>
      <c r="GA19" t="s">
        <v>416</v>
      </c>
      <c r="GB19">
        <v>2.96828</v>
      </c>
      <c r="GC19">
        <v>2.8113600000000001</v>
      </c>
      <c r="GD19">
        <v>4.6314000000000001E-2</v>
      </c>
      <c r="GE19">
        <v>5.3374199999999997E-2</v>
      </c>
      <c r="GF19">
        <v>0.12685199999999999</v>
      </c>
      <c r="GG19">
        <v>0.102647</v>
      </c>
      <c r="GH19">
        <v>28072.6</v>
      </c>
      <c r="GI19">
        <v>25759.3</v>
      </c>
      <c r="GJ19">
        <v>26464.1</v>
      </c>
      <c r="GK19">
        <v>25682.6</v>
      </c>
      <c r="GL19">
        <v>31450.1</v>
      </c>
      <c r="GM19">
        <v>32531.5</v>
      </c>
      <c r="GN19">
        <v>37468.9</v>
      </c>
      <c r="GO19">
        <v>38076.199999999997</v>
      </c>
      <c r="GP19">
        <v>1.9411</v>
      </c>
      <c r="GQ19">
        <v>1.9063000000000001</v>
      </c>
      <c r="GR19">
        <v>-1.73151E-2</v>
      </c>
      <c r="GS19">
        <v>0</v>
      </c>
      <c r="GT19">
        <v>30.270099999999999</v>
      </c>
      <c r="GU19">
        <v>999.9</v>
      </c>
      <c r="GV19">
        <v>35.1</v>
      </c>
      <c r="GW19">
        <v>40.6</v>
      </c>
      <c r="GX19">
        <v>27.116800000000001</v>
      </c>
      <c r="GY19">
        <v>61.671700000000001</v>
      </c>
      <c r="GZ19">
        <v>13.541700000000001</v>
      </c>
      <c r="HA19">
        <v>1</v>
      </c>
      <c r="HB19">
        <v>0.50249999999999995</v>
      </c>
      <c r="HC19">
        <v>3.5232199999999998</v>
      </c>
      <c r="HD19">
        <v>20.213899999999999</v>
      </c>
      <c r="HE19">
        <v>5.2059100000000003</v>
      </c>
      <c r="HF19">
        <v>11.9381</v>
      </c>
      <c r="HG19">
        <v>4.9870000000000001</v>
      </c>
      <c r="HH19">
        <v>3.2909999999999999</v>
      </c>
      <c r="HI19">
        <v>9999</v>
      </c>
      <c r="HJ19">
        <v>9999</v>
      </c>
      <c r="HK19">
        <v>9999</v>
      </c>
      <c r="HL19">
        <v>999.9</v>
      </c>
      <c r="HM19">
        <v>1.8711899999999999</v>
      </c>
      <c r="HN19">
        <v>1.8772800000000001</v>
      </c>
      <c r="HO19">
        <v>1.875</v>
      </c>
      <c r="HP19">
        <v>1.8733200000000001</v>
      </c>
      <c r="HQ19">
        <v>1.87378</v>
      </c>
      <c r="HR19">
        <v>1.8711899999999999</v>
      </c>
      <c r="HS19">
        <v>1.87706</v>
      </c>
      <c r="HT19">
        <v>1.87622</v>
      </c>
      <c r="HU19">
        <v>5</v>
      </c>
      <c r="HV19">
        <v>0</v>
      </c>
      <c r="HW19">
        <v>0</v>
      </c>
      <c r="HX19">
        <v>0</v>
      </c>
      <c r="HY19" t="s">
        <v>417</v>
      </c>
      <c r="HZ19" t="s">
        <v>418</v>
      </c>
      <c r="IA19" t="s">
        <v>419</v>
      </c>
      <c r="IB19" t="s">
        <v>420</v>
      </c>
      <c r="IC19" t="s">
        <v>420</v>
      </c>
      <c r="ID19" t="s">
        <v>419</v>
      </c>
      <c r="IE19">
        <v>0</v>
      </c>
      <c r="IF19">
        <v>100</v>
      </c>
      <c r="IG19">
        <v>100</v>
      </c>
      <c r="IH19">
        <v>-0.53500000000000003</v>
      </c>
      <c r="II19">
        <v>0.3503</v>
      </c>
      <c r="IJ19">
        <v>-0.30219139412023888</v>
      </c>
      <c r="IK19">
        <v>-1.615681629159814E-3</v>
      </c>
      <c r="IL19">
        <v>1.5005605225991581E-6</v>
      </c>
      <c r="IM19">
        <v>-5.1143626075267638E-10</v>
      </c>
      <c r="IN19">
        <v>-0.184441758181242</v>
      </c>
      <c r="IO19">
        <v>-1.7182111142928099E-3</v>
      </c>
      <c r="IP19">
        <v>9.9985895407488957E-4</v>
      </c>
      <c r="IQ19">
        <v>-5.7750407166627208E-6</v>
      </c>
      <c r="IR19">
        <v>3</v>
      </c>
      <c r="IS19">
        <v>2181</v>
      </c>
      <c r="IT19">
        <v>2</v>
      </c>
      <c r="IU19">
        <v>42</v>
      </c>
      <c r="IV19">
        <v>0.6</v>
      </c>
      <c r="IW19">
        <v>0.5</v>
      </c>
      <c r="IX19">
        <v>0.55542000000000002</v>
      </c>
      <c r="IY19">
        <v>2.52075</v>
      </c>
      <c r="IZ19">
        <v>1.5991200000000001</v>
      </c>
      <c r="JA19">
        <v>2.2729499999999998</v>
      </c>
      <c r="JB19">
        <v>1.5502899999999999</v>
      </c>
      <c r="JC19">
        <v>2.3730500000000001</v>
      </c>
      <c r="JD19">
        <v>45.375799999999998</v>
      </c>
      <c r="JE19">
        <v>23.710999999999999</v>
      </c>
      <c r="JF19">
        <v>18</v>
      </c>
      <c r="JG19">
        <v>504.69900000000001</v>
      </c>
      <c r="JH19">
        <v>451.25700000000001</v>
      </c>
      <c r="JI19">
        <v>25.13</v>
      </c>
      <c r="JJ19">
        <v>33.6053</v>
      </c>
      <c r="JK19">
        <v>30</v>
      </c>
      <c r="JL19">
        <v>33.611400000000003</v>
      </c>
      <c r="JM19">
        <v>33.581699999999998</v>
      </c>
      <c r="JN19">
        <v>11.166399999999999</v>
      </c>
      <c r="JO19">
        <v>33.617100000000001</v>
      </c>
      <c r="JP19">
        <v>0</v>
      </c>
      <c r="JQ19">
        <v>25.136600000000001</v>
      </c>
      <c r="JR19">
        <v>200</v>
      </c>
      <c r="JS19">
        <v>19.5867</v>
      </c>
      <c r="JT19">
        <v>98.814499999999995</v>
      </c>
      <c r="JU19">
        <v>98.828199999999995</v>
      </c>
    </row>
    <row r="20" spans="1:281" x14ac:dyDescent="0.25">
      <c r="A20">
        <v>4</v>
      </c>
      <c r="B20">
        <v>1691163468.0999999</v>
      </c>
      <c r="C20">
        <v>3737.5</v>
      </c>
      <c r="D20" t="s">
        <v>438</v>
      </c>
      <c r="E20" t="s">
        <v>439</v>
      </c>
      <c r="F20" t="s">
        <v>411</v>
      </c>
      <c r="G20" t="s">
        <v>413</v>
      </c>
      <c r="H20" t="s">
        <v>422</v>
      </c>
      <c r="I20" t="s">
        <v>413</v>
      </c>
      <c r="J20">
        <v>1691163468.0999999</v>
      </c>
      <c r="K20">
        <f t="shared" si="0"/>
        <v>6.3809605824773083E-3</v>
      </c>
      <c r="L20">
        <f t="shared" si="1"/>
        <v>6.3809605824773081</v>
      </c>
      <c r="M20">
        <f t="shared" si="2"/>
        <v>16.485272290322925</v>
      </c>
      <c r="N20">
        <f t="shared" si="3"/>
        <v>99.436899999999994</v>
      </c>
      <c r="O20">
        <f t="shared" si="4"/>
        <v>27.786025590363032</v>
      </c>
      <c r="P20">
        <f t="shared" si="5"/>
        <v>2.7558118301043062</v>
      </c>
      <c r="Q20">
        <f t="shared" si="6"/>
        <v>9.8621295974023688</v>
      </c>
      <c r="R20">
        <f t="shared" si="7"/>
        <v>0.40178005406463324</v>
      </c>
      <c r="S20">
        <f t="shared" si="8"/>
        <v>2.9168805782145069</v>
      </c>
      <c r="T20">
        <f t="shared" si="9"/>
        <v>0.37337291869890055</v>
      </c>
      <c r="U20">
        <f t="shared" si="10"/>
        <v>0.23574275493755675</v>
      </c>
      <c r="V20">
        <f t="shared" si="11"/>
        <v>289.56384301274164</v>
      </c>
      <c r="W20">
        <f t="shared" si="12"/>
        <v>30.322626191393027</v>
      </c>
      <c r="X20">
        <f t="shared" si="13"/>
        <v>29.9879</v>
      </c>
      <c r="Y20">
        <f t="shared" si="14"/>
        <v>4.2574895964460433</v>
      </c>
      <c r="Z20">
        <f t="shared" si="15"/>
        <v>60.564779958435658</v>
      </c>
      <c r="AA20">
        <f t="shared" si="16"/>
        <v>2.6212818421280799</v>
      </c>
      <c r="AB20">
        <f t="shared" si="17"/>
        <v>4.3280630160416846</v>
      </c>
      <c r="AC20">
        <f t="shared" si="18"/>
        <v>1.6362077543179634</v>
      </c>
      <c r="AD20">
        <f t="shared" si="19"/>
        <v>-281.4003616872493</v>
      </c>
      <c r="AE20">
        <f t="shared" si="20"/>
        <v>45.05351903241872</v>
      </c>
      <c r="AF20">
        <f t="shared" si="21"/>
        <v>3.4388487580300926</v>
      </c>
      <c r="AG20">
        <f t="shared" si="22"/>
        <v>56.655849115941137</v>
      </c>
      <c r="AH20">
        <v>0</v>
      </c>
      <c r="AI20">
        <v>0</v>
      </c>
      <c r="AJ20">
        <f t="shared" si="23"/>
        <v>1</v>
      </c>
      <c r="AK20">
        <f t="shared" si="24"/>
        <v>0</v>
      </c>
      <c r="AL20">
        <f t="shared" si="25"/>
        <v>51925.166618282885</v>
      </c>
      <c r="AM20" t="s">
        <v>414</v>
      </c>
      <c r="AN20">
        <v>7361.72</v>
      </c>
      <c r="AO20">
        <v>541.39076923076925</v>
      </c>
      <c r="AP20">
        <v>2141.9899999999998</v>
      </c>
      <c r="AQ20">
        <f t="shared" si="26"/>
        <v>0.74724869433061347</v>
      </c>
      <c r="AR20">
        <v>-0.96077199609010144</v>
      </c>
      <c r="AS20" t="s">
        <v>440</v>
      </c>
      <c r="AT20">
        <v>7347.54</v>
      </c>
      <c r="AU20">
        <v>747.20100000000002</v>
      </c>
      <c r="AV20">
        <v>889.21961182702103</v>
      </c>
      <c r="AW20">
        <f t="shared" si="27"/>
        <v>0.15971151551102736</v>
      </c>
      <c r="AX20">
        <v>0.5</v>
      </c>
      <c r="AY20">
        <f t="shared" si="28"/>
        <v>1513.137900006602</v>
      </c>
      <c r="AZ20">
        <f t="shared" si="29"/>
        <v>16.485272290322925</v>
      </c>
      <c r="BA20">
        <f t="shared" si="30"/>
        <v>120.83277359361389</v>
      </c>
      <c r="BB20">
        <f t="shared" si="31"/>
        <v>1.1529712054887335E-2</v>
      </c>
      <c r="BC20">
        <f t="shared" si="32"/>
        <v>1.4088425080942535</v>
      </c>
      <c r="BD20">
        <f t="shared" si="33"/>
        <v>399.23017896542495</v>
      </c>
      <c r="BE20" t="s">
        <v>441</v>
      </c>
      <c r="BF20">
        <v>543.73</v>
      </c>
      <c r="BG20">
        <f t="shared" si="34"/>
        <v>543.73</v>
      </c>
      <c r="BH20">
        <f t="shared" si="35"/>
        <v>0.38853125508238195</v>
      </c>
      <c r="BI20">
        <f t="shared" si="36"/>
        <v>0.41106478158922644</v>
      </c>
      <c r="BJ20">
        <f t="shared" si="37"/>
        <v>0.78383391198739816</v>
      </c>
      <c r="BK20">
        <f t="shared" si="38"/>
        <v>0.40830027425837001</v>
      </c>
      <c r="BL20">
        <f t="shared" si="39"/>
        <v>0.78268836076530601</v>
      </c>
      <c r="BM20">
        <f t="shared" si="40"/>
        <v>0.29912734818811815</v>
      </c>
      <c r="BN20">
        <f t="shared" si="41"/>
        <v>0.70087265181188185</v>
      </c>
      <c r="BO20">
        <v>1437</v>
      </c>
      <c r="BP20">
        <v>290.00000000000011</v>
      </c>
      <c r="BQ20">
        <v>849.3</v>
      </c>
      <c r="BR20">
        <v>265</v>
      </c>
      <c r="BS20">
        <v>7347.54</v>
      </c>
      <c r="BT20">
        <v>849.94</v>
      </c>
      <c r="BU20">
        <v>-0.64</v>
      </c>
      <c r="BV20">
        <v>300.00000000000011</v>
      </c>
      <c r="BW20">
        <v>37.9</v>
      </c>
      <c r="BX20">
        <v>889.21961182702103</v>
      </c>
      <c r="BY20">
        <v>1.253101524276252</v>
      </c>
      <c r="BZ20">
        <v>-28.864182373113699</v>
      </c>
      <c r="CA20">
        <v>0.77179796598228834</v>
      </c>
      <c r="CB20">
        <v>0.98037370043978433</v>
      </c>
      <c r="CC20">
        <v>-7.2374206896551746E-3</v>
      </c>
      <c r="CD20">
        <v>289.99999999999989</v>
      </c>
      <c r="CE20">
        <v>850.56</v>
      </c>
      <c r="CF20">
        <v>655</v>
      </c>
      <c r="CG20">
        <v>7342.31</v>
      </c>
      <c r="CH20">
        <v>849.91</v>
      </c>
      <c r="CI20">
        <v>0.65</v>
      </c>
      <c r="CW20">
        <f t="shared" si="42"/>
        <v>1799.94</v>
      </c>
      <c r="CX20">
        <f t="shared" si="43"/>
        <v>1513.137900006602</v>
      </c>
      <c r="CY20">
        <f t="shared" si="44"/>
        <v>0.84066018867662362</v>
      </c>
      <c r="CZ20">
        <f t="shared" si="45"/>
        <v>0.16087416414588354</v>
      </c>
      <c r="DA20">
        <v>6</v>
      </c>
      <c r="DB20">
        <v>0.5</v>
      </c>
      <c r="DC20" t="s">
        <v>415</v>
      </c>
      <c r="DD20">
        <v>2</v>
      </c>
      <c r="DE20">
        <v>1691163468.0999999</v>
      </c>
      <c r="DF20">
        <v>99.436899999999994</v>
      </c>
      <c r="DG20">
        <v>119.98399999999999</v>
      </c>
      <c r="DH20">
        <v>26.429600000000001</v>
      </c>
      <c r="DI20">
        <v>18.973600000000001</v>
      </c>
      <c r="DJ20">
        <v>99.851900000000001</v>
      </c>
      <c r="DK20">
        <v>26.086400000000001</v>
      </c>
      <c r="DL20">
        <v>499.91800000000001</v>
      </c>
      <c r="DM20">
        <v>99.081400000000002</v>
      </c>
      <c r="DN20">
        <v>9.8377300000000001E-2</v>
      </c>
      <c r="DO20">
        <v>30.2744</v>
      </c>
      <c r="DP20">
        <v>29.9879</v>
      </c>
      <c r="DQ20">
        <v>999.9</v>
      </c>
      <c r="DR20">
        <v>0</v>
      </c>
      <c r="DS20">
        <v>0</v>
      </c>
      <c r="DT20">
        <v>10020</v>
      </c>
      <c r="DU20">
        <v>0</v>
      </c>
      <c r="DV20">
        <v>1894.75</v>
      </c>
      <c r="DW20">
        <v>-20.546700000000001</v>
      </c>
      <c r="DX20">
        <v>102.136</v>
      </c>
      <c r="DY20">
        <v>122.304</v>
      </c>
      <c r="DZ20">
        <v>7.4559499999999996</v>
      </c>
      <c r="EA20">
        <v>119.98399999999999</v>
      </c>
      <c r="EB20">
        <v>18.973600000000001</v>
      </c>
      <c r="EC20">
        <v>2.6186799999999999</v>
      </c>
      <c r="ED20">
        <v>1.8799300000000001</v>
      </c>
      <c r="EE20">
        <v>21.7835</v>
      </c>
      <c r="EF20">
        <v>16.4678</v>
      </c>
      <c r="EG20">
        <v>1799.94</v>
      </c>
      <c r="EH20">
        <v>0.97799000000000003</v>
      </c>
      <c r="EI20">
        <v>2.2009500000000001E-2</v>
      </c>
      <c r="EJ20">
        <v>0</v>
      </c>
      <c r="EK20">
        <v>747.70500000000004</v>
      </c>
      <c r="EL20">
        <v>9.9989999999999996E-2</v>
      </c>
      <c r="EM20">
        <v>14405.3</v>
      </c>
      <c r="EN20">
        <v>16704.7</v>
      </c>
      <c r="EO20">
        <v>46.811999999999998</v>
      </c>
      <c r="EP20">
        <v>48.811999999999998</v>
      </c>
      <c r="EQ20">
        <v>47.75</v>
      </c>
      <c r="ER20">
        <v>47.375</v>
      </c>
      <c r="ES20">
        <v>48</v>
      </c>
      <c r="ET20">
        <v>1760.23</v>
      </c>
      <c r="EU20">
        <v>39.61</v>
      </c>
      <c r="EV20">
        <v>0</v>
      </c>
      <c r="EW20">
        <v>100.2000000476837</v>
      </c>
      <c r="EX20">
        <v>0</v>
      </c>
      <c r="EY20">
        <v>747.20100000000002</v>
      </c>
      <c r="EZ20">
        <v>-3.6376924183488519</v>
      </c>
      <c r="FA20">
        <v>-101.4230766759546</v>
      </c>
      <c r="FB20">
        <v>14419.828</v>
      </c>
      <c r="FC20">
        <v>15</v>
      </c>
      <c r="FD20">
        <v>1691163436.0999999</v>
      </c>
      <c r="FE20" t="s">
        <v>442</v>
      </c>
      <c r="FF20">
        <v>1691163431.0999999</v>
      </c>
      <c r="FG20">
        <v>1691163436.0999999</v>
      </c>
      <c r="FH20">
        <v>23</v>
      </c>
      <c r="FI20">
        <v>3.4000000000000002E-2</v>
      </c>
      <c r="FJ20">
        <v>-5.0000000000000001E-3</v>
      </c>
      <c r="FK20">
        <v>-0.442</v>
      </c>
      <c r="FL20">
        <v>0.105</v>
      </c>
      <c r="FM20">
        <v>120</v>
      </c>
      <c r="FN20">
        <v>19</v>
      </c>
      <c r="FO20">
        <v>0.16</v>
      </c>
      <c r="FP20">
        <v>0.03</v>
      </c>
      <c r="FQ20">
        <v>16.397405668175178</v>
      </c>
      <c r="FR20">
        <v>0.39355395977675239</v>
      </c>
      <c r="FS20">
        <v>5.0862774390538927E-2</v>
      </c>
      <c r="FT20">
        <v>1</v>
      </c>
      <c r="FU20">
        <v>0.40363302588078082</v>
      </c>
      <c r="FV20">
        <v>3.6639452813793508E-2</v>
      </c>
      <c r="FW20">
        <v>3.7952967822557559E-3</v>
      </c>
      <c r="FX20">
        <v>1</v>
      </c>
      <c r="FY20">
        <v>2</v>
      </c>
      <c r="FZ20">
        <v>2</v>
      </c>
      <c r="GA20" t="s">
        <v>416</v>
      </c>
      <c r="GB20">
        <v>2.96801</v>
      </c>
      <c r="GC20">
        <v>2.8102399999999998</v>
      </c>
      <c r="GD20">
        <v>2.8261000000000001E-2</v>
      </c>
      <c r="GE20">
        <v>3.3301699999999997E-2</v>
      </c>
      <c r="GF20">
        <v>0.126695</v>
      </c>
      <c r="GG20">
        <v>9.9818199999999996E-2</v>
      </c>
      <c r="GH20">
        <v>28603.7</v>
      </c>
      <c r="GI20">
        <v>26304.5</v>
      </c>
      <c r="GJ20">
        <v>26464.1</v>
      </c>
      <c r="GK20">
        <v>25681.8</v>
      </c>
      <c r="GL20">
        <v>31454.3</v>
      </c>
      <c r="GM20">
        <v>32631.4</v>
      </c>
      <c r="GN20">
        <v>37468.400000000001</v>
      </c>
      <c r="GO20">
        <v>38074.800000000003</v>
      </c>
      <c r="GP20">
        <v>1.9410000000000001</v>
      </c>
      <c r="GQ20">
        <v>1.9045000000000001</v>
      </c>
      <c r="GR20">
        <v>-2.02507E-2</v>
      </c>
      <c r="GS20">
        <v>0</v>
      </c>
      <c r="GT20">
        <v>30.317399999999999</v>
      </c>
      <c r="GU20">
        <v>999.9</v>
      </c>
      <c r="GV20">
        <v>35</v>
      </c>
      <c r="GW20">
        <v>40.700000000000003</v>
      </c>
      <c r="GX20">
        <v>27.184699999999999</v>
      </c>
      <c r="GY20">
        <v>61.601700000000001</v>
      </c>
      <c r="GZ20">
        <v>13.0008</v>
      </c>
      <c r="HA20">
        <v>1</v>
      </c>
      <c r="HB20">
        <v>0.50314000000000003</v>
      </c>
      <c r="HC20">
        <v>3.2256800000000001</v>
      </c>
      <c r="HD20">
        <v>20.218</v>
      </c>
      <c r="HE20">
        <v>5.1975199999999999</v>
      </c>
      <c r="HF20">
        <v>11.9381</v>
      </c>
      <c r="HG20">
        <v>4.9843999999999999</v>
      </c>
      <c r="HH20">
        <v>3.2883</v>
      </c>
      <c r="HI20">
        <v>9999</v>
      </c>
      <c r="HJ20">
        <v>9999</v>
      </c>
      <c r="HK20">
        <v>9999</v>
      </c>
      <c r="HL20">
        <v>999.9</v>
      </c>
      <c r="HM20">
        <v>1.8711899999999999</v>
      </c>
      <c r="HN20">
        <v>1.8772899999999999</v>
      </c>
      <c r="HO20">
        <v>1.875</v>
      </c>
      <c r="HP20">
        <v>1.8733200000000001</v>
      </c>
      <c r="HQ20">
        <v>1.87378</v>
      </c>
      <c r="HR20">
        <v>1.8711899999999999</v>
      </c>
      <c r="HS20">
        <v>1.87703</v>
      </c>
      <c r="HT20">
        <v>1.87622</v>
      </c>
      <c r="HU20">
        <v>5</v>
      </c>
      <c r="HV20">
        <v>0</v>
      </c>
      <c r="HW20">
        <v>0</v>
      </c>
      <c r="HX20">
        <v>0</v>
      </c>
      <c r="HY20" t="s">
        <v>417</v>
      </c>
      <c r="HZ20" t="s">
        <v>418</v>
      </c>
      <c r="IA20" t="s">
        <v>419</v>
      </c>
      <c r="IB20" t="s">
        <v>420</v>
      </c>
      <c r="IC20" t="s">
        <v>420</v>
      </c>
      <c r="ID20" t="s">
        <v>419</v>
      </c>
      <c r="IE20">
        <v>0</v>
      </c>
      <c r="IF20">
        <v>100</v>
      </c>
      <c r="IG20">
        <v>100</v>
      </c>
      <c r="IH20">
        <v>-0.41499999999999998</v>
      </c>
      <c r="II20">
        <v>0.34320000000000001</v>
      </c>
      <c r="IJ20">
        <v>-0.26809092363973569</v>
      </c>
      <c r="IK20">
        <v>-1.615681629159814E-3</v>
      </c>
      <c r="IL20">
        <v>1.5005605225991581E-6</v>
      </c>
      <c r="IM20">
        <v>-5.1143626075267638E-10</v>
      </c>
      <c r="IN20">
        <v>-0.1898989504644355</v>
      </c>
      <c r="IO20">
        <v>-1.7182111142928099E-3</v>
      </c>
      <c r="IP20">
        <v>9.9985895407488957E-4</v>
      </c>
      <c r="IQ20">
        <v>-5.7750407166627208E-6</v>
      </c>
      <c r="IR20">
        <v>3</v>
      </c>
      <c r="IS20">
        <v>2181</v>
      </c>
      <c r="IT20">
        <v>2</v>
      </c>
      <c r="IU20">
        <v>42</v>
      </c>
      <c r="IV20">
        <v>0.6</v>
      </c>
      <c r="IW20">
        <v>0.5</v>
      </c>
      <c r="IX20">
        <v>0.390625</v>
      </c>
      <c r="IY20">
        <v>2.5390600000000001</v>
      </c>
      <c r="IZ20">
        <v>1.5991200000000001</v>
      </c>
      <c r="JA20">
        <v>2.2729499999999998</v>
      </c>
      <c r="JB20">
        <v>1.5502899999999999</v>
      </c>
      <c r="JC20">
        <v>2.3974600000000001</v>
      </c>
      <c r="JD20">
        <v>45.404299999999999</v>
      </c>
      <c r="JE20">
        <v>23.719799999999999</v>
      </c>
      <c r="JF20">
        <v>18</v>
      </c>
      <c r="JG20">
        <v>504.79700000000003</v>
      </c>
      <c r="JH20">
        <v>450.29399999999998</v>
      </c>
      <c r="JI20">
        <v>25.379000000000001</v>
      </c>
      <c r="JJ20">
        <v>33.638500000000001</v>
      </c>
      <c r="JK20">
        <v>30</v>
      </c>
      <c r="JL20">
        <v>33.6325</v>
      </c>
      <c r="JM20">
        <v>33.602699999999999</v>
      </c>
      <c r="JN20">
        <v>7.8512700000000004</v>
      </c>
      <c r="JO20">
        <v>36.392699999999998</v>
      </c>
      <c r="JP20">
        <v>0</v>
      </c>
      <c r="JQ20">
        <v>25.394400000000001</v>
      </c>
      <c r="JR20">
        <v>120</v>
      </c>
      <c r="JS20">
        <v>18.869</v>
      </c>
      <c r="JT20">
        <v>98.813699999999997</v>
      </c>
      <c r="JU20">
        <v>98.824700000000007</v>
      </c>
    </row>
    <row r="21" spans="1:281" x14ac:dyDescent="0.25">
      <c r="A21">
        <v>5</v>
      </c>
      <c r="B21">
        <v>1691163598.5999999</v>
      </c>
      <c r="C21">
        <v>3868</v>
      </c>
      <c r="D21" t="s">
        <v>443</v>
      </c>
      <c r="E21" t="s">
        <v>444</v>
      </c>
      <c r="F21" t="s">
        <v>411</v>
      </c>
      <c r="G21" t="s">
        <v>413</v>
      </c>
      <c r="H21" t="s">
        <v>422</v>
      </c>
      <c r="I21" t="s">
        <v>413</v>
      </c>
      <c r="J21">
        <v>1691163598.5999999</v>
      </c>
      <c r="K21">
        <f t="shared" si="0"/>
        <v>7.0752903401983423E-3</v>
      </c>
      <c r="L21">
        <f t="shared" si="1"/>
        <v>7.0752903401983422</v>
      </c>
      <c r="M21">
        <f t="shared" si="2"/>
        <v>10.435288114982235</v>
      </c>
      <c r="N21">
        <f t="shared" si="3"/>
        <v>57.0366</v>
      </c>
      <c r="O21">
        <f t="shared" si="4"/>
        <v>16.666075151191013</v>
      </c>
      <c r="P21">
        <f t="shared" si="5"/>
        <v>1.6529833603368334</v>
      </c>
      <c r="Q21">
        <f t="shared" si="6"/>
        <v>5.6570338171942192</v>
      </c>
      <c r="R21">
        <f t="shared" si="7"/>
        <v>0.45515746505779853</v>
      </c>
      <c r="S21">
        <f t="shared" si="8"/>
        <v>2.9212735770957519</v>
      </c>
      <c r="T21">
        <f t="shared" si="9"/>
        <v>0.41911393974084399</v>
      </c>
      <c r="U21">
        <f t="shared" si="10"/>
        <v>0.26494632080736474</v>
      </c>
      <c r="V21">
        <f t="shared" si="11"/>
        <v>289.60055101274003</v>
      </c>
      <c r="W21">
        <f t="shared" si="12"/>
        <v>30.208645359579904</v>
      </c>
      <c r="X21">
        <f t="shared" si="13"/>
        <v>29.9907</v>
      </c>
      <c r="Y21">
        <f t="shared" si="14"/>
        <v>4.2581744363970335</v>
      </c>
      <c r="Z21">
        <f t="shared" si="15"/>
        <v>60.812742568943655</v>
      </c>
      <c r="AA21">
        <f t="shared" si="16"/>
        <v>2.6420636860532798</v>
      </c>
      <c r="AB21">
        <f t="shared" si="17"/>
        <v>4.3445889371918414</v>
      </c>
      <c r="AC21">
        <f t="shared" si="18"/>
        <v>1.6161107503437537</v>
      </c>
      <c r="AD21">
        <f t="shared" si="19"/>
        <v>-312.02030400274691</v>
      </c>
      <c r="AE21">
        <f t="shared" si="20"/>
        <v>55.153593721152987</v>
      </c>
      <c r="AF21">
        <f t="shared" si="21"/>
        <v>4.2048795445822682</v>
      </c>
      <c r="AG21">
        <f t="shared" si="22"/>
        <v>36.938720275728343</v>
      </c>
      <c r="AH21">
        <v>0</v>
      </c>
      <c r="AI21">
        <v>0</v>
      </c>
      <c r="AJ21">
        <f t="shared" si="23"/>
        <v>1</v>
      </c>
      <c r="AK21">
        <f t="shared" si="24"/>
        <v>0</v>
      </c>
      <c r="AL21">
        <f t="shared" si="25"/>
        <v>52038.799929528177</v>
      </c>
      <c r="AM21" t="s">
        <v>414</v>
      </c>
      <c r="AN21">
        <v>7361.72</v>
      </c>
      <c r="AO21">
        <v>541.39076923076925</v>
      </c>
      <c r="AP21">
        <v>2141.9899999999998</v>
      </c>
      <c r="AQ21">
        <f t="shared" si="26"/>
        <v>0.74724869433061347</v>
      </c>
      <c r="AR21">
        <v>-0.96077199609010144</v>
      </c>
      <c r="AS21" t="s">
        <v>445</v>
      </c>
      <c r="AT21">
        <v>7347.98</v>
      </c>
      <c r="AU21">
        <v>754.61461538461538</v>
      </c>
      <c r="AV21">
        <v>847.49609576431362</v>
      </c>
      <c r="AW21">
        <f t="shared" si="27"/>
        <v>0.10959517199419444</v>
      </c>
      <c r="AX21">
        <v>0.5</v>
      </c>
      <c r="AY21">
        <f t="shared" si="28"/>
        <v>1513.331100006601</v>
      </c>
      <c r="AZ21">
        <f t="shared" si="29"/>
        <v>10.435288114982235</v>
      </c>
      <c r="BA21">
        <f t="shared" si="30"/>
        <v>82.926891094693445</v>
      </c>
      <c r="BB21">
        <f t="shared" si="31"/>
        <v>7.5304473099261811E-3</v>
      </c>
      <c r="BC21">
        <f t="shared" si="32"/>
        <v>1.5274334722076188</v>
      </c>
      <c r="BD21">
        <f t="shared" si="33"/>
        <v>390.59669496671836</v>
      </c>
      <c r="BE21" t="s">
        <v>446</v>
      </c>
      <c r="BF21">
        <v>560.94000000000005</v>
      </c>
      <c r="BG21">
        <f t="shared" si="34"/>
        <v>560.94000000000005</v>
      </c>
      <c r="BH21">
        <f t="shared" si="35"/>
        <v>0.3381208446817483</v>
      </c>
      <c r="BI21">
        <f t="shared" si="36"/>
        <v>0.324130185163087</v>
      </c>
      <c r="BJ21">
        <f t="shared" si="37"/>
        <v>0.81875582950297987</v>
      </c>
      <c r="BK21">
        <f t="shared" si="38"/>
        <v>0.30342980774468781</v>
      </c>
      <c r="BL21">
        <f t="shared" si="39"/>
        <v>0.80875579554887489</v>
      </c>
      <c r="BM21">
        <f t="shared" si="40"/>
        <v>0.24094098147398382</v>
      </c>
      <c r="BN21">
        <f t="shared" si="41"/>
        <v>0.7590590185260162</v>
      </c>
      <c r="BO21">
        <v>1439</v>
      </c>
      <c r="BP21">
        <v>290.00000000000011</v>
      </c>
      <c r="BQ21">
        <v>820.5</v>
      </c>
      <c r="BR21">
        <v>245</v>
      </c>
      <c r="BS21">
        <v>7347.98</v>
      </c>
      <c r="BT21">
        <v>820.41</v>
      </c>
      <c r="BU21">
        <v>0.09</v>
      </c>
      <c r="BV21">
        <v>300.00000000000011</v>
      </c>
      <c r="BW21">
        <v>37.9</v>
      </c>
      <c r="BX21">
        <v>847.49609576431362</v>
      </c>
      <c r="BY21">
        <v>1.1830035750776839</v>
      </c>
      <c r="BZ21">
        <v>-19.900469072751001</v>
      </c>
      <c r="CA21">
        <v>0.72856185348670732</v>
      </c>
      <c r="CB21">
        <v>0.96382870014177269</v>
      </c>
      <c r="CC21">
        <v>-7.2369147942157926E-3</v>
      </c>
      <c r="CD21">
        <v>289.99999999999989</v>
      </c>
      <c r="CE21">
        <v>819.43</v>
      </c>
      <c r="CF21">
        <v>675</v>
      </c>
      <c r="CG21">
        <v>7341.01</v>
      </c>
      <c r="CH21">
        <v>820.39</v>
      </c>
      <c r="CI21">
        <v>-0.96</v>
      </c>
      <c r="CW21">
        <f t="shared" si="42"/>
        <v>1800.17</v>
      </c>
      <c r="CX21">
        <f t="shared" si="43"/>
        <v>1513.331100006601</v>
      </c>
      <c r="CY21">
        <f t="shared" si="44"/>
        <v>0.84066010432714744</v>
      </c>
      <c r="CZ21">
        <f t="shared" si="45"/>
        <v>0.1608740013513946</v>
      </c>
      <c r="DA21">
        <v>6</v>
      </c>
      <c r="DB21">
        <v>0.5</v>
      </c>
      <c r="DC21" t="s">
        <v>415</v>
      </c>
      <c r="DD21">
        <v>2</v>
      </c>
      <c r="DE21">
        <v>1691163598.5999999</v>
      </c>
      <c r="DF21">
        <v>57.0366</v>
      </c>
      <c r="DG21">
        <v>70.045599999999993</v>
      </c>
      <c r="DH21">
        <v>26.638400000000001</v>
      </c>
      <c r="DI21">
        <v>18.372699999999998</v>
      </c>
      <c r="DJ21">
        <v>57.456000000000003</v>
      </c>
      <c r="DK21">
        <v>26.283200000000001</v>
      </c>
      <c r="DL21">
        <v>499.90800000000002</v>
      </c>
      <c r="DM21">
        <v>99.083100000000002</v>
      </c>
      <c r="DN21">
        <v>9.9421700000000002E-2</v>
      </c>
      <c r="DO21">
        <v>30.340900000000001</v>
      </c>
      <c r="DP21">
        <v>29.9907</v>
      </c>
      <c r="DQ21">
        <v>999.9</v>
      </c>
      <c r="DR21">
        <v>0</v>
      </c>
      <c r="DS21">
        <v>0</v>
      </c>
      <c r="DT21">
        <v>10045</v>
      </c>
      <c r="DU21">
        <v>0</v>
      </c>
      <c r="DV21">
        <v>1917.9</v>
      </c>
      <c r="DW21">
        <v>-13.009</v>
      </c>
      <c r="DX21">
        <v>58.597499999999997</v>
      </c>
      <c r="DY21">
        <v>71.3566</v>
      </c>
      <c r="DZ21">
        <v>8.26572</v>
      </c>
      <c r="EA21">
        <v>70.045599999999993</v>
      </c>
      <c r="EB21">
        <v>18.372699999999998</v>
      </c>
      <c r="EC21">
        <v>2.6394099999999998</v>
      </c>
      <c r="ED21">
        <v>1.8204199999999999</v>
      </c>
      <c r="EE21">
        <v>21.912700000000001</v>
      </c>
      <c r="EF21">
        <v>15.963200000000001</v>
      </c>
      <c r="EG21">
        <v>1800.17</v>
      </c>
      <c r="EH21">
        <v>0.97799400000000003</v>
      </c>
      <c r="EI21">
        <v>2.2006000000000001E-2</v>
      </c>
      <c r="EJ21">
        <v>0</v>
      </c>
      <c r="EK21">
        <v>754.19500000000005</v>
      </c>
      <c r="EL21">
        <v>9.9989999999999996E-2</v>
      </c>
      <c r="EM21">
        <v>14563.1</v>
      </c>
      <c r="EN21">
        <v>16706.900000000001</v>
      </c>
      <c r="EO21">
        <v>47</v>
      </c>
      <c r="EP21">
        <v>49</v>
      </c>
      <c r="EQ21">
        <v>47.875</v>
      </c>
      <c r="ER21">
        <v>47.561999999999998</v>
      </c>
      <c r="ES21">
        <v>48.125</v>
      </c>
      <c r="ET21">
        <v>1760.46</v>
      </c>
      <c r="EU21">
        <v>39.61</v>
      </c>
      <c r="EV21">
        <v>0</v>
      </c>
      <c r="EW21">
        <v>128.39999985694891</v>
      </c>
      <c r="EX21">
        <v>0</v>
      </c>
      <c r="EY21">
        <v>754.61461538461538</v>
      </c>
      <c r="EZ21">
        <v>-5.7237607199554006</v>
      </c>
      <c r="FA21">
        <v>-48.656410243433328</v>
      </c>
      <c r="FB21">
        <v>14569.14615384615</v>
      </c>
      <c r="FC21">
        <v>15</v>
      </c>
      <c r="FD21">
        <v>1691163569.0999999</v>
      </c>
      <c r="FE21" t="s">
        <v>447</v>
      </c>
      <c r="FF21">
        <v>1691163558.0999999</v>
      </c>
      <c r="FG21">
        <v>1691163569.0999999</v>
      </c>
      <c r="FH21">
        <v>24</v>
      </c>
      <c r="FI21">
        <v>-6.3E-2</v>
      </c>
      <c r="FJ21">
        <v>4.0000000000000001E-3</v>
      </c>
      <c r="FK21">
        <v>-0.438</v>
      </c>
      <c r="FL21">
        <v>8.6999999999999994E-2</v>
      </c>
      <c r="FM21">
        <v>70</v>
      </c>
      <c r="FN21">
        <v>19</v>
      </c>
      <c r="FO21">
        <v>0.48</v>
      </c>
      <c r="FP21">
        <v>0.03</v>
      </c>
      <c r="FQ21">
        <v>10.38947682545238</v>
      </c>
      <c r="FR21">
        <v>-0.50419490155853897</v>
      </c>
      <c r="FS21">
        <v>6.6818650464865251E-2</v>
      </c>
      <c r="FT21">
        <v>1</v>
      </c>
      <c r="FU21">
        <v>0.45192156550086582</v>
      </c>
      <c r="FV21">
        <v>3.6633179877496209E-2</v>
      </c>
      <c r="FW21">
        <v>3.5700878761353461E-3</v>
      </c>
      <c r="FX21">
        <v>1</v>
      </c>
      <c r="FY21">
        <v>2</v>
      </c>
      <c r="FZ21">
        <v>2</v>
      </c>
      <c r="GA21" t="s">
        <v>416</v>
      </c>
      <c r="GB21">
        <v>2.96794</v>
      </c>
      <c r="GC21">
        <v>2.8115100000000002</v>
      </c>
      <c r="GD21">
        <v>1.64581E-2</v>
      </c>
      <c r="GE21">
        <v>1.9765000000000001E-2</v>
      </c>
      <c r="GF21">
        <v>0.127359</v>
      </c>
      <c r="GG21">
        <v>9.7528599999999993E-2</v>
      </c>
      <c r="GH21">
        <v>28951.1</v>
      </c>
      <c r="GI21">
        <v>26671</v>
      </c>
      <c r="GJ21">
        <v>26464.400000000001</v>
      </c>
      <c r="GK21">
        <v>25680.400000000001</v>
      </c>
      <c r="GL21">
        <v>31429.599999999999</v>
      </c>
      <c r="GM21">
        <v>32712</v>
      </c>
      <c r="GN21">
        <v>37468.199999999997</v>
      </c>
      <c r="GO21">
        <v>38073</v>
      </c>
      <c r="GP21">
        <v>1.9404999999999999</v>
      </c>
      <c r="GQ21">
        <v>1.9018999999999999</v>
      </c>
      <c r="GR21">
        <v>-2.86847E-2</v>
      </c>
      <c r="GS21">
        <v>0</v>
      </c>
      <c r="GT21">
        <v>30.4573</v>
      </c>
      <c r="GU21">
        <v>999.9</v>
      </c>
      <c r="GV21">
        <v>34.9</v>
      </c>
      <c r="GW21">
        <v>40.700000000000003</v>
      </c>
      <c r="GX21">
        <v>27.105399999999999</v>
      </c>
      <c r="GY21">
        <v>61.741700000000002</v>
      </c>
      <c r="GZ21">
        <v>13.73</v>
      </c>
      <c r="HA21">
        <v>1</v>
      </c>
      <c r="HB21">
        <v>0.50522400000000001</v>
      </c>
      <c r="HC21">
        <v>2.9713799999999999</v>
      </c>
      <c r="HD21">
        <v>20.224799999999998</v>
      </c>
      <c r="HE21">
        <v>5.2053099999999999</v>
      </c>
      <c r="HF21">
        <v>11.9381</v>
      </c>
      <c r="HG21">
        <v>4.9870000000000001</v>
      </c>
      <c r="HH21">
        <v>3.2909999999999999</v>
      </c>
      <c r="HI21">
        <v>9999</v>
      </c>
      <c r="HJ21">
        <v>9999</v>
      </c>
      <c r="HK21">
        <v>9999</v>
      </c>
      <c r="HL21">
        <v>999.9</v>
      </c>
      <c r="HM21">
        <v>1.8711899999999999</v>
      </c>
      <c r="HN21">
        <v>1.8772899999999999</v>
      </c>
      <c r="HO21">
        <v>1.8750199999999999</v>
      </c>
      <c r="HP21">
        <v>1.8733200000000001</v>
      </c>
      <c r="HQ21">
        <v>1.87378</v>
      </c>
      <c r="HR21">
        <v>1.8711899999999999</v>
      </c>
      <c r="HS21">
        <v>1.8770800000000001</v>
      </c>
      <c r="HT21">
        <v>1.87622</v>
      </c>
      <c r="HU21">
        <v>5</v>
      </c>
      <c r="HV21">
        <v>0</v>
      </c>
      <c r="HW21">
        <v>0</v>
      </c>
      <c r="HX21">
        <v>0</v>
      </c>
      <c r="HY21" t="s">
        <v>417</v>
      </c>
      <c r="HZ21" t="s">
        <v>418</v>
      </c>
      <c r="IA21" t="s">
        <v>419</v>
      </c>
      <c r="IB21" t="s">
        <v>420</v>
      </c>
      <c r="IC21" t="s">
        <v>420</v>
      </c>
      <c r="ID21" t="s">
        <v>419</v>
      </c>
      <c r="IE21">
        <v>0</v>
      </c>
      <c r="IF21">
        <v>100</v>
      </c>
      <c r="IG21">
        <v>100</v>
      </c>
      <c r="IH21">
        <v>-0.41899999999999998</v>
      </c>
      <c r="II21">
        <v>0.35520000000000002</v>
      </c>
      <c r="IJ21">
        <v>-0.3313774658957917</v>
      </c>
      <c r="IK21">
        <v>-1.615681629159814E-3</v>
      </c>
      <c r="IL21">
        <v>1.5005605225991581E-6</v>
      </c>
      <c r="IM21">
        <v>-5.1143626075267638E-10</v>
      </c>
      <c r="IN21">
        <v>-0.18550254145292719</v>
      </c>
      <c r="IO21">
        <v>-1.7182111142928099E-3</v>
      </c>
      <c r="IP21">
        <v>9.9985895407488957E-4</v>
      </c>
      <c r="IQ21">
        <v>-5.7750407166627208E-6</v>
      </c>
      <c r="IR21">
        <v>3</v>
      </c>
      <c r="IS21">
        <v>2181</v>
      </c>
      <c r="IT21">
        <v>2</v>
      </c>
      <c r="IU21">
        <v>42</v>
      </c>
      <c r="IV21">
        <v>0.7</v>
      </c>
      <c r="IW21">
        <v>0.5</v>
      </c>
      <c r="IX21">
        <v>0.28686499999999998</v>
      </c>
      <c r="IY21">
        <v>2.5512700000000001</v>
      </c>
      <c r="IZ21">
        <v>1.5991200000000001</v>
      </c>
      <c r="JA21">
        <v>2.2741699999999998</v>
      </c>
      <c r="JB21">
        <v>1.5502899999999999</v>
      </c>
      <c r="JC21">
        <v>2.34497</v>
      </c>
      <c r="JD21">
        <v>45.461399999999998</v>
      </c>
      <c r="JE21">
        <v>23.710999999999999</v>
      </c>
      <c r="JF21">
        <v>18</v>
      </c>
      <c r="JG21">
        <v>504.786</v>
      </c>
      <c r="JH21">
        <v>448.96800000000002</v>
      </c>
      <c r="JI21">
        <v>25.446899999999999</v>
      </c>
      <c r="JJ21">
        <v>33.683799999999998</v>
      </c>
      <c r="JK21">
        <v>29.999600000000001</v>
      </c>
      <c r="JL21">
        <v>33.673200000000001</v>
      </c>
      <c r="JM21">
        <v>33.641599999999997</v>
      </c>
      <c r="JN21">
        <v>5.7919099999999997</v>
      </c>
      <c r="JO21">
        <v>40.019399999999997</v>
      </c>
      <c r="JP21">
        <v>0</v>
      </c>
      <c r="JQ21">
        <v>25.4438</v>
      </c>
      <c r="JR21">
        <v>70</v>
      </c>
      <c r="JS21">
        <v>18.133700000000001</v>
      </c>
      <c r="JT21">
        <v>98.813900000000004</v>
      </c>
      <c r="JU21">
        <v>98.819800000000001</v>
      </c>
    </row>
    <row r="22" spans="1:281" x14ac:dyDescent="0.25">
      <c r="A22">
        <v>6</v>
      </c>
      <c r="B22">
        <v>1691163705.0999999</v>
      </c>
      <c r="C22">
        <v>3974.5</v>
      </c>
      <c r="D22" t="s">
        <v>448</v>
      </c>
      <c r="E22" t="s">
        <v>449</v>
      </c>
      <c r="F22" t="s">
        <v>411</v>
      </c>
      <c r="G22" t="s">
        <v>413</v>
      </c>
      <c r="H22" t="s">
        <v>422</v>
      </c>
      <c r="I22" t="s">
        <v>413</v>
      </c>
      <c r="J22">
        <v>1691163705.0999999</v>
      </c>
      <c r="K22">
        <f t="shared" si="0"/>
        <v>7.4756020151878801E-3</v>
      </c>
      <c r="L22">
        <f t="shared" si="1"/>
        <v>7.4756020151878797</v>
      </c>
      <c r="M22">
        <f t="shared" si="2"/>
        <v>4.6394177715815639</v>
      </c>
      <c r="N22">
        <f t="shared" si="3"/>
        <v>24.245100000000001</v>
      </c>
      <c r="O22">
        <f t="shared" si="4"/>
        <v>7.236148156730593</v>
      </c>
      <c r="P22">
        <f t="shared" si="5"/>
        <v>0.7177238739711983</v>
      </c>
      <c r="Q22">
        <f t="shared" si="6"/>
        <v>2.4047720859105897</v>
      </c>
      <c r="R22">
        <f t="shared" si="7"/>
        <v>0.48244724891433621</v>
      </c>
      <c r="S22">
        <f t="shared" si="8"/>
        <v>2.9204651982714176</v>
      </c>
      <c r="T22">
        <f t="shared" si="9"/>
        <v>0.44214669890677788</v>
      </c>
      <c r="U22">
        <f t="shared" si="10"/>
        <v>0.2796814557708639</v>
      </c>
      <c r="V22">
        <f t="shared" si="11"/>
        <v>289.55107501274216</v>
      </c>
      <c r="W22">
        <f t="shared" si="12"/>
        <v>30.159361960327779</v>
      </c>
      <c r="X22">
        <f t="shared" si="13"/>
        <v>29.998699999999999</v>
      </c>
      <c r="Y22">
        <f t="shared" si="14"/>
        <v>4.260131651006982</v>
      </c>
      <c r="Z22">
        <f t="shared" si="15"/>
        <v>60.607571879828271</v>
      </c>
      <c r="AA22">
        <f t="shared" si="16"/>
        <v>2.6414891569985297</v>
      </c>
      <c r="AB22">
        <f t="shared" si="17"/>
        <v>4.3583484291963259</v>
      </c>
      <c r="AC22">
        <f t="shared" si="18"/>
        <v>1.6186424940084523</v>
      </c>
      <c r="AD22">
        <f t="shared" si="19"/>
        <v>-329.67404886978551</v>
      </c>
      <c r="AE22">
        <f t="shared" si="20"/>
        <v>62.569882796283693</v>
      </c>
      <c r="AF22">
        <f t="shared" si="21"/>
        <v>4.7731064356206367</v>
      </c>
      <c r="AG22">
        <f t="shared" si="22"/>
        <v>27.220015374861006</v>
      </c>
      <c r="AH22">
        <v>0</v>
      </c>
      <c r="AI22">
        <v>0</v>
      </c>
      <c r="AJ22">
        <f t="shared" si="23"/>
        <v>1</v>
      </c>
      <c r="AK22">
        <f t="shared" si="24"/>
        <v>0</v>
      </c>
      <c r="AL22">
        <f t="shared" si="25"/>
        <v>52006.408035083339</v>
      </c>
      <c r="AM22" t="s">
        <v>414</v>
      </c>
      <c r="AN22">
        <v>7361.72</v>
      </c>
      <c r="AO22">
        <v>541.39076923076925</v>
      </c>
      <c r="AP22">
        <v>2141.9899999999998</v>
      </c>
      <c r="AQ22">
        <f t="shared" si="26"/>
        <v>0.74724869433061347</v>
      </c>
      <c r="AR22">
        <v>-0.96077199609010144</v>
      </c>
      <c r="AS22" t="s">
        <v>450</v>
      </c>
      <c r="AT22">
        <v>7346.37</v>
      </c>
      <c r="AU22">
        <v>766.36769230769232</v>
      </c>
      <c r="AV22">
        <v>831.18695436808025</v>
      </c>
      <c r="AW22">
        <f t="shared" si="27"/>
        <v>7.7983974266857325E-2</v>
      </c>
      <c r="AX22">
        <v>0.5</v>
      </c>
      <c r="AY22">
        <f t="shared" si="28"/>
        <v>1513.0707000066022</v>
      </c>
      <c r="AZ22">
        <f t="shared" si="29"/>
        <v>4.6394177715815639</v>
      </c>
      <c r="BA22">
        <f t="shared" si="30"/>
        <v>58.997633266625336</v>
      </c>
      <c r="BB22">
        <f t="shared" si="31"/>
        <v>3.7012082565918624E-3</v>
      </c>
      <c r="BC22">
        <f t="shared" si="32"/>
        <v>1.5770255280636269</v>
      </c>
      <c r="BD22">
        <f t="shared" si="33"/>
        <v>387.09609864588515</v>
      </c>
      <c r="BE22" t="s">
        <v>451</v>
      </c>
      <c r="BF22">
        <v>586.54999999999995</v>
      </c>
      <c r="BG22">
        <f t="shared" si="34"/>
        <v>586.54999999999995</v>
      </c>
      <c r="BH22">
        <f t="shared" si="35"/>
        <v>0.29432241817855342</v>
      </c>
      <c r="BI22">
        <f t="shared" si="36"/>
        <v>0.26496104085264643</v>
      </c>
      <c r="BJ22">
        <f t="shared" si="37"/>
        <v>0.84272170294702442</v>
      </c>
      <c r="BK22">
        <f t="shared" si="38"/>
        <v>0.22367189557611089</v>
      </c>
      <c r="BL22">
        <f t="shared" si="39"/>
        <v>0.81894519279630162</v>
      </c>
      <c r="BM22">
        <f t="shared" si="40"/>
        <v>0.20279155824554562</v>
      </c>
      <c r="BN22">
        <f t="shared" si="41"/>
        <v>0.79720844175445438</v>
      </c>
      <c r="BO22">
        <v>1441</v>
      </c>
      <c r="BP22">
        <v>290.00000000000011</v>
      </c>
      <c r="BQ22">
        <v>810.84</v>
      </c>
      <c r="BR22">
        <v>275</v>
      </c>
      <c r="BS22">
        <v>7346.37</v>
      </c>
      <c r="BT22">
        <v>810.48</v>
      </c>
      <c r="BU22">
        <v>0.36</v>
      </c>
      <c r="BV22">
        <v>300.00000000000011</v>
      </c>
      <c r="BW22">
        <v>37.9</v>
      </c>
      <c r="BX22">
        <v>831.18695436808025</v>
      </c>
      <c r="BY22">
        <v>1.0282409807116939</v>
      </c>
      <c r="BZ22">
        <v>-15.214920594257</v>
      </c>
      <c r="CA22">
        <v>0.63324333156291179</v>
      </c>
      <c r="CB22">
        <v>0.95374159796408486</v>
      </c>
      <c r="CC22">
        <v>-7.2367899888765366E-3</v>
      </c>
      <c r="CD22">
        <v>289.99999999999989</v>
      </c>
      <c r="CE22">
        <v>809.46</v>
      </c>
      <c r="CF22">
        <v>635</v>
      </c>
      <c r="CG22">
        <v>7342.3</v>
      </c>
      <c r="CH22">
        <v>810.46</v>
      </c>
      <c r="CI22">
        <v>-1</v>
      </c>
      <c r="CW22">
        <f t="shared" si="42"/>
        <v>1799.86</v>
      </c>
      <c r="CX22">
        <f t="shared" si="43"/>
        <v>1513.0707000066022</v>
      </c>
      <c r="CY22">
        <f t="shared" si="44"/>
        <v>0.84066021802062507</v>
      </c>
      <c r="CZ22">
        <f t="shared" si="45"/>
        <v>0.16087422077980632</v>
      </c>
      <c r="DA22">
        <v>6</v>
      </c>
      <c r="DB22">
        <v>0.5</v>
      </c>
      <c r="DC22" t="s">
        <v>415</v>
      </c>
      <c r="DD22">
        <v>2</v>
      </c>
      <c r="DE22">
        <v>1691163705.0999999</v>
      </c>
      <c r="DF22">
        <v>24.245100000000001</v>
      </c>
      <c r="DG22">
        <v>30.027699999999999</v>
      </c>
      <c r="DH22">
        <v>26.631699999999999</v>
      </c>
      <c r="DI22">
        <v>17.903199999999998</v>
      </c>
      <c r="DJ22">
        <v>24.7212</v>
      </c>
      <c r="DK22">
        <v>26.280100000000001</v>
      </c>
      <c r="DL22">
        <v>500.19</v>
      </c>
      <c r="DM22">
        <v>99.086699999999993</v>
      </c>
      <c r="DN22">
        <v>9.9200899999999995E-2</v>
      </c>
      <c r="DO22">
        <v>30.396100000000001</v>
      </c>
      <c r="DP22">
        <v>29.998699999999999</v>
      </c>
      <c r="DQ22">
        <v>999.9</v>
      </c>
      <c r="DR22">
        <v>0</v>
      </c>
      <c r="DS22">
        <v>0</v>
      </c>
      <c r="DT22">
        <v>10040</v>
      </c>
      <c r="DU22">
        <v>0</v>
      </c>
      <c r="DV22">
        <v>1926.74</v>
      </c>
      <c r="DW22">
        <v>-5.7826199999999996</v>
      </c>
      <c r="DX22">
        <v>24.9085</v>
      </c>
      <c r="DY22">
        <v>30.575099999999999</v>
      </c>
      <c r="DZ22">
        <v>8.7285000000000004</v>
      </c>
      <c r="EA22">
        <v>30.027699999999999</v>
      </c>
      <c r="EB22">
        <v>17.903199999999998</v>
      </c>
      <c r="EC22">
        <v>2.6388500000000001</v>
      </c>
      <c r="ED22">
        <v>1.77397</v>
      </c>
      <c r="EE22">
        <v>21.909199999999998</v>
      </c>
      <c r="EF22">
        <v>15.5593</v>
      </c>
      <c r="EG22">
        <v>1799.86</v>
      </c>
      <c r="EH22">
        <v>0.97799000000000003</v>
      </c>
      <c r="EI22">
        <v>2.2009500000000001E-2</v>
      </c>
      <c r="EJ22">
        <v>0</v>
      </c>
      <c r="EK22">
        <v>767.27</v>
      </c>
      <c r="EL22">
        <v>9.9989999999999996E-2</v>
      </c>
      <c r="EM22">
        <v>14759.9</v>
      </c>
      <c r="EN22">
        <v>16703.900000000001</v>
      </c>
      <c r="EO22">
        <v>47.061999999999998</v>
      </c>
      <c r="EP22">
        <v>49</v>
      </c>
      <c r="EQ22">
        <v>47.936999999999998</v>
      </c>
      <c r="ER22">
        <v>47.625</v>
      </c>
      <c r="ES22">
        <v>48.186999999999998</v>
      </c>
      <c r="ET22">
        <v>1760.15</v>
      </c>
      <c r="EU22">
        <v>39.61</v>
      </c>
      <c r="EV22">
        <v>0</v>
      </c>
      <c r="EW22">
        <v>104.3999998569489</v>
      </c>
      <c r="EX22">
        <v>0</v>
      </c>
      <c r="EY22">
        <v>766.36769230769232</v>
      </c>
      <c r="EZ22">
        <v>-1.958290699255693</v>
      </c>
      <c r="FA22">
        <v>-40.174358959640543</v>
      </c>
      <c r="FB22">
        <v>14768.65769230769</v>
      </c>
      <c r="FC22">
        <v>15</v>
      </c>
      <c r="FD22">
        <v>1691163674.0999999</v>
      </c>
      <c r="FE22" t="s">
        <v>452</v>
      </c>
      <c r="FF22">
        <v>1691163662.0999999</v>
      </c>
      <c r="FG22">
        <v>1691163674.0999999</v>
      </c>
      <c r="FH22">
        <v>25</v>
      </c>
      <c r="FI22">
        <v>-0.106</v>
      </c>
      <c r="FJ22">
        <v>-4.0000000000000001E-3</v>
      </c>
      <c r="FK22">
        <v>-0.48499999999999999</v>
      </c>
      <c r="FL22">
        <v>6.5000000000000002E-2</v>
      </c>
      <c r="FM22">
        <v>30</v>
      </c>
      <c r="FN22">
        <v>18</v>
      </c>
      <c r="FO22">
        <v>0.77</v>
      </c>
      <c r="FP22">
        <v>0.02</v>
      </c>
      <c r="FQ22">
        <v>4.6522196243135472</v>
      </c>
      <c r="FR22">
        <v>-0.27548326009688962</v>
      </c>
      <c r="FS22">
        <v>6.632365693455966E-2</v>
      </c>
      <c r="FT22">
        <v>1</v>
      </c>
      <c r="FU22">
        <v>0.48000487826724608</v>
      </c>
      <c r="FV22">
        <v>4.4503566985251167E-2</v>
      </c>
      <c r="FW22">
        <v>3.451955351008295E-3</v>
      </c>
      <c r="FX22">
        <v>1</v>
      </c>
      <c r="FY22">
        <v>2</v>
      </c>
      <c r="FZ22">
        <v>2</v>
      </c>
      <c r="GA22" t="s">
        <v>416</v>
      </c>
      <c r="GB22">
        <v>2.9686599999999999</v>
      </c>
      <c r="GC22">
        <v>2.8112400000000002</v>
      </c>
      <c r="GD22">
        <v>7.1100399999999998E-3</v>
      </c>
      <c r="GE22">
        <v>8.5246000000000002E-3</v>
      </c>
      <c r="GF22">
        <v>0.12734100000000001</v>
      </c>
      <c r="GG22">
        <v>9.5719399999999996E-2</v>
      </c>
      <c r="GH22">
        <v>29223.599999999999</v>
      </c>
      <c r="GI22">
        <v>26973.8</v>
      </c>
      <c r="GJ22">
        <v>26462.3</v>
      </c>
      <c r="GK22">
        <v>25677.9</v>
      </c>
      <c r="GL22">
        <v>31427.8</v>
      </c>
      <c r="GM22">
        <v>32773.599999999999</v>
      </c>
      <c r="GN22">
        <v>37465.699999999997</v>
      </c>
      <c r="GO22">
        <v>38069.199999999997</v>
      </c>
      <c r="GP22">
        <v>1.9406000000000001</v>
      </c>
      <c r="GQ22">
        <v>1.9003000000000001</v>
      </c>
      <c r="GR22">
        <v>-2.78652E-2</v>
      </c>
      <c r="GS22">
        <v>0</v>
      </c>
      <c r="GT22">
        <v>30.452000000000002</v>
      </c>
      <c r="GU22">
        <v>999.9</v>
      </c>
      <c r="GV22">
        <v>34.9</v>
      </c>
      <c r="GW22">
        <v>40.700000000000003</v>
      </c>
      <c r="GX22">
        <v>27.103400000000001</v>
      </c>
      <c r="GY22">
        <v>61.5717</v>
      </c>
      <c r="GZ22">
        <v>13.5016</v>
      </c>
      <c r="HA22">
        <v>1</v>
      </c>
      <c r="HB22">
        <v>0.51278500000000005</v>
      </c>
      <c r="HC22">
        <v>3.3612899999999999</v>
      </c>
      <c r="HD22">
        <v>20.217099999999999</v>
      </c>
      <c r="HE22">
        <v>5.2095000000000002</v>
      </c>
      <c r="HF22">
        <v>11.9381</v>
      </c>
      <c r="HG22">
        <v>4.9870000000000001</v>
      </c>
      <c r="HH22">
        <v>3.2909999999999999</v>
      </c>
      <c r="HI22">
        <v>9999</v>
      </c>
      <c r="HJ22">
        <v>9999</v>
      </c>
      <c r="HK22">
        <v>9999</v>
      </c>
      <c r="HL22">
        <v>999.9</v>
      </c>
      <c r="HM22">
        <v>1.8711899999999999</v>
      </c>
      <c r="HN22">
        <v>1.8772899999999999</v>
      </c>
      <c r="HO22">
        <v>1.8750199999999999</v>
      </c>
      <c r="HP22">
        <v>1.8733200000000001</v>
      </c>
      <c r="HQ22">
        <v>1.8737900000000001</v>
      </c>
      <c r="HR22">
        <v>1.8711899999999999</v>
      </c>
      <c r="HS22">
        <v>1.8769800000000001</v>
      </c>
      <c r="HT22">
        <v>1.8762099999999999</v>
      </c>
      <c r="HU22">
        <v>5</v>
      </c>
      <c r="HV22">
        <v>0</v>
      </c>
      <c r="HW22">
        <v>0</v>
      </c>
      <c r="HX22">
        <v>0</v>
      </c>
      <c r="HY22" t="s">
        <v>417</v>
      </c>
      <c r="HZ22" t="s">
        <v>418</v>
      </c>
      <c r="IA22" t="s">
        <v>419</v>
      </c>
      <c r="IB22" t="s">
        <v>420</v>
      </c>
      <c r="IC22" t="s">
        <v>420</v>
      </c>
      <c r="ID22" t="s">
        <v>419</v>
      </c>
      <c r="IE22">
        <v>0</v>
      </c>
      <c r="IF22">
        <v>100</v>
      </c>
      <c r="IG22">
        <v>100</v>
      </c>
      <c r="IH22">
        <v>-0.47599999999999998</v>
      </c>
      <c r="II22">
        <v>0.35160000000000002</v>
      </c>
      <c r="IJ22">
        <v>-0.43708330649429189</v>
      </c>
      <c r="IK22">
        <v>-1.615681629159814E-3</v>
      </c>
      <c r="IL22">
        <v>1.5005605225991581E-6</v>
      </c>
      <c r="IM22">
        <v>-5.1143626075267638E-10</v>
      </c>
      <c r="IN22">
        <v>-0.18901656068789599</v>
      </c>
      <c r="IO22">
        <v>-1.7182111142928099E-3</v>
      </c>
      <c r="IP22">
        <v>9.9985895407488957E-4</v>
      </c>
      <c r="IQ22">
        <v>-5.7750407166627208E-6</v>
      </c>
      <c r="IR22">
        <v>3</v>
      </c>
      <c r="IS22">
        <v>2181</v>
      </c>
      <c r="IT22">
        <v>2</v>
      </c>
      <c r="IU22">
        <v>42</v>
      </c>
      <c r="IV22">
        <v>0.7</v>
      </c>
      <c r="IW22">
        <v>0.5</v>
      </c>
      <c r="IX22">
        <v>0.20629900000000001</v>
      </c>
      <c r="IY22">
        <v>2.5830099999999998</v>
      </c>
      <c r="IZ22">
        <v>1.5991200000000001</v>
      </c>
      <c r="JA22">
        <v>2.2717299999999998</v>
      </c>
      <c r="JB22">
        <v>1.5502899999999999</v>
      </c>
      <c r="JC22">
        <v>2.2961399999999998</v>
      </c>
      <c r="JD22">
        <v>45.518599999999999</v>
      </c>
      <c r="JE22">
        <v>23.710999999999999</v>
      </c>
      <c r="JF22">
        <v>18</v>
      </c>
      <c r="JG22">
        <v>505.17099999999999</v>
      </c>
      <c r="JH22">
        <v>448.26</v>
      </c>
      <c r="JI22">
        <v>25.502099999999999</v>
      </c>
      <c r="JJ22">
        <v>33.729199999999999</v>
      </c>
      <c r="JK22">
        <v>30.000499999999999</v>
      </c>
      <c r="JL22">
        <v>33.713900000000002</v>
      </c>
      <c r="JM22">
        <v>33.680700000000002</v>
      </c>
      <c r="JN22">
        <v>4.16587</v>
      </c>
      <c r="JO22">
        <v>41.965200000000003</v>
      </c>
      <c r="JP22">
        <v>0</v>
      </c>
      <c r="JQ22">
        <v>25.503</v>
      </c>
      <c r="JR22">
        <v>30</v>
      </c>
      <c r="JS22">
        <v>17.8066</v>
      </c>
      <c r="JT22">
        <v>98.806799999999996</v>
      </c>
      <c r="JU22">
        <v>98.809899999999999</v>
      </c>
    </row>
    <row r="23" spans="1:281" x14ac:dyDescent="0.25">
      <c r="A23">
        <v>7</v>
      </c>
      <c r="B23">
        <v>1691163806.5999999</v>
      </c>
      <c r="C23">
        <v>4076</v>
      </c>
      <c r="D23" t="s">
        <v>453</v>
      </c>
      <c r="E23" t="s">
        <v>454</v>
      </c>
      <c r="F23" t="s">
        <v>411</v>
      </c>
      <c r="G23" t="s">
        <v>413</v>
      </c>
      <c r="H23" t="s">
        <v>422</v>
      </c>
      <c r="I23" t="s">
        <v>413</v>
      </c>
      <c r="J23">
        <v>1691163806.5999999</v>
      </c>
      <c r="K23">
        <f t="shared" si="0"/>
        <v>7.6640635834444651E-3</v>
      </c>
      <c r="L23">
        <f t="shared" si="1"/>
        <v>7.6640635834444648</v>
      </c>
      <c r="M23">
        <f t="shared" si="2"/>
        <v>1.5626384774622986</v>
      </c>
      <c r="N23">
        <f t="shared" si="3"/>
        <v>8.0762800000000006</v>
      </c>
      <c r="O23">
        <f t="shared" si="4"/>
        <v>2.4893189570855601</v>
      </c>
      <c r="P23">
        <f t="shared" si="5"/>
        <v>0.24689980564702776</v>
      </c>
      <c r="Q23">
        <f t="shared" si="6"/>
        <v>0.80103514122816399</v>
      </c>
      <c r="R23">
        <f t="shared" si="7"/>
        <v>0.49604017266443229</v>
      </c>
      <c r="S23">
        <f t="shared" si="8"/>
        <v>2.9151969147484369</v>
      </c>
      <c r="T23">
        <f t="shared" si="9"/>
        <v>0.45347399899772761</v>
      </c>
      <c r="U23">
        <f t="shared" si="10"/>
        <v>0.28694064201460168</v>
      </c>
      <c r="V23">
        <f t="shared" si="11"/>
        <v>289.58197801274406</v>
      </c>
      <c r="W23">
        <f t="shared" si="12"/>
        <v>30.148334190666617</v>
      </c>
      <c r="X23">
        <f t="shared" si="13"/>
        <v>29.994499999999999</v>
      </c>
      <c r="Y23">
        <f t="shared" si="14"/>
        <v>4.2591040156030502</v>
      </c>
      <c r="Z23">
        <f t="shared" si="15"/>
        <v>60.466624845088269</v>
      </c>
      <c r="AA23">
        <f t="shared" si="16"/>
        <v>2.6411323610898094</v>
      </c>
      <c r="AB23">
        <f t="shared" si="17"/>
        <v>4.3679176204331336</v>
      </c>
      <c r="AC23">
        <f t="shared" si="18"/>
        <v>1.6179716545132408</v>
      </c>
      <c r="AD23">
        <f t="shared" si="19"/>
        <v>-337.9852040299009</v>
      </c>
      <c r="AE23">
        <f t="shared" si="20"/>
        <v>69.136485860277247</v>
      </c>
      <c r="AF23">
        <f t="shared" si="21"/>
        <v>5.2844588973886664</v>
      </c>
      <c r="AG23">
        <f t="shared" si="22"/>
        <v>26.017718740509082</v>
      </c>
      <c r="AH23">
        <v>0</v>
      </c>
      <c r="AI23">
        <v>0</v>
      </c>
      <c r="AJ23">
        <f t="shared" si="23"/>
        <v>1</v>
      </c>
      <c r="AK23">
        <f t="shared" si="24"/>
        <v>0</v>
      </c>
      <c r="AL23">
        <f t="shared" si="25"/>
        <v>51850.010916598294</v>
      </c>
      <c r="AM23" t="s">
        <v>414</v>
      </c>
      <c r="AN23">
        <v>7361.72</v>
      </c>
      <c r="AO23">
        <v>541.39076923076925</v>
      </c>
      <c r="AP23">
        <v>2141.9899999999998</v>
      </c>
      <c r="AQ23">
        <f t="shared" si="26"/>
        <v>0.74724869433061347</v>
      </c>
      <c r="AR23">
        <v>-0.96077199609010144</v>
      </c>
      <c r="AS23" t="s">
        <v>455</v>
      </c>
      <c r="AT23">
        <v>7358.99</v>
      </c>
      <c r="AU23">
        <v>772.61080000000004</v>
      </c>
      <c r="AV23">
        <v>824.84525406899229</v>
      </c>
      <c r="AW23">
        <f t="shared" si="27"/>
        <v>6.3326367959708474E-2</v>
      </c>
      <c r="AX23">
        <v>0.5</v>
      </c>
      <c r="AY23">
        <f t="shared" si="28"/>
        <v>1513.230600006603</v>
      </c>
      <c r="AZ23">
        <f t="shared" si="29"/>
        <v>1.5626384774622986</v>
      </c>
      <c r="BA23">
        <f t="shared" si="30"/>
        <v>47.91369889195429</v>
      </c>
      <c r="BB23">
        <f t="shared" si="31"/>
        <v>1.6675650581883482E-3</v>
      </c>
      <c r="BC23">
        <f t="shared" si="32"/>
        <v>1.5968386063124975</v>
      </c>
      <c r="BD23">
        <f t="shared" si="33"/>
        <v>385.71501540326631</v>
      </c>
      <c r="BE23" t="s">
        <v>456</v>
      </c>
      <c r="BF23">
        <v>600.47</v>
      </c>
      <c r="BG23">
        <f t="shared" si="34"/>
        <v>600.47</v>
      </c>
      <c r="BH23">
        <f t="shared" si="35"/>
        <v>0.27202102814090379</v>
      </c>
      <c r="BI23">
        <f t="shared" si="36"/>
        <v>0.2327995316851246</v>
      </c>
      <c r="BJ23">
        <f t="shared" si="37"/>
        <v>0.85444544730591088</v>
      </c>
      <c r="BK23">
        <f t="shared" si="38"/>
        <v>0.18427810058748656</v>
      </c>
      <c r="BL23">
        <f t="shared" si="39"/>
        <v>0.82290727160852262</v>
      </c>
      <c r="BM23">
        <f t="shared" si="40"/>
        <v>0.18093085780184121</v>
      </c>
      <c r="BN23">
        <f t="shared" si="41"/>
        <v>0.81906914219815885</v>
      </c>
      <c r="BO23">
        <v>1443</v>
      </c>
      <c r="BP23">
        <v>290.00000000000011</v>
      </c>
      <c r="BQ23">
        <v>808.79</v>
      </c>
      <c r="BR23">
        <v>95</v>
      </c>
      <c r="BS23">
        <v>7358.99</v>
      </c>
      <c r="BT23">
        <v>807.62</v>
      </c>
      <c r="BU23">
        <v>1.17</v>
      </c>
      <c r="BV23">
        <v>300.00000000000011</v>
      </c>
      <c r="BW23">
        <v>37.9</v>
      </c>
      <c r="BX23">
        <v>824.84525406899229</v>
      </c>
      <c r="BY23">
        <v>0.89403347197616012</v>
      </c>
      <c r="BZ23">
        <v>-12.67293494208514</v>
      </c>
      <c r="CA23">
        <v>0.55060927570732576</v>
      </c>
      <c r="CB23">
        <v>0.94979790133031938</v>
      </c>
      <c r="CC23">
        <v>-7.236919911012234E-3</v>
      </c>
      <c r="CD23">
        <v>289.99999999999989</v>
      </c>
      <c r="CE23">
        <v>806.28</v>
      </c>
      <c r="CF23">
        <v>725</v>
      </c>
      <c r="CG23">
        <v>7339.54</v>
      </c>
      <c r="CH23">
        <v>807.58</v>
      </c>
      <c r="CI23">
        <v>-1.3</v>
      </c>
      <c r="CW23">
        <f t="shared" si="42"/>
        <v>1800.05</v>
      </c>
      <c r="CX23">
        <f t="shared" si="43"/>
        <v>1513.230600006603</v>
      </c>
      <c r="CY23">
        <f t="shared" si="44"/>
        <v>0.84066031499491856</v>
      </c>
      <c r="CZ23">
        <f t="shared" si="45"/>
        <v>0.16087440794019281</v>
      </c>
      <c r="DA23">
        <v>6</v>
      </c>
      <c r="DB23">
        <v>0.5</v>
      </c>
      <c r="DC23" t="s">
        <v>415</v>
      </c>
      <c r="DD23">
        <v>2</v>
      </c>
      <c r="DE23">
        <v>1691163806.5999999</v>
      </c>
      <c r="DF23">
        <v>8.0762800000000006</v>
      </c>
      <c r="DG23">
        <v>10.027100000000001</v>
      </c>
      <c r="DH23">
        <v>26.628699999999998</v>
      </c>
      <c r="DI23">
        <v>17.670400000000001</v>
      </c>
      <c r="DJ23">
        <v>8.6045099999999994</v>
      </c>
      <c r="DK23">
        <v>26.277899999999999</v>
      </c>
      <c r="DL23">
        <v>499.64699999999999</v>
      </c>
      <c r="DM23">
        <v>99.084999999999994</v>
      </c>
      <c r="DN23">
        <v>9.8676299999999995E-2</v>
      </c>
      <c r="DO23">
        <v>30.4344</v>
      </c>
      <c r="DP23">
        <v>29.994499999999999</v>
      </c>
      <c r="DQ23">
        <v>999.9</v>
      </c>
      <c r="DR23">
        <v>0</v>
      </c>
      <c r="DS23">
        <v>0</v>
      </c>
      <c r="DT23">
        <v>10010</v>
      </c>
      <c r="DU23">
        <v>0</v>
      </c>
      <c r="DV23">
        <v>1940.25</v>
      </c>
      <c r="DW23">
        <v>-1.9508099999999999</v>
      </c>
      <c r="DX23">
        <v>8.2972199999999994</v>
      </c>
      <c r="DY23">
        <v>10.2075</v>
      </c>
      <c r="DZ23">
        <v>8.9583300000000001</v>
      </c>
      <c r="EA23">
        <v>10.027100000000001</v>
      </c>
      <c r="EB23">
        <v>17.670400000000001</v>
      </c>
      <c r="EC23">
        <v>2.6385100000000001</v>
      </c>
      <c r="ED23">
        <v>1.7508699999999999</v>
      </c>
      <c r="EE23">
        <v>21.9071</v>
      </c>
      <c r="EF23">
        <v>15.355</v>
      </c>
      <c r="EG23">
        <v>1800.05</v>
      </c>
      <c r="EH23">
        <v>0.97799000000000003</v>
      </c>
      <c r="EI23">
        <v>2.2009500000000001E-2</v>
      </c>
      <c r="EJ23">
        <v>0</v>
      </c>
      <c r="EK23">
        <v>773.7</v>
      </c>
      <c r="EL23">
        <v>9.9989999999999996E-2</v>
      </c>
      <c r="EM23">
        <v>14880.2</v>
      </c>
      <c r="EN23">
        <v>16705.7</v>
      </c>
      <c r="EO23">
        <v>47</v>
      </c>
      <c r="EP23">
        <v>48.936999999999998</v>
      </c>
      <c r="EQ23">
        <v>47.936999999999998</v>
      </c>
      <c r="ER23">
        <v>47.561999999999998</v>
      </c>
      <c r="ES23">
        <v>48.125</v>
      </c>
      <c r="ET23">
        <v>1760.33</v>
      </c>
      <c r="EU23">
        <v>39.619999999999997</v>
      </c>
      <c r="EV23">
        <v>0</v>
      </c>
      <c r="EW23">
        <v>99.599999904632568</v>
      </c>
      <c r="EX23">
        <v>0</v>
      </c>
      <c r="EY23">
        <v>772.61080000000004</v>
      </c>
      <c r="EZ23">
        <v>2.9734616195341448</v>
      </c>
      <c r="FA23">
        <v>-28.661538842600091</v>
      </c>
      <c r="FB23">
        <v>14882.924000000001</v>
      </c>
      <c r="FC23">
        <v>15</v>
      </c>
      <c r="FD23">
        <v>1691163774.0999999</v>
      </c>
      <c r="FE23" t="s">
        <v>457</v>
      </c>
      <c r="FF23">
        <v>1691163773.5999999</v>
      </c>
      <c r="FG23">
        <v>1691163774.0999999</v>
      </c>
      <c r="FH23">
        <v>26</v>
      </c>
      <c r="FI23">
        <v>-7.6999999999999999E-2</v>
      </c>
      <c r="FJ23">
        <v>-1E-3</v>
      </c>
      <c r="FK23">
        <v>-0.53100000000000003</v>
      </c>
      <c r="FL23">
        <v>6.0999999999999999E-2</v>
      </c>
      <c r="FM23">
        <v>10</v>
      </c>
      <c r="FN23">
        <v>18</v>
      </c>
      <c r="FO23">
        <v>0.9</v>
      </c>
      <c r="FP23">
        <v>0.03</v>
      </c>
      <c r="FQ23">
        <v>1.5434695512691581</v>
      </c>
      <c r="FR23">
        <v>-0.13735996136979781</v>
      </c>
      <c r="FS23">
        <v>6.489375151256567E-2</v>
      </c>
      <c r="FT23">
        <v>1</v>
      </c>
      <c r="FU23">
        <v>0.49895188158872777</v>
      </c>
      <c r="FV23">
        <v>3.7139184829596321E-2</v>
      </c>
      <c r="FW23">
        <v>4.9451654278790339E-3</v>
      </c>
      <c r="FX23">
        <v>1</v>
      </c>
      <c r="FY23">
        <v>2</v>
      </c>
      <c r="FZ23">
        <v>2</v>
      </c>
      <c r="GA23" t="s">
        <v>416</v>
      </c>
      <c r="GB23">
        <v>2.96719</v>
      </c>
      <c r="GC23">
        <v>2.8104499999999999</v>
      </c>
      <c r="GD23">
        <v>2.4746799999999999E-3</v>
      </c>
      <c r="GE23">
        <v>2.8466699999999999E-3</v>
      </c>
      <c r="GF23">
        <v>0.12732399999999999</v>
      </c>
      <c r="GG23">
        <v>9.4811800000000002E-2</v>
      </c>
      <c r="GH23">
        <v>29360</v>
      </c>
      <c r="GI23">
        <v>27126.799999999999</v>
      </c>
      <c r="GJ23">
        <v>26462.5</v>
      </c>
      <c r="GK23">
        <v>25676.7</v>
      </c>
      <c r="GL23">
        <v>31428</v>
      </c>
      <c r="GM23">
        <v>32804.5</v>
      </c>
      <c r="GN23">
        <v>37465.4</v>
      </c>
      <c r="GO23">
        <v>38067.300000000003</v>
      </c>
      <c r="GP23">
        <v>1.9398</v>
      </c>
      <c r="GQ23">
        <v>1.9003000000000001</v>
      </c>
      <c r="GR23">
        <v>-2.6822100000000001E-2</v>
      </c>
      <c r="GS23">
        <v>0</v>
      </c>
      <c r="GT23">
        <v>30.430800000000001</v>
      </c>
      <c r="GU23">
        <v>999.9</v>
      </c>
      <c r="GV23">
        <v>34.799999999999997</v>
      </c>
      <c r="GW23">
        <v>40.700000000000003</v>
      </c>
      <c r="GX23">
        <v>27.0276</v>
      </c>
      <c r="GY23">
        <v>61.491799999999998</v>
      </c>
      <c r="GZ23">
        <v>13.746</v>
      </c>
      <c r="HA23">
        <v>1</v>
      </c>
      <c r="HB23">
        <v>0.51280499999999996</v>
      </c>
      <c r="HC23">
        <v>3.0644999999999998</v>
      </c>
      <c r="HD23">
        <v>20.220700000000001</v>
      </c>
      <c r="HE23">
        <v>5.1921299999999997</v>
      </c>
      <c r="HF23">
        <v>11.9381</v>
      </c>
      <c r="HG23">
        <v>4.9828000000000001</v>
      </c>
      <c r="HH23">
        <v>3.2881</v>
      </c>
      <c r="HI23">
        <v>9999</v>
      </c>
      <c r="HJ23">
        <v>9999</v>
      </c>
      <c r="HK23">
        <v>9999</v>
      </c>
      <c r="HL23">
        <v>999.9</v>
      </c>
      <c r="HM23">
        <v>1.8712200000000001</v>
      </c>
      <c r="HN23">
        <v>1.8772899999999999</v>
      </c>
      <c r="HO23">
        <v>1.8750199999999999</v>
      </c>
      <c r="HP23">
        <v>1.8733200000000001</v>
      </c>
      <c r="HQ23">
        <v>1.8737900000000001</v>
      </c>
      <c r="HR23">
        <v>1.8711899999999999</v>
      </c>
      <c r="HS23">
        <v>1.8770899999999999</v>
      </c>
      <c r="HT23">
        <v>1.87622</v>
      </c>
      <c r="HU23">
        <v>5</v>
      </c>
      <c r="HV23">
        <v>0</v>
      </c>
      <c r="HW23">
        <v>0</v>
      </c>
      <c r="HX23">
        <v>0</v>
      </c>
      <c r="HY23" t="s">
        <v>417</v>
      </c>
      <c r="HZ23" t="s">
        <v>418</v>
      </c>
      <c r="IA23" t="s">
        <v>419</v>
      </c>
      <c r="IB23" t="s">
        <v>420</v>
      </c>
      <c r="IC23" t="s">
        <v>420</v>
      </c>
      <c r="ID23" t="s">
        <v>419</v>
      </c>
      <c r="IE23">
        <v>0</v>
      </c>
      <c r="IF23">
        <v>100</v>
      </c>
      <c r="IG23">
        <v>100</v>
      </c>
      <c r="IH23">
        <v>-0.52800000000000002</v>
      </c>
      <c r="II23">
        <v>0.3508</v>
      </c>
      <c r="IJ23">
        <v>-0.51444293573511057</v>
      </c>
      <c r="IK23">
        <v>-1.615681629159814E-3</v>
      </c>
      <c r="IL23">
        <v>1.5005605225991581E-6</v>
      </c>
      <c r="IM23">
        <v>-5.1143626075267638E-10</v>
      </c>
      <c r="IN23">
        <v>-0.18964536623559849</v>
      </c>
      <c r="IO23">
        <v>-1.7182111142928099E-3</v>
      </c>
      <c r="IP23">
        <v>9.9985895407488957E-4</v>
      </c>
      <c r="IQ23">
        <v>-5.7750407166627208E-6</v>
      </c>
      <c r="IR23">
        <v>3</v>
      </c>
      <c r="IS23">
        <v>2181</v>
      </c>
      <c r="IT23">
        <v>2</v>
      </c>
      <c r="IU23">
        <v>42</v>
      </c>
      <c r="IV23">
        <v>0.6</v>
      </c>
      <c r="IW23">
        <v>0.5</v>
      </c>
      <c r="IX23">
        <v>0.166016</v>
      </c>
      <c r="IY23">
        <v>2.5927699999999998</v>
      </c>
      <c r="IZ23">
        <v>1.5991200000000001</v>
      </c>
      <c r="JA23">
        <v>2.2729499999999998</v>
      </c>
      <c r="JB23">
        <v>1.5502899999999999</v>
      </c>
      <c r="JC23">
        <v>2.34619</v>
      </c>
      <c r="JD23">
        <v>45.547199999999997</v>
      </c>
      <c r="JE23">
        <v>23.719799999999999</v>
      </c>
      <c r="JF23">
        <v>18</v>
      </c>
      <c r="JG23">
        <v>504.83800000000002</v>
      </c>
      <c r="JH23">
        <v>448.41</v>
      </c>
      <c r="JI23">
        <v>25.619499999999999</v>
      </c>
      <c r="JJ23">
        <v>33.758099999999999</v>
      </c>
      <c r="JK23">
        <v>29.998999999999999</v>
      </c>
      <c r="JL23">
        <v>33.738100000000003</v>
      </c>
      <c r="JM23">
        <v>33.701799999999999</v>
      </c>
      <c r="JN23">
        <v>3.3797199999999998</v>
      </c>
      <c r="JO23">
        <v>42.845300000000002</v>
      </c>
      <c r="JP23">
        <v>0</v>
      </c>
      <c r="JQ23">
        <v>25.641100000000002</v>
      </c>
      <c r="JR23">
        <v>10</v>
      </c>
      <c r="JS23">
        <v>17.592700000000001</v>
      </c>
      <c r="JT23">
        <v>98.806600000000003</v>
      </c>
      <c r="JU23">
        <v>98.805199999999999</v>
      </c>
    </row>
    <row r="24" spans="1:281" x14ac:dyDescent="0.25">
      <c r="A24">
        <v>8</v>
      </c>
      <c r="B24">
        <v>1691163996.0999999</v>
      </c>
      <c r="C24">
        <v>4265.5</v>
      </c>
      <c r="D24" t="s">
        <v>458</v>
      </c>
      <c r="E24" t="s">
        <v>459</v>
      </c>
      <c r="F24" t="s">
        <v>411</v>
      </c>
      <c r="G24" t="s">
        <v>413</v>
      </c>
      <c r="H24" t="s">
        <v>422</v>
      </c>
      <c r="I24" t="s">
        <v>413</v>
      </c>
      <c r="J24">
        <v>1691163996.0999999</v>
      </c>
      <c r="K24">
        <f t="shared" si="0"/>
        <v>6.8018963026757404E-3</v>
      </c>
      <c r="L24">
        <f t="shared" si="1"/>
        <v>6.8018963026757406</v>
      </c>
      <c r="M24">
        <f t="shared" si="2"/>
        <v>46.245114077116284</v>
      </c>
      <c r="N24">
        <f t="shared" si="3"/>
        <v>341.72</v>
      </c>
      <c r="O24">
        <f t="shared" si="4"/>
        <v>146.94144322214007</v>
      </c>
      <c r="P24">
        <f t="shared" si="5"/>
        <v>14.575351981057315</v>
      </c>
      <c r="Q24">
        <f t="shared" si="6"/>
        <v>33.895742206896003</v>
      </c>
      <c r="R24">
        <f t="shared" si="7"/>
        <v>0.42036660884041549</v>
      </c>
      <c r="S24">
        <f t="shared" si="8"/>
        <v>2.9170642735514511</v>
      </c>
      <c r="T24">
        <f t="shared" si="9"/>
        <v>0.38938083973276894</v>
      </c>
      <c r="U24">
        <f t="shared" si="10"/>
        <v>0.24595636758778061</v>
      </c>
      <c r="V24">
        <f t="shared" si="11"/>
        <v>289.55905501274185</v>
      </c>
      <c r="W24">
        <f t="shared" si="12"/>
        <v>30.355744211747393</v>
      </c>
      <c r="X24">
        <f t="shared" si="13"/>
        <v>30.0733</v>
      </c>
      <c r="Y24">
        <f t="shared" si="14"/>
        <v>4.2784204528188452</v>
      </c>
      <c r="Z24">
        <f t="shared" si="15"/>
        <v>59.717005350096116</v>
      </c>
      <c r="AA24">
        <f t="shared" si="16"/>
        <v>2.6058219747760805</v>
      </c>
      <c r="AB24">
        <f t="shared" si="17"/>
        <v>4.3636179669412813</v>
      </c>
      <c r="AC24">
        <f t="shared" si="18"/>
        <v>1.6725984780427647</v>
      </c>
      <c r="AD24">
        <f t="shared" si="19"/>
        <v>-299.96362694800013</v>
      </c>
      <c r="AE24">
        <f t="shared" si="20"/>
        <v>54.083354098891469</v>
      </c>
      <c r="AF24">
        <f t="shared" si="21"/>
        <v>4.1324821580587008</v>
      </c>
      <c r="AG24">
        <f t="shared" si="22"/>
        <v>47.811264321691873</v>
      </c>
      <c r="AH24">
        <v>0</v>
      </c>
      <c r="AI24">
        <v>0</v>
      </c>
      <c r="AJ24">
        <f t="shared" si="23"/>
        <v>1</v>
      </c>
      <c r="AK24">
        <f t="shared" si="24"/>
        <v>0</v>
      </c>
      <c r="AL24">
        <f t="shared" si="25"/>
        <v>51906.176322761639</v>
      </c>
      <c r="AM24" t="s">
        <v>414</v>
      </c>
      <c r="AN24">
        <v>7361.72</v>
      </c>
      <c r="AO24">
        <v>541.39076923076925</v>
      </c>
      <c r="AP24">
        <v>2141.9899999999998</v>
      </c>
      <c r="AQ24">
        <f t="shared" si="26"/>
        <v>0.74724869433061347</v>
      </c>
      <c r="AR24">
        <v>-0.96077199609010144</v>
      </c>
      <c r="AS24" t="s">
        <v>460</v>
      </c>
      <c r="AT24">
        <v>7346.55</v>
      </c>
      <c r="AU24">
        <v>725.32730769230761</v>
      </c>
      <c r="AV24">
        <v>1063.0014319169461</v>
      </c>
      <c r="AW24">
        <f t="shared" si="27"/>
        <v>0.3176610247981505</v>
      </c>
      <c r="AX24">
        <v>0.5</v>
      </c>
      <c r="AY24">
        <f t="shared" si="28"/>
        <v>1513.1127000066022</v>
      </c>
      <c r="AZ24">
        <f t="shared" si="29"/>
        <v>46.245114077116284</v>
      </c>
      <c r="BA24">
        <f t="shared" si="30"/>
        <v>240.32846545959686</v>
      </c>
      <c r="BB24">
        <f t="shared" si="31"/>
        <v>3.1197865217178083E-2</v>
      </c>
      <c r="BC24">
        <f t="shared" si="32"/>
        <v>1.0150396186553365</v>
      </c>
      <c r="BD24">
        <f t="shared" si="33"/>
        <v>430.85404781628341</v>
      </c>
      <c r="BE24" t="s">
        <v>461</v>
      </c>
      <c r="BF24">
        <v>560.19000000000005</v>
      </c>
      <c r="BG24">
        <f t="shared" si="34"/>
        <v>560.19000000000005</v>
      </c>
      <c r="BH24">
        <f t="shared" si="35"/>
        <v>0.47301105795333631</v>
      </c>
      <c r="BI24">
        <f t="shared" si="36"/>
        <v>0.67157209003238261</v>
      </c>
      <c r="BJ24">
        <f t="shared" si="37"/>
        <v>0.68212705024848519</v>
      </c>
      <c r="BK24">
        <f t="shared" si="38"/>
        <v>0.64736813945806471</v>
      </c>
      <c r="BL24">
        <f t="shared" si="39"/>
        <v>0.67411538587614062</v>
      </c>
      <c r="BM24">
        <f t="shared" si="40"/>
        <v>0.51867338389916562</v>
      </c>
      <c r="BN24">
        <f t="shared" si="41"/>
        <v>0.48132661610083438</v>
      </c>
      <c r="BO24">
        <v>1445</v>
      </c>
      <c r="BP24">
        <v>290.00000000000011</v>
      </c>
      <c r="BQ24">
        <v>938.58</v>
      </c>
      <c r="BR24">
        <v>295</v>
      </c>
      <c r="BS24">
        <v>7346.55</v>
      </c>
      <c r="BT24">
        <v>939.32</v>
      </c>
      <c r="BU24">
        <v>-0.74</v>
      </c>
      <c r="BV24">
        <v>300.00000000000011</v>
      </c>
      <c r="BW24">
        <v>37.9</v>
      </c>
      <c r="BX24">
        <v>1063.0014319169461</v>
      </c>
      <c r="BY24">
        <v>1.3988107992177841</v>
      </c>
      <c r="BZ24">
        <v>-90.862403261929757</v>
      </c>
      <c r="CA24">
        <v>0.86152494735681417</v>
      </c>
      <c r="CB24">
        <v>0.99748907664232989</v>
      </c>
      <c r="CC24">
        <v>-7.2379917686318214E-3</v>
      </c>
      <c r="CD24">
        <v>289.99999999999989</v>
      </c>
      <c r="CE24">
        <v>924.75</v>
      </c>
      <c r="CF24">
        <v>665</v>
      </c>
      <c r="CG24">
        <v>7341.79</v>
      </c>
      <c r="CH24">
        <v>939.24</v>
      </c>
      <c r="CI24">
        <v>-14.49</v>
      </c>
      <c r="CW24">
        <f t="shared" si="42"/>
        <v>1799.91</v>
      </c>
      <c r="CX24">
        <f t="shared" si="43"/>
        <v>1513.1127000066022</v>
      </c>
      <c r="CY24">
        <f t="shared" si="44"/>
        <v>0.84066019968031847</v>
      </c>
      <c r="CZ24">
        <f t="shared" si="45"/>
        <v>0.16087418538301462</v>
      </c>
      <c r="DA24">
        <v>6</v>
      </c>
      <c r="DB24">
        <v>0.5</v>
      </c>
      <c r="DC24" t="s">
        <v>415</v>
      </c>
      <c r="DD24">
        <v>2</v>
      </c>
      <c r="DE24">
        <v>1691163996.0999999</v>
      </c>
      <c r="DF24">
        <v>341.72</v>
      </c>
      <c r="DG24">
        <v>400.00299999999999</v>
      </c>
      <c r="DH24">
        <v>26.270600000000002</v>
      </c>
      <c r="DI24">
        <v>18.322800000000001</v>
      </c>
      <c r="DJ24">
        <v>342.52300000000002</v>
      </c>
      <c r="DK24">
        <v>25.930700000000002</v>
      </c>
      <c r="DL24">
        <v>500.00299999999999</v>
      </c>
      <c r="DM24">
        <v>99.091800000000006</v>
      </c>
      <c r="DN24">
        <v>9.9766800000000003E-2</v>
      </c>
      <c r="DO24">
        <v>30.417200000000001</v>
      </c>
      <c r="DP24">
        <v>30.0733</v>
      </c>
      <c r="DQ24">
        <v>999.9</v>
      </c>
      <c r="DR24">
        <v>0</v>
      </c>
      <c r="DS24">
        <v>0</v>
      </c>
      <c r="DT24">
        <v>10020</v>
      </c>
      <c r="DU24">
        <v>0</v>
      </c>
      <c r="DV24">
        <v>1942.38</v>
      </c>
      <c r="DW24">
        <v>-58.283000000000001</v>
      </c>
      <c r="DX24">
        <v>350.94</v>
      </c>
      <c r="DY24">
        <v>407.46899999999999</v>
      </c>
      <c r="DZ24">
        <v>7.9477399999999996</v>
      </c>
      <c r="EA24">
        <v>400.00299999999999</v>
      </c>
      <c r="EB24">
        <v>18.322800000000001</v>
      </c>
      <c r="EC24">
        <v>2.6032000000000002</v>
      </c>
      <c r="ED24">
        <v>1.8156399999999999</v>
      </c>
      <c r="EE24">
        <v>21.686499999999999</v>
      </c>
      <c r="EF24">
        <v>15.9221</v>
      </c>
      <c r="EG24">
        <v>1799.91</v>
      </c>
      <c r="EH24">
        <v>0.97799000000000003</v>
      </c>
      <c r="EI24">
        <v>2.2009500000000001E-2</v>
      </c>
      <c r="EJ24">
        <v>0</v>
      </c>
      <c r="EK24">
        <v>724.48</v>
      </c>
      <c r="EL24">
        <v>9.9989999999999996E-2</v>
      </c>
      <c r="EM24">
        <v>14054.9</v>
      </c>
      <c r="EN24">
        <v>16704.400000000001</v>
      </c>
      <c r="EO24">
        <v>47.125</v>
      </c>
      <c r="EP24">
        <v>49.061999999999998</v>
      </c>
      <c r="EQ24">
        <v>48.061999999999998</v>
      </c>
      <c r="ER24">
        <v>47.686999999999998</v>
      </c>
      <c r="ES24">
        <v>48.25</v>
      </c>
      <c r="ET24">
        <v>1760.2</v>
      </c>
      <c r="EU24">
        <v>39.61</v>
      </c>
      <c r="EV24">
        <v>0</v>
      </c>
      <c r="EW24">
        <v>187.39999985694891</v>
      </c>
      <c r="EX24">
        <v>0</v>
      </c>
      <c r="EY24">
        <v>725.32730769230761</v>
      </c>
      <c r="EZ24">
        <v>-11.68307689908934</v>
      </c>
      <c r="FA24">
        <v>-99.688888821123939</v>
      </c>
      <c r="FB24">
        <v>14069.58846153846</v>
      </c>
      <c r="FC24">
        <v>15</v>
      </c>
      <c r="FD24">
        <v>1691163901.0999999</v>
      </c>
      <c r="FE24" t="s">
        <v>462</v>
      </c>
      <c r="FF24">
        <v>1691163887.0999999</v>
      </c>
      <c r="FG24">
        <v>1691163901.0999999</v>
      </c>
      <c r="FH24">
        <v>27</v>
      </c>
      <c r="FI24">
        <v>0.11</v>
      </c>
      <c r="FJ24">
        <v>2E-3</v>
      </c>
      <c r="FK24">
        <v>-0.84399999999999997</v>
      </c>
      <c r="FL24">
        <v>5.8000000000000003E-2</v>
      </c>
      <c r="FM24">
        <v>400</v>
      </c>
      <c r="FN24">
        <v>18</v>
      </c>
      <c r="FO24">
        <v>0.15</v>
      </c>
      <c r="FP24">
        <v>0.02</v>
      </c>
      <c r="FQ24">
        <v>46.070878138888702</v>
      </c>
      <c r="FR24">
        <v>1.201747990282795</v>
      </c>
      <c r="FS24">
        <v>0.1182155664206295</v>
      </c>
      <c r="FT24">
        <v>0</v>
      </c>
      <c r="FU24">
        <v>0.42294171307537998</v>
      </c>
      <c r="FV24">
        <v>-2.5566085437742449E-2</v>
      </c>
      <c r="FW24">
        <v>2.1615685119068602E-3</v>
      </c>
      <c r="FX24">
        <v>1</v>
      </c>
      <c r="FY24">
        <v>1</v>
      </c>
      <c r="FZ24">
        <v>2</v>
      </c>
      <c r="GA24" t="s">
        <v>421</v>
      </c>
      <c r="GB24">
        <v>2.9680300000000002</v>
      </c>
      <c r="GC24">
        <v>2.8116300000000001</v>
      </c>
      <c r="GD24">
        <v>8.5064899999999999E-2</v>
      </c>
      <c r="GE24">
        <v>9.5035900000000006E-2</v>
      </c>
      <c r="GF24">
        <v>0.126115</v>
      </c>
      <c r="GG24">
        <v>9.7309099999999996E-2</v>
      </c>
      <c r="GH24">
        <v>26925.9</v>
      </c>
      <c r="GI24">
        <v>24609.9</v>
      </c>
      <c r="GJ24">
        <v>26459.4</v>
      </c>
      <c r="GK24">
        <v>25668.2</v>
      </c>
      <c r="GL24">
        <v>31474.400000000001</v>
      </c>
      <c r="GM24">
        <v>32711.7</v>
      </c>
      <c r="GN24">
        <v>37460.300000000003</v>
      </c>
      <c r="GO24">
        <v>38056.800000000003</v>
      </c>
      <c r="GP24">
        <v>1.9384999999999999</v>
      </c>
      <c r="GQ24">
        <v>1.8996</v>
      </c>
      <c r="GR24">
        <v>-2.98023E-2</v>
      </c>
      <c r="GS24">
        <v>0</v>
      </c>
      <c r="GT24">
        <v>30.5581</v>
      </c>
      <c r="GU24">
        <v>999.9</v>
      </c>
      <c r="GV24">
        <v>34.799999999999997</v>
      </c>
      <c r="GW24">
        <v>40.799999999999997</v>
      </c>
      <c r="GX24">
        <v>27.170100000000001</v>
      </c>
      <c r="GY24">
        <v>61.391800000000003</v>
      </c>
      <c r="GZ24">
        <v>13.008800000000001</v>
      </c>
      <c r="HA24">
        <v>1</v>
      </c>
      <c r="HB24">
        <v>0.530671</v>
      </c>
      <c r="HC24">
        <v>4.2820200000000002</v>
      </c>
      <c r="HD24">
        <v>20.1965</v>
      </c>
      <c r="HE24">
        <v>5.2100999999999997</v>
      </c>
      <c r="HF24">
        <v>11.9381</v>
      </c>
      <c r="HG24">
        <v>4.9878</v>
      </c>
      <c r="HH24">
        <v>3.2909999999999999</v>
      </c>
      <c r="HI24">
        <v>9999</v>
      </c>
      <c r="HJ24">
        <v>9999</v>
      </c>
      <c r="HK24">
        <v>9999</v>
      </c>
      <c r="HL24">
        <v>999.9</v>
      </c>
      <c r="HM24">
        <v>1.8712</v>
      </c>
      <c r="HN24">
        <v>1.8772800000000001</v>
      </c>
      <c r="HO24">
        <v>1.87503</v>
      </c>
      <c r="HP24">
        <v>1.8733200000000001</v>
      </c>
      <c r="HQ24">
        <v>1.87378</v>
      </c>
      <c r="HR24">
        <v>1.8711899999999999</v>
      </c>
      <c r="HS24">
        <v>1.87704</v>
      </c>
      <c r="HT24">
        <v>1.87622</v>
      </c>
      <c r="HU24">
        <v>5</v>
      </c>
      <c r="HV24">
        <v>0</v>
      </c>
      <c r="HW24">
        <v>0</v>
      </c>
      <c r="HX24">
        <v>0</v>
      </c>
      <c r="HY24" t="s">
        <v>417</v>
      </c>
      <c r="HZ24" t="s">
        <v>418</v>
      </c>
      <c r="IA24" t="s">
        <v>419</v>
      </c>
      <c r="IB24" t="s">
        <v>420</v>
      </c>
      <c r="IC24" t="s">
        <v>420</v>
      </c>
      <c r="ID24" t="s">
        <v>419</v>
      </c>
      <c r="IE24">
        <v>0</v>
      </c>
      <c r="IF24">
        <v>100</v>
      </c>
      <c r="IG24">
        <v>100</v>
      </c>
      <c r="IH24">
        <v>-0.80300000000000005</v>
      </c>
      <c r="II24">
        <v>0.33989999999999998</v>
      </c>
      <c r="IJ24">
        <v>-0.40467431045032198</v>
      </c>
      <c r="IK24">
        <v>-1.615681629159814E-3</v>
      </c>
      <c r="IL24">
        <v>1.5005605225991581E-6</v>
      </c>
      <c r="IM24">
        <v>-5.1143626075267638E-10</v>
      </c>
      <c r="IN24">
        <v>-0.18718125041403319</v>
      </c>
      <c r="IO24">
        <v>-1.7182111142928099E-3</v>
      </c>
      <c r="IP24">
        <v>9.9985895407488957E-4</v>
      </c>
      <c r="IQ24">
        <v>-5.7750407166627208E-6</v>
      </c>
      <c r="IR24">
        <v>3</v>
      </c>
      <c r="IS24">
        <v>2181</v>
      </c>
      <c r="IT24">
        <v>2</v>
      </c>
      <c r="IU24">
        <v>42</v>
      </c>
      <c r="IV24">
        <v>1.8</v>
      </c>
      <c r="IW24">
        <v>1.6</v>
      </c>
      <c r="IX24">
        <v>0.94848600000000005</v>
      </c>
      <c r="IY24">
        <v>2.5305200000000001</v>
      </c>
      <c r="IZ24">
        <v>1.5991200000000001</v>
      </c>
      <c r="JA24">
        <v>2.2729499999999998</v>
      </c>
      <c r="JB24">
        <v>1.5502899999999999</v>
      </c>
      <c r="JC24">
        <v>2.4011200000000001</v>
      </c>
      <c r="JD24">
        <v>45.604500000000002</v>
      </c>
      <c r="JE24">
        <v>23.702200000000001</v>
      </c>
      <c r="JF24">
        <v>18</v>
      </c>
      <c r="JG24">
        <v>504.74400000000003</v>
      </c>
      <c r="JH24">
        <v>448.709</v>
      </c>
      <c r="JI24">
        <v>25.0138</v>
      </c>
      <c r="JJ24">
        <v>33.878300000000003</v>
      </c>
      <c r="JK24">
        <v>30.000800000000002</v>
      </c>
      <c r="JL24">
        <v>33.8352</v>
      </c>
      <c r="JM24">
        <v>33.804200000000002</v>
      </c>
      <c r="JN24">
        <v>19.015999999999998</v>
      </c>
      <c r="JO24">
        <v>40.508400000000002</v>
      </c>
      <c r="JP24">
        <v>0</v>
      </c>
      <c r="JQ24">
        <v>24.980899999999998</v>
      </c>
      <c r="JR24">
        <v>400</v>
      </c>
      <c r="JS24">
        <v>18.438800000000001</v>
      </c>
      <c r="JT24">
        <v>98.793999999999997</v>
      </c>
      <c r="JU24">
        <v>98.775800000000004</v>
      </c>
    </row>
    <row r="25" spans="1:281" x14ac:dyDescent="0.25">
      <c r="A25">
        <v>9</v>
      </c>
      <c r="B25">
        <v>1691164116.0999999</v>
      </c>
      <c r="C25">
        <v>4385.5</v>
      </c>
      <c r="D25" t="s">
        <v>463</v>
      </c>
      <c r="E25" t="s">
        <v>464</v>
      </c>
      <c r="F25" t="s">
        <v>411</v>
      </c>
      <c r="G25" t="s">
        <v>413</v>
      </c>
      <c r="H25" t="s">
        <v>422</v>
      </c>
      <c r="I25" t="s">
        <v>413</v>
      </c>
      <c r="J25">
        <v>1691164116.0999999</v>
      </c>
      <c r="K25">
        <f t="shared" si="0"/>
        <v>6.2888362422202932E-3</v>
      </c>
      <c r="L25">
        <f t="shared" si="1"/>
        <v>6.2888362422202935</v>
      </c>
      <c r="M25">
        <f t="shared" si="2"/>
        <v>49.2996143422328</v>
      </c>
      <c r="N25">
        <f t="shared" si="3"/>
        <v>338.25099999999998</v>
      </c>
      <c r="O25">
        <f t="shared" si="4"/>
        <v>117.12659058005784</v>
      </c>
      <c r="P25">
        <f t="shared" si="5"/>
        <v>11.618466228666392</v>
      </c>
      <c r="Q25">
        <f t="shared" si="6"/>
        <v>33.553079628203193</v>
      </c>
      <c r="R25">
        <f t="shared" si="7"/>
        <v>0.39028435734665023</v>
      </c>
      <c r="S25">
        <f t="shared" si="8"/>
        <v>2.9228161995970288</v>
      </c>
      <c r="T25">
        <f t="shared" si="9"/>
        <v>0.3634718132083723</v>
      </c>
      <c r="U25">
        <f t="shared" si="10"/>
        <v>0.22942520015352491</v>
      </c>
      <c r="V25">
        <f t="shared" si="11"/>
        <v>289.56863101274143</v>
      </c>
      <c r="W25">
        <f t="shared" si="12"/>
        <v>30.326419672121549</v>
      </c>
      <c r="X25">
        <f t="shared" si="13"/>
        <v>30.000800000000002</v>
      </c>
      <c r="Y25">
        <f t="shared" si="14"/>
        <v>4.2606455497365427</v>
      </c>
      <c r="Z25">
        <f t="shared" si="15"/>
        <v>60.22863028593153</v>
      </c>
      <c r="AA25">
        <f t="shared" si="16"/>
        <v>2.6037311207148801</v>
      </c>
      <c r="AB25">
        <f t="shared" si="17"/>
        <v>4.3230787556579573</v>
      </c>
      <c r="AC25">
        <f t="shared" si="18"/>
        <v>1.6569144290216626</v>
      </c>
      <c r="AD25">
        <f t="shared" si="19"/>
        <v>-277.33767828191492</v>
      </c>
      <c r="AE25">
        <f t="shared" si="20"/>
        <v>39.945228772502951</v>
      </c>
      <c r="AF25">
        <f t="shared" si="21"/>
        <v>3.0426424415414348</v>
      </c>
      <c r="AG25">
        <f t="shared" si="22"/>
        <v>55.218823944870898</v>
      </c>
      <c r="AH25">
        <v>0</v>
      </c>
      <c r="AI25">
        <v>0</v>
      </c>
      <c r="AJ25">
        <f t="shared" si="23"/>
        <v>1</v>
      </c>
      <c r="AK25">
        <f t="shared" si="24"/>
        <v>0</v>
      </c>
      <c r="AL25">
        <f t="shared" si="25"/>
        <v>52097.883542894655</v>
      </c>
      <c r="AM25" t="s">
        <v>414</v>
      </c>
      <c r="AN25">
        <v>7361.72</v>
      </c>
      <c r="AO25">
        <v>541.39076923076925</v>
      </c>
      <c r="AP25">
        <v>2141.9899999999998</v>
      </c>
      <c r="AQ25">
        <f t="shared" si="26"/>
        <v>0.74724869433061347</v>
      </c>
      <c r="AR25">
        <v>-0.96077199609010144</v>
      </c>
      <c r="AS25" t="s">
        <v>465</v>
      </c>
      <c r="AT25">
        <v>7348.9</v>
      </c>
      <c r="AU25">
        <v>738.02020000000005</v>
      </c>
      <c r="AV25">
        <v>1112.0519580585431</v>
      </c>
      <c r="AW25">
        <f t="shared" si="27"/>
        <v>0.33634377903667378</v>
      </c>
      <c r="AX25">
        <v>0.5</v>
      </c>
      <c r="AY25">
        <f t="shared" si="28"/>
        <v>1513.1631000066018</v>
      </c>
      <c r="AZ25">
        <f t="shared" si="29"/>
        <v>49.2996143422328</v>
      </c>
      <c r="BA25">
        <f t="shared" si="30"/>
        <v>254.47149767753439</v>
      </c>
      <c r="BB25">
        <f t="shared" si="31"/>
        <v>3.3215445405788462E-2</v>
      </c>
      <c r="BC25">
        <f t="shared" si="32"/>
        <v>0.92616000041900604</v>
      </c>
      <c r="BD25">
        <f t="shared" si="33"/>
        <v>438.69700029895716</v>
      </c>
      <c r="BE25" t="s">
        <v>466</v>
      </c>
      <c r="BF25">
        <v>564.87</v>
      </c>
      <c r="BG25">
        <f t="shared" si="34"/>
        <v>564.87</v>
      </c>
      <c r="BH25">
        <f t="shared" si="35"/>
        <v>0.4920471153288839</v>
      </c>
      <c r="BI25">
        <f t="shared" si="36"/>
        <v>0.68356010747438667</v>
      </c>
      <c r="BJ25">
        <f t="shared" si="37"/>
        <v>0.65304988963519373</v>
      </c>
      <c r="BK25">
        <f t="shared" si="38"/>
        <v>0.65543577411819787</v>
      </c>
      <c r="BL25">
        <f t="shared" si="39"/>
        <v>0.6434702842175426</v>
      </c>
      <c r="BM25">
        <f t="shared" si="40"/>
        <v>0.52318703188484106</v>
      </c>
      <c r="BN25">
        <f t="shared" si="41"/>
        <v>0.47681296811515894</v>
      </c>
      <c r="BO25">
        <v>1447</v>
      </c>
      <c r="BP25">
        <v>290.00000000000011</v>
      </c>
      <c r="BQ25">
        <v>979.71</v>
      </c>
      <c r="BR25">
        <v>235</v>
      </c>
      <c r="BS25">
        <v>7348.9</v>
      </c>
      <c r="BT25">
        <v>980.66</v>
      </c>
      <c r="BU25">
        <v>-0.95</v>
      </c>
      <c r="BV25">
        <v>300.00000000000011</v>
      </c>
      <c r="BW25">
        <v>37.9</v>
      </c>
      <c r="BX25">
        <v>1112.0519580585431</v>
      </c>
      <c r="BY25">
        <v>1.2013810664813951</v>
      </c>
      <c r="BZ25">
        <v>-96.555230577024844</v>
      </c>
      <c r="CA25">
        <v>0.73990010259200889</v>
      </c>
      <c r="CB25">
        <v>0.99835850668425086</v>
      </c>
      <c r="CC25">
        <v>-7.237812903225809E-3</v>
      </c>
      <c r="CD25">
        <v>289.99999999999989</v>
      </c>
      <c r="CE25">
        <v>967.71</v>
      </c>
      <c r="CF25">
        <v>645</v>
      </c>
      <c r="CG25">
        <v>7342.26</v>
      </c>
      <c r="CH25">
        <v>980.55</v>
      </c>
      <c r="CI25">
        <v>-12.84</v>
      </c>
      <c r="CW25">
        <f t="shared" si="42"/>
        <v>1799.97</v>
      </c>
      <c r="CX25">
        <f t="shared" si="43"/>
        <v>1513.1631000066018</v>
      </c>
      <c r="CY25">
        <f t="shared" si="44"/>
        <v>0.84066017767329559</v>
      </c>
      <c r="CZ25">
        <f t="shared" si="45"/>
        <v>0.16087414290946039</v>
      </c>
      <c r="DA25">
        <v>6</v>
      </c>
      <c r="DB25">
        <v>0.5</v>
      </c>
      <c r="DC25" t="s">
        <v>415</v>
      </c>
      <c r="DD25">
        <v>2</v>
      </c>
      <c r="DE25">
        <v>1691164116.0999999</v>
      </c>
      <c r="DF25">
        <v>338.25099999999998</v>
      </c>
      <c r="DG25">
        <v>399.95800000000003</v>
      </c>
      <c r="DH25">
        <v>26.2484</v>
      </c>
      <c r="DI25">
        <v>18.900500000000001</v>
      </c>
      <c r="DJ25">
        <v>339.09899999999999</v>
      </c>
      <c r="DK25">
        <v>25.908899999999999</v>
      </c>
      <c r="DL25">
        <v>500.04199999999997</v>
      </c>
      <c r="DM25">
        <v>99.096400000000003</v>
      </c>
      <c r="DN25">
        <v>9.9403199999999997E-2</v>
      </c>
      <c r="DO25">
        <v>30.254300000000001</v>
      </c>
      <c r="DP25">
        <v>30.000800000000002</v>
      </c>
      <c r="DQ25">
        <v>999.9</v>
      </c>
      <c r="DR25">
        <v>0</v>
      </c>
      <c r="DS25">
        <v>0</v>
      </c>
      <c r="DT25">
        <v>10052.5</v>
      </c>
      <c r="DU25">
        <v>0</v>
      </c>
      <c r="DV25">
        <v>1942.1</v>
      </c>
      <c r="DW25">
        <v>-61.706600000000002</v>
      </c>
      <c r="DX25">
        <v>347.36900000000003</v>
      </c>
      <c r="DY25">
        <v>407.66300000000001</v>
      </c>
      <c r="DZ25">
        <v>7.34795</v>
      </c>
      <c r="EA25">
        <v>399.95800000000003</v>
      </c>
      <c r="EB25">
        <v>18.900500000000001</v>
      </c>
      <c r="EC25">
        <v>2.6011199999999999</v>
      </c>
      <c r="ED25">
        <v>1.87297</v>
      </c>
      <c r="EE25">
        <v>21.673500000000001</v>
      </c>
      <c r="EF25">
        <v>16.409400000000002</v>
      </c>
      <c r="EG25">
        <v>1799.97</v>
      </c>
      <c r="EH25">
        <v>0.97799400000000003</v>
      </c>
      <c r="EI25">
        <v>2.2006000000000001E-2</v>
      </c>
      <c r="EJ25">
        <v>0</v>
      </c>
      <c r="EK25">
        <v>737.61500000000001</v>
      </c>
      <c r="EL25">
        <v>9.9989999999999996E-2</v>
      </c>
      <c r="EM25">
        <v>14350.1</v>
      </c>
      <c r="EN25">
        <v>16705</v>
      </c>
      <c r="EO25">
        <v>47.186999999999998</v>
      </c>
      <c r="EP25">
        <v>49.061999999999998</v>
      </c>
      <c r="EQ25">
        <v>48.061999999999998</v>
      </c>
      <c r="ER25">
        <v>47.686999999999998</v>
      </c>
      <c r="ES25">
        <v>48.311999999999998</v>
      </c>
      <c r="ET25">
        <v>1760.26</v>
      </c>
      <c r="EU25">
        <v>39.61</v>
      </c>
      <c r="EV25">
        <v>0</v>
      </c>
      <c r="EW25">
        <v>117.5999999046326</v>
      </c>
      <c r="EX25">
        <v>0</v>
      </c>
      <c r="EY25">
        <v>738.02020000000005</v>
      </c>
      <c r="EZ25">
        <v>9.7934615534809417</v>
      </c>
      <c r="FA25">
        <v>174.7846157471277</v>
      </c>
      <c r="FB25">
        <v>14324.364</v>
      </c>
      <c r="FC25">
        <v>15</v>
      </c>
      <c r="FD25">
        <v>1691164064.5999999</v>
      </c>
      <c r="FE25" t="s">
        <v>467</v>
      </c>
      <c r="FF25">
        <v>1691164060.5999999</v>
      </c>
      <c r="FG25">
        <v>1691164064.5999999</v>
      </c>
      <c r="FH25">
        <v>28</v>
      </c>
      <c r="FI25">
        <v>-4.8000000000000001E-2</v>
      </c>
      <c r="FJ25">
        <v>0</v>
      </c>
      <c r="FK25">
        <v>-0.89200000000000002</v>
      </c>
      <c r="FL25">
        <v>8.5000000000000006E-2</v>
      </c>
      <c r="FM25">
        <v>400</v>
      </c>
      <c r="FN25">
        <v>19</v>
      </c>
      <c r="FO25">
        <v>0.11</v>
      </c>
      <c r="FP25">
        <v>0.02</v>
      </c>
      <c r="FQ25">
        <v>49.132395669722598</v>
      </c>
      <c r="FR25">
        <v>0.56586512499928432</v>
      </c>
      <c r="FS25">
        <v>0.1108528596237572</v>
      </c>
      <c r="FT25">
        <v>1</v>
      </c>
      <c r="FU25">
        <v>0.39214009048455423</v>
      </c>
      <c r="FV25">
        <v>-7.0297677015508644E-3</v>
      </c>
      <c r="FW25">
        <v>8.6933077094112558E-4</v>
      </c>
      <c r="FX25">
        <v>1</v>
      </c>
      <c r="FY25">
        <v>2</v>
      </c>
      <c r="FZ25">
        <v>2</v>
      </c>
      <c r="GA25" t="s">
        <v>416</v>
      </c>
      <c r="GB25">
        <v>2.9680599999999999</v>
      </c>
      <c r="GC25">
        <v>2.81155</v>
      </c>
      <c r="GD25">
        <v>8.4373000000000004E-2</v>
      </c>
      <c r="GE25">
        <v>9.5023099999999999E-2</v>
      </c>
      <c r="GF25">
        <v>0.126029</v>
      </c>
      <c r="GG25">
        <v>9.9496200000000007E-2</v>
      </c>
      <c r="GH25">
        <v>26945.8</v>
      </c>
      <c r="GI25">
        <v>24608.7</v>
      </c>
      <c r="GJ25">
        <v>26459.200000000001</v>
      </c>
      <c r="GK25">
        <v>25666.799999999999</v>
      </c>
      <c r="GL25">
        <v>31478.5</v>
      </c>
      <c r="GM25">
        <v>32630.7</v>
      </c>
      <c r="GN25">
        <v>37460.9</v>
      </c>
      <c r="GO25">
        <v>38054.699999999997</v>
      </c>
      <c r="GP25">
        <v>1.9375</v>
      </c>
      <c r="GQ25">
        <v>1.8996</v>
      </c>
      <c r="GR25">
        <v>-3.0994399999999998E-2</v>
      </c>
      <c r="GS25">
        <v>0</v>
      </c>
      <c r="GT25">
        <v>30.504999999999999</v>
      </c>
      <c r="GU25">
        <v>999.9</v>
      </c>
      <c r="GV25">
        <v>34.799999999999997</v>
      </c>
      <c r="GW25">
        <v>40.9</v>
      </c>
      <c r="GX25">
        <v>27.313300000000002</v>
      </c>
      <c r="GY25">
        <v>61.331800000000001</v>
      </c>
      <c r="GZ25">
        <v>13.008800000000001</v>
      </c>
      <c r="HA25">
        <v>1</v>
      </c>
      <c r="HB25">
        <v>0.53209399999999996</v>
      </c>
      <c r="HC25">
        <v>3.7172499999999999</v>
      </c>
      <c r="HD25">
        <v>20.210100000000001</v>
      </c>
      <c r="HE25">
        <v>5.2095000000000002</v>
      </c>
      <c r="HF25">
        <v>11.9381</v>
      </c>
      <c r="HG25">
        <v>4.9870000000000001</v>
      </c>
      <c r="HH25">
        <v>3.2909999999999999</v>
      </c>
      <c r="HI25">
        <v>9999</v>
      </c>
      <c r="HJ25">
        <v>9999</v>
      </c>
      <c r="HK25">
        <v>9999</v>
      </c>
      <c r="HL25">
        <v>999.9</v>
      </c>
      <c r="HM25">
        <v>1.8712</v>
      </c>
      <c r="HN25">
        <v>1.8772899999999999</v>
      </c>
      <c r="HO25">
        <v>1.8751</v>
      </c>
      <c r="HP25">
        <v>1.8733200000000001</v>
      </c>
      <c r="HQ25">
        <v>1.87381</v>
      </c>
      <c r="HR25">
        <v>1.8711899999999999</v>
      </c>
      <c r="HS25">
        <v>1.8771100000000001</v>
      </c>
      <c r="HT25">
        <v>1.87622</v>
      </c>
      <c r="HU25">
        <v>5</v>
      </c>
      <c r="HV25">
        <v>0</v>
      </c>
      <c r="HW25">
        <v>0</v>
      </c>
      <c r="HX25">
        <v>0</v>
      </c>
      <c r="HY25" t="s">
        <v>417</v>
      </c>
      <c r="HZ25" t="s">
        <v>418</v>
      </c>
      <c r="IA25" t="s">
        <v>419</v>
      </c>
      <c r="IB25" t="s">
        <v>420</v>
      </c>
      <c r="IC25" t="s">
        <v>420</v>
      </c>
      <c r="ID25" t="s">
        <v>419</v>
      </c>
      <c r="IE25">
        <v>0</v>
      </c>
      <c r="IF25">
        <v>100</v>
      </c>
      <c r="IG25">
        <v>100</v>
      </c>
      <c r="IH25">
        <v>-0.84799999999999998</v>
      </c>
      <c r="II25">
        <v>0.33950000000000002</v>
      </c>
      <c r="IJ25">
        <v>-0.45292171666632619</v>
      </c>
      <c r="IK25">
        <v>-1.615681629159814E-3</v>
      </c>
      <c r="IL25">
        <v>1.5005605225991581E-6</v>
      </c>
      <c r="IM25">
        <v>-5.1143626075267638E-10</v>
      </c>
      <c r="IN25">
        <v>-0.18672453928719121</v>
      </c>
      <c r="IO25">
        <v>-1.7182111142928099E-3</v>
      </c>
      <c r="IP25">
        <v>9.9985895407488957E-4</v>
      </c>
      <c r="IQ25">
        <v>-5.7750407166627208E-6</v>
      </c>
      <c r="IR25">
        <v>3</v>
      </c>
      <c r="IS25">
        <v>2181</v>
      </c>
      <c r="IT25">
        <v>2</v>
      </c>
      <c r="IU25">
        <v>42</v>
      </c>
      <c r="IV25">
        <v>0.9</v>
      </c>
      <c r="IW25">
        <v>0.9</v>
      </c>
      <c r="IX25">
        <v>0.94848600000000005</v>
      </c>
      <c r="IY25">
        <v>2.5329600000000001</v>
      </c>
      <c r="IZ25">
        <v>1.5991200000000001</v>
      </c>
      <c r="JA25">
        <v>2.2741699999999998</v>
      </c>
      <c r="JB25">
        <v>1.5502899999999999</v>
      </c>
      <c r="JC25">
        <v>2.4084500000000002</v>
      </c>
      <c r="JD25">
        <v>45.661799999999999</v>
      </c>
      <c r="JE25">
        <v>23.710999999999999</v>
      </c>
      <c r="JF25">
        <v>18</v>
      </c>
      <c r="JG25">
        <v>504.56200000000001</v>
      </c>
      <c r="JH25">
        <v>449.11900000000003</v>
      </c>
      <c r="JI25">
        <v>24.892499999999998</v>
      </c>
      <c r="JJ25">
        <v>33.942399999999999</v>
      </c>
      <c r="JK25">
        <v>30.001000000000001</v>
      </c>
      <c r="JL25">
        <v>33.896000000000001</v>
      </c>
      <c r="JM25">
        <v>33.861800000000002</v>
      </c>
      <c r="JN25">
        <v>19.0215</v>
      </c>
      <c r="JO25">
        <v>39.058199999999999</v>
      </c>
      <c r="JP25">
        <v>0</v>
      </c>
      <c r="JQ25">
        <v>24.869199999999999</v>
      </c>
      <c r="JR25">
        <v>400</v>
      </c>
      <c r="JS25">
        <v>18.902699999999999</v>
      </c>
      <c r="JT25">
        <v>98.794600000000003</v>
      </c>
      <c r="JU25">
        <v>98.770300000000006</v>
      </c>
    </row>
    <row r="26" spans="1:281" x14ac:dyDescent="0.25">
      <c r="A26">
        <v>10</v>
      </c>
      <c r="B26">
        <v>1691164219.5999999</v>
      </c>
      <c r="C26">
        <v>4489</v>
      </c>
      <c r="D26" t="s">
        <v>468</v>
      </c>
      <c r="E26" t="s">
        <v>469</v>
      </c>
      <c r="F26" t="s">
        <v>411</v>
      </c>
      <c r="G26" t="s">
        <v>413</v>
      </c>
      <c r="H26" t="s">
        <v>422</v>
      </c>
      <c r="I26" t="s">
        <v>413</v>
      </c>
      <c r="J26">
        <v>1691164219.5999999</v>
      </c>
      <c r="K26">
        <f t="shared" si="0"/>
        <v>6.0385019034556444E-3</v>
      </c>
      <c r="L26">
        <f t="shared" si="1"/>
        <v>6.0385019034556446</v>
      </c>
      <c r="M26">
        <f t="shared" si="2"/>
        <v>52.971013432081449</v>
      </c>
      <c r="N26">
        <f t="shared" si="3"/>
        <v>433.46699999999998</v>
      </c>
      <c r="O26">
        <f t="shared" si="4"/>
        <v>183.70777564739151</v>
      </c>
      <c r="P26">
        <f t="shared" si="5"/>
        <v>18.22345774349467</v>
      </c>
      <c r="Q26">
        <f t="shared" si="6"/>
        <v>42.999092062718397</v>
      </c>
      <c r="R26">
        <f t="shared" si="7"/>
        <v>0.37252493773843232</v>
      </c>
      <c r="S26">
        <f t="shared" si="8"/>
        <v>2.9163055588870215</v>
      </c>
      <c r="T26">
        <f t="shared" si="9"/>
        <v>0.34796401312631525</v>
      </c>
      <c r="U26">
        <f t="shared" si="10"/>
        <v>0.2195491241733773</v>
      </c>
      <c r="V26">
        <f t="shared" si="11"/>
        <v>289.57501501274118</v>
      </c>
      <c r="W26">
        <f t="shared" si="12"/>
        <v>30.368139989141369</v>
      </c>
      <c r="X26">
        <f t="shared" si="13"/>
        <v>30.012799999999999</v>
      </c>
      <c r="Y26">
        <f t="shared" si="14"/>
        <v>4.2635831504430985</v>
      </c>
      <c r="Z26">
        <f t="shared" si="15"/>
        <v>60.263198493141388</v>
      </c>
      <c r="AA26">
        <f t="shared" si="16"/>
        <v>2.6016877578854398</v>
      </c>
      <c r="AB26">
        <f t="shared" si="17"/>
        <v>4.3172082181823459</v>
      </c>
      <c r="AC26">
        <f t="shared" si="18"/>
        <v>1.6618953925576587</v>
      </c>
      <c r="AD26">
        <f t="shared" si="19"/>
        <v>-266.29793394239391</v>
      </c>
      <c r="AE26">
        <f t="shared" si="20"/>
        <v>34.243357860318255</v>
      </c>
      <c r="AF26">
        <f t="shared" si="21"/>
        <v>2.6140005007557474</v>
      </c>
      <c r="AG26">
        <f t="shared" si="22"/>
        <v>60.134439431421285</v>
      </c>
      <c r="AH26">
        <v>0</v>
      </c>
      <c r="AI26">
        <v>0</v>
      </c>
      <c r="AJ26">
        <f t="shared" si="23"/>
        <v>1</v>
      </c>
      <c r="AK26">
        <f t="shared" si="24"/>
        <v>0</v>
      </c>
      <c r="AL26">
        <f t="shared" si="25"/>
        <v>51916.676020225728</v>
      </c>
      <c r="AM26" t="s">
        <v>414</v>
      </c>
      <c r="AN26">
        <v>7361.72</v>
      </c>
      <c r="AO26">
        <v>541.39076923076925</v>
      </c>
      <c r="AP26">
        <v>2141.9899999999998</v>
      </c>
      <c r="AQ26">
        <f t="shared" si="26"/>
        <v>0.74724869433061347</v>
      </c>
      <c r="AR26">
        <v>-0.96077199609010144</v>
      </c>
      <c r="AS26" t="s">
        <v>470</v>
      </c>
      <c r="AT26">
        <v>7346.13</v>
      </c>
      <c r="AU26">
        <v>755.1336</v>
      </c>
      <c r="AV26">
        <v>1176.279750199453</v>
      </c>
      <c r="AW26">
        <f t="shared" si="27"/>
        <v>0.35803230492409854</v>
      </c>
      <c r="AX26">
        <v>0.5</v>
      </c>
      <c r="AY26">
        <f t="shared" si="28"/>
        <v>1513.1967000066018</v>
      </c>
      <c r="AZ26">
        <f t="shared" si="29"/>
        <v>52.971013432081449</v>
      </c>
      <c r="BA26">
        <f t="shared" si="30"/>
        <v>270.88665115345168</v>
      </c>
      <c r="BB26">
        <f t="shared" si="31"/>
        <v>3.5640961566950458E-2</v>
      </c>
      <c r="BC26">
        <f t="shared" si="32"/>
        <v>0.82098688652660934</v>
      </c>
      <c r="BD26">
        <f t="shared" si="33"/>
        <v>448.35469972182347</v>
      </c>
      <c r="BE26" t="s">
        <v>471</v>
      </c>
      <c r="BF26">
        <v>573.16999999999996</v>
      </c>
      <c r="BG26">
        <f t="shared" si="34"/>
        <v>573.16999999999996</v>
      </c>
      <c r="BH26">
        <f t="shared" si="35"/>
        <v>0.5127264582232145</v>
      </c>
      <c r="BI26">
        <f t="shared" si="36"/>
        <v>0.69829106569770549</v>
      </c>
      <c r="BJ26">
        <f t="shared" si="37"/>
        <v>0.61556472367801718</v>
      </c>
      <c r="BK26">
        <f t="shared" si="38"/>
        <v>0.66333825727592255</v>
      </c>
      <c r="BL26">
        <f t="shared" si="39"/>
        <v>0.60334294259059273</v>
      </c>
      <c r="BM26">
        <f t="shared" si="40"/>
        <v>0.53002474015982581</v>
      </c>
      <c r="BN26">
        <f t="shared" si="41"/>
        <v>0.46997525984017419</v>
      </c>
      <c r="BO26">
        <v>1449</v>
      </c>
      <c r="BP26">
        <v>290.00000000000011</v>
      </c>
      <c r="BQ26">
        <v>1029.3499999999999</v>
      </c>
      <c r="BR26">
        <v>295</v>
      </c>
      <c r="BS26">
        <v>7346.13</v>
      </c>
      <c r="BT26">
        <v>1030.1500000000001</v>
      </c>
      <c r="BU26">
        <v>-0.8</v>
      </c>
      <c r="BV26">
        <v>300.00000000000011</v>
      </c>
      <c r="BW26">
        <v>37.9</v>
      </c>
      <c r="BX26">
        <v>1176.279750199453</v>
      </c>
      <c r="BY26">
        <v>1.359999614123238</v>
      </c>
      <c r="BZ26">
        <v>-107.345722496935</v>
      </c>
      <c r="CA26">
        <v>0.83756737503731649</v>
      </c>
      <c r="CB26">
        <v>0.99829827894762457</v>
      </c>
      <c r="CC26">
        <v>-7.2377550611790976E-3</v>
      </c>
      <c r="CD26">
        <v>289.99999999999989</v>
      </c>
      <c r="CE26">
        <v>1017.4</v>
      </c>
      <c r="CF26">
        <v>655</v>
      </c>
      <c r="CG26">
        <v>7341.72</v>
      </c>
      <c r="CH26">
        <v>1030.07</v>
      </c>
      <c r="CI26">
        <v>-12.67</v>
      </c>
      <c r="CW26">
        <f t="shared" si="42"/>
        <v>1800.01</v>
      </c>
      <c r="CX26">
        <f t="shared" si="43"/>
        <v>1513.1967000066018</v>
      </c>
      <c r="CY26">
        <f t="shared" si="44"/>
        <v>0.84066016300276203</v>
      </c>
      <c r="CZ26">
        <f t="shared" si="45"/>
        <v>0.16087411459533069</v>
      </c>
      <c r="DA26">
        <v>6</v>
      </c>
      <c r="DB26">
        <v>0.5</v>
      </c>
      <c r="DC26" t="s">
        <v>415</v>
      </c>
      <c r="DD26">
        <v>2</v>
      </c>
      <c r="DE26">
        <v>1691164219.5999999</v>
      </c>
      <c r="DF26">
        <v>433.46699999999998</v>
      </c>
      <c r="DG26">
        <v>500.15</v>
      </c>
      <c r="DH26">
        <v>26.2272</v>
      </c>
      <c r="DI26">
        <v>19.173500000000001</v>
      </c>
      <c r="DJ26">
        <v>434.30399999999997</v>
      </c>
      <c r="DK26">
        <v>25.890699999999999</v>
      </c>
      <c r="DL26">
        <v>500.17399999999998</v>
      </c>
      <c r="DM26">
        <v>99.098299999999995</v>
      </c>
      <c r="DN26">
        <v>9.9775199999999994E-2</v>
      </c>
      <c r="DO26">
        <v>30.230599999999999</v>
      </c>
      <c r="DP26">
        <v>30.012799999999999</v>
      </c>
      <c r="DQ26">
        <v>999.9</v>
      </c>
      <c r="DR26">
        <v>0</v>
      </c>
      <c r="DS26">
        <v>0</v>
      </c>
      <c r="DT26">
        <v>10015</v>
      </c>
      <c r="DU26">
        <v>0</v>
      </c>
      <c r="DV26">
        <v>1945.87</v>
      </c>
      <c r="DW26">
        <v>-66.683099999999996</v>
      </c>
      <c r="DX26">
        <v>445.142</v>
      </c>
      <c r="DY26">
        <v>509.92700000000002</v>
      </c>
      <c r="DZ26">
        <v>7.0537099999999997</v>
      </c>
      <c r="EA26">
        <v>500.15</v>
      </c>
      <c r="EB26">
        <v>19.173500000000001</v>
      </c>
      <c r="EC26">
        <v>2.5990700000000002</v>
      </c>
      <c r="ED26">
        <v>1.9000600000000001</v>
      </c>
      <c r="EE26">
        <v>21.660599999999999</v>
      </c>
      <c r="EF26">
        <v>16.635200000000001</v>
      </c>
      <c r="EG26">
        <v>1800.01</v>
      </c>
      <c r="EH26">
        <v>0.97799400000000003</v>
      </c>
      <c r="EI26">
        <v>2.2006000000000001E-2</v>
      </c>
      <c r="EJ26">
        <v>0</v>
      </c>
      <c r="EK26">
        <v>754.24</v>
      </c>
      <c r="EL26">
        <v>9.9989999999999996E-2</v>
      </c>
      <c r="EM26">
        <v>14642</v>
      </c>
      <c r="EN26">
        <v>16705.3</v>
      </c>
      <c r="EO26">
        <v>47.186999999999998</v>
      </c>
      <c r="EP26">
        <v>49.125</v>
      </c>
      <c r="EQ26">
        <v>48.125</v>
      </c>
      <c r="ER26">
        <v>47.75</v>
      </c>
      <c r="ES26">
        <v>48.311999999999998</v>
      </c>
      <c r="ET26">
        <v>1760.3</v>
      </c>
      <c r="EU26">
        <v>39.61</v>
      </c>
      <c r="EV26">
        <v>0</v>
      </c>
      <c r="EW26">
        <v>101.3999998569489</v>
      </c>
      <c r="EX26">
        <v>0</v>
      </c>
      <c r="EY26">
        <v>755.1336</v>
      </c>
      <c r="EZ26">
        <v>2.399230876210571</v>
      </c>
      <c r="FA26">
        <v>63.26923093389874</v>
      </c>
      <c r="FB26">
        <v>14634.696</v>
      </c>
      <c r="FC26">
        <v>15</v>
      </c>
      <c r="FD26">
        <v>1691164191.0999999</v>
      </c>
      <c r="FE26" t="s">
        <v>472</v>
      </c>
      <c r="FF26">
        <v>1691164183.5999999</v>
      </c>
      <c r="FG26">
        <v>1691164191.0999999</v>
      </c>
      <c r="FH26">
        <v>29</v>
      </c>
      <c r="FI26">
        <v>7.6999999999999999E-2</v>
      </c>
      <c r="FJ26">
        <v>-2E-3</v>
      </c>
      <c r="FK26">
        <v>-0.873</v>
      </c>
      <c r="FL26">
        <v>9.1999999999999998E-2</v>
      </c>
      <c r="FM26">
        <v>500</v>
      </c>
      <c r="FN26">
        <v>19</v>
      </c>
      <c r="FO26">
        <v>0.12</v>
      </c>
      <c r="FP26">
        <v>0.04</v>
      </c>
      <c r="FQ26">
        <v>52.993170727947692</v>
      </c>
      <c r="FR26">
        <v>-0.50864070947905571</v>
      </c>
      <c r="FS26">
        <v>0.1135718507124663</v>
      </c>
      <c r="FT26">
        <v>1</v>
      </c>
      <c r="FU26">
        <v>0.3726779779186894</v>
      </c>
      <c r="FV26">
        <v>1.4683912914483741E-2</v>
      </c>
      <c r="FW26">
        <v>2.745302555890638E-3</v>
      </c>
      <c r="FX26">
        <v>1</v>
      </c>
      <c r="FY26">
        <v>2</v>
      </c>
      <c r="FZ26">
        <v>2</v>
      </c>
      <c r="GA26" t="s">
        <v>416</v>
      </c>
      <c r="GB26">
        <v>2.9683600000000001</v>
      </c>
      <c r="GC26">
        <v>2.8115999999999999</v>
      </c>
      <c r="GD26">
        <v>0.102351</v>
      </c>
      <c r="GE26">
        <v>0.11249099999999999</v>
      </c>
      <c r="GF26">
        <v>0.12595200000000001</v>
      </c>
      <c r="GG26">
        <v>0.10051400000000001</v>
      </c>
      <c r="GH26">
        <v>26413.8</v>
      </c>
      <c r="GI26">
        <v>24129.9</v>
      </c>
      <c r="GJ26">
        <v>26456.799999999999</v>
      </c>
      <c r="GK26">
        <v>25663.599999999999</v>
      </c>
      <c r="GL26">
        <v>31479.3</v>
      </c>
      <c r="GM26">
        <v>32591.3</v>
      </c>
      <c r="GN26">
        <v>37456.5</v>
      </c>
      <c r="GO26">
        <v>38050.199999999997</v>
      </c>
      <c r="GP26">
        <v>1.9359</v>
      </c>
      <c r="GQ26">
        <v>1.8986000000000001</v>
      </c>
      <c r="GR26">
        <v>-2.9280799999999999E-2</v>
      </c>
      <c r="GS26">
        <v>0</v>
      </c>
      <c r="GT26">
        <v>30.489100000000001</v>
      </c>
      <c r="GU26">
        <v>999.9</v>
      </c>
      <c r="GV26">
        <v>34.799999999999997</v>
      </c>
      <c r="GW26">
        <v>40.9</v>
      </c>
      <c r="GX26">
        <v>27.312999999999999</v>
      </c>
      <c r="GY26">
        <v>61.9818</v>
      </c>
      <c r="GZ26">
        <v>12.8005</v>
      </c>
      <c r="HA26">
        <v>1</v>
      </c>
      <c r="HB26">
        <v>0.53935999999999995</v>
      </c>
      <c r="HC26">
        <v>3.9486599999999998</v>
      </c>
      <c r="HD26">
        <v>20.2044</v>
      </c>
      <c r="HE26">
        <v>5.2095000000000002</v>
      </c>
      <c r="HF26">
        <v>11.9381</v>
      </c>
      <c r="HG26">
        <v>4.9874000000000001</v>
      </c>
      <c r="HH26">
        <v>3.2909999999999999</v>
      </c>
      <c r="HI26">
        <v>9999</v>
      </c>
      <c r="HJ26">
        <v>9999</v>
      </c>
      <c r="HK26">
        <v>9999</v>
      </c>
      <c r="HL26">
        <v>999.9</v>
      </c>
      <c r="HM26">
        <v>1.8712</v>
      </c>
      <c r="HN26">
        <v>1.8772899999999999</v>
      </c>
      <c r="HO26">
        <v>1.8750199999999999</v>
      </c>
      <c r="HP26">
        <v>1.8733200000000001</v>
      </c>
      <c r="HQ26">
        <v>1.8738300000000001</v>
      </c>
      <c r="HR26">
        <v>1.8711899999999999</v>
      </c>
      <c r="HS26">
        <v>1.8771100000000001</v>
      </c>
      <c r="HT26">
        <v>1.87622</v>
      </c>
      <c r="HU26">
        <v>5</v>
      </c>
      <c r="HV26">
        <v>0</v>
      </c>
      <c r="HW26">
        <v>0</v>
      </c>
      <c r="HX26">
        <v>0</v>
      </c>
      <c r="HY26" t="s">
        <v>417</v>
      </c>
      <c r="HZ26" t="s">
        <v>418</v>
      </c>
      <c r="IA26" t="s">
        <v>419</v>
      </c>
      <c r="IB26" t="s">
        <v>420</v>
      </c>
      <c r="IC26" t="s">
        <v>420</v>
      </c>
      <c r="ID26" t="s">
        <v>419</v>
      </c>
      <c r="IE26">
        <v>0</v>
      </c>
      <c r="IF26">
        <v>100</v>
      </c>
      <c r="IG26">
        <v>100</v>
      </c>
      <c r="IH26">
        <v>-0.83699999999999997</v>
      </c>
      <c r="II26">
        <v>0.33650000000000002</v>
      </c>
      <c r="IJ26">
        <v>-0.37572928513927079</v>
      </c>
      <c r="IK26">
        <v>-1.615681629159814E-3</v>
      </c>
      <c r="IL26">
        <v>1.5005605225991581E-6</v>
      </c>
      <c r="IM26">
        <v>-5.1143626075267638E-10</v>
      </c>
      <c r="IN26">
        <v>-0.18901728065534271</v>
      </c>
      <c r="IO26">
        <v>-1.7182111142928099E-3</v>
      </c>
      <c r="IP26">
        <v>9.9985895407488957E-4</v>
      </c>
      <c r="IQ26">
        <v>-5.7750407166627208E-6</v>
      </c>
      <c r="IR26">
        <v>3</v>
      </c>
      <c r="IS26">
        <v>2181</v>
      </c>
      <c r="IT26">
        <v>2</v>
      </c>
      <c r="IU26">
        <v>42</v>
      </c>
      <c r="IV26">
        <v>0.6</v>
      </c>
      <c r="IW26">
        <v>0.5</v>
      </c>
      <c r="IX26">
        <v>1.1340300000000001</v>
      </c>
      <c r="IY26">
        <v>2.52563</v>
      </c>
      <c r="IZ26">
        <v>1.5991200000000001</v>
      </c>
      <c r="JA26">
        <v>2.2729499999999998</v>
      </c>
      <c r="JB26">
        <v>1.5502899999999999</v>
      </c>
      <c r="JC26">
        <v>2.4072300000000002</v>
      </c>
      <c r="JD26">
        <v>45.6905</v>
      </c>
      <c r="JE26">
        <v>23.710999999999999</v>
      </c>
      <c r="JF26">
        <v>18</v>
      </c>
      <c r="JG26">
        <v>503.971</v>
      </c>
      <c r="JH26">
        <v>448.89</v>
      </c>
      <c r="JI26">
        <v>24.8003</v>
      </c>
      <c r="JJ26">
        <v>33.997599999999998</v>
      </c>
      <c r="JK26">
        <v>30.0002</v>
      </c>
      <c r="JL26">
        <v>33.953899999999997</v>
      </c>
      <c r="JM26">
        <v>33.9163</v>
      </c>
      <c r="JN26">
        <v>22.736899999999999</v>
      </c>
      <c r="JO26">
        <v>38.2363</v>
      </c>
      <c r="JP26">
        <v>0</v>
      </c>
      <c r="JQ26">
        <v>24.7959</v>
      </c>
      <c r="JR26">
        <v>500</v>
      </c>
      <c r="JS26">
        <v>19.145600000000002</v>
      </c>
      <c r="JT26">
        <v>98.784099999999995</v>
      </c>
      <c r="JU26">
        <v>98.758399999999995</v>
      </c>
    </row>
    <row r="27" spans="1:281" x14ac:dyDescent="0.25">
      <c r="A27">
        <v>11</v>
      </c>
      <c r="B27">
        <v>1691164320</v>
      </c>
      <c r="C27">
        <v>4589.4000000953674</v>
      </c>
      <c r="D27" t="s">
        <v>473</v>
      </c>
      <c r="E27" t="s">
        <v>474</v>
      </c>
      <c r="F27" t="s">
        <v>411</v>
      </c>
      <c r="G27" t="s">
        <v>413</v>
      </c>
      <c r="H27" t="s">
        <v>422</v>
      </c>
      <c r="I27" t="s">
        <v>413</v>
      </c>
      <c r="J27">
        <v>1691164320</v>
      </c>
      <c r="K27">
        <f t="shared" si="0"/>
        <v>5.3580543063731691E-3</v>
      </c>
      <c r="L27">
        <f t="shared" si="1"/>
        <v>5.3580543063731687</v>
      </c>
      <c r="M27">
        <f t="shared" si="2"/>
        <v>54.458092906571672</v>
      </c>
      <c r="N27">
        <f t="shared" si="3"/>
        <v>630.78099999999995</v>
      </c>
      <c r="O27">
        <f t="shared" si="4"/>
        <v>334.61285861434328</v>
      </c>
      <c r="P27">
        <f t="shared" si="5"/>
        <v>33.194058076436029</v>
      </c>
      <c r="Q27">
        <f t="shared" si="6"/>
        <v>62.574347065498195</v>
      </c>
      <c r="R27">
        <f t="shared" si="7"/>
        <v>0.32438612713238624</v>
      </c>
      <c r="S27">
        <f t="shared" si="8"/>
        <v>2.9211681365521036</v>
      </c>
      <c r="T27">
        <f t="shared" si="9"/>
        <v>0.30562028898733584</v>
      </c>
      <c r="U27">
        <f t="shared" si="10"/>
        <v>0.1926081887147964</v>
      </c>
      <c r="V27">
        <f t="shared" si="11"/>
        <v>289.60693501273971</v>
      </c>
      <c r="W27">
        <f t="shared" si="12"/>
        <v>30.474667114303102</v>
      </c>
      <c r="X27">
        <f t="shared" si="13"/>
        <v>30.003699999999998</v>
      </c>
      <c r="Y27">
        <f t="shared" si="14"/>
        <v>4.2613553082279241</v>
      </c>
      <c r="Z27">
        <f t="shared" si="15"/>
        <v>60.053503445487998</v>
      </c>
      <c r="AA27">
        <f t="shared" si="16"/>
        <v>2.5821722981131199</v>
      </c>
      <c r="AB27">
        <f t="shared" si="17"/>
        <v>4.299786273846653</v>
      </c>
      <c r="AC27">
        <f t="shared" si="18"/>
        <v>1.6791830101148042</v>
      </c>
      <c r="AD27">
        <f t="shared" si="19"/>
        <v>-236.29019491105677</v>
      </c>
      <c r="AE27">
        <f t="shared" si="20"/>
        <v>24.630812992767677</v>
      </c>
      <c r="AF27">
        <f t="shared" si="21"/>
        <v>1.8763481883487274</v>
      </c>
      <c r="AG27">
        <f t="shared" si="22"/>
        <v>79.823901282799355</v>
      </c>
      <c r="AH27">
        <v>0</v>
      </c>
      <c r="AI27">
        <v>0</v>
      </c>
      <c r="AJ27">
        <f t="shared" si="23"/>
        <v>1</v>
      </c>
      <c r="AK27">
        <f t="shared" si="24"/>
        <v>0</v>
      </c>
      <c r="AL27">
        <f t="shared" si="25"/>
        <v>52067.243970032541</v>
      </c>
      <c r="AM27" t="s">
        <v>414</v>
      </c>
      <c r="AN27">
        <v>7361.72</v>
      </c>
      <c r="AO27">
        <v>541.39076923076925</v>
      </c>
      <c r="AP27">
        <v>2141.9899999999998</v>
      </c>
      <c r="AQ27">
        <f t="shared" si="26"/>
        <v>0.74724869433061347</v>
      </c>
      <c r="AR27">
        <v>-0.96077199609010144</v>
      </c>
      <c r="AS27" t="s">
        <v>475</v>
      </c>
      <c r="AT27">
        <v>7347.12</v>
      </c>
      <c r="AU27">
        <v>759.57673076923072</v>
      </c>
      <c r="AV27">
        <v>1203.869091446828</v>
      </c>
      <c r="AW27">
        <f t="shared" si="27"/>
        <v>0.36905371508760976</v>
      </c>
      <c r="AX27">
        <v>0.5</v>
      </c>
      <c r="AY27">
        <f t="shared" si="28"/>
        <v>1513.364700006601</v>
      </c>
      <c r="AZ27">
        <f t="shared" si="29"/>
        <v>54.458092906571672</v>
      </c>
      <c r="BA27">
        <f t="shared" si="30"/>
        <v>279.25643240994106</v>
      </c>
      <c r="BB27">
        <f t="shared" si="31"/>
        <v>3.6619636299445896E-2</v>
      </c>
      <c r="BC27">
        <f t="shared" si="32"/>
        <v>0.77925491668344438</v>
      </c>
      <c r="BD27">
        <f t="shared" si="33"/>
        <v>452.30568323153352</v>
      </c>
      <c r="BE27" t="s">
        <v>476</v>
      </c>
      <c r="BF27">
        <v>578.59</v>
      </c>
      <c r="BG27">
        <f t="shared" si="34"/>
        <v>578.59</v>
      </c>
      <c r="BH27">
        <f t="shared" si="35"/>
        <v>0.51939126595181384</v>
      </c>
      <c r="BI27">
        <f t="shared" si="36"/>
        <v>0.71055048338423243</v>
      </c>
      <c r="BJ27">
        <f t="shared" si="37"/>
        <v>0.60005175166507108</v>
      </c>
      <c r="BK27">
        <f t="shared" si="38"/>
        <v>0.67065192290578379</v>
      </c>
      <c r="BL27">
        <f t="shared" si="39"/>
        <v>0.58610605985504638</v>
      </c>
      <c r="BM27">
        <f t="shared" si="40"/>
        <v>0.54124539039649155</v>
      </c>
      <c r="BN27">
        <f t="shared" si="41"/>
        <v>0.45875460960350845</v>
      </c>
      <c r="BO27">
        <v>1451</v>
      </c>
      <c r="BP27">
        <v>290.00000000000011</v>
      </c>
      <c r="BQ27">
        <v>1048.3699999999999</v>
      </c>
      <c r="BR27">
        <v>265</v>
      </c>
      <c r="BS27">
        <v>7347.12</v>
      </c>
      <c r="BT27">
        <v>1049.46</v>
      </c>
      <c r="BU27">
        <v>-1.0900000000000001</v>
      </c>
      <c r="BV27">
        <v>300.00000000000011</v>
      </c>
      <c r="BW27">
        <v>37.9</v>
      </c>
      <c r="BX27">
        <v>1203.869091446828</v>
      </c>
      <c r="BY27">
        <v>1.5984400350300629</v>
      </c>
      <c r="BZ27">
        <v>-113.4487615429242</v>
      </c>
      <c r="CA27">
        <v>0.98440876679508915</v>
      </c>
      <c r="CB27">
        <v>0.99789624652057685</v>
      </c>
      <c r="CC27">
        <v>-7.2377915461624039E-3</v>
      </c>
      <c r="CD27">
        <v>289.99999999999989</v>
      </c>
      <c r="CE27">
        <v>1036.44</v>
      </c>
      <c r="CF27">
        <v>655</v>
      </c>
      <c r="CG27">
        <v>7341.69</v>
      </c>
      <c r="CH27">
        <v>1049.3399999999999</v>
      </c>
      <c r="CI27">
        <v>-12.9</v>
      </c>
      <c r="CW27">
        <f t="shared" si="42"/>
        <v>1800.21</v>
      </c>
      <c r="CX27">
        <f t="shared" si="43"/>
        <v>1513.364700006601</v>
      </c>
      <c r="CY27">
        <f t="shared" si="44"/>
        <v>0.84066008965987349</v>
      </c>
      <c r="CZ27">
        <f t="shared" si="45"/>
        <v>0.16087397304355586</v>
      </c>
      <c r="DA27">
        <v>6</v>
      </c>
      <c r="DB27">
        <v>0.5</v>
      </c>
      <c r="DC27" t="s">
        <v>415</v>
      </c>
      <c r="DD27">
        <v>2</v>
      </c>
      <c r="DE27">
        <v>1691164320</v>
      </c>
      <c r="DF27">
        <v>630.78099999999995</v>
      </c>
      <c r="DG27">
        <v>700.16200000000003</v>
      </c>
      <c r="DH27">
        <v>26.029599999999999</v>
      </c>
      <c r="DI27">
        <v>19.769500000000001</v>
      </c>
      <c r="DJ27">
        <v>631.52300000000002</v>
      </c>
      <c r="DK27">
        <v>25.700900000000001</v>
      </c>
      <c r="DL27">
        <v>500.17599999999999</v>
      </c>
      <c r="DM27">
        <v>99.101799999999997</v>
      </c>
      <c r="DN27">
        <v>9.9582199999999996E-2</v>
      </c>
      <c r="DO27">
        <v>30.1601</v>
      </c>
      <c r="DP27">
        <v>30.003699999999998</v>
      </c>
      <c r="DQ27">
        <v>999.9</v>
      </c>
      <c r="DR27">
        <v>0</v>
      </c>
      <c r="DS27">
        <v>0</v>
      </c>
      <c r="DT27">
        <v>10042.5</v>
      </c>
      <c r="DU27">
        <v>0</v>
      </c>
      <c r="DV27">
        <v>1957.62</v>
      </c>
      <c r="DW27">
        <v>-69.381</v>
      </c>
      <c r="DX27">
        <v>647.63800000000003</v>
      </c>
      <c r="DY27">
        <v>714.28300000000002</v>
      </c>
      <c r="DZ27">
        <v>6.2601800000000001</v>
      </c>
      <c r="EA27">
        <v>700.16200000000003</v>
      </c>
      <c r="EB27">
        <v>19.769500000000001</v>
      </c>
      <c r="EC27">
        <v>2.57959</v>
      </c>
      <c r="ED27">
        <v>1.95919</v>
      </c>
      <c r="EE27">
        <v>21.537500000000001</v>
      </c>
      <c r="EF27">
        <v>17.118300000000001</v>
      </c>
      <c r="EG27">
        <v>1800.21</v>
      </c>
      <c r="EH27">
        <v>0.97799800000000003</v>
      </c>
      <c r="EI27">
        <v>2.2002500000000001E-2</v>
      </c>
      <c r="EJ27">
        <v>0</v>
      </c>
      <c r="EK27">
        <v>760.10500000000002</v>
      </c>
      <c r="EL27">
        <v>9.9989999999999996E-2</v>
      </c>
      <c r="EM27">
        <v>14721.8</v>
      </c>
      <c r="EN27">
        <v>16707.2</v>
      </c>
      <c r="EO27">
        <v>47.186999999999998</v>
      </c>
      <c r="EP27">
        <v>49.125</v>
      </c>
      <c r="EQ27">
        <v>48.125</v>
      </c>
      <c r="ER27">
        <v>47.686999999999998</v>
      </c>
      <c r="ES27">
        <v>48.311999999999998</v>
      </c>
      <c r="ET27">
        <v>1760.5</v>
      </c>
      <c r="EU27">
        <v>39.61</v>
      </c>
      <c r="EV27">
        <v>0</v>
      </c>
      <c r="EW27">
        <v>98.399999856948853</v>
      </c>
      <c r="EX27">
        <v>0</v>
      </c>
      <c r="EY27">
        <v>759.57673076923072</v>
      </c>
      <c r="EZ27">
        <v>1.2637606484298409</v>
      </c>
      <c r="FA27">
        <v>25.158974345718111</v>
      </c>
      <c r="FB27">
        <v>14716.880769230769</v>
      </c>
      <c r="FC27">
        <v>15</v>
      </c>
      <c r="FD27">
        <v>1691164291.5999999</v>
      </c>
      <c r="FE27" t="s">
        <v>477</v>
      </c>
      <c r="FF27">
        <v>1691164286.0999999</v>
      </c>
      <c r="FG27">
        <v>1691164291.5999999</v>
      </c>
      <c r="FH27">
        <v>30</v>
      </c>
      <c r="FI27">
        <v>0.185</v>
      </c>
      <c r="FJ27">
        <v>0</v>
      </c>
      <c r="FK27">
        <v>-0.76300000000000001</v>
      </c>
      <c r="FL27">
        <v>0.106</v>
      </c>
      <c r="FM27">
        <v>700</v>
      </c>
      <c r="FN27">
        <v>19</v>
      </c>
      <c r="FO27">
        <v>0.12</v>
      </c>
      <c r="FP27">
        <v>0.04</v>
      </c>
      <c r="FQ27">
        <v>54.462249336048089</v>
      </c>
      <c r="FR27">
        <v>-0.59270080029029726</v>
      </c>
      <c r="FS27">
        <v>0.11955034894819511</v>
      </c>
      <c r="FT27">
        <v>1</v>
      </c>
      <c r="FU27">
        <v>0.32782145516570688</v>
      </c>
      <c r="FV27">
        <v>1.7181987444291179E-2</v>
      </c>
      <c r="FW27">
        <v>2.4925033231749591E-3</v>
      </c>
      <c r="FX27">
        <v>1</v>
      </c>
      <c r="FY27">
        <v>2</v>
      </c>
      <c r="FZ27">
        <v>2</v>
      </c>
      <c r="GA27" t="s">
        <v>416</v>
      </c>
      <c r="GB27">
        <v>2.9683199999999998</v>
      </c>
      <c r="GC27">
        <v>2.8116400000000001</v>
      </c>
      <c r="GD27">
        <v>0.134551</v>
      </c>
      <c r="GE27">
        <v>0.14296700000000001</v>
      </c>
      <c r="GF27">
        <v>0.12529100000000001</v>
      </c>
      <c r="GG27">
        <v>0.102732</v>
      </c>
      <c r="GH27">
        <v>25464</v>
      </c>
      <c r="GI27">
        <v>23297.7</v>
      </c>
      <c r="GJ27">
        <v>26455.8</v>
      </c>
      <c r="GK27">
        <v>25661.200000000001</v>
      </c>
      <c r="GL27">
        <v>31505.4</v>
      </c>
      <c r="GM27">
        <v>32510.400000000001</v>
      </c>
      <c r="GN27">
        <v>37456</v>
      </c>
      <c r="GO27">
        <v>38046.9</v>
      </c>
      <c r="GP27">
        <v>1.9349000000000001</v>
      </c>
      <c r="GQ27">
        <v>1.8996</v>
      </c>
      <c r="GR27">
        <v>-2.7269100000000001E-2</v>
      </c>
      <c r="GS27">
        <v>0</v>
      </c>
      <c r="GT27">
        <v>30.447199999999999</v>
      </c>
      <c r="GU27">
        <v>999.9</v>
      </c>
      <c r="GV27">
        <v>34.799999999999997</v>
      </c>
      <c r="GW27">
        <v>40.9</v>
      </c>
      <c r="GX27">
        <v>27.3093</v>
      </c>
      <c r="GY27">
        <v>61.601799999999997</v>
      </c>
      <c r="GZ27">
        <v>12.692299999999999</v>
      </c>
      <c r="HA27">
        <v>1</v>
      </c>
      <c r="HB27">
        <v>0.54387200000000002</v>
      </c>
      <c r="HC27">
        <v>4.1261000000000001</v>
      </c>
      <c r="HD27">
        <v>20.200299999999999</v>
      </c>
      <c r="HE27">
        <v>5.2112999999999996</v>
      </c>
      <c r="HF27">
        <v>11.9381</v>
      </c>
      <c r="HG27">
        <v>4.9874000000000001</v>
      </c>
      <c r="HH27">
        <v>3.2909999999999999</v>
      </c>
      <c r="HI27">
        <v>9999</v>
      </c>
      <c r="HJ27">
        <v>9999</v>
      </c>
      <c r="HK27">
        <v>9999</v>
      </c>
      <c r="HL27">
        <v>999.9</v>
      </c>
      <c r="HM27">
        <v>1.8712</v>
      </c>
      <c r="HN27">
        <v>1.8772899999999999</v>
      </c>
      <c r="HO27">
        <v>1.8750899999999999</v>
      </c>
      <c r="HP27">
        <v>1.8733200000000001</v>
      </c>
      <c r="HQ27">
        <v>1.87384</v>
      </c>
      <c r="HR27">
        <v>1.8711899999999999</v>
      </c>
      <c r="HS27">
        <v>1.8771100000000001</v>
      </c>
      <c r="HT27">
        <v>1.87622</v>
      </c>
      <c r="HU27">
        <v>5</v>
      </c>
      <c r="HV27">
        <v>0</v>
      </c>
      <c r="HW27">
        <v>0</v>
      </c>
      <c r="HX27">
        <v>0</v>
      </c>
      <c r="HY27" t="s">
        <v>417</v>
      </c>
      <c r="HZ27" t="s">
        <v>418</v>
      </c>
      <c r="IA27" t="s">
        <v>419</v>
      </c>
      <c r="IB27" t="s">
        <v>420</v>
      </c>
      <c r="IC27" t="s">
        <v>420</v>
      </c>
      <c r="ID27" t="s">
        <v>419</v>
      </c>
      <c r="IE27">
        <v>0</v>
      </c>
      <c r="IF27">
        <v>100</v>
      </c>
      <c r="IG27">
        <v>100</v>
      </c>
      <c r="IH27">
        <v>-0.74199999999999999</v>
      </c>
      <c r="II27">
        <v>0.32869999999999999</v>
      </c>
      <c r="IJ27">
        <v>-0.191195317576418</v>
      </c>
      <c r="IK27">
        <v>-1.615681629159814E-3</v>
      </c>
      <c r="IL27">
        <v>1.5005605225991581E-6</v>
      </c>
      <c r="IM27">
        <v>-5.1143626075267638E-10</v>
      </c>
      <c r="IN27">
        <v>-0.18946464312187661</v>
      </c>
      <c r="IO27">
        <v>-1.7182111142928099E-3</v>
      </c>
      <c r="IP27">
        <v>9.9985895407488957E-4</v>
      </c>
      <c r="IQ27">
        <v>-5.7750407166627208E-6</v>
      </c>
      <c r="IR27">
        <v>3</v>
      </c>
      <c r="IS27">
        <v>2181</v>
      </c>
      <c r="IT27">
        <v>2</v>
      </c>
      <c r="IU27">
        <v>42</v>
      </c>
      <c r="IV27">
        <v>0.6</v>
      </c>
      <c r="IW27">
        <v>0.5</v>
      </c>
      <c r="IX27">
        <v>1.4917</v>
      </c>
      <c r="IY27">
        <v>2.51709</v>
      </c>
      <c r="IZ27">
        <v>1.5991200000000001</v>
      </c>
      <c r="JA27">
        <v>2.2741699999999998</v>
      </c>
      <c r="JB27">
        <v>1.5502899999999999</v>
      </c>
      <c r="JC27">
        <v>2.4108900000000002</v>
      </c>
      <c r="JD27">
        <v>45.719299999999997</v>
      </c>
      <c r="JE27">
        <v>23.702200000000001</v>
      </c>
      <c r="JF27">
        <v>18</v>
      </c>
      <c r="JG27">
        <v>503.65</v>
      </c>
      <c r="JH27">
        <v>449.81099999999998</v>
      </c>
      <c r="JI27">
        <v>24.552099999999999</v>
      </c>
      <c r="JJ27">
        <v>34.034399999999998</v>
      </c>
      <c r="JK27">
        <v>30.000399999999999</v>
      </c>
      <c r="JL27">
        <v>33.996699999999997</v>
      </c>
      <c r="JM27">
        <v>33.9589</v>
      </c>
      <c r="JN27">
        <v>29.875399999999999</v>
      </c>
      <c r="JO27">
        <v>35.797400000000003</v>
      </c>
      <c r="JP27">
        <v>0</v>
      </c>
      <c r="JQ27">
        <v>24.551400000000001</v>
      </c>
      <c r="JR27">
        <v>700</v>
      </c>
      <c r="JS27">
        <v>19.810700000000001</v>
      </c>
      <c r="JT27">
        <v>98.781899999999993</v>
      </c>
      <c r="JU27">
        <v>98.749499999999998</v>
      </c>
    </row>
    <row r="28" spans="1:281" x14ac:dyDescent="0.25">
      <c r="A28">
        <v>12</v>
      </c>
      <c r="B28">
        <v>1691164423</v>
      </c>
      <c r="C28">
        <v>4692.4000000953674</v>
      </c>
      <c r="D28" t="s">
        <v>478</v>
      </c>
      <c r="E28" t="s">
        <v>479</v>
      </c>
      <c r="F28" t="s">
        <v>411</v>
      </c>
      <c r="G28" t="s">
        <v>413</v>
      </c>
      <c r="H28" t="s">
        <v>422</v>
      </c>
      <c r="I28" t="s">
        <v>413</v>
      </c>
      <c r="J28">
        <v>1691164423</v>
      </c>
      <c r="K28">
        <f t="shared" si="0"/>
        <v>4.3648451367857277E-3</v>
      </c>
      <c r="L28">
        <f t="shared" si="1"/>
        <v>4.3648451367857275</v>
      </c>
      <c r="M28">
        <f t="shared" si="2"/>
        <v>54.839073944940999</v>
      </c>
      <c r="N28">
        <f t="shared" si="3"/>
        <v>830.08699999999999</v>
      </c>
      <c r="O28">
        <f t="shared" si="4"/>
        <v>456.94084957609454</v>
      </c>
      <c r="P28">
        <f t="shared" si="5"/>
        <v>45.328077621803246</v>
      </c>
      <c r="Q28">
        <f t="shared" si="6"/>
        <v>82.343804463434992</v>
      </c>
      <c r="R28">
        <f t="shared" si="7"/>
        <v>0.25757536853582452</v>
      </c>
      <c r="S28">
        <f t="shared" si="8"/>
        <v>2.9058004697417905</v>
      </c>
      <c r="T28">
        <f t="shared" si="9"/>
        <v>0.24552996646904915</v>
      </c>
      <c r="U28">
        <f t="shared" si="10"/>
        <v>0.15449151091205465</v>
      </c>
      <c r="V28">
        <f t="shared" si="11"/>
        <v>289.59039601273724</v>
      </c>
      <c r="W28">
        <f t="shared" si="12"/>
        <v>30.58496656926345</v>
      </c>
      <c r="X28">
        <f t="shared" si="13"/>
        <v>30.009</v>
      </c>
      <c r="Y28">
        <f t="shared" si="14"/>
        <v>4.2626527193021859</v>
      </c>
      <c r="Z28">
        <f t="shared" si="15"/>
        <v>60.051363511117003</v>
      </c>
      <c r="AA28">
        <f t="shared" si="16"/>
        <v>2.5598104842240001</v>
      </c>
      <c r="AB28">
        <f t="shared" si="17"/>
        <v>4.2627016849502768</v>
      </c>
      <c r="AC28">
        <f t="shared" si="18"/>
        <v>1.7028422350781858</v>
      </c>
      <c r="AD28">
        <f t="shared" si="19"/>
        <v>-192.48967053225059</v>
      </c>
      <c r="AE28">
        <f t="shared" si="20"/>
        <v>3.1331502984870863E-2</v>
      </c>
      <c r="AF28">
        <f t="shared" si="21"/>
        <v>2.3976934743465323E-3</v>
      </c>
      <c r="AG28">
        <f t="shared" si="22"/>
        <v>97.134454676945865</v>
      </c>
      <c r="AH28">
        <v>0</v>
      </c>
      <c r="AI28">
        <v>0</v>
      </c>
      <c r="AJ28">
        <f t="shared" si="23"/>
        <v>1</v>
      </c>
      <c r="AK28">
        <f t="shared" si="24"/>
        <v>0</v>
      </c>
      <c r="AL28">
        <f t="shared" si="25"/>
        <v>51655.922128976345</v>
      </c>
      <c r="AM28" t="s">
        <v>414</v>
      </c>
      <c r="AN28">
        <v>7361.72</v>
      </c>
      <c r="AO28">
        <v>541.39076923076925</v>
      </c>
      <c r="AP28">
        <v>2141.9899999999998</v>
      </c>
      <c r="AQ28">
        <f t="shared" si="26"/>
        <v>0.74724869433061347</v>
      </c>
      <c r="AR28">
        <v>-0.96077199609010144</v>
      </c>
      <c r="AS28" t="s">
        <v>480</v>
      </c>
      <c r="AT28">
        <v>7345.8</v>
      </c>
      <c r="AU28">
        <v>758.64211538461541</v>
      </c>
      <c r="AV28">
        <v>1208.92239339142</v>
      </c>
      <c r="AW28">
        <f t="shared" si="27"/>
        <v>0.37246417178494162</v>
      </c>
      <c r="AX28">
        <v>0.5</v>
      </c>
      <c r="AY28">
        <f t="shared" si="28"/>
        <v>1513.2804000065996</v>
      </c>
      <c r="AZ28">
        <f t="shared" si="29"/>
        <v>54.839073944940999</v>
      </c>
      <c r="BA28">
        <f t="shared" si="30"/>
        <v>281.82136543342165</v>
      </c>
      <c r="BB28">
        <f t="shared" si="31"/>
        <v>3.6873434652816325E-2</v>
      </c>
      <c r="BC28">
        <f t="shared" si="32"/>
        <v>0.77181762180037228</v>
      </c>
      <c r="BD28">
        <f t="shared" si="33"/>
        <v>453.01713298665754</v>
      </c>
      <c r="BE28" t="s">
        <v>481</v>
      </c>
      <c r="BF28">
        <v>575.75</v>
      </c>
      <c r="BG28">
        <f t="shared" si="34"/>
        <v>575.75</v>
      </c>
      <c r="BH28">
        <f t="shared" si="35"/>
        <v>0.5237494125782266</v>
      </c>
      <c r="BI28">
        <f t="shared" si="36"/>
        <v>0.71114957428102277</v>
      </c>
      <c r="BJ28">
        <f t="shared" si="37"/>
        <v>0.5957373114009219</v>
      </c>
      <c r="BK28">
        <f t="shared" si="38"/>
        <v>0.67454523757280205</v>
      </c>
      <c r="BL28">
        <f t="shared" si="39"/>
        <v>0.58294892854606573</v>
      </c>
      <c r="BM28">
        <f t="shared" si="40"/>
        <v>0.53970687770836356</v>
      </c>
      <c r="BN28">
        <f t="shared" si="41"/>
        <v>0.46029312229163644</v>
      </c>
      <c r="BO28">
        <v>1453</v>
      </c>
      <c r="BP28">
        <v>290.00000000000011</v>
      </c>
      <c r="BQ28">
        <v>1053.49</v>
      </c>
      <c r="BR28">
        <v>295</v>
      </c>
      <c r="BS28">
        <v>7345.8</v>
      </c>
      <c r="BT28">
        <v>1053.98</v>
      </c>
      <c r="BU28">
        <v>-0.49</v>
      </c>
      <c r="BV28">
        <v>300.00000000000011</v>
      </c>
      <c r="BW28">
        <v>37.9</v>
      </c>
      <c r="BX28">
        <v>1208.92239339142</v>
      </c>
      <c r="BY28">
        <v>1.6269573123072121</v>
      </c>
      <c r="BZ28">
        <v>-113.81850682011731</v>
      </c>
      <c r="CA28">
        <v>1.0019283861403629</v>
      </c>
      <c r="CB28">
        <v>0.99783496787489068</v>
      </c>
      <c r="CC28">
        <v>-7.2374901001112397E-3</v>
      </c>
      <c r="CD28">
        <v>289.99999999999989</v>
      </c>
      <c r="CE28">
        <v>1041.6400000000001</v>
      </c>
      <c r="CF28">
        <v>665</v>
      </c>
      <c r="CG28">
        <v>7341.03</v>
      </c>
      <c r="CH28">
        <v>1053.8800000000001</v>
      </c>
      <c r="CI28">
        <v>-12.24</v>
      </c>
      <c r="CW28">
        <f t="shared" si="42"/>
        <v>1800.11</v>
      </c>
      <c r="CX28">
        <f t="shared" si="43"/>
        <v>1513.2804000065996</v>
      </c>
      <c r="CY28">
        <f t="shared" si="44"/>
        <v>0.84065995967279761</v>
      </c>
      <c r="CZ28">
        <f t="shared" si="45"/>
        <v>0.16087372216849929</v>
      </c>
      <c r="DA28">
        <v>6</v>
      </c>
      <c r="DB28">
        <v>0.5</v>
      </c>
      <c r="DC28" t="s">
        <v>415</v>
      </c>
      <c r="DD28">
        <v>2</v>
      </c>
      <c r="DE28">
        <v>1691164423</v>
      </c>
      <c r="DF28">
        <v>830.08699999999999</v>
      </c>
      <c r="DG28">
        <v>900.197</v>
      </c>
      <c r="DH28">
        <v>25.8048</v>
      </c>
      <c r="DI28">
        <v>20.705400000000001</v>
      </c>
      <c r="DJ28">
        <v>830.81200000000001</v>
      </c>
      <c r="DK28">
        <v>25.486999999999998</v>
      </c>
      <c r="DL28">
        <v>500.31900000000002</v>
      </c>
      <c r="DM28">
        <v>99.098299999999995</v>
      </c>
      <c r="DN28">
        <v>0.100705</v>
      </c>
      <c r="DO28">
        <v>30.0092</v>
      </c>
      <c r="DP28">
        <v>30.009</v>
      </c>
      <c r="DQ28">
        <v>999.9</v>
      </c>
      <c r="DR28">
        <v>0</v>
      </c>
      <c r="DS28">
        <v>0</v>
      </c>
      <c r="DT28">
        <v>9955</v>
      </c>
      <c r="DU28">
        <v>0</v>
      </c>
      <c r="DV28">
        <v>1969.32</v>
      </c>
      <c r="DW28">
        <v>-70.110100000000003</v>
      </c>
      <c r="DX28">
        <v>852.07500000000005</v>
      </c>
      <c r="DY28">
        <v>919.23</v>
      </c>
      <c r="DZ28">
        <v>5.09938</v>
      </c>
      <c r="EA28">
        <v>900.197</v>
      </c>
      <c r="EB28">
        <v>20.705400000000001</v>
      </c>
      <c r="EC28">
        <v>2.55721</v>
      </c>
      <c r="ED28">
        <v>2.0518700000000001</v>
      </c>
      <c r="EE28">
        <v>21.395299999999999</v>
      </c>
      <c r="EF28">
        <v>17.8504</v>
      </c>
      <c r="EG28">
        <v>1800.11</v>
      </c>
      <c r="EH28">
        <v>0.97799800000000003</v>
      </c>
      <c r="EI28">
        <v>2.2002500000000001E-2</v>
      </c>
      <c r="EJ28">
        <v>0</v>
      </c>
      <c r="EK28">
        <v>757.90499999999997</v>
      </c>
      <c r="EL28">
        <v>9.9989999999999996E-2</v>
      </c>
      <c r="EM28">
        <v>14716.7</v>
      </c>
      <c r="EN28">
        <v>16706.3</v>
      </c>
      <c r="EO28">
        <v>47.25</v>
      </c>
      <c r="EP28">
        <v>49.186999999999998</v>
      </c>
      <c r="EQ28">
        <v>48.186999999999998</v>
      </c>
      <c r="ER28">
        <v>47.75</v>
      </c>
      <c r="ES28">
        <v>48.375</v>
      </c>
      <c r="ET28">
        <v>1760.41</v>
      </c>
      <c r="EU28">
        <v>39.6</v>
      </c>
      <c r="EV28">
        <v>0</v>
      </c>
      <c r="EW28">
        <v>100.7999999523163</v>
      </c>
      <c r="EX28">
        <v>0</v>
      </c>
      <c r="EY28">
        <v>758.64211538461541</v>
      </c>
      <c r="EZ28">
        <v>-1.3557264936463489</v>
      </c>
      <c r="FA28">
        <v>10.246153871605211</v>
      </c>
      <c r="FB28">
        <v>14717.042307692311</v>
      </c>
      <c r="FC28">
        <v>15</v>
      </c>
      <c r="FD28">
        <v>1691164389.5</v>
      </c>
      <c r="FE28" t="s">
        <v>482</v>
      </c>
      <c r="FF28">
        <v>1691164385.5</v>
      </c>
      <c r="FG28">
        <v>1691164389.5</v>
      </c>
      <c r="FH28">
        <v>31</v>
      </c>
      <c r="FI28">
        <v>6.7000000000000004E-2</v>
      </c>
      <c r="FJ28">
        <v>-3.0000000000000001E-3</v>
      </c>
      <c r="FK28">
        <v>-0.73599999999999999</v>
      </c>
      <c r="FL28">
        <v>0.126</v>
      </c>
      <c r="FM28">
        <v>900</v>
      </c>
      <c r="FN28">
        <v>20</v>
      </c>
      <c r="FO28">
        <v>0.09</v>
      </c>
      <c r="FP28">
        <v>0.04</v>
      </c>
      <c r="FQ28">
        <v>54.5869403793888</v>
      </c>
      <c r="FR28">
        <v>-9.7735409217951069E-2</v>
      </c>
      <c r="FS28">
        <v>0.14717500542048581</v>
      </c>
      <c r="FT28">
        <v>1</v>
      </c>
      <c r="FU28">
        <v>0.26169398255717241</v>
      </c>
      <c r="FV28">
        <v>-2.383768815432484E-2</v>
      </c>
      <c r="FW28">
        <v>1.7821232539053989E-3</v>
      </c>
      <c r="FX28">
        <v>1</v>
      </c>
      <c r="FY28">
        <v>2</v>
      </c>
      <c r="FZ28">
        <v>2</v>
      </c>
      <c r="GA28" t="s">
        <v>416</v>
      </c>
      <c r="GB28">
        <v>2.96861</v>
      </c>
      <c r="GC28">
        <v>2.8120099999999999</v>
      </c>
      <c r="GD28">
        <v>0.16236500000000001</v>
      </c>
      <c r="GE28">
        <v>0.169379</v>
      </c>
      <c r="GF28">
        <v>0.12453599999999999</v>
      </c>
      <c r="GG28">
        <v>0.106156</v>
      </c>
      <c r="GH28">
        <v>24643.599999999999</v>
      </c>
      <c r="GI28">
        <v>22573.599999999999</v>
      </c>
      <c r="GJ28">
        <v>26455.5</v>
      </c>
      <c r="GK28">
        <v>25656.2</v>
      </c>
      <c r="GL28">
        <v>31533.3</v>
      </c>
      <c r="GM28">
        <v>32381.9</v>
      </c>
      <c r="GN28">
        <v>37454</v>
      </c>
      <c r="GO28">
        <v>38039.300000000003</v>
      </c>
      <c r="GP28">
        <v>1.9337</v>
      </c>
      <c r="GQ28">
        <v>1.9012</v>
      </c>
      <c r="GR28">
        <v>-2.36928E-2</v>
      </c>
      <c r="GS28">
        <v>0</v>
      </c>
      <c r="GT28">
        <v>30.394400000000001</v>
      </c>
      <c r="GU28">
        <v>999.9</v>
      </c>
      <c r="GV28">
        <v>34.799999999999997</v>
      </c>
      <c r="GW28">
        <v>40.9</v>
      </c>
      <c r="GX28">
        <v>27.310600000000001</v>
      </c>
      <c r="GY28">
        <v>61.741799999999998</v>
      </c>
      <c r="GZ28">
        <v>13.4856</v>
      </c>
      <c r="HA28">
        <v>1</v>
      </c>
      <c r="HB28">
        <v>0.55184999999999995</v>
      </c>
      <c r="HC28">
        <v>4.5943399999999999</v>
      </c>
      <c r="HD28">
        <v>20.189399999999999</v>
      </c>
      <c r="HE28">
        <v>5.2107000000000001</v>
      </c>
      <c r="HF28">
        <v>11.9381</v>
      </c>
      <c r="HG28">
        <v>4.9871999999999996</v>
      </c>
      <c r="HH28">
        <v>3.2909999999999999</v>
      </c>
      <c r="HI28">
        <v>9999</v>
      </c>
      <c r="HJ28">
        <v>9999</v>
      </c>
      <c r="HK28">
        <v>9999</v>
      </c>
      <c r="HL28">
        <v>999.9</v>
      </c>
      <c r="HM28">
        <v>1.8712</v>
      </c>
      <c r="HN28">
        <v>1.8772899999999999</v>
      </c>
      <c r="HO28">
        <v>1.8751</v>
      </c>
      <c r="HP28">
        <v>1.8732899999999999</v>
      </c>
      <c r="HQ28">
        <v>1.8737900000000001</v>
      </c>
      <c r="HR28">
        <v>1.8711899999999999</v>
      </c>
      <c r="HS28">
        <v>1.8770100000000001</v>
      </c>
      <c r="HT28">
        <v>1.87622</v>
      </c>
      <c r="HU28">
        <v>5</v>
      </c>
      <c r="HV28">
        <v>0</v>
      </c>
      <c r="HW28">
        <v>0</v>
      </c>
      <c r="HX28">
        <v>0</v>
      </c>
      <c r="HY28" t="s">
        <v>417</v>
      </c>
      <c r="HZ28" t="s">
        <v>418</v>
      </c>
      <c r="IA28" t="s">
        <v>419</v>
      </c>
      <c r="IB28" t="s">
        <v>420</v>
      </c>
      <c r="IC28" t="s">
        <v>420</v>
      </c>
      <c r="ID28" t="s">
        <v>419</v>
      </c>
      <c r="IE28">
        <v>0</v>
      </c>
      <c r="IF28">
        <v>100</v>
      </c>
      <c r="IG28">
        <v>100</v>
      </c>
      <c r="IH28">
        <v>-0.72499999999999998</v>
      </c>
      <c r="II28">
        <v>0.31780000000000003</v>
      </c>
      <c r="IJ28">
        <v>-0.1244497169633773</v>
      </c>
      <c r="IK28">
        <v>-1.615681629159814E-3</v>
      </c>
      <c r="IL28">
        <v>1.5005605225991581E-6</v>
      </c>
      <c r="IM28">
        <v>-5.1143626075267638E-10</v>
      </c>
      <c r="IN28">
        <v>-0.1923099774370714</v>
      </c>
      <c r="IO28">
        <v>-1.7182111142928099E-3</v>
      </c>
      <c r="IP28">
        <v>9.9985895407488957E-4</v>
      </c>
      <c r="IQ28">
        <v>-5.7750407166627208E-6</v>
      </c>
      <c r="IR28">
        <v>3</v>
      </c>
      <c r="IS28">
        <v>2181</v>
      </c>
      <c r="IT28">
        <v>2</v>
      </c>
      <c r="IU28">
        <v>42</v>
      </c>
      <c r="IV28">
        <v>0.6</v>
      </c>
      <c r="IW28">
        <v>0.6</v>
      </c>
      <c r="IX28">
        <v>1.8359399999999999</v>
      </c>
      <c r="IY28">
        <v>2.52075</v>
      </c>
      <c r="IZ28">
        <v>1.5991200000000001</v>
      </c>
      <c r="JA28">
        <v>2.2729499999999998</v>
      </c>
      <c r="JB28">
        <v>1.5502899999999999</v>
      </c>
      <c r="JC28">
        <v>2.3132299999999999</v>
      </c>
      <c r="JD28">
        <v>45.776800000000001</v>
      </c>
      <c r="JE28">
        <v>23.6935</v>
      </c>
      <c r="JF28">
        <v>18</v>
      </c>
      <c r="JG28">
        <v>503.22199999999998</v>
      </c>
      <c r="JH28">
        <v>451.15</v>
      </c>
      <c r="JI28">
        <v>23.987500000000001</v>
      </c>
      <c r="JJ28">
        <v>34.0867</v>
      </c>
      <c r="JK28">
        <v>29.9999</v>
      </c>
      <c r="JL28">
        <v>34.0426</v>
      </c>
      <c r="JM28">
        <v>34.007599999999996</v>
      </c>
      <c r="JN28">
        <v>36.765999999999998</v>
      </c>
      <c r="JO28">
        <v>32.485700000000001</v>
      </c>
      <c r="JP28">
        <v>0</v>
      </c>
      <c r="JQ28">
        <v>23.9924</v>
      </c>
      <c r="JR28">
        <v>900</v>
      </c>
      <c r="JS28">
        <v>20.710100000000001</v>
      </c>
      <c r="JT28">
        <v>98.778199999999998</v>
      </c>
      <c r="JU28">
        <v>98.73</v>
      </c>
    </row>
    <row r="29" spans="1:281" x14ac:dyDescent="0.25">
      <c r="A29">
        <v>13</v>
      </c>
      <c r="B29">
        <v>1691164527</v>
      </c>
      <c r="C29">
        <v>4796.4000000953674</v>
      </c>
      <c r="D29" t="s">
        <v>483</v>
      </c>
      <c r="E29" t="s">
        <v>484</v>
      </c>
      <c r="F29" t="s">
        <v>411</v>
      </c>
      <c r="G29" t="s">
        <v>413</v>
      </c>
      <c r="H29" t="s">
        <v>422</v>
      </c>
      <c r="I29" t="s">
        <v>413</v>
      </c>
      <c r="J29">
        <v>1691164527</v>
      </c>
      <c r="K29">
        <f t="shared" si="0"/>
        <v>3.4959194448557882E-3</v>
      </c>
      <c r="L29">
        <f t="shared" si="1"/>
        <v>3.495919444855788</v>
      </c>
      <c r="M29">
        <f t="shared" si="2"/>
        <v>53.783652968173826</v>
      </c>
      <c r="N29">
        <f t="shared" si="3"/>
        <v>1130.5899999999999</v>
      </c>
      <c r="O29">
        <f t="shared" si="4"/>
        <v>663.78023757236224</v>
      </c>
      <c r="P29">
        <f t="shared" si="5"/>
        <v>65.842549650843679</v>
      </c>
      <c r="Q29">
        <f t="shared" si="6"/>
        <v>112.14694863769901</v>
      </c>
      <c r="R29">
        <f t="shared" si="7"/>
        <v>0.20152256248773284</v>
      </c>
      <c r="S29">
        <f t="shared" si="8"/>
        <v>2.9022048500351878</v>
      </c>
      <c r="T29">
        <f t="shared" si="9"/>
        <v>0.19405885746549995</v>
      </c>
      <c r="U29">
        <f t="shared" si="10"/>
        <v>0.12193433910756551</v>
      </c>
      <c r="V29">
        <f t="shared" si="11"/>
        <v>289.61012701273961</v>
      </c>
      <c r="W29">
        <f t="shared" si="12"/>
        <v>30.709785649915897</v>
      </c>
      <c r="X29">
        <f t="shared" si="13"/>
        <v>30.000800000000002</v>
      </c>
      <c r="Y29">
        <f t="shared" si="14"/>
        <v>4.2606455497365427</v>
      </c>
      <c r="Z29">
        <f t="shared" si="15"/>
        <v>59.822014950299042</v>
      </c>
      <c r="AA29">
        <f t="shared" si="16"/>
        <v>2.5349144398243304</v>
      </c>
      <c r="AB29">
        <f t="shared" si="17"/>
        <v>4.2374273784164114</v>
      </c>
      <c r="AC29">
        <f t="shared" si="18"/>
        <v>1.7257311099122123</v>
      </c>
      <c r="AD29">
        <f t="shared" si="19"/>
        <v>-154.17004751814025</v>
      </c>
      <c r="AE29">
        <f t="shared" si="20"/>
        <v>-14.879694814922072</v>
      </c>
      <c r="AF29">
        <f t="shared" si="21"/>
        <v>-1.1394729669467809</v>
      </c>
      <c r="AG29">
        <f t="shared" si="22"/>
        <v>119.42091171273053</v>
      </c>
      <c r="AH29">
        <v>0</v>
      </c>
      <c r="AI29">
        <v>0</v>
      </c>
      <c r="AJ29">
        <f t="shared" si="23"/>
        <v>1</v>
      </c>
      <c r="AK29">
        <f t="shared" si="24"/>
        <v>0</v>
      </c>
      <c r="AL29">
        <f t="shared" si="25"/>
        <v>51571.361340915544</v>
      </c>
      <c r="AM29" t="s">
        <v>414</v>
      </c>
      <c r="AN29">
        <v>7361.72</v>
      </c>
      <c r="AO29">
        <v>541.39076923076925</v>
      </c>
      <c r="AP29">
        <v>2141.9899999999998</v>
      </c>
      <c r="AQ29">
        <f t="shared" si="26"/>
        <v>0.74724869433061347</v>
      </c>
      <c r="AR29">
        <v>-0.96077199609010144</v>
      </c>
      <c r="AS29" t="s">
        <v>485</v>
      </c>
      <c r="AT29">
        <v>7346.95</v>
      </c>
      <c r="AU29">
        <v>756.53769230769228</v>
      </c>
      <c r="AV29">
        <v>1210.907018810944</v>
      </c>
      <c r="AW29">
        <f t="shared" si="27"/>
        <v>0.37523056638107677</v>
      </c>
      <c r="AX29">
        <v>0.5</v>
      </c>
      <c r="AY29">
        <f t="shared" si="28"/>
        <v>1513.3815000066011</v>
      </c>
      <c r="AZ29">
        <f t="shared" si="29"/>
        <v>53.783652968173826</v>
      </c>
      <c r="BA29">
        <f t="shared" si="30"/>
        <v>283.93349869906024</v>
      </c>
      <c r="BB29">
        <f t="shared" si="31"/>
        <v>3.6173578812761453E-2</v>
      </c>
      <c r="BC29">
        <f t="shared" si="32"/>
        <v>0.76891368761190038</v>
      </c>
      <c r="BD29">
        <f t="shared" si="33"/>
        <v>453.29553052766818</v>
      </c>
      <c r="BE29" t="s">
        <v>486</v>
      </c>
      <c r="BF29">
        <v>578.16</v>
      </c>
      <c r="BG29">
        <f t="shared" si="34"/>
        <v>578.16</v>
      </c>
      <c r="BH29">
        <f t="shared" si="35"/>
        <v>0.52253972351425715</v>
      </c>
      <c r="BI29">
        <f t="shared" si="36"/>
        <v>0.7180900312372881</v>
      </c>
      <c r="BJ29">
        <f t="shared" si="37"/>
        <v>0.59538631512955742</v>
      </c>
      <c r="BK29">
        <f t="shared" si="38"/>
        <v>0.67865317203005526</v>
      </c>
      <c r="BL29">
        <f t="shared" si="39"/>
        <v>0.58170900203518627</v>
      </c>
      <c r="BM29">
        <f t="shared" si="40"/>
        <v>0.54877759123110004</v>
      </c>
      <c r="BN29">
        <f t="shared" si="41"/>
        <v>0.45122240876889996</v>
      </c>
      <c r="BO29">
        <v>1455</v>
      </c>
      <c r="BP29">
        <v>290.00000000000011</v>
      </c>
      <c r="BQ29">
        <v>1054.32</v>
      </c>
      <c r="BR29">
        <v>265</v>
      </c>
      <c r="BS29">
        <v>7346.95</v>
      </c>
      <c r="BT29">
        <v>1055.47</v>
      </c>
      <c r="BU29">
        <v>-1.1499999999999999</v>
      </c>
      <c r="BV29">
        <v>300.00000000000011</v>
      </c>
      <c r="BW29">
        <v>37.9</v>
      </c>
      <c r="BX29">
        <v>1210.907018810944</v>
      </c>
      <c r="BY29">
        <v>1.677038913587571</v>
      </c>
      <c r="BZ29">
        <v>-114.19517095508949</v>
      </c>
      <c r="CA29">
        <v>1.0327947227238921</v>
      </c>
      <c r="CB29">
        <v>0.99771494293417051</v>
      </c>
      <c r="CC29">
        <v>-7.2375768631813102E-3</v>
      </c>
      <c r="CD29">
        <v>289.99999999999989</v>
      </c>
      <c r="CE29">
        <v>1042.75</v>
      </c>
      <c r="CF29">
        <v>655</v>
      </c>
      <c r="CG29">
        <v>7341.55</v>
      </c>
      <c r="CH29">
        <v>1055.3599999999999</v>
      </c>
      <c r="CI29">
        <v>-12.61</v>
      </c>
      <c r="CW29">
        <f t="shared" si="42"/>
        <v>1800.23</v>
      </c>
      <c r="CX29">
        <f t="shared" si="43"/>
        <v>1513.3815000066011</v>
      </c>
      <c r="CY29">
        <f t="shared" si="44"/>
        <v>0.84066008232648104</v>
      </c>
      <c r="CZ29">
        <f t="shared" si="45"/>
        <v>0.16087395889010828</v>
      </c>
      <c r="DA29">
        <v>6</v>
      </c>
      <c r="DB29">
        <v>0.5</v>
      </c>
      <c r="DC29" t="s">
        <v>415</v>
      </c>
      <c r="DD29">
        <v>2</v>
      </c>
      <c r="DE29">
        <v>1691164527</v>
      </c>
      <c r="DF29">
        <v>1130.5899999999999</v>
      </c>
      <c r="DG29">
        <v>1199.8699999999999</v>
      </c>
      <c r="DH29">
        <v>25.555299999999999</v>
      </c>
      <c r="DI29">
        <v>21.467600000000001</v>
      </c>
      <c r="DJ29">
        <v>1131.6500000000001</v>
      </c>
      <c r="DK29">
        <v>25.249199999999998</v>
      </c>
      <c r="DL29">
        <v>500.024</v>
      </c>
      <c r="DM29">
        <v>99.093500000000006</v>
      </c>
      <c r="DN29">
        <v>9.9796099999999999E-2</v>
      </c>
      <c r="DO29">
        <v>29.9057</v>
      </c>
      <c r="DP29">
        <v>30.000800000000002</v>
      </c>
      <c r="DQ29">
        <v>999.9</v>
      </c>
      <c r="DR29">
        <v>0</v>
      </c>
      <c r="DS29">
        <v>0</v>
      </c>
      <c r="DT29">
        <v>9935</v>
      </c>
      <c r="DU29">
        <v>0</v>
      </c>
      <c r="DV29">
        <v>1973.32</v>
      </c>
      <c r="DW29">
        <v>-69.284499999999994</v>
      </c>
      <c r="DX29">
        <v>1160.24</v>
      </c>
      <c r="DY29">
        <v>1226.19</v>
      </c>
      <c r="DZ29">
        <v>4.0876900000000003</v>
      </c>
      <c r="EA29">
        <v>1199.8699999999999</v>
      </c>
      <c r="EB29">
        <v>21.467600000000001</v>
      </c>
      <c r="EC29">
        <v>2.5323600000000002</v>
      </c>
      <c r="ED29">
        <v>2.1273</v>
      </c>
      <c r="EE29">
        <v>21.236000000000001</v>
      </c>
      <c r="EF29">
        <v>18.4251</v>
      </c>
      <c r="EG29">
        <v>1800.23</v>
      </c>
      <c r="EH29">
        <v>0.97799800000000003</v>
      </c>
      <c r="EI29">
        <v>2.2002500000000001E-2</v>
      </c>
      <c r="EJ29">
        <v>0</v>
      </c>
      <c r="EK29">
        <v>755.02</v>
      </c>
      <c r="EL29">
        <v>9.9989999999999996E-2</v>
      </c>
      <c r="EM29">
        <v>14681.1</v>
      </c>
      <c r="EN29">
        <v>16707.400000000001</v>
      </c>
      <c r="EO29">
        <v>47.186999999999998</v>
      </c>
      <c r="EP29">
        <v>49.061999999999998</v>
      </c>
      <c r="EQ29">
        <v>48.061999999999998</v>
      </c>
      <c r="ER29">
        <v>47.75</v>
      </c>
      <c r="ES29">
        <v>48.311999999999998</v>
      </c>
      <c r="ET29">
        <v>1760.52</v>
      </c>
      <c r="EU29">
        <v>39.61</v>
      </c>
      <c r="EV29">
        <v>0</v>
      </c>
      <c r="EW29">
        <v>102</v>
      </c>
      <c r="EX29">
        <v>0</v>
      </c>
      <c r="EY29">
        <v>756.53769230769228</v>
      </c>
      <c r="EZ29">
        <v>-6.6447863409999819</v>
      </c>
      <c r="FA29">
        <v>-6.6427350165808834</v>
      </c>
      <c r="FB29">
        <v>14680.82692307692</v>
      </c>
      <c r="FC29">
        <v>15</v>
      </c>
      <c r="FD29">
        <v>1691164495.5</v>
      </c>
      <c r="FE29" t="s">
        <v>487</v>
      </c>
      <c r="FF29">
        <v>1691164495.5</v>
      </c>
      <c r="FG29">
        <v>1691164488</v>
      </c>
      <c r="FH29">
        <v>32</v>
      </c>
      <c r="FI29">
        <v>-0.29699999999999999</v>
      </c>
      <c r="FJ29">
        <v>-3.0000000000000001E-3</v>
      </c>
      <c r="FK29">
        <v>-1.0820000000000001</v>
      </c>
      <c r="FL29">
        <v>0.14299999999999999</v>
      </c>
      <c r="FM29">
        <v>1201</v>
      </c>
      <c r="FN29">
        <v>21</v>
      </c>
      <c r="FO29">
        <v>0.11</v>
      </c>
      <c r="FP29">
        <v>0.06</v>
      </c>
      <c r="FQ29">
        <v>54.00052655212459</v>
      </c>
      <c r="FR29">
        <v>-0.20286138009114649</v>
      </c>
      <c r="FS29">
        <v>0.13338920104059401</v>
      </c>
      <c r="FT29">
        <v>1</v>
      </c>
      <c r="FU29">
        <v>0.20367273326594379</v>
      </c>
      <c r="FV29">
        <v>-4.2627674984486528E-3</v>
      </c>
      <c r="FW29">
        <v>9.2138066469422888E-4</v>
      </c>
      <c r="FX29">
        <v>1</v>
      </c>
      <c r="FY29">
        <v>2</v>
      </c>
      <c r="FZ29">
        <v>2</v>
      </c>
      <c r="GA29" t="s">
        <v>416</v>
      </c>
      <c r="GB29">
        <v>2.9678200000000001</v>
      </c>
      <c r="GC29">
        <v>2.8109299999999999</v>
      </c>
      <c r="GD29">
        <v>0.19861100000000001</v>
      </c>
      <c r="GE29">
        <v>0.20391400000000001</v>
      </c>
      <c r="GF29">
        <v>0.12370100000000001</v>
      </c>
      <c r="GG29">
        <v>0.1089</v>
      </c>
      <c r="GH29">
        <v>23574</v>
      </c>
      <c r="GI29">
        <v>21633.200000000001</v>
      </c>
      <c r="GJ29">
        <v>26455</v>
      </c>
      <c r="GK29">
        <v>25657.200000000001</v>
      </c>
      <c r="GL29">
        <v>31566.400000000001</v>
      </c>
      <c r="GM29">
        <v>32286.5</v>
      </c>
      <c r="GN29">
        <v>37454.199999999997</v>
      </c>
      <c r="GO29">
        <v>38041</v>
      </c>
      <c r="GP29">
        <v>1.9316</v>
      </c>
      <c r="GQ29">
        <v>1.9033</v>
      </c>
      <c r="GR29">
        <v>-1.6391300000000001E-2</v>
      </c>
      <c r="GS29">
        <v>0</v>
      </c>
      <c r="GT29">
        <v>30.267499999999998</v>
      </c>
      <c r="GU29">
        <v>999.9</v>
      </c>
      <c r="GV29">
        <v>34.799999999999997</v>
      </c>
      <c r="GW29">
        <v>41</v>
      </c>
      <c r="GX29">
        <v>27.458300000000001</v>
      </c>
      <c r="GY29">
        <v>61.781799999999997</v>
      </c>
      <c r="GZ29">
        <v>13.3413</v>
      </c>
      <c r="HA29">
        <v>1</v>
      </c>
      <c r="HB29">
        <v>0.548902</v>
      </c>
      <c r="HC29">
        <v>4.21523</v>
      </c>
      <c r="HD29">
        <v>20.197900000000001</v>
      </c>
      <c r="HE29">
        <v>5.2029100000000001</v>
      </c>
      <c r="HF29">
        <v>11.9381</v>
      </c>
      <c r="HG29">
        <v>4.9843999999999999</v>
      </c>
      <c r="HH29">
        <v>3.2894000000000001</v>
      </c>
      <c r="HI29">
        <v>9999</v>
      </c>
      <c r="HJ29">
        <v>9999</v>
      </c>
      <c r="HK29">
        <v>9999</v>
      </c>
      <c r="HL29">
        <v>999.9</v>
      </c>
      <c r="HM29">
        <v>1.8712</v>
      </c>
      <c r="HN29">
        <v>1.8772899999999999</v>
      </c>
      <c r="HO29">
        <v>1.8750599999999999</v>
      </c>
      <c r="HP29">
        <v>1.8733200000000001</v>
      </c>
      <c r="HQ29">
        <v>1.8737900000000001</v>
      </c>
      <c r="HR29">
        <v>1.8711899999999999</v>
      </c>
      <c r="HS29">
        <v>1.8771199999999999</v>
      </c>
      <c r="HT29">
        <v>1.87622</v>
      </c>
      <c r="HU29">
        <v>5</v>
      </c>
      <c r="HV29">
        <v>0</v>
      </c>
      <c r="HW29">
        <v>0</v>
      </c>
      <c r="HX29">
        <v>0</v>
      </c>
      <c r="HY29" t="s">
        <v>417</v>
      </c>
      <c r="HZ29" t="s">
        <v>418</v>
      </c>
      <c r="IA29" t="s">
        <v>419</v>
      </c>
      <c r="IB29" t="s">
        <v>420</v>
      </c>
      <c r="IC29" t="s">
        <v>420</v>
      </c>
      <c r="ID29" t="s">
        <v>419</v>
      </c>
      <c r="IE29">
        <v>0</v>
      </c>
      <c r="IF29">
        <v>100</v>
      </c>
      <c r="IG29">
        <v>100</v>
      </c>
      <c r="IH29">
        <v>-1.06</v>
      </c>
      <c r="II29">
        <v>0.30609999999999998</v>
      </c>
      <c r="IJ29">
        <v>-0.42029829737965069</v>
      </c>
      <c r="IK29">
        <v>-1.615681629159814E-3</v>
      </c>
      <c r="IL29">
        <v>1.5005605225991581E-6</v>
      </c>
      <c r="IM29">
        <v>-5.1143626075267638E-10</v>
      </c>
      <c r="IN29">
        <v>-0.1950138715896074</v>
      </c>
      <c r="IO29">
        <v>-1.7182111142928099E-3</v>
      </c>
      <c r="IP29">
        <v>9.9985895407488957E-4</v>
      </c>
      <c r="IQ29">
        <v>-5.7750407166627208E-6</v>
      </c>
      <c r="IR29">
        <v>3</v>
      </c>
      <c r="IS29">
        <v>2181</v>
      </c>
      <c r="IT29">
        <v>2</v>
      </c>
      <c r="IU29">
        <v>42</v>
      </c>
      <c r="IV29">
        <v>0.5</v>
      </c>
      <c r="IW29">
        <v>0.7</v>
      </c>
      <c r="IX29">
        <v>2.3315399999999999</v>
      </c>
      <c r="IY29">
        <v>2.5158700000000001</v>
      </c>
      <c r="IZ29">
        <v>1.5991200000000001</v>
      </c>
      <c r="JA29">
        <v>2.2729499999999998</v>
      </c>
      <c r="JB29">
        <v>1.5502899999999999</v>
      </c>
      <c r="JC29">
        <v>2.31934</v>
      </c>
      <c r="JD29">
        <v>45.805599999999998</v>
      </c>
      <c r="JE29">
        <v>23.702200000000001</v>
      </c>
      <c r="JF29">
        <v>18</v>
      </c>
      <c r="JG29">
        <v>502</v>
      </c>
      <c r="JH29">
        <v>452.58499999999998</v>
      </c>
      <c r="JI29">
        <v>24.2302</v>
      </c>
      <c r="JJ29">
        <v>34.1021</v>
      </c>
      <c r="JK29">
        <v>30.0001</v>
      </c>
      <c r="JL29">
        <v>34.061</v>
      </c>
      <c r="JM29">
        <v>34.0259</v>
      </c>
      <c r="JN29">
        <v>46.682099999999998</v>
      </c>
      <c r="JO29">
        <v>29.706499999999998</v>
      </c>
      <c r="JP29">
        <v>0</v>
      </c>
      <c r="JQ29">
        <v>24.2288</v>
      </c>
      <c r="JR29">
        <v>1200</v>
      </c>
      <c r="JS29">
        <v>21.479299999999999</v>
      </c>
      <c r="JT29">
        <v>98.777699999999996</v>
      </c>
      <c r="JU29">
        <v>98.734399999999994</v>
      </c>
    </row>
    <row r="30" spans="1:281" x14ac:dyDescent="0.25">
      <c r="A30">
        <v>14</v>
      </c>
      <c r="B30">
        <v>1691164626.5</v>
      </c>
      <c r="C30">
        <v>4895.9000000953674</v>
      </c>
      <c r="D30" t="s">
        <v>488</v>
      </c>
      <c r="E30" t="s">
        <v>489</v>
      </c>
      <c r="F30" t="s">
        <v>411</v>
      </c>
      <c r="G30" t="s">
        <v>413</v>
      </c>
      <c r="H30" t="s">
        <v>422</v>
      </c>
      <c r="I30" t="s">
        <v>413</v>
      </c>
      <c r="J30">
        <v>1691164626.5</v>
      </c>
      <c r="K30">
        <f t="shared" si="0"/>
        <v>2.5431782789090062E-3</v>
      </c>
      <c r="L30">
        <f t="shared" si="1"/>
        <v>2.5431782789090063</v>
      </c>
      <c r="M30">
        <f t="shared" si="2"/>
        <v>53.533077567111441</v>
      </c>
      <c r="N30">
        <f t="shared" si="3"/>
        <v>1431.3389999999999</v>
      </c>
      <c r="O30">
        <f t="shared" si="4"/>
        <v>787.15200532254505</v>
      </c>
      <c r="P30">
        <f t="shared" si="5"/>
        <v>78.079532073311469</v>
      </c>
      <c r="Q30">
        <f t="shared" si="6"/>
        <v>141.97801517698892</v>
      </c>
      <c r="R30">
        <f t="shared" si="7"/>
        <v>0.14322684633310209</v>
      </c>
      <c r="S30">
        <f t="shared" si="8"/>
        <v>2.9223185560222471</v>
      </c>
      <c r="T30">
        <f t="shared" si="9"/>
        <v>0.13943824048370859</v>
      </c>
      <c r="U30">
        <f t="shared" si="10"/>
        <v>8.748094435478887E-2</v>
      </c>
      <c r="V30">
        <f t="shared" si="11"/>
        <v>289.6117230127395</v>
      </c>
      <c r="W30">
        <f t="shared" si="12"/>
        <v>30.911327754554463</v>
      </c>
      <c r="X30">
        <f t="shared" si="13"/>
        <v>30.008299999999998</v>
      </c>
      <c r="Y30">
        <f t="shared" si="14"/>
        <v>4.2624813433940858</v>
      </c>
      <c r="Z30">
        <f t="shared" si="15"/>
        <v>59.496185659972454</v>
      </c>
      <c r="AA30">
        <f t="shared" si="16"/>
        <v>2.5151434764446203</v>
      </c>
      <c r="AB30">
        <f t="shared" si="17"/>
        <v>4.2274028974209452</v>
      </c>
      <c r="AC30">
        <f t="shared" si="18"/>
        <v>1.7473378669494655</v>
      </c>
      <c r="AD30">
        <f t="shared" si="19"/>
        <v>-112.15416209988717</v>
      </c>
      <c r="AE30">
        <f t="shared" si="20"/>
        <v>-22.655407863288438</v>
      </c>
      <c r="AF30">
        <f t="shared" si="21"/>
        <v>-1.7227011433685764</v>
      </c>
      <c r="AG30">
        <f t="shared" si="22"/>
        <v>153.07945190619532</v>
      </c>
      <c r="AH30">
        <v>0</v>
      </c>
      <c r="AI30">
        <v>0</v>
      </c>
      <c r="AJ30">
        <f t="shared" si="23"/>
        <v>1</v>
      </c>
      <c r="AK30">
        <f t="shared" si="24"/>
        <v>0</v>
      </c>
      <c r="AL30">
        <f t="shared" si="25"/>
        <v>52150.666855905743</v>
      </c>
      <c r="AM30" t="s">
        <v>414</v>
      </c>
      <c r="AN30">
        <v>7361.72</v>
      </c>
      <c r="AO30">
        <v>541.39076923076925</v>
      </c>
      <c r="AP30">
        <v>2141.9899999999998</v>
      </c>
      <c r="AQ30">
        <f t="shared" si="26"/>
        <v>0.74724869433061347</v>
      </c>
      <c r="AR30">
        <v>-0.96077199609010144</v>
      </c>
      <c r="AS30" t="s">
        <v>490</v>
      </c>
      <c r="AT30">
        <v>7346.59</v>
      </c>
      <c r="AU30">
        <v>754.73680000000013</v>
      </c>
      <c r="AV30">
        <v>1208.6961477119589</v>
      </c>
      <c r="AW30">
        <f t="shared" si="27"/>
        <v>0.37557772362499542</v>
      </c>
      <c r="AX30">
        <v>0.5</v>
      </c>
      <c r="AY30">
        <f t="shared" si="28"/>
        <v>1513.3899000066008</v>
      </c>
      <c r="AZ30">
        <f t="shared" si="29"/>
        <v>53.533077567111441</v>
      </c>
      <c r="BA30">
        <f t="shared" si="30"/>
        <v>284.19776680076927</v>
      </c>
      <c r="BB30">
        <f t="shared" si="31"/>
        <v>3.6007805763051452E-2</v>
      </c>
      <c r="BC30">
        <f t="shared" si="32"/>
        <v>0.77214927345863571</v>
      </c>
      <c r="BD30">
        <f t="shared" si="33"/>
        <v>452.98535959857497</v>
      </c>
      <c r="BE30" t="s">
        <v>491</v>
      </c>
      <c r="BF30">
        <v>575.69000000000005</v>
      </c>
      <c r="BG30">
        <f t="shared" si="34"/>
        <v>575.69000000000005</v>
      </c>
      <c r="BH30">
        <f t="shared" si="35"/>
        <v>0.5237099074984467</v>
      </c>
      <c r="BI30">
        <f t="shared" si="36"/>
        <v>0.71714840267005908</v>
      </c>
      <c r="BJ30">
        <f t="shared" si="37"/>
        <v>0.59585893653070354</v>
      </c>
      <c r="BK30">
        <f t="shared" si="38"/>
        <v>0.68028726030230136</v>
      </c>
      <c r="BL30">
        <f t="shared" si="39"/>
        <v>0.58309027915720668</v>
      </c>
      <c r="BM30">
        <f t="shared" si="40"/>
        <v>0.54701872749960812</v>
      </c>
      <c r="BN30">
        <f t="shared" si="41"/>
        <v>0.45298127250039188</v>
      </c>
      <c r="BO30">
        <v>1457</v>
      </c>
      <c r="BP30">
        <v>290.00000000000011</v>
      </c>
      <c r="BQ30">
        <v>1053.24</v>
      </c>
      <c r="BR30">
        <v>275</v>
      </c>
      <c r="BS30">
        <v>7346.59</v>
      </c>
      <c r="BT30">
        <v>1054.33</v>
      </c>
      <c r="BU30">
        <v>-1.0900000000000001</v>
      </c>
      <c r="BV30">
        <v>300.00000000000011</v>
      </c>
      <c r="BW30">
        <v>37.9</v>
      </c>
      <c r="BX30">
        <v>1208.6961477119589</v>
      </c>
      <c r="BY30">
        <v>1.441343086571091</v>
      </c>
      <c r="BZ30">
        <v>-113.4081491376831</v>
      </c>
      <c r="CA30">
        <v>0.88765714415145369</v>
      </c>
      <c r="CB30">
        <v>0.99828755879125541</v>
      </c>
      <c r="CC30">
        <v>-7.237874304783099E-3</v>
      </c>
      <c r="CD30">
        <v>289.99999999999989</v>
      </c>
      <c r="CE30">
        <v>1042.6400000000001</v>
      </c>
      <c r="CF30">
        <v>645</v>
      </c>
      <c r="CG30">
        <v>7342.03</v>
      </c>
      <c r="CH30">
        <v>1054.23</v>
      </c>
      <c r="CI30">
        <v>-11.59</v>
      </c>
      <c r="CW30">
        <f t="shared" si="42"/>
        <v>1800.24</v>
      </c>
      <c r="CX30">
        <f t="shared" si="43"/>
        <v>1513.3899000066008</v>
      </c>
      <c r="CY30">
        <f t="shared" si="44"/>
        <v>0.84066007865984582</v>
      </c>
      <c r="CZ30">
        <f t="shared" si="45"/>
        <v>0.16087395181350236</v>
      </c>
      <c r="DA30">
        <v>6</v>
      </c>
      <c r="DB30">
        <v>0.5</v>
      </c>
      <c r="DC30" t="s">
        <v>415</v>
      </c>
      <c r="DD30">
        <v>2</v>
      </c>
      <c r="DE30">
        <v>1691164626.5</v>
      </c>
      <c r="DF30">
        <v>1431.3389999999999</v>
      </c>
      <c r="DG30">
        <v>1499.93</v>
      </c>
      <c r="DH30">
        <v>25.356200000000001</v>
      </c>
      <c r="DI30">
        <v>22.3825</v>
      </c>
      <c r="DJ30">
        <v>1432.46</v>
      </c>
      <c r="DK30">
        <v>25.159199999999998</v>
      </c>
      <c r="DL30">
        <v>500.12299999999999</v>
      </c>
      <c r="DM30">
        <v>99.0929</v>
      </c>
      <c r="DN30">
        <v>9.9545099999999997E-2</v>
      </c>
      <c r="DO30">
        <v>29.8645</v>
      </c>
      <c r="DP30">
        <v>30.008299999999998</v>
      </c>
      <c r="DQ30">
        <v>999.9</v>
      </c>
      <c r="DR30">
        <v>0</v>
      </c>
      <c r="DS30">
        <v>0</v>
      </c>
      <c r="DT30">
        <v>10050</v>
      </c>
      <c r="DU30">
        <v>0</v>
      </c>
      <c r="DV30">
        <v>1969.52</v>
      </c>
      <c r="DW30">
        <v>-68.632099999999994</v>
      </c>
      <c r="DX30">
        <v>1468.69</v>
      </c>
      <c r="DY30">
        <v>1534.27</v>
      </c>
      <c r="DZ30">
        <v>3.0794100000000002</v>
      </c>
      <c r="EA30">
        <v>1499.93</v>
      </c>
      <c r="EB30">
        <v>22.3825</v>
      </c>
      <c r="EC30">
        <v>2.5230899999999998</v>
      </c>
      <c r="ED30">
        <v>2.21794</v>
      </c>
      <c r="EE30">
        <v>21.176200000000001</v>
      </c>
      <c r="EF30">
        <v>19.092500000000001</v>
      </c>
      <c r="EG30">
        <v>1800.24</v>
      </c>
      <c r="EH30">
        <v>0.97799800000000003</v>
      </c>
      <c r="EI30">
        <v>2.2002500000000001E-2</v>
      </c>
      <c r="EJ30">
        <v>0</v>
      </c>
      <c r="EK30">
        <v>753.84</v>
      </c>
      <c r="EL30">
        <v>9.9989999999999996E-2</v>
      </c>
      <c r="EM30">
        <v>14638.1</v>
      </c>
      <c r="EN30">
        <v>16707.5</v>
      </c>
      <c r="EO30">
        <v>47.125</v>
      </c>
      <c r="EP30">
        <v>49</v>
      </c>
      <c r="EQ30">
        <v>48.061999999999998</v>
      </c>
      <c r="ER30">
        <v>47.686999999999998</v>
      </c>
      <c r="ES30">
        <v>48.25</v>
      </c>
      <c r="ET30">
        <v>1760.53</v>
      </c>
      <c r="EU30">
        <v>39.61</v>
      </c>
      <c r="EV30">
        <v>0</v>
      </c>
      <c r="EW30">
        <v>97.399999856948853</v>
      </c>
      <c r="EX30">
        <v>0</v>
      </c>
      <c r="EY30">
        <v>754.73680000000013</v>
      </c>
      <c r="EZ30">
        <v>-1.404615301428308</v>
      </c>
      <c r="FA30">
        <v>-16.561538420477781</v>
      </c>
      <c r="FB30">
        <v>14633.788</v>
      </c>
      <c r="FC30">
        <v>15</v>
      </c>
      <c r="FD30">
        <v>1691164654</v>
      </c>
      <c r="FE30" t="s">
        <v>492</v>
      </c>
      <c r="FF30">
        <v>1691164654</v>
      </c>
      <c r="FG30">
        <v>1691164647.5</v>
      </c>
      <c r="FH30">
        <v>33</v>
      </c>
      <c r="FI30">
        <v>7.2999999999999995E-2</v>
      </c>
      <c r="FJ30">
        <v>-1E-3</v>
      </c>
      <c r="FK30">
        <v>-1.121</v>
      </c>
      <c r="FL30">
        <v>0.19700000000000001</v>
      </c>
      <c r="FM30">
        <v>1500</v>
      </c>
      <c r="FN30">
        <v>22</v>
      </c>
      <c r="FO30">
        <v>0.16</v>
      </c>
      <c r="FP30">
        <v>0.06</v>
      </c>
      <c r="FQ30">
        <v>53.593994495425527</v>
      </c>
      <c r="FR30">
        <v>1.1492673283443331</v>
      </c>
      <c r="FS30">
        <v>0.15395246406308211</v>
      </c>
      <c r="FT30">
        <v>0</v>
      </c>
      <c r="FU30">
        <v>0.1512997758059611</v>
      </c>
      <c r="FV30">
        <v>-2.658933362065348E-2</v>
      </c>
      <c r="FW30">
        <v>2.0273196436109832E-3</v>
      </c>
      <c r="FX30">
        <v>1</v>
      </c>
      <c r="FY30">
        <v>1</v>
      </c>
      <c r="FZ30">
        <v>2</v>
      </c>
      <c r="GA30" t="s">
        <v>421</v>
      </c>
      <c r="GB30">
        <v>2.9680800000000001</v>
      </c>
      <c r="GC30">
        <v>2.8116699999999999</v>
      </c>
      <c r="GD30">
        <v>0.230103</v>
      </c>
      <c r="GE30">
        <v>0.234204</v>
      </c>
      <c r="GF30">
        <v>0.123391</v>
      </c>
      <c r="GG30">
        <v>0.112153</v>
      </c>
      <c r="GH30">
        <v>22647.4</v>
      </c>
      <c r="GI30">
        <v>20808.5</v>
      </c>
      <c r="GJ30">
        <v>26458.2</v>
      </c>
      <c r="GK30">
        <v>25658.7</v>
      </c>
      <c r="GL30">
        <v>31582.3</v>
      </c>
      <c r="GM30">
        <v>32172.400000000001</v>
      </c>
      <c r="GN30">
        <v>37457.199999999997</v>
      </c>
      <c r="GO30">
        <v>38042.9</v>
      </c>
      <c r="GP30">
        <v>1.9317</v>
      </c>
      <c r="GQ30">
        <v>1.9063000000000001</v>
      </c>
      <c r="GR30">
        <v>-1.31875E-2</v>
      </c>
      <c r="GS30">
        <v>0</v>
      </c>
      <c r="GT30">
        <v>30.222899999999999</v>
      </c>
      <c r="GU30">
        <v>999.9</v>
      </c>
      <c r="GV30">
        <v>34.700000000000003</v>
      </c>
      <c r="GW30">
        <v>41</v>
      </c>
      <c r="GX30">
        <v>27.379799999999999</v>
      </c>
      <c r="GY30">
        <v>61.721800000000002</v>
      </c>
      <c r="GZ30">
        <v>12.600199999999999</v>
      </c>
      <c r="HA30">
        <v>1</v>
      </c>
      <c r="HB30">
        <v>0.54983700000000002</v>
      </c>
      <c r="HC30">
        <v>4.6219000000000001</v>
      </c>
      <c r="HD30">
        <v>20.188099999999999</v>
      </c>
      <c r="HE30">
        <v>5.2112999999999996</v>
      </c>
      <c r="HF30">
        <v>11.9381</v>
      </c>
      <c r="HG30">
        <v>4.9874000000000001</v>
      </c>
      <c r="HH30">
        <v>3.2909999999999999</v>
      </c>
      <c r="HI30">
        <v>9999</v>
      </c>
      <c r="HJ30">
        <v>9999</v>
      </c>
      <c r="HK30">
        <v>9999</v>
      </c>
      <c r="HL30">
        <v>999.9</v>
      </c>
      <c r="HM30">
        <v>1.8712</v>
      </c>
      <c r="HN30">
        <v>1.8772899999999999</v>
      </c>
      <c r="HO30">
        <v>1.8750500000000001</v>
      </c>
      <c r="HP30">
        <v>1.8733200000000001</v>
      </c>
      <c r="HQ30">
        <v>1.87378</v>
      </c>
      <c r="HR30">
        <v>1.8711899999999999</v>
      </c>
      <c r="HS30">
        <v>1.87703</v>
      </c>
      <c r="HT30">
        <v>1.87622</v>
      </c>
      <c r="HU30">
        <v>5</v>
      </c>
      <c r="HV30">
        <v>0</v>
      </c>
      <c r="HW30">
        <v>0</v>
      </c>
      <c r="HX30">
        <v>0</v>
      </c>
      <c r="HY30" t="s">
        <v>417</v>
      </c>
      <c r="HZ30" t="s">
        <v>418</v>
      </c>
      <c r="IA30" t="s">
        <v>419</v>
      </c>
      <c r="IB30" t="s">
        <v>420</v>
      </c>
      <c r="IC30" t="s">
        <v>420</v>
      </c>
      <c r="ID30" t="s">
        <v>419</v>
      </c>
      <c r="IE30">
        <v>0</v>
      </c>
      <c r="IF30">
        <v>100</v>
      </c>
      <c r="IG30">
        <v>100</v>
      </c>
      <c r="IH30">
        <v>-1.121</v>
      </c>
      <c r="II30">
        <v>0.19700000000000001</v>
      </c>
      <c r="IJ30">
        <v>-0.42029829737965069</v>
      </c>
      <c r="IK30">
        <v>-1.615681629159814E-3</v>
      </c>
      <c r="IL30">
        <v>1.5005605225991581E-6</v>
      </c>
      <c r="IM30">
        <v>-5.1143626075267638E-10</v>
      </c>
      <c r="IN30">
        <v>-0.1950138715896074</v>
      </c>
      <c r="IO30">
        <v>-1.7182111142928099E-3</v>
      </c>
      <c r="IP30">
        <v>9.9985895407488957E-4</v>
      </c>
      <c r="IQ30">
        <v>-5.7750407166627208E-6</v>
      </c>
      <c r="IR30">
        <v>3</v>
      </c>
      <c r="IS30">
        <v>2181</v>
      </c>
      <c r="IT30">
        <v>2</v>
      </c>
      <c r="IU30">
        <v>42</v>
      </c>
      <c r="IV30">
        <v>2.2000000000000002</v>
      </c>
      <c r="IW30">
        <v>2.2999999999999998</v>
      </c>
      <c r="IX30">
        <v>2.8064</v>
      </c>
      <c r="IY30">
        <v>2.5061</v>
      </c>
      <c r="IZ30">
        <v>1.5991200000000001</v>
      </c>
      <c r="JA30">
        <v>2.2729499999999998</v>
      </c>
      <c r="JB30">
        <v>1.5502899999999999</v>
      </c>
      <c r="JC30">
        <v>2.4047900000000002</v>
      </c>
      <c r="JD30">
        <v>45.834400000000002</v>
      </c>
      <c r="JE30">
        <v>23.702200000000001</v>
      </c>
      <c r="JF30">
        <v>18</v>
      </c>
      <c r="JG30">
        <v>501.99400000000003</v>
      </c>
      <c r="JH30">
        <v>454.45400000000001</v>
      </c>
      <c r="JI30">
        <v>23.9114</v>
      </c>
      <c r="JJ30">
        <v>34.077399999999997</v>
      </c>
      <c r="JK30">
        <v>30.000399999999999</v>
      </c>
      <c r="JL30">
        <v>34.0518</v>
      </c>
      <c r="JM30">
        <v>34.0259</v>
      </c>
      <c r="JN30">
        <v>56.178199999999997</v>
      </c>
      <c r="JO30">
        <v>25.411999999999999</v>
      </c>
      <c r="JP30">
        <v>0</v>
      </c>
      <c r="JQ30">
        <v>23.908799999999999</v>
      </c>
      <c r="JR30">
        <v>1500</v>
      </c>
      <c r="JS30">
        <v>22.491800000000001</v>
      </c>
      <c r="JT30">
        <v>98.787400000000005</v>
      </c>
      <c r="JU30">
        <v>98.739500000000007</v>
      </c>
    </row>
    <row r="31" spans="1:281" x14ac:dyDescent="0.25">
      <c r="A31">
        <v>15</v>
      </c>
      <c r="B31">
        <v>1691166654.5999999</v>
      </c>
      <c r="C31">
        <v>6924</v>
      </c>
      <c r="D31" t="s">
        <v>493</v>
      </c>
      <c r="E31" t="s">
        <v>494</v>
      </c>
      <c r="F31" t="s">
        <v>411</v>
      </c>
      <c r="G31" t="s">
        <v>495</v>
      </c>
      <c r="H31" t="s">
        <v>496</v>
      </c>
      <c r="I31" t="s">
        <v>413</v>
      </c>
      <c r="J31">
        <v>1691166654.5999999</v>
      </c>
      <c r="K31">
        <f t="shared" si="0"/>
        <v>5.0284167306916209E-3</v>
      </c>
      <c r="L31">
        <f t="shared" si="1"/>
        <v>5.028416730691621</v>
      </c>
      <c r="M31">
        <f t="shared" si="2"/>
        <v>44.105614320074622</v>
      </c>
      <c r="N31">
        <f t="shared" si="3"/>
        <v>345.05399999999997</v>
      </c>
      <c r="O31">
        <f t="shared" si="4"/>
        <v>92.819780390670132</v>
      </c>
      <c r="P31">
        <f t="shared" si="5"/>
        <v>9.2091771184022111</v>
      </c>
      <c r="Q31">
        <f t="shared" si="6"/>
        <v>34.234765348922998</v>
      </c>
      <c r="R31">
        <f t="shared" si="7"/>
        <v>0.30078617693626991</v>
      </c>
      <c r="S31">
        <f t="shared" si="8"/>
        <v>2.9139903386304491</v>
      </c>
      <c r="T31">
        <f t="shared" si="9"/>
        <v>0.28454069940849258</v>
      </c>
      <c r="U31">
        <f t="shared" si="10"/>
        <v>0.17922437451871537</v>
      </c>
      <c r="V31">
        <f t="shared" si="11"/>
        <v>289.5600720127386</v>
      </c>
      <c r="W31">
        <f t="shared" si="12"/>
        <v>30.293849293307463</v>
      </c>
      <c r="X31">
        <f t="shared" si="13"/>
        <v>29.9574</v>
      </c>
      <c r="Y31">
        <f t="shared" si="14"/>
        <v>4.2500359480126608</v>
      </c>
      <c r="Z31">
        <f t="shared" si="15"/>
        <v>60.384142361228257</v>
      </c>
      <c r="AA31">
        <f t="shared" si="16"/>
        <v>2.5568375397022503</v>
      </c>
      <c r="AB31">
        <f t="shared" si="17"/>
        <v>4.2342864197802319</v>
      </c>
      <c r="AC31">
        <f t="shared" si="18"/>
        <v>1.6931984083104106</v>
      </c>
      <c r="AD31">
        <f t="shared" si="19"/>
        <v>-221.75317782350049</v>
      </c>
      <c r="AE31">
        <f t="shared" si="20"/>
        <v>-10.148598445001204</v>
      </c>
      <c r="AF31">
        <f t="shared" si="21"/>
        <v>-0.77381109766201728</v>
      </c>
      <c r="AG31">
        <f t="shared" si="22"/>
        <v>56.884484646574883</v>
      </c>
      <c r="AH31">
        <v>0</v>
      </c>
      <c r="AI31">
        <v>0</v>
      </c>
      <c r="AJ31">
        <f t="shared" si="23"/>
        <v>1</v>
      </c>
      <c r="AK31">
        <f t="shared" si="24"/>
        <v>0</v>
      </c>
      <c r="AL31">
        <f t="shared" si="25"/>
        <v>51909.037038709706</v>
      </c>
      <c r="AM31" t="s">
        <v>414</v>
      </c>
      <c r="AN31">
        <v>7361.72</v>
      </c>
      <c r="AO31">
        <v>541.39076923076925</v>
      </c>
      <c r="AP31">
        <v>2141.9899999999998</v>
      </c>
      <c r="AQ31">
        <f t="shared" si="26"/>
        <v>0.74724869433061347</v>
      </c>
      <c r="AR31">
        <v>-0.96077199609010144</v>
      </c>
      <c r="AS31" t="s">
        <v>497</v>
      </c>
      <c r="AT31">
        <v>7338.37</v>
      </c>
      <c r="AU31">
        <v>714.61819999999989</v>
      </c>
      <c r="AV31">
        <v>1035.3467594402521</v>
      </c>
      <c r="AW31">
        <f t="shared" si="27"/>
        <v>0.30977887989300346</v>
      </c>
      <c r="AX31">
        <v>0.5</v>
      </c>
      <c r="AY31">
        <f t="shared" si="28"/>
        <v>1513.1208000066003</v>
      </c>
      <c r="AZ31">
        <f t="shared" si="29"/>
        <v>44.105614320074622</v>
      </c>
      <c r="BA31">
        <f t="shared" si="30"/>
        <v>234.36643328442497</v>
      </c>
      <c r="BB31">
        <f t="shared" si="31"/>
        <v>2.9783733272299304E-2</v>
      </c>
      <c r="BC31">
        <f t="shared" si="32"/>
        <v>1.0688624178029409</v>
      </c>
      <c r="BD31">
        <f t="shared" si="33"/>
        <v>426.23946255878565</v>
      </c>
      <c r="BE31" t="s">
        <v>498</v>
      </c>
      <c r="BF31">
        <v>573.45000000000005</v>
      </c>
      <c r="BG31">
        <f t="shared" si="34"/>
        <v>573.45000000000005</v>
      </c>
      <c r="BH31">
        <f t="shared" si="35"/>
        <v>0.44612759467173202</v>
      </c>
      <c r="BI31">
        <f t="shared" si="36"/>
        <v>0.69437282874408124</v>
      </c>
      <c r="BJ31">
        <f t="shared" si="37"/>
        <v>0.70552439884207474</v>
      </c>
      <c r="BK31">
        <f t="shared" si="38"/>
        <v>0.64930594181929802</v>
      </c>
      <c r="BL31">
        <f t="shared" si="39"/>
        <v>0.69139308534336053</v>
      </c>
      <c r="BM31">
        <f t="shared" si="40"/>
        <v>0.55720397079628459</v>
      </c>
      <c r="BN31">
        <f t="shared" si="41"/>
        <v>0.44279602920371541</v>
      </c>
      <c r="BO31">
        <v>1459</v>
      </c>
      <c r="BP31">
        <v>290.00000000000011</v>
      </c>
      <c r="BQ31">
        <v>925.73</v>
      </c>
      <c r="BR31">
        <v>285</v>
      </c>
      <c r="BS31">
        <v>7338.37</v>
      </c>
      <c r="BT31">
        <v>927.58</v>
      </c>
      <c r="BU31">
        <v>-1.85</v>
      </c>
      <c r="BV31">
        <v>300.00000000000011</v>
      </c>
      <c r="BW31">
        <v>37.9</v>
      </c>
      <c r="BX31">
        <v>1035.3467594402521</v>
      </c>
      <c r="BY31">
        <v>1.424554989517179</v>
      </c>
      <c r="BZ31">
        <v>-79.086387066761276</v>
      </c>
      <c r="CA31">
        <v>0.87640130056685717</v>
      </c>
      <c r="CB31">
        <v>0.99657334915217843</v>
      </c>
      <c r="CC31">
        <v>-7.2299361512791899E-3</v>
      </c>
      <c r="CD31">
        <v>289.99999999999989</v>
      </c>
      <c r="CE31">
        <v>919.47</v>
      </c>
      <c r="CF31">
        <v>635</v>
      </c>
      <c r="CG31">
        <v>7334.67</v>
      </c>
      <c r="CH31">
        <v>927.52</v>
      </c>
      <c r="CI31">
        <v>-8.0500000000000007</v>
      </c>
      <c r="CW31">
        <f t="shared" si="42"/>
        <v>1799.92</v>
      </c>
      <c r="CX31">
        <f t="shared" si="43"/>
        <v>1513.1208000066003</v>
      </c>
      <c r="CY31">
        <f t="shared" si="44"/>
        <v>0.84066002933830408</v>
      </c>
      <c r="CZ31">
        <f t="shared" si="45"/>
        <v>0.16087385662292689</v>
      </c>
      <c r="DA31">
        <v>6</v>
      </c>
      <c r="DB31">
        <v>0.5</v>
      </c>
      <c r="DC31" t="s">
        <v>415</v>
      </c>
      <c r="DD31">
        <v>2</v>
      </c>
      <c r="DE31">
        <v>1691166654.5999999</v>
      </c>
      <c r="DF31">
        <v>345.05399999999997</v>
      </c>
      <c r="DG31">
        <v>400.04599999999999</v>
      </c>
      <c r="DH31">
        <v>25.770499999999998</v>
      </c>
      <c r="DI31">
        <v>19.893699999999999</v>
      </c>
      <c r="DJ31">
        <v>345.84500000000003</v>
      </c>
      <c r="DK31">
        <v>25.456399999999999</v>
      </c>
      <c r="DL31">
        <v>500.15300000000002</v>
      </c>
      <c r="DM31">
        <v>99.115700000000004</v>
      </c>
      <c r="DN31">
        <v>9.9974499999999994E-2</v>
      </c>
      <c r="DO31">
        <v>29.892800000000001</v>
      </c>
      <c r="DP31">
        <v>29.9574</v>
      </c>
      <c r="DQ31">
        <v>999.9</v>
      </c>
      <c r="DR31">
        <v>0</v>
      </c>
      <c r="DS31">
        <v>0</v>
      </c>
      <c r="DT31">
        <v>10000</v>
      </c>
      <c r="DU31">
        <v>0</v>
      </c>
      <c r="DV31">
        <v>288.94400000000002</v>
      </c>
      <c r="DW31">
        <v>-54.991399999999999</v>
      </c>
      <c r="DX31">
        <v>354.18200000000002</v>
      </c>
      <c r="DY31">
        <v>408.16500000000002</v>
      </c>
      <c r="DZ31">
        <v>5.8767800000000001</v>
      </c>
      <c r="EA31">
        <v>400.04599999999999</v>
      </c>
      <c r="EB31">
        <v>19.893699999999999</v>
      </c>
      <c r="EC31">
        <v>2.5542600000000002</v>
      </c>
      <c r="ED31">
        <v>1.9717800000000001</v>
      </c>
      <c r="EE31">
        <v>21.3765</v>
      </c>
      <c r="EF31">
        <v>17.2195</v>
      </c>
      <c r="EG31">
        <v>1799.92</v>
      </c>
      <c r="EH31">
        <v>0.97799800000000003</v>
      </c>
      <c r="EI31">
        <v>2.20021E-2</v>
      </c>
      <c r="EJ31">
        <v>0</v>
      </c>
      <c r="EK31">
        <v>713.90499999999997</v>
      </c>
      <c r="EL31">
        <v>9.9989999999999996E-2</v>
      </c>
      <c r="EM31">
        <v>13237</v>
      </c>
      <c r="EN31">
        <v>16704.599999999999</v>
      </c>
      <c r="EO31">
        <v>47.561999999999998</v>
      </c>
      <c r="EP31">
        <v>50</v>
      </c>
      <c r="EQ31">
        <v>48.625</v>
      </c>
      <c r="ER31">
        <v>48.311999999999998</v>
      </c>
      <c r="ES31">
        <v>48.686999999999998</v>
      </c>
      <c r="ET31">
        <v>1760.22</v>
      </c>
      <c r="EU31">
        <v>39.6</v>
      </c>
      <c r="EV31">
        <v>0</v>
      </c>
      <c r="EW31">
        <v>2025.599999904633</v>
      </c>
      <c r="EX31">
        <v>0</v>
      </c>
      <c r="EY31">
        <v>714.61819999999989</v>
      </c>
      <c r="EZ31">
        <v>3.9769231183609328</v>
      </c>
      <c r="FA31">
        <v>-2604.8769270801558</v>
      </c>
      <c r="FB31">
        <v>13532.064</v>
      </c>
      <c r="FC31">
        <v>15</v>
      </c>
      <c r="FD31">
        <v>1691166624.0999999</v>
      </c>
      <c r="FE31" t="s">
        <v>499</v>
      </c>
      <c r="FF31">
        <v>1691166624.0999999</v>
      </c>
      <c r="FG31">
        <v>1691166621.5999999</v>
      </c>
      <c r="FH31">
        <v>35</v>
      </c>
      <c r="FI31">
        <v>0.249</v>
      </c>
      <c r="FJ31">
        <v>-5.0000000000000001E-3</v>
      </c>
      <c r="FK31">
        <v>-0.83</v>
      </c>
      <c r="FL31">
        <v>0.123</v>
      </c>
      <c r="FM31">
        <v>400</v>
      </c>
      <c r="FN31">
        <v>20</v>
      </c>
      <c r="FO31">
        <v>0.08</v>
      </c>
      <c r="FP31">
        <v>0.04</v>
      </c>
      <c r="FQ31">
        <v>44.151508639237242</v>
      </c>
      <c r="FR31">
        <v>-0.66811247548005315</v>
      </c>
      <c r="FS31">
        <v>8.9148068658693805E-2</v>
      </c>
      <c r="FT31">
        <v>1</v>
      </c>
      <c r="FU31">
        <v>0.3072590712518728</v>
      </c>
      <c r="FV31">
        <v>-3.8239724294657607E-2</v>
      </c>
      <c r="FW31">
        <v>3.126384242217371E-3</v>
      </c>
      <c r="FX31">
        <v>1</v>
      </c>
      <c r="FY31">
        <v>2</v>
      </c>
      <c r="FZ31">
        <v>2</v>
      </c>
      <c r="GA31" t="s">
        <v>416</v>
      </c>
      <c r="GB31">
        <v>2.9675799999999999</v>
      </c>
      <c r="GC31">
        <v>2.8116699999999999</v>
      </c>
      <c r="GD31">
        <v>8.55263E-2</v>
      </c>
      <c r="GE31">
        <v>9.4846799999999995E-2</v>
      </c>
      <c r="GF31">
        <v>0.124235</v>
      </c>
      <c r="GG31">
        <v>0.10301</v>
      </c>
      <c r="GH31">
        <v>26891.5</v>
      </c>
      <c r="GI31">
        <v>24566.400000000001</v>
      </c>
      <c r="GJ31">
        <v>26442.3</v>
      </c>
      <c r="GK31">
        <v>25621.5</v>
      </c>
      <c r="GL31">
        <v>31524.6</v>
      </c>
      <c r="GM31">
        <v>32450.9</v>
      </c>
      <c r="GN31">
        <v>37431.699999999997</v>
      </c>
      <c r="GO31">
        <v>37992</v>
      </c>
      <c r="GP31">
        <v>1.9227000000000001</v>
      </c>
      <c r="GQ31">
        <v>1.8595999999999999</v>
      </c>
      <c r="GR31">
        <v>-2.2724299999999999E-2</v>
      </c>
      <c r="GS31">
        <v>0</v>
      </c>
      <c r="GT31">
        <v>30.327200000000001</v>
      </c>
      <c r="GU31">
        <v>999.9</v>
      </c>
      <c r="GV31">
        <v>31.2</v>
      </c>
      <c r="GW31">
        <v>46.3</v>
      </c>
      <c r="GX31">
        <v>32.4358</v>
      </c>
      <c r="GY31">
        <v>61.596699999999998</v>
      </c>
      <c r="GZ31">
        <v>13.9183</v>
      </c>
      <c r="HA31">
        <v>1</v>
      </c>
      <c r="HB31">
        <v>0.60817100000000002</v>
      </c>
      <c r="HC31">
        <v>3.9951699999999999</v>
      </c>
      <c r="HD31">
        <v>20.2546</v>
      </c>
      <c r="HE31">
        <v>5.2107000000000001</v>
      </c>
      <c r="HF31">
        <v>11.9381</v>
      </c>
      <c r="HG31">
        <v>4.9874000000000001</v>
      </c>
      <c r="HH31">
        <v>3.2909999999999999</v>
      </c>
      <c r="HI31">
        <v>9999</v>
      </c>
      <c r="HJ31">
        <v>9999</v>
      </c>
      <c r="HK31">
        <v>9999</v>
      </c>
      <c r="HL31">
        <v>999.9</v>
      </c>
      <c r="HM31">
        <v>1.8711899999999999</v>
      </c>
      <c r="HN31">
        <v>1.8771100000000001</v>
      </c>
      <c r="HO31">
        <v>1.8748499999999999</v>
      </c>
      <c r="HP31">
        <v>1.8730199999999999</v>
      </c>
      <c r="HQ31">
        <v>1.8736299999999999</v>
      </c>
      <c r="HR31">
        <v>1.87103</v>
      </c>
      <c r="HS31">
        <v>1.87683</v>
      </c>
      <c r="HT31">
        <v>1.8760699999999999</v>
      </c>
      <c r="HU31">
        <v>5</v>
      </c>
      <c r="HV31">
        <v>0</v>
      </c>
      <c r="HW31">
        <v>0</v>
      </c>
      <c r="HX31">
        <v>0</v>
      </c>
      <c r="HY31" t="s">
        <v>417</v>
      </c>
      <c r="HZ31" t="s">
        <v>418</v>
      </c>
      <c r="IA31" t="s">
        <v>419</v>
      </c>
      <c r="IB31" t="s">
        <v>420</v>
      </c>
      <c r="IC31" t="s">
        <v>420</v>
      </c>
      <c r="ID31" t="s">
        <v>419</v>
      </c>
      <c r="IE31">
        <v>0</v>
      </c>
      <c r="IF31">
        <v>100</v>
      </c>
      <c r="IG31">
        <v>100</v>
      </c>
      <c r="IH31">
        <v>-0.79100000000000004</v>
      </c>
      <c r="II31">
        <v>0.31409999999999999</v>
      </c>
      <c r="IJ31">
        <v>-0.39085292431663649</v>
      </c>
      <c r="IK31">
        <v>-1.615681629159814E-3</v>
      </c>
      <c r="IL31">
        <v>1.5005605225991581E-6</v>
      </c>
      <c r="IM31">
        <v>-5.1143626075267638E-10</v>
      </c>
      <c r="IN31">
        <v>-0.19479387591552019</v>
      </c>
      <c r="IO31">
        <v>-1.7182111142928099E-3</v>
      </c>
      <c r="IP31">
        <v>9.9985895407488957E-4</v>
      </c>
      <c r="IQ31">
        <v>-5.7750407166627208E-6</v>
      </c>
      <c r="IR31">
        <v>3</v>
      </c>
      <c r="IS31">
        <v>2181</v>
      </c>
      <c r="IT31">
        <v>2</v>
      </c>
      <c r="IU31">
        <v>42</v>
      </c>
      <c r="IV31">
        <v>0.5</v>
      </c>
      <c r="IW31">
        <v>0.6</v>
      </c>
      <c r="IX31">
        <v>0.943604</v>
      </c>
      <c r="IY31">
        <v>2.5427200000000001</v>
      </c>
      <c r="IZ31">
        <v>1.5991200000000001</v>
      </c>
      <c r="JA31">
        <v>2.2753899999999998</v>
      </c>
      <c r="JB31">
        <v>1.5502899999999999</v>
      </c>
      <c r="JC31">
        <v>2.34619</v>
      </c>
      <c r="JD31">
        <v>51.298299999999998</v>
      </c>
      <c r="JE31">
        <v>15.235300000000001</v>
      </c>
      <c r="JF31">
        <v>18</v>
      </c>
      <c r="JG31">
        <v>501.83800000000002</v>
      </c>
      <c r="JH31">
        <v>431.06900000000002</v>
      </c>
      <c r="JI31">
        <v>24.065000000000001</v>
      </c>
      <c r="JJ31">
        <v>34.776899999999998</v>
      </c>
      <c r="JK31">
        <v>29.999600000000001</v>
      </c>
      <c r="JL31">
        <v>34.799199999999999</v>
      </c>
      <c r="JM31">
        <v>34.7789</v>
      </c>
      <c r="JN31">
        <v>18.9176</v>
      </c>
      <c r="JO31">
        <v>43.498199999999997</v>
      </c>
      <c r="JP31">
        <v>0</v>
      </c>
      <c r="JQ31">
        <v>24.077100000000002</v>
      </c>
      <c r="JR31">
        <v>400</v>
      </c>
      <c r="JS31">
        <v>19.798999999999999</v>
      </c>
      <c r="JT31">
        <v>98.723299999999995</v>
      </c>
      <c r="JU31">
        <v>98.602900000000005</v>
      </c>
    </row>
    <row r="32" spans="1:281" x14ac:dyDescent="0.25">
      <c r="A32">
        <v>16</v>
      </c>
      <c r="B32">
        <v>1691166799.5999999</v>
      </c>
      <c r="C32">
        <v>7069</v>
      </c>
      <c r="D32" t="s">
        <v>500</v>
      </c>
      <c r="E32" t="s">
        <v>501</v>
      </c>
      <c r="F32" t="s">
        <v>411</v>
      </c>
      <c r="G32" t="s">
        <v>495</v>
      </c>
      <c r="H32" t="s">
        <v>496</v>
      </c>
      <c r="I32" t="s">
        <v>413</v>
      </c>
      <c r="J32">
        <v>1691166799.5999999</v>
      </c>
      <c r="K32">
        <f t="shared" si="0"/>
        <v>4.963230932867089E-3</v>
      </c>
      <c r="L32">
        <f t="shared" si="1"/>
        <v>4.9632309328670887</v>
      </c>
      <c r="M32">
        <f t="shared" si="2"/>
        <v>33.012134762469458</v>
      </c>
      <c r="N32">
        <f t="shared" si="3"/>
        <v>258.81200000000001</v>
      </c>
      <c r="O32">
        <f t="shared" si="4"/>
        <v>69.108292740599268</v>
      </c>
      <c r="P32">
        <f t="shared" si="5"/>
        <v>6.8567256079792642</v>
      </c>
      <c r="Q32">
        <f t="shared" si="6"/>
        <v>25.678580640291202</v>
      </c>
      <c r="R32">
        <f t="shared" si="7"/>
        <v>0.29916247304981219</v>
      </c>
      <c r="S32">
        <f t="shared" si="8"/>
        <v>2.9166587094199534</v>
      </c>
      <c r="T32">
        <f t="shared" si="9"/>
        <v>0.28310074117066897</v>
      </c>
      <c r="U32">
        <f t="shared" si="10"/>
        <v>0.17830915020779442</v>
      </c>
      <c r="V32">
        <f t="shared" si="11"/>
        <v>289.5600720127386</v>
      </c>
      <c r="W32">
        <f t="shared" si="12"/>
        <v>30.388073776922653</v>
      </c>
      <c r="X32">
        <f t="shared" si="13"/>
        <v>29.9377</v>
      </c>
      <c r="Y32">
        <f t="shared" si="14"/>
        <v>4.2452276716317483</v>
      </c>
      <c r="Z32">
        <f t="shared" si="15"/>
        <v>60.318814669338572</v>
      </c>
      <c r="AA32">
        <f t="shared" si="16"/>
        <v>2.56548677491848</v>
      </c>
      <c r="AB32">
        <f t="shared" si="17"/>
        <v>4.253211521118593</v>
      </c>
      <c r="AC32">
        <f t="shared" si="18"/>
        <v>1.6797408967132683</v>
      </c>
      <c r="AD32">
        <f t="shared" si="19"/>
        <v>-218.87848413943863</v>
      </c>
      <c r="AE32">
        <f t="shared" si="20"/>
        <v>5.1418429719918342</v>
      </c>
      <c r="AF32">
        <f t="shared" si="21"/>
        <v>0.39180925752703338</v>
      </c>
      <c r="AG32">
        <f t="shared" si="22"/>
        <v>76.215240102818839</v>
      </c>
      <c r="AH32">
        <v>0</v>
      </c>
      <c r="AI32">
        <v>0</v>
      </c>
      <c r="AJ32">
        <f t="shared" si="23"/>
        <v>1</v>
      </c>
      <c r="AK32">
        <f t="shared" si="24"/>
        <v>0</v>
      </c>
      <c r="AL32">
        <f t="shared" si="25"/>
        <v>51971.750419639524</v>
      </c>
      <c r="AM32" t="s">
        <v>414</v>
      </c>
      <c r="AN32">
        <v>7361.72</v>
      </c>
      <c r="AO32">
        <v>541.39076923076925</v>
      </c>
      <c r="AP32">
        <v>2141.9899999999998</v>
      </c>
      <c r="AQ32">
        <f t="shared" si="26"/>
        <v>0.74724869433061347</v>
      </c>
      <c r="AR32">
        <v>-0.96077199609010144</v>
      </c>
      <c r="AS32" t="s">
        <v>502</v>
      </c>
      <c r="AT32">
        <v>7338.22</v>
      </c>
      <c r="AU32">
        <v>685.54</v>
      </c>
      <c r="AV32">
        <v>916.75488806390899</v>
      </c>
      <c r="AW32">
        <f t="shared" si="27"/>
        <v>0.25221015025315086</v>
      </c>
      <c r="AX32">
        <v>0.5</v>
      </c>
      <c r="AY32">
        <f t="shared" si="28"/>
        <v>1513.1208000066003</v>
      </c>
      <c r="AZ32">
        <f t="shared" si="29"/>
        <v>33.012134762469458</v>
      </c>
      <c r="BA32">
        <f t="shared" si="30"/>
        <v>190.81221216041624</v>
      </c>
      <c r="BB32">
        <f t="shared" si="31"/>
        <v>2.2452210529662515E-2</v>
      </c>
      <c r="BC32">
        <f t="shared" si="32"/>
        <v>1.3364914961333447</v>
      </c>
      <c r="BD32">
        <f t="shared" si="33"/>
        <v>404.68738309372532</v>
      </c>
      <c r="BE32" t="s">
        <v>503</v>
      </c>
      <c r="BF32">
        <v>554.88</v>
      </c>
      <c r="BG32">
        <f t="shared" si="34"/>
        <v>554.88</v>
      </c>
      <c r="BH32">
        <f t="shared" si="35"/>
        <v>0.39473461529957166</v>
      </c>
      <c r="BI32">
        <f t="shared" si="36"/>
        <v>0.63893598503324511</v>
      </c>
      <c r="BJ32">
        <f t="shared" si="37"/>
        <v>0.77199129986963166</v>
      </c>
      <c r="BK32">
        <f t="shared" si="38"/>
        <v>0.61597493330653363</v>
      </c>
      <c r="BL32">
        <f t="shared" si="39"/>
        <v>0.76548525601081052</v>
      </c>
      <c r="BM32">
        <f t="shared" si="40"/>
        <v>0.51715844352663165</v>
      </c>
      <c r="BN32">
        <f t="shared" si="41"/>
        <v>0.48284155647336835</v>
      </c>
      <c r="BO32">
        <v>1461</v>
      </c>
      <c r="BP32">
        <v>290.00000000000011</v>
      </c>
      <c r="BQ32">
        <v>841.89</v>
      </c>
      <c r="BR32">
        <v>285</v>
      </c>
      <c r="BS32">
        <v>7338.22</v>
      </c>
      <c r="BT32">
        <v>842.95</v>
      </c>
      <c r="BU32">
        <v>-1.06</v>
      </c>
      <c r="BV32">
        <v>300.00000000000011</v>
      </c>
      <c r="BW32">
        <v>37.9</v>
      </c>
      <c r="BX32">
        <v>916.75488806390899</v>
      </c>
      <c r="BY32">
        <v>1.1299340086950529</v>
      </c>
      <c r="BZ32">
        <v>-54.161313155044162</v>
      </c>
      <c r="CA32">
        <v>0.69513996125814437</v>
      </c>
      <c r="CB32">
        <v>0.99540880594147374</v>
      </c>
      <c r="CC32">
        <v>-7.2295430478309308E-3</v>
      </c>
      <c r="CD32">
        <v>289.99999999999989</v>
      </c>
      <c r="CE32">
        <v>840.14</v>
      </c>
      <c r="CF32">
        <v>635</v>
      </c>
      <c r="CG32">
        <v>7334.59</v>
      </c>
      <c r="CH32">
        <v>842.91</v>
      </c>
      <c r="CI32">
        <v>-2.77</v>
      </c>
      <c r="CW32">
        <f t="shared" si="42"/>
        <v>1799.92</v>
      </c>
      <c r="CX32">
        <f t="shared" si="43"/>
        <v>1513.1208000066003</v>
      </c>
      <c r="CY32">
        <f t="shared" si="44"/>
        <v>0.84066002933830408</v>
      </c>
      <c r="CZ32">
        <f t="shared" si="45"/>
        <v>0.16087385662292689</v>
      </c>
      <c r="DA32">
        <v>6</v>
      </c>
      <c r="DB32">
        <v>0.5</v>
      </c>
      <c r="DC32" t="s">
        <v>415</v>
      </c>
      <c r="DD32">
        <v>2</v>
      </c>
      <c r="DE32">
        <v>1691166799.5999999</v>
      </c>
      <c r="DF32">
        <v>258.81200000000001</v>
      </c>
      <c r="DG32">
        <v>299.976</v>
      </c>
      <c r="DH32">
        <v>25.857299999999999</v>
      </c>
      <c r="DI32">
        <v>20.054300000000001</v>
      </c>
      <c r="DJ32">
        <v>259.37299999999999</v>
      </c>
      <c r="DK32">
        <v>25.5334</v>
      </c>
      <c r="DL32">
        <v>499.90300000000002</v>
      </c>
      <c r="DM32">
        <v>99.118300000000005</v>
      </c>
      <c r="DN32">
        <v>9.8817600000000005E-2</v>
      </c>
      <c r="DO32">
        <v>29.970400000000001</v>
      </c>
      <c r="DP32">
        <v>29.9377</v>
      </c>
      <c r="DQ32">
        <v>999.9</v>
      </c>
      <c r="DR32">
        <v>0</v>
      </c>
      <c r="DS32">
        <v>0</v>
      </c>
      <c r="DT32">
        <v>10015</v>
      </c>
      <c r="DU32">
        <v>0</v>
      </c>
      <c r="DV32">
        <v>269.14600000000002</v>
      </c>
      <c r="DW32">
        <v>-41.164099999999998</v>
      </c>
      <c r="DX32">
        <v>265.68200000000002</v>
      </c>
      <c r="DY32">
        <v>306.11500000000001</v>
      </c>
      <c r="DZ32">
        <v>5.8030200000000001</v>
      </c>
      <c r="EA32">
        <v>299.976</v>
      </c>
      <c r="EB32">
        <v>20.054300000000001</v>
      </c>
      <c r="EC32">
        <v>2.5629300000000002</v>
      </c>
      <c r="ED32">
        <v>1.9877499999999999</v>
      </c>
      <c r="EE32">
        <v>21.431799999999999</v>
      </c>
      <c r="EF32">
        <v>17.347100000000001</v>
      </c>
      <c r="EG32">
        <v>1799.92</v>
      </c>
      <c r="EH32">
        <v>0.97799800000000003</v>
      </c>
      <c r="EI32">
        <v>2.20021E-2</v>
      </c>
      <c r="EJ32">
        <v>0</v>
      </c>
      <c r="EK32">
        <v>685.91499999999996</v>
      </c>
      <c r="EL32">
        <v>9.9989999999999996E-2</v>
      </c>
      <c r="EM32">
        <v>12616.8</v>
      </c>
      <c r="EN32">
        <v>16704.5</v>
      </c>
      <c r="EO32">
        <v>47.375</v>
      </c>
      <c r="EP32">
        <v>49.311999999999998</v>
      </c>
      <c r="EQ32">
        <v>48.311999999999998</v>
      </c>
      <c r="ER32">
        <v>48.061999999999998</v>
      </c>
      <c r="ES32">
        <v>48.5</v>
      </c>
      <c r="ET32">
        <v>1760.22</v>
      </c>
      <c r="EU32">
        <v>39.6</v>
      </c>
      <c r="EV32">
        <v>0</v>
      </c>
      <c r="EW32">
        <v>142.79999995231631</v>
      </c>
      <c r="EX32">
        <v>0</v>
      </c>
      <c r="EY32">
        <v>685.54</v>
      </c>
      <c r="EZ32">
        <v>-6.2057692397712474</v>
      </c>
      <c r="FA32">
        <v>-44.546153761375727</v>
      </c>
      <c r="FB32">
        <v>12622.004000000001</v>
      </c>
      <c r="FC32">
        <v>15</v>
      </c>
      <c r="FD32">
        <v>1691166767.5999999</v>
      </c>
      <c r="FE32" t="s">
        <v>504</v>
      </c>
      <c r="FF32">
        <v>1691166755.0999999</v>
      </c>
      <c r="FG32">
        <v>1691166767.5999999</v>
      </c>
      <c r="FH32">
        <v>36</v>
      </c>
      <c r="FI32">
        <v>0.156</v>
      </c>
      <c r="FJ32">
        <v>7.0000000000000001E-3</v>
      </c>
      <c r="FK32">
        <v>-0.59799999999999998</v>
      </c>
      <c r="FL32">
        <v>0.129</v>
      </c>
      <c r="FM32">
        <v>300</v>
      </c>
      <c r="FN32">
        <v>20</v>
      </c>
      <c r="FO32">
        <v>0.12</v>
      </c>
      <c r="FP32">
        <v>0.05</v>
      </c>
      <c r="FQ32">
        <v>32.984448554410072</v>
      </c>
      <c r="FR32">
        <v>0.28032692224082068</v>
      </c>
      <c r="FS32">
        <v>6.9823745869608544E-2</v>
      </c>
      <c r="FT32">
        <v>1</v>
      </c>
      <c r="FU32">
        <v>0.30136632787834627</v>
      </c>
      <c r="FV32">
        <v>3.8195715446170717E-2</v>
      </c>
      <c r="FW32">
        <v>3.59959944165298E-3</v>
      </c>
      <c r="FX32">
        <v>1</v>
      </c>
      <c r="FY32">
        <v>2</v>
      </c>
      <c r="FZ32">
        <v>2</v>
      </c>
      <c r="GA32" t="s">
        <v>416</v>
      </c>
      <c r="GB32">
        <v>2.9670700000000001</v>
      </c>
      <c r="GC32">
        <v>2.8106399999999998</v>
      </c>
      <c r="GD32">
        <v>6.7488800000000002E-2</v>
      </c>
      <c r="GE32">
        <v>7.5377899999999998E-2</v>
      </c>
      <c r="GF32">
        <v>0.12453400000000001</v>
      </c>
      <c r="GG32">
        <v>0.103631</v>
      </c>
      <c r="GH32">
        <v>27427</v>
      </c>
      <c r="GI32">
        <v>25100.799999999999</v>
      </c>
      <c r="GJ32">
        <v>26446.2</v>
      </c>
      <c r="GK32">
        <v>25626.400000000001</v>
      </c>
      <c r="GL32">
        <v>31516.2</v>
      </c>
      <c r="GM32">
        <v>32432.5</v>
      </c>
      <c r="GN32">
        <v>37437.5</v>
      </c>
      <c r="GO32">
        <v>37998.6</v>
      </c>
      <c r="GP32">
        <v>1.9238999999999999</v>
      </c>
      <c r="GQ32">
        <v>1.8607</v>
      </c>
      <c r="GR32">
        <v>1.7210799999999998E-2</v>
      </c>
      <c r="GS32">
        <v>0</v>
      </c>
      <c r="GT32">
        <v>29.657499999999999</v>
      </c>
      <c r="GU32">
        <v>999.9</v>
      </c>
      <c r="GV32">
        <v>30.7</v>
      </c>
      <c r="GW32">
        <v>46.6</v>
      </c>
      <c r="GX32">
        <v>32.406399999999998</v>
      </c>
      <c r="GY32">
        <v>61.6768</v>
      </c>
      <c r="GZ32">
        <v>13.8141</v>
      </c>
      <c r="HA32">
        <v>1</v>
      </c>
      <c r="HB32">
        <v>0.58868900000000002</v>
      </c>
      <c r="HC32">
        <v>2.5697899999999998</v>
      </c>
      <c r="HD32">
        <v>20.2806</v>
      </c>
      <c r="HE32">
        <v>5.1975199999999999</v>
      </c>
      <c r="HF32">
        <v>11.9381</v>
      </c>
      <c r="HG32">
        <v>4.9836</v>
      </c>
      <c r="HH32">
        <v>3.2888000000000002</v>
      </c>
      <c r="HI32">
        <v>9999</v>
      </c>
      <c r="HJ32">
        <v>9999</v>
      </c>
      <c r="HK32">
        <v>9999</v>
      </c>
      <c r="HL32">
        <v>999.9</v>
      </c>
      <c r="HM32">
        <v>1.8711899999999999</v>
      </c>
      <c r="HN32">
        <v>1.87714</v>
      </c>
      <c r="HO32">
        <v>1.8748499999999999</v>
      </c>
      <c r="HP32">
        <v>1.8730599999999999</v>
      </c>
      <c r="HQ32">
        <v>1.8736299999999999</v>
      </c>
      <c r="HR32">
        <v>1.87103</v>
      </c>
      <c r="HS32">
        <v>1.87683</v>
      </c>
      <c r="HT32">
        <v>1.8760699999999999</v>
      </c>
      <c r="HU32">
        <v>5</v>
      </c>
      <c r="HV32">
        <v>0</v>
      </c>
      <c r="HW32">
        <v>0</v>
      </c>
      <c r="HX32">
        <v>0</v>
      </c>
      <c r="HY32" t="s">
        <v>417</v>
      </c>
      <c r="HZ32" t="s">
        <v>418</v>
      </c>
      <c r="IA32" t="s">
        <v>419</v>
      </c>
      <c r="IB32" t="s">
        <v>420</v>
      </c>
      <c r="IC32" t="s">
        <v>420</v>
      </c>
      <c r="ID32" t="s">
        <v>419</v>
      </c>
      <c r="IE32">
        <v>0</v>
      </c>
      <c r="IF32">
        <v>100</v>
      </c>
      <c r="IG32">
        <v>100</v>
      </c>
      <c r="IH32">
        <v>-0.56100000000000005</v>
      </c>
      <c r="II32">
        <v>0.32390000000000002</v>
      </c>
      <c r="IJ32">
        <v>-0.23454226685523391</v>
      </c>
      <c r="IK32">
        <v>-1.615681629159814E-3</v>
      </c>
      <c r="IL32">
        <v>1.5005605225991581E-6</v>
      </c>
      <c r="IM32">
        <v>-5.1143626075267638E-10</v>
      </c>
      <c r="IN32">
        <v>-0.18790562858968371</v>
      </c>
      <c r="IO32">
        <v>-1.7182111142928099E-3</v>
      </c>
      <c r="IP32">
        <v>9.9985895407488957E-4</v>
      </c>
      <c r="IQ32">
        <v>-5.7750407166627208E-6</v>
      </c>
      <c r="IR32">
        <v>3</v>
      </c>
      <c r="IS32">
        <v>2181</v>
      </c>
      <c r="IT32">
        <v>2</v>
      </c>
      <c r="IU32">
        <v>42</v>
      </c>
      <c r="IV32">
        <v>0.7</v>
      </c>
      <c r="IW32">
        <v>0.5</v>
      </c>
      <c r="IX32">
        <v>0.75195299999999998</v>
      </c>
      <c r="IY32">
        <v>2.5573700000000001</v>
      </c>
      <c r="IZ32">
        <v>1.5991200000000001</v>
      </c>
      <c r="JA32">
        <v>2.2741699999999998</v>
      </c>
      <c r="JB32">
        <v>1.5502899999999999</v>
      </c>
      <c r="JC32">
        <v>2.2997999999999998</v>
      </c>
      <c r="JD32">
        <v>51.198900000000002</v>
      </c>
      <c r="JE32">
        <v>15.235300000000001</v>
      </c>
      <c r="JF32">
        <v>18</v>
      </c>
      <c r="JG32">
        <v>501.80599999999998</v>
      </c>
      <c r="JH32">
        <v>430.98899999999998</v>
      </c>
      <c r="JI32">
        <v>25.727499999999999</v>
      </c>
      <c r="JJ32">
        <v>34.612699999999997</v>
      </c>
      <c r="JK32">
        <v>29.998699999999999</v>
      </c>
      <c r="JL32">
        <v>34.691899999999997</v>
      </c>
      <c r="JM32">
        <v>34.667999999999999</v>
      </c>
      <c r="JN32">
        <v>15.0817</v>
      </c>
      <c r="JO32">
        <v>42.111400000000003</v>
      </c>
      <c r="JP32">
        <v>0</v>
      </c>
      <c r="JQ32">
        <v>25.742699999999999</v>
      </c>
      <c r="JR32">
        <v>300</v>
      </c>
      <c r="JS32">
        <v>20.081199999999999</v>
      </c>
      <c r="JT32">
        <v>98.738399999999999</v>
      </c>
      <c r="JU32">
        <v>98.620800000000003</v>
      </c>
    </row>
    <row r="33" spans="1:281" x14ac:dyDescent="0.25">
      <c r="A33">
        <v>17</v>
      </c>
      <c r="B33">
        <v>1691166900.0999999</v>
      </c>
      <c r="C33">
        <v>7169.5</v>
      </c>
      <c r="D33" t="s">
        <v>505</v>
      </c>
      <c r="E33" t="s">
        <v>506</v>
      </c>
      <c r="F33" t="s">
        <v>411</v>
      </c>
      <c r="G33" t="s">
        <v>495</v>
      </c>
      <c r="H33" t="s">
        <v>496</v>
      </c>
      <c r="I33" t="s">
        <v>413</v>
      </c>
      <c r="J33">
        <v>1691166900.0999999</v>
      </c>
      <c r="K33">
        <f t="shared" si="0"/>
        <v>5.0842630938606002E-3</v>
      </c>
      <c r="L33">
        <f t="shared" si="1"/>
        <v>5.0842630938606002</v>
      </c>
      <c r="M33">
        <f t="shared" si="2"/>
        <v>22.928176225030185</v>
      </c>
      <c r="N33">
        <f t="shared" si="3"/>
        <v>171.43299999999999</v>
      </c>
      <c r="O33">
        <f t="shared" si="4"/>
        <v>44.000579939085917</v>
      </c>
      <c r="P33">
        <f t="shared" si="5"/>
        <v>4.3658259827217814</v>
      </c>
      <c r="Q33">
        <f t="shared" si="6"/>
        <v>17.009926840329996</v>
      </c>
      <c r="R33">
        <f t="shared" si="7"/>
        <v>0.30963545535529724</v>
      </c>
      <c r="S33">
        <f t="shared" si="8"/>
        <v>2.9062110684973885</v>
      </c>
      <c r="T33">
        <f t="shared" si="9"/>
        <v>0.29240608248754407</v>
      </c>
      <c r="U33">
        <f t="shared" si="10"/>
        <v>0.18422185432592242</v>
      </c>
      <c r="V33">
        <f t="shared" si="11"/>
        <v>289.58618701274065</v>
      </c>
      <c r="W33">
        <f t="shared" si="12"/>
        <v>30.471546496294188</v>
      </c>
      <c r="X33">
        <f t="shared" si="13"/>
        <v>29.977499999999999</v>
      </c>
      <c r="Y33">
        <f t="shared" si="14"/>
        <v>4.2549467455281951</v>
      </c>
      <c r="Z33">
        <f t="shared" si="15"/>
        <v>60.480693470721484</v>
      </c>
      <c r="AA33">
        <f t="shared" si="16"/>
        <v>2.5892082731509998</v>
      </c>
      <c r="AB33">
        <f t="shared" si="17"/>
        <v>4.2810492482273332</v>
      </c>
      <c r="AC33">
        <f t="shared" si="18"/>
        <v>1.6657384723771953</v>
      </c>
      <c r="AD33">
        <f t="shared" si="19"/>
        <v>-224.21600243925246</v>
      </c>
      <c r="AE33">
        <f t="shared" si="20"/>
        <v>16.686382844794601</v>
      </c>
      <c r="AF33">
        <f t="shared" si="21"/>
        <v>1.2770455100276545</v>
      </c>
      <c r="AG33">
        <f t="shared" si="22"/>
        <v>83.333612928310458</v>
      </c>
      <c r="AH33">
        <v>0</v>
      </c>
      <c r="AI33">
        <v>0</v>
      </c>
      <c r="AJ33">
        <f t="shared" si="23"/>
        <v>1</v>
      </c>
      <c r="AK33">
        <f t="shared" si="24"/>
        <v>0</v>
      </c>
      <c r="AL33">
        <f t="shared" si="25"/>
        <v>51655.315987191309</v>
      </c>
      <c r="AM33" t="s">
        <v>414</v>
      </c>
      <c r="AN33">
        <v>7361.72</v>
      </c>
      <c r="AO33">
        <v>541.39076923076925</v>
      </c>
      <c r="AP33">
        <v>2141.9899999999998</v>
      </c>
      <c r="AQ33">
        <f t="shared" si="26"/>
        <v>0.74724869433061347</v>
      </c>
      <c r="AR33">
        <v>-0.96077199609010144</v>
      </c>
      <c r="AS33" t="s">
        <v>507</v>
      </c>
      <c r="AT33">
        <v>7340.08</v>
      </c>
      <c r="AU33">
        <v>686.13940000000002</v>
      </c>
      <c r="AV33">
        <v>854.91731111322918</v>
      </c>
      <c r="AW33">
        <f t="shared" si="27"/>
        <v>0.19742015855715367</v>
      </c>
      <c r="AX33">
        <v>0.5</v>
      </c>
      <c r="AY33">
        <f t="shared" si="28"/>
        <v>1513.2555000066016</v>
      </c>
      <c r="AZ33">
        <f t="shared" si="29"/>
        <v>22.928176225030185</v>
      </c>
      <c r="BA33">
        <f t="shared" si="30"/>
        <v>149.37357037439406</v>
      </c>
      <c r="BB33">
        <f t="shared" si="31"/>
        <v>1.5786460528982763E-2</v>
      </c>
      <c r="BC33">
        <f t="shared" si="32"/>
        <v>1.5054937736736329</v>
      </c>
      <c r="BD33">
        <f t="shared" si="33"/>
        <v>392.16565302923846</v>
      </c>
      <c r="BE33" t="s">
        <v>508</v>
      </c>
      <c r="BF33">
        <v>551.14</v>
      </c>
      <c r="BG33">
        <f t="shared" si="34"/>
        <v>551.14</v>
      </c>
      <c r="BH33">
        <f t="shared" si="35"/>
        <v>0.3553294653931689</v>
      </c>
      <c r="BI33">
        <f t="shared" si="36"/>
        <v>0.55559748848497548</v>
      </c>
      <c r="BJ33">
        <f t="shared" si="37"/>
        <v>0.80904716905224927</v>
      </c>
      <c r="BK33">
        <f t="shared" si="38"/>
        <v>0.53832096670304697</v>
      </c>
      <c r="BL33">
        <f t="shared" si="39"/>
        <v>0.8041192724228774</v>
      </c>
      <c r="BM33">
        <f t="shared" si="40"/>
        <v>0.44628248983167179</v>
      </c>
      <c r="BN33">
        <f t="shared" si="41"/>
        <v>0.55371751016832826</v>
      </c>
      <c r="BO33">
        <v>1463</v>
      </c>
      <c r="BP33">
        <v>290.00000000000011</v>
      </c>
      <c r="BQ33">
        <v>804.76</v>
      </c>
      <c r="BR33">
        <v>275</v>
      </c>
      <c r="BS33">
        <v>7340.08</v>
      </c>
      <c r="BT33">
        <v>806.69</v>
      </c>
      <c r="BU33">
        <v>-1.93</v>
      </c>
      <c r="BV33">
        <v>300.00000000000011</v>
      </c>
      <c r="BW33">
        <v>37.9</v>
      </c>
      <c r="BX33">
        <v>854.91731111322918</v>
      </c>
      <c r="BY33">
        <v>1.288824777344356</v>
      </c>
      <c r="BZ33">
        <v>-35.398373716023528</v>
      </c>
      <c r="CA33">
        <v>0.79304918277090086</v>
      </c>
      <c r="CB33">
        <v>0.98614103851970225</v>
      </c>
      <c r="CC33">
        <v>-7.2305350389321524E-3</v>
      </c>
      <c r="CD33">
        <v>289.99999999999989</v>
      </c>
      <c r="CE33">
        <v>806.88</v>
      </c>
      <c r="CF33">
        <v>635</v>
      </c>
      <c r="CG33">
        <v>7336.05</v>
      </c>
      <c r="CH33">
        <v>806.66</v>
      </c>
      <c r="CI33">
        <v>0.22</v>
      </c>
      <c r="CW33">
        <f t="shared" si="42"/>
        <v>1800.08</v>
      </c>
      <c r="CX33">
        <f t="shared" si="43"/>
        <v>1513.2555000066016</v>
      </c>
      <c r="CY33">
        <f t="shared" si="44"/>
        <v>0.84066013733089728</v>
      </c>
      <c r="CZ33">
        <f t="shared" si="45"/>
        <v>0.16087406504863155</v>
      </c>
      <c r="DA33">
        <v>6</v>
      </c>
      <c r="DB33">
        <v>0.5</v>
      </c>
      <c r="DC33" t="s">
        <v>415</v>
      </c>
      <c r="DD33">
        <v>2</v>
      </c>
      <c r="DE33">
        <v>1691166900.0999999</v>
      </c>
      <c r="DF33">
        <v>171.43299999999999</v>
      </c>
      <c r="DG33">
        <v>199.99799999999999</v>
      </c>
      <c r="DH33">
        <v>26.095099999999999</v>
      </c>
      <c r="DI33">
        <v>20.152100000000001</v>
      </c>
      <c r="DJ33">
        <v>171.95099999999999</v>
      </c>
      <c r="DK33">
        <v>25.7591</v>
      </c>
      <c r="DL33">
        <v>499.90800000000002</v>
      </c>
      <c r="DM33">
        <v>99.121600000000001</v>
      </c>
      <c r="DN33">
        <v>0.10041</v>
      </c>
      <c r="DO33">
        <v>30.084</v>
      </c>
      <c r="DP33">
        <v>29.977499999999999</v>
      </c>
      <c r="DQ33">
        <v>999.9</v>
      </c>
      <c r="DR33">
        <v>0</v>
      </c>
      <c r="DS33">
        <v>0</v>
      </c>
      <c r="DT33">
        <v>9955</v>
      </c>
      <c r="DU33">
        <v>0</v>
      </c>
      <c r="DV33">
        <v>301.41899999999998</v>
      </c>
      <c r="DW33">
        <v>-28.564900000000002</v>
      </c>
      <c r="DX33">
        <v>176.02699999999999</v>
      </c>
      <c r="DY33">
        <v>204.11099999999999</v>
      </c>
      <c r="DZ33">
        <v>5.9430399999999999</v>
      </c>
      <c r="EA33">
        <v>199.99799999999999</v>
      </c>
      <c r="EB33">
        <v>20.152100000000001</v>
      </c>
      <c r="EC33">
        <v>2.5865900000000002</v>
      </c>
      <c r="ED33">
        <v>1.9975099999999999</v>
      </c>
      <c r="EE33">
        <v>21.581900000000001</v>
      </c>
      <c r="EF33">
        <v>17.424600000000002</v>
      </c>
      <c r="EG33">
        <v>1800.08</v>
      </c>
      <c r="EH33">
        <v>0.97799400000000003</v>
      </c>
      <c r="EI33">
        <v>2.20056E-2</v>
      </c>
      <c r="EJ33">
        <v>0</v>
      </c>
      <c r="EK33">
        <v>681.75</v>
      </c>
      <c r="EL33">
        <v>9.9989999999999996E-2</v>
      </c>
      <c r="EM33">
        <v>12628</v>
      </c>
      <c r="EN33">
        <v>16706</v>
      </c>
      <c r="EO33">
        <v>47</v>
      </c>
      <c r="EP33">
        <v>48.561999999999998</v>
      </c>
      <c r="EQ33">
        <v>47.875</v>
      </c>
      <c r="ER33">
        <v>47.375</v>
      </c>
      <c r="ES33">
        <v>48.125</v>
      </c>
      <c r="ET33">
        <v>1760.37</v>
      </c>
      <c r="EU33">
        <v>39.61</v>
      </c>
      <c r="EV33">
        <v>0</v>
      </c>
      <c r="EW33">
        <v>98.399999856948853</v>
      </c>
      <c r="EX33">
        <v>0</v>
      </c>
      <c r="EY33">
        <v>686.13940000000002</v>
      </c>
      <c r="EZ33">
        <v>-4.1338460948060636</v>
      </c>
      <c r="FA33">
        <v>-83.738461735720364</v>
      </c>
      <c r="FB33">
        <v>12634.848</v>
      </c>
      <c r="FC33">
        <v>15</v>
      </c>
      <c r="FD33">
        <v>1691166871.5999999</v>
      </c>
      <c r="FE33" t="s">
        <v>509</v>
      </c>
      <c r="FF33">
        <v>1691166858.0999999</v>
      </c>
      <c r="FG33">
        <v>1691166871.5999999</v>
      </c>
      <c r="FH33">
        <v>37</v>
      </c>
      <c r="FI33">
        <v>-4.7E-2</v>
      </c>
      <c r="FJ33">
        <v>3.0000000000000001E-3</v>
      </c>
      <c r="FK33">
        <v>-0.54900000000000004</v>
      </c>
      <c r="FL33">
        <v>0.13300000000000001</v>
      </c>
      <c r="FM33">
        <v>200</v>
      </c>
      <c r="FN33">
        <v>20</v>
      </c>
      <c r="FO33">
        <v>0.17</v>
      </c>
      <c r="FP33">
        <v>0.03</v>
      </c>
      <c r="FQ33">
        <v>22.80997710673325</v>
      </c>
      <c r="FR33">
        <v>0.4246287584424967</v>
      </c>
      <c r="FS33">
        <v>8.4933258584656765E-2</v>
      </c>
      <c r="FT33">
        <v>1</v>
      </c>
      <c r="FU33">
        <v>0.30731117123711998</v>
      </c>
      <c r="FV33">
        <v>3.436325281522852E-2</v>
      </c>
      <c r="FW33">
        <v>3.054889924918331E-3</v>
      </c>
      <c r="FX33">
        <v>1</v>
      </c>
      <c r="FY33">
        <v>2</v>
      </c>
      <c r="FZ33">
        <v>2</v>
      </c>
      <c r="GA33" t="s">
        <v>416</v>
      </c>
      <c r="GB33">
        <v>2.96732</v>
      </c>
      <c r="GC33">
        <v>2.8117100000000002</v>
      </c>
      <c r="GD33">
        <v>4.7010400000000001E-2</v>
      </c>
      <c r="GE33">
        <v>5.3259800000000003E-2</v>
      </c>
      <c r="GF33">
        <v>0.12537599999999999</v>
      </c>
      <c r="GG33">
        <v>0.104045</v>
      </c>
      <c r="GH33">
        <v>28042.5</v>
      </c>
      <c r="GI33">
        <v>25716.6</v>
      </c>
      <c r="GJ33">
        <v>26457.7</v>
      </c>
      <c r="GK33">
        <v>25640.2</v>
      </c>
      <c r="GL33">
        <v>31496.400000000001</v>
      </c>
      <c r="GM33">
        <v>32431.200000000001</v>
      </c>
      <c r="GN33">
        <v>37454</v>
      </c>
      <c r="GO33">
        <v>38016.9</v>
      </c>
      <c r="GP33">
        <v>1.9272</v>
      </c>
      <c r="GQ33">
        <v>1.8632</v>
      </c>
      <c r="GR33">
        <v>4.0143699999999997E-2</v>
      </c>
      <c r="GS33">
        <v>0</v>
      </c>
      <c r="GT33">
        <v>29.323799999999999</v>
      </c>
      <c r="GU33">
        <v>999.9</v>
      </c>
      <c r="GV33">
        <v>30.4</v>
      </c>
      <c r="GW33">
        <v>46.6</v>
      </c>
      <c r="GX33">
        <v>32.088799999999999</v>
      </c>
      <c r="GY33">
        <v>61.716799999999999</v>
      </c>
      <c r="GZ33">
        <v>13.5136</v>
      </c>
      <c r="HA33">
        <v>1</v>
      </c>
      <c r="HB33">
        <v>0.56440000000000001</v>
      </c>
      <c r="HC33">
        <v>2.48698</v>
      </c>
      <c r="HD33">
        <v>20.2837</v>
      </c>
      <c r="HE33">
        <v>5.2088999999999999</v>
      </c>
      <c r="HF33">
        <v>11.9381</v>
      </c>
      <c r="HG33">
        <v>4.9863999999999997</v>
      </c>
      <c r="HH33">
        <v>3.2909999999999999</v>
      </c>
      <c r="HI33">
        <v>9999</v>
      </c>
      <c r="HJ33">
        <v>9999</v>
      </c>
      <c r="HK33">
        <v>9999</v>
      </c>
      <c r="HL33">
        <v>999.9</v>
      </c>
      <c r="HM33">
        <v>1.87113</v>
      </c>
      <c r="HN33">
        <v>1.87703</v>
      </c>
      <c r="HO33">
        <v>1.8748499999999999</v>
      </c>
      <c r="HP33">
        <v>1.8730199999999999</v>
      </c>
      <c r="HQ33">
        <v>1.8736299999999999</v>
      </c>
      <c r="HR33">
        <v>1.871</v>
      </c>
      <c r="HS33">
        <v>1.87683</v>
      </c>
      <c r="HT33">
        <v>1.8760699999999999</v>
      </c>
      <c r="HU33">
        <v>5</v>
      </c>
      <c r="HV33">
        <v>0</v>
      </c>
      <c r="HW33">
        <v>0</v>
      </c>
      <c r="HX33">
        <v>0</v>
      </c>
      <c r="HY33" t="s">
        <v>417</v>
      </c>
      <c r="HZ33" t="s">
        <v>418</v>
      </c>
      <c r="IA33" t="s">
        <v>419</v>
      </c>
      <c r="IB33" t="s">
        <v>420</v>
      </c>
      <c r="IC33" t="s">
        <v>420</v>
      </c>
      <c r="ID33" t="s">
        <v>419</v>
      </c>
      <c r="IE33">
        <v>0</v>
      </c>
      <c r="IF33">
        <v>100</v>
      </c>
      <c r="IG33">
        <v>100</v>
      </c>
      <c r="IH33">
        <v>-0.51800000000000002</v>
      </c>
      <c r="II33">
        <v>0.33600000000000002</v>
      </c>
      <c r="IJ33">
        <v>-0.28146247857057632</v>
      </c>
      <c r="IK33">
        <v>-1.615681629159814E-3</v>
      </c>
      <c r="IL33">
        <v>1.5005605225991581E-6</v>
      </c>
      <c r="IM33">
        <v>-5.1143626075267638E-10</v>
      </c>
      <c r="IN33">
        <v>-0.18447779934208369</v>
      </c>
      <c r="IO33">
        <v>-1.7182111142928099E-3</v>
      </c>
      <c r="IP33">
        <v>9.9985895407488957E-4</v>
      </c>
      <c r="IQ33">
        <v>-5.7750407166627208E-6</v>
      </c>
      <c r="IR33">
        <v>3</v>
      </c>
      <c r="IS33">
        <v>2181</v>
      </c>
      <c r="IT33">
        <v>2</v>
      </c>
      <c r="IU33">
        <v>42</v>
      </c>
      <c r="IV33">
        <v>0.7</v>
      </c>
      <c r="IW33">
        <v>0.5</v>
      </c>
      <c r="IX33">
        <v>0.55175799999999997</v>
      </c>
      <c r="IY33">
        <v>2.5598100000000001</v>
      </c>
      <c r="IZ33">
        <v>1.5991200000000001</v>
      </c>
      <c r="JA33">
        <v>2.2741699999999998</v>
      </c>
      <c r="JB33">
        <v>1.5502899999999999</v>
      </c>
      <c r="JC33">
        <v>2.4365199999999998</v>
      </c>
      <c r="JD33">
        <v>50.836399999999998</v>
      </c>
      <c r="JE33">
        <v>15.235300000000001</v>
      </c>
      <c r="JF33">
        <v>18</v>
      </c>
      <c r="JG33">
        <v>502.36500000000001</v>
      </c>
      <c r="JH33">
        <v>431.101</v>
      </c>
      <c r="JI33">
        <v>26.098099999999999</v>
      </c>
      <c r="JJ33">
        <v>34.347299999999997</v>
      </c>
      <c r="JK33">
        <v>29.998799999999999</v>
      </c>
      <c r="JL33">
        <v>34.482399999999998</v>
      </c>
      <c r="JM33">
        <v>34.461199999999998</v>
      </c>
      <c r="JN33">
        <v>11.0732</v>
      </c>
      <c r="JO33">
        <v>42.110799999999998</v>
      </c>
      <c r="JP33">
        <v>0</v>
      </c>
      <c r="JQ33">
        <v>26.103999999999999</v>
      </c>
      <c r="JR33">
        <v>200</v>
      </c>
      <c r="JS33">
        <v>20.0107</v>
      </c>
      <c r="JT33">
        <v>98.781700000000001</v>
      </c>
      <c r="JU33">
        <v>98.670599999999993</v>
      </c>
    </row>
    <row r="34" spans="1:281" x14ac:dyDescent="0.25">
      <c r="A34">
        <v>18</v>
      </c>
      <c r="B34">
        <v>1691167049.5999999</v>
      </c>
      <c r="C34">
        <v>7319</v>
      </c>
      <c r="D34" t="s">
        <v>510</v>
      </c>
      <c r="E34" t="s">
        <v>511</v>
      </c>
      <c r="F34" t="s">
        <v>411</v>
      </c>
      <c r="G34" t="s">
        <v>495</v>
      </c>
      <c r="H34" t="s">
        <v>496</v>
      </c>
      <c r="I34" t="s">
        <v>413</v>
      </c>
      <c r="J34">
        <v>1691167049.5999999</v>
      </c>
      <c r="K34">
        <f t="shared" si="0"/>
        <v>5.8849347490981417E-3</v>
      </c>
      <c r="L34">
        <f t="shared" si="1"/>
        <v>5.8849347490981421</v>
      </c>
      <c r="M34">
        <f t="shared" si="2"/>
        <v>15.315007713970823</v>
      </c>
      <c r="N34">
        <f t="shared" si="3"/>
        <v>100.979</v>
      </c>
      <c r="O34">
        <f t="shared" si="4"/>
        <v>28.265259136020699</v>
      </c>
      <c r="P34">
        <f t="shared" si="5"/>
        <v>2.8046042548392056</v>
      </c>
      <c r="Q34">
        <f t="shared" si="6"/>
        <v>10.019583817949</v>
      </c>
      <c r="R34">
        <f t="shared" si="7"/>
        <v>0.36596630636967487</v>
      </c>
      <c r="S34">
        <f t="shared" si="8"/>
        <v>2.9044964901405033</v>
      </c>
      <c r="T34">
        <f t="shared" si="9"/>
        <v>0.34214329943121258</v>
      </c>
      <c r="U34">
        <f t="shared" si="10"/>
        <v>0.21585060187161159</v>
      </c>
      <c r="V34">
        <f t="shared" si="11"/>
        <v>289.5845910127407</v>
      </c>
      <c r="W34">
        <f t="shared" si="12"/>
        <v>30.327693794995376</v>
      </c>
      <c r="X34">
        <f t="shared" si="13"/>
        <v>29.989699999999999</v>
      </c>
      <c r="Y34">
        <f t="shared" si="14"/>
        <v>4.2579298396800676</v>
      </c>
      <c r="Z34">
        <f t="shared" si="15"/>
        <v>60.745342786146381</v>
      </c>
      <c r="AA34">
        <f t="shared" si="16"/>
        <v>2.6103169512032003</v>
      </c>
      <c r="AB34">
        <f t="shared" si="17"/>
        <v>4.297147454402892</v>
      </c>
      <c r="AC34">
        <f t="shared" si="18"/>
        <v>1.6476128884768673</v>
      </c>
      <c r="AD34">
        <f t="shared" si="19"/>
        <v>-259.52562243522806</v>
      </c>
      <c r="AE34">
        <f t="shared" si="20"/>
        <v>25.006978199799967</v>
      </c>
      <c r="AF34">
        <f t="shared" si="21"/>
        <v>1.915704457871346</v>
      </c>
      <c r="AG34">
        <f t="shared" si="22"/>
        <v>56.981651235183968</v>
      </c>
      <c r="AH34">
        <v>0</v>
      </c>
      <c r="AI34">
        <v>0</v>
      </c>
      <c r="AJ34">
        <f t="shared" si="23"/>
        <v>1</v>
      </c>
      <c r="AK34">
        <f t="shared" si="24"/>
        <v>0</v>
      </c>
      <c r="AL34">
        <f t="shared" si="25"/>
        <v>51595.548420129555</v>
      </c>
      <c r="AM34" t="s">
        <v>414</v>
      </c>
      <c r="AN34">
        <v>7361.72</v>
      </c>
      <c r="AO34">
        <v>541.39076923076925</v>
      </c>
      <c r="AP34">
        <v>2141.9899999999998</v>
      </c>
      <c r="AQ34">
        <f t="shared" si="26"/>
        <v>0.74724869433061347</v>
      </c>
      <c r="AR34">
        <v>-0.96077199609010144</v>
      </c>
      <c r="AS34" t="s">
        <v>512</v>
      </c>
      <c r="AT34">
        <v>7339.84</v>
      </c>
      <c r="AU34">
        <v>692.55100000000004</v>
      </c>
      <c r="AV34">
        <v>802.90640054374967</v>
      </c>
      <c r="AW34">
        <f t="shared" si="27"/>
        <v>0.13744491321655172</v>
      </c>
      <c r="AX34">
        <v>0.5</v>
      </c>
      <c r="AY34">
        <f t="shared" si="28"/>
        <v>1513.2471000066014</v>
      </c>
      <c r="AZ34">
        <f t="shared" si="29"/>
        <v>15.315007713970823</v>
      </c>
      <c r="BA34">
        <f t="shared" si="30"/>
        <v>103.99405816780295</v>
      </c>
      <c r="BB34">
        <f t="shared" si="31"/>
        <v>1.075553338908756E-2</v>
      </c>
      <c r="BC34">
        <f t="shared" si="32"/>
        <v>1.6677953975075885</v>
      </c>
      <c r="BD34">
        <f t="shared" si="33"/>
        <v>380.84875201918754</v>
      </c>
      <c r="BE34" t="s">
        <v>513</v>
      </c>
      <c r="BF34">
        <v>558.89</v>
      </c>
      <c r="BG34">
        <f t="shared" si="34"/>
        <v>558.89</v>
      </c>
      <c r="BH34">
        <f t="shared" si="35"/>
        <v>0.30391637229258017</v>
      </c>
      <c r="BI34">
        <f t="shared" si="36"/>
        <v>0.45224583387772749</v>
      </c>
      <c r="BJ34">
        <f t="shared" si="37"/>
        <v>0.84586166348067093</v>
      </c>
      <c r="BK34">
        <f t="shared" si="38"/>
        <v>0.42198395556584117</v>
      </c>
      <c r="BL34">
        <f t="shared" si="39"/>
        <v>0.83661392165776638</v>
      </c>
      <c r="BM34">
        <f t="shared" si="40"/>
        <v>0.36496326493777798</v>
      </c>
      <c r="BN34">
        <f t="shared" si="41"/>
        <v>0.63503673506222202</v>
      </c>
      <c r="BO34">
        <v>1465</v>
      </c>
      <c r="BP34">
        <v>290.00000000000011</v>
      </c>
      <c r="BQ34">
        <v>771.97</v>
      </c>
      <c r="BR34">
        <v>285</v>
      </c>
      <c r="BS34">
        <v>7339.84</v>
      </c>
      <c r="BT34">
        <v>771.93</v>
      </c>
      <c r="BU34">
        <v>0.04</v>
      </c>
      <c r="BV34">
        <v>300.00000000000011</v>
      </c>
      <c r="BW34">
        <v>37.9</v>
      </c>
      <c r="BX34">
        <v>802.90640054374967</v>
      </c>
      <c r="BY34">
        <v>1.1013484089895289</v>
      </c>
      <c r="BZ34">
        <v>-22.73701442044559</v>
      </c>
      <c r="CA34">
        <v>0.67770779856581487</v>
      </c>
      <c r="CB34">
        <v>0.97572803665730534</v>
      </c>
      <c r="CC34">
        <v>-7.2309688542825474E-3</v>
      </c>
      <c r="CD34">
        <v>289.99999999999989</v>
      </c>
      <c r="CE34">
        <v>770.6</v>
      </c>
      <c r="CF34">
        <v>735</v>
      </c>
      <c r="CG34">
        <v>7333.04</v>
      </c>
      <c r="CH34">
        <v>771.9</v>
      </c>
      <c r="CI34">
        <v>-1.3</v>
      </c>
      <c r="CW34">
        <f t="shared" si="42"/>
        <v>1800.07</v>
      </c>
      <c r="CX34">
        <f t="shared" si="43"/>
        <v>1513.2471000066014</v>
      </c>
      <c r="CY34">
        <f t="shared" si="44"/>
        <v>0.8406601409981842</v>
      </c>
      <c r="CZ34">
        <f t="shared" si="45"/>
        <v>0.16087407212649549</v>
      </c>
      <c r="DA34">
        <v>6</v>
      </c>
      <c r="DB34">
        <v>0.5</v>
      </c>
      <c r="DC34" t="s">
        <v>415</v>
      </c>
      <c r="DD34">
        <v>2</v>
      </c>
      <c r="DE34">
        <v>1691167049.5999999</v>
      </c>
      <c r="DF34">
        <v>100.979</v>
      </c>
      <c r="DG34">
        <v>120.065</v>
      </c>
      <c r="DH34">
        <v>26.307200000000002</v>
      </c>
      <c r="DI34">
        <v>19.4329</v>
      </c>
      <c r="DJ34">
        <v>101.36199999999999</v>
      </c>
      <c r="DK34">
        <v>25.959499999999998</v>
      </c>
      <c r="DL34">
        <v>500.13400000000001</v>
      </c>
      <c r="DM34">
        <v>99.123900000000006</v>
      </c>
      <c r="DN34">
        <v>0.100531</v>
      </c>
      <c r="DO34">
        <v>30.1494</v>
      </c>
      <c r="DP34">
        <v>29.989699999999999</v>
      </c>
      <c r="DQ34">
        <v>999.9</v>
      </c>
      <c r="DR34">
        <v>0</v>
      </c>
      <c r="DS34">
        <v>0</v>
      </c>
      <c r="DT34">
        <v>9945</v>
      </c>
      <c r="DU34">
        <v>0</v>
      </c>
      <c r="DV34">
        <v>341.69299999999998</v>
      </c>
      <c r="DW34">
        <v>-19.085999999999999</v>
      </c>
      <c r="DX34">
        <v>103.70699999999999</v>
      </c>
      <c r="DY34">
        <v>122.444</v>
      </c>
      <c r="DZ34">
        <v>6.8743299999999996</v>
      </c>
      <c r="EA34">
        <v>120.065</v>
      </c>
      <c r="EB34">
        <v>19.4329</v>
      </c>
      <c r="EC34">
        <v>2.6076700000000002</v>
      </c>
      <c r="ED34">
        <v>1.9262600000000001</v>
      </c>
      <c r="EE34">
        <v>21.714600000000001</v>
      </c>
      <c r="EF34">
        <v>16.850899999999999</v>
      </c>
      <c r="EG34">
        <v>1800.07</v>
      </c>
      <c r="EH34">
        <v>0.97799400000000003</v>
      </c>
      <c r="EI34">
        <v>2.20056E-2</v>
      </c>
      <c r="EJ34">
        <v>0</v>
      </c>
      <c r="EK34">
        <v>694.38</v>
      </c>
      <c r="EL34">
        <v>9.9989999999999996E-2</v>
      </c>
      <c r="EM34">
        <v>12779.7</v>
      </c>
      <c r="EN34">
        <v>16705.900000000001</v>
      </c>
      <c r="EO34">
        <v>46.875</v>
      </c>
      <c r="EP34">
        <v>48.25</v>
      </c>
      <c r="EQ34">
        <v>47.75</v>
      </c>
      <c r="ER34">
        <v>47.25</v>
      </c>
      <c r="ES34">
        <v>48.061999999999998</v>
      </c>
      <c r="ET34">
        <v>1760.36</v>
      </c>
      <c r="EU34">
        <v>39.61</v>
      </c>
      <c r="EV34">
        <v>0</v>
      </c>
      <c r="EW34">
        <v>147.20000004768369</v>
      </c>
      <c r="EX34">
        <v>0</v>
      </c>
      <c r="EY34">
        <v>692.55100000000004</v>
      </c>
      <c r="EZ34">
        <v>1.413846145797927</v>
      </c>
      <c r="FA34">
        <v>-47.038461470454173</v>
      </c>
      <c r="FB34">
        <v>12783.284</v>
      </c>
      <c r="FC34">
        <v>15</v>
      </c>
      <c r="FD34">
        <v>1691167021.5999999</v>
      </c>
      <c r="FE34" t="s">
        <v>514</v>
      </c>
      <c r="FF34">
        <v>1691167012.5999999</v>
      </c>
      <c r="FG34">
        <v>1691167021.5999999</v>
      </c>
      <c r="FH34">
        <v>38</v>
      </c>
      <c r="FI34">
        <v>4.7E-2</v>
      </c>
      <c r="FJ34">
        <v>4.0000000000000001E-3</v>
      </c>
      <c r="FK34">
        <v>-0.40899999999999997</v>
      </c>
      <c r="FL34">
        <v>0.123</v>
      </c>
      <c r="FM34">
        <v>120</v>
      </c>
      <c r="FN34">
        <v>20</v>
      </c>
      <c r="FO34">
        <v>0.24</v>
      </c>
      <c r="FP34">
        <v>0.05</v>
      </c>
      <c r="FQ34">
        <v>15.24412490387985</v>
      </c>
      <c r="FR34">
        <v>-0.19759643924589071</v>
      </c>
      <c r="FS34">
        <v>6.6782333165872301E-2</v>
      </c>
      <c r="FT34">
        <v>1</v>
      </c>
      <c r="FU34">
        <v>0.36099216038109599</v>
      </c>
      <c r="FV34">
        <v>2.9970261180015809E-2</v>
      </c>
      <c r="FW34">
        <v>3.0368298292161849E-3</v>
      </c>
      <c r="FX34">
        <v>1</v>
      </c>
      <c r="FY34">
        <v>2</v>
      </c>
      <c r="FZ34">
        <v>2</v>
      </c>
      <c r="GA34" t="s">
        <v>416</v>
      </c>
      <c r="GB34">
        <v>2.9683299999999999</v>
      </c>
      <c r="GC34">
        <v>2.81176</v>
      </c>
      <c r="GD34">
        <v>2.8643700000000001E-2</v>
      </c>
      <c r="GE34">
        <v>3.3288199999999997E-2</v>
      </c>
      <c r="GF34">
        <v>0.12618099999999999</v>
      </c>
      <c r="GG34">
        <v>0.10147299999999999</v>
      </c>
      <c r="GH34">
        <v>28603.4</v>
      </c>
      <c r="GI34">
        <v>26285.8</v>
      </c>
      <c r="GJ34">
        <v>26475.1</v>
      </c>
      <c r="GK34">
        <v>25664.3</v>
      </c>
      <c r="GL34">
        <v>31484.2</v>
      </c>
      <c r="GM34">
        <v>32550.400000000001</v>
      </c>
      <c r="GN34">
        <v>37479.5</v>
      </c>
      <c r="GO34">
        <v>38049.699999999997</v>
      </c>
      <c r="GP34">
        <v>1.9339999999999999</v>
      </c>
      <c r="GQ34">
        <v>1.8675999999999999</v>
      </c>
      <c r="GR34">
        <v>5.0216900000000002E-2</v>
      </c>
      <c r="GS34">
        <v>0</v>
      </c>
      <c r="GT34">
        <v>29.171900000000001</v>
      </c>
      <c r="GU34">
        <v>999.9</v>
      </c>
      <c r="GV34">
        <v>30.1</v>
      </c>
      <c r="GW34">
        <v>46.6</v>
      </c>
      <c r="GX34">
        <v>31.772600000000001</v>
      </c>
      <c r="GY34">
        <v>61.306800000000003</v>
      </c>
      <c r="GZ34">
        <v>13.597799999999999</v>
      </c>
      <c r="HA34">
        <v>1</v>
      </c>
      <c r="HB34">
        <v>0.52320100000000003</v>
      </c>
      <c r="HC34">
        <v>2.4201700000000002</v>
      </c>
      <c r="HD34">
        <v>20.285499999999999</v>
      </c>
      <c r="HE34">
        <v>5.2071100000000001</v>
      </c>
      <c r="HF34">
        <v>11.9381</v>
      </c>
      <c r="HG34">
        <v>4.9867999999999997</v>
      </c>
      <c r="HH34">
        <v>3.2909999999999999</v>
      </c>
      <c r="HI34">
        <v>9999</v>
      </c>
      <c r="HJ34">
        <v>9999</v>
      </c>
      <c r="HK34">
        <v>9999</v>
      </c>
      <c r="HL34">
        <v>999.9</v>
      </c>
      <c r="HM34">
        <v>1.87103</v>
      </c>
      <c r="HN34">
        <v>1.8769800000000001</v>
      </c>
      <c r="HO34">
        <v>1.8748499999999999</v>
      </c>
      <c r="HP34">
        <v>1.8730199999999999</v>
      </c>
      <c r="HQ34">
        <v>1.8735299999999999</v>
      </c>
      <c r="HR34">
        <v>1.8709199999999999</v>
      </c>
      <c r="HS34">
        <v>1.8768</v>
      </c>
      <c r="HT34">
        <v>1.87602</v>
      </c>
      <c r="HU34">
        <v>5</v>
      </c>
      <c r="HV34">
        <v>0</v>
      </c>
      <c r="HW34">
        <v>0</v>
      </c>
      <c r="HX34">
        <v>0</v>
      </c>
      <c r="HY34" t="s">
        <v>417</v>
      </c>
      <c r="HZ34" t="s">
        <v>418</v>
      </c>
      <c r="IA34" t="s">
        <v>419</v>
      </c>
      <c r="IB34" t="s">
        <v>420</v>
      </c>
      <c r="IC34" t="s">
        <v>420</v>
      </c>
      <c r="ID34" t="s">
        <v>419</v>
      </c>
      <c r="IE34">
        <v>0</v>
      </c>
      <c r="IF34">
        <v>100</v>
      </c>
      <c r="IG34">
        <v>100</v>
      </c>
      <c r="IH34">
        <v>-0.38300000000000001</v>
      </c>
      <c r="II34">
        <v>0.34770000000000001</v>
      </c>
      <c r="IJ34">
        <v>-0.23488051937748089</v>
      </c>
      <c r="IK34">
        <v>-1.615681629159814E-3</v>
      </c>
      <c r="IL34">
        <v>1.5005605225991581E-6</v>
      </c>
      <c r="IM34">
        <v>-5.1143626075267638E-10</v>
      </c>
      <c r="IN34">
        <v>-0.18048229434962851</v>
      </c>
      <c r="IO34">
        <v>-1.7182111142928099E-3</v>
      </c>
      <c r="IP34">
        <v>9.9985895407488957E-4</v>
      </c>
      <c r="IQ34">
        <v>-5.7750407166627208E-6</v>
      </c>
      <c r="IR34">
        <v>3</v>
      </c>
      <c r="IS34">
        <v>2181</v>
      </c>
      <c r="IT34">
        <v>2</v>
      </c>
      <c r="IU34">
        <v>42</v>
      </c>
      <c r="IV34">
        <v>0.6</v>
      </c>
      <c r="IW34">
        <v>0.5</v>
      </c>
      <c r="IX34">
        <v>0.38574199999999997</v>
      </c>
      <c r="IY34">
        <v>2.5744600000000002</v>
      </c>
      <c r="IZ34">
        <v>1.5991200000000001</v>
      </c>
      <c r="JA34">
        <v>2.2729499999999998</v>
      </c>
      <c r="JB34">
        <v>1.5502899999999999</v>
      </c>
      <c r="JC34">
        <v>2.3913600000000002</v>
      </c>
      <c r="JD34">
        <v>50.347900000000003</v>
      </c>
      <c r="JE34">
        <v>15.2003</v>
      </c>
      <c r="JF34">
        <v>18</v>
      </c>
      <c r="JG34">
        <v>503.76799999999997</v>
      </c>
      <c r="JH34">
        <v>431.14699999999999</v>
      </c>
      <c r="JI34">
        <v>26.2484</v>
      </c>
      <c r="JJ34">
        <v>33.898699999999998</v>
      </c>
      <c r="JK34">
        <v>29.998999999999999</v>
      </c>
      <c r="JL34">
        <v>34.087699999999998</v>
      </c>
      <c r="JM34">
        <v>34.077500000000001</v>
      </c>
      <c r="JN34">
        <v>7.7728299999999999</v>
      </c>
      <c r="JO34">
        <v>43.218699999999998</v>
      </c>
      <c r="JP34">
        <v>0</v>
      </c>
      <c r="JQ34">
        <v>26.2424</v>
      </c>
      <c r="JR34">
        <v>120</v>
      </c>
      <c r="JS34">
        <v>19.372</v>
      </c>
      <c r="JT34">
        <v>98.847999999999999</v>
      </c>
      <c r="JU34">
        <v>98.758700000000005</v>
      </c>
    </row>
    <row r="35" spans="1:281" x14ac:dyDescent="0.25">
      <c r="A35">
        <v>19</v>
      </c>
      <c r="B35">
        <v>1691167178.5999999</v>
      </c>
      <c r="C35">
        <v>7448</v>
      </c>
      <c r="D35" t="s">
        <v>515</v>
      </c>
      <c r="E35" t="s">
        <v>516</v>
      </c>
      <c r="F35" t="s">
        <v>411</v>
      </c>
      <c r="G35" t="s">
        <v>495</v>
      </c>
      <c r="H35" t="s">
        <v>496</v>
      </c>
      <c r="I35" t="s">
        <v>413</v>
      </c>
      <c r="J35">
        <v>1691167178.5999999</v>
      </c>
      <c r="K35">
        <f t="shared" ref="K35:K66" si="46">(L35)/1000</f>
        <v>6.2595524183209012E-3</v>
      </c>
      <c r="L35">
        <f t="shared" ref="L35:L66" si="47">1000*DL35*AJ35*(DH35-DI35)/(100*DA35*(1000-AJ35*DH35))</f>
        <v>6.2595524183209008</v>
      </c>
      <c r="M35">
        <f t="shared" ref="M35:M66" si="48">DL35*AJ35*(DG35-DF35*(1000-AJ35*DI35)/(1000-AJ35*DH35))/(100*DA35)</f>
        <v>9.5358408337702478</v>
      </c>
      <c r="N35">
        <f t="shared" ref="N35:N66" si="49">DF35 - IF(AJ35&gt;1, M35*DA35*100/(AL35*DT35), 0)</f>
        <v>58.191099999999999</v>
      </c>
      <c r="O35">
        <f t="shared" ref="O35:O66" si="50">((U35-K35/2)*N35-M35)/(U35+K35/2)</f>
        <v>15.146716274485502</v>
      </c>
      <c r="P35">
        <f t="shared" ref="P35:P66" si="51">O35*(DM35+DN35)/1000</f>
        <v>1.5029570510548493</v>
      </c>
      <c r="Q35">
        <f t="shared" ref="Q35:Q66" si="52">(DF35 - IF(AJ35&gt;1, M35*DA35*100/(AL35*DT35), 0))*(DM35+DN35)/1000</f>
        <v>5.7741045959223003</v>
      </c>
      <c r="R35">
        <f t="shared" ref="R35:R66" si="53">2/((1/T35-1/S35)+SIGN(T35)*SQRT((1/T35-1/S35)*(1/T35-1/S35) + 4*DB35/((DB35+1)*(DB35+1))*(2*1/T35*1/S35-1/S35*1/S35)))</f>
        <v>0.38574841335815652</v>
      </c>
      <c r="S35">
        <f t="shared" ref="S35:S66" si="54">IF(LEFT(DC35,1)&lt;&gt;"0",IF(LEFT(DC35,1)="1",3,DD35),$D$5+$E$5*(DT35*DM35/($K$5*1000))+$F$5*(DT35*DM35/($K$5*1000))*MAX(MIN(DA35,$J$5),$I$5)*MAX(MIN(DA35,$J$5),$I$5)+$G$5*MAX(MIN(DA35,$J$5),$I$5)*(DT35*DM35/($K$5*1000))+$H$5*(DT35*DM35/($K$5*1000))*(DT35*DM35/($K$5*1000)))</f>
        <v>2.9124293263787493</v>
      </c>
      <c r="T35">
        <f t="shared" ref="T35:T66" si="55">K35*(1000-(1000*0.61365*EXP(17.502*X35/(240.97+X35))/(DM35+DN35)+DH35)/2)/(1000*0.61365*EXP(17.502*X35/(240.97+X35))/(DM35+DN35)-DH35)</f>
        <v>0.35944638562788733</v>
      </c>
      <c r="U35">
        <f t="shared" ref="U35:U66" si="56">1/((DB35+1)/(R35/1.6)+1/(S35/1.37)) + DB35/((DB35+1)/(R35/1.6) + DB35/(S35/1.37))</f>
        <v>0.226867501429449</v>
      </c>
      <c r="V35">
        <f t="shared" ref="V35:V66" si="57">(CW35*CZ35)</f>
        <v>289.58720401273735</v>
      </c>
      <c r="W35">
        <f t="shared" ref="W35:W66" si="58">(DO35+(V35+2*0.95*0.0000000567*(((DO35+$B$7)+273)^4-(DO35+273)^4)-44100*K35)/(1.84*29.3*S35+8*0.95*0.0000000567*(DO35+273)^3))</f>
        <v>30.384205714899231</v>
      </c>
      <c r="X35">
        <f t="shared" ref="X35:X66" si="59">($C$7*DP35+$D$7*DQ35+$E$7*W35)</f>
        <v>30.131</v>
      </c>
      <c r="Y35">
        <f t="shared" ref="Y35:Y66" si="60">0.61365*EXP(17.502*X35/(240.97+X35))</f>
        <v>4.2926129713706498</v>
      </c>
      <c r="Z35">
        <f t="shared" ref="Z35:Z66" si="61">(AA35/AB35*100)</f>
        <v>60.544550457332655</v>
      </c>
      <c r="AA35">
        <f t="shared" ref="AA35:AA66" si="62">DH35*(DM35+DN35)/1000</f>
        <v>2.6248708326068999</v>
      </c>
      <c r="AB35">
        <f t="shared" ref="AB35:AB66" si="63">0.61365*EXP(17.502*DO35/(240.97+DO35))</f>
        <v>4.3354369844676865</v>
      </c>
      <c r="AC35">
        <f t="shared" ref="AC35:AC66" si="64">(Y35-DH35*(DM35+DN35)/1000)</f>
        <v>1.6677421387637499</v>
      </c>
      <c r="AD35">
        <f t="shared" ref="AD35:AD66" si="65">(-K35*44100)</f>
        <v>-276.04626164795172</v>
      </c>
      <c r="AE35">
        <f t="shared" ref="AE35:AE66" si="66">2*29.3*S35*0.92*(DO35-X35)</f>
        <v>27.179277431949551</v>
      </c>
      <c r="AF35">
        <f t="shared" ref="AF35:AF66" si="67">2*0.95*0.0000000567*(((DO35+$B$7)+273)^4-(X35+273)^4)</f>
        <v>2.0794896224698896</v>
      </c>
      <c r="AG35">
        <f t="shared" ref="AG35:AG66" si="68">V35+AF35+AD35+AE35</f>
        <v>42.79970941920508</v>
      </c>
      <c r="AH35">
        <v>0</v>
      </c>
      <c r="AI35">
        <v>0</v>
      </c>
      <c r="AJ35">
        <f t="shared" ref="AJ35:AJ66" si="69">IF(AH35*$H$13&gt;=AL35,1,(AL35/(AL35-AH35*$H$13)))</f>
        <v>1</v>
      </c>
      <c r="AK35">
        <f t="shared" ref="AK35:AK66" si="70">(AJ35-1)*100</f>
        <v>0</v>
      </c>
      <c r="AL35">
        <f t="shared" ref="AL35:AL66" si="71">MAX(0,($B$13+$C$13*DT35)/(1+$D$13*DT35)*DM35/(DO35+273)*$E$13)</f>
        <v>51794.508760614743</v>
      </c>
      <c r="AM35" t="s">
        <v>414</v>
      </c>
      <c r="AN35">
        <v>7361.72</v>
      </c>
      <c r="AO35">
        <v>541.39076923076925</v>
      </c>
      <c r="AP35">
        <v>2141.9899999999998</v>
      </c>
      <c r="AQ35">
        <f t="shared" ref="AQ35:AQ66" si="72">1-AO35/AP35</f>
        <v>0.74724869433061347</v>
      </c>
      <c r="AR35">
        <v>-0.96077199609010144</v>
      </c>
      <c r="AS35" t="s">
        <v>517</v>
      </c>
      <c r="AT35">
        <v>7337.54</v>
      </c>
      <c r="AU35">
        <v>698.47038461538443</v>
      </c>
      <c r="AV35">
        <v>774.71175048432849</v>
      </c>
      <c r="AW35">
        <f t="shared" ref="AW35:AW66" si="73">1-AU35/AV35</f>
        <v>9.8412559021184398E-2</v>
      </c>
      <c r="AX35">
        <v>0.5</v>
      </c>
      <c r="AY35">
        <f t="shared" ref="AY35:AY66" si="74">CX35</f>
        <v>1513.2636000065997</v>
      </c>
      <c r="AZ35">
        <f t="shared" ref="AZ35:AZ66" si="75">M35</f>
        <v>9.5358408337702478</v>
      </c>
      <c r="BA35">
        <f t="shared" ref="BA35:BA66" si="76">AW35*AX35*AY35</f>
        <v>74.462071675129735</v>
      </c>
      <c r="BB35">
        <f t="shared" ref="BB35:BB66" si="77">(AZ35-AR35)/AY35</f>
        <v>6.9364073977690151E-3</v>
      </c>
      <c r="BC35">
        <f t="shared" ref="BC35:BC66" si="78">(AP35-AV35)/AV35</f>
        <v>1.764886422157514</v>
      </c>
      <c r="BD35">
        <f t="shared" ref="BD35:BD66" si="79">AO35/(AQ35+AO35/AV35)</f>
        <v>374.38576169168141</v>
      </c>
      <c r="BE35" t="s">
        <v>518</v>
      </c>
      <c r="BF35">
        <v>574.98</v>
      </c>
      <c r="BG35">
        <f t="shared" ref="BG35:BG66" si="80">IF(BF35&lt;&gt;0, BF35, BD35)</f>
        <v>574.98</v>
      </c>
      <c r="BH35">
        <f t="shared" ref="BH35:BH66" si="81">1-BG35/AV35</f>
        <v>0.25781427783877253</v>
      </c>
      <c r="BI35">
        <f t="shared" ref="BI35:BI66" si="82">(AV35-AU35)/(AV35-BG35)</f>
        <v>0.38171880877260012</v>
      </c>
      <c r="BJ35">
        <f t="shared" ref="BJ35:BJ66" si="83">(AP35-AV35)/(AP35-BG35)</f>
        <v>0.87253958144215504</v>
      </c>
      <c r="BK35">
        <f t="shared" ref="BK35:BK66" si="84">(AV35-AU35)/(AV35-AO35)</f>
        <v>0.32676600903752206</v>
      </c>
      <c r="BL35">
        <f t="shared" ref="BL35:BL66" si="85">(AP35-AV35)/(AP35-AO35)</f>
        <v>0.85422898076651721</v>
      </c>
      <c r="BM35">
        <f t="shared" ref="BM35:BM66" si="86">(BI35*BG35/AU35)</f>
        <v>0.31423047490972372</v>
      </c>
      <c r="BN35">
        <f t="shared" ref="BN35:BN66" si="87">(1-BM35)</f>
        <v>0.68576952509027622</v>
      </c>
      <c r="BO35">
        <v>1467</v>
      </c>
      <c r="BP35">
        <v>290.00000000000011</v>
      </c>
      <c r="BQ35">
        <v>753.05</v>
      </c>
      <c r="BR35">
        <v>295</v>
      </c>
      <c r="BS35">
        <v>7337.54</v>
      </c>
      <c r="BT35">
        <v>752.88</v>
      </c>
      <c r="BU35">
        <v>0.17</v>
      </c>
      <c r="BV35">
        <v>300.00000000000011</v>
      </c>
      <c r="BW35">
        <v>37.9</v>
      </c>
      <c r="BX35">
        <v>774.71175048432849</v>
      </c>
      <c r="BY35">
        <v>0.94672993727761467</v>
      </c>
      <c r="BZ35">
        <v>-16.02131276069229</v>
      </c>
      <c r="CA35">
        <v>0.58237657720970493</v>
      </c>
      <c r="CB35">
        <v>0.96432269657488412</v>
      </c>
      <c r="CC35">
        <v>-7.2287917686318136E-3</v>
      </c>
      <c r="CD35">
        <v>289.99999999999989</v>
      </c>
      <c r="CE35">
        <v>752.32</v>
      </c>
      <c r="CF35">
        <v>665</v>
      </c>
      <c r="CG35">
        <v>7332.81</v>
      </c>
      <c r="CH35">
        <v>752.86</v>
      </c>
      <c r="CI35">
        <v>-0.54</v>
      </c>
      <c r="CW35">
        <f t="shared" ref="CW35:CW66" si="88">$B$11*DU35+$C$11*DV35+$F$11*EG35*(1-EJ35)</f>
        <v>1800.09</v>
      </c>
      <c r="CX35">
        <f t="shared" ref="CX35:CX66" si="89">CW35*CY35</f>
        <v>1513.2636000065997</v>
      </c>
      <c r="CY35">
        <f t="shared" ref="CY35:CY66" si="90">($B$11*$D$9+$C$11*$D$9+$F$11*((ET35+EL35)/MAX(ET35+EL35+EU35, 0.1)*$I$9+EU35/MAX(ET35+EL35+EU35, 0.1)*$J$9))/($B$11+$C$11+$F$11)</f>
        <v>0.84065996700531631</v>
      </c>
      <c r="CZ35">
        <f t="shared" ref="CZ35:CZ66" si="91">($B$11*$K$9+$C$11*$K$9+$F$11*((ET35+EL35)/MAX(ET35+EL35+EU35, 0.1)*$P$9+EU35/MAX(ET35+EL35+EU35, 0.1)*$Q$9))/($B$11+$C$11+$F$11)</f>
        <v>0.16087373632026031</v>
      </c>
      <c r="DA35">
        <v>6</v>
      </c>
      <c r="DB35">
        <v>0.5</v>
      </c>
      <c r="DC35" t="s">
        <v>415</v>
      </c>
      <c r="DD35">
        <v>2</v>
      </c>
      <c r="DE35">
        <v>1691167178.5999999</v>
      </c>
      <c r="DF35">
        <v>58.191099999999999</v>
      </c>
      <c r="DG35">
        <v>70.069000000000003</v>
      </c>
      <c r="DH35">
        <v>26.453299999999999</v>
      </c>
      <c r="DI35">
        <v>19.1419</v>
      </c>
      <c r="DJ35">
        <v>58.605600000000003</v>
      </c>
      <c r="DK35">
        <v>26.093299999999999</v>
      </c>
      <c r="DL35">
        <v>500.09300000000002</v>
      </c>
      <c r="DM35">
        <v>99.126400000000004</v>
      </c>
      <c r="DN35">
        <v>0.100193</v>
      </c>
      <c r="DO35">
        <v>30.304099999999998</v>
      </c>
      <c r="DP35">
        <v>30.131</v>
      </c>
      <c r="DQ35">
        <v>999.9</v>
      </c>
      <c r="DR35">
        <v>0</v>
      </c>
      <c r="DS35">
        <v>0</v>
      </c>
      <c r="DT35">
        <v>9990</v>
      </c>
      <c r="DU35">
        <v>0</v>
      </c>
      <c r="DV35">
        <v>351.12700000000001</v>
      </c>
      <c r="DW35">
        <v>-11.877800000000001</v>
      </c>
      <c r="DX35">
        <v>59.772300000000001</v>
      </c>
      <c r="DY35">
        <v>71.436400000000006</v>
      </c>
      <c r="DZ35">
        <v>7.3113999999999999</v>
      </c>
      <c r="EA35">
        <v>70.069000000000003</v>
      </c>
      <c r="EB35">
        <v>19.1419</v>
      </c>
      <c r="EC35">
        <v>2.62222</v>
      </c>
      <c r="ED35">
        <v>1.89747</v>
      </c>
      <c r="EE35">
        <v>21.805700000000002</v>
      </c>
      <c r="EF35">
        <v>16.613800000000001</v>
      </c>
      <c r="EG35">
        <v>1800.09</v>
      </c>
      <c r="EH35">
        <v>0.97800100000000001</v>
      </c>
      <c r="EI35">
        <v>2.1998500000000001E-2</v>
      </c>
      <c r="EJ35">
        <v>0</v>
      </c>
      <c r="EK35">
        <v>696.68</v>
      </c>
      <c r="EL35">
        <v>9.9989999999999996E-2</v>
      </c>
      <c r="EM35">
        <v>13562.1</v>
      </c>
      <c r="EN35">
        <v>16706.2</v>
      </c>
      <c r="EO35">
        <v>47.5</v>
      </c>
      <c r="EP35">
        <v>48.936999999999998</v>
      </c>
      <c r="EQ35">
        <v>48.375</v>
      </c>
      <c r="ER35">
        <v>47.936999999999998</v>
      </c>
      <c r="ES35">
        <v>48.561999999999998</v>
      </c>
      <c r="ET35">
        <v>1760.39</v>
      </c>
      <c r="EU35">
        <v>39.6</v>
      </c>
      <c r="EV35">
        <v>0</v>
      </c>
      <c r="EW35">
        <v>126.5999999046326</v>
      </c>
      <c r="EX35">
        <v>0</v>
      </c>
      <c r="EY35">
        <v>698.47038461538443</v>
      </c>
      <c r="EZ35">
        <v>-3.0485469801677532</v>
      </c>
      <c r="FA35">
        <v>-47.671794825310123</v>
      </c>
      <c r="FB35">
        <v>13567.57692307692</v>
      </c>
      <c r="FC35">
        <v>15</v>
      </c>
      <c r="FD35">
        <v>1691167150.0999999</v>
      </c>
      <c r="FE35" t="s">
        <v>519</v>
      </c>
      <c r="FF35">
        <v>1691167136.0999999</v>
      </c>
      <c r="FG35">
        <v>1691167150.0999999</v>
      </c>
      <c r="FH35">
        <v>39</v>
      </c>
      <c r="FI35">
        <v>-0.09</v>
      </c>
      <c r="FJ35">
        <v>7.0000000000000001E-3</v>
      </c>
      <c r="FK35">
        <v>-0.43099999999999999</v>
      </c>
      <c r="FL35">
        <v>0.11700000000000001</v>
      </c>
      <c r="FM35">
        <v>70</v>
      </c>
      <c r="FN35">
        <v>19</v>
      </c>
      <c r="FO35">
        <v>0.38</v>
      </c>
      <c r="FP35">
        <v>0.04</v>
      </c>
      <c r="FQ35">
        <v>9.5140637553928489</v>
      </c>
      <c r="FR35">
        <v>0.1796534620803481</v>
      </c>
      <c r="FS35">
        <v>5.3239630425109208E-2</v>
      </c>
      <c r="FT35">
        <v>1</v>
      </c>
      <c r="FU35">
        <v>0.380392079593318</v>
      </c>
      <c r="FV35">
        <v>3.9419553908054628E-2</v>
      </c>
      <c r="FW35">
        <v>3.6070643783771309E-3</v>
      </c>
      <c r="FX35">
        <v>1</v>
      </c>
      <c r="FY35">
        <v>2</v>
      </c>
      <c r="FZ35">
        <v>2</v>
      </c>
      <c r="GA35" t="s">
        <v>416</v>
      </c>
      <c r="GB35">
        <v>2.9684900000000001</v>
      </c>
      <c r="GC35">
        <v>2.8117999999999999</v>
      </c>
      <c r="GD35">
        <v>1.67835E-2</v>
      </c>
      <c r="GE35">
        <v>1.9769800000000001E-2</v>
      </c>
      <c r="GF35">
        <v>0.12672600000000001</v>
      </c>
      <c r="GG35">
        <v>0.10045</v>
      </c>
      <c r="GH35">
        <v>28964.799999999999</v>
      </c>
      <c r="GI35">
        <v>26667.7</v>
      </c>
      <c r="GJ35">
        <v>26485.5</v>
      </c>
      <c r="GK35">
        <v>25676.9</v>
      </c>
      <c r="GL35">
        <v>31473.599999999999</v>
      </c>
      <c r="GM35">
        <v>32601.1</v>
      </c>
      <c r="GN35">
        <v>37493.9</v>
      </c>
      <c r="GO35">
        <v>38067.300000000003</v>
      </c>
      <c r="GP35">
        <v>1.9383999999999999</v>
      </c>
      <c r="GQ35">
        <v>1.8705000000000001</v>
      </c>
      <c r="GR35">
        <v>3.62098E-2</v>
      </c>
      <c r="GS35">
        <v>0</v>
      </c>
      <c r="GT35">
        <v>29.541599999999999</v>
      </c>
      <c r="GU35">
        <v>999.9</v>
      </c>
      <c r="GV35">
        <v>29.9</v>
      </c>
      <c r="GW35">
        <v>46.6</v>
      </c>
      <c r="GX35">
        <v>31.557700000000001</v>
      </c>
      <c r="GY35">
        <v>61.576799999999999</v>
      </c>
      <c r="GZ35">
        <v>13.790100000000001</v>
      </c>
      <c r="HA35">
        <v>1</v>
      </c>
      <c r="HB35">
        <v>0.50741899999999995</v>
      </c>
      <c r="HC35">
        <v>4.5491799999999998</v>
      </c>
      <c r="HD35">
        <v>20.240200000000002</v>
      </c>
      <c r="HE35">
        <v>5.2100999999999997</v>
      </c>
      <c r="HF35">
        <v>11.9381</v>
      </c>
      <c r="HG35">
        <v>4.9871999999999996</v>
      </c>
      <c r="HH35">
        <v>3.2909999999999999</v>
      </c>
      <c r="HI35">
        <v>9999</v>
      </c>
      <c r="HJ35">
        <v>9999</v>
      </c>
      <c r="HK35">
        <v>9999</v>
      </c>
      <c r="HL35">
        <v>999.9</v>
      </c>
      <c r="HM35">
        <v>1.87103</v>
      </c>
      <c r="HN35">
        <v>1.8769800000000001</v>
      </c>
      <c r="HO35">
        <v>1.8748</v>
      </c>
      <c r="HP35">
        <v>1.8729899999999999</v>
      </c>
      <c r="HQ35">
        <v>1.8734900000000001</v>
      </c>
      <c r="HR35">
        <v>1.8709100000000001</v>
      </c>
      <c r="HS35">
        <v>1.87677</v>
      </c>
      <c r="HT35">
        <v>1.8759300000000001</v>
      </c>
      <c r="HU35">
        <v>5</v>
      </c>
      <c r="HV35">
        <v>0</v>
      </c>
      <c r="HW35">
        <v>0</v>
      </c>
      <c r="HX35">
        <v>0</v>
      </c>
      <c r="HY35" t="s">
        <v>417</v>
      </c>
      <c r="HZ35" t="s">
        <v>418</v>
      </c>
      <c r="IA35" t="s">
        <v>419</v>
      </c>
      <c r="IB35" t="s">
        <v>420</v>
      </c>
      <c r="IC35" t="s">
        <v>420</v>
      </c>
      <c r="ID35" t="s">
        <v>419</v>
      </c>
      <c r="IE35">
        <v>0</v>
      </c>
      <c r="IF35">
        <v>100</v>
      </c>
      <c r="IG35">
        <v>100</v>
      </c>
      <c r="IH35">
        <v>-0.41499999999999998</v>
      </c>
      <c r="II35">
        <v>0.36</v>
      </c>
      <c r="IJ35">
        <v>-0.3248827070626949</v>
      </c>
      <c r="IK35">
        <v>-1.615681629159814E-3</v>
      </c>
      <c r="IL35">
        <v>1.5005605225991581E-6</v>
      </c>
      <c r="IM35">
        <v>-5.1143626075267638E-10</v>
      </c>
      <c r="IN35">
        <v>-0.1733593118992193</v>
      </c>
      <c r="IO35">
        <v>-1.7182111142928099E-3</v>
      </c>
      <c r="IP35">
        <v>9.9985895407488957E-4</v>
      </c>
      <c r="IQ35">
        <v>-5.7750407166627208E-6</v>
      </c>
      <c r="IR35">
        <v>3</v>
      </c>
      <c r="IS35">
        <v>2181</v>
      </c>
      <c r="IT35">
        <v>2</v>
      </c>
      <c r="IU35">
        <v>42</v>
      </c>
      <c r="IV35">
        <v>0.7</v>
      </c>
      <c r="IW35">
        <v>0.5</v>
      </c>
      <c r="IX35">
        <v>0.28198200000000001</v>
      </c>
      <c r="IY35">
        <v>2.5842299999999998</v>
      </c>
      <c r="IZ35">
        <v>1.5991200000000001</v>
      </c>
      <c r="JA35">
        <v>2.2729499999999998</v>
      </c>
      <c r="JB35">
        <v>1.5502899999999999</v>
      </c>
      <c r="JC35">
        <v>2.4230999999999998</v>
      </c>
      <c r="JD35">
        <v>50.0578</v>
      </c>
      <c r="JE35">
        <v>15.156499999999999</v>
      </c>
      <c r="JF35">
        <v>18</v>
      </c>
      <c r="JG35">
        <v>504.43900000000002</v>
      </c>
      <c r="JH35">
        <v>431.00400000000002</v>
      </c>
      <c r="JI35">
        <v>24.957000000000001</v>
      </c>
      <c r="JJ35">
        <v>33.6173</v>
      </c>
      <c r="JK35">
        <v>30</v>
      </c>
      <c r="JL35">
        <v>33.803899999999999</v>
      </c>
      <c r="JM35">
        <v>33.801000000000002</v>
      </c>
      <c r="JN35">
        <v>5.7051100000000003</v>
      </c>
      <c r="JO35">
        <v>43.639000000000003</v>
      </c>
      <c r="JP35">
        <v>0</v>
      </c>
      <c r="JQ35">
        <v>24.88</v>
      </c>
      <c r="JR35">
        <v>70</v>
      </c>
      <c r="JS35">
        <v>19.0791</v>
      </c>
      <c r="JT35">
        <v>98.886099999999999</v>
      </c>
      <c r="JU35">
        <v>98.805499999999995</v>
      </c>
    </row>
    <row r="36" spans="1:281" x14ac:dyDescent="0.25">
      <c r="A36">
        <v>20</v>
      </c>
      <c r="B36">
        <v>1691167292.0999999</v>
      </c>
      <c r="C36">
        <v>7561.5</v>
      </c>
      <c r="D36" t="s">
        <v>520</v>
      </c>
      <c r="E36" t="s">
        <v>521</v>
      </c>
      <c r="F36" t="s">
        <v>411</v>
      </c>
      <c r="G36" t="s">
        <v>495</v>
      </c>
      <c r="H36" t="s">
        <v>496</v>
      </c>
      <c r="I36" t="s">
        <v>413</v>
      </c>
      <c r="J36">
        <v>1691167292.0999999</v>
      </c>
      <c r="K36">
        <f t="shared" si="46"/>
        <v>6.9186438261992292E-3</v>
      </c>
      <c r="L36">
        <f t="shared" si="47"/>
        <v>6.9186438261992294</v>
      </c>
      <c r="M36">
        <f t="shared" si="48"/>
        <v>4.4673570617313807</v>
      </c>
      <c r="N36">
        <f t="shared" si="49"/>
        <v>24.424399999999999</v>
      </c>
      <c r="O36">
        <f t="shared" si="50"/>
        <v>5.9306457883719679</v>
      </c>
      <c r="P36">
        <f t="shared" si="51"/>
        <v>0.58848584629273815</v>
      </c>
      <c r="Q36">
        <f t="shared" si="52"/>
        <v>2.4235832347927198</v>
      </c>
      <c r="R36">
        <f t="shared" si="53"/>
        <v>0.42268346345801661</v>
      </c>
      <c r="S36">
        <f t="shared" si="54"/>
        <v>2.9194551987609514</v>
      </c>
      <c r="T36">
        <f t="shared" si="55"/>
        <v>0.39139243913497745</v>
      </c>
      <c r="U36">
        <f t="shared" si="56"/>
        <v>0.24723833162686587</v>
      </c>
      <c r="V36">
        <f t="shared" si="57"/>
        <v>289.59140027887008</v>
      </c>
      <c r="W36">
        <f t="shared" si="58"/>
        <v>30.091779382587966</v>
      </c>
      <c r="X36">
        <f t="shared" si="59"/>
        <v>30.0427</v>
      </c>
      <c r="Y36">
        <f t="shared" si="60"/>
        <v>4.2709103517982649</v>
      </c>
      <c r="Z36">
        <f t="shared" si="61"/>
        <v>59.862134252717048</v>
      </c>
      <c r="AA36">
        <f t="shared" si="62"/>
        <v>2.5773865631827197</v>
      </c>
      <c r="AB36">
        <f t="shared" si="63"/>
        <v>4.3055373740967751</v>
      </c>
      <c r="AC36">
        <f t="shared" si="64"/>
        <v>1.6935237886155452</v>
      </c>
      <c r="AD36">
        <f t="shared" si="65"/>
        <v>-305.11219273538603</v>
      </c>
      <c r="AE36">
        <f t="shared" si="66"/>
        <v>22.145289182656811</v>
      </c>
      <c r="AF36">
        <f t="shared" si="67"/>
        <v>1.6885140381518113</v>
      </c>
      <c r="AG36">
        <f t="shared" si="68"/>
        <v>8.3130107642926845</v>
      </c>
      <c r="AH36">
        <v>0</v>
      </c>
      <c r="AI36">
        <v>0</v>
      </c>
      <c r="AJ36">
        <f t="shared" si="69"/>
        <v>1</v>
      </c>
      <c r="AK36">
        <f t="shared" si="70"/>
        <v>0</v>
      </c>
      <c r="AL36">
        <f t="shared" si="71"/>
        <v>52015.047624196523</v>
      </c>
      <c r="AM36" t="s">
        <v>414</v>
      </c>
      <c r="AN36">
        <v>7361.72</v>
      </c>
      <c r="AO36">
        <v>541.39076923076925</v>
      </c>
      <c r="AP36">
        <v>2141.9899999999998</v>
      </c>
      <c r="AQ36">
        <f t="shared" si="72"/>
        <v>0.74724869433061347</v>
      </c>
      <c r="AR36">
        <v>-0.96077199609010144</v>
      </c>
      <c r="AS36" t="s">
        <v>522</v>
      </c>
      <c r="AT36">
        <v>7337.05</v>
      </c>
      <c r="AU36">
        <v>707.45580000000007</v>
      </c>
      <c r="AV36">
        <v>760.07904732721579</v>
      </c>
      <c r="AW36">
        <f t="shared" si="73"/>
        <v>6.9233913909695355E-2</v>
      </c>
      <c r="AX36">
        <v>0.5</v>
      </c>
      <c r="AY36">
        <f t="shared" si="74"/>
        <v>1513.2884934087408</v>
      </c>
      <c r="AZ36">
        <f t="shared" si="75"/>
        <v>4.4673570617313807</v>
      </c>
      <c r="BA36">
        <f t="shared" si="76"/>
        <v>52.385442636596672</v>
      </c>
      <c r="BB36">
        <f t="shared" si="77"/>
        <v>3.5869757032212751E-3</v>
      </c>
      <c r="BC36">
        <f t="shared" si="78"/>
        <v>1.8181147836296927</v>
      </c>
      <c r="BD36">
        <f t="shared" si="79"/>
        <v>370.93478092124531</v>
      </c>
      <c r="BE36" t="s">
        <v>523</v>
      </c>
      <c r="BF36">
        <v>594.75</v>
      </c>
      <c r="BG36">
        <f t="shared" si="80"/>
        <v>594.75</v>
      </c>
      <c r="BH36">
        <f t="shared" si="81"/>
        <v>0.21751559644827478</v>
      </c>
      <c r="BI36">
        <f t="shared" si="82"/>
        <v>0.31829402139519314</v>
      </c>
      <c r="BJ36">
        <f t="shared" si="83"/>
        <v>0.89314582913625817</v>
      </c>
      <c r="BK36">
        <f t="shared" si="84"/>
        <v>0.24063131222793599</v>
      </c>
      <c r="BL36">
        <f t="shared" si="85"/>
        <v>0.86337099637905779</v>
      </c>
      <c r="BM36">
        <f t="shared" si="86"/>
        <v>0.26758614350859955</v>
      </c>
      <c r="BN36">
        <f t="shared" si="87"/>
        <v>0.73241385649140045</v>
      </c>
      <c r="BO36">
        <v>1469</v>
      </c>
      <c r="BP36">
        <v>290.00000000000011</v>
      </c>
      <c r="BQ36">
        <v>744.97</v>
      </c>
      <c r="BR36">
        <v>245</v>
      </c>
      <c r="BS36">
        <v>7337.05</v>
      </c>
      <c r="BT36">
        <v>744.55</v>
      </c>
      <c r="BU36">
        <v>0.42</v>
      </c>
      <c r="BV36">
        <v>300.00000000000011</v>
      </c>
      <c r="BW36">
        <v>37.9</v>
      </c>
      <c r="BX36">
        <v>760.07904732721579</v>
      </c>
      <c r="BY36">
        <v>1.039102567132665</v>
      </c>
      <c r="BZ36">
        <v>-11.39354607936221</v>
      </c>
      <c r="CA36">
        <v>0.63896377483561029</v>
      </c>
      <c r="CB36">
        <v>0.91906456566573025</v>
      </c>
      <c r="CC36">
        <v>-7.2266255839821981E-3</v>
      </c>
      <c r="CD36">
        <v>289.99999999999989</v>
      </c>
      <c r="CE36">
        <v>743.87</v>
      </c>
      <c r="CF36">
        <v>665</v>
      </c>
      <c r="CG36">
        <v>7330.05</v>
      </c>
      <c r="CH36">
        <v>744.54</v>
      </c>
      <c r="CI36">
        <v>-0.67</v>
      </c>
      <c r="CW36">
        <f t="shared" si="88"/>
        <v>1800.12</v>
      </c>
      <c r="CX36">
        <f t="shared" si="89"/>
        <v>1513.2884934087408</v>
      </c>
      <c r="CY36">
        <f t="shared" si="90"/>
        <v>0.84065978568581035</v>
      </c>
      <c r="CZ36">
        <f t="shared" si="91"/>
        <v>0.16087338637361404</v>
      </c>
      <c r="DA36">
        <v>6</v>
      </c>
      <c r="DB36">
        <v>0.5</v>
      </c>
      <c r="DC36" t="s">
        <v>415</v>
      </c>
      <c r="DD36">
        <v>2</v>
      </c>
      <c r="DE36">
        <v>1691167292.0999999</v>
      </c>
      <c r="DF36">
        <v>24.424399999999999</v>
      </c>
      <c r="DG36">
        <v>29.9893</v>
      </c>
      <c r="DH36">
        <v>25.974399999999999</v>
      </c>
      <c r="DI36">
        <v>17.8858</v>
      </c>
      <c r="DJ36">
        <v>24.8734</v>
      </c>
      <c r="DK36">
        <v>25.9024</v>
      </c>
      <c r="DL36">
        <v>499.88400000000001</v>
      </c>
      <c r="DM36">
        <v>99.128299999999996</v>
      </c>
      <c r="DN36">
        <v>9.9653800000000001E-2</v>
      </c>
      <c r="DO36">
        <v>30.183399999999999</v>
      </c>
      <c r="DP36">
        <v>30.0427</v>
      </c>
      <c r="DQ36">
        <v>999.9</v>
      </c>
      <c r="DR36">
        <v>0</v>
      </c>
      <c r="DS36">
        <v>0</v>
      </c>
      <c r="DT36">
        <v>10030</v>
      </c>
      <c r="DU36">
        <v>0</v>
      </c>
      <c r="DV36">
        <v>363.601</v>
      </c>
      <c r="DW36">
        <v>-5.4800599999999999</v>
      </c>
      <c r="DX36">
        <v>25.170100000000001</v>
      </c>
      <c r="DY36">
        <v>30.535499999999999</v>
      </c>
      <c r="DZ36">
        <v>8.3692799999999998</v>
      </c>
      <c r="EA36">
        <v>29.9893</v>
      </c>
      <c r="EB36">
        <v>17.8858</v>
      </c>
      <c r="EC36">
        <v>2.6026199999999999</v>
      </c>
      <c r="ED36">
        <v>1.77298</v>
      </c>
      <c r="EE36">
        <v>21.6829</v>
      </c>
      <c r="EF36">
        <v>15.550599999999999</v>
      </c>
      <c r="EG36">
        <v>1800.12</v>
      </c>
      <c r="EH36">
        <v>0.97800900000000002</v>
      </c>
      <c r="EI36">
        <v>2.1991500000000001E-2</v>
      </c>
      <c r="EJ36">
        <v>0</v>
      </c>
      <c r="EK36">
        <v>707.78499999999997</v>
      </c>
      <c r="EL36">
        <v>9.9989999999999996E-2</v>
      </c>
      <c r="EM36">
        <v>13735</v>
      </c>
      <c r="EN36">
        <v>16706.400000000001</v>
      </c>
      <c r="EO36">
        <v>48.186999999999998</v>
      </c>
      <c r="EP36">
        <v>50</v>
      </c>
      <c r="EQ36">
        <v>49.061999999999998</v>
      </c>
      <c r="ER36">
        <v>48.686999999999998</v>
      </c>
      <c r="ES36">
        <v>49.25</v>
      </c>
      <c r="ET36">
        <v>1760.44</v>
      </c>
      <c r="EU36">
        <v>39.590000000000003</v>
      </c>
      <c r="EV36">
        <v>0</v>
      </c>
      <c r="EW36">
        <v>111.5999999046326</v>
      </c>
      <c r="EX36">
        <v>0</v>
      </c>
      <c r="EY36">
        <v>707.45580000000007</v>
      </c>
      <c r="EZ36">
        <v>2.8496153291061712</v>
      </c>
      <c r="FA36">
        <v>24.407692534548769</v>
      </c>
      <c r="FB36">
        <v>13733.52</v>
      </c>
      <c r="FC36">
        <v>15</v>
      </c>
      <c r="FD36">
        <v>1691167329.5999999</v>
      </c>
      <c r="FE36" t="s">
        <v>524</v>
      </c>
      <c r="FF36">
        <v>1691167316.0999999</v>
      </c>
      <c r="FG36">
        <v>1691167329.5999999</v>
      </c>
      <c r="FH36">
        <v>40</v>
      </c>
      <c r="FI36">
        <v>-7.5999999999999998E-2</v>
      </c>
      <c r="FJ36">
        <v>-5.0000000000000001E-3</v>
      </c>
      <c r="FK36">
        <v>-0.44900000000000001</v>
      </c>
      <c r="FL36">
        <v>7.1999999999999995E-2</v>
      </c>
      <c r="FM36">
        <v>30</v>
      </c>
      <c r="FN36">
        <v>18</v>
      </c>
      <c r="FO36">
        <v>1.21</v>
      </c>
      <c r="FP36">
        <v>0.04</v>
      </c>
      <c r="FQ36">
        <v>4.3979228090674383</v>
      </c>
      <c r="FR36">
        <v>-0.20529025207000251</v>
      </c>
      <c r="FS36">
        <v>4.8021215092065757E-2</v>
      </c>
      <c r="FT36">
        <v>1</v>
      </c>
      <c r="FU36">
        <v>0.44793133750664837</v>
      </c>
      <c r="FV36">
        <v>4.9298994384198429E-2</v>
      </c>
      <c r="FW36">
        <v>4.4266218655661599E-3</v>
      </c>
      <c r="FX36">
        <v>1</v>
      </c>
      <c r="FY36">
        <v>2</v>
      </c>
      <c r="FZ36">
        <v>2</v>
      </c>
      <c r="GA36" t="s">
        <v>416</v>
      </c>
      <c r="GB36">
        <v>2.9678900000000001</v>
      </c>
      <c r="GC36">
        <v>2.81162</v>
      </c>
      <c r="GD36">
        <v>7.1548899999999997E-3</v>
      </c>
      <c r="GE36">
        <v>8.5142700000000009E-3</v>
      </c>
      <c r="GF36">
        <v>0.12607699999999999</v>
      </c>
      <c r="GG36">
        <v>9.5667799999999997E-2</v>
      </c>
      <c r="GH36">
        <v>29247</v>
      </c>
      <c r="GI36">
        <v>26970</v>
      </c>
      <c r="GJ36">
        <v>26484.6</v>
      </c>
      <c r="GK36">
        <v>25673.9</v>
      </c>
      <c r="GL36">
        <v>31496.3</v>
      </c>
      <c r="GM36">
        <v>32769.699999999997</v>
      </c>
      <c r="GN36">
        <v>37493.199999999997</v>
      </c>
      <c r="GO36">
        <v>38062.6</v>
      </c>
      <c r="GP36">
        <v>1.9392</v>
      </c>
      <c r="GQ36">
        <v>1.8661000000000001</v>
      </c>
      <c r="GR36">
        <v>-7.6442999999999997E-3</v>
      </c>
      <c r="GS36">
        <v>0</v>
      </c>
      <c r="GT36">
        <v>30.167100000000001</v>
      </c>
      <c r="GU36">
        <v>999.9</v>
      </c>
      <c r="GV36">
        <v>29.8</v>
      </c>
      <c r="GW36">
        <v>46.7</v>
      </c>
      <c r="GX36">
        <v>31.612200000000001</v>
      </c>
      <c r="GY36">
        <v>61.456800000000001</v>
      </c>
      <c r="GZ36">
        <v>14.4712</v>
      </c>
      <c r="HA36">
        <v>1</v>
      </c>
      <c r="HB36">
        <v>0.51114800000000005</v>
      </c>
      <c r="HC36">
        <v>4.0121200000000004</v>
      </c>
      <c r="HD36">
        <v>20.256499999999999</v>
      </c>
      <c r="HE36">
        <v>5.2088999999999999</v>
      </c>
      <c r="HF36">
        <v>11.9381</v>
      </c>
      <c r="HG36">
        <v>4.9874000000000001</v>
      </c>
      <c r="HH36">
        <v>3.2909999999999999</v>
      </c>
      <c r="HI36">
        <v>9999</v>
      </c>
      <c r="HJ36">
        <v>9999</v>
      </c>
      <c r="HK36">
        <v>9999</v>
      </c>
      <c r="HL36">
        <v>999.9</v>
      </c>
      <c r="HM36">
        <v>1.8710500000000001</v>
      </c>
      <c r="HN36">
        <v>1.877</v>
      </c>
      <c r="HO36">
        <v>1.87477</v>
      </c>
      <c r="HP36">
        <v>1.8730199999999999</v>
      </c>
      <c r="HQ36">
        <v>1.87361</v>
      </c>
      <c r="HR36">
        <v>1.8709199999999999</v>
      </c>
      <c r="HS36">
        <v>1.8768199999999999</v>
      </c>
      <c r="HT36">
        <v>1.87595</v>
      </c>
      <c r="HU36">
        <v>5</v>
      </c>
      <c r="HV36">
        <v>0</v>
      </c>
      <c r="HW36">
        <v>0</v>
      </c>
      <c r="HX36">
        <v>0</v>
      </c>
      <c r="HY36" t="s">
        <v>417</v>
      </c>
      <c r="HZ36" t="s">
        <v>418</v>
      </c>
      <c r="IA36" t="s">
        <v>419</v>
      </c>
      <c r="IB36" t="s">
        <v>420</v>
      </c>
      <c r="IC36" t="s">
        <v>420</v>
      </c>
      <c r="ID36" t="s">
        <v>419</v>
      </c>
      <c r="IE36">
        <v>0</v>
      </c>
      <c r="IF36">
        <v>100</v>
      </c>
      <c r="IG36">
        <v>100</v>
      </c>
      <c r="IH36">
        <v>-0.44900000000000001</v>
      </c>
      <c r="II36">
        <v>7.1999999999999995E-2</v>
      </c>
      <c r="IJ36">
        <v>-0.3248827070626949</v>
      </c>
      <c r="IK36">
        <v>-1.615681629159814E-3</v>
      </c>
      <c r="IL36">
        <v>1.5005605225991581E-6</v>
      </c>
      <c r="IM36">
        <v>-5.1143626075267638E-10</v>
      </c>
      <c r="IN36">
        <v>-0.1733593118992193</v>
      </c>
      <c r="IO36">
        <v>-1.7182111142928099E-3</v>
      </c>
      <c r="IP36">
        <v>9.9985895407488957E-4</v>
      </c>
      <c r="IQ36">
        <v>-5.7750407166627208E-6</v>
      </c>
      <c r="IR36">
        <v>3</v>
      </c>
      <c r="IS36">
        <v>2181</v>
      </c>
      <c r="IT36">
        <v>2</v>
      </c>
      <c r="IU36">
        <v>42</v>
      </c>
      <c r="IV36">
        <v>2.6</v>
      </c>
      <c r="IW36">
        <v>2.4</v>
      </c>
      <c r="IX36">
        <v>0.20019500000000001</v>
      </c>
      <c r="IY36">
        <v>2.6110799999999998</v>
      </c>
      <c r="IZ36">
        <v>1.5991200000000001</v>
      </c>
      <c r="JA36">
        <v>2.2729499999999998</v>
      </c>
      <c r="JB36">
        <v>1.5502899999999999</v>
      </c>
      <c r="JC36">
        <v>2.3315399999999999</v>
      </c>
      <c r="JD36">
        <v>50.154200000000003</v>
      </c>
      <c r="JE36">
        <v>15.121499999999999</v>
      </c>
      <c r="JF36">
        <v>18</v>
      </c>
      <c r="JG36">
        <v>504.84699999999998</v>
      </c>
      <c r="JH36">
        <v>428.267</v>
      </c>
      <c r="JI36">
        <v>24.524699999999999</v>
      </c>
      <c r="JJ36">
        <v>33.704700000000003</v>
      </c>
      <c r="JK36">
        <v>30.002199999999998</v>
      </c>
      <c r="JL36">
        <v>33.789700000000003</v>
      </c>
      <c r="JM36">
        <v>33.785200000000003</v>
      </c>
      <c r="JN36">
        <v>4.0585500000000003</v>
      </c>
      <c r="JO36">
        <v>48.717799999999997</v>
      </c>
      <c r="JP36">
        <v>0</v>
      </c>
      <c r="JQ36">
        <v>24.461500000000001</v>
      </c>
      <c r="JR36">
        <v>30</v>
      </c>
      <c r="JS36">
        <v>17.764800000000001</v>
      </c>
      <c r="JT36">
        <v>98.883700000000005</v>
      </c>
      <c r="JU36">
        <v>98.793499999999995</v>
      </c>
    </row>
    <row r="37" spans="1:281" x14ac:dyDescent="0.25">
      <c r="A37">
        <v>21</v>
      </c>
      <c r="B37">
        <v>1691167451.0999999</v>
      </c>
      <c r="C37">
        <v>7720.5</v>
      </c>
      <c r="D37" t="s">
        <v>525</v>
      </c>
      <c r="E37" t="s">
        <v>526</v>
      </c>
      <c r="F37" t="s">
        <v>411</v>
      </c>
      <c r="G37" t="s">
        <v>495</v>
      </c>
      <c r="H37" t="s">
        <v>496</v>
      </c>
      <c r="I37" t="s">
        <v>413</v>
      </c>
      <c r="J37">
        <v>1691167451.0999999</v>
      </c>
      <c r="K37">
        <f t="shared" si="46"/>
        <v>7.7632267429023306E-3</v>
      </c>
      <c r="L37">
        <f t="shared" si="47"/>
        <v>7.7632267429023303</v>
      </c>
      <c r="M37">
        <f t="shared" si="48"/>
        <v>1.5128227036567228</v>
      </c>
      <c r="N37">
        <f t="shared" si="49"/>
        <v>8.1057000000000006</v>
      </c>
      <c r="O37">
        <f t="shared" si="50"/>
        <v>2.6280357852256135</v>
      </c>
      <c r="P37">
        <f t="shared" si="51"/>
        <v>0.26077745543901204</v>
      </c>
      <c r="Q37">
        <f t="shared" si="52"/>
        <v>0.8043207906206401</v>
      </c>
      <c r="R37">
        <f t="shared" si="53"/>
        <v>0.49015778804826854</v>
      </c>
      <c r="S37">
        <f t="shared" si="54"/>
        <v>2.9151118869450223</v>
      </c>
      <c r="T37">
        <f t="shared" si="55"/>
        <v>0.44854877029538165</v>
      </c>
      <c r="U37">
        <f t="shared" si="56"/>
        <v>0.28378645624416104</v>
      </c>
      <c r="V37">
        <f t="shared" si="57"/>
        <v>289.57761527502066</v>
      </c>
      <c r="W37">
        <f t="shared" si="58"/>
        <v>29.879701487944264</v>
      </c>
      <c r="X37">
        <f t="shared" si="59"/>
        <v>30.0153</v>
      </c>
      <c r="Y37">
        <f t="shared" si="60"/>
        <v>4.2641953727135258</v>
      </c>
      <c r="Z37">
        <f t="shared" si="61"/>
        <v>60.503716011635476</v>
      </c>
      <c r="AA37">
        <f t="shared" si="62"/>
        <v>2.6062506095280003</v>
      </c>
      <c r="AB37">
        <f t="shared" si="63"/>
        <v>4.307587667882733</v>
      </c>
      <c r="AC37">
        <f t="shared" si="64"/>
        <v>1.6579447631855255</v>
      </c>
      <c r="AD37">
        <f t="shared" si="65"/>
        <v>-342.35829936199281</v>
      </c>
      <c r="AE37">
        <f t="shared" si="66"/>
        <v>27.722937925440242</v>
      </c>
      <c r="AF37">
        <f t="shared" si="67"/>
        <v>2.1167429529880395</v>
      </c>
      <c r="AG37">
        <f t="shared" si="68"/>
        <v>-22.941003208543869</v>
      </c>
      <c r="AH37">
        <v>0</v>
      </c>
      <c r="AI37">
        <v>0</v>
      </c>
      <c r="AJ37">
        <f t="shared" si="69"/>
        <v>1</v>
      </c>
      <c r="AK37">
        <f t="shared" si="70"/>
        <v>0</v>
      </c>
      <c r="AL37">
        <f t="shared" si="71"/>
        <v>51890.058495615478</v>
      </c>
      <c r="AM37" t="s">
        <v>414</v>
      </c>
      <c r="AN37">
        <v>7361.72</v>
      </c>
      <c r="AO37">
        <v>541.39076923076925</v>
      </c>
      <c r="AP37">
        <v>2141.9899999999998</v>
      </c>
      <c r="AQ37">
        <f t="shared" si="72"/>
        <v>0.74724869433061347</v>
      </c>
      <c r="AR37">
        <v>-0.96077199609010144</v>
      </c>
      <c r="AS37" t="s">
        <v>527</v>
      </c>
      <c r="AT37">
        <v>7346.32</v>
      </c>
      <c r="AU37">
        <v>709.86442307692312</v>
      </c>
      <c r="AV37">
        <v>752.16445978933484</v>
      </c>
      <c r="AW37">
        <f t="shared" si="73"/>
        <v>5.6237749819047611E-2</v>
      </c>
      <c r="AX37">
        <v>0.5</v>
      </c>
      <c r="AY37">
        <f t="shared" si="74"/>
        <v>1513.2131934067463</v>
      </c>
      <c r="AZ37">
        <f t="shared" si="75"/>
        <v>1.5128227036567228</v>
      </c>
      <c r="BA37">
        <f t="shared" si="76"/>
        <v>42.549852496845354</v>
      </c>
      <c r="BB37">
        <f t="shared" si="77"/>
        <v>1.63466371462037E-3</v>
      </c>
      <c r="BC37">
        <f t="shared" si="78"/>
        <v>1.8477681604365159</v>
      </c>
      <c r="BD37">
        <f t="shared" si="79"/>
        <v>369.03970172111008</v>
      </c>
      <c r="BE37" t="s">
        <v>528</v>
      </c>
      <c r="BF37">
        <v>602.96</v>
      </c>
      <c r="BG37">
        <f t="shared" si="80"/>
        <v>602.96</v>
      </c>
      <c r="BH37">
        <f t="shared" si="81"/>
        <v>0.19836680375874682</v>
      </c>
      <c r="BI37">
        <f t="shared" si="82"/>
        <v>0.28350383609267521</v>
      </c>
      <c r="BJ37">
        <f t="shared" si="83"/>
        <v>0.90305292308185359</v>
      </c>
      <c r="BK37">
        <f t="shared" si="84"/>
        <v>0.20068935833648666</v>
      </c>
      <c r="BL37">
        <f t="shared" si="85"/>
        <v>0.86831576168053637</v>
      </c>
      <c r="BM37">
        <f t="shared" si="86"/>
        <v>0.24080862127093206</v>
      </c>
      <c r="BN37">
        <f t="shared" si="87"/>
        <v>0.75919137872906794</v>
      </c>
      <c r="BO37">
        <v>1471</v>
      </c>
      <c r="BP37">
        <v>290.00000000000011</v>
      </c>
      <c r="BQ37">
        <v>738.05</v>
      </c>
      <c r="BR37">
        <v>75</v>
      </c>
      <c r="BS37">
        <v>7346.32</v>
      </c>
      <c r="BT37">
        <v>738.15</v>
      </c>
      <c r="BU37">
        <v>-0.1</v>
      </c>
      <c r="BV37">
        <v>300.00000000000011</v>
      </c>
      <c r="BW37">
        <v>37.9</v>
      </c>
      <c r="BX37">
        <v>752.16445978933484</v>
      </c>
      <c r="BY37">
        <v>1.0342511268811321</v>
      </c>
      <c r="BZ37">
        <v>-10.29778959230158</v>
      </c>
      <c r="CA37">
        <v>0.63559452831391472</v>
      </c>
      <c r="CB37">
        <v>0.90361414108144644</v>
      </c>
      <c r="CC37">
        <v>-7.2223839822024441E-3</v>
      </c>
      <c r="CD37">
        <v>289.99999999999989</v>
      </c>
      <c r="CE37">
        <v>737.14</v>
      </c>
      <c r="CF37">
        <v>775</v>
      </c>
      <c r="CG37">
        <v>7322.11</v>
      </c>
      <c r="CH37">
        <v>738.1</v>
      </c>
      <c r="CI37">
        <v>-0.96</v>
      </c>
      <c r="CW37">
        <f t="shared" si="88"/>
        <v>1800.03</v>
      </c>
      <c r="CX37">
        <f t="shared" si="89"/>
        <v>1513.2131934067463</v>
      </c>
      <c r="CY37">
        <f t="shared" si="90"/>
        <v>0.84065998533732567</v>
      </c>
      <c r="CZ37">
        <f t="shared" si="91"/>
        <v>0.1608737717010387</v>
      </c>
      <c r="DA37">
        <v>6</v>
      </c>
      <c r="DB37">
        <v>0.5</v>
      </c>
      <c r="DC37" t="s">
        <v>415</v>
      </c>
      <c r="DD37">
        <v>2</v>
      </c>
      <c r="DE37">
        <v>1691167451.0999999</v>
      </c>
      <c r="DF37">
        <v>8.1057000000000006</v>
      </c>
      <c r="DG37">
        <v>9.9965799999999998</v>
      </c>
      <c r="DH37">
        <v>26.265000000000001</v>
      </c>
      <c r="DI37">
        <v>17.193899999999999</v>
      </c>
      <c r="DJ37">
        <v>8.5759399999999992</v>
      </c>
      <c r="DK37">
        <v>25.918099999999999</v>
      </c>
      <c r="DL37">
        <v>500.005</v>
      </c>
      <c r="DM37">
        <v>99.1297</v>
      </c>
      <c r="DN37">
        <v>9.9335199999999998E-2</v>
      </c>
      <c r="DO37">
        <v>30.191700000000001</v>
      </c>
      <c r="DP37">
        <v>30.0153</v>
      </c>
      <c r="DQ37">
        <v>999.9</v>
      </c>
      <c r="DR37">
        <v>0</v>
      </c>
      <c r="DS37">
        <v>0</v>
      </c>
      <c r="DT37">
        <v>10005</v>
      </c>
      <c r="DU37">
        <v>0</v>
      </c>
      <c r="DV37">
        <v>377.12099999999998</v>
      </c>
      <c r="DW37">
        <v>-1.8908799999999999</v>
      </c>
      <c r="DX37">
        <v>8.3243399999999994</v>
      </c>
      <c r="DY37">
        <v>10.1715</v>
      </c>
      <c r="DZ37">
        <v>9.0710899999999999</v>
      </c>
      <c r="EA37">
        <v>9.9965799999999998</v>
      </c>
      <c r="EB37">
        <v>17.193899999999999</v>
      </c>
      <c r="EC37">
        <v>2.60364</v>
      </c>
      <c r="ED37">
        <v>1.70442</v>
      </c>
      <c r="EE37">
        <v>21.689299999999999</v>
      </c>
      <c r="EF37">
        <v>14.9368</v>
      </c>
      <c r="EG37">
        <v>1800.03</v>
      </c>
      <c r="EH37">
        <v>0.97800200000000004</v>
      </c>
      <c r="EI37">
        <v>2.1998199999999999E-2</v>
      </c>
      <c r="EJ37">
        <v>0</v>
      </c>
      <c r="EK37">
        <v>709.83500000000004</v>
      </c>
      <c r="EL37">
        <v>9.9989999999999996E-2</v>
      </c>
      <c r="EM37">
        <v>13853.5</v>
      </c>
      <c r="EN37">
        <v>16705.599999999999</v>
      </c>
      <c r="EO37">
        <v>49.186999999999998</v>
      </c>
      <c r="EP37">
        <v>51.436999999999998</v>
      </c>
      <c r="EQ37">
        <v>50.25</v>
      </c>
      <c r="ER37">
        <v>49.875</v>
      </c>
      <c r="ES37">
        <v>50.25</v>
      </c>
      <c r="ET37">
        <v>1760.34</v>
      </c>
      <c r="EU37">
        <v>39.6</v>
      </c>
      <c r="EV37">
        <v>0</v>
      </c>
      <c r="EW37">
        <v>156.5999999046326</v>
      </c>
      <c r="EX37">
        <v>0</v>
      </c>
      <c r="EY37">
        <v>709.86442307692312</v>
      </c>
      <c r="EZ37">
        <v>-4.047350397534049</v>
      </c>
      <c r="FA37">
        <v>-195.02222242335941</v>
      </c>
      <c r="FB37">
        <v>13886.74615384615</v>
      </c>
      <c r="FC37">
        <v>15</v>
      </c>
      <c r="FD37">
        <v>1691167419.5999999</v>
      </c>
      <c r="FE37" t="s">
        <v>529</v>
      </c>
      <c r="FF37">
        <v>1691167413.0999999</v>
      </c>
      <c r="FG37">
        <v>1691167419.5999999</v>
      </c>
      <c r="FH37">
        <v>41</v>
      </c>
      <c r="FI37">
        <v>-5.5E-2</v>
      </c>
      <c r="FJ37">
        <v>-1E-3</v>
      </c>
      <c r="FK37">
        <v>-0.47299999999999998</v>
      </c>
      <c r="FL37">
        <v>6.8000000000000005E-2</v>
      </c>
      <c r="FM37">
        <v>10</v>
      </c>
      <c r="FN37">
        <v>18</v>
      </c>
      <c r="FO37">
        <v>0.81</v>
      </c>
      <c r="FP37">
        <v>0.03</v>
      </c>
      <c r="FQ37">
        <v>1.5426326364975831</v>
      </c>
      <c r="FR37">
        <v>-0.61196131605141213</v>
      </c>
      <c r="FS37">
        <v>5.9283757499803177E-2</v>
      </c>
      <c r="FT37">
        <v>1</v>
      </c>
      <c r="FU37">
        <v>0.49541258639011382</v>
      </c>
      <c r="FV37">
        <v>-4.8563577307887719E-2</v>
      </c>
      <c r="FW37">
        <v>5.2944889128189922E-3</v>
      </c>
      <c r="FX37">
        <v>1</v>
      </c>
      <c r="FY37">
        <v>2</v>
      </c>
      <c r="FZ37">
        <v>2</v>
      </c>
      <c r="GA37" t="s">
        <v>416</v>
      </c>
      <c r="GB37">
        <v>2.96793</v>
      </c>
      <c r="GC37">
        <v>2.81107</v>
      </c>
      <c r="GD37">
        <v>2.4654899999999999E-3</v>
      </c>
      <c r="GE37">
        <v>2.8367700000000002E-3</v>
      </c>
      <c r="GF37">
        <v>0.12607399999999999</v>
      </c>
      <c r="GG37">
        <v>9.2934199999999995E-2</v>
      </c>
      <c r="GH37">
        <v>29370.2</v>
      </c>
      <c r="GI37">
        <v>27104.1</v>
      </c>
      <c r="GJ37">
        <v>26472.400000000001</v>
      </c>
      <c r="GK37">
        <v>25656.2</v>
      </c>
      <c r="GL37">
        <v>31483.7</v>
      </c>
      <c r="GM37">
        <v>32847.699999999997</v>
      </c>
      <c r="GN37">
        <v>37475.599999999999</v>
      </c>
      <c r="GO37">
        <v>38038.199999999997</v>
      </c>
      <c r="GP37">
        <v>1.9353</v>
      </c>
      <c r="GQ37">
        <v>1.8592</v>
      </c>
      <c r="GR37">
        <v>-3.5658500000000003E-2</v>
      </c>
      <c r="GS37">
        <v>0</v>
      </c>
      <c r="GT37">
        <v>30.595300000000002</v>
      </c>
      <c r="GU37">
        <v>999.9</v>
      </c>
      <c r="GV37">
        <v>29.7</v>
      </c>
      <c r="GW37">
        <v>46.8</v>
      </c>
      <c r="GX37">
        <v>31.668399999999998</v>
      </c>
      <c r="GY37">
        <v>61.546799999999998</v>
      </c>
      <c r="GZ37">
        <v>14.2788</v>
      </c>
      <c r="HA37">
        <v>1</v>
      </c>
      <c r="HB37">
        <v>0.54515199999999997</v>
      </c>
      <c r="HC37">
        <v>4.7186000000000003</v>
      </c>
      <c r="HD37">
        <v>20.2349</v>
      </c>
      <c r="HE37">
        <v>5.2011200000000004</v>
      </c>
      <c r="HF37">
        <v>11.9381</v>
      </c>
      <c r="HG37">
        <v>4.9846000000000004</v>
      </c>
      <c r="HH37">
        <v>3.2894000000000001</v>
      </c>
      <c r="HI37">
        <v>9999</v>
      </c>
      <c r="HJ37">
        <v>9999</v>
      </c>
      <c r="HK37">
        <v>9999</v>
      </c>
      <c r="HL37">
        <v>999.9</v>
      </c>
      <c r="HM37">
        <v>1.8711100000000001</v>
      </c>
      <c r="HN37">
        <v>1.877</v>
      </c>
      <c r="HO37">
        <v>1.87483</v>
      </c>
      <c r="HP37">
        <v>1.8730199999999999</v>
      </c>
      <c r="HQ37">
        <v>1.87357</v>
      </c>
      <c r="HR37">
        <v>1.8709499999999999</v>
      </c>
      <c r="HS37">
        <v>1.87683</v>
      </c>
      <c r="HT37">
        <v>1.8760399999999999</v>
      </c>
      <c r="HU37">
        <v>5</v>
      </c>
      <c r="HV37">
        <v>0</v>
      </c>
      <c r="HW37">
        <v>0</v>
      </c>
      <c r="HX37">
        <v>0</v>
      </c>
      <c r="HY37" t="s">
        <v>417</v>
      </c>
      <c r="HZ37" t="s">
        <v>418</v>
      </c>
      <c r="IA37" t="s">
        <v>419</v>
      </c>
      <c r="IB37" t="s">
        <v>420</v>
      </c>
      <c r="IC37" t="s">
        <v>420</v>
      </c>
      <c r="ID37" t="s">
        <v>419</v>
      </c>
      <c r="IE37">
        <v>0</v>
      </c>
      <c r="IF37">
        <v>100</v>
      </c>
      <c r="IG37">
        <v>100</v>
      </c>
      <c r="IH37">
        <v>-0.47</v>
      </c>
      <c r="II37">
        <v>0.34689999999999999</v>
      </c>
      <c r="IJ37">
        <v>-0.45649855245927379</v>
      </c>
      <c r="IK37">
        <v>-1.615681629159814E-3</v>
      </c>
      <c r="IL37">
        <v>1.5005605225991581E-6</v>
      </c>
      <c r="IM37">
        <v>-5.1143626075267638E-10</v>
      </c>
      <c r="IN37">
        <v>-0.1797105403222943</v>
      </c>
      <c r="IO37">
        <v>-1.7182111142928099E-3</v>
      </c>
      <c r="IP37">
        <v>9.9985895407488957E-4</v>
      </c>
      <c r="IQ37">
        <v>-5.7750407166627208E-6</v>
      </c>
      <c r="IR37">
        <v>3</v>
      </c>
      <c r="IS37">
        <v>2181</v>
      </c>
      <c r="IT37">
        <v>2</v>
      </c>
      <c r="IU37">
        <v>42</v>
      </c>
      <c r="IV37">
        <v>0.6</v>
      </c>
      <c r="IW37">
        <v>0.5</v>
      </c>
      <c r="IX37">
        <v>0.159912</v>
      </c>
      <c r="IY37">
        <v>2.6196299999999999</v>
      </c>
      <c r="IZ37">
        <v>1.5991200000000001</v>
      </c>
      <c r="JA37">
        <v>2.2729499999999998</v>
      </c>
      <c r="JB37">
        <v>1.5502899999999999</v>
      </c>
      <c r="JC37">
        <v>2.4206500000000002</v>
      </c>
      <c r="JD37">
        <v>50.542499999999997</v>
      </c>
      <c r="JE37">
        <v>15.086399999999999</v>
      </c>
      <c r="JF37">
        <v>18</v>
      </c>
      <c r="JG37">
        <v>503.88200000000001</v>
      </c>
      <c r="JH37">
        <v>425.41199999999998</v>
      </c>
      <c r="JI37">
        <v>24.048500000000001</v>
      </c>
      <c r="JJ37">
        <v>34.015999999999998</v>
      </c>
      <c r="JK37">
        <v>30.0014</v>
      </c>
      <c r="JL37">
        <v>33.993299999999998</v>
      </c>
      <c r="JM37">
        <v>33.970100000000002</v>
      </c>
      <c r="JN37">
        <v>3.2623099999999998</v>
      </c>
      <c r="JO37">
        <v>50.558900000000001</v>
      </c>
      <c r="JP37">
        <v>0</v>
      </c>
      <c r="JQ37">
        <v>24.036100000000001</v>
      </c>
      <c r="JR37">
        <v>10</v>
      </c>
      <c r="JS37">
        <v>17.154800000000002</v>
      </c>
      <c r="JT37">
        <v>98.837699999999998</v>
      </c>
      <c r="JU37">
        <v>98.728300000000004</v>
      </c>
    </row>
    <row r="38" spans="1:281" x14ac:dyDescent="0.25">
      <c r="A38">
        <v>22</v>
      </c>
      <c r="B38">
        <v>1691167616.0999999</v>
      </c>
      <c r="C38">
        <v>7885.5</v>
      </c>
      <c r="D38" t="s">
        <v>530</v>
      </c>
      <c r="E38" t="s">
        <v>531</v>
      </c>
      <c r="F38" t="s">
        <v>411</v>
      </c>
      <c r="G38" t="s">
        <v>495</v>
      </c>
      <c r="H38" t="s">
        <v>496</v>
      </c>
      <c r="I38" t="s">
        <v>413</v>
      </c>
      <c r="J38">
        <v>1691167616.0999999</v>
      </c>
      <c r="K38">
        <f t="shared" si="46"/>
        <v>7.6415291251013132E-3</v>
      </c>
      <c r="L38">
        <f t="shared" si="47"/>
        <v>7.6415291251013135</v>
      </c>
      <c r="M38">
        <f t="shared" si="48"/>
        <v>42.81939422880658</v>
      </c>
      <c r="N38">
        <f t="shared" si="49"/>
        <v>345.49900000000002</v>
      </c>
      <c r="O38">
        <f t="shared" si="50"/>
        <v>184.86160361526899</v>
      </c>
      <c r="P38">
        <f t="shared" si="51"/>
        <v>18.345630049351399</v>
      </c>
      <c r="Q38">
        <f t="shared" si="52"/>
        <v>34.287254424192007</v>
      </c>
      <c r="R38">
        <f t="shared" si="53"/>
        <v>0.48161525717012843</v>
      </c>
      <c r="S38">
        <f t="shared" si="54"/>
        <v>2.9117832501187686</v>
      </c>
      <c r="T38">
        <f t="shared" si="55"/>
        <v>0.4413383461513099</v>
      </c>
      <c r="U38">
        <f t="shared" si="56"/>
        <v>0.27917395474380008</v>
      </c>
      <c r="V38">
        <f t="shared" si="57"/>
        <v>289.55949301273535</v>
      </c>
      <c r="W38">
        <f t="shared" si="58"/>
        <v>29.907920757784719</v>
      </c>
      <c r="X38">
        <f t="shared" si="59"/>
        <v>29.922799999999999</v>
      </c>
      <c r="Y38">
        <f t="shared" si="60"/>
        <v>4.2415941046193284</v>
      </c>
      <c r="Z38">
        <f t="shared" si="61"/>
        <v>59.960421725390901</v>
      </c>
      <c r="AA38">
        <f t="shared" si="62"/>
        <v>2.5823885118335999</v>
      </c>
      <c r="AB38">
        <f t="shared" si="63"/>
        <v>4.3068217959848987</v>
      </c>
      <c r="AC38">
        <f t="shared" si="64"/>
        <v>1.6592055927857285</v>
      </c>
      <c r="AD38">
        <f t="shared" si="65"/>
        <v>-336.99143441696793</v>
      </c>
      <c r="AE38">
        <f t="shared" si="66"/>
        <v>41.725299570671488</v>
      </c>
      <c r="AF38">
        <f t="shared" si="67"/>
        <v>3.1880056451674643</v>
      </c>
      <c r="AG38">
        <f t="shared" si="68"/>
        <v>-2.5186361883936641</v>
      </c>
      <c r="AH38">
        <v>0</v>
      </c>
      <c r="AI38">
        <v>0</v>
      </c>
      <c r="AJ38">
        <f t="shared" si="69"/>
        <v>1</v>
      </c>
      <c r="AK38">
        <f t="shared" si="70"/>
        <v>0</v>
      </c>
      <c r="AL38">
        <f t="shared" si="71"/>
        <v>51796.150718967627</v>
      </c>
      <c r="AM38" t="s">
        <v>414</v>
      </c>
      <c r="AN38">
        <v>7361.72</v>
      </c>
      <c r="AO38">
        <v>541.39076923076925</v>
      </c>
      <c r="AP38">
        <v>2141.9899999999998</v>
      </c>
      <c r="AQ38">
        <f t="shared" si="72"/>
        <v>0.74724869433061347</v>
      </c>
      <c r="AR38">
        <v>-0.96077199609010144</v>
      </c>
      <c r="AS38" t="s">
        <v>532</v>
      </c>
      <c r="AT38">
        <v>7330.63</v>
      </c>
      <c r="AU38">
        <v>690.8523076923077</v>
      </c>
      <c r="AV38">
        <v>994.84636159963225</v>
      </c>
      <c r="AW38">
        <f t="shared" si="73"/>
        <v>0.30556884524212036</v>
      </c>
      <c r="AX38">
        <v>0.5</v>
      </c>
      <c r="AY38">
        <f t="shared" si="74"/>
        <v>1513.1205000065986</v>
      </c>
      <c r="AZ38">
        <f t="shared" si="75"/>
        <v>42.81939422880658</v>
      </c>
      <c r="BA38">
        <f t="shared" si="76"/>
        <v>231.18124194959805</v>
      </c>
      <c r="BB38">
        <f t="shared" si="77"/>
        <v>2.8933694457715535E-2</v>
      </c>
      <c r="BC38">
        <f t="shared" si="78"/>
        <v>1.1530862278632186</v>
      </c>
      <c r="BD38">
        <f t="shared" si="79"/>
        <v>419.21349158016153</v>
      </c>
      <c r="BE38" t="s">
        <v>533</v>
      </c>
      <c r="BF38">
        <v>553.04</v>
      </c>
      <c r="BG38">
        <f t="shared" si="80"/>
        <v>553.04</v>
      </c>
      <c r="BH38">
        <f t="shared" si="81"/>
        <v>0.44409506699028733</v>
      </c>
      <c r="BI38">
        <f t="shared" si="82"/>
        <v>0.68807079374471725</v>
      </c>
      <c r="BJ38">
        <f t="shared" si="83"/>
        <v>0.72195074634215528</v>
      </c>
      <c r="BK38">
        <f t="shared" si="84"/>
        <v>0.67039432090638085</v>
      </c>
      <c r="BL38">
        <f t="shared" si="85"/>
        <v>0.71669635743174942</v>
      </c>
      <c r="BM38">
        <f t="shared" si="86"/>
        <v>0.55081334684063821</v>
      </c>
      <c r="BN38">
        <f t="shared" si="87"/>
        <v>0.44918665315936179</v>
      </c>
      <c r="BO38">
        <v>1473</v>
      </c>
      <c r="BP38">
        <v>290.00000000000011</v>
      </c>
      <c r="BQ38">
        <v>878.93</v>
      </c>
      <c r="BR38">
        <v>295</v>
      </c>
      <c r="BS38">
        <v>7330.63</v>
      </c>
      <c r="BT38">
        <v>881.25</v>
      </c>
      <c r="BU38">
        <v>-2.3199999999999998</v>
      </c>
      <c r="BV38">
        <v>300.00000000000011</v>
      </c>
      <c r="BW38">
        <v>37.9</v>
      </c>
      <c r="BX38">
        <v>994.84636159963225</v>
      </c>
      <c r="BY38">
        <v>1.4234274147311621</v>
      </c>
      <c r="BZ38">
        <v>-83.271545976663674</v>
      </c>
      <c r="CA38">
        <v>0.87475283247925995</v>
      </c>
      <c r="CB38">
        <v>0.99691968123966013</v>
      </c>
      <c r="CC38">
        <v>-7.2227570634037777E-3</v>
      </c>
      <c r="CD38">
        <v>289.99999999999989</v>
      </c>
      <c r="CE38">
        <v>864.91</v>
      </c>
      <c r="CF38">
        <v>665</v>
      </c>
      <c r="CG38">
        <v>7325.4</v>
      </c>
      <c r="CH38">
        <v>881.17</v>
      </c>
      <c r="CI38">
        <v>-16.260000000000002</v>
      </c>
      <c r="CW38">
        <f t="shared" si="88"/>
        <v>1799.92</v>
      </c>
      <c r="CX38">
        <f t="shared" si="89"/>
        <v>1513.1205000065986</v>
      </c>
      <c r="CY38">
        <f t="shared" si="90"/>
        <v>0.84065986266422876</v>
      </c>
      <c r="CZ38">
        <f t="shared" si="91"/>
        <v>0.16087353494196149</v>
      </c>
      <c r="DA38">
        <v>6</v>
      </c>
      <c r="DB38">
        <v>0.5</v>
      </c>
      <c r="DC38" t="s">
        <v>415</v>
      </c>
      <c r="DD38">
        <v>2</v>
      </c>
      <c r="DE38">
        <v>1691167616.0999999</v>
      </c>
      <c r="DF38">
        <v>345.49900000000002</v>
      </c>
      <c r="DG38">
        <v>400.02100000000002</v>
      </c>
      <c r="DH38">
        <v>26.021699999999999</v>
      </c>
      <c r="DI38">
        <v>17.095300000000002</v>
      </c>
      <c r="DJ38">
        <v>346.185</v>
      </c>
      <c r="DK38">
        <v>25.686699999999998</v>
      </c>
      <c r="DL38">
        <v>500.27</v>
      </c>
      <c r="DM38">
        <v>99.139399999999995</v>
      </c>
      <c r="DN38">
        <v>0.100408</v>
      </c>
      <c r="DO38">
        <v>30.188600000000001</v>
      </c>
      <c r="DP38">
        <v>29.922799999999999</v>
      </c>
      <c r="DQ38">
        <v>999.9</v>
      </c>
      <c r="DR38">
        <v>0</v>
      </c>
      <c r="DS38">
        <v>0</v>
      </c>
      <c r="DT38">
        <v>9985</v>
      </c>
      <c r="DU38">
        <v>0</v>
      </c>
      <c r="DV38">
        <v>379.74099999999999</v>
      </c>
      <c r="DW38">
        <v>-54.521900000000002</v>
      </c>
      <c r="DX38">
        <v>354.73</v>
      </c>
      <c r="DY38">
        <v>406.97800000000001</v>
      </c>
      <c r="DZ38">
        <v>8.9264100000000006</v>
      </c>
      <c r="EA38">
        <v>400.02100000000002</v>
      </c>
      <c r="EB38">
        <v>17.095300000000002</v>
      </c>
      <c r="EC38">
        <v>2.57978</v>
      </c>
      <c r="ED38">
        <v>1.69482</v>
      </c>
      <c r="EE38">
        <v>21.538799999999998</v>
      </c>
      <c r="EF38">
        <v>14.8491</v>
      </c>
      <c r="EG38">
        <v>1799.92</v>
      </c>
      <c r="EH38">
        <v>0.97800200000000004</v>
      </c>
      <c r="EI38">
        <v>2.1998199999999999E-2</v>
      </c>
      <c r="EJ38">
        <v>0</v>
      </c>
      <c r="EK38">
        <v>692.14499999999998</v>
      </c>
      <c r="EL38">
        <v>9.9989999999999996E-2</v>
      </c>
      <c r="EM38">
        <v>12887.6</v>
      </c>
      <c r="EN38">
        <v>16704.5</v>
      </c>
      <c r="EO38">
        <v>49.375</v>
      </c>
      <c r="EP38">
        <v>51.686999999999998</v>
      </c>
      <c r="EQ38">
        <v>50.436999999999998</v>
      </c>
      <c r="ER38">
        <v>49.936999999999998</v>
      </c>
      <c r="ES38">
        <v>50.375</v>
      </c>
      <c r="ET38">
        <v>1760.23</v>
      </c>
      <c r="EU38">
        <v>39.590000000000003</v>
      </c>
      <c r="EV38">
        <v>0</v>
      </c>
      <c r="EW38">
        <v>162.5999999046326</v>
      </c>
      <c r="EX38">
        <v>0</v>
      </c>
      <c r="EY38">
        <v>690.8523076923077</v>
      </c>
      <c r="EZ38">
        <v>-15.66803418876785</v>
      </c>
      <c r="FA38">
        <v>-290.49572673675971</v>
      </c>
      <c r="FB38">
        <v>12927.66923076923</v>
      </c>
      <c r="FC38">
        <v>15</v>
      </c>
      <c r="FD38">
        <v>1691167547.5999999</v>
      </c>
      <c r="FE38" t="s">
        <v>534</v>
      </c>
      <c r="FF38">
        <v>1691167538.5999999</v>
      </c>
      <c r="FG38">
        <v>1691167547.5999999</v>
      </c>
      <c r="FH38">
        <v>42</v>
      </c>
      <c r="FI38">
        <v>0.17199999999999999</v>
      </c>
      <c r="FJ38">
        <v>-3.0000000000000001E-3</v>
      </c>
      <c r="FK38">
        <v>-0.72399999999999998</v>
      </c>
      <c r="FL38">
        <v>4.4999999999999998E-2</v>
      </c>
      <c r="FM38">
        <v>400</v>
      </c>
      <c r="FN38">
        <v>17</v>
      </c>
      <c r="FO38">
        <v>0.18</v>
      </c>
      <c r="FP38">
        <v>0.02</v>
      </c>
      <c r="FQ38">
        <v>42.718883944144743</v>
      </c>
      <c r="FR38">
        <v>0.64795859282890855</v>
      </c>
      <c r="FS38">
        <v>8.2840013966306136E-2</v>
      </c>
      <c r="FT38">
        <v>1</v>
      </c>
      <c r="FU38">
        <v>0.48548529725471801</v>
      </c>
      <c r="FV38">
        <v>-3.7035285034825713E-2</v>
      </c>
      <c r="FW38">
        <v>2.865149178742196E-3</v>
      </c>
      <c r="FX38">
        <v>1</v>
      </c>
      <c r="FY38">
        <v>2</v>
      </c>
      <c r="FZ38">
        <v>2</v>
      </c>
      <c r="GA38" t="s">
        <v>416</v>
      </c>
      <c r="GB38">
        <v>2.96828</v>
      </c>
      <c r="GC38">
        <v>2.8119700000000001</v>
      </c>
      <c r="GD38">
        <v>8.5726300000000005E-2</v>
      </c>
      <c r="GE38">
        <v>9.4962299999999999E-2</v>
      </c>
      <c r="GF38">
        <v>0.12520200000000001</v>
      </c>
      <c r="GG38">
        <v>9.2491500000000004E-2</v>
      </c>
      <c r="GH38">
        <v>26905.200000000001</v>
      </c>
      <c r="GI38">
        <v>24580.6</v>
      </c>
      <c r="GJ38">
        <v>26460.1</v>
      </c>
      <c r="GK38">
        <v>25638</v>
      </c>
      <c r="GL38">
        <v>31508.6</v>
      </c>
      <c r="GM38">
        <v>32850.1</v>
      </c>
      <c r="GN38">
        <v>37457.300000000003</v>
      </c>
      <c r="GO38">
        <v>38014.199999999997</v>
      </c>
      <c r="GP38">
        <v>1.9306000000000001</v>
      </c>
      <c r="GQ38">
        <v>1.8546</v>
      </c>
      <c r="GR38">
        <v>-4.9605999999999997E-2</v>
      </c>
      <c r="GS38">
        <v>0</v>
      </c>
      <c r="GT38">
        <v>30.729600000000001</v>
      </c>
      <c r="GU38">
        <v>999.9</v>
      </c>
      <c r="GV38">
        <v>29.5</v>
      </c>
      <c r="GW38">
        <v>46.9</v>
      </c>
      <c r="GX38">
        <v>31.610099999999999</v>
      </c>
      <c r="GY38">
        <v>61.606900000000003</v>
      </c>
      <c r="GZ38">
        <v>14.286899999999999</v>
      </c>
      <c r="HA38">
        <v>1</v>
      </c>
      <c r="HB38">
        <v>0.57469499999999996</v>
      </c>
      <c r="HC38">
        <v>4.26234</v>
      </c>
      <c r="HD38">
        <v>20.248000000000001</v>
      </c>
      <c r="HE38">
        <v>5.2107000000000001</v>
      </c>
      <c r="HF38">
        <v>11.9381</v>
      </c>
      <c r="HG38">
        <v>4.9875999999999996</v>
      </c>
      <c r="HH38">
        <v>3.2909999999999999</v>
      </c>
      <c r="HI38">
        <v>9999</v>
      </c>
      <c r="HJ38">
        <v>9999</v>
      </c>
      <c r="HK38">
        <v>9999</v>
      </c>
      <c r="HL38">
        <v>999.9</v>
      </c>
      <c r="HM38">
        <v>1.8711100000000001</v>
      </c>
      <c r="HN38">
        <v>1.87706</v>
      </c>
      <c r="HO38">
        <v>1.8748499999999999</v>
      </c>
      <c r="HP38">
        <v>1.8730500000000001</v>
      </c>
      <c r="HQ38">
        <v>1.8736299999999999</v>
      </c>
      <c r="HR38">
        <v>1.8710100000000001</v>
      </c>
      <c r="HS38">
        <v>1.87683</v>
      </c>
      <c r="HT38">
        <v>1.8759999999999999</v>
      </c>
      <c r="HU38">
        <v>5</v>
      </c>
      <c r="HV38">
        <v>0</v>
      </c>
      <c r="HW38">
        <v>0</v>
      </c>
      <c r="HX38">
        <v>0</v>
      </c>
      <c r="HY38" t="s">
        <v>417</v>
      </c>
      <c r="HZ38" t="s">
        <v>418</v>
      </c>
      <c r="IA38" t="s">
        <v>419</v>
      </c>
      <c r="IB38" t="s">
        <v>420</v>
      </c>
      <c r="IC38" t="s">
        <v>420</v>
      </c>
      <c r="ID38" t="s">
        <v>419</v>
      </c>
      <c r="IE38">
        <v>0</v>
      </c>
      <c r="IF38">
        <v>100</v>
      </c>
      <c r="IG38">
        <v>100</v>
      </c>
      <c r="IH38">
        <v>-0.68600000000000005</v>
      </c>
      <c r="II38">
        <v>0.33500000000000002</v>
      </c>
      <c r="IJ38">
        <v>-0.28483521384242139</v>
      </c>
      <c r="IK38">
        <v>-1.615681629159814E-3</v>
      </c>
      <c r="IL38">
        <v>1.5005605225991581E-6</v>
      </c>
      <c r="IM38">
        <v>-5.1143626075267638E-10</v>
      </c>
      <c r="IN38">
        <v>-0.18270227398035691</v>
      </c>
      <c r="IO38">
        <v>-1.7182111142928099E-3</v>
      </c>
      <c r="IP38">
        <v>9.9985895407488957E-4</v>
      </c>
      <c r="IQ38">
        <v>-5.7750407166627208E-6</v>
      </c>
      <c r="IR38">
        <v>3</v>
      </c>
      <c r="IS38">
        <v>2181</v>
      </c>
      <c r="IT38">
        <v>2</v>
      </c>
      <c r="IU38">
        <v>42</v>
      </c>
      <c r="IV38">
        <v>1.3</v>
      </c>
      <c r="IW38">
        <v>1.1000000000000001</v>
      </c>
      <c r="IX38">
        <v>0.94726600000000005</v>
      </c>
      <c r="IY38">
        <v>2.5647000000000002</v>
      </c>
      <c r="IZ38">
        <v>1.5991200000000001</v>
      </c>
      <c r="JA38">
        <v>2.2729499999999998</v>
      </c>
      <c r="JB38">
        <v>1.5502899999999999</v>
      </c>
      <c r="JC38">
        <v>2.4316399999999998</v>
      </c>
      <c r="JD38">
        <v>51.066699999999997</v>
      </c>
      <c r="JE38">
        <v>15.051399999999999</v>
      </c>
      <c r="JF38">
        <v>18</v>
      </c>
      <c r="JG38">
        <v>503.16500000000002</v>
      </c>
      <c r="JH38">
        <v>424.65300000000002</v>
      </c>
      <c r="JI38">
        <v>24.151199999999999</v>
      </c>
      <c r="JJ38">
        <v>34.387099999999997</v>
      </c>
      <c r="JK38">
        <v>30.0001</v>
      </c>
      <c r="JL38">
        <v>34.298000000000002</v>
      </c>
      <c r="JM38">
        <v>34.265000000000001</v>
      </c>
      <c r="JN38">
        <v>18.991800000000001</v>
      </c>
      <c r="JO38">
        <v>49.981499999999997</v>
      </c>
      <c r="JP38">
        <v>0</v>
      </c>
      <c r="JQ38">
        <v>24.162600000000001</v>
      </c>
      <c r="JR38">
        <v>400</v>
      </c>
      <c r="JS38">
        <v>17.254000000000001</v>
      </c>
      <c r="JT38">
        <v>98.790400000000005</v>
      </c>
      <c r="JU38">
        <v>98.662899999999993</v>
      </c>
    </row>
    <row r="39" spans="1:281" x14ac:dyDescent="0.25">
      <c r="A39">
        <v>23</v>
      </c>
      <c r="B39">
        <v>1691167791.5</v>
      </c>
      <c r="C39">
        <v>8060.9000000953674</v>
      </c>
      <c r="D39" t="s">
        <v>535</v>
      </c>
      <c r="E39" t="s">
        <v>536</v>
      </c>
      <c r="F39" t="s">
        <v>411</v>
      </c>
      <c r="G39" t="s">
        <v>495</v>
      </c>
      <c r="H39" t="s">
        <v>496</v>
      </c>
      <c r="I39" t="s">
        <v>413</v>
      </c>
      <c r="J39">
        <v>1691167791.5</v>
      </c>
      <c r="K39">
        <f t="shared" si="46"/>
        <v>6.5457108246492817E-3</v>
      </c>
      <c r="L39">
        <f t="shared" si="47"/>
        <v>6.5457108246492819</v>
      </c>
      <c r="M39">
        <f t="shared" si="48"/>
        <v>49.349722781535071</v>
      </c>
      <c r="N39">
        <f t="shared" si="49"/>
        <v>338.077</v>
      </c>
      <c r="O39">
        <f t="shared" si="50"/>
        <v>123.94911656945077</v>
      </c>
      <c r="P39">
        <f t="shared" si="51"/>
        <v>12.300682712489122</v>
      </c>
      <c r="Q39">
        <f t="shared" si="52"/>
        <v>33.550686156444407</v>
      </c>
      <c r="R39">
        <f t="shared" si="53"/>
        <v>0.40503233600551319</v>
      </c>
      <c r="S39">
        <f t="shared" si="54"/>
        <v>2.9161678921291818</v>
      </c>
      <c r="T39">
        <f t="shared" si="55"/>
        <v>0.37617463149344099</v>
      </c>
      <c r="U39">
        <f t="shared" si="56"/>
        <v>0.23753033300906556</v>
      </c>
      <c r="V39">
        <f t="shared" si="57"/>
        <v>289.56224701274175</v>
      </c>
      <c r="W39">
        <f t="shared" si="58"/>
        <v>30.217596960947496</v>
      </c>
      <c r="X39">
        <f t="shared" si="59"/>
        <v>29.948399999999999</v>
      </c>
      <c r="Y39">
        <f t="shared" si="60"/>
        <v>4.2478386849768368</v>
      </c>
      <c r="Z39">
        <f t="shared" si="61"/>
        <v>59.832932180347484</v>
      </c>
      <c r="AA39">
        <f t="shared" si="62"/>
        <v>2.5804029148212404</v>
      </c>
      <c r="AB39">
        <f t="shared" si="63"/>
        <v>4.3126800255140934</v>
      </c>
      <c r="AC39">
        <f t="shared" si="64"/>
        <v>1.6674357701555964</v>
      </c>
      <c r="AD39">
        <f t="shared" si="65"/>
        <v>-288.66584736703334</v>
      </c>
      <c r="AE39">
        <f t="shared" si="66"/>
        <v>41.489419413383565</v>
      </c>
      <c r="AF39">
        <f t="shared" si="67"/>
        <v>3.1659894550478849</v>
      </c>
      <c r="AG39">
        <f t="shared" si="68"/>
        <v>45.551808514139886</v>
      </c>
      <c r="AH39">
        <v>0</v>
      </c>
      <c r="AI39">
        <v>0</v>
      </c>
      <c r="AJ39">
        <f t="shared" si="69"/>
        <v>1</v>
      </c>
      <c r="AK39">
        <f t="shared" si="70"/>
        <v>0</v>
      </c>
      <c r="AL39">
        <f t="shared" si="71"/>
        <v>51916.792467396779</v>
      </c>
      <c r="AM39" t="s">
        <v>414</v>
      </c>
      <c r="AN39">
        <v>7361.72</v>
      </c>
      <c r="AO39">
        <v>541.39076923076925</v>
      </c>
      <c r="AP39">
        <v>2141.9899999999998</v>
      </c>
      <c r="AQ39">
        <f t="shared" si="72"/>
        <v>0.74724869433061347</v>
      </c>
      <c r="AR39">
        <v>-0.96077199609010144</v>
      </c>
      <c r="AS39" t="s">
        <v>537</v>
      </c>
      <c r="AT39">
        <v>7333.34</v>
      </c>
      <c r="AU39">
        <v>718.36269230769244</v>
      </c>
      <c r="AV39">
        <v>1074.974402512699</v>
      </c>
      <c r="AW39">
        <f t="shared" si="73"/>
        <v>0.33173972270543794</v>
      </c>
      <c r="AX39">
        <v>0.5</v>
      </c>
      <c r="AY39">
        <f t="shared" si="74"/>
        <v>1513.129500006602</v>
      </c>
      <c r="AZ39">
        <f t="shared" si="75"/>
        <v>49.349722781535071</v>
      </c>
      <c r="BA39">
        <f t="shared" si="76"/>
        <v>250.98258037480406</v>
      </c>
      <c r="BB39">
        <f t="shared" si="77"/>
        <v>3.3249298739734874E-2</v>
      </c>
      <c r="BC39">
        <f t="shared" si="78"/>
        <v>0.99259628414705037</v>
      </c>
      <c r="BD39">
        <f t="shared" si="79"/>
        <v>432.80791624991633</v>
      </c>
      <c r="BE39" t="s">
        <v>538</v>
      </c>
      <c r="BF39">
        <v>567.75</v>
      </c>
      <c r="BG39">
        <f t="shared" si="80"/>
        <v>567.75</v>
      </c>
      <c r="BH39">
        <f t="shared" si="81"/>
        <v>0.47184788896097185</v>
      </c>
      <c r="BI39">
        <f t="shared" si="82"/>
        <v>0.70306497171353732</v>
      </c>
      <c r="BJ39">
        <f t="shared" si="83"/>
        <v>0.67779728471344958</v>
      </c>
      <c r="BK39">
        <f t="shared" si="84"/>
        <v>0.66833329952716813</v>
      </c>
      <c r="BL39">
        <f t="shared" si="85"/>
        <v>0.66663508077190858</v>
      </c>
      <c r="BM39">
        <f t="shared" si="86"/>
        <v>0.55565961590804414</v>
      </c>
      <c r="BN39">
        <f t="shared" si="87"/>
        <v>0.44434038409195586</v>
      </c>
      <c r="BO39">
        <v>1475</v>
      </c>
      <c r="BP39">
        <v>290.00000000000011</v>
      </c>
      <c r="BQ39">
        <v>951.06</v>
      </c>
      <c r="BR39">
        <v>295</v>
      </c>
      <c r="BS39">
        <v>7333.34</v>
      </c>
      <c r="BT39">
        <v>951.81</v>
      </c>
      <c r="BU39">
        <v>-0.75</v>
      </c>
      <c r="BV39">
        <v>300.00000000000011</v>
      </c>
      <c r="BW39">
        <v>37.9</v>
      </c>
      <c r="BX39">
        <v>1074.974402512699</v>
      </c>
      <c r="BY39">
        <v>1.9289696686198881</v>
      </c>
      <c r="BZ39">
        <v>-90.318546603069024</v>
      </c>
      <c r="CA39">
        <v>1.1858785453216301</v>
      </c>
      <c r="CB39">
        <v>0.99519610790801438</v>
      </c>
      <c r="CC39">
        <v>-7.2253107897664046E-3</v>
      </c>
      <c r="CD39">
        <v>289.99999999999989</v>
      </c>
      <c r="CE39">
        <v>940.51</v>
      </c>
      <c r="CF39">
        <v>655</v>
      </c>
      <c r="CG39">
        <v>7328.63</v>
      </c>
      <c r="CH39">
        <v>951.73</v>
      </c>
      <c r="CI39">
        <v>-11.22</v>
      </c>
      <c r="CW39">
        <f t="shared" si="88"/>
        <v>1799.93</v>
      </c>
      <c r="CX39">
        <f t="shared" si="89"/>
        <v>1513.129500006602</v>
      </c>
      <c r="CY39">
        <f t="shared" si="90"/>
        <v>0.84066019234448119</v>
      </c>
      <c r="CZ39">
        <f t="shared" si="91"/>
        <v>0.16087417122484859</v>
      </c>
      <c r="DA39">
        <v>6</v>
      </c>
      <c r="DB39">
        <v>0.5</v>
      </c>
      <c r="DC39" t="s">
        <v>415</v>
      </c>
      <c r="DD39">
        <v>2</v>
      </c>
      <c r="DE39">
        <v>1691167791.5</v>
      </c>
      <c r="DF39">
        <v>338.077</v>
      </c>
      <c r="DG39">
        <v>399.96100000000001</v>
      </c>
      <c r="DH39">
        <v>26.0017</v>
      </c>
      <c r="DI39">
        <v>18.350000000000001</v>
      </c>
      <c r="DJ39">
        <v>338.78899999999999</v>
      </c>
      <c r="DK39">
        <v>25.672699999999999</v>
      </c>
      <c r="DL39">
        <v>499.92899999999997</v>
      </c>
      <c r="DM39">
        <v>99.14</v>
      </c>
      <c r="DN39">
        <v>9.9777199999999996E-2</v>
      </c>
      <c r="DO39">
        <v>30.212299999999999</v>
      </c>
      <c r="DP39">
        <v>29.948399999999999</v>
      </c>
      <c r="DQ39">
        <v>999.9</v>
      </c>
      <c r="DR39">
        <v>0</v>
      </c>
      <c r="DS39">
        <v>0</v>
      </c>
      <c r="DT39">
        <v>10010</v>
      </c>
      <c r="DU39">
        <v>0</v>
      </c>
      <c r="DV39">
        <v>388.71499999999997</v>
      </c>
      <c r="DW39">
        <v>-61.884099999999997</v>
      </c>
      <c r="DX39">
        <v>347.10199999999998</v>
      </c>
      <c r="DY39">
        <v>407.43700000000001</v>
      </c>
      <c r="DZ39">
        <v>7.6516400000000004</v>
      </c>
      <c r="EA39">
        <v>399.96100000000001</v>
      </c>
      <c r="EB39">
        <v>18.350000000000001</v>
      </c>
      <c r="EC39">
        <v>2.5777999999999999</v>
      </c>
      <c r="ED39">
        <v>1.8192200000000001</v>
      </c>
      <c r="EE39">
        <v>21.526299999999999</v>
      </c>
      <c r="EF39">
        <v>15.9529</v>
      </c>
      <c r="EG39">
        <v>1799.93</v>
      </c>
      <c r="EH39">
        <v>0.97799499999999995</v>
      </c>
      <c r="EI39">
        <v>2.2005299999999998E-2</v>
      </c>
      <c r="EJ39">
        <v>0</v>
      </c>
      <c r="EK39">
        <v>718.33</v>
      </c>
      <c r="EL39">
        <v>9.9989999999999996E-2</v>
      </c>
      <c r="EM39">
        <v>13444.8</v>
      </c>
      <c r="EN39">
        <v>16704.599999999999</v>
      </c>
      <c r="EO39">
        <v>48.686999999999998</v>
      </c>
      <c r="EP39">
        <v>50.561999999999998</v>
      </c>
      <c r="EQ39">
        <v>49.686999999999998</v>
      </c>
      <c r="ER39">
        <v>49.186999999999998</v>
      </c>
      <c r="ES39">
        <v>49.75</v>
      </c>
      <c r="ET39">
        <v>1760.22</v>
      </c>
      <c r="EU39">
        <v>39.61</v>
      </c>
      <c r="EV39">
        <v>0</v>
      </c>
      <c r="EW39">
        <v>173.39999985694891</v>
      </c>
      <c r="EX39">
        <v>0</v>
      </c>
      <c r="EY39">
        <v>718.36269230769244</v>
      </c>
      <c r="EZ39">
        <v>6.9705982881527317</v>
      </c>
      <c r="FA39">
        <v>115.0735042155226</v>
      </c>
      <c r="FB39">
        <v>13432.46538461538</v>
      </c>
      <c r="FC39">
        <v>15</v>
      </c>
      <c r="FD39">
        <v>1691167685</v>
      </c>
      <c r="FE39" t="s">
        <v>539</v>
      </c>
      <c r="FF39">
        <v>1691167680.5</v>
      </c>
      <c r="FG39">
        <v>1691167685</v>
      </c>
      <c r="FH39">
        <v>43</v>
      </c>
      <c r="FI39">
        <v>-3.2000000000000001E-2</v>
      </c>
      <c r="FJ39">
        <v>-6.0000000000000001E-3</v>
      </c>
      <c r="FK39">
        <v>-0.75600000000000001</v>
      </c>
      <c r="FL39">
        <v>4.8000000000000001E-2</v>
      </c>
      <c r="FM39">
        <v>400</v>
      </c>
      <c r="FN39">
        <v>17</v>
      </c>
      <c r="FO39">
        <v>0.08</v>
      </c>
      <c r="FP39">
        <v>0.03</v>
      </c>
      <c r="FQ39">
        <v>49.408670195165577</v>
      </c>
      <c r="FR39">
        <v>0.6948756806285189</v>
      </c>
      <c r="FS39">
        <v>8.2839325080417081E-2</v>
      </c>
      <c r="FT39">
        <v>1</v>
      </c>
      <c r="FU39">
        <v>0.40447899653120428</v>
      </c>
      <c r="FV39">
        <v>7.6126259314958471E-3</v>
      </c>
      <c r="FW39">
        <v>9.0577652310838404E-4</v>
      </c>
      <c r="FX39">
        <v>1</v>
      </c>
      <c r="FY39">
        <v>2</v>
      </c>
      <c r="FZ39">
        <v>2</v>
      </c>
      <c r="GA39" t="s">
        <v>416</v>
      </c>
      <c r="GB39">
        <v>2.9673699999999998</v>
      </c>
      <c r="GC39">
        <v>2.8115600000000001</v>
      </c>
      <c r="GD39">
        <v>8.4246299999999996E-2</v>
      </c>
      <c r="GE39">
        <v>9.4951499999999994E-2</v>
      </c>
      <c r="GF39">
        <v>0.125141</v>
      </c>
      <c r="GG39">
        <v>9.7343299999999994E-2</v>
      </c>
      <c r="GH39">
        <v>26950</v>
      </c>
      <c r="GI39">
        <v>24581</v>
      </c>
      <c r="GJ39">
        <v>26461.3</v>
      </c>
      <c r="GK39">
        <v>25638</v>
      </c>
      <c r="GL39">
        <v>31511.5</v>
      </c>
      <c r="GM39">
        <v>32674.6</v>
      </c>
      <c r="GN39">
        <v>37458.300000000003</v>
      </c>
      <c r="GO39">
        <v>38014.300000000003</v>
      </c>
      <c r="GP39">
        <v>1.9292</v>
      </c>
      <c r="GQ39">
        <v>1.8553999999999999</v>
      </c>
      <c r="GR39">
        <v>-2.41399E-3</v>
      </c>
      <c r="GS39">
        <v>0</v>
      </c>
      <c r="GT39">
        <v>29.9876</v>
      </c>
      <c r="GU39">
        <v>999.9</v>
      </c>
      <c r="GV39">
        <v>29.2</v>
      </c>
      <c r="GW39">
        <v>47</v>
      </c>
      <c r="GX39">
        <v>31.450600000000001</v>
      </c>
      <c r="GY39">
        <v>61.686900000000001</v>
      </c>
      <c r="GZ39">
        <v>14.379</v>
      </c>
      <c r="HA39">
        <v>1</v>
      </c>
      <c r="HB39">
        <v>0.56765200000000005</v>
      </c>
      <c r="HC39">
        <v>3.18432</v>
      </c>
      <c r="HD39">
        <v>20.271999999999998</v>
      </c>
      <c r="HE39">
        <v>5.2095000000000002</v>
      </c>
      <c r="HF39">
        <v>11.9381</v>
      </c>
      <c r="HG39">
        <v>4.9867999999999997</v>
      </c>
      <c r="HH39">
        <v>3.2909999999999999</v>
      </c>
      <c r="HI39">
        <v>9999</v>
      </c>
      <c r="HJ39">
        <v>9999</v>
      </c>
      <c r="HK39">
        <v>9999</v>
      </c>
      <c r="HL39">
        <v>999.9</v>
      </c>
      <c r="HM39">
        <v>1.87113</v>
      </c>
      <c r="HN39">
        <v>1.877</v>
      </c>
      <c r="HO39">
        <v>1.8748499999999999</v>
      </c>
      <c r="HP39">
        <v>1.8730500000000001</v>
      </c>
      <c r="HQ39">
        <v>1.87361</v>
      </c>
      <c r="HR39">
        <v>1.87094</v>
      </c>
      <c r="HS39">
        <v>1.8768</v>
      </c>
      <c r="HT39">
        <v>1.8760399999999999</v>
      </c>
      <c r="HU39">
        <v>5</v>
      </c>
      <c r="HV39">
        <v>0</v>
      </c>
      <c r="HW39">
        <v>0</v>
      </c>
      <c r="HX39">
        <v>0</v>
      </c>
      <c r="HY39" t="s">
        <v>417</v>
      </c>
      <c r="HZ39" t="s">
        <v>418</v>
      </c>
      <c r="IA39" t="s">
        <v>419</v>
      </c>
      <c r="IB39" t="s">
        <v>420</v>
      </c>
      <c r="IC39" t="s">
        <v>420</v>
      </c>
      <c r="ID39" t="s">
        <v>419</v>
      </c>
      <c r="IE39">
        <v>0</v>
      </c>
      <c r="IF39">
        <v>100</v>
      </c>
      <c r="IG39">
        <v>100</v>
      </c>
      <c r="IH39">
        <v>-0.71199999999999997</v>
      </c>
      <c r="II39">
        <v>0.32900000000000001</v>
      </c>
      <c r="IJ39">
        <v>-0.31694813276860989</v>
      </c>
      <c r="IK39">
        <v>-1.615681629159814E-3</v>
      </c>
      <c r="IL39">
        <v>1.5005605225991581E-6</v>
      </c>
      <c r="IM39">
        <v>-5.1143626075267638E-10</v>
      </c>
      <c r="IN39">
        <v>-0.1882424674906675</v>
      </c>
      <c r="IO39">
        <v>-1.7182111142928099E-3</v>
      </c>
      <c r="IP39">
        <v>9.9985895407488957E-4</v>
      </c>
      <c r="IQ39">
        <v>-5.7750407166627208E-6</v>
      </c>
      <c r="IR39">
        <v>3</v>
      </c>
      <c r="IS39">
        <v>2181</v>
      </c>
      <c r="IT39">
        <v>2</v>
      </c>
      <c r="IU39">
        <v>42</v>
      </c>
      <c r="IV39">
        <v>1.9</v>
      </c>
      <c r="IW39">
        <v>1.8</v>
      </c>
      <c r="IX39">
        <v>0.94848600000000005</v>
      </c>
      <c r="IY39">
        <v>2.5671400000000002</v>
      </c>
      <c r="IZ39">
        <v>1.5991200000000001</v>
      </c>
      <c r="JA39">
        <v>2.2729499999999998</v>
      </c>
      <c r="JB39">
        <v>1.5502899999999999</v>
      </c>
      <c r="JC39">
        <v>2.3925800000000002</v>
      </c>
      <c r="JD39">
        <v>50.967799999999997</v>
      </c>
      <c r="JE39">
        <v>15.0251</v>
      </c>
      <c r="JF39">
        <v>18</v>
      </c>
      <c r="JG39">
        <v>502.63</v>
      </c>
      <c r="JH39">
        <v>425.45400000000001</v>
      </c>
      <c r="JI39">
        <v>25.404699999999998</v>
      </c>
      <c r="JJ39">
        <v>34.3797</v>
      </c>
      <c r="JK39">
        <v>29.999400000000001</v>
      </c>
      <c r="JL39">
        <v>34.346699999999998</v>
      </c>
      <c r="JM39">
        <v>34.313699999999997</v>
      </c>
      <c r="JN39">
        <v>19.0139</v>
      </c>
      <c r="JO39">
        <v>45.501199999999997</v>
      </c>
      <c r="JP39">
        <v>0</v>
      </c>
      <c r="JQ39">
        <v>25.4025</v>
      </c>
      <c r="JR39">
        <v>400</v>
      </c>
      <c r="JS39">
        <v>18.3871</v>
      </c>
      <c r="JT39">
        <v>98.793899999999994</v>
      </c>
      <c r="JU39">
        <v>98.6631</v>
      </c>
    </row>
    <row r="40" spans="1:281" x14ac:dyDescent="0.25">
      <c r="A40">
        <v>24</v>
      </c>
      <c r="B40">
        <v>1691167891</v>
      </c>
      <c r="C40">
        <v>8160.4000000953674</v>
      </c>
      <c r="D40" t="s">
        <v>540</v>
      </c>
      <c r="E40" t="s">
        <v>541</v>
      </c>
      <c r="F40" t="s">
        <v>411</v>
      </c>
      <c r="G40" t="s">
        <v>495</v>
      </c>
      <c r="H40" t="s">
        <v>496</v>
      </c>
      <c r="I40" t="s">
        <v>413</v>
      </c>
      <c r="J40">
        <v>1691167891</v>
      </c>
      <c r="K40">
        <f t="shared" si="46"/>
        <v>6.0434321300165033E-3</v>
      </c>
      <c r="L40">
        <f t="shared" si="47"/>
        <v>6.0434321300165035</v>
      </c>
      <c r="M40">
        <f t="shared" si="48"/>
        <v>52.446312602475757</v>
      </c>
      <c r="N40">
        <f t="shared" si="49"/>
        <v>433.947</v>
      </c>
      <c r="O40">
        <f t="shared" si="50"/>
        <v>186.0120418844277</v>
      </c>
      <c r="P40">
        <f t="shared" si="51"/>
        <v>18.460252429031392</v>
      </c>
      <c r="Q40">
        <f t="shared" si="52"/>
        <v>43.065874013673302</v>
      </c>
      <c r="R40">
        <f t="shared" si="53"/>
        <v>0.37170015275287294</v>
      </c>
      <c r="S40">
        <f t="shared" si="54"/>
        <v>2.9157749394661767</v>
      </c>
      <c r="T40">
        <f t="shared" si="55"/>
        <v>0.34723990049146675</v>
      </c>
      <c r="U40">
        <f t="shared" si="56"/>
        <v>0.21908831740324622</v>
      </c>
      <c r="V40">
        <f t="shared" si="57"/>
        <v>289.57168201273157</v>
      </c>
      <c r="W40">
        <f t="shared" si="58"/>
        <v>30.397355694994278</v>
      </c>
      <c r="X40">
        <f t="shared" si="59"/>
        <v>30.015999999999998</v>
      </c>
      <c r="Y40">
        <f t="shared" si="60"/>
        <v>4.264366808677857</v>
      </c>
      <c r="Z40">
        <f t="shared" si="61"/>
        <v>60.045860895085355</v>
      </c>
      <c r="AA40">
        <f t="shared" si="62"/>
        <v>2.5968420234581298</v>
      </c>
      <c r="AB40">
        <f t="shared" si="63"/>
        <v>4.3247644129800067</v>
      </c>
      <c r="AC40">
        <f t="shared" si="64"/>
        <v>1.6675247852197272</v>
      </c>
      <c r="AD40">
        <f t="shared" si="65"/>
        <v>-266.51535693372779</v>
      </c>
      <c r="AE40">
        <f t="shared" si="66"/>
        <v>38.528557867296406</v>
      </c>
      <c r="AF40">
        <f t="shared" si="67"/>
        <v>2.9421413931454103</v>
      </c>
      <c r="AG40">
        <f t="shared" si="68"/>
        <v>64.527024339445575</v>
      </c>
      <c r="AH40">
        <v>0</v>
      </c>
      <c r="AI40">
        <v>0</v>
      </c>
      <c r="AJ40">
        <f t="shared" si="69"/>
        <v>1</v>
      </c>
      <c r="AK40">
        <f t="shared" si="70"/>
        <v>0</v>
      </c>
      <c r="AL40">
        <f t="shared" si="71"/>
        <v>51897.315205147141</v>
      </c>
      <c r="AM40" t="s">
        <v>414</v>
      </c>
      <c r="AN40">
        <v>7361.72</v>
      </c>
      <c r="AO40">
        <v>541.39076923076925</v>
      </c>
      <c r="AP40">
        <v>2141.9899999999998</v>
      </c>
      <c r="AQ40">
        <f t="shared" si="72"/>
        <v>0.74724869433061347</v>
      </c>
      <c r="AR40">
        <v>-0.96077199609010144</v>
      </c>
      <c r="AS40" t="s">
        <v>542</v>
      </c>
      <c r="AT40">
        <v>7335.32</v>
      </c>
      <c r="AU40">
        <v>736.17620000000011</v>
      </c>
      <c r="AV40">
        <v>1132.2922421280609</v>
      </c>
      <c r="AW40">
        <f t="shared" si="73"/>
        <v>0.3498355171837878</v>
      </c>
      <c r="AX40">
        <v>0.5</v>
      </c>
      <c r="AY40">
        <f t="shared" si="74"/>
        <v>1513.1874000065968</v>
      </c>
      <c r="AZ40">
        <f t="shared" si="75"/>
        <v>52.446312602475757</v>
      </c>
      <c r="BA40">
        <f t="shared" si="76"/>
        <v>264.68334833864947</v>
      </c>
      <c r="BB40">
        <f t="shared" si="77"/>
        <v>3.5294428567362528E-2</v>
      </c>
      <c r="BC40">
        <f t="shared" si="78"/>
        <v>0.89172893737599523</v>
      </c>
      <c r="BD40">
        <f t="shared" si="79"/>
        <v>441.81255738219437</v>
      </c>
      <c r="BE40" t="s">
        <v>543</v>
      </c>
      <c r="BF40">
        <v>576.97</v>
      </c>
      <c r="BG40">
        <f t="shared" si="80"/>
        <v>576.97</v>
      </c>
      <c r="BH40">
        <f t="shared" si="81"/>
        <v>0.49044073735272897</v>
      </c>
      <c r="BI40">
        <f t="shared" si="82"/>
        <v>0.71330843981702774</v>
      </c>
      <c r="BJ40">
        <f t="shared" si="83"/>
        <v>0.64516604124671828</v>
      </c>
      <c r="BK40">
        <f t="shared" si="84"/>
        <v>0.67035886741969974</v>
      </c>
      <c r="BL40">
        <f t="shared" si="85"/>
        <v>0.63082484263514804</v>
      </c>
      <c r="BM40">
        <f t="shared" si="86"/>
        <v>0.55904764446504851</v>
      </c>
      <c r="BN40">
        <f t="shared" si="87"/>
        <v>0.44095235553495149</v>
      </c>
      <c r="BO40">
        <v>1477</v>
      </c>
      <c r="BP40">
        <v>290.00000000000011</v>
      </c>
      <c r="BQ40">
        <v>994.59</v>
      </c>
      <c r="BR40">
        <v>285</v>
      </c>
      <c r="BS40">
        <v>7335.32</v>
      </c>
      <c r="BT40">
        <v>996.31</v>
      </c>
      <c r="BU40">
        <v>-1.72</v>
      </c>
      <c r="BV40">
        <v>300.00000000000011</v>
      </c>
      <c r="BW40">
        <v>37.9</v>
      </c>
      <c r="BX40">
        <v>1132.2922421280609</v>
      </c>
      <c r="BY40">
        <v>1.4640374843344219</v>
      </c>
      <c r="BZ40">
        <v>-99.745933288754387</v>
      </c>
      <c r="CA40">
        <v>0.90030419980023579</v>
      </c>
      <c r="CB40">
        <v>0.99772408183641237</v>
      </c>
      <c r="CC40">
        <v>-7.2272473859844276E-3</v>
      </c>
      <c r="CD40">
        <v>289.99999999999989</v>
      </c>
      <c r="CE40">
        <v>983.64</v>
      </c>
      <c r="CF40">
        <v>635</v>
      </c>
      <c r="CG40">
        <v>7331.47</v>
      </c>
      <c r="CH40">
        <v>996.24</v>
      </c>
      <c r="CI40">
        <v>-12.6</v>
      </c>
      <c r="CW40">
        <f t="shared" si="88"/>
        <v>1800</v>
      </c>
      <c r="CX40">
        <f t="shared" si="89"/>
        <v>1513.1874000065968</v>
      </c>
      <c r="CY40">
        <f t="shared" si="90"/>
        <v>0.84065966667033154</v>
      </c>
      <c r="CZ40">
        <f t="shared" si="91"/>
        <v>0.16087315667373978</v>
      </c>
      <c r="DA40">
        <v>6</v>
      </c>
      <c r="DB40">
        <v>0.5</v>
      </c>
      <c r="DC40" t="s">
        <v>415</v>
      </c>
      <c r="DD40">
        <v>2</v>
      </c>
      <c r="DE40">
        <v>1691167891</v>
      </c>
      <c r="DF40">
        <v>433.947</v>
      </c>
      <c r="DG40">
        <v>500.01600000000002</v>
      </c>
      <c r="DH40">
        <v>26.166699999999999</v>
      </c>
      <c r="DI40">
        <v>19.105799999999999</v>
      </c>
      <c r="DJ40">
        <v>434.75700000000001</v>
      </c>
      <c r="DK40">
        <v>25.8294</v>
      </c>
      <c r="DL40">
        <v>500.10300000000001</v>
      </c>
      <c r="DM40">
        <v>99.142499999999998</v>
      </c>
      <c r="DN40">
        <v>9.9743899999999996E-2</v>
      </c>
      <c r="DO40">
        <v>30.261099999999999</v>
      </c>
      <c r="DP40">
        <v>30.015999999999998</v>
      </c>
      <c r="DQ40">
        <v>999.9</v>
      </c>
      <c r="DR40">
        <v>0</v>
      </c>
      <c r="DS40">
        <v>0</v>
      </c>
      <c r="DT40">
        <v>10007.5</v>
      </c>
      <c r="DU40">
        <v>0</v>
      </c>
      <c r="DV40">
        <v>421.98899999999998</v>
      </c>
      <c r="DW40">
        <v>-66.068399999999997</v>
      </c>
      <c r="DX40">
        <v>445.60700000000003</v>
      </c>
      <c r="DY40">
        <v>509.755</v>
      </c>
      <c r="DZ40">
        <v>7.0609000000000002</v>
      </c>
      <c r="EA40">
        <v>500.01600000000002</v>
      </c>
      <c r="EB40">
        <v>19.105799999999999</v>
      </c>
      <c r="EC40">
        <v>2.59423</v>
      </c>
      <c r="ED40">
        <v>1.8942000000000001</v>
      </c>
      <c r="EE40">
        <v>21.630099999999999</v>
      </c>
      <c r="EF40">
        <v>16.586600000000001</v>
      </c>
      <c r="EG40">
        <v>1800</v>
      </c>
      <c r="EH40">
        <v>0.97800900000000002</v>
      </c>
      <c r="EI40">
        <v>2.1991500000000001E-2</v>
      </c>
      <c r="EJ40">
        <v>0</v>
      </c>
      <c r="EK40">
        <v>736.70500000000004</v>
      </c>
      <c r="EL40">
        <v>9.9989999999999996E-2</v>
      </c>
      <c r="EM40">
        <v>13785.7</v>
      </c>
      <c r="EN40">
        <v>16705.400000000001</v>
      </c>
      <c r="EO40">
        <v>48.25</v>
      </c>
      <c r="EP40">
        <v>49.875</v>
      </c>
      <c r="EQ40">
        <v>49.186999999999998</v>
      </c>
      <c r="ER40">
        <v>48.561999999999998</v>
      </c>
      <c r="ES40">
        <v>49.311999999999998</v>
      </c>
      <c r="ET40">
        <v>1760.32</v>
      </c>
      <c r="EU40">
        <v>39.58</v>
      </c>
      <c r="EV40">
        <v>0</v>
      </c>
      <c r="EW40">
        <v>97.399999856948853</v>
      </c>
      <c r="EX40">
        <v>0</v>
      </c>
      <c r="EY40">
        <v>736.17620000000011</v>
      </c>
      <c r="EZ40">
        <v>2.736923065116402</v>
      </c>
      <c r="FA40">
        <v>111.00000017362871</v>
      </c>
      <c r="FB40">
        <v>13776.308000000001</v>
      </c>
      <c r="FC40">
        <v>15</v>
      </c>
      <c r="FD40">
        <v>1691167862.5</v>
      </c>
      <c r="FE40" t="s">
        <v>544</v>
      </c>
      <c r="FF40">
        <v>1691167858.5</v>
      </c>
      <c r="FG40">
        <v>1691167862.5</v>
      </c>
      <c r="FH40">
        <v>44</v>
      </c>
      <c r="FI40">
        <v>-3.2000000000000001E-2</v>
      </c>
      <c r="FJ40">
        <v>2E-3</v>
      </c>
      <c r="FK40">
        <v>-0.84599999999999997</v>
      </c>
      <c r="FL40">
        <v>8.7999999999999995E-2</v>
      </c>
      <c r="FM40">
        <v>500</v>
      </c>
      <c r="FN40">
        <v>19</v>
      </c>
      <c r="FO40">
        <v>0.09</v>
      </c>
      <c r="FP40">
        <v>0.03</v>
      </c>
      <c r="FQ40">
        <v>52.372597306527602</v>
      </c>
      <c r="FR40">
        <v>-0.50562267721643561</v>
      </c>
      <c r="FS40">
        <v>0.12144419713499791</v>
      </c>
      <c r="FT40">
        <v>1</v>
      </c>
      <c r="FU40">
        <v>0.37495976319884611</v>
      </c>
      <c r="FV40">
        <v>1.317404582028921E-3</v>
      </c>
      <c r="FW40">
        <v>1.818150306552882E-3</v>
      </c>
      <c r="FX40">
        <v>1</v>
      </c>
      <c r="FY40">
        <v>2</v>
      </c>
      <c r="FZ40">
        <v>2</v>
      </c>
      <c r="GA40" t="s">
        <v>416</v>
      </c>
      <c r="GB40">
        <v>2.9679600000000002</v>
      </c>
      <c r="GC40">
        <v>2.8115000000000001</v>
      </c>
      <c r="GD40">
        <v>0.10240200000000001</v>
      </c>
      <c r="GE40">
        <v>0.112437</v>
      </c>
      <c r="GF40">
        <v>0.12571199999999999</v>
      </c>
      <c r="GG40">
        <v>0.100234</v>
      </c>
      <c r="GH40">
        <v>26423.9</v>
      </c>
      <c r="GI40">
        <v>24114.7</v>
      </c>
      <c r="GJ40">
        <v>26469.3</v>
      </c>
      <c r="GK40">
        <v>25646.9</v>
      </c>
      <c r="GL40">
        <v>31501.5</v>
      </c>
      <c r="GM40">
        <v>32581.3</v>
      </c>
      <c r="GN40">
        <v>37470.699999999997</v>
      </c>
      <c r="GO40">
        <v>38026.300000000003</v>
      </c>
      <c r="GP40">
        <v>1.9301999999999999</v>
      </c>
      <c r="GQ40">
        <v>1.8595999999999999</v>
      </c>
      <c r="GR40">
        <v>1.6242300000000001E-2</v>
      </c>
      <c r="GS40">
        <v>0</v>
      </c>
      <c r="GT40">
        <v>29.7516</v>
      </c>
      <c r="GU40">
        <v>999.9</v>
      </c>
      <c r="GV40">
        <v>29.1</v>
      </c>
      <c r="GW40">
        <v>47</v>
      </c>
      <c r="GX40">
        <v>31.344100000000001</v>
      </c>
      <c r="GY40">
        <v>61.646900000000002</v>
      </c>
      <c r="GZ40">
        <v>13.613799999999999</v>
      </c>
      <c r="HA40">
        <v>1</v>
      </c>
      <c r="HB40">
        <v>0.55384100000000003</v>
      </c>
      <c r="HC40">
        <v>3.32673</v>
      </c>
      <c r="HD40">
        <v>20.268699999999999</v>
      </c>
      <c r="HE40">
        <v>5.2065099999999997</v>
      </c>
      <c r="HF40">
        <v>11.9381</v>
      </c>
      <c r="HG40">
        <v>4.9871999999999996</v>
      </c>
      <c r="HH40">
        <v>3.2909999999999999</v>
      </c>
      <c r="HI40">
        <v>9999</v>
      </c>
      <c r="HJ40">
        <v>9999</v>
      </c>
      <c r="HK40">
        <v>9999</v>
      </c>
      <c r="HL40">
        <v>999.9</v>
      </c>
      <c r="HM40">
        <v>1.8710599999999999</v>
      </c>
      <c r="HN40">
        <v>1.8770100000000001</v>
      </c>
      <c r="HO40">
        <v>1.87483</v>
      </c>
      <c r="HP40">
        <v>1.8730199999999999</v>
      </c>
      <c r="HQ40">
        <v>1.87358</v>
      </c>
      <c r="HR40">
        <v>1.87094</v>
      </c>
      <c r="HS40">
        <v>1.8768</v>
      </c>
      <c r="HT40">
        <v>1.87601</v>
      </c>
      <c r="HU40">
        <v>5</v>
      </c>
      <c r="HV40">
        <v>0</v>
      </c>
      <c r="HW40">
        <v>0</v>
      </c>
      <c r="HX40">
        <v>0</v>
      </c>
      <c r="HY40" t="s">
        <v>417</v>
      </c>
      <c r="HZ40" t="s">
        <v>418</v>
      </c>
      <c r="IA40" t="s">
        <v>419</v>
      </c>
      <c r="IB40" t="s">
        <v>420</v>
      </c>
      <c r="IC40" t="s">
        <v>420</v>
      </c>
      <c r="ID40" t="s">
        <v>419</v>
      </c>
      <c r="IE40">
        <v>0</v>
      </c>
      <c r="IF40">
        <v>100</v>
      </c>
      <c r="IG40">
        <v>100</v>
      </c>
      <c r="IH40">
        <v>-0.81</v>
      </c>
      <c r="II40">
        <v>0.33729999999999999</v>
      </c>
      <c r="IJ40">
        <v>-0.34860946280252569</v>
      </c>
      <c r="IK40">
        <v>-1.615681629159814E-3</v>
      </c>
      <c r="IL40">
        <v>1.5005605225991581E-6</v>
      </c>
      <c r="IM40">
        <v>-5.1143626075267638E-10</v>
      </c>
      <c r="IN40">
        <v>-0.18583847272886511</v>
      </c>
      <c r="IO40">
        <v>-1.7182111142928099E-3</v>
      </c>
      <c r="IP40">
        <v>9.9985895407488957E-4</v>
      </c>
      <c r="IQ40">
        <v>-5.7750407166627208E-6</v>
      </c>
      <c r="IR40">
        <v>3</v>
      </c>
      <c r="IS40">
        <v>2181</v>
      </c>
      <c r="IT40">
        <v>2</v>
      </c>
      <c r="IU40">
        <v>42</v>
      </c>
      <c r="IV40">
        <v>0.5</v>
      </c>
      <c r="IW40">
        <v>0.5</v>
      </c>
      <c r="IX40">
        <v>1.1364700000000001</v>
      </c>
      <c r="IY40">
        <v>2.5585900000000001</v>
      </c>
      <c r="IZ40">
        <v>1.5991200000000001</v>
      </c>
      <c r="JA40">
        <v>2.2729499999999998</v>
      </c>
      <c r="JB40">
        <v>1.5502899999999999</v>
      </c>
      <c r="JC40">
        <v>2.3559600000000001</v>
      </c>
      <c r="JD40">
        <v>50.738199999999999</v>
      </c>
      <c r="JE40">
        <v>14.9901</v>
      </c>
      <c r="JF40">
        <v>18</v>
      </c>
      <c r="JG40">
        <v>502.505</v>
      </c>
      <c r="JH40">
        <v>427.27600000000001</v>
      </c>
      <c r="JI40">
        <v>25.535299999999999</v>
      </c>
      <c r="JJ40">
        <v>34.216999999999999</v>
      </c>
      <c r="JK40">
        <v>29.999600000000001</v>
      </c>
      <c r="JL40">
        <v>34.245699999999999</v>
      </c>
      <c r="JM40">
        <v>34.212699999999998</v>
      </c>
      <c r="JN40">
        <v>22.7788</v>
      </c>
      <c r="JO40">
        <v>42.655299999999997</v>
      </c>
      <c r="JP40">
        <v>0</v>
      </c>
      <c r="JQ40">
        <v>25.525600000000001</v>
      </c>
      <c r="JR40">
        <v>500</v>
      </c>
      <c r="JS40">
        <v>19.1327</v>
      </c>
      <c r="JT40">
        <v>98.825299999999999</v>
      </c>
      <c r="JU40">
        <v>98.695599999999999</v>
      </c>
    </row>
    <row r="41" spans="1:281" x14ac:dyDescent="0.25">
      <c r="A41">
        <v>25</v>
      </c>
      <c r="B41">
        <v>1691167992.5</v>
      </c>
      <c r="C41">
        <v>8261.9000000953674</v>
      </c>
      <c r="D41" t="s">
        <v>545</v>
      </c>
      <c r="E41" t="s">
        <v>546</v>
      </c>
      <c r="F41" t="s">
        <v>411</v>
      </c>
      <c r="G41" t="s">
        <v>495</v>
      </c>
      <c r="H41" t="s">
        <v>496</v>
      </c>
      <c r="I41" t="s">
        <v>413</v>
      </c>
      <c r="J41">
        <v>1691167992.5</v>
      </c>
      <c r="K41">
        <f t="shared" si="46"/>
        <v>5.3572483832174658E-3</v>
      </c>
      <c r="L41">
        <f t="shared" si="47"/>
        <v>5.357248383217466</v>
      </c>
      <c r="M41">
        <f t="shared" si="48"/>
        <v>53.883495907627776</v>
      </c>
      <c r="N41">
        <f t="shared" si="49"/>
        <v>631.37400000000002</v>
      </c>
      <c r="O41">
        <f t="shared" si="50"/>
        <v>339.84143927343274</v>
      </c>
      <c r="P41">
        <f t="shared" si="51"/>
        <v>33.729690810212674</v>
      </c>
      <c r="Q41">
        <f t="shared" si="52"/>
        <v>62.664664589278203</v>
      </c>
      <c r="R41">
        <f t="shared" si="53"/>
        <v>0.32644237679830651</v>
      </c>
      <c r="S41">
        <f t="shared" si="54"/>
        <v>2.9163708689011054</v>
      </c>
      <c r="T41">
        <f t="shared" si="55"/>
        <v>0.30741605812710149</v>
      </c>
      <c r="U41">
        <f t="shared" si="56"/>
        <v>0.19375200127819553</v>
      </c>
      <c r="V41">
        <f t="shared" si="57"/>
        <v>289.53714901273634</v>
      </c>
      <c r="W41">
        <f t="shared" si="58"/>
        <v>30.520435438684977</v>
      </c>
      <c r="X41">
        <f t="shared" si="59"/>
        <v>30.010300000000001</v>
      </c>
      <c r="Y41">
        <f t="shared" si="60"/>
        <v>4.2629710047771088</v>
      </c>
      <c r="Z41">
        <f t="shared" si="61"/>
        <v>60.150175655176774</v>
      </c>
      <c r="AA41">
        <f t="shared" si="62"/>
        <v>2.5930880261014497</v>
      </c>
      <c r="AB41">
        <f t="shared" si="63"/>
        <v>4.3110231979485132</v>
      </c>
      <c r="AC41">
        <f t="shared" si="64"/>
        <v>1.669882978675659</v>
      </c>
      <c r="AD41">
        <f t="shared" si="65"/>
        <v>-236.25465369989024</v>
      </c>
      <c r="AE41">
        <f t="shared" si="66"/>
        <v>30.706508541303496</v>
      </c>
      <c r="AF41">
        <f t="shared" si="67"/>
        <v>2.3436401067016419</v>
      </c>
      <c r="AG41">
        <f t="shared" si="68"/>
        <v>86.332643960851215</v>
      </c>
      <c r="AH41">
        <v>0</v>
      </c>
      <c r="AI41">
        <v>0</v>
      </c>
      <c r="AJ41">
        <f t="shared" si="69"/>
        <v>1</v>
      </c>
      <c r="AK41">
        <f t="shared" si="70"/>
        <v>0</v>
      </c>
      <c r="AL41">
        <f t="shared" si="71"/>
        <v>51923.962039355778</v>
      </c>
      <c r="AM41" t="s">
        <v>414</v>
      </c>
      <c r="AN41">
        <v>7361.72</v>
      </c>
      <c r="AO41">
        <v>541.39076923076925</v>
      </c>
      <c r="AP41">
        <v>2141.9899999999998</v>
      </c>
      <c r="AQ41">
        <f t="shared" si="72"/>
        <v>0.74724869433061347</v>
      </c>
      <c r="AR41">
        <v>-0.96077199609010144</v>
      </c>
      <c r="AS41" t="s">
        <v>547</v>
      </c>
      <c r="AT41">
        <v>7336.97</v>
      </c>
      <c r="AU41">
        <v>743.823076923077</v>
      </c>
      <c r="AV41">
        <v>1158.7719426465189</v>
      </c>
      <c r="AW41">
        <f t="shared" si="73"/>
        <v>0.35809364246060393</v>
      </c>
      <c r="AX41">
        <v>0.5</v>
      </c>
      <c r="AY41">
        <f t="shared" si="74"/>
        <v>1513.0029000065992</v>
      </c>
      <c r="AZ41">
        <f t="shared" si="75"/>
        <v>53.883495907627776</v>
      </c>
      <c r="BA41">
        <f t="shared" si="76"/>
        <v>270.89835975841004</v>
      </c>
      <c r="BB41">
        <f t="shared" si="77"/>
        <v>3.6248620477514391E-2</v>
      </c>
      <c r="BC41">
        <f t="shared" si="78"/>
        <v>0.84850005524634065</v>
      </c>
      <c r="BD41">
        <f t="shared" si="79"/>
        <v>445.78742283836038</v>
      </c>
      <c r="BE41" t="s">
        <v>548</v>
      </c>
      <c r="BF41">
        <v>583.4</v>
      </c>
      <c r="BG41">
        <f t="shared" si="80"/>
        <v>583.4</v>
      </c>
      <c r="BH41">
        <f t="shared" si="81"/>
        <v>0.49653596317876592</v>
      </c>
      <c r="BI41">
        <f t="shared" si="82"/>
        <v>0.72118369869551791</v>
      </c>
      <c r="BJ41">
        <f t="shared" si="83"/>
        <v>0.63083816613315946</v>
      </c>
      <c r="BK41">
        <f t="shared" si="84"/>
        <v>0.67211130431412081</v>
      </c>
      <c r="BL41">
        <f t="shared" si="85"/>
        <v>0.6142812257137954</v>
      </c>
      <c r="BM41">
        <f t="shared" si="86"/>
        <v>0.56564334029458474</v>
      </c>
      <c r="BN41">
        <f t="shared" si="87"/>
        <v>0.43435665970541526</v>
      </c>
      <c r="BO41">
        <v>1479</v>
      </c>
      <c r="BP41">
        <v>290.00000000000011</v>
      </c>
      <c r="BQ41">
        <v>1014.97</v>
      </c>
      <c r="BR41">
        <v>295</v>
      </c>
      <c r="BS41">
        <v>7336.97</v>
      </c>
      <c r="BT41">
        <v>1016.48</v>
      </c>
      <c r="BU41">
        <v>-1.51</v>
      </c>
      <c r="BV41">
        <v>300.00000000000011</v>
      </c>
      <c r="BW41">
        <v>37.9</v>
      </c>
      <c r="BX41">
        <v>1158.7719426465189</v>
      </c>
      <c r="BY41">
        <v>1.5394657166210219</v>
      </c>
      <c r="BZ41">
        <v>-104.4017865239874</v>
      </c>
      <c r="CA41">
        <v>0.9469037701125218</v>
      </c>
      <c r="CB41">
        <v>0.99770197529091953</v>
      </c>
      <c r="CC41">
        <v>-7.2287632925472816E-3</v>
      </c>
      <c r="CD41">
        <v>289.99999999999989</v>
      </c>
      <c r="CE41">
        <v>1005.16</v>
      </c>
      <c r="CF41">
        <v>645</v>
      </c>
      <c r="CG41">
        <v>7332.78</v>
      </c>
      <c r="CH41">
        <v>1016.4</v>
      </c>
      <c r="CI41">
        <v>-11.24</v>
      </c>
      <c r="CW41">
        <f t="shared" si="88"/>
        <v>1799.78</v>
      </c>
      <c r="CX41">
        <f t="shared" si="89"/>
        <v>1513.0029000065992</v>
      </c>
      <c r="CY41">
        <f t="shared" si="90"/>
        <v>0.84065991399315432</v>
      </c>
      <c r="CZ41">
        <f t="shared" si="91"/>
        <v>0.1608736340067877</v>
      </c>
      <c r="DA41">
        <v>6</v>
      </c>
      <c r="DB41">
        <v>0.5</v>
      </c>
      <c r="DC41" t="s">
        <v>415</v>
      </c>
      <c r="DD41">
        <v>2</v>
      </c>
      <c r="DE41">
        <v>1691167992.5</v>
      </c>
      <c r="DF41">
        <v>631.37400000000002</v>
      </c>
      <c r="DG41">
        <v>700.08500000000004</v>
      </c>
      <c r="DH41">
        <v>26.1265</v>
      </c>
      <c r="DI41">
        <v>19.866499999999998</v>
      </c>
      <c r="DJ41">
        <v>632.00800000000004</v>
      </c>
      <c r="DK41">
        <v>25.7864</v>
      </c>
      <c r="DL41">
        <v>500.05900000000003</v>
      </c>
      <c r="DM41">
        <v>99.151499999999999</v>
      </c>
      <c r="DN41">
        <v>9.9759299999999995E-2</v>
      </c>
      <c r="DO41">
        <v>30.2056</v>
      </c>
      <c r="DP41">
        <v>30.010300000000001</v>
      </c>
      <c r="DQ41">
        <v>999.9</v>
      </c>
      <c r="DR41">
        <v>0</v>
      </c>
      <c r="DS41">
        <v>0</v>
      </c>
      <c r="DT41">
        <v>10010</v>
      </c>
      <c r="DU41">
        <v>0</v>
      </c>
      <c r="DV41">
        <v>427.40800000000002</v>
      </c>
      <c r="DW41">
        <v>-68.710599999999999</v>
      </c>
      <c r="DX41">
        <v>648.31200000000001</v>
      </c>
      <c r="DY41">
        <v>714.27499999999998</v>
      </c>
      <c r="DZ41">
        <v>6.2600699999999998</v>
      </c>
      <c r="EA41">
        <v>700.08500000000004</v>
      </c>
      <c r="EB41">
        <v>19.866499999999998</v>
      </c>
      <c r="EC41">
        <v>2.5904799999999999</v>
      </c>
      <c r="ED41">
        <v>1.9697899999999999</v>
      </c>
      <c r="EE41">
        <v>21.6065</v>
      </c>
      <c r="EF41">
        <v>17.203600000000002</v>
      </c>
      <c r="EG41">
        <v>1799.78</v>
      </c>
      <c r="EH41">
        <v>0.97800100000000001</v>
      </c>
      <c r="EI41">
        <v>2.1998500000000001E-2</v>
      </c>
      <c r="EJ41">
        <v>0</v>
      </c>
      <c r="EK41">
        <v>743.94500000000005</v>
      </c>
      <c r="EL41">
        <v>9.9989999999999996E-2</v>
      </c>
      <c r="EM41">
        <v>13912.4</v>
      </c>
      <c r="EN41">
        <v>16703.2</v>
      </c>
      <c r="EO41">
        <v>47.875</v>
      </c>
      <c r="EP41">
        <v>49.375</v>
      </c>
      <c r="EQ41">
        <v>48.811999999999998</v>
      </c>
      <c r="ER41">
        <v>48.186999999999998</v>
      </c>
      <c r="ES41">
        <v>49</v>
      </c>
      <c r="ET41">
        <v>1760.09</v>
      </c>
      <c r="EU41">
        <v>39.590000000000003</v>
      </c>
      <c r="EV41">
        <v>0</v>
      </c>
      <c r="EW41">
        <v>99.200000047683716</v>
      </c>
      <c r="EX41">
        <v>0</v>
      </c>
      <c r="EY41">
        <v>743.823076923077</v>
      </c>
      <c r="EZ41">
        <v>-1.474188047778541</v>
      </c>
      <c r="FA41">
        <v>99.408547242412368</v>
      </c>
      <c r="FB41">
        <v>13888.83461538462</v>
      </c>
      <c r="FC41">
        <v>15</v>
      </c>
      <c r="FD41">
        <v>1691167962.5</v>
      </c>
      <c r="FE41" t="s">
        <v>549</v>
      </c>
      <c r="FF41">
        <v>1691167960</v>
      </c>
      <c r="FG41">
        <v>1691167962.5</v>
      </c>
      <c r="FH41">
        <v>45</v>
      </c>
      <c r="FI41">
        <v>0.26600000000000001</v>
      </c>
      <c r="FJ41">
        <v>4.0000000000000001E-3</v>
      </c>
      <c r="FK41">
        <v>-0.65400000000000003</v>
      </c>
      <c r="FL41">
        <v>0.112</v>
      </c>
      <c r="FM41">
        <v>700</v>
      </c>
      <c r="FN41">
        <v>19</v>
      </c>
      <c r="FO41">
        <v>0.09</v>
      </c>
      <c r="FP41">
        <v>0.03</v>
      </c>
      <c r="FQ41">
        <v>53.811772929999591</v>
      </c>
      <c r="FR41">
        <v>0.39287645176827091</v>
      </c>
      <c r="FS41">
        <v>0.10539988009672439</v>
      </c>
      <c r="FT41">
        <v>1</v>
      </c>
      <c r="FU41">
        <v>0.33163614890559462</v>
      </c>
      <c r="FV41">
        <v>-2.0023396196402431E-2</v>
      </c>
      <c r="FW41">
        <v>2.0644138361982671E-3</v>
      </c>
      <c r="FX41">
        <v>1</v>
      </c>
      <c r="FY41">
        <v>2</v>
      </c>
      <c r="FZ41">
        <v>2</v>
      </c>
      <c r="GA41" t="s">
        <v>416</v>
      </c>
      <c r="GB41">
        <v>2.9679700000000002</v>
      </c>
      <c r="GC41">
        <v>2.8115399999999999</v>
      </c>
      <c r="GD41">
        <v>0.134654</v>
      </c>
      <c r="GE41">
        <v>0.142984</v>
      </c>
      <c r="GF41">
        <v>0.125612</v>
      </c>
      <c r="GG41">
        <v>0.10310900000000001</v>
      </c>
      <c r="GH41">
        <v>25478.6</v>
      </c>
      <c r="GI41">
        <v>23291.9</v>
      </c>
      <c r="GJ41">
        <v>26474.3</v>
      </c>
      <c r="GK41">
        <v>25655.4</v>
      </c>
      <c r="GL41">
        <v>31512.1</v>
      </c>
      <c r="GM41">
        <v>32489.4</v>
      </c>
      <c r="GN41">
        <v>37477.599999999999</v>
      </c>
      <c r="GO41">
        <v>38038.300000000003</v>
      </c>
      <c r="GP41">
        <v>1.9319</v>
      </c>
      <c r="GQ41">
        <v>1.8636999999999999</v>
      </c>
      <c r="GR41">
        <v>1.8790399999999999E-2</v>
      </c>
      <c r="GS41">
        <v>0</v>
      </c>
      <c r="GT41">
        <v>29.7044</v>
      </c>
      <c r="GU41">
        <v>999.9</v>
      </c>
      <c r="GV41">
        <v>28.9</v>
      </c>
      <c r="GW41">
        <v>47</v>
      </c>
      <c r="GX41">
        <v>31.123100000000001</v>
      </c>
      <c r="GY41">
        <v>61.326900000000002</v>
      </c>
      <c r="GZ41">
        <v>13.661899999999999</v>
      </c>
      <c r="HA41">
        <v>1</v>
      </c>
      <c r="HB41">
        <v>0.54145299999999996</v>
      </c>
      <c r="HC41">
        <v>3.6171600000000002</v>
      </c>
      <c r="HD41">
        <v>20.2637</v>
      </c>
      <c r="HE41">
        <v>5.2107000000000001</v>
      </c>
      <c r="HF41">
        <v>11.9381</v>
      </c>
      <c r="HG41">
        <v>4.9870000000000001</v>
      </c>
      <c r="HH41">
        <v>3.2909999999999999</v>
      </c>
      <c r="HI41">
        <v>9999</v>
      </c>
      <c r="HJ41">
        <v>9999</v>
      </c>
      <c r="HK41">
        <v>9999</v>
      </c>
      <c r="HL41">
        <v>999.9</v>
      </c>
      <c r="HM41">
        <v>1.87103</v>
      </c>
      <c r="HN41">
        <v>1.8770100000000001</v>
      </c>
      <c r="HO41">
        <v>1.8748199999999999</v>
      </c>
      <c r="HP41">
        <v>1.8730199999999999</v>
      </c>
      <c r="HQ41">
        <v>1.87358</v>
      </c>
      <c r="HR41">
        <v>1.87097</v>
      </c>
      <c r="HS41">
        <v>1.8767400000000001</v>
      </c>
      <c r="HT41">
        <v>1.8759300000000001</v>
      </c>
      <c r="HU41">
        <v>5</v>
      </c>
      <c r="HV41">
        <v>0</v>
      </c>
      <c r="HW41">
        <v>0</v>
      </c>
      <c r="HX41">
        <v>0</v>
      </c>
      <c r="HY41" t="s">
        <v>417</v>
      </c>
      <c r="HZ41" t="s">
        <v>418</v>
      </c>
      <c r="IA41" t="s">
        <v>419</v>
      </c>
      <c r="IB41" t="s">
        <v>420</v>
      </c>
      <c r="IC41" t="s">
        <v>420</v>
      </c>
      <c r="ID41" t="s">
        <v>419</v>
      </c>
      <c r="IE41">
        <v>0</v>
      </c>
      <c r="IF41">
        <v>100</v>
      </c>
      <c r="IG41">
        <v>100</v>
      </c>
      <c r="IH41">
        <v>-0.63400000000000001</v>
      </c>
      <c r="II41">
        <v>0.34010000000000001</v>
      </c>
      <c r="IJ41">
        <v>-8.2760897975803382E-2</v>
      </c>
      <c r="IK41">
        <v>-1.615681629159814E-3</v>
      </c>
      <c r="IL41">
        <v>1.5005605225991581E-6</v>
      </c>
      <c r="IM41">
        <v>-5.1143626075267638E-10</v>
      </c>
      <c r="IN41">
        <v>-0.18140952587102549</v>
      </c>
      <c r="IO41">
        <v>-1.7182111142928099E-3</v>
      </c>
      <c r="IP41">
        <v>9.9985895407488957E-4</v>
      </c>
      <c r="IQ41">
        <v>-5.7750407166627208E-6</v>
      </c>
      <c r="IR41">
        <v>3</v>
      </c>
      <c r="IS41">
        <v>2181</v>
      </c>
      <c r="IT41">
        <v>2</v>
      </c>
      <c r="IU41">
        <v>42</v>
      </c>
      <c r="IV41">
        <v>0.5</v>
      </c>
      <c r="IW41">
        <v>0.5</v>
      </c>
      <c r="IX41">
        <v>1.4978</v>
      </c>
      <c r="IY41">
        <v>2.5524900000000001</v>
      </c>
      <c r="IZ41">
        <v>1.5991200000000001</v>
      </c>
      <c r="JA41">
        <v>2.2717299999999998</v>
      </c>
      <c r="JB41">
        <v>1.5502899999999999</v>
      </c>
      <c r="JC41">
        <v>2.36572</v>
      </c>
      <c r="JD41">
        <v>50.477499999999999</v>
      </c>
      <c r="JE41">
        <v>14.9551</v>
      </c>
      <c r="JF41">
        <v>18</v>
      </c>
      <c r="JG41">
        <v>502.63200000000001</v>
      </c>
      <c r="JH41">
        <v>428.93400000000003</v>
      </c>
      <c r="JI41">
        <v>25.032699999999998</v>
      </c>
      <c r="JJ41">
        <v>34.058100000000003</v>
      </c>
      <c r="JK41">
        <v>29.999300000000002</v>
      </c>
      <c r="JL41">
        <v>34.117800000000003</v>
      </c>
      <c r="JM41">
        <v>34.095199999999998</v>
      </c>
      <c r="JN41">
        <v>29.9846</v>
      </c>
      <c r="JO41">
        <v>39.836300000000001</v>
      </c>
      <c r="JP41">
        <v>0</v>
      </c>
      <c r="JQ41">
        <v>25.0425</v>
      </c>
      <c r="JR41">
        <v>700</v>
      </c>
      <c r="JS41">
        <v>19.862200000000001</v>
      </c>
      <c r="JT41">
        <v>98.843699999999998</v>
      </c>
      <c r="JU41">
        <v>98.727199999999996</v>
      </c>
    </row>
    <row r="42" spans="1:281" x14ac:dyDescent="0.25">
      <c r="A42">
        <v>26</v>
      </c>
      <c r="B42">
        <v>1691168101.5</v>
      </c>
      <c r="C42">
        <v>8370.9000000953674</v>
      </c>
      <c r="D42" t="s">
        <v>550</v>
      </c>
      <c r="E42" t="s">
        <v>551</v>
      </c>
      <c r="F42" t="s">
        <v>411</v>
      </c>
      <c r="G42" t="s">
        <v>495</v>
      </c>
      <c r="H42" t="s">
        <v>496</v>
      </c>
      <c r="I42" t="s">
        <v>413</v>
      </c>
      <c r="J42">
        <v>1691168101.5</v>
      </c>
      <c r="K42">
        <f t="shared" si="46"/>
        <v>4.6249293615033852E-3</v>
      </c>
      <c r="L42">
        <f t="shared" si="47"/>
        <v>4.6249293615033853</v>
      </c>
      <c r="M42">
        <f t="shared" si="48"/>
        <v>53.475411859559706</v>
      </c>
      <c r="N42">
        <f t="shared" si="49"/>
        <v>831.00900000000001</v>
      </c>
      <c r="O42">
        <f t="shared" si="50"/>
        <v>488.31156674130159</v>
      </c>
      <c r="P42">
        <f t="shared" si="51"/>
        <v>48.464507445930892</v>
      </c>
      <c r="Q42">
        <f t="shared" si="52"/>
        <v>82.476936061341007</v>
      </c>
      <c r="R42">
        <f t="shared" si="53"/>
        <v>0.27573745669518368</v>
      </c>
      <c r="S42">
        <f t="shared" si="54"/>
        <v>2.9172007022368796</v>
      </c>
      <c r="T42">
        <f t="shared" si="55"/>
        <v>0.26203309939959785</v>
      </c>
      <c r="U42">
        <f t="shared" si="56"/>
        <v>0.16494519242595906</v>
      </c>
      <c r="V42">
        <f t="shared" si="57"/>
        <v>289.56486001273839</v>
      </c>
      <c r="W42">
        <f t="shared" si="58"/>
        <v>30.594733064502886</v>
      </c>
      <c r="X42">
        <f t="shared" si="59"/>
        <v>30.0184</v>
      </c>
      <c r="Y42">
        <f t="shared" si="60"/>
        <v>4.2649546347291931</v>
      </c>
      <c r="Z42">
        <f t="shared" si="61"/>
        <v>60.09745921403168</v>
      </c>
      <c r="AA42">
        <f t="shared" si="62"/>
        <v>2.5735403584848999</v>
      </c>
      <c r="AB42">
        <f t="shared" si="63"/>
        <v>4.2822781397787022</v>
      </c>
      <c r="AC42">
        <f t="shared" si="64"/>
        <v>1.6914142762442932</v>
      </c>
      <c r="AD42">
        <f t="shared" si="65"/>
        <v>-203.9593848422993</v>
      </c>
      <c r="AE42">
        <f t="shared" si="66"/>
        <v>11.103411972684848</v>
      </c>
      <c r="AF42">
        <f t="shared" si="67"/>
        <v>0.84675960223028246</v>
      </c>
      <c r="AG42">
        <f t="shared" si="68"/>
        <v>97.555646745354238</v>
      </c>
      <c r="AH42">
        <v>0</v>
      </c>
      <c r="AI42">
        <v>0</v>
      </c>
      <c r="AJ42">
        <f t="shared" si="69"/>
        <v>1</v>
      </c>
      <c r="AK42">
        <f t="shared" si="70"/>
        <v>0</v>
      </c>
      <c r="AL42">
        <f t="shared" si="71"/>
        <v>51967.504613160112</v>
      </c>
      <c r="AM42" t="s">
        <v>414</v>
      </c>
      <c r="AN42">
        <v>7361.72</v>
      </c>
      <c r="AO42">
        <v>541.39076923076925</v>
      </c>
      <c r="AP42">
        <v>2141.9899999999998</v>
      </c>
      <c r="AQ42">
        <f t="shared" si="72"/>
        <v>0.74724869433061347</v>
      </c>
      <c r="AR42">
        <v>-0.96077199609010144</v>
      </c>
      <c r="AS42" t="s">
        <v>552</v>
      </c>
      <c r="AT42">
        <v>7338.9</v>
      </c>
      <c r="AU42">
        <v>742.10559999999998</v>
      </c>
      <c r="AV42">
        <v>1164.8867059396709</v>
      </c>
      <c r="AW42">
        <f t="shared" si="73"/>
        <v>0.36293753185090138</v>
      </c>
      <c r="AX42">
        <v>0.5</v>
      </c>
      <c r="AY42">
        <f t="shared" si="74"/>
        <v>1513.1460000066004</v>
      </c>
      <c r="AZ42">
        <f t="shared" si="75"/>
        <v>53.475411859559706</v>
      </c>
      <c r="BA42">
        <f t="shared" si="76"/>
        <v>274.58873728622979</v>
      </c>
      <c r="BB42">
        <f t="shared" si="77"/>
        <v>3.5975499955333029E-2</v>
      </c>
      <c r="BC42">
        <f t="shared" si="78"/>
        <v>0.838796845288174</v>
      </c>
      <c r="BD42">
        <f t="shared" si="79"/>
        <v>446.68947472789756</v>
      </c>
      <c r="BE42" t="s">
        <v>553</v>
      </c>
      <c r="BF42">
        <v>583.85</v>
      </c>
      <c r="BG42">
        <f t="shared" si="80"/>
        <v>583.85</v>
      </c>
      <c r="BH42">
        <f t="shared" si="81"/>
        <v>0.49879246022553769</v>
      </c>
      <c r="BI42">
        <f t="shared" si="82"/>
        <v>0.72763235371840407</v>
      </c>
      <c r="BJ42">
        <f t="shared" si="83"/>
        <v>0.62709595675634344</v>
      </c>
      <c r="BK42">
        <f t="shared" si="84"/>
        <v>0.67808157366879418</v>
      </c>
      <c r="BL42">
        <f t="shared" si="85"/>
        <v>0.61046092943000085</v>
      </c>
      <c r="BM42">
        <f t="shared" si="86"/>
        <v>0.57246320431821329</v>
      </c>
      <c r="BN42">
        <f t="shared" si="87"/>
        <v>0.42753679568178671</v>
      </c>
      <c r="BO42">
        <v>1481</v>
      </c>
      <c r="BP42">
        <v>290.00000000000011</v>
      </c>
      <c r="BQ42">
        <v>1017.98</v>
      </c>
      <c r="BR42">
        <v>295</v>
      </c>
      <c r="BS42">
        <v>7338.9</v>
      </c>
      <c r="BT42">
        <v>1019.07</v>
      </c>
      <c r="BU42">
        <v>-1.0900000000000001</v>
      </c>
      <c r="BV42">
        <v>300.00000000000011</v>
      </c>
      <c r="BW42">
        <v>37.9</v>
      </c>
      <c r="BX42">
        <v>1164.8867059396709</v>
      </c>
      <c r="BY42">
        <v>1.5429063750463481</v>
      </c>
      <c r="BZ42">
        <v>-107.0138501645245</v>
      </c>
      <c r="CA42">
        <v>0.94927810003893143</v>
      </c>
      <c r="CB42">
        <v>0.99780158759219706</v>
      </c>
      <c r="CC42">
        <v>-7.2306258064516104E-3</v>
      </c>
      <c r="CD42">
        <v>289.99999999999989</v>
      </c>
      <c r="CE42">
        <v>1006.37</v>
      </c>
      <c r="CF42">
        <v>635</v>
      </c>
      <c r="CG42">
        <v>7335.18</v>
      </c>
      <c r="CH42">
        <v>1019</v>
      </c>
      <c r="CI42">
        <v>-12.63</v>
      </c>
      <c r="CW42">
        <f t="shared" si="88"/>
        <v>1799.95</v>
      </c>
      <c r="CX42">
        <f t="shared" si="89"/>
        <v>1513.1460000066004</v>
      </c>
      <c r="CY42">
        <f t="shared" si="90"/>
        <v>0.84066001833750958</v>
      </c>
      <c r="CZ42">
        <f t="shared" si="91"/>
        <v>0.1608738353913933</v>
      </c>
      <c r="DA42">
        <v>6</v>
      </c>
      <c r="DB42">
        <v>0.5</v>
      </c>
      <c r="DC42" t="s">
        <v>415</v>
      </c>
      <c r="DD42">
        <v>2</v>
      </c>
      <c r="DE42">
        <v>1691168101.5</v>
      </c>
      <c r="DF42">
        <v>831.00900000000001</v>
      </c>
      <c r="DG42">
        <v>899.79399999999998</v>
      </c>
      <c r="DH42">
        <v>25.930099999999999</v>
      </c>
      <c r="DI42">
        <v>20.523900000000001</v>
      </c>
      <c r="DJ42">
        <v>831.78800000000001</v>
      </c>
      <c r="DK42">
        <v>25.596499999999999</v>
      </c>
      <c r="DL42">
        <v>499.98200000000003</v>
      </c>
      <c r="DM42">
        <v>99.149000000000001</v>
      </c>
      <c r="DN42">
        <v>0.100149</v>
      </c>
      <c r="DO42">
        <v>30.088999999999999</v>
      </c>
      <c r="DP42">
        <v>30.0184</v>
      </c>
      <c r="DQ42">
        <v>999.9</v>
      </c>
      <c r="DR42">
        <v>0</v>
      </c>
      <c r="DS42">
        <v>0</v>
      </c>
      <c r="DT42">
        <v>10015</v>
      </c>
      <c r="DU42">
        <v>0</v>
      </c>
      <c r="DV42">
        <v>398.11099999999999</v>
      </c>
      <c r="DW42">
        <v>-68.7851</v>
      </c>
      <c r="DX42">
        <v>853.13099999999997</v>
      </c>
      <c r="DY42">
        <v>918.64800000000002</v>
      </c>
      <c r="DZ42">
        <v>5.4062099999999997</v>
      </c>
      <c r="EA42">
        <v>899.79399999999998</v>
      </c>
      <c r="EB42">
        <v>20.523900000000001</v>
      </c>
      <c r="EC42">
        <v>2.5709399999999998</v>
      </c>
      <c r="ED42">
        <v>2.0349200000000001</v>
      </c>
      <c r="EE42">
        <v>21.482700000000001</v>
      </c>
      <c r="EF42">
        <v>17.718699999999998</v>
      </c>
      <c r="EG42">
        <v>1799.95</v>
      </c>
      <c r="EH42">
        <v>0.97799800000000003</v>
      </c>
      <c r="EI42">
        <v>2.20021E-2</v>
      </c>
      <c r="EJ42">
        <v>0</v>
      </c>
      <c r="EK42">
        <v>738.43499999999995</v>
      </c>
      <c r="EL42">
        <v>9.9989999999999996E-2</v>
      </c>
      <c r="EM42">
        <v>13856.1</v>
      </c>
      <c r="EN42">
        <v>16704.8</v>
      </c>
      <c r="EO42">
        <v>47.5</v>
      </c>
      <c r="EP42">
        <v>48.875</v>
      </c>
      <c r="EQ42">
        <v>48.375</v>
      </c>
      <c r="ER42">
        <v>47.75</v>
      </c>
      <c r="ES42">
        <v>48.625</v>
      </c>
      <c r="ET42">
        <v>1760.25</v>
      </c>
      <c r="EU42">
        <v>39.6</v>
      </c>
      <c r="EV42">
        <v>0</v>
      </c>
      <c r="EW42">
        <v>106.7999999523163</v>
      </c>
      <c r="EX42">
        <v>0</v>
      </c>
      <c r="EY42">
        <v>742.10559999999998</v>
      </c>
      <c r="EZ42">
        <v>-5.821923098073202</v>
      </c>
      <c r="FA42">
        <v>18.430769138281509</v>
      </c>
      <c r="FB42">
        <v>13853.748</v>
      </c>
      <c r="FC42">
        <v>15</v>
      </c>
      <c r="FD42">
        <v>1691168073.5</v>
      </c>
      <c r="FE42" t="s">
        <v>554</v>
      </c>
      <c r="FF42">
        <v>1691168073.5</v>
      </c>
      <c r="FG42">
        <v>1691168063</v>
      </c>
      <c r="FH42">
        <v>46</v>
      </c>
      <c r="FI42">
        <v>-9.6000000000000002E-2</v>
      </c>
      <c r="FJ42">
        <v>1E-3</v>
      </c>
      <c r="FK42">
        <v>-0.79100000000000004</v>
      </c>
      <c r="FL42">
        <v>0.13</v>
      </c>
      <c r="FM42">
        <v>900</v>
      </c>
      <c r="FN42">
        <v>20</v>
      </c>
      <c r="FO42">
        <v>7.0000000000000007E-2</v>
      </c>
      <c r="FP42">
        <v>0.04</v>
      </c>
      <c r="FQ42">
        <v>53.663428011340088</v>
      </c>
      <c r="FR42">
        <v>-6.7691686710335444E-2</v>
      </c>
      <c r="FS42">
        <v>0.16468145961017969</v>
      </c>
      <c r="FT42">
        <v>1</v>
      </c>
      <c r="FU42">
        <v>0.27794297760592679</v>
      </c>
      <c r="FV42">
        <v>1.7710723148139651E-2</v>
      </c>
      <c r="FW42">
        <v>2.6852552680343479E-3</v>
      </c>
      <c r="FX42">
        <v>1</v>
      </c>
      <c r="FY42">
        <v>2</v>
      </c>
      <c r="FZ42">
        <v>2</v>
      </c>
      <c r="GA42" t="s">
        <v>416</v>
      </c>
      <c r="GB42">
        <v>2.9679000000000002</v>
      </c>
      <c r="GC42">
        <v>2.8119700000000001</v>
      </c>
      <c r="GD42">
        <v>0.16259399999999999</v>
      </c>
      <c r="GE42">
        <v>0.16942299999999999</v>
      </c>
      <c r="GF42">
        <v>0.124991</v>
      </c>
      <c r="GG42">
        <v>0.105556</v>
      </c>
      <c r="GH42">
        <v>24660.400000000001</v>
      </c>
      <c r="GI42">
        <v>22576.5</v>
      </c>
      <c r="GJ42">
        <v>26480.1</v>
      </c>
      <c r="GK42">
        <v>25660</v>
      </c>
      <c r="GL42">
        <v>31542</v>
      </c>
      <c r="GM42">
        <v>32408.1</v>
      </c>
      <c r="GN42">
        <v>37485.1</v>
      </c>
      <c r="GO42">
        <v>38044.699999999997</v>
      </c>
      <c r="GP42">
        <v>1.9326000000000001</v>
      </c>
      <c r="GQ42">
        <v>1.8673</v>
      </c>
      <c r="GR42">
        <v>2.6986E-2</v>
      </c>
      <c r="GS42">
        <v>0</v>
      </c>
      <c r="GT42">
        <v>29.5791</v>
      </c>
      <c r="GU42">
        <v>999.9</v>
      </c>
      <c r="GV42">
        <v>28.8</v>
      </c>
      <c r="GW42">
        <v>47</v>
      </c>
      <c r="GX42">
        <v>31.016500000000001</v>
      </c>
      <c r="GY42">
        <v>61.677</v>
      </c>
      <c r="GZ42">
        <v>14.411099999999999</v>
      </c>
      <c r="HA42">
        <v>1</v>
      </c>
      <c r="HB42">
        <v>0.52841499999999997</v>
      </c>
      <c r="HC42">
        <v>3.3663699999999999</v>
      </c>
      <c r="HD42">
        <v>20.269200000000001</v>
      </c>
      <c r="HE42">
        <v>5.2095000000000002</v>
      </c>
      <c r="HF42">
        <v>11.9381</v>
      </c>
      <c r="HG42">
        <v>4.9870000000000001</v>
      </c>
      <c r="HH42">
        <v>3.2909999999999999</v>
      </c>
      <c r="HI42">
        <v>9999</v>
      </c>
      <c r="HJ42">
        <v>9999</v>
      </c>
      <c r="HK42">
        <v>9999</v>
      </c>
      <c r="HL42">
        <v>999.9</v>
      </c>
      <c r="HM42">
        <v>1.87103</v>
      </c>
      <c r="HN42">
        <v>1.8769800000000001</v>
      </c>
      <c r="HO42">
        <v>1.8747100000000001</v>
      </c>
      <c r="HP42">
        <v>1.8730199999999999</v>
      </c>
      <c r="HQ42">
        <v>1.8734900000000001</v>
      </c>
      <c r="HR42">
        <v>1.8709</v>
      </c>
      <c r="HS42">
        <v>1.8767100000000001</v>
      </c>
      <c r="HT42">
        <v>1.8759300000000001</v>
      </c>
      <c r="HU42">
        <v>5</v>
      </c>
      <c r="HV42">
        <v>0</v>
      </c>
      <c r="HW42">
        <v>0</v>
      </c>
      <c r="HX42">
        <v>0</v>
      </c>
      <c r="HY42" t="s">
        <v>417</v>
      </c>
      <c r="HZ42" t="s">
        <v>418</v>
      </c>
      <c r="IA42" t="s">
        <v>419</v>
      </c>
      <c r="IB42" t="s">
        <v>420</v>
      </c>
      <c r="IC42" t="s">
        <v>420</v>
      </c>
      <c r="ID42" t="s">
        <v>419</v>
      </c>
      <c r="IE42">
        <v>0</v>
      </c>
      <c r="IF42">
        <v>100</v>
      </c>
      <c r="IG42">
        <v>100</v>
      </c>
      <c r="IH42">
        <v>-0.77900000000000003</v>
      </c>
      <c r="II42">
        <v>0.33360000000000001</v>
      </c>
      <c r="IJ42">
        <v>-0.17934178462192249</v>
      </c>
      <c r="IK42">
        <v>-1.615681629159814E-3</v>
      </c>
      <c r="IL42">
        <v>1.5005605225991581E-6</v>
      </c>
      <c r="IM42">
        <v>-5.1143626075267638E-10</v>
      </c>
      <c r="IN42">
        <v>-0.18061069055521339</v>
      </c>
      <c r="IO42">
        <v>-1.7182111142928099E-3</v>
      </c>
      <c r="IP42">
        <v>9.9985895407488957E-4</v>
      </c>
      <c r="IQ42">
        <v>-5.7750407166627208E-6</v>
      </c>
      <c r="IR42">
        <v>3</v>
      </c>
      <c r="IS42">
        <v>2181</v>
      </c>
      <c r="IT42">
        <v>2</v>
      </c>
      <c r="IU42">
        <v>42</v>
      </c>
      <c r="IV42">
        <v>0.5</v>
      </c>
      <c r="IW42">
        <v>0.6</v>
      </c>
      <c r="IX42">
        <v>1.8444799999999999</v>
      </c>
      <c r="IY42">
        <v>2.5537100000000001</v>
      </c>
      <c r="IZ42">
        <v>1.5991200000000001</v>
      </c>
      <c r="JA42">
        <v>2.2717299999999998</v>
      </c>
      <c r="JB42">
        <v>1.5502899999999999</v>
      </c>
      <c r="JC42">
        <v>2.3852500000000001</v>
      </c>
      <c r="JD42">
        <v>50.186399999999999</v>
      </c>
      <c r="JE42">
        <v>14.928800000000001</v>
      </c>
      <c r="JF42">
        <v>18</v>
      </c>
      <c r="JG42">
        <v>502.12099999999998</v>
      </c>
      <c r="JH42">
        <v>430.24400000000003</v>
      </c>
      <c r="JI42">
        <v>25.192299999999999</v>
      </c>
      <c r="JJ42">
        <v>33.917099999999998</v>
      </c>
      <c r="JK42">
        <v>29.999700000000001</v>
      </c>
      <c r="JL42">
        <v>33.992100000000001</v>
      </c>
      <c r="JM42">
        <v>33.9711</v>
      </c>
      <c r="JN42">
        <v>36.933999999999997</v>
      </c>
      <c r="JO42">
        <v>37.533299999999997</v>
      </c>
      <c r="JP42">
        <v>0</v>
      </c>
      <c r="JQ42">
        <v>25.188400000000001</v>
      </c>
      <c r="JR42">
        <v>900</v>
      </c>
      <c r="JS42">
        <v>20.4649</v>
      </c>
      <c r="JT42">
        <v>98.864400000000003</v>
      </c>
      <c r="JU42">
        <v>98.744399999999999</v>
      </c>
    </row>
    <row r="43" spans="1:281" x14ac:dyDescent="0.25">
      <c r="A43">
        <v>27</v>
      </c>
      <c r="B43">
        <v>1691168245</v>
      </c>
      <c r="C43">
        <v>8514.4000000953674</v>
      </c>
      <c r="D43" t="s">
        <v>555</v>
      </c>
      <c r="E43" t="s">
        <v>556</v>
      </c>
      <c r="F43" t="s">
        <v>411</v>
      </c>
      <c r="G43" t="s">
        <v>495</v>
      </c>
      <c r="H43" t="s">
        <v>496</v>
      </c>
      <c r="I43" t="s">
        <v>413</v>
      </c>
      <c r="J43">
        <v>1691168245</v>
      </c>
      <c r="K43">
        <f t="shared" si="46"/>
        <v>4.1180239550340624E-3</v>
      </c>
      <c r="L43">
        <f t="shared" si="47"/>
        <v>4.1180239550340625</v>
      </c>
      <c r="M43">
        <f t="shared" si="48"/>
        <v>52.144565693681209</v>
      </c>
      <c r="N43">
        <f t="shared" si="49"/>
        <v>1131.55</v>
      </c>
      <c r="O43">
        <f t="shared" si="50"/>
        <v>747.56792961535507</v>
      </c>
      <c r="P43">
        <f t="shared" si="51"/>
        <v>74.193656020699706</v>
      </c>
      <c r="Q43">
        <f t="shared" si="52"/>
        <v>112.3026124374</v>
      </c>
      <c r="R43">
        <f t="shared" si="53"/>
        <v>0.24260508937012687</v>
      </c>
      <c r="S43">
        <f t="shared" si="54"/>
        <v>2.9176252129325158</v>
      </c>
      <c r="T43">
        <f t="shared" si="55"/>
        <v>0.23192923030640339</v>
      </c>
      <c r="U43">
        <f t="shared" si="56"/>
        <v>0.14587580082011609</v>
      </c>
      <c r="V43">
        <f t="shared" si="57"/>
        <v>289.55905501274185</v>
      </c>
      <c r="W43">
        <f t="shared" si="58"/>
        <v>30.553854125148952</v>
      </c>
      <c r="X43">
        <f t="shared" si="59"/>
        <v>30.030200000000001</v>
      </c>
      <c r="Y43">
        <f t="shared" si="60"/>
        <v>4.2678458067265934</v>
      </c>
      <c r="Z43">
        <f t="shared" si="61"/>
        <v>60.527470955809335</v>
      </c>
      <c r="AA43">
        <f t="shared" si="62"/>
        <v>2.5663412248056003</v>
      </c>
      <c r="AB43">
        <f t="shared" si="63"/>
        <v>4.2399611024211916</v>
      </c>
      <c r="AC43">
        <f t="shared" si="64"/>
        <v>1.7015045819209931</v>
      </c>
      <c r="AD43">
        <f t="shared" si="65"/>
        <v>-181.60485641700214</v>
      </c>
      <c r="AE43">
        <f t="shared" si="66"/>
        <v>-17.947360695724473</v>
      </c>
      <c r="AF43">
        <f t="shared" si="67"/>
        <v>-1.3673973624099713</v>
      </c>
      <c r="AG43">
        <f t="shared" si="68"/>
        <v>88.639440537605267</v>
      </c>
      <c r="AH43">
        <v>0</v>
      </c>
      <c r="AI43">
        <v>0</v>
      </c>
      <c r="AJ43">
        <f t="shared" si="69"/>
        <v>1</v>
      </c>
      <c r="AK43">
        <f t="shared" si="70"/>
        <v>0</v>
      </c>
      <c r="AL43">
        <f t="shared" si="71"/>
        <v>52009.243862783791</v>
      </c>
      <c r="AM43" t="s">
        <v>414</v>
      </c>
      <c r="AN43">
        <v>7361.72</v>
      </c>
      <c r="AO43">
        <v>541.39076923076925</v>
      </c>
      <c r="AP43">
        <v>2141.9899999999998</v>
      </c>
      <c r="AQ43">
        <f t="shared" si="72"/>
        <v>0.74724869433061347</v>
      </c>
      <c r="AR43">
        <v>-0.96077199609010144</v>
      </c>
      <c r="AS43" t="s">
        <v>557</v>
      </c>
      <c r="AT43">
        <v>7341.25</v>
      </c>
      <c r="AU43">
        <v>738.60739999999987</v>
      </c>
      <c r="AV43">
        <v>1162.0886207630001</v>
      </c>
      <c r="AW43">
        <f t="shared" si="73"/>
        <v>0.36441387790627566</v>
      </c>
      <c r="AX43">
        <v>0.5</v>
      </c>
      <c r="AY43">
        <f t="shared" si="74"/>
        <v>1513.1127000066022</v>
      </c>
      <c r="AZ43">
        <f t="shared" si="75"/>
        <v>52.144565693681209</v>
      </c>
      <c r="BA43">
        <f t="shared" si="76"/>
        <v>275.6996333593205</v>
      </c>
      <c r="BB43">
        <f t="shared" si="77"/>
        <v>3.5096749693224828E-2</v>
      </c>
      <c r="BC43">
        <f t="shared" si="78"/>
        <v>0.84322431330032255</v>
      </c>
      <c r="BD43">
        <f t="shared" si="79"/>
        <v>446.27742594843909</v>
      </c>
      <c r="BE43" t="s">
        <v>558</v>
      </c>
      <c r="BF43">
        <v>582.49</v>
      </c>
      <c r="BG43">
        <f t="shared" si="80"/>
        <v>582.49</v>
      </c>
      <c r="BH43">
        <f t="shared" si="81"/>
        <v>0.49875595579143461</v>
      </c>
      <c r="BI43">
        <f t="shared" si="82"/>
        <v>0.73064566683322596</v>
      </c>
      <c r="BJ43">
        <f t="shared" si="83"/>
        <v>0.62834330185123421</v>
      </c>
      <c r="BK43">
        <f t="shared" si="84"/>
        <v>0.68226629062370814</v>
      </c>
      <c r="BL43">
        <f t="shared" si="85"/>
        <v>0.61220907795018109</v>
      </c>
      <c r="BM43">
        <f t="shared" si="86"/>
        <v>0.57621111631657884</v>
      </c>
      <c r="BN43">
        <f t="shared" si="87"/>
        <v>0.42378888368342116</v>
      </c>
      <c r="BO43">
        <v>1483</v>
      </c>
      <c r="BP43">
        <v>290.00000000000011</v>
      </c>
      <c r="BQ43">
        <v>1013.36</v>
      </c>
      <c r="BR43">
        <v>295</v>
      </c>
      <c r="BS43">
        <v>7341.25</v>
      </c>
      <c r="BT43">
        <v>1015.91</v>
      </c>
      <c r="BU43">
        <v>-2.5499999999999998</v>
      </c>
      <c r="BV43">
        <v>300.00000000000011</v>
      </c>
      <c r="BW43">
        <v>37.9</v>
      </c>
      <c r="BX43">
        <v>1162.0886207630001</v>
      </c>
      <c r="BY43">
        <v>1.864809300343657</v>
      </c>
      <c r="BZ43">
        <v>-107.3129072808491</v>
      </c>
      <c r="CA43">
        <v>1.147698035664295</v>
      </c>
      <c r="CB43">
        <v>0.99680757490492944</v>
      </c>
      <c r="CC43">
        <v>-7.2327690767519546E-3</v>
      </c>
      <c r="CD43">
        <v>289.99999999999989</v>
      </c>
      <c r="CE43">
        <v>1004.31</v>
      </c>
      <c r="CF43">
        <v>645</v>
      </c>
      <c r="CG43">
        <v>7337.17</v>
      </c>
      <c r="CH43">
        <v>1015.83</v>
      </c>
      <c r="CI43">
        <v>-11.52</v>
      </c>
      <c r="CW43">
        <f t="shared" si="88"/>
        <v>1799.91</v>
      </c>
      <c r="CX43">
        <f t="shared" si="89"/>
        <v>1513.1127000066022</v>
      </c>
      <c r="CY43">
        <f t="shared" si="90"/>
        <v>0.84066019968031847</v>
      </c>
      <c r="CZ43">
        <f t="shared" si="91"/>
        <v>0.16087418538301462</v>
      </c>
      <c r="DA43">
        <v>6</v>
      </c>
      <c r="DB43">
        <v>0.5</v>
      </c>
      <c r="DC43" t="s">
        <v>415</v>
      </c>
      <c r="DD43">
        <v>2</v>
      </c>
      <c r="DE43">
        <v>1691168245</v>
      </c>
      <c r="DF43">
        <v>1131.55</v>
      </c>
      <c r="DG43">
        <v>1199.74</v>
      </c>
      <c r="DH43">
        <v>25.8582</v>
      </c>
      <c r="DI43">
        <v>21.0426</v>
      </c>
      <c r="DJ43">
        <v>1132.52</v>
      </c>
      <c r="DK43">
        <v>25.526700000000002</v>
      </c>
      <c r="DL43">
        <v>499.81799999999998</v>
      </c>
      <c r="DM43">
        <v>99.148300000000006</v>
      </c>
      <c r="DN43">
        <v>9.8407999999999995E-2</v>
      </c>
      <c r="DO43">
        <v>29.9161</v>
      </c>
      <c r="DP43">
        <v>30.030200000000001</v>
      </c>
      <c r="DQ43">
        <v>999.9</v>
      </c>
      <c r="DR43">
        <v>0</v>
      </c>
      <c r="DS43">
        <v>0</v>
      </c>
      <c r="DT43">
        <v>10017.5</v>
      </c>
      <c r="DU43">
        <v>0</v>
      </c>
      <c r="DV43">
        <v>677.577</v>
      </c>
      <c r="DW43">
        <v>-68.191900000000004</v>
      </c>
      <c r="DX43">
        <v>1161.58</v>
      </c>
      <c r="DY43">
        <v>1225.53</v>
      </c>
      <c r="DZ43">
        <v>4.8155900000000003</v>
      </c>
      <c r="EA43">
        <v>1199.74</v>
      </c>
      <c r="EB43">
        <v>21.0426</v>
      </c>
      <c r="EC43">
        <v>2.56379</v>
      </c>
      <c r="ED43">
        <v>2.0863399999999999</v>
      </c>
      <c r="EE43">
        <v>21.437200000000001</v>
      </c>
      <c r="EF43">
        <v>18.115200000000002</v>
      </c>
      <c r="EG43">
        <v>1799.91</v>
      </c>
      <c r="EH43">
        <v>0.97799100000000005</v>
      </c>
      <c r="EI43">
        <v>2.20092E-2</v>
      </c>
      <c r="EJ43">
        <v>0</v>
      </c>
      <c r="EK43">
        <v>737.59500000000003</v>
      </c>
      <c r="EL43">
        <v>9.9989999999999996E-2</v>
      </c>
      <c r="EM43">
        <v>14421.3</v>
      </c>
      <c r="EN43">
        <v>16704.400000000001</v>
      </c>
      <c r="EO43">
        <v>47.186999999999998</v>
      </c>
      <c r="EP43">
        <v>49</v>
      </c>
      <c r="EQ43">
        <v>48.061999999999998</v>
      </c>
      <c r="ER43">
        <v>47.561999999999998</v>
      </c>
      <c r="ES43">
        <v>48.311999999999998</v>
      </c>
      <c r="ET43">
        <v>1760.2</v>
      </c>
      <c r="EU43">
        <v>39.61</v>
      </c>
      <c r="EV43">
        <v>0</v>
      </c>
      <c r="EW43">
        <v>141.20000004768369</v>
      </c>
      <c r="EX43">
        <v>0</v>
      </c>
      <c r="EY43">
        <v>738.60739999999987</v>
      </c>
      <c r="EZ43">
        <v>-0.5480769089593821</v>
      </c>
      <c r="FA43">
        <v>-115.7692305192478</v>
      </c>
      <c r="FB43">
        <v>14434.2</v>
      </c>
      <c r="FC43">
        <v>15</v>
      </c>
      <c r="FD43">
        <v>1691168214</v>
      </c>
      <c r="FE43" t="s">
        <v>559</v>
      </c>
      <c r="FF43">
        <v>1691168214</v>
      </c>
      <c r="FG43">
        <v>1691168209</v>
      </c>
      <c r="FH43">
        <v>47</v>
      </c>
      <c r="FI43">
        <v>-0.15</v>
      </c>
      <c r="FJ43">
        <v>0</v>
      </c>
      <c r="FK43">
        <v>-0.99199999999999999</v>
      </c>
      <c r="FL43">
        <v>0.16200000000000001</v>
      </c>
      <c r="FM43">
        <v>1200</v>
      </c>
      <c r="FN43">
        <v>21</v>
      </c>
      <c r="FO43">
        <v>0.12</v>
      </c>
      <c r="FP43">
        <v>0.05</v>
      </c>
      <c r="FQ43">
        <v>52.34702886078508</v>
      </c>
      <c r="FR43">
        <v>-0.62057799778080958</v>
      </c>
      <c r="FS43">
        <v>0.16486830047875051</v>
      </c>
      <c r="FT43">
        <v>1</v>
      </c>
      <c r="FU43">
        <v>0.24117527510082959</v>
      </c>
      <c r="FV43">
        <v>2.7860435843946579E-2</v>
      </c>
      <c r="FW43">
        <v>2.327781439112359E-3</v>
      </c>
      <c r="FX43">
        <v>1</v>
      </c>
      <c r="FY43">
        <v>2</v>
      </c>
      <c r="FZ43">
        <v>2</v>
      </c>
      <c r="GA43" t="s">
        <v>416</v>
      </c>
      <c r="GB43">
        <v>2.9675600000000002</v>
      </c>
      <c r="GC43">
        <v>2.8102499999999999</v>
      </c>
      <c r="GD43">
        <v>0.19889999999999999</v>
      </c>
      <c r="GE43">
        <v>0.204065</v>
      </c>
      <c r="GF43">
        <v>0.124782</v>
      </c>
      <c r="GG43">
        <v>0.10746799999999999</v>
      </c>
      <c r="GH43">
        <v>23592.2</v>
      </c>
      <c r="GI43">
        <v>21636.6</v>
      </c>
      <c r="GJ43">
        <v>26483.7</v>
      </c>
      <c r="GK43">
        <v>25664.6</v>
      </c>
      <c r="GL43">
        <v>31556.5</v>
      </c>
      <c r="GM43">
        <v>32345.599999999999</v>
      </c>
      <c r="GN43">
        <v>37491.1</v>
      </c>
      <c r="GO43">
        <v>38049.9</v>
      </c>
      <c r="GP43">
        <v>1.9338</v>
      </c>
      <c r="GQ43">
        <v>1.8711</v>
      </c>
      <c r="GR43">
        <v>-2.6226000000000001E-3</v>
      </c>
      <c r="GS43">
        <v>0</v>
      </c>
      <c r="GT43">
        <v>30.072900000000001</v>
      </c>
      <c r="GU43">
        <v>999.9</v>
      </c>
      <c r="GV43">
        <v>28.7</v>
      </c>
      <c r="GW43">
        <v>47</v>
      </c>
      <c r="GX43">
        <v>30.909700000000001</v>
      </c>
      <c r="GY43">
        <v>61.856999999999999</v>
      </c>
      <c r="GZ43">
        <v>14.447100000000001</v>
      </c>
      <c r="HA43">
        <v>1</v>
      </c>
      <c r="HB43">
        <v>0.52991900000000003</v>
      </c>
      <c r="HC43">
        <v>5.3442499999999997</v>
      </c>
      <c r="HD43">
        <v>20.216100000000001</v>
      </c>
      <c r="HE43">
        <v>5.1957300000000002</v>
      </c>
      <c r="HF43">
        <v>11.9381</v>
      </c>
      <c r="HG43">
        <v>4.9836</v>
      </c>
      <c r="HH43">
        <v>3.2879</v>
      </c>
      <c r="HI43">
        <v>9999</v>
      </c>
      <c r="HJ43">
        <v>9999</v>
      </c>
      <c r="HK43">
        <v>9999</v>
      </c>
      <c r="HL43">
        <v>999.9</v>
      </c>
      <c r="HM43">
        <v>1.8710100000000001</v>
      </c>
      <c r="HN43">
        <v>1.8769800000000001</v>
      </c>
      <c r="HO43">
        <v>1.8747499999999999</v>
      </c>
      <c r="HP43">
        <v>1.8730199999999999</v>
      </c>
      <c r="HQ43">
        <v>1.8734900000000001</v>
      </c>
      <c r="HR43">
        <v>1.8708800000000001</v>
      </c>
      <c r="HS43">
        <v>1.8767</v>
      </c>
      <c r="HT43">
        <v>1.87592</v>
      </c>
      <c r="HU43">
        <v>5</v>
      </c>
      <c r="HV43">
        <v>0</v>
      </c>
      <c r="HW43">
        <v>0</v>
      </c>
      <c r="HX43">
        <v>0</v>
      </c>
      <c r="HY43" t="s">
        <v>417</v>
      </c>
      <c r="HZ43" t="s">
        <v>418</v>
      </c>
      <c r="IA43" t="s">
        <v>419</v>
      </c>
      <c r="IB43" t="s">
        <v>420</v>
      </c>
      <c r="IC43" t="s">
        <v>420</v>
      </c>
      <c r="ID43" t="s">
        <v>419</v>
      </c>
      <c r="IE43">
        <v>0</v>
      </c>
      <c r="IF43">
        <v>100</v>
      </c>
      <c r="IG43">
        <v>100</v>
      </c>
      <c r="IH43">
        <v>-0.97</v>
      </c>
      <c r="II43">
        <v>0.33150000000000002</v>
      </c>
      <c r="IJ43">
        <v>-0.33001941356566061</v>
      </c>
      <c r="IK43">
        <v>-1.615681629159814E-3</v>
      </c>
      <c r="IL43">
        <v>1.5005605225991581E-6</v>
      </c>
      <c r="IM43">
        <v>-5.1143626075267638E-10</v>
      </c>
      <c r="IN43">
        <v>-0.18015175540936279</v>
      </c>
      <c r="IO43">
        <v>-1.7182111142928099E-3</v>
      </c>
      <c r="IP43">
        <v>9.9985895407488957E-4</v>
      </c>
      <c r="IQ43">
        <v>-5.7750407166627208E-6</v>
      </c>
      <c r="IR43">
        <v>3</v>
      </c>
      <c r="IS43">
        <v>2181</v>
      </c>
      <c r="IT43">
        <v>2</v>
      </c>
      <c r="IU43">
        <v>42</v>
      </c>
      <c r="IV43">
        <v>0.5</v>
      </c>
      <c r="IW43">
        <v>0.6</v>
      </c>
      <c r="IX43">
        <v>2.34375</v>
      </c>
      <c r="IY43">
        <v>2.5451700000000002</v>
      </c>
      <c r="IZ43">
        <v>1.5991200000000001</v>
      </c>
      <c r="JA43">
        <v>2.2717299999999998</v>
      </c>
      <c r="JB43">
        <v>1.5502899999999999</v>
      </c>
      <c r="JC43">
        <v>2.3986800000000001</v>
      </c>
      <c r="JD43">
        <v>49.961599999999997</v>
      </c>
      <c r="JE43">
        <v>14.85</v>
      </c>
      <c r="JF43">
        <v>18</v>
      </c>
      <c r="JG43">
        <v>501.99400000000003</v>
      </c>
      <c r="JH43">
        <v>431.77600000000001</v>
      </c>
      <c r="JI43">
        <v>23.198799999999999</v>
      </c>
      <c r="JJ43">
        <v>33.825800000000001</v>
      </c>
      <c r="JK43">
        <v>30</v>
      </c>
      <c r="JL43">
        <v>33.874699999999997</v>
      </c>
      <c r="JM43">
        <v>33.861800000000002</v>
      </c>
      <c r="JN43">
        <v>46.930500000000002</v>
      </c>
      <c r="JO43">
        <v>35.348999999999997</v>
      </c>
      <c r="JP43">
        <v>0</v>
      </c>
      <c r="JQ43">
        <v>23.182700000000001</v>
      </c>
      <c r="JR43">
        <v>1200</v>
      </c>
      <c r="JS43">
        <v>20.9528</v>
      </c>
      <c r="JT43">
        <v>98.879000000000005</v>
      </c>
      <c r="JU43">
        <v>98.759500000000003</v>
      </c>
    </row>
    <row r="44" spans="1:281" x14ac:dyDescent="0.25">
      <c r="A44">
        <v>28</v>
      </c>
      <c r="B44">
        <v>1691168382.5</v>
      </c>
      <c r="C44">
        <v>8651.9000000953674</v>
      </c>
      <c r="D44" t="s">
        <v>560</v>
      </c>
      <c r="E44" t="s">
        <v>561</v>
      </c>
      <c r="F44" t="s">
        <v>411</v>
      </c>
      <c r="G44" t="s">
        <v>495</v>
      </c>
      <c r="H44" t="s">
        <v>496</v>
      </c>
      <c r="I44" t="s">
        <v>413</v>
      </c>
      <c r="J44">
        <v>1691168382.5</v>
      </c>
      <c r="K44">
        <f t="shared" si="46"/>
        <v>3.9772826804474323E-3</v>
      </c>
      <c r="L44">
        <f t="shared" si="47"/>
        <v>3.9772826804474324</v>
      </c>
      <c r="M44">
        <f t="shared" si="48"/>
        <v>50.648448273674347</v>
      </c>
      <c r="N44">
        <f t="shared" si="49"/>
        <v>1432.37</v>
      </c>
      <c r="O44">
        <f t="shared" si="50"/>
        <v>1029.5343314885706</v>
      </c>
      <c r="P44">
        <f t="shared" si="51"/>
        <v>102.17361236947104</v>
      </c>
      <c r="Q44">
        <f t="shared" si="52"/>
        <v>142.15205134349998</v>
      </c>
      <c r="R44">
        <f t="shared" si="53"/>
        <v>0.22882517724985474</v>
      </c>
      <c r="S44">
        <f t="shared" si="54"/>
        <v>2.9157802341902195</v>
      </c>
      <c r="T44">
        <f t="shared" si="55"/>
        <v>0.21929630244452636</v>
      </c>
      <c r="U44">
        <f t="shared" si="56"/>
        <v>0.13788325449977495</v>
      </c>
      <c r="V44">
        <f t="shared" si="57"/>
        <v>289.57341901274123</v>
      </c>
      <c r="W44">
        <f t="shared" si="58"/>
        <v>30.393995656403622</v>
      </c>
      <c r="X44">
        <f t="shared" si="59"/>
        <v>30.0046</v>
      </c>
      <c r="Y44">
        <f t="shared" si="60"/>
        <v>4.2615755990549129</v>
      </c>
      <c r="Z44">
        <f t="shared" si="61"/>
        <v>60.188032294359886</v>
      </c>
      <c r="AA44">
        <f t="shared" si="62"/>
        <v>2.5231822882200001</v>
      </c>
      <c r="AB44">
        <f t="shared" si="63"/>
        <v>4.1921661035202895</v>
      </c>
      <c r="AC44">
        <f t="shared" si="64"/>
        <v>1.7383933108349128</v>
      </c>
      <c r="AD44">
        <f t="shared" si="65"/>
        <v>-175.39816620773178</v>
      </c>
      <c r="AE44">
        <f t="shared" si="66"/>
        <v>-44.895047362305192</v>
      </c>
      <c r="AF44">
        <f t="shared" si="67"/>
        <v>-3.4189161390203036</v>
      </c>
      <c r="AG44">
        <f t="shared" si="68"/>
        <v>65.861289303683932</v>
      </c>
      <c r="AH44">
        <v>0</v>
      </c>
      <c r="AI44">
        <v>0</v>
      </c>
      <c r="AJ44">
        <f t="shared" si="69"/>
        <v>1</v>
      </c>
      <c r="AK44">
        <f t="shared" si="70"/>
        <v>0</v>
      </c>
      <c r="AL44">
        <f t="shared" si="71"/>
        <v>51990.408662302092</v>
      </c>
      <c r="AM44" t="s">
        <v>414</v>
      </c>
      <c r="AN44">
        <v>7361.72</v>
      </c>
      <c r="AO44">
        <v>541.39076923076925</v>
      </c>
      <c r="AP44">
        <v>2141.9899999999998</v>
      </c>
      <c r="AQ44">
        <f t="shared" si="72"/>
        <v>0.74724869433061347</v>
      </c>
      <c r="AR44">
        <v>-0.96077199609010144</v>
      </c>
      <c r="AS44" t="s">
        <v>562</v>
      </c>
      <c r="AT44">
        <v>7341.43</v>
      </c>
      <c r="AU44">
        <v>734.01479999999992</v>
      </c>
      <c r="AV44">
        <v>1150.558940438973</v>
      </c>
      <c r="AW44">
        <f t="shared" si="73"/>
        <v>0.36203633364497512</v>
      </c>
      <c r="AX44">
        <v>0.5</v>
      </c>
      <c r="AY44">
        <f t="shared" si="74"/>
        <v>1513.1883000066016</v>
      </c>
      <c r="AZ44">
        <f t="shared" si="75"/>
        <v>50.648448273674347</v>
      </c>
      <c r="BA44">
        <f t="shared" si="76"/>
        <v>273.91457212443134</v>
      </c>
      <c r="BB44">
        <f t="shared" si="77"/>
        <v>3.4106277632162035E-2</v>
      </c>
      <c r="BC44">
        <f t="shared" si="78"/>
        <v>0.8616951506915117</v>
      </c>
      <c r="BD44">
        <f t="shared" si="79"/>
        <v>444.56658011129309</v>
      </c>
      <c r="BE44" t="s">
        <v>563</v>
      </c>
      <c r="BF44">
        <v>583.02</v>
      </c>
      <c r="BG44">
        <f t="shared" si="80"/>
        <v>583.02</v>
      </c>
      <c r="BH44">
        <f t="shared" si="81"/>
        <v>0.49327237440129734</v>
      </c>
      <c r="BI44">
        <f t="shared" si="82"/>
        <v>0.73394812365965523</v>
      </c>
      <c r="BJ44">
        <f t="shared" si="83"/>
        <v>0.63595262228331972</v>
      </c>
      <c r="BK44">
        <f t="shared" si="84"/>
        <v>0.68379170174438586</v>
      </c>
      <c r="BL44">
        <f t="shared" si="85"/>
        <v>0.61941243035869509</v>
      </c>
      <c r="BM44">
        <f t="shared" si="86"/>
        <v>0.58296703970553765</v>
      </c>
      <c r="BN44">
        <f t="shared" si="87"/>
        <v>0.41703296029446235</v>
      </c>
      <c r="BO44">
        <v>1485</v>
      </c>
      <c r="BP44">
        <v>290.00000000000011</v>
      </c>
      <c r="BQ44">
        <v>1006.47</v>
      </c>
      <c r="BR44">
        <v>285</v>
      </c>
      <c r="BS44">
        <v>7341.43</v>
      </c>
      <c r="BT44">
        <v>1008.05</v>
      </c>
      <c r="BU44">
        <v>-1.58</v>
      </c>
      <c r="BV44">
        <v>300.00000000000011</v>
      </c>
      <c r="BW44">
        <v>37.9</v>
      </c>
      <c r="BX44">
        <v>1150.558940438973</v>
      </c>
      <c r="BY44">
        <v>2.0378549126982239</v>
      </c>
      <c r="BZ44">
        <v>-104.6223767910277</v>
      </c>
      <c r="CA44">
        <v>1.254222827792683</v>
      </c>
      <c r="CB44">
        <v>0.99599212494613643</v>
      </c>
      <c r="CC44">
        <v>-7.2330533926585078E-3</v>
      </c>
      <c r="CD44">
        <v>289.99999999999989</v>
      </c>
      <c r="CE44">
        <v>997.15</v>
      </c>
      <c r="CF44">
        <v>665</v>
      </c>
      <c r="CG44">
        <v>7336.6</v>
      </c>
      <c r="CH44">
        <v>1007.96</v>
      </c>
      <c r="CI44">
        <v>-10.81</v>
      </c>
      <c r="CW44">
        <f t="shared" si="88"/>
        <v>1800</v>
      </c>
      <c r="CX44">
        <f t="shared" si="89"/>
        <v>1513.1883000066016</v>
      </c>
      <c r="CY44">
        <f t="shared" si="90"/>
        <v>0.84066016667033427</v>
      </c>
      <c r="CZ44">
        <f t="shared" si="91"/>
        <v>0.16087412167374512</v>
      </c>
      <c r="DA44">
        <v>6</v>
      </c>
      <c r="DB44">
        <v>0.5</v>
      </c>
      <c r="DC44" t="s">
        <v>415</v>
      </c>
      <c r="DD44">
        <v>2</v>
      </c>
      <c r="DE44">
        <v>1691168382.5</v>
      </c>
      <c r="DF44">
        <v>1432.37</v>
      </c>
      <c r="DG44">
        <v>1499.97</v>
      </c>
      <c r="DH44">
        <v>25.424399999999999</v>
      </c>
      <c r="DI44">
        <v>20.774000000000001</v>
      </c>
      <c r="DJ44">
        <v>1433.22</v>
      </c>
      <c r="DK44">
        <v>25.115500000000001</v>
      </c>
      <c r="DL44">
        <v>500.10700000000003</v>
      </c>
      <c r="DM44">
        <v>99.142799999999994</v>
      </c>
      <c r="DN44">
        <v>9.9750000000000005E-2</v>
      </c>
      <c r="DO44">
        <v>29.719000000000001</v>
      </c>
      <c r="DP44">
        <v>30.0046</v>
      </c>
      <c r="DQ44">
        <v>999.9</v>
      </c>
      <c r="DR44">
        <v>0</v>
      </c>
      <c r="DS44">
        <v>0</v>
      </c>
      <c r="DT44">
        <v>10007.5</v>
      </c>
      <c r="DU44">
        <v>0</v>
      </c>
      <c r="DV44">
        <v>930.70500000000004</v>
      </c>
      <c r="DW44">
        <v>-67.602500000000006</v>
      </c>
      <c r="DX44">
        <v>1469.73</v>
      </c>
      <c r="DY44">
        <v>1531.79</v>
      </c>
      <c r="DZ44">
        <v>4.6504099999999999</v>
      </c>
      <c r="EA44">
        <v>1499.97</v>
      </c>
      <c r="EB44">
        <v>20.774000000000001</v>
      </c>
      <c r="EC44">
        <v>2.5206499999999998</v>
      </c>
      <c r="ED44">
        <v>2.05959</v>
      </c>
      <c r="EE44">
        <v>21.160399999999999</v>
      </c>
      <c r="EF44">
        <v>17.9101</v>
      </c>
      <c r="EG44">
        <v>1800</v>
      </c>
      <c r="EH44">
        <v>0.97799100000000005</v>
      </c>
      <c r="EI44">
        <v>2.20092E-2</v>
      </c>
      <c r="EJ44">
        <v>0</v>
      </c>
      <c r="EK44">
        <v>732.43</v>
      </c>
      <c r="EL44">
        <v>9.9989999999999996E-2</v>
      </c>
      <c r="EM44">
        <v>14297.2</v>
      </c>
      <c r="EN44">
        <v>16705.2</v>
      </c>
      <c r="EO44">
        <v>47.25</v>
      </c>
      <c r="EP44">
        <v>49.436999999999998</v>
      </c>
      <c r="EQ44">
        <v>48.186999999999998</v>
      </c>
      <c r="ER44">
        <v>47.875</v>
      </c>
      <c r="ES44">
        <v>48.375</v>
      </c>
      <c r="ET44">
        <v>1760.29</v>
      </c>
      <c r="EU44">
        <v>39.61</v>
      </c>
      <c r="EV44">
        <v>0</v>
      </c>
      <c r="EW44">
        <v>135.5999999046326</v>
      </c>
      <c r="EX44">
        <v>0</v>
      </c>
      <c r="EY44">
        <v>734.01479999999992</v>
      </c>
      <c r="EZ44">
        <v>-12.266923035251841</v>
      </c>
      <c r="FA44">
        <v>-108.47692316762679</v>
      </c>
      <c r="FB44">
        <v>14311.14</v>
      </c>
      <c r="FC44">
        <v>15</v>
      </c>
      <c r="FD44">
        <v>1691168322.5</v>
      </c>
      <c r="FE44" t="s">
        <v>564</v>
      </c>
      <c r="FF44">
        <v>1691168322.5</v>
      </c>
      <c r="FG44">
        <v>1691168314.5</v>
      </c>
      <c r="FH44">
        <v>48</v>
      </c>
      <c r="FI44">
        <v>0.21299999999999999</v>
      </c>
      <c r="FJ44">
        <v>-7.0000000000000001E-3</v>
      </c>
      <c r="FK44">
        <v>-0.88900000000000001</v>
      </c>
      <c r="FL44">
        <v>0.14499999999999999</v>
      </c>
      <c r="FM44">
        <v>1500</v>
      </c>
      <c r="FN44">
        <v>21</v>
      </c>
      <c r="FO44">
        <v>0.13</v>
      </c>
      <c r="FP44">
        <v>0.04</v>
      </c>
      <c r="FQ44">
        <v>50.633981226291183</v>
      </c>
      <c r="FR44">
        <v>8.682807244763982E-2</v>
      </c>
      <c r="FS44">
        <v>0.1941460007766676</v>
      </c>
      <c r="FT44">
        <v>1</v>
      </c>
      <c r="FU44">
        <v>0.23117819751237509</v>
      </c>
      <c r="FV44">
        <v>-1.370322103987868E-2</v>
      </c>
      <c r="FW44">
        <v>1.0497080830068461E-3</v>
      </c>
      <c r="FX44">
        <v>1</v>
      </c>
      <c r="FY44">
        <v>2</v>
      </c>
      <c r="FZ44">
        <v>2</v>
      </c>
      <c r="GA44" t="s">
        <v>416</v>
      </c>
      <c r="GB44">
        <v>2.9681000000000002</v>
      </c>
      <c r="GC44">
        <v>2.8115100000000002</v>
      </c>
      <c r="GD44">
        <v>0.23030600000000001</v>
      </c>
      <c r="GE44">
        <v>0.23427700000000001</v>
      </c>
      <c r="GF44">
        <v>0.12331</v>
      </c>
      <c r="GG44">
        <v>0.10645499999999999</v>
      </c>
      <c r="GH44">
        <v>22655.8</v>
      </c>
      <c r="GI44">
        <v>20801.5</v>
      </c>
      <c r="GJ44">
        <v>26474.9</v>
      </c>
      <c r="GK44">
        <v>25652.400000000001</v>
      </c>
      <c r="GL44">
        <v>31602.5</v>
      </c>
      <c r="GM44">
        <v>32370</v>
      </c>
      <c r="GN44">
        <v>37477.800000000003</v>
      </c>
      <c r="GO44">
        <v>38032.6</v>
      </c>
      <c r="GP44">
        <v>1.9319</v>
      </c>
      <c r="GQ44">
        <v>1.8671</v>
      </c>
      <c r="GR44">
        <v>-2.3931299999999999E-2</v>
      </c>
      <c r="GS44">
        <v>0</v>
      </c>
      <c r="GT44">
        <v>30.393899999999999</v>
      </c>
      <c r="GU44">
        <v>999.9</v>
      </c>
      <c r="GV44">
        <v>28.6</v>
      </c>
      <c r="GW44">
        <v>47</v>
      </c>
      <c r="GX44">
        <v>30.806000000000001</v>
      </c>
      <c r="GY44">
        <v>61.927</v>
      </c>
      <c r="GZ44">
        <v>13.5176</v>
      </c>
      <c r="HA44">
        <v>1</v>
      </c>
      <c r="HB44">
        <v>0.548516</v>
      </c>
      <c r="HC44">
        <v>4.9083600000000001</v>
      </c>
      <c r="HD44">
        <v>20.231999999999999</v>
      </c>
      <c r="HE44">
        <v>5.2088999999999999</v>
      </c>
      <c r="HF44">
        <v>11.9381</v>
      </c>
      <c r="HG44">
        <v>4.9867999999999997</v>
      </c>
      <c r="HH44">
        <v>3.2907999999999999</v>
      </c>
      <c r="HI44">
        <v>9999</v>
      </c>
      <c r="HJ44">
        <v>9999</v>
      </c>
      <c r="HK44">
        <v>9999</v>
      </c>
      <c r="HL44">
        <v>999.9</v>
      </c>
      <c r="HM44">
        <v>1.87103</v>
      </c>
      <c r="HN44">
        <v>1.8769800000000001</v>
      </c>
      <c r="HO44">
        <v>1.8747199999999999</v>
      </c>
      <c r="HP44">
        <v>1.8730199999999999</v>
      </c>
      <c r="HQ44">
        <v>1.8734999999999999</v>
      </c>
      <c r="HR44">
        <v>1.8709</v>
      </c>
      <c r="HS44">
        <v>1.8766799999999999</v>
      </c>
      <c r="HT44">
        <v>1.87592</v>
      </c>
      <c r="HU44">
        <v>5</v>
      </c>
      <c r="HV44">
        <v>0</v>
      </c>
      <c r="HW44">
        <v>0</v>
      </c>
      <c r="HX44">
        <v>0</v>
      </c>
      <c r="HY44" t="s">
        <v>417</v>
      </c>
      <c r="HZ44" t="s">
        <v>418</v>
      </c>
      <c r="IA44" t="s">
        <v>419</v>
      </c>
      <c r="IB44" t="s">
        <v>420</v>
      </c>
      <c r="IC44" t="s">
        <v>420</v>
      </c>
      <c r="ID44" t="s">
        <v>419</v>
      </c>
      <c r="IE44">
        <v>0</v>
      </c>
      <c r="IF44">
        <v>100</v>
      </c>
      <c r="IG44">
        <v>100</v>
      </c>
      <c r="IH44">
        <v>-0.85</v>
      </c>
      <c r="II44">
        <v>0.30890000000000001</v>
      </c>
      <c r="IJ44">
        <v>-0.1156387905874036</v>
      </c>
      <c r="IK44">
        <v>-1.615681629159814E-3</v>
      </c>
      <c r="IL44">
        <v>1.5005605225991581E-6</v>
      </c>
      <c r="IM44">
        <v>-5.1143626075267638E-10</v>
      </c>
      <c r="IN44">
        <v>-0.1871184310968462</v>
      </c>
      <c r="IO44">
        <v>-1.7182111142928099E-3</v>
      </c>
      <c r="IP44">
        <v>9.9985895407488957E-4</v>
      </c>
      <c r="IQ44">
        <v>-5.7750407166627208E-6</v>
      </c>
      <c r="IR44">
        <v>3</v>
      </c>
      <c r="IS44">
        <v>2181</v>
      </c>
      <c r="IT44">
        <v>2</v>
      </c>
      <c r="IU44">
        <v>42</v>
      </c>
      <c r="IV44">
        <v>1</v>
      </c>
      <c r="IW44">
        <v>1.1000000000000001</v>
      </c>
      <c r="IX44">
        <v>2.82104</v>
      </c>
      <c r="IY44">
        <v>2.5366200000000001</v>
      </c>
      <c r="IZ44">
        <v>1.5991200000000001</v>
      </c>
      <c r="JA44">
        <v>2.2717299999999998</v>
      </c>
      <c r="JB44">
        <v>1.5502899999999999</v>
      </c>
      <c r="JC44">
        <v>2.3571800000000001</v>
      </c>
      <c r="JD44">
        <v>50.025700000000001</v>
      </c>
      <c r="JE44">
        <v>14.8062</v>
      </c>
      <c r="JF44">
        <v>18</v>
      </c>
      <c r="JG44">
        <v>501.85</v>
      </c>
      <c r="JH44">
        <v>430.28899999999999</v>
      </c>
      <c r="JI44">
        <v>23.297999999999998</v>
      </c>
      <c r="JJ44">
        <v>34.054099999999998</v>
      </c>
      <c r="JK44">
        <v>30.001100000000001</v>
      </c>
      <c r="JL44">
        <v>34.016599999999997</v>
      </c>
      <c r="JM44">
        <v>33.995399999999997</v>
      </c>
      <c r="JN44">
        <v>56.479799999999997</v>
      </c>
      <c r="JO44">
        <v>36.623100000000001</v>
      </c>
      <c r="JP44">
        <v>0</v>
      </c>
      <c r="JQ44">
        <v>23.294699999999999</v>
      </c>
      <c r="JR44">
        <v>1500</v>
      </c>
      <c r="JS44">
        <v>20.7392</v>
      </c>
      <c r="JT44">
        <v>98.845100000000002</v>
      </c>
      <c r="JU44">
        <v>98.713800000000006</v>
      </c>
    </row>
    <row r="45" spans="1:281" x14ac:dyDescent="0.25">
      <c r="A45">
        <v>29</v>
      </c>
      <c r="B45">
        <v>1691170426.5999999</v>
      </c>
      <c r="C45">
        <v>10696</v>
      </c>
      <c r="D45" t="s">
        <v>565</v>
      </c>
      <c r="E45" t="s">
        <v>566</v>
      </c>
      <c r="F45" t="s">
        <v>411</v>
      </c>
      <c r="G45" t="s">
        <v>567</v>
      </c>
      <c r="H45" t="s">
        <v>568</v>
      </c>
      <c r="I45" t="s">
        <v>413</v>
      </c>
      <c r="J45">
        <v>1691170426.5999999</v>
      </c>
      <c r="K45">
        <f t="shared" si="46"/>
        <v>4.9236003726810329E-3</v>
      </c>
      <c r="L45">
        <f t="shared" si="47"/>
        <v>4.9236003726810331</v>
      </c>
      <c r="M45">
        <f t="shared" si="48"/>
        <v>44.529746869475041</v>
      </c>
      <c r="N45">
        <f t="shared" si="49"/>
        <v>344.50799999999998</v>
      </c>
      <c r="O45">
        <f t="shared" si="50"/>
        <v>90.998504970127513</v>
      </c>
      <c r="P45">
        <f t="shared" si="51"/>
        <v>9.0291420469938704</v>
      </c>
      <c r="Q45">
        <f t="shared" si="52"/>
        <v>34.183107396620407</v>
      </c>
      <c r="R45">
        <f t="shared" si="53"/>
        <v>0.30194375013153019</v>
      </c>
      <c r="S45">
        <f t="shared" si="54"/>
        <v>2.9141191655243599</v>
      </c>
      <c r="T45">
        <f t="shared" si="55"/>
        <v>0.28557732524553009</v>
      </c>
      <c r="U45">
        <f t="shared" si="56"/>
        <v>0.17988232298435006</v>
      </c>
      <c r="V45">
        <f t="shared" si="57"/>
        <v>289.60737301273321</v>
      </c>
      <c r="W45">
        <f t="shared" si="58"/>
        <v>30.691639563489776</v>
      </c>
      <c r="X45">
        <f t="shared" si="59"/>
        <v>30.016100000000002</v>
      </c>
      <c r="Y45">
        <f t="shared" si="60"/>
        <v>4.2643913000202351</v>
      </c>
      <c r="Z45">
        <f t="shared" si="61"/>
        <v>60.412256241949521</v>
      </c>
      <c r="AA45">
        <f t="shared" si="62"/>
        <v>2.6129873376998503</v>
      </c>
      <c r="AB45">
        <f t="shared" si="63"/>
        <v>4.3252603035299719</v>
      </c>
      <c r="AC45">
        <f t="shared" si="64"/>
        <v>1.6514039623203849</v>
      </c>
      <c r="AD45">
        <f t="shared" si="65"/>
        <v>-217.13077643523354</v>
      </c>
      <c r="AE45">
        <f t="shared" si="66"/>
        <v>38.805180135582063</v>
      </c>
      <c r="AF45">
        <f t="shared" si="67"/>
        <v>2.9649795080484189</v>
      </c>
      <c r="AG45">
        <f t="shared" si="68"/>
        <v>114.24675622113016</v>
      </c>
      <c r="AH45">
        <v>0</v>
      </c>
      <c r="AI45">
        <v>0</v>
      </c>
      <c r="AJ45">
        <f t="shared" si="69"/>
        <v>1</v>
      </c>
      <c r="AK45">
        <f t="shared" si="70"/>
        <v>0</v>
      </c>
      <c r="AL45">
        <f t="shared" si="71"/>
        <v>51849.471907437131</v>
      </c>
      <c r="AM45" t="s">
        <v>414</v>
      </c>
      <c r="AN45">
        <v>7361.72</v>
      </c>
      <c r="AO45">
        <v>541.39076923076925</v>
      </c>
      <c r="AP45">
        <v>2141.9899999999998</v>
      </c>
      <c r="AQ45">
        <f t="shared" si="72"/>
        <v>0.74724869433061347</v>
      </c>
      <c r="AR45">
        <v>-0.96077199609010144</v>
      </c>
      <c r="AS45" t="s">
        <v>569</v>
      </c>
      <c r="AT45">
        <v>7337.43</v>
      </c>
      <c r="AU45">
        <v>735.24038461538464</v>
      </c>
      <c r="AV45">
        <v>1058.1117933907531</v>
      </c>
      <c r="AW45">
        <f t="shared" si="73"/>
        <v>0.30513922138672767</v>
      </c>
      <c r="AX45">
        <v>0.5</v>
      </c>
      <c r="AY45">
        <f t="shared" si="74"/>
        <v>1513.3725000065974</v>
      </c>
      <c r="AZ45">
        <f t="shared" si="75"/>
        <v>44.529746869475041</v>
      </c>
      <c r="BA45">
        <f t="shared" si="76"/>
        <v>230.89465316004933</v>
      </c>
      <c r="BB45">
        <f t="shared" si="77"/>
        <v>3.0059036268576859E-2</v>
      </c>
      <c r="BC45">
        <f t="shared" si="78"/>
        <v>1.024351314652608</v>
      </c>
      <c r="BD45">
        <f t="shared" si="79"/>
        <v>430.04855990838865</v>
      </c>
      <c r="BE45" t="s">
        <v>570</v>
      </c>
      <c r="BF45">
        <v>580.69000000000005</v>
      </c>
      <c r="BG45">
        <f t="shared" si="80"/>
        <v>580.69000000000005</v>
      </c>
      <c r="BH45">
        <f t="shared" si="81"/>
        <v>0.4512016559808294</v>
      </c>
      <c r="BI45">
        <f t="shared" si="82"/>
        <v>0.67628125327556943</v>
      </c>
      <c r="BJ45">
        <f t="shared" si="83"/>
        <v>0.69421520951082238</v>
      </c>
      <c r="BK45">
        <f t="shared" si="84"/>
        <v>0.62484666518117726</v>
      </c>
      <c r="BL45">
        <f t="shared" si="85"/>
        <v>0.67717026584371576</v>
      </c>
      <c r="BM45">
        <f t="shared" si="86"/>
        <v>0.53412430707274439</v>
      </c>
      <c r="BN45">
        <f t="shared" si="87"/>
        <v>0.46587569292725561</v>
      </c>
      <c r="BO45">
        <v>1487</v>
      </c>
      <c r="BP45">
        <v>290.00000000000011</v>
      </c>
      <c r="BQ45">
        <v>948.27</v>
      </c>
      <c r="BR45">
        <v>295</v>
      </c>
      <c r="BS45">
        <v>7337.43</v>
      </c>
      <c r="BT45">
        <v>949.9</v>
      </c>
      <c r="BU45">
        <v>-1.63</v>
      </c>
      <c r="BV45">
        <v>300.00000000000011</v>
      </c>
      <c r="BW45">
        <v>37.9</v>
      </c>
      <c r="BX45">
        <v>1058.1117933907531</v>
      </c>
      <c r="BY45">
        <v>1.0839756963948839</v>
      </c>
      <c r="BZ45">
        <v>-79.399472531286662</v>
      </c>
      <c r="CA45">
        <v>0.66679891784767664</v>
      </c>
      <c r="CB45">
        <v>0.99802913992796105</v>
      </c>
      <c r="CC45">
        <v>-7.2287895439377102E-3</v>
      </c>
      <c r="CD45">
        <v>289.99999999999989</v>
      </c>
      <c r="CE45">
        <v>943.56</v>
      </c>
      <c r="CF45">
        <v>665</v>
      </c>
      <c r="CG45">
        <v>7332.82</v>
      </c>
      <c r="CH45">
        <v>949.83</v>
      </c>
      <c r="CI45">
        <v>-6.27</v>
      </c>
      <c r="CW45">
        <f t="shared" si="88"/>
        <v>1800.22</v>
      </c>
      <c r="CX45">
        <f t="shared" si="89"/>
        <v>1513.3725000065974</v>
      </c>
      <c r="CY45">
        <f t="shared" si="90"/>
        <v>0.84065975270055737</v>
      </c>
      <c r="CZ45">
        <f t="shared" si="91"/>
        <v>0.16087332271207586</v>
      </c>
      <c r="DA45">
        <v>6</v>
      </c>
      <c r="DB45">
        <v>0.5</v>
      </c>
      <c r="DC45" t="s">
        <v>415</v>
      </c>
      <c r="DD45">
        <v>2</v>
      </c>
      <c r="DE45">
        <v>1691170426.5999999</v>
      </c>
      <c r="DF45">
        <v>344.50799999999998</v>
      </c>
      <c r="DG45">
        <v>399.94900000000001</v>
      </c>
      <c r="DH45">
        <v>26.334499999999998</v>
      </c>
      <c r="DI45">
        <v>20.584900000000001</v>
      </c>
      <c r="DJ45">
        <v>345.29</v>
      </c>
      <c r="DK45">
        <v>25.9908</v>
      </c>
      <c r="DL45">
        <v>500.27199999999999</v>
      </c>
      <c r="DM45">
        <v>99.123000000000005</v>
      </c>
      <c r="DN45">
        <v>9.9971299999999999E-2</v>
      </c>
      <c r="DO45">
        <v>30.263100000000001</v>
      </c>
      <c r="DP45">
        <v>30.016100000000002</v>
      </c>
      <c r="DQ45">
        <v>999.9</v>
      </c>
      <c r="DR45">
        <v>0</v>
      </c>
      <c r="DS45">
        <v>0</v>
      </c>
      <c r="DT45">
        <v>10000</v>
      </c>
      <c r="DU45">
        <v>0</v>
      </c>
      <c r="DV45">
        <v>662.75599999999997</v>
      </c>
      <c r="DW45">
        <v>-55.440800000000003</v>
      </c>
      <c r="DX45">
        <v>353.82600000000002</v>
      </c>
      <c r="DY45">
        <v>408.35500000000002</v>
      </c>
      <c r="DZ45">
        <v>5.7495399999999997</v>
      </c>
      <c r="EA45">
        <v>399.94900000000001</v>
      </c>
      <c r="EB45">
        <v>20.584900000000001</v>
      </c>
      <c r="EC45">
        <v>2.6103499999999999</v>
      </c>
      <c r="ED45">
        <v>2.0404399999999998</v>
      </c>
      <c r="EE45">
        <v>21.731400000000001</v>
      </c>
      <c r="EF45">
        <v>17.761700000000001</v>
      </c>
      <c r="EG45">
        <v>1800.22</v>
      </c>
      <c r="EH45">
        <v>0.97800500000000001</v>
      </c>
      <c r="EI45">
        <v>2.1995000000000001E-2</v>
      </c>
      <c r="EJ45">
        <v>0</v>
      </c>
      <c r="EK45">
        <v>736.1</v>
      </c>
      <c r="EL45">
        <v>9.9989999999999996E-2</v>
      </c>
      <c r="EM45">
        <v>13814.6</v>
      </c>
      <c r="EN45">
        <v>16707.400000000001</v>
      </c>
      <c r="EO45">
        <v>46.561999999999998</v>
      </c>
      <c r="EP45">
        <v>48.125</v>
      </c>
      <c r="EQ45">
        <v>47.375</v>
      </c>
      <c r="ER45">
        <v>47.186999999999998</v>
      </c>
      <c r="ES45">
        <v>47.811999999999998</v>
      </c>
      <c r="ET45">
        <v>1760.53</v>
      </c>
      <c r="EU45">
        <v>39.590000000000003</v>
      </c>
      <c r="EV45">
        <v>0</v>
      </c>
      <c r="EW45">
        <v>2042</v>
      </c>
      <c r="EX45">
        <v>0</v>
      </c>
      <c r="EY45">
        <v>735.24038461538464</v>
      </c>
      <c r="EZ45">
        <v>8.6088888113294448</v>
      </c>
      <c r="FA45">
        <v>24.28717953640361</v>
      </c>
      <c r="FB45">
        <v>13810.41538461538</v>
      </c>
      <c r="FC45">
        <v>15</v>
      </c>
      <c r="FD45">
        <v>1691170385.0999999</v>
      </c>
      <c r="FE45" t="s">
        <v>571</v>
      </c>
      <c r="FF45">
        <v>1691170378.5999999</v>
      </c>
      <c r="FG45">
        <v>1691170385.0999999</v>
      </c>
      <c r="FH45">
        <v>50</v>
      </c>
      <c r="FI45">
        <v>0.16600000000000001</v>
      </c>
      <c r="FJ45">
        <v>5.0000000000000001E-3</v>
      </c>
      <c r="FK45">
        <v>-0.82099999999999995</v>
      </c>
      <c r="FL45">
        <v>0.14399999999999999</v>
      </c>
      <c r="FM45">
        <v>400</v>
      </c>
      <c r="FN45">
        <v>20</v>
      </c>
      <c r="FO45">
        <v>0.16</v>
      </c>
      <c r="FP45">
        <v>0.06</v>
      </c>
      <c r="FQ45">
        <v>44.59895507502037</v>
      </c>
      <c r="FR45">
        <v>0.41346638289124421</v>
      </c>
      <c r="FS45">
        <v>7.2543656465892573E-2</v>
      </c>
      <c r="FT45">
        <v>1</v>
      </c>
      <c r="FU45">
        <v>0.30286982881322821</v>
      </c>
      <c r="FV45">
        <v>3.1719235597239301E-3</v>
      </c>
      <c r="FW45">
        <v>8.3142609595744372E-4</v>
      </c>
      <c r="FX45">
        <v>1</v>
      </c>
      <c r="FY45">
        <v>2</v>
      </c>
      <c r="FZ45">
        <v>2</v>
      </c>
      <c r="GA45" t="s">
        <v>416</v>
      </c>
      <c r="GB45">
        <v>2.9682200000000001</v>
      </c>
      <c r="GC45">
        <v>2.8116599999999998</v>
      </c>
      <c r="GD45">
        <v>8.5502400000000006E-2</v>
      </c>
      <c r="GE45">
        <v>9.4922599999999996E-2</v>
      </c>
      <c r="GF45">
        <v>0.12617999999999999</v>
      </c>
      <c r="GG45">
        <v>0.10563699999999999</v>
      </c>
      <c r="GH45">
        <v>26923.3</v>
      </c>
      <c r="GI45">
        <v>24576.7</v>
      </c>
      <c r="GJ45">
        <v>26471.4</v>
      </c>
      <c r="GK45">
        <v>25632.6</v>
      </c>
      <c r="GL45">
        <v>31483.7</v>
      </c>
      <c r="GM45">
        <v>32366.3</v>
      </c>
      <c r="GN45">
        <v>37469.599999999999</v>
      </c>
      <c r="GO45">
        <v>38004.699999999997</v>
      </c>
      <c r="GP45">
        <v>1.9281999999999999</v>
      </c>
      <c r="GQ45">
        <v>1.8509</v>
      </c>
      <c r="GR45">
        <v>1.4007100000000001E-3</v>
      </c>
      <c r="GS45">
        <v>0</v>
      </c>
      <c r="GT45">
        <v>29.993300000000001</v>
      </c>
      <c r="GU45">
        <v>999.9</v>
      </c>
      <c r="GV45">
        <v>26.8</v>
      </c>
      <c r="GW45">
        <v>48.2</v>
      </c>
      <c r="GX45">
        <v>30.677299999999999</v>
      </c>
      <c r="GY45">
        <v>61.532899999999998</v>
      </c>
      <c r="GZ45">
        <v>13.8582</v>
      </c>
      <c r="HA45">
        <v>1</v>
      </c>
      <c r="HB45">
        <v>0.57398400000000005</v>
      </c>
      <c r="HC45">
        <v>3.99919</v>
      </c>
      <c r="HD45">
        <v>20.199200000000001</v>
      </c>
      <c r="HE45">
        <v>5.2088999999999999</v>
      </c>
      <c r="HF45">
        <v>11.9381</v>
      </c>
      <c r="HG45">
        <v>4.9870000000000001</v>
      </c>
      <c r="HH45">
        <v>3.2909999999999999</v>
      </c>
      <c r="HI45">
        <v>9999</v>
      </c>
      <c r="HJ45">
        <v>9999</v>
      </c>
      <c r="HK45">
        <v>9999</v>
      </c>
      <c r="HL45">
        <v>999.9</v>
      </c>
      <c r="HM45">
        <v>1.8713299999999999</v>
      </c>
      <c r="HN45">
        <v>1.8772800000000001</v>
      </c>
      <c r="HO45">
        <v>1.875</v>
      </c>
      <c r="HP45">
        <v>1.8732899999999999</v>
      </c>
      <c r="HQ45">
        <v>1.87378</v>
      </c>
      <c r="HR45">
        <v>1.8711899999999999</v>
      </c>
      <c r="HS45">
        <v>1.8769800000000001</v>
      </c>
      <c r="HT45">
        <v>1.87622</v>
      </c>
      <c r="HU45">
        <v>5</v>
      </c>
      <c r="HV45">
        <v>0</v>
      </c>
      <c r="HW45">
        <v>0</v>
      </c>
      <c r="HX45">
        <v>0</v>
      </c>
      <c r="HY45" t="s">
        <v>417</v>
      </c>
      <c r="HZ45" t="s">
        <v>418</v>
      </c>
      <c r="IA45" t="s">
        <v>419</v>
      </c>
      <c r="IB45" t="s">
        <v>420</v>
      </c>
      <c r="IC45" t="s">
        <v>420</v>
      </c>
      <c r="ID45" t="s">
        <v>419</v>
      </c>
      <c r="IE45">
        <v>0</v>
      </c>
      <c r="IF45">
        <v>100</v>
      </c>
      <c r="IG45">
        <v>100</v>
      </c>
      <c r="IH45">
        <v>-0.78200000000000003</v>
      </c>
      <c r="II45">
        <v>0.34370000000000001</v>
      </c>
      <c r="IJ45">
        <v>-0.38180116093256528</v>
      </c>
      <c r="IK45">
        <v>-1.615681629159814E-3</v>
      </c>
      <c r="IL45">
        <v>1.5005605225991581E-6</v>
      </c>
      <c r="IM45">
        <v>-5.1143626075267638E-10</v>
      </c>
      <c r="IN45">
        <v>-0.18566788724653371</v>
      </c>
      <c r="IO45">
        <v>-1.7182111142928099E-3</v>
      </c>
      <c r="IP45">
        <v>9.9985895407488957E-4</v>
      </c>
      <c r="IQ45">
        <v>-5.7750407166627208E-6</v>
      </c>
      <c r="IR45">
        <v>3</v>
      </c>
      <c r="IS45">
        <v>2181</v>
      </c>
      <c r="IT45">
        <v>2</v>
      </c>
      <c r="IU45">
        <v>42</v>
      </c>
      <c r="IV45">
        <v>0.8</v>
      </c>
      <c r="IW45">
        <v>0.7</v>
      </c>
      <c r="IX45">
        <v>0.95214799999999999</v>
      </c>
      <c r="IY45">
        <v>2.5476100000000002</v>
      </c>
      <c r="IZ45">
        <v>1.5991200000000001</v>
      </c>
      <c r="JA45">
        <v>2.2717299999999998</v>
      </c>
      <c r="JB45">
        <v>1.5502899999999999</v>
      </c>
      <c r="JC45">
        <v>2.4157700000000002</v>
      </c>
      <c r="JD45">
        <v>51.165799999999997</v>
      </c>
      <c r="JE45">
        <v>23.9299</v>
      </c>
      <c r="JF45">
        <v>18</v>
      </c>
      <c r="JG45">
        <v>502.81799999999998</v>
      </c>
      <c r="JH45">
        <v>423.62799999999999</v>
      </c>
      <c r="JI45">
        <v>24.921099999999999</v>
      </c>
      <c r="JJ45">
        <v>34.3934</v>
      </c>
      <c r="JK45">
        <v>29.999400000000001</v>
      </c>
      <c r="JL45">
        <v>34.456800000000001</v>
      </c>
      <c r="JM45">
        <v>34.441299999999998</v>
      </c>
      <c r="JN45">
        <v>19.078900000000001</v>
      </c>
      <c r="JO45">
        <v>36.088799999999999</v>
      </c>
      <c r="JP45">
        <v>0</v>
      </c>
      <c r="JQ45">
        <v>24.939</v>
      </c>
      <c r="JR45">
        <v>400</v>
      </c>
      <c r="JS45">
        <v>20.537600000000001</v>
      </c>
      <c r="JT45">
        <v>98.826800000000006</v>
      </c>
      <c r="JU45">
        <v>98.639799999999994</v>
      </c>
    </row>
    <row r="46" spans="1:281" x14ac:dyDescent="0.25">
      <c r="A46">
        <v>30</v>
      </c>
      <c r="B46">
        <v>1691170539.0999999</v>
      </c>
      <c r="C46">
        <v>10808.5</v>
      </c>
      <c r="D46" t="s">
        <v>572</v>
      </c>
      <c r="E46" t="s">
        <v>573</v>
      </c>
      <c r="F46" t="s">
        <v>411</v>
      </c>
      <c r="G46" t="s">
        <v>567</v>
      </c>
      <c r="H46" t="s">
        <v>568</v>
      </c>
      <c r="I46" t="s">
        <v>413</v>
      </c>
      <c r="J46">
        <v>1691170539.0999999</v>
      </c>
      <c r="K46">
        <f t="shared" si="46"/>
        <v>5.1329480275879901E-3</v>
      </c>
      <c r="L46">
        <f t="shared" si="47"/>
        <v>5.1329480275879904</v>
      </c>
      <c r="M46">
        <f t="shared" si="48"/>
        <v>34.679960594544177</v>
      </c>
      <c r="N46">
        <f t="shared" si="49"/>
        <v>256.916</v>
      </c>
      <c r="O46">
        <f t="shared" si="50"/>
        <v>69.31264512524524</v>
      </c>
      <c r="P46">
        <f t="shared" si="51"/>
        <v>6.8772327202877328</v>
      </c>
      <c r="Q46">
        <f t="shared" si="52"/>
        <v>25.491324395033203</v>
      </c>
      <c r="R46">
        <f t="shared" si="53"/>
        <v>0.31856039625517402</v>
      </c>
      <c r="S46">
        <f t="shared" si="54"/>
        <v>2.9219346416950529</v>
      </c>
      <c r="T46">
        <f t="shared" si="55"/>
        <v>0.30044680362222304</v>
      </c>
      <c r="U46">
        <f t="shared" si="56"/>
        <v>0.18932080376987326</v>
      </c>
      <c r="V46">
        <f t="shared" si="57"/>
        <v>289.56588974787235</v>
      </c>
      <c r="W46">
        <f t="shared" si="58"/>
        <v>30.528205378374917</v>
      </c>
      <c r="X46">
        <f t="shared" si="59"/>
        <v>29.918299999999999</v>
      </c>
      <c r="Y46">
        <f t="shared" si="60"/>
        <v>4.2404972516666843</v>
      </c>
      <c r="Z46">
        <f t="shared" si="61"/>
        <v>60.573820600153795</v>
      </c>
      <c r="AA46">
        <f t="shared" si="62"/>
        <v>2.6038426026361003</v>
      </c>
      <c r="AB46">
        <f t="shared" si="63"/>
        <v>4.2986269923833884</v>
      </c>
      <c r="AC46">
        <f t="shared" si="64"/>
        <v>1.636654649030584</v>
      </c>
      <c r="AD46">
        <f t="shared" si="65"/>
        <v>-226.36300801663037</v>
      </c>
      <c r="AE46">
        <f t="shared" si="66"/>
        <v>37.349732409566663</v>
      </c>
      <c r="AF46">
        <f t="shared" si="67"/>
        <v>2.8432470713342961</v>
      </c>
      <c r="AG46">
        <f t="shared" si="68"/>
        <v>103.39586121214293</v>
      </c>
      <c r="AH46">
        <v>0</v>
      </c>
      <c r="AI46">
        <v>0</v>
      </c>
      <c r="AJ46">
        <f t="shared" si="69"/>
        <v>1</v>
      </c>
      <c r="AK46">
        <f t="shared" si="70"/>
        <v>0</v>
      </c>
      <c r="AL46">
        <f t="shared" si="71"/>
        <v>52090.296969291667</v>
      </c>
      <c r="AM46" t="s">
        <v>414</v>
      </c>
      <c r="AN46">
        <v>7361.72</v>
      </c>
      <c r="AO46">
        <v>541.39076923076925</v>
      </c>
      <c r="AP46">
        <v>2141.9899999999998</v>
      </c>
      <c r="AQ46">
        <f t="shared" si="72"/>
        <v>0.74724869433061347</v>
      </c>
      <c r="AR46">
        <v>-0.96077199609010144</v>
      </c>
      <c r="AS46" t="s">
        <v>574</v>
      </c>
      <c r="AT46">
        <v>7338.3</v>
      </c>
      <c r="AU46">
        <v>719.06038461538446</v>
      </c>
      <c r="AV46">
        <v>967.67997480535007</v>
      </c>
      <c r="AW46">
        <f t="shared" si="73"/>
        <v>0.25692335964684576</v>
      </c>
      <c r="AX46">
        <v>0.5</v>
      </c>
      <c r="AY46">
        <f t="shared" si="74"/>
        <v>1513.1541066051152</v>
      </c>
      <c r="AZ46">
        <f t="shared" si="75"/>
        <v>34.679960594544177</v>
      </c>
      <c r="BA46">
        <f t="shared" si="76"/>
        <v>194.3823183662038</v>
      </c>
      <c r="BB46">
        <f t="shared" si="77"/>
        <v>2.3553934417557227E-2</v>
      </c>
      <c r="BC46">
        <f t="shared" si="78"/>
        <v>1.2135313903037661</v>
      </c>
      <c r="BD46">
        <f t="shared" si="79"/>
        <v>414.3122385533548</v>
      </c>
      <c r="BE46" t="s">
        <v>575</v>
      </c>
      <c r="BF46">
        <v>566.27</v>
      </c>
      <c r="BG46">
        <f t="shared" si="80"/>
        <v>566.27</v>
      </c>
      <c r="BH46">
        <f t="shared" si="81"/>
        <v>0.41481686637784787</v>
      </c>
      <c r="BI46">
        <f t="shared" si="82"/>
        <v>0.61936575021715667</v>
      </c>
      <c r="BJ46">
        <f t="shared" si="83"/>
        <v>0.74525297971381332</v>
      </c>
      <c r="BK46">
        <f t="shared" si="84"/>
        <v>0.5832181226706401</v>
      </c>
      <c r="BL46">
        <f t="shared" si="85"/>
        <v>0.73366899259990859</v>
      </c>
      <c r="BM46">
        <f t="shared" si="86"/>
        <v>0.48775909628656433</v>
      </c>
      <c r="BN46">
        <f t="shared" si="87"/>
        <v>0.51224090371343567</v>
      </c>
      <c r="BO46">
        <v>1489</v>
      </c>
      <c r="BP46">
        <v>290.00000000000011</v>
      </c>
      <c r="BQ46">
        <v>885.44</v>
      </c>
      <c r="BR46">
        <v>265</v>
      </c>
      <c r="BS46">
        <v>7338.3</v>
      </c>
      <c r="BT46">
        <v>886.69</v>
      </c>
      <c r="BU46">
        <v>-1.25</v>
      </c>
      <c r="BV46">
        <v>300.00000000000011</v>
      </c>
      <c r="BW46">
        <v>37.9</v>
      </c>
      <c r="BX46">
        <v>967.67997480535007</v>
      </c>
      <c r="BY46">
        <v>1.33959532204654</v>
      </c>
      <c r="BZ46">
        <v>-59.430830953721873</v>
      </c>
      <c r="CA46">
        <v>0.82403918422723132</v>
      </c>
      <c r="CB46">
        <v>0.99464575074568962</v>
      </c>
      <c r="CC46">
        <v>-7.2283490545050127E-3</v>
      </c>
      <c r="CD46">
        <v>289.99999999999989</v>
      </c>
      <c r="CE46">
        <v>883.5</v>
      </c>
      <c r="CF46">
        <v>655</v>
      </c>
      <c r="CG46">
        <v>7333.11</v>
      </c>
      <c r="CH46">
        <v>886.64</v>
      </c>
      <c r="CI46">
        <v>-3.14</v>
      </c>
      <c r="CW46">
        <f t="shared" si="88"/>
        <v>1799.96</v>
      </c>
      <c r="CX46">
        <f t="shared" si="89"/>
        <v>1513.1541066051152</v>
      </c>
      <c r="CY46">
        <f t="shared" si="90"/>
        <v>0.84065985166621215</v>
      </c>
      <c r="CZ46">
        <f t="shared" si="91"/>
        <v>0.16087351371578942</v>
      </c>
      <c r="DA46">
        <v>6</v>
      </c>
      <c r="DB46">
        <v>0.5</v>
      </c>
      <c r="DC46" t="s">
        <v>415</v>
      </c>
      <c r="DD46">
        <v>2</v>
      </c>
      <c r="DE46">
        <v>1691170539.0999999</v>
      </c>
      <c r="DF46">
        <v>256.916</v>
      </c>
      <c r="DG46">
        <v>300.08999999999997</v>
      </c>
      <c r="DH46">
        <v>26.242999999999999</v>
      </c>
      <c r="DI46">
        <v>20.2485</v>
      </c>
      <c r="DJ46">
        <v>257.58</v>
      </c>
      <c r="DK46">
        <v>25.9026</v>
      </c>
      <c r="DL46">
        <v>500.28300000000002</v>
      </c>
      <c r="DM46">
        <v>99.120500000000007</v>
      </c>
      <c r="DN46">
        <v>9.9962700000000002E-2</v>
      </c>
      <c r="DO46">
        <v>30.1554</v>
      </c>
      <c r="DP46">
        <v>29.918299999999999</v>
      </c>
      <c r="DQ46">
        <v>999.9</v>
      </c>
      <c r="DR46">
        <v>0</v>
      </c>
      <c r="DS46">
        <v>0</v>
      </c>
      <c r="DT46">
        <v>10045</v>
      </c>
      <c r="DU46">
        <v>0</v>
      </c>
      <c r="DV46">
        <v>618.93299999999999</v>
      </c>
      <c r="DW46">
        <v>-43.174399999999999</v>
      </c>
      <c r="DX46">
        <v>263.83999999999997</v>
      </c>
      <c r="DY46">
        <v>306.29199999999997</v>
      </c>
      <c r="DZ46">
        <v>5.99444</v>
      </c>
      <c r="EA46">
        <v>300.08999999999997</v>
      </c>
      <c r="EB46">
        <v>20.2485</v>
      </c>
      <c r="EC46">
        <v>2.6012200000000001</v>
      </c>
      <c r="ED46">
        <v>2.00705</v>
      </c>
      <c r="EE46">
        <v>21.674099999999999</v>
      </c>
      <c r="EF46">
        <v>17.5</v>
      </c>
      <c r="EG46">
        <v>1799.96</v>
      </c>
      <c r="EH46">
        <v>0.97800100000000001</v>
      </c>
      <c r="EI46">
        <v>2.1998500000000001E-2</v>
      </c>
      <c r="EJ46">
        <v>0</v>
      </c>
      <c r="EK46">
        <v>717.42</v>
      </c>
      <c r="EL46">
        <v>9.9989999999999996E-2</v>
      </c>
      <c r="EM46">
        <v>13472</v>
      </c>
      <c r="EN46">
        <v>16704.900000000001</v>
      </c>
      <c r="EO46">
        <v>46.5</v>
      </c>
      <c r="EP46">
        <v>48</v>
      </c>
      <c r="EQ46">
        <v>47.311999999999998</v>
      </c>
      <c r="ER46">
        <v>47.061999999999998</v>
      </c>
      <c r="ES46">
        <v>47.75</v>
      </c>
      <c r="ET46">
        <v>1760.26</v>
      </c>
      <c r="EU46">
        <v>39.590000000000003</v>
      </c>
      <c r="EV46">
        <v>0</v>
      </c>
      <c r="EW46">
        <v>109.7999999523163</v>
      </c>
      <c r="EX46">
        <v>0</v>
      </c>
      <c r="EY46">
        <v>719.06038461538446</v>
      </c>
      <c r="EZ46">
        <v>-7.3764102790656692</v>
      </c>
      <c r="FA46">
        <v>-108.77264965117411</v>
      </c>
      <c r="FB46">
        <v>13486.25384615385</v>
      </c>
      <c r="FC46">
        <v>15</v>
      </c>
      <c r="FD46">
        <v>1691170510.5999999</v>
      </c>
      <c r="FE46" t="s">
        <v>576</v>
      </c>
      <c r="FF46">
        <v>1691170503.5999999</v>
      </c>
      <c r="FG46">
        <v>1691170510.5999999</v>
      </c>
      <c r="FH46">
        <v>51</v>
      </c>
      <c r="FI46">
        <v>4.2999999999999997E-2</v>
      </c>
      <c r="FJ46">
        <v>0</v>
      </c>
      <c r="FK46">
        <v>-0.70299999999999996</v>
      </c>
      <c r="FL46">
        <v>0.13400000000000001</v>
      </c>
      <c r="FM46">
        <v>300</v>
      </c>
      <c r="FN46">
        <v>20</v>
      </c>
      <c r="FO46">
        <v>0.13</v>
      </c>
      <c r="FP46">
        <v>7.0000000000000007E-2</v>
      </c>
      <c r="FQ46">
        <v>34.608657622420978</v>
      </c>
      <c r="FR46">
        <v>-0.49752659939381511</v>
      </c>
      <c r="FS46">
        <v>9.5280923630500156E-2</v>
      </c>
      <c r="FT46">
        <v>1</v>
      </c>
      <c r="FU46">
        <v>0.31520621266671378</v>
      </c>
      <c r="FV46">
        <v>4.9675913012455962E-2</v>
      </c>
      <c r="FW46">
        <v>4.3440863499847769E-3</v>
      </c>
      <c r="FX46">
        <v>1</v>
      </c>
      <c r="FY46">
        <v>2</v>
      </c>
      <c r="FZ46">
        <v>2</v>
      </c>
      <c r="GA46" t="s">
        <v>416</v>
      </c>
      <c r="GB46">
        <v>2.9683700000000002</v>
      </c>
      <c r="GC46">
        <v>2.8120500000000002</v>
      </c>
      <c r="GD46">
        <v>6.7163399999999998E-2</v>
      </c>
      <c r="GE46">
        <v>7.5477900000000001E-2</v>
      </c>
      <c r="GF46">
        <v>0.125913</v>
      </c>
      <c r="GG46">
        <v>0.104436</v>
      </c>
      <c r="GH46">
        <v>27469.599999999999</v>
      </c>
      <c r="GI46">
        <v>25114.1</v>
      </c>
      <c r="GJ46">
        <v>26476.9</v>
      </c>
      <c r="GK46">
        <v>25641.1</v>
      </c>
      <c r="GL46">
        <v>31497.200000000001</v>
      </c>
      <c r="GM46">
        <v>32418.1</v>
      </c>
      <c r="GN46">
        <v>37476.9</v>
      </c>
      <c r="GO46">
        <v>38016.400000000001</v>
      </c>
      <c r="GP46">
        <v>1.9298</v>
      </c>
      <c r="GQ46">
        <v>1.8524</v>
      </c>
      <c r="GR46">
        <v>1.19209E-4</v>
      </c>
      <c r="GS46">
        <v>0</v>
      </c>
      <c r="GT46">
        <v>29.916399999999999</v>
      </c>
      <c r="GU46">
        <v>999.9</v>
      </c>
      <c r="GV46">
        <v>26.8</v>
      </c>
      <c r="GW46">
        <v>48.2</v>
      </c>
      <c r="GX46">
        <v>30.6815</v>
      </c>
      <c r="GY46">
        <v>61.302900000000001</v>
      </c>
      <c r="GZ46">
        <v>13.914300000000001</v>
      </c>
      <c r="HA46">
        <v>1</v>
      </c>
      <c r="HB46">
        <v>0.55439000000000005</v>
      </c>
      <c r="HC46">
        <v>3.0159899999999999</v>
      </c>
      <c r="HD46">
        <v>20.220600000000001</v>
      </c>
      <c r="HE46">
        <v>5.2100999999999997</v>
      </c>
      <c r="HF46">
        <v>11.9381</v>
      </c>
      <c r="HG46">
        <v>4.9874000000000001</v>
      </c>
      <c r="HH46">
        <v>3.2909999999999999</v>
      </c>
      <c r="HI46">
        <v>9999</v>
      </c>
      <c r="HJ46">
        <v>9999</v>
      </c>
      <c r="HK46">
        <v>9999</v>
      </c>
      <c r="HL46">
        <v>999.9</v>
      </c>
      <c r="HM46">
        <v>1.87134</v>
      </c>
      <c r="HN46">
        <v>1.8772800000000001</v>
      </c>
      <c r="HO46">
        <v>1.875</v>
      </c>
      <c r="HP46">
        <v>1.8732500000000001</v>
      </c>
      <c r="HQ46">
        <v>1.87378</v>
      </c>
      <c r="HR46">
        <v>1.8711899999999999</v>
      </c>
      <c r="HS46">
        <v>1.8769800000000001</v>
      </c>
      <c r="HT46">
        <v>1.87622</v>
      </c>
      <c r="HU46">
        <v>5</v>
      </c>
      <c r="HV46">
        <v>0</v>
      </c>
      <c r="HW46">
        <v>0</v>
      </c>
      <c r="HX46">
        <v>0</v>
      </c>
      <c r="HY46" t="s">
        <v>417</v>
      </c>
      <c r="HZ46" t="s">
        <v>418</v>
      </c>
      <c r="IA46" t="s">
        <v>419</v>
      </c>
      <c r="IB46" t="s">
        <v>420</v>
      </c>
      <c r="IC46" t="s">
        <v>420</v>
      </c>
      <c r="ID46" t="s">
        <v>419</v>
      </c>
      <c r="IE46">
        <v>0</v>
      </c>
      <c r="IF46">
        <v>100</v>
      </c>
      <c r="IG46">
        <v>100</v>
      </c>
      <c r="IH46">
        <v>-0.66400000000000003</v>
      </c>
      <c r="II46">
        <v>0.34039999999999998</v>
      </c>
      <c r="IJ46">
        <v>-0.33903097543834909</v>
      </c>
      <c r="IK46">
        <v>-1.615681629159814E-3</v>
      </c>
      <c r="IL46">
        <v>1.5005605225991581E-6</v>
      </c>
      <c r="IM46">
        <v>-5.1143626075267638E-10</v>
      </c>
      <c r="IN46">
        <v>-0.18563520507566189</v>
      </c>
      <c r="IO46">
        <v>-1.7182111142928099E-3</v>
      </c>
      <c r="IP46">
        <v>9.9985895407488957E-4</v>
      </c>
      <c r="IQ46">
        <v>-5.7750407166627208E-6</v>
      </c>
      <c r="IR46">
        <v>3</v>
      </c>
      <c r="IS46">
        <v>2181</v>
      </c>
      <c r="IT46">
        <v>2</v>
      </c>
      <c r="IU46">
        <v>42</v>
      </c>
      <c r="IV46">
        <v>0.6</v>
      </c>
      <c r="IW46">
        <v>0.5</v>
      </c>
      <c r="IX46">
        <v>0.75683599999999995</v>
      </c>
      <c r="IY46">
        <v>2.5512700000000001</v>
      </c>
      <c r="IZ46">
        <v>1.5991200000000001</v>
      </c>
      <c r="JA46">
        <v>2.2705099999999998</v>
      </c>
      <c r="JB46">
        <v>1.5502899999999999</v>
      </c>
      <c r="JC46">
        <v>2.4133300000000002</v>
      </c>
      <c r="JD46">
        <v>50.967799999999997</v>
      </c>
      <c r="JE46">
        <v>23.938700000000001</v>
      </c>
      <c r="JF46">
        <v>18</v>
      </c>
      <c r="JG46">
        <v>502.86099999999999</v>
      </c>
      <c r="JH46">
        <v>423.61900000000003</v>
      </c>
      <c r="JI46">
        <v>25.540900000000001</v>
      </c>
      <c r="JJ46">
        <v>34.266199999999998</v>
      </c>
      <c r="JK46">
        <v>29.999300000000002</v>
      </c>
      <c r="JL46">
        <v>34.325899999999997</v>
      </c>
      <c r="JM46">
        <v>34.305399999999999</v>
      </c>
      <c r="JN46">
        <v>15.175599999999999</v>
      </c>
      <c r="JO46">
        <v>37.148499999999999</v>
      </c>
      <c r="JP46">
        <v>0</v>
      </c>
      <c r="JQ46">
        <v>25.588999999999999</v>
      </c>
      <c r="JR46">
        <v>300</v>
      </c>
      <c r="JS46">
        <v>20.148700000000002</v>
      </c>
      <c r="JT46">
        <v>98.846699999999998</v>
      </c>
      <c r="JU46">
        <v>98.671199999999999</v>
      </c>
    </row>
    <row r="47" spans="1:281" x14ac:dyDescent="0.25">
      <c r="A47">
        <v>31</v>
      </c>
      <c r="B47">
        <v>1691170639.0999999</v>
      </c>
      <c r="C47">
        <v>10908.5</v>
      </c>
      <c r="D47" t="s">
        <v>577</v>
      </c>
      <c r="E47" t="s">
        <v>578</v>
      </c>
      <c r="F47" t="s">
        <v>411</v>
      </c>
      <c r="G47" t="s">
        <v>567</v>
      </c>
      <c r="H47" t="s">
        <v>568</v>
      </c>
      <c r="I47" t="s">
        <v>413</v>
      </c>
      <c r="J47">
        <v>1691170639.0999999</v>
      </c>
      <c r="K47">
        <f t="shared" si="46"/>
        <v>5.4220495106564589E-3</v>
      </c>
      <c r="L47">
        <f t="shared" si="47"/>
        <v>5.4220495106564588</v>
      </c>
      <c r="M47">
        <f t="shared" si="48"/>
        <v>24.126963637805574</v>
      </c>
      <c r="N47">
        <f t="shared" si="49"/>
        <v>170.001</v>
      </c>
      <c r="O47">
        <f t="shared" si="50"/>
        <v>45.776184545907427</v>
      </c>
      <c r="P47">
        <f t="shared" si="51"/>
        <v>4.5417653932945372</v>
      </c>
      <c r="Q47">
        <f t="shared" si="52"/>
        <v>16.866950932774799</v>
      </c>
      <c r="R47">
        <f t="shared" si="53"/>
        <v>0.33562058468790679</v>
      </c>
      <c r="S47">
        <f t="shared" si="54"/>
        <v>2.9192732556929819</v>
      </c>
      <c r="T47">
        <f t="shared" si="55"/>
        <v>0.31556332952306382</v>
      </c>
      <c r="U47">
        <f t="shared" si="56"/>
        <v>0.1989291820351054</v>
      </c>
      <c r="V47">
        <f t="shared" si="57"/>
        <v>289.55209201273891</v>
      </c>
      <c r="W47">
        <f t="shared" si="58"/>
        <v>30.565349732583488</v>
      </c>
      <c r="X47">
        <f t="shared" si="59"/>
        <v>29.986999999999998</v>
      </c>
      <c r="Y47">
        <f t="shared" si="60"/>
        <v>4.2572694897055063</v>
      </c>
      <c r="Z47">
        <f t="shared" si="61"/>
        <v>60.362859638178421</v>
      </c>
      <c r="AA47">
        <f t="shared" si="62"/>
        <v>2.6115244162207198</v>
      </c>
      <c r="AB47">
        <f t="shared" si="63"/>
        <v>4.3263762384262154</v>
      </c>
      <c r="AC47">
        <f t="shared" si="64"/>
        <v>1.6457450734847865</v>
      </c>
      <c r="AD47">
        <f t="shared" si="65"/>
        <v>-239.11238341994985</v>
      </c>
      <c r="AE47">
        <f t="shared" si="66"/>
        <v>44.161911048914689</v>
      </c>
      <c r="AF47">
        <f t="shared" si="67"/>
        <v>3.3679029204285995</v>
      </c>
      <c r="AG47">
        <f t="shared" si="68"/>
        <v>97.969522562132354</v>
      </c>
      <c r="AH47">
        <v>0</v>
      </c>
      <c r="AI47">
        <v>0</v>
      </c>
      <c r="AJ47">
        <f t="shared" si="69"/>
        <v>1</v>
      </c>
      <c r="AK47">
        <f t="shared" si="70"/>
        <v>0</v>
      </c>
      <c r="AL47">
        <f t="shared" si="71"/>
        <v>51995.202870203131</v>
      </c>
      <c r="AM47" t="s">
        <v>414</v>
      </c>
      <c r="AN47">
        <v>7361.72</v>
      </c>
      <c r="AO47">
        <v>541.39076923076925</v>
      </c>
      <c r="AP47">
        <v>2141.9899999999998</v>
      </c>
      <c r="AQ47">
        <f t="shared" si="72"/>
        <v>0.74724869433061347</v>
      </c>
      <c r="AR47">
        <v>-0.96077199609010144</v>
      </c>
      <c r="AS47" t="s">
        <v>579</v>
      </c>
      <c r="AT47">
        <v>7333.69</v>
      </c>
      <c r="AU47">
        <v>721.78903846153844</v>
      </c>
      <c r="AV47">
        <v>903.29472759904422</v>
      </c>
      <c r="AW47">
        <f t="shared" si="73"/>
        <v>0.20093739461974669</v>
      </c>
      <c r="AX47">
        <v>0.5</v>
      </c>
      <c r="AY47">
        <f t="shared" si="74"/>
        <v>1513.0788000066004</v>
      </c>
      <c r="AZ47">
        <f t="shared" si="75"/>
        <v>24.126963637805574</v>
      </c>
      <c r="BA47">
        <f t="shared" si="76"/>
        <v>152.01705596384951</v>
      </c>
      <c r="BB47">
        <f t="shared" si="77"/>
        <v>1.6580587629531414E-2</v>
      </c>
      <c r="BC47">
        <f t="shared" si="78"/>
        <v>1.3713079845970157</v>
      </c>
      <c r="BD47">
        <f t="shared" si="79"/>
        <v>402.04278630319811</v>
      </c>
      <c r="BE47" t="s">
        <v>580</v>
      </c>
      <c r="BF47">
        <v>560.42999999999995</v>
      </c>
      <c r="BG47">
        <f t="shared" si="80"/>
        <v>560.42999999999995</v>
      </c>
      <c r="BH47">
        <f t="shared" si="81"/>
        <v>0.37957127073062646</v>
      </c>
      <c r="BI47">
        <f t="shared" si="82"/>
        <v>0.52937988228921484</v>
      </c>
      <c r="BJ47">
        <f t="shared" si="83"/>
        <v>0.78321105263218327</v>
      </c>
      <c r="BK47">
        <f t="shared" si="84"/>
        <v>0.50152999142608112</v>
      </c>
      <c r="BL47">
        <f t="shared" si="85"/>
        <v>0.77389470680031025</v>
      </c>
      <c r="BM47">
        <f t="shared" si="86"/>
        <v>0.41103473677531288</v>
      </c>
      <c r="BN47">
        <f t="shared" si="87"/>
        <v>0.58896526322468712</v>
      </c>
      <c r="BO47">
        <v>1491</v>
      </c>
      <c r="BP47">
        <v>290.00000000000011</v>
      </c>
      <c r="BQ47">
        <v>847.38</v>
      </c>
      <c r="BR47">
        <v>285</v>
      </c>
      <c r="BS47">
        <v>7333.69</v>
      </c>
      <c r="BT47">
        <v>848.91</v>
      </c>
      <c r="BU47">
        <v>-1.53</v>
      </c>
      <c r="BV47">
        <v>300.00000000000011</v>
      </c>
      <c r="BW47">
        <v>37.9</v>
      </c>
      <c r="BX47">
        <v>903.29472759904422</v>
      </c>
      <c r="BY47">
        <v>0.86080866867725214</v>
      </c>
      <c r="BZ47">
        <v>-39.883067765652108</v>
      </c>
      <c r="CA47">
        <v>0.52924782794921488</v>
      </c>
      <c r="CB47">
        <v>0.99509359922935836</v>
      </c>
      <c r="CC47">
        <v>-7.2251268075639611E-3</v>
      </c>
      <c r="CD47">
        <v>289.99999999999989</v>
      </c>
      <c r="CE47">
        <v>849.59</v>
      </c>
      <c r="CF47">
        <v>755</v>
      </c>
      <c r="CG47">
        <v>7326.37</v>
      </c>
      <c r="CH47">
        <v>848.86</v>
      </c>
      <c r="CI47">
        <v>0.73</v>
      </c>
      <c r="CW47">
        <f t="shared" si="88"/>
        <v>1799.87</v>
      </c>
      <c r="CX47">
        <f t="shared" si="89"/>
        <v>1513.0788000066004</v>
      </c>
      <c r="CY47">
        <f t="shared" si="90"/>
        <v>0.84066004767377678</v>
      </c>
      <c r="CZ47">
        <f t="shared" si="91"/>
        <v>0.16087389201038904</v>
      </c>
      <c r="DA47">
        <v>6</v>
      </c>
      <c r="DB47">
        <v>0.5</v>
      </c>
      <c r="DC47" t="s">
        <v>415</v>
      </c>
      <c r="DD47">
        <v>2</v>
      </c>
      <c r="DE47">
        <v>1691170639.0999999</v>
      </c>
      <c r="DF47">
        <v>170.001</v>
      </c>
      <c r="DG47">
        <v>200.06800000000001</v>
      </c>
      <c r="DH47">
        <v>26.321400000000001</v>
      </c>
      <c r="DI47">
        <v>19.984400000000001</v>
      </c>
      <c r="DJ47">
        <v>170.56399999999999</v>
      </c>
      <c r="DK47">
        <v>25.969899999999999</v>
      </c>
      <c r="DL47">
        <v>499.858</v>
      </c>
      <c r="DM47">
        <v>99.117999999999995</v>
      </c>
      <c r="DN47">
        <v>9.8774799999999996E-2</v>
      </c>
      <c r="DO47">
        <v>30.267600000000002</v>
      </c>
      <c r="DP47">
        <v>29.986999999999998</v>
      </c>
      <c r="DQ47">
        <v>999.9</v>
      </c>
      <c r="DR47">
        <v>0</v>
      </c>
      <c r="DS47">
        <v>0</v>
      </c>
      <c r="DT47">
        <v>10030</v>
      </c>
      <c r="DU47">
        <v>0</v>
      </c>
      <c r="DV47">
        <v>584.68600000000004</v>
      </c>
      <c r="DW47">
        <v>-30.0672</v>
      </c>
      <c r="DX47">
        <v>174.596</v>
      </c>
      <c r="DY47">
        <v>204.148</v>
      </c>
      <c r="DZ47">
        <v>6.3369999999999997</v>
      </c>
      <c r="EA47">
        <v>200.06800000000001</v>
      </c>
      <c r="EB47">
        <v>19.984400000000001</v>
      </c>
      <c r="EC47">
        <v>2.6089199999999999</v>
      </c>
      <c r="ED47">
        <v>1.98081</v>
      </c>
      <c r="EE47">
        <v>21.7224</v>
      </c>
      <c r="EF47">
        <v>17.291799999999999</v>
      </c>
      <c r="EG47">
        <v>1799.87</v>
      </c>
      <c r="EH47">
        <v>0.97799499999999995</v>
      </c>
      <c r="EI47">
        <v>2.2005299999999998E-2</v>
      </c>
      <c r="EJ47">
        <v>0</v>
      </c>
      <c r="EK47">
        <v>718.53</v>
      </c>
      <c r="EL47">
        <v>9.9989999999999996E-2</v>
      </c>
      <c r="EM47">
        <v>13504.8</v>
      </c>
      <c r="EN47">
        <v>16704</v>
      </c>
      <c r="EO47">
        <v>47.125</v>
      </c>
      <c r="EP47">
        <v>48.625</v>
      </c>
      <c r="EQ47">
        <v>47.936999999999998</v>
      </c>
      <c r="ER47">
        <v>47.811999999999998</v>
      </c>
      <c r="ES47">
        <v>48.311999999999998</v>
      </c>
      <c r="ET47">
        <v>1760.17</v>
      </c>
      <c r="EU47">
        <v>39.6</v>
      </c>
      <c r="EV47">
        <v>0</v>
      </c>
      <c r="EW47">
        <v>97.799999952316284</v>
      </c>
      <c r="EX47">
        <v>0</v>
      </c>
      <c r="EY47">
        <v>721.78903846153844</v>
      </c>
      <c r="EZ47">
        <v>-4.871281980688809</v>
      </c>
      <c r="FA47">
        <v>-113.8700855538299</v>
      </c>
      <c r="FB47">
        <v>13518.865384615379</v>
      </c>
      <c r="FC47">
        <v>15</v>
      </c>
      <c r="FD47">
        <v>1691170607.5999999</v>
      </c>
      <c r="FE47" t="s">
        <v>581</v>
      </c>
      <c r="FF47">
        <v>1691170598.5999999</v>
      </c>
      <c r="FG47">
        <v>1691170607.5999999</v>
      </c>
      <c r="FH47">
        <v>52</v>
      </c>
      <c r="FI47">
        <v>0.01</v>
      </c>
      <c r="FJ47">
        <v>8.9999999999999993E-3</v>
      </c>
      <c r="FK47">
        <v>-0.59699999999999998</v>
      </c>
      <c r="FL47">
        <v>0.13700000000000001</v>
      </c>
      <c r="FM47">
        <v>200</v>
      </c>
      <c r="FN47">
        <v>20</v>
      </c>
      <c r="FO47">
        <v>0.2</v>
      </c>
      <c r="FP47">
        <v>0.04</v>
      </c>
      <c r="FQ47">
        <v>23.936912958087721</v>
      </c>
      <c r="FR47">
        <v>0.1232012602378395</v>
      </c>
      <c r="FS47">
        <v>8.6194583446177933E-2</v>
      </c>
      <c r="FT47">
        <v>1</v>
      </c>
      <c r="FU47">
        <v>0.33459816097473938</v>
      </c>
      <c r="FV47">
        <v>3.4289939923352761E-2</v>
      </c>
      <c r="FW47">
        <v>2.63459469552025E-3</v>
      </c>
      <c r="FX47">
        <v>1</v>
      </c>
      <c r="FY47">
        <v>2</v>
      </c>
      <c r="FZ47">
        <v>2</v>
      </c>
      <c r="GA47" t="s">
        <v>416</v>
      </c>
      <c r="GB47">
        <v>2.9674299999999998</v>
      </c>
      <c r="GC47">
        <v>2.81073</v>
      </c>
      <c r="GD47">
        <v>4.6709899999999999E-2</v>
      </c>
      <c r="GE47">
        <v>5.3325200000000003E-2</v>
      </c>
      <c r="GF47">
        <v>0.126192</v>
      </c>
      <c r="GG47">
        <v>0.103503</v>
      </c>
      <c r="GH47">
        <v>28082</v>
      </c>
      <c r="GI47">
        <v>25728.3</v>
      </c>
      <c r="GJ47">
        <v>26485.599999999999</v>
      </c>
      <c r="GK47">
        <v>25652.3</v>
      </c>
      <c r="GL47">
        <v>31495.5</v>
      </c>
      <c r="GM47">
        <v>32463.200000000001</v>
      </c>
      <c r="GN47">
        <v>37490.5</v>
      </c>
      <c r="GO47">
        <v>38031.800000000003</v>
      </c>
      <c r="GP47">
        <v>1.9329000000000001</v>
      </c>
      <c r="GQ47">
        <v>1.855</v>
      </c>
      <c r="GR47">
        <v>1.16825E-2</v>
      </c>
      <c r="GS47">
        <v>0</v>
      </c>
      <c r="GT47">
        <v>29.796900000000001</v>
      </c>
      <c r="GU47">
        <v>999.9</v>
      </c>
      <c r="GV47">
        <v>26.8</v>
      </c>
      <c r="GW47">
        <v>48.1</v>
      </c>
      <c r="GX47">
        <v>30.524699999999999</v>
      </c>
      <c r="GY47">
        <v>61.622999999999998</v>
      </c>
      <c r="GZ47">
        <v>14.395</v>
      </c>
      <c r="HA47">
        <v>1</v>
      </c>
      <c r="HB47">
        <v>0.53446099999999996</v>
      </c>
      <c r="HC47">
        <v>2.7784200000000001</v>
      </c>
      <c r="HD47">
        <v>20.223600000000001</v>
      </c>
      <c r="HE47">
        <v>5.1999199999999997</v>
      </c>
      <c r="HF47">
        <v>11.9381</v>
      </c>
      <c r="HG47">
        <v>4.9850000000000003</v>
      </c>
      <c r="HH47">
        <v>3.2894999999999999</v>
      </c>
      <c r="HI47">
        <v>9999</v>
      </c>
      <c r="HJ47">
        <v>9999</v>
      </c>
      <c r="HK47">
        <v>9999</v>
      </c>
      <c r="HL47">
        <v>999.9</v>
      </c>
      <c r="HM47">
        <v>1.87127</v>
      </c>
      <c r="HN47">
        <v>1.8772599999999999</v>
      </c>
      <c r="HO47">
        <v>1.875</v>
      </c>
      <c r="HP47">
        <v>1.8732800000000001</v>
      </c>
      <c r="HQ47">
        <v>1.87378</v>
      </c>
      <c r="HR47">
        <v>1.87117</v>
      </c>
      <c r="HS47">
        <v>1.8769800000000001</v>
      </c>
      <c r="HT47">
        <v>1.87622</v>
      </c>
      <c r="HU47">
        <v>5</v>
      </c>
      <c r="HV47">
        <v>0</v>
      </c>
      <c r="HW47">
        <v>0</v>
      </c>
      <c r="HX47">
        <v>0</v>
      </c>
      <c r="HY47" t="s">
        <v>417</v>
      </c>
      <c r="HZ47" t="s">
        <v>418</v>
      </c>
      <c r="IA47" t="s">
        <v>419</v>
      </c>
      <c r="IB47" t="s">
        <v>420</v>
      </c>
      <c r="IC47" t="s">
        <v>420</v>
      </c>
      <c r="ID47" t="s">
        <v>419</v>
      </c>
      <c r="IE47">
        <v>0</v>
      </c>
      <c r="IF47">
        <v>100</v>
      </c>
      <c r="IG47">
        <v>100</v>
      </c>
      <c r="IH47">
        <v>-0.56299999999999994</v>
      </c>
      <c r="II47">
        <v>0.35149999999999998</v>
      </c>
      <c r="IJ47">
        <v>-0.32891853573903002</v>
      </c>
      <c r="IK47">
        <v>-1.615681629159814E-3</v>
      </c>
      <c r="IL47">
        <v>1.5005605225991581E-6</v>
      </c>
      <c r="IM47">
        <v>-5.1143626075267638E-10</v>
      </c>
      <c r="IN47">
        <v>-0.17710106541750911</v>
      </c>
      <c r="IO47">
        <v>-1.7182111142928099E-3</v>
      </c>
      <c r="IP47">
        <v>9.9985895407488957E-4</v>
      </c>
      <c r="IQ47">
        <v>-5.7750407166627208E-6</v>
      </c>
      <c r="IR47">
        <v>3</v>
      </c>
      <c r="IS47">
        <v>2181</v>
      </c>
      <c r="IT47">
        <v>2</v>
      </c>
      <c r="IU47">
        <v>42</v>
      </c>
      <c r="IV47">
        <v>0.7</v>
      </c>
      <c r="IW47">
        <v>0.5</v>
      </c>
      <c r="IX47">
        <v>0.554199</v>
      </c>
      <c r="IY47">
        <v>2.5671400000000002</v>
      </c>
      <c r="IZ47">
        <v>1.5991200000000001</v>
      </c>
      <c r="JA47">
        <v>2.2705099999999998</v>
      </c>
      <c r="JB47">
        <v>1.5502899999999999</v>
      </c>
      <c r="JC47">
        <v>2.323</v>
      </c>
      <c r="JD47">
        <v>50.803699999999999</v>
      </c>
      <c r="JE47">
        <v>23.938700000000001</v>
      </c>
      <c r="JF47">
        <v>18</v>
      </c>
      <c r="JG47">
        <v>503.505</v>
      </c>
      <c r="JH47">
        <v>423.99099999999999</v>
      </c>
      <c r="JI47">
        <v>25.9284</v>
      </c>
      <c r="JJ47">
        <v>34.056199999999997</v>
      </c>
      <c r="JK47">
        <v>29.998899999999999</v>
      </c>
      <c r="JL47">
        <v>34.146700000000003</v>
      </c>
      <c r="JM47">
        <v>34.129800000000003</v>
      </c>
      <c r="JN47">
        <v>11.117599999999999</v>
      </c>
      <c r="JO47">
        <v>37.3996</v>
      </c>
      <c r="JP47">
        <v>0</v>
      </c>
      <c r="JQ47">
        <v>25.934799999999999</v>
      </c>
      <c r="JR47">
        <v>200</v>
      </c>
      <c r="JS47">
        <v>19.922999999999998</v>
      </c>
      <c r="JT47">
        <v>98.881200000000007</v>
      </c>
      <c r="JU47">
        <v>98.712500000000006</v>
      </c>
    </row>
    <row r="48" spans="1:281" x14ac:dyDescent="0.25">
      <c r="A48">
        <v>32</v>
      </c>
      <c r="B48">
        <v>1691170757.0999999</v>
      </c>
      <c r="C48">
        <v>11026.5</v>
      </c>
      <c r="D48" t="s">
        <v>582</v>
      </c>
      <c r="E48" t="s">
        <v>583</v>
      </c>
      <c r="F48" t="s">
        <v>411</v>
      </c>
      <c r="G48" t="s">
        <v>567</v>
      </c>
      <c r="H48" t="s">
        <v>568</v>
      </c>
      <c r="I48" t="s">
        <v>413</v>
      </c>
      <c r="J48">
        <v>1691170757.0999999</v>
      </c>
      <c r="K48">
        <f t="shared" si="46"/>
        <v>5.8681116678489138E-3</v>
      </c>
      <c r="L48">
        <f t="shared" si="47"/>
        <v>5.8681116678489138</v>
      </c>
      <c r="M48">
        <f t="shared" si="48"/>
        <v>15.449533853437499</v>
      </c>
      <c r="N48">
        <f t="shared" si="49"/>
        <v>100.798</v>
      </c>
      <c r="O48">
        <f t="shared" si="50"/>
        <v>28.394700698513027</v>
      </c>
      <c r="P48">
        <f t="shared" si="51"/>
        <v>2.8172827914618934</v>
      </c>
      <c r="Q48">
        <f t="shared" si="52"/>
        <v>10.001037652376001</v>
      </c>
      <c r="R48">
        <f t="shared" si="53"/>
        <v>0.37093976879607876</v>
      </c>
      <c r="S48">
        <f t="shared" si="54"/>
        <v>2.9043890383396902</v>
      </c>
      <c r="T48">
        <f t="shared" si="55"/>
        <v>0.34648721332342647</v>
      </c>
      <c r="U48">
        <f t="shared" si="56"/>
        <v>0.21861700507199608</v>
      </c>
      <c r="V48">
        <f t="shared" si="57"/>
        <v>289.5834330127343</v>
      </c>
      <c r="W48">
        <f t="shared" si="58"/>
        <v>30.525868783584997</v>
      </c>
      <c r="X48">
        <f t="shared" si="59"/>
        <v>29.991499999999998</v>
      </c>
      <c r="Y48">
        <f t="shared" si="60"/>
        <v>4.2583701225871975</v>
      </c>
      <c r="Z48">
        <f t="shared" si="61"/>
        <v>60.674093544209882</v>
      </c>
      <c r="AA48">
        <f t="shared" si="62"/>
        <v>2.6363873487580003</v>
      </c>
      <c r="AB48">
        <f t="shared" si="63"/>
        <v>4.3451614927498001</v>
      </c>
      <c r="AC48">
        <f t="shared" si="64"/>
        <v>1.6219827738291972</v>
      </c>
      <c r="AD48">
        <f t="shared" si="65"/>
        <v>-258.78372455213707</v>
      </c>
      <c r="AE48">
        <f t="shared" si="66"/>
        <v>55.069686059358901</v>
      </c>
      <c r="AF48">
        <f t="shared" si="67"/>
        <v>4.2229549488321387</v>
      </c>
      <c r="AG48">
        <f t="shared" si="68"/>
        <v>90.092349468788257</v>
      </c>
      <c r="AH48">
        <v>0</v>
      </c>
      <c r="AI48">
        <v>0</v>
      </c>
      <c r="AJ48">
        <f t="shared" si="69"/>
        <v>1</v>
      </c>
      <c r="AK48">
        <f t="shared" si="70"/>
        <v>0</v>
      </c>
      <c r="AL48">
        <f t="shared" si="71"/>
        <v>51559.411922392283</v>
      </c>
      <c r="AM48" t="s">
        <v>414</v>
      </c>
      <c r="AN48">
        <v>7361.72</v>
      </c>
      <c r="AO48">
        <v>541.39076923076925</v>
      </c>
      <c r="AP48">
        <v>2141.9899999999998</v>
      </c>
      <c r="AQ48">
        <f t="shared" si="72"/>
        <v>0.74724869433061347</v>
      </c>
      <c r="AR48">
        <v>-0.96077199609010144</v>
      </c>
      <c r="AS48" t="s">
        <v>584</v>
      </c>
      <c r="AT48">
        <v>7331.39</v>
      </c>
      <c r="AU48">
        <v>730.80959999999993</v>
      </c>
      <c r="AV48">
        <v>853.27436061486935</v>
      </c>
      <c r="AW48">
        <f t="shared" si="73"/>
        <v>0.14352331004838981</v>
      </c>
      <c r="AX48">
        <v>0.5</v>
      </c>
      <c r="AY48">
        <f t="shared" si="74"/>
        <v>1513.2465000065981</v>
      </c>
      <c r="AZ48">
        <f t="shared" si="75"/>
        <v>15.449533853437499</v>
      </c>
      <c r="BA48">
        <f t="shared" si="76"/>
        <v>108.59307330004384</v>
      </c>
      <c r="BB48">
        <f t="shared" si="77"/>
        <v>1.0844436679322269E-2</v>
      </c>
      <c r="BC48">
        <f t="shared" si="78"/>
        <v>1.5103180159503238</v>
      </c>
      <c r="BD48">
        <f t="shared" si="79"/>
        <v>391.8195803137944</v>
      </c>
      <c r="BE48" t="s">
        <v>585</v>
      </c>
      <c r="BF48">
        <v>570.75</v>
      </c>
      <c r="BG48">
        <f t="shared" si="80"/>
        <v>570.75</v>
      </c>
      <c r="BH48">
        <f t="shared" si="81"/>
        <v>0.33110611739380325</v>
      </c>
      <c r="BI48">
        <f t="shared" si="82"/>
        <v>0.43346619862564889</v>
      </c>
      <c r="BJ48">
        <f t="shared" si="83"/>
        <v>0.8201901933410114</v>
      </c>
      <c r="BK48">
        <f t="shared" si="84"/>
        <v>0.39266176226644767</v>
      </c>
      <c r="BL48">
        <f t="shared" si="85"/>
        <v>0.80514573205548023</v>
      </c>
      <c r="BM48">
        <f t="shared" si="86"/>
        <v>0.33852980703262397</v>
      </c>
      <c r="BN48">
        <f t="shared" si="87"/>
        <v>0.66147019296737608</v>
      </c>
      <c r="BO48">
        <v>1493</v>
      </c>
      <c r="BP48">
        <v>290.00000000000011</v>
      </c>
      <c r="BQ48">
        <v>818</v>
      </c>
      <c r="BR48">
        <v>265</v>
      </c>
      <c r="BS48">
        <v>7331.39</v>
      </c>
      <c r="BT48">
        <v>819.43</v>
      </c>
      <c r="BU48">
        <v>-1.43</v>
      </c>
      <c r="BV48">
        <v>300.00000000000011</v>
      </c>
      <c r="BW48">
        <v>37.9</v>
      </c>
      <c r="BX48">
        <v>853.27436061486935</v>
      </c>
      <c r="BY48">
        <v>1.4321233539850551</v>
      </c>
      <c r="BZ48">
        <v>-24.813511284669239</v>
      </c>
      <c r="CA48">
        <v>0.88010134013033836</v>
      </c>
      <c r="CB48">
        <v>0.96597388747657265</v>
      </c>
      <c r="CC48">
        <v>-7.2218496106785249E-3</v>
      </c>
      <c r="CD48">
        <v>289.99999999999989</v>
      </c>
      <c r="CE48">
        <v>818.49</v>
      </c>
      <c r="CF48">
        <v>765</v>
      </c>
      <c r="CG48">
        <v>7322.6</v>
      </c>
      <c r="CH48">
        <v>819.39</v>
      </c>
      <c r="CI48">
        <v>-0.9</v>
      </c>
      <c r="CW48">
        <f t="shared" si="88"/>
        <v>1800.07</v>
      </c>
      <c r="CX48">
        <f t="shared" si="89"/>
        <v>1513.2465000065981</v>
      </c>
      <c r="CY48">
        <f t="shared" si="90"/>
        <v>0.84065980767781157</v>
      </c>
      <c r="CZ48">
        <f t="shared" si="91"/>
        <v>0.16087342881817612</v>
      </c>
      <c r="DA48">
        <v>6</v>
      </c>
      <c r="DB48">
        <v>0.5</v>
      </c>
      <c r="DC48" t="s">
        <v>415</v>
      </c>
      <c r="DD48">
        <v>2</v>
      </c>
      <c r="DE48">
        <v>1691170757.0999999</v>
      </c>
      <c r="DF48">
        <v>100.798</v>
      </c>
      <c r="DG48">
        <v>120.032</v>
      </c>
      <c r="DH48">
        <v>26.5715</v>
      </c>
      <c r="DI48">
        <v>19.722300000000001</v>
      </c>
      <c r="DJ48">
        <v>101.242</v>
      </c>
      <c r="DK48">
        <v>26.207000000000001</v>
      </c>
      <c r="DL48">
        <v>500.39600000000002</v>
      </c>
      <c r="DM48">
        <v>99.117800000000003</v>
      </c>
      <c r="DN48">
        <v>0.100812</v>
      </c>
      <c r="DO48">
        <v>30.3432</v>
      </c>
      <c r="DP48">
        <v>29.991499999999998</v>
      </c>
      <c r="DQ48">
        <v>999.9</v>
      </c>
      <c r="DR48">
        <v>0</v>
      </c>
      <c r="DS48">
        <v>0</v>
      </c>
      <c r="DT48">
        <v>9945</v>
      </c>
      <c r="DU48">
        <v>0</v>
      </c>
      <c r="DV48">
        <v>618.46799999999996</v>
      </c>
      <c r="DW48">
        <v>-19.2347</v>
      </c>
      <c r="DX48">
        <v>103.54900000000001</v>
      </c>
      <c r="DY48">
        <v>122.447</v>
      </c>
      <c r="DZ48">
        <v>6.8492100000000002</v>
      </c>
      <c r="EA48">
        <v>120.032</v>
      </c>
      <c r="EB48">
        <v>19.722300000000001</v>
      </c>
      <c r="EC48">
        <v>2.6337100000000002</v>
      </c>
      <c r="ED48">
        <v>1.9548300000000001</v>
      </c>
      <c r="EE48">
        <v>21.877300000000002</v>
      </c>
      <c r="EF48">
        <v>17.083200000000001</v>
      </c>
      <c r="EG48">
        <v>1800.07</v>
      </c>
      <c r="EH48">
        <v>0.97800500000000001</v>
      </c>
      <c r="EI48">
        <v>2.1994699999999999E-2</v>
      </c>
      <c r="EJ48">
        <v>0</v>
      </c>
      <c r="EK48">
        <v>732.05499999999995</v>
      </c>
      <c r="EL48">
        <v>9.9989999999999996E-2</v>
      </c>
      <c r="EM48">
        <v>13722.9</v>
      </c>
      <c r="EN48">
        <v>16705.900000000001</v>
      </c>
      <c r="EO48">
        <v>47.75</v>
      </c>
      <c r="EP48">
        <v>49.125</v>
      </c>
      <c r="EQ48">
        <v>48.625</v>
      </c>
      <c r="ER48">
        <v>48.311999999999998</v>
      </c>
      <c r="ES48">
        <v>48.875</v>
      </c>
      <c r="ET48">
        <v>1760.38</v>
      </c>
      <c r="EU48">
        <v>39.590000000000003</v>
      </c>
      <c r="EV48">
        <v>0</v>
      </c>
      <c r="EW48">
        <v>115.7999999523163</v>
      </c>
      <c r="EX48">
        <v>0</v>
      </c>
      <c r="EY48">
        <v>730.80959999999993</v>
      </c>
      <c r="EZ48">
        <v>1.6169230300647699</v>
      </c>
      <c r="FA48">
        <v>-43.184615324692743</v>
      </c>
      <c r="FB48">
        <v>13726.824000000001</v>
      </c>
      <c r="FC48">
        <v>15</v>
      </c>
      <c r="FD48">
        <v>1691170727.5999999</v>
      </c>
      <c r="FE48" t="s">
        <v>586</v>
      </c>
      <c r="FF48">
        <v>1691170711.0999999</v>
      </c>
      <c r="FG48">
        <v>1691170727.5999999</v>
      </c>
      <c r="FH48">
        <v>53</v>
      </c>
      <c r="FI48">
        <v>3.3000000000000002E-2</v>
      </c>
      <c r="FJ48">
        <v>4.0000000000000001E-3</v>
      </c>
      <c r="FK48">
        <v>-0.47</v>
      </c>
      <c r="FL48">
        <v>0.13700000000000001</v>
      </c>
      <c r="FM48">
        <v>120</v>
      </c>
      <c r="FN48">
        <v>20</v>
      </c>
      <c r="FO48">
        <v>0.26</v>
      </c>
      <c r="FP48">
        <v>0.04</v>
      </c>
      <c r="FQ48">
        <v>15.38969736925837</v>
      </c>
      <c r="FR48">
        <v>-0.2746197981384198</v>
      </c>
      <c r="FS48">
        <v>7.6239548944643423E-2</v>
      </c>
      <c r="FT48">
        <v>1</v>
      </c>
      <c r="FU48">
        <v>0.36858454628580678</v>
      </c>
      <c r="FV48">
        <v>4.3769898653408731E-2</v>
      </c>
      <c r="FW48">
        <v>3.601597284170515E-3</v>
      </c>
      <c r="FX48">
        <v>1</v>
      </c>
      <c r="FY48">
        <v>2</v>
      </c>
      <c r="FZ48">
        <v>2</v>
      </c>
      <c r="GA48" t="s">
        <v>416</v>
      </c>
      <c r="GB48">
        <v>2.9690400000000001</v>
      </c>
      <c r="GC48">
        <v>2.81203</v>
      </c>
      <c r="GD48">
        <v>2.86206E-2</v>
      </c>
      <c r="GE48">
        <v>3.3291000000000001E-2</v>
      </c>
      <c r="GF48">
        <v>0.127057</v>
      </c>
      <c r="GG48">
        <v>0.102575</v>
      </c>
      <c r="GH48">
        <v>28622.799999999999</v>
      </c>
      <c r="GI48">
        <v>26280.400000000001</v>
      </c>
      <c r="GJ48">
        <v>26492.3</v>
      </c>
      <c r="GK48">
        <v>25658.9</v>
      </c>
      <c r="GL48">
        <v>31468.5</v>
      </c>
      <c r="GM48">
        <v>32502</v>
      </c>
      <c r="GN48">
        <v>37498.9</v>
      </c>
      <c r="GO48">
        <v>38040</v>
      </c>
      <c r="GP48">
        <v>1.9361999999999999</v>
      </c>
      <c r="GQ48">
        <v>1.8572</v>
      </c>
      <c r="GR48">
        <v>1.36942E-2</v>
      </c>
      <c r="GS48">
        <v>0</v>
      </c>
      <c r="GT48">
        <v>29.768599999999999</v>
      </c>
      <c r="GU48">
        <v>999.9</v>
      </c>
      <c r="GV48">
        <v>26.7</v>
      </c>
      <c r="GW48">
        <v>48</v>
      </c>
      <c r="GX48">
        <v>30.258600000000001</v>
      </c>
      <c r="GY48">
        <v>61.673000000000002</v>
      </c>
      <c r="GZ48">
        <v>14.0144</v>
      </c>
      <c r="HA48">
        <v>1</v>
      </c>
      <c r="HB48">
        <v>0.52122999999999997</v>
      </c>
      <c r="HC48">
        <v>3.11381</v>
      </c>
      <c r="HD48">
        <v>20.218800000000002</v>
      </c>
      <c r="HE48">
        <v>5.2065099999999997</v>
      </c>
      <c r="HF48">
        <v>11.9381</v>
      </c>
      <c r="HG48">
        <v>4.9875999999999996</v>
      </c>
      <c r="HH48">
        <v>3.2909999999999999</v>
      </c>
      <c r="HI48">
        <v>9999</v>
      </c>
      <c r="HJ48">
        <v>9999</v>
      </c>
      <c r="HK48">
        <v>9999</v>
      </c>
      <c r="HL48">
        <v>999.9</v>
      </c>
      <c r="HM48">
        <v>1.8712</v>
      </c>
      <c r="HN48">
        <v>1.87724</v>
      </c>
      <c r="HO48">
        <v>1.875</v>
      </c>
      <c r="HP48">
        <v>1.8732</v>
      </c>
      <c r="HQ48">
        <v>1.87378</v>
      </c>
      <c r="HR48">
        <v>1.87114</v>
      </c>
      <c r="HS48">
        <v>1.8769800000000001</v>
      </c>
      <c r="HT48">
        <v>1.87619</v>
      </c>
      <c r="HU48">
        <v>5</v>
      </c>
      <c r="HV48">
        <v>0</v>
      </c>
      <c r="HW48">
        <v>0</v>
      </c>
      <c r="HX48">
        <v>0</v>
      </c>
      <c r="HY48" t="s">
        <v>417</v>
      </c>
      <c r="HZ48" t="s">
        <v>418</v>
      </c>
      <c r="IA48" t="s">
        <v>419</v>
      </c>
      <c r="IB48" t="s">
        <v>420</v>
      </c>
      <c r="IC48" t="s">
        <v>420</v>
      </c>
      <c r="ID48" t="s">
        <v>419</v>
      </c>
      <c r="IE48">
        <v>0</v>
      </c>
      <c r="IF48">
        <v>100</v>
      </c>
      <c r="IG48">
        <v>100</v>
      </c>
      <c r="IH48">
        <v>-0.44400000000000001</v>
      </c>
      <c r="II48">
        <v>0.36449999999999999</v>
      </c>
      <c r="IJ48">
        <v>-0.29606590264172039</v>
      </c>
      <c r="IK48">
        <v>-1.615681629159814E-3</v>
      </c>
      <c r="IL48">
        <v>1.5005605225991581E-6</v>
      </c>
      <c r="IM48">
        <v>-5.1143626075267638E-10</v>
      </c>
      <c r="IN48">
        <v>-0.17323947170665291</v>
      </c>
      <c r="IO48">
        <v>-1.7182111142928099E-3</v>
      </c>
      <c r="IP48">
        <v>9.9985895407488957E-4</v>
      </c>
      <c r="IQ48">
        <v>-5.7750407166627208E-6</v>
      </c>
      <c r="IR48">
        <v>3</v>
      </c>
      <c r="IS48">
        <v>2181</v>
      </c>
      <c r="IT48">
        <v>2</v>
      </c>
      <c r="IU48">
        <v>42</v>
      </c>
      <c r="IV48">
        <v>0.8</v>
      </c>
      <c r="IW48">
        <v>0.5</v>
      </c>
      <c r="IX48">
        <v>0.386963</v>
      </c>
      <c r="IY48">
        <v>2.5744600000000002</v>
      </c>
      <c r="IZ48">
        <v>1.5991200000000001</v>
      </c>
      <c r="JA48">
        <v>2.2705099999999998</v>
      </c>
      <c r="JB48">
        <v>1.5502899999999999</v>
      </c>
      <c r="JC48">
        <v>2.4255399999999998</v>
      </c>
      <c r="JD48">
        <v>50.6402</v>
      </c>
      <c r="JE48">
        <v>23.938700000000001</v>
      </c>
      <c r="JF48">
        <v>18</v>
      </c>
      <c r="JG48">
        <v>504.23599999999999</v>
      </c>
      <c r="JH48">
        <v>424.09300000000002</v>
      </c>
      <c r="JI48">
        <v>25.7316</v>
      </c>
      <c r="JJ48">
        <v>33.857199999999999</v>
      </c>
      <c r="JK48">
        <v>29.9998</v>
      </c>
      <c r="JL48">
        <v>33.963099999999997</v>
      </c>
      <c r="JM48">
        <v>33.949800000000003</v>
      </c>
      <c r="JN48">
        <v>7.7812400000000004</v>
      </c>
      <c r="JO48">
        <v>38.2759</v>
      </c>
      <c r="JP48">
        <v>0</v>
      </c>
      <c r="JQ48">
        <v>25.731100000000001</v>
      </c>
      <c r="JR48">
        <v>120</v>
      </c>
      <c r="JS48">
        <v>19.592500000000001</v>
      </c>
      <c r="JT48">
        <v>98.904499999999999</v>
      </c>
      <c r="JU48">
        <v>98.735299999999995</v>
      </c>
    </row>
    <row r="49" spans="1:281" x14ac:dyDescent="0.25">
      <c r="A49">
        <v>33</v>
      </c>
      <c r="B49">
        <v>1691170894.5999999</v>
      </c>
      <c r="C49">
        <v>11164</v>
      </c>
      <c r="D49" t="s">
        <v>587</v>
      </c>
      <c r="E49" t="s">
        <v>588</v>
      </c>
      <c r="F49" t="s">
        <v>411</v>
      </c>
      <c r="G49" t="s">
        <v>567</v>
      </c>
      <c r="H49" t="s">
        <v>568</v>
      </c>
      <c r="I49" t="s">
        <v>413</v>
      </c>
      <c r="J49">
        <v>1691170894.5999999</v>
      </c>
      <c r="K49">
        <f t="shared" si="46"/>
        <v>6.6970406520897047E-3</v>
      </c>
      <c r="L49">
        <f t="shared" si="47"/>
        <v>6.6970406520897043</v>
      </c>
      <c r="M49">
        <f t="shared" si="48"/>
        <v>10.029008781219467</v>
      </c>
      <c r="N49">
        <f t="shared" si="49"/>
        <v>57.502099999999999</v>
      </c>
      <c r="O49">
        <f t="shared" si="50"/>
        <v>16.427692486693442</v>
      </c>
      <c r="P49">
        <f t="shared" si="51"/>
        <v>1.6298739043319095</v>
      </c>
      <c r="Q49">
        <f t="shared" si="52"/>
        <v>5.7050722315503997</v>
      </c>
      <c r="R49">
        <f t="shared" si="53"/>
        <v>0.428202958315339</v>
      </c>
      <c r="S49">
        <f t="shared" si="54"/>
        <v>2.9078468850845471</v>
      </c>
      <c r="T49">
        <f t="shared" si="55"/>
        <v>0.39600486520941591</v>
      </c>
      <c r="U49">
        <f t="shared" si="56"/>
        <v>0.25019385101859887</v>
      </c>
      <c r="V49">
        <f t="shared" si="57"/>
        <v>289.60533901273982</v>
      </c>
      <c r="W49">
        <f t="shared" si="58"/>
        <v>30.469432928353985</v>
      </c>
      <c r="X49">
        <f t="shared" si="59"/>
        <v>30.0441</v>
      </c>
      <c r="Y49">
        <f t="shared" si="60"/>
        <v>4.2712537002357696</v>
      </c>
      <c r="Z49">
        <f t="shared" si="61"/>
        <v>60.474239370534896</v>
      </c>
      <c r="AA49">
        <f t="shared" si="62"/>
        <v>2.6519183764959999</v>
      </c>
      <c r="AB49">
        <f t="shared" si="63"/>
        <v>4.3852033594788864</v>
      </c>
      <c r="AC49">
        <f t="shared" si="64"/>
        <v>1.6193353237397696</v>
      </c>
      <c r="AD49">
        <f t="shared" si="65"/>
        <v>-295.33949275715599</v>
      </c>
      <c r="AE49">
        <f t="shared" si="66"/>
        <v>72.003469494703694</v>
      </c>
      <c r="AF49">
        <f t="shared" si="67"/>
        <v>5.5207465503151179</v>
      </c>
      <c r="AG49">
        <f t="shared" si="68"/>
        <v>71.790062300602614</v>
      </c>
      <c r="AH49">
        <v>0</v>
      </c>
      <c r="AI49">
        <v>0</v>
      </c>
      <c r="AJ49">
        <f t="shared" si="69"/>
        <v>1</v>
      </c>
      <c r="AK49">
        <f t="shared" si="70"/>
        <v>0</v>
      </c>
      <c r="AL49">
        <f t="shared" si="71"/>
        <v>51630.193562406319</v>
      </c>
      <c r="AM49" t="s">
        <v>414</v>
      </c>
      <c r="AN49">
        <v>7361.72</v>
      </c>
      <c r="AO49">
        <v>541.39076923076925</v>
      </c>
      <c r="AP49">
        <v>2141.9899999999998</v>
      </c>
      <c r="AQ49">
        <f t="shared" si="72"/>
        <v>0.74724869433061347</v>
      </c>
      <c r="AR49">
        <v>-0.96077199609010144</v>
      </c>
      <c r="AS49" t="s">
        <v>589</v>
      </c>
      <c r="AT49">
        <v>7328.06</v>
      </c>
      <c r="AU49">
        <v>735.45659999999998</v>
      </c>
      <c r="AV49">
        <v>817.76436822930839</v>
      </c>
      <c r="AW49">
        <f t="shared" si="73"/>
        <v>0.10064973655862264</v>
      </c>
      <c r="AX49">
        <v>0.5</v>
      </c>
      <c r="AY49">
        <f t="shared" si="74"/>
        <v>1513.356300006601</v>
      </c>
      <c r="AZ49">
        <f t="shared" si="75"/>
        <v>10.029008781219467</v>
      </c>
      <c r="BA49">
        <f t="shared" si="76"/>
        <v>76.159456457498138</v>
      </c>
      <c r="BB49">
        <f t="shared" si="77"/>
        <v>7.261859469089753E-3</v>
      </c>
      <c r="BC49">
        <f t="shared" si="78"/>
        <v>1.6193242004882351</v>
      </c>
      <c r="BD49">
        <f t="shared" si="79"/>
        <v>384.15953304537783</v>
      </c>
      <c r="BE49" t="s">
        <v>590</v>
      </c>
      <c r="BF49">
        <v>593.64</v>
      </c>
      <c r="BG49">
        <f t="shared" si="80"/>
        <v>593.64</v>
      </c>
      <c r="BH49">
        <f t="shared" si="81"/>
        <v>0.27406961826253351</v>
      </c>
      <c r="BI49">
        <f t="shared" si="82"/>
        <v>0.36724149578013243</v>
      </c>
      <c r="BJ49">
        <f t="shared" si="83"/>
        <v>0.8552495442055682</v>
      </c>
      <c r="BK49">
        <f t="shared" si="84"/>
        <v>0.29781342547753076</v>
      </c>
      <c r="BL49">
        <f t="shared" si="85"/>
        <v>0.82733116842389287</v>
      </c>
      <c r="BM49">
        <f t="shared" si="86"/>
        <v>0.29642706524751811</v>
      </c>
      <c r="BN49">
        <f t="shared" si="87"/>
        <v>0.70357293475248195</v>
      </c>
      <c r="BO49">
        <v>1495</v>
      </c>
      <c r="BP49">
        <v>290.00000000000011</v>
      </c>
      <c r="BQ49">
        <v>793.65</v>
      </c>
      <c r="BR49">
        <v>295</v>
      </c>
      <c r="BS49">
        <v>7328.06</v>
      </c>
      <c r="BT49">
        <v>793.95</v>
      </c>
      <c r="BU49">
        <v>-0.3</v>
      </c>
      <c r="BV49">
        <v>300.00000000000011</v>
      </c>
      <c r="BW49">
        <v>37.9</v>
      </c>
      <c r="BX49">
        <v>817.76436822930839</v>
      </c>
      <c r="BY49">
        <v>0.98594650012369989</v>
      </c>
      <c r="BZ49">
        <v>-17.45169887083906</v>
      </c>
      <c r="CA49">
        <v>0.60570830285789357</v>
      </c>
      <c r="CB49">
        <v>0.96737107530881594</v>
      </c>
      <c r="CC49">
        <v>-7.2195334816462821E-3</v>
      </c>
      <c r="CD49">
        <v>289.99999999999989</v>
      </c>
      <c r="CE49">
        <v>792.77</v>
      </c>
      <c r="CF49">
        <v>645</v>
      </c>
      <c r="CG49">
        <v>7323.86</v>
      </c>
      <c r="CH49">
        <v>793.94</v>
      </c>
      <c r="CI49">
        <v>-1.17</v>
      </c>
      <c r="CW49">
        <f t="shared" si="88"/>
        <v>1800.2</v>
      </c>
      <c r="CX49">
        <f t="shared" si="89"/>
        <v>1513.356300006601</v>
      </c>
      <c r="CY49">
        <f t="shared" si="90"/>
        <v>0.84066009332663094</v>
      </c>
      <c r="CZ49">
        <f t="shared" si="91"/>
        <v>0.16087398012039764</v>
      </c>
      <c r="DA49">
        <v>6</v>
      </c>
      <c r="DB49">
        <v>0.5</v>
      </c>
      <c r="DC49" t="s">
        <v>415</v>
      </c>
      <c r="DD49">
        <v>2</v>
      </c>
      <c r="DE49">
        <v>1691170894.5999999</v>
      </c>
      <c r="DF49">
        <v>57.502099999999999</v>
      </c>
      <c r="DG49">
        <v>69.995599999999996</v>
      </c>
      <c r="DH49">
        <v>26.728999999999999</v>
      </c>
      <c r="DI49">
        <v>18.909500000000001</v>
      </c>
      <c r="DJ49">
        <v>57.892699999999998</v>
      </c>
      <c r="DK49">
        <v>26.3612</v>
      </c>
      <c r="DL49">
        <v>500.137</v>
      </c>
      <c r="DM49">
        <v>99.114900000000006</v>
      </c>
      <c r="DN49">
        <v>0.100124</v>
      </c>
      <c r="DO49">
        <v>30.503399999999999</v>
      </c>
      <c r="DP49">
        <v>30.0441</v>
      </c>
      <c r="DQ49">
        <v>999.9</v>
      </c>
      <c r="DR49">
        <v>0</v>
      </c>
      <c r="DS49">
        <v>0</v>
      </c>
      <c r="DT49">
        <v>9965</v>
      </c>
      <c r="DU49">
        <v>0</v>
      </c>
      <c r="DV49">
        <v>1610.8</v>
      </c>
      <c r="DW49">
        <v>-12.493499999999999</v>
      </c>
      <c r="DX49">
        <v>59.081299999999999</v>
      </c>
      <c r="DY49">
        <v>71.344700000000003</v>
      </c>
      <c r="DZ49">
        <v>7.8195399999999999</v>
      </c>
      <c r="EA49">
        <v>69.995599999999996</v>
      </c>
      <c r="EB49">
        <v>18.909500000000001</v>
      </c>
      <c r="EC49">
        <v>2.6492399999999998</v>
      </c>
      <c r="ED49">
        <v>1.8742099999999999</v>
      </c>
      <c r="EE49">
        <v>21.973600000000001</v>
      </c>
      <c r="EF49">
        <v>16.419799999999999</v>
      </c>
      <c r="EG49">
        <v>1800.2</v>
      </c>
      <c r="EH49">
        <v>0.97799499999999995</v>
      </c>
      <c r="EI49">
        <v>2.2004900000000001E-2</v>
      </c>
      <c r="EJ49">
        <v>0</v>
      </c>
      <c r="EK49">
        <v>736.02499999999998</v>
      </c>
      <c r="EL49">
        <v>9.9989999999999996E-2</v>
      </c>
      <c r="EM49">
        <v>14338.8</v>
      </c>
      <c r="EN49">
        <v>16707.099999999999</v>
      </c>
      <c r="EO49">
        <v>48.375</v>
      </c>
      <c r="EP49">
        <v>49.811999999999998</v>
      </c>
      <c r="EQ49">
        <v>49.25</v>
      </c>
      <c r="ER49">
        <v>48.811999999999998</v>
      </c>
      <c r="ES49">
        <v>49.436999999999998</v>
      </c>
      <c r="ET49">
        <v>1760.49</v>
      </c>
      <c r="EU49">
        <v>39.61</v>
      </c>
      <c r="EV49">
        <v>0</v>
      </c>
      <c r="EW49">
        <v>135</v>
      </c>
      <c r="EX49">
        <v>0</v>
      </c>
      <c r="EY49">
        <v>735.45659999999998</v>
      </c>
      <c r="EZ49">
        <v>-1.782307655344453</v>
      </c>
      <c r="FA49">
        <v>506.99999916740558</v>
      </c>
      <c r="FB49">
        <v>14295.932000000001</v>
      </c>
      <c r="FC49">
        <v>15</v>
      </c>
      <c r="FD49">
        <v>1691170858.5999999</v>
      </c>
      <c r="FE49" t="s">
        <v>591</v>
      </c>
      <c r="FF49">
        <v>1691170854.5999999</v>
      </c>
      <c r="FG49">
        <v>1691170858.5999999</v>
      </c>
      <c r="FH49">
        <v>54</v>
      </c>
      <c r="FI49">
        <v>-6.0000000000000001E-3</v>
      </c>
      <c r="FJ49">
        <v>-3.0000000000000001E-3</v>
      </c>
      <c r="FK49">
        <v>-0.40799999999999997</v>
      </c>
      <c r="FL49">
        <v>0.111</v>
      </c>
      <c r="FM49">
        <v>70</v>
      </c>
      <c r="FN49">
        <v>19</v>
      </c>
      <c r="FO49">
        <v>0.39</v>
      </c>
      <c r="FP49">
        <v>0.02</v>
      </c>
      <c r="FQ49">
        <v>9.9899946360292589</v>
      </c>
      <c r="FR49">
        <v>-0.1706079750110826</v>
      </c>
      <c r="FS49">
        <v>0.16701897741160371</v>
      </c>
      <c r="FT49">
        <v>1</v>
      </c>
      <c r="FU49">
        <v>0.43055320364013427</v>
      </c>
      <c r="FV49">
        <v>-3.1435926057134279E-2</v>
      </c>
      <c r="FW49">
        <v>3.2283186391444999E-3</v>
      </c>
      <c r="FX49">
        <v>1</v>
      </c>
      <c r="FY49">
        <v>2</v>
      </c>
      <c r="FZ49">
        <v>2</v>
      </c>
      <c r="GA49" t="s">
        <v>416</v>
      </c>
      <c r="GB49">
        <v>2.9684599999999999</v>
      </c>
      <c r="GC49">
        <v>2.8115100000000002</v>
      </c>
      <c r="GD49">
        <v>1.6578699999999998E-2</v>
      </c>
      <c r="GE49">
        <v>1.9746699999999999E-2</v>
      </c>
      <c r="GF49">
        <v>0.12762000000000001</v>
      </c>
      <c r="GG49">
        <v>9.9560399999999993E-2</v>
      </c>
      <c r="GH49">
        <v>28980.9</v>
      </c>
      <c r="GI49">
        <v>26653.9</v>
      </c>
      <c r="GJ49">
        <v>26495.1</v>
      </c>
      <c r="GK49">
        <v>25663.599999999999</v>
      </c>
      <c r="GL49">
        <v>31450.7</v>
      </c>
      <c r="GM49">
        <v>32615.4</v>
      </c>
      <c r="GN49">
        <v>37504</v>
      </c>
      <c r="GO49">
        <v>38046.1</v>
      </c>
      <c r="GP49">
        <v>1.9386000000000001</v>
      </c>
      <c r="GQ49">
        <v>1.8576999999999999</v>
      </c>
      <c r="GR49">
        <v>5.1260000000000003E-3</v>
      </c>
      <c r="GS49">
        <v>0</v>
      </c>
      <c r="GT49">
        <v>29.960599999999999</v>
      </c>
      <c r="GU49">
        <v>999.9</v>
      </c>
      <c r="GV49">
        <v>26.6</v>
      </c>
      <c r="GW49">
        <v>47.9</v>
      </c>
      <c r="GX49">
        <v>29.992699999999999</v>
      </c>
      <c r="GY49">
        <v>61.442999999999998</v>
      </c>
      <c r="GZ49">
        <v>13.7941</v>
      </c>
      <c r="HA49">
        <v>1</v>
      </c>
      <c r="HB49">
        <v>0.514177</v>
      </c>
      <c r="HC49">
        <v>3.59233</v>
      </c>
      <c r="HD49">
        <v>20.209299999999999</v>
      </c>
      <c r="HE49">
        <v>5.2053099999999999</v>
      </c>
      <c r="HF49">
        <v>11.9381</v>
      </c>
      <c r="HG49">
        <v>4.9871999999999996</v>
      </c>
      <c r="HH49">
        <v>3.2909999999999999</v>
      </c>
      <c r="HI49">
        <v>9999</v>
      </c>
      <c r="HJ49">
        <v>9999</v>
      </c>
      <c r="HK49">
        <v>9999</v>
      </c>
      <c r="HL49">
        <v>999.9</v>
      </c>
      <c r="HM49">
        <v>1.8711899999999999</v>
      </c>
      <c r="HN49">
        <v>1.87717</v>
      </c>
      <c r="HO49">
        <v>1.875</v>
      </c>
      <c r="HP49">
        <v>1.8731800000000001</v>
      </c>
      <c r="HQ49">
        <v>1.8737600000000001</v>
      </c>
      <c r="HR49">
        <v>1.8710599999999999</v>
      </c>
      <c r="HS49">
        <v>1.8769499999999999</v>
      </c>
      <c r="HT49">
        <v>1.87616</v>
      </c>
      <c r="HU49">
        <v>5</v>
      </c>
      <c r="HV49">
        <v>0</v>
      </c>
      <c r="HW49">
        <v>0</v>
      </c>
      <c r="HX49">
        <v>0</v>
      </c>
      <c r="HY49" t="s">
        <v>417</v>
      </c>
      <c r="HZ49" t="s">
        <v>418</v>
      </c>
      <c r="IA49" t="s">
        <v>419</v>
      </c>
      <c r="IB49" t="s">
        <v>420</v>
      </c>
      <c r="IC49" t="s">
        <v>420</v>
      </c>
      <c r="ID49" t="s">
        <v>419</v>
      </c>
      <c r="IE49">
        <v>0</v>
      </c>
      <c r="IF49">
        <v>100</v>
      </c>
      <c r="IG49">
        <v>100</v>
      </c>
      <c r="IH49">
        <v>-0.39100000000000001</v>
      </c>
      <c r="II49">
        <v>0.36780000000000002</v>
      </c>
      <c r="IJ49">
        <v>-0.30203210214935949</v>
      </c>
      <c r="IK49">
        <v>-1.615681629159814E-3</v>
      </c>
      <c r="IL49">
        <v>1.5005605225991581E-6</v>
      </c>
      <c r="IM49">
        <v>-5.1143626075267638E-10</v>
      </c>
      <c r="IN49">
        <v>-0.17593788353418541</v>
      </c>
      <c r="IO49">
        <v>-1.7182111142928099E-3</v>
      </c>
      <c r="IP49">
        <v>9.9985895407488957E-4</v>
      </c>
      <c r="IQ49">
        <v>-5.7750407166627208E-6</v>
      </c>
      <c r="IR49">
        <v>3</v>
      </c>
      <c r="IS49">
        <v>2181</v>
      </c>
      <c r="IT49">
        <v>2</v>
      </c>
      <c r="IU49">
        <v>42</v>
      </c>
      <c r="IV49">
        <v>0.7</v>
      </c>
      <c r="IW49">
        <v>0.6</v>
      </c>
      <c r="IX49">
        <v>0.28198200000000001</v>
      </c>
      <c r="IY49">
        <v>2.5903299999999998</v>
      </c>
      <c r="IZ49">
        <v>1.5991200000000001</v>
      </c>
      <c r="JA49">
        <v>2.2705099999999998</v>
      </c>
      <c r="JB49">
        <v>1.5502899999999999</v>
      </c>
      <c r="JC49">
        <v>2.35229</v>
      </c>
      <c r="JD49">
        <v>50.477499999999999</v>
      </c>
      <c r="JE49">
        <v>23.921099999999999</v>
      </c>
      <c r="JF49">
        <v>18</v>
      </c>
      <c r="JG49">
        <v>504.73899999999998</v>
      </c>
      <c r="JH49">
        <v>423.45699999999999</v>
      </c>
      <c r="JI49">
        <v>25.425699999999999</v>
      </c>
      <c r="JJ49">
        <v>33.738300000000002</v>
      </c>
      <c r="JK49">
        <v>30</v>
      </c>
      <c r="JL49">
        <v>33.826000000000001</v>
      </c>
      <c r="JM49">
        <v>33.810299999999998</v>
      </c>
      <c r="JN49">
        <v>5.6939200000000003</v>
      </c>
      <c r="JO49">
        <v>40.349600000000002</v>
      </c>
      <c r="JP49">
        <v>0</v>
      </c>
      <c r="JQ49">
        <v>25.3919</v>
      </c>
      <c r="JR49">
        <v>70</v>
      </c>
      <c r="JS49">
        <v>18.809699999999999</v>
      </c>
      <c r="JT49">
        <v>98.916700000000006</v>
      </c>
      <c r="JU49">
        <v>98.752099999999999</v>
      </c>
    </row>
    <row r="50" spans="1:281" x14ac:dyDescent="0.25">
      <c r="A50">
        <v>34</v>
      </c>
      <c r="B50">
        <v>1691171035.0999999</v>
      </c>
      <c r="C50">
        <v>11304.5</v>
      </c>
      <c r="D50" t="s">
        <v>592</v>
      </c>
      <c r="E50" t="s">
        <v>593</v>
      </c>
      <c r="F50" t="s">
        <v>411</v>
      </c>
      <c r="G50" t="s">
        <v>567</v>
      </c>
      <c r="H50" t="s">
        <v>568</v>
      </c>
      <c r="I50" t="s">
        <v>413</v>
      </c>
      <c r="J50">
        <v>1691171035.0999999</v>
      </c>
      <c r="K50">
        <f t="shared" si="46"/>
        <v>7.9488557477173753E-3</v>
      </c>
      <c r="L50">
        <f t="shared" si="47"/>
        <v>7.948855747717376</v>
      </c>
      <c r="M50">
        <f t="shared" si="48"/>
        <v>4.7254721766085561</v>
      </c>
      <c r="N50">
        <f t="shared" si="49"/>
        <v>24.130700000000001</v>
      </c>
      <c r="O50">
        <f t="shared" si="50"/>
        <v>7.9038675038634212</v>
      </c>
      <c r="P50">
        <f t="shared" si="51"/>
        <v>0.7841511877639229</v>
      </c>
      <c r="Q50">
        <f t="shared" si="52"/>
        <v>2.3940326754371499</v>
      </c>
      <c r="R50">
        <f t="shared" si="53"/>
        <v>0.51872190167502863</v>
      </c>
      <c r="S50">
        <f t="shared" si="54"/>
        <v>2.9165351121853429</v>
      </c>
      <c r="T50">
        <f t="shared" si="55"/>
        <v>0.47238783801841211</v>
      </c>
      <c r="U50">
        <f t="shared" si="56"/>
        <v>0.29905967512626463</v>
      </c>
      <c r="V50">
        <f t="shared" si="57"/>
        <v>289.56964801273813</v>
      </c>
      <c r="W50">
        <f t="shared" si="58"/>
        <v>30.169712723171042</v>
      </c>
      <c r="X50">
        <f t="shared" si="59"/>
        <v>30.068100000000001</v>
      </c>
      <c r="Y50">
        <f t="shared" si="60"/>
        <v>4.2771434154110226</v>
      </c>
      <c r="Z50">
        <f t="shared" si="61"/>
        <v>60.706401369061901</v>
      </c>
      <c r="AA50">
        <f t="shared" si="62"/>
        <v>2.6661388894683</v>
      </c>
      <c r="AB50">
        <f t="shared" si="63"/>
        <v>4.3918579084594818</v>
      </c>
      <c r="AC50">
        <f t="shared" si="64"/>
        <v>1.6110045259427226</v>
      </c>
      <c r="AD50">
        <f t="shared" si="65"/>
        <v>-350.54453847433626</v>
      </c>
      <c r="AE50">
        <f t="shared" si="66"/>
        <v>72.611696079085348</v>
      </c>
      <c r="AF50">
        <f t="shared" si="67"/>
        <v>5.5521829317178408</v>
      </c>
      <c r="AG50">
        <f t="shared" si="68"/>
        <v>17.188988549205035</v>
      </c>
      <c r="AH50">
        <v>0</v>
      </c>
      <c r="AI50">
        <v>0</v>
      </c>
      <c r="AJ50">
        <f t="shared" si="69"/>
        <v>1</v>
      </c>
      <c r="AK50">
        <f t="shared" si="70"/>
        <v>0</v>
      </c>
      <c r="AL50">
        <f t="shared" si="71"/>
        <v>51872.286702352758</v>
      </c>
      <c r="AM50" t="s">
        <v>414</v>
      </c>
      <c r="AN50">
        <v>7361.72</v>
      </c>
      <c r="AO50">
        <v>541.39076923076925</v>
      </c>
      <c r="AP50">
        <v>2141.9899999999998</v>
      </c>
      <c r="AQ50">
        <f t="shared" si="72"/>
        <v>0.74724869433061347</v>
      </c>
      <c r="AR50">
        <v>-0.96077199609010144</v>
      </c>
      <c r="AS50" t="s">
        <v>594</v>
      </c>
      <c r="AT50">
        <v>7331.84</v>
      </c>
      <c r="AU50">
        <v>741.95099999999979</v>
      </c>
      <c r="AV50">
        <v>798.49041720216655</v>
      </c>
      <c r="AW50">
        <f t="shared" si="73"/>
        <v>7.0807884458119696E-2</v>
      </c>
      <c r="AX50">
        <v>0.5</v>
      </c>
      <c r="AY50">
        <f t="shared" si="74"/>
        <v>1513.1712000066002</v>
      </c>
      <c r="AZ50">
        <f t="shared" si="75"/>
        <v>4.7254721766085561</v>
      </c>
      <c r="BA50">
        <f t="shared" si="76"/>
        <v>53.572225747710839</v>
      </c>
      <c r="BB50">
        <f t="shared" si="77"/>
        <v>3.7578326713288324E-3</v>
      </c>
      <c r="BC50">
        <f t="shared" si="78"/>
        <v>1.6825494130603673</v>
      </c>
      <c r="BD50">
        <f t="shared" si="79"/>
        <v>379.85229152453826</v>
      </c>
      <c r="BE50" t="s">
        <v>595</v>
      </c>
      <c r="BF50">
        <v>611.74</v>
      </c>
      <c r="BG50">
        <f t="shared" si="80"/>
        <v>611.74</v>
      </c>
      <c r="BH50">
        <f t="shared" si="81"/>
        <v>0.23387934680108247</v>
      </c>
      <c r="BI50">
        <f t="shared" si="82"/>
        <v>0.30275390036189342</v>
      </c>
      <c r="BJ50">
        <f t="shared" si="83"/>
        <v>0.87796084482786041</v>
      </c>
      <c r="BK50">
        <f t="shared" si="84"/>
        <v>0.21991246447936347</v>
      </c>
      <c r="BL50">
        <f t="shared" si="85"/>
        <v>0.83937287796406235</v>
      </c>
      <c r="BM50">
        <f t="shared" si="86"/>
        <v>0.24962116232390649</v>
      </c>
      <c r="BN50">
        <f t="shared" si="87"/>
        <v>0.75037883767609348</v>
      </c>
      <c r="BO50">
        <v>1497</v>
      </c>
      <c r="BP50">
        <v>290.00000000000011</v>
      </c>
      <c r="BQ50">
        <v>780.37</v>
      </c>
      <c r="BR50">
        <v>185</v>
      </c>
      <c r="BS50">
        <v>7331.84</v>
      </c>
      <c r="BT50">
        <v>780.59</v>
      </c>
      <c r="BU50">
        <v>-0.22</v>
      </c>
      <c r="BV50">
        <v>300.00000000000011</v>
      </c>
      <c r="BW50">
        <v>37.9</v>
      </c>
      <c r="BX50">
        <v>798.49041720216655</v>
      </c>
      <c r="BY50">
        <v>0.92257560055170884</v>
      </c>
      <c r="BZ50">
        <v>-13.124731683589561</v>
      </c>
      <c r="CA50">
        <v>0.56659249045523652</v>
      </c>
      <c r="CB50">
        <v>0.95040612762758492</v>
      </c>
      <c r="CC50">
        <v>-7.2175773081201372E-3</v>
      </c>
      <c r="CD50">
        <v>289.99999999999989</v>
      </c>
      <c r="CE50">
        <v>779.61</v>
      </c>
      <c r="CF50">
        <v>625</v>
      </c>
      <c r="CG50">
        <v>7322.3</v>
      </c>
      <c r="CH50">
        <v>780.57</v>
      </c>
      <c r="CI50">
        <v>-0.96</v>
      </c>
      <c r="CW50">
        <f t="shared" si="88"/>
        <v>1799.98</v>
      </c>
      <c r="CX50">
        <f t="shared" si="89"/>
        <v>1513.1712000066002</v>
      </c>
      <c r="CY50">
        <f t="shared" si="90"/>
        <v>0.84066000733708157</v>
      </c>
      <c r="CZ50">
        <f t="shared" si="91"/>
        <v>0.16087381416056742</v>
      </c>
      <c r="DA50">
        <v>6</v>
      </c>
      <c r="DB50">
        <v>0.5</v>
      </c>
      <c r="DC50" t="s">
        <v>415</v>
      </c>
      <c r="DD50">
        <v>2</v>
      </c>
      <c r="DE50">
        <v>1691171035.0999999</v>
      </c>
      <c r="DF50">
        <v>24.130700000000001</v>
      </c>
      <c r="DG50">
        <v>30.031700000000001</v>
      </c>
      <c r="DH50">
        <v>26.8734</v>
      </c>
      <c r="DI50">
        <v>17.590699999999998</v>
      </c>
      <c r="DJ50">
        <v>24.6021</v>
      </c>
      <c r="DK50">
        <v>26.499400000000001</v>
      </c>
      <c r="DL50">
        <v>499.97800000000001</v>
      </c>
      <c r="DM50">
        <v>99.1113</v>
      </c>
      <c r="DN50">
        <v>9.9774500000000002E-2</v>
      </c>
      <c r="DO50">
        <v>30.529900000000001</v>
      </c>
      <c r="DP50">
        <v>30.068100000000001</v>
      </c>
      <c r="DQ50">
        <v>999.9</v>
      </c>
      <c r="DR50">
        <v>0</v>
      </c>
      <c r="DS50">
        <v>0</v>
      </c>
      <c r="DT50">
        <v>10015</v>
      </c>
      <c r="DU50">
        <v>0</v>
      </c>
      <c r="DV50">
        <v>1810.24</v>
      </c>
      <c r="DW50">
        <v>-5.9010199999999999</v>
      </c>
      <c r="DX50">
        <v>24.7971</v>
      </c>
      <c r="DY50">
        <v>30.569500000000001</v>
      </c>
      <c r="DZ50">
        <v>9.2827000000000002</v>
      </c>
      <c r="EA50">
        <v>30.031700000000001</v>
      </c>
      <c r="EB50">
        <v>17.590699999999998</v>
      </c>
      <c r="EC50">
        <v>2.6634600000000002</v>
      </c>
      <c r="ED50">
        <v>1.7434400000000001</v>
      </c>
      <c r="EE50">
        <v>22.061399999999999</v>
      </c>
      <c r="EF50">
        <v>15.2887</v>
      </c>
      <c r="EG50">
        <v>1799.98</v>
      </c>
      <c r="EH50">
        <v>0.97799899999999995</v>
      </c>
      <c r="EI50">
        <v>2.2001400000000001E-2</v>
      </c>
      <c r="EJ50">
        <v>0</v>
      </c>
      <c r="EK50">
        <v>741.53</v>
      </c>
      <c r="EL50">
        <v>9.9989999999999996E-2</v>
      </c>
      <c r="EM50">
        <v>14562.8</v>
      </c>
      <c r="EN50">
        <v>16705.099999999999</v>
      </c>
      <c r="EO50">
        <v>49.186999999999998</v>
      </c>
      <c r="EP50">
        <v>51</v>
      </c>
      <c r="EQ50">
        <v>50.125</v>
      </c>
      <c r="ER50">
        <v>49.875</v>
      </c>
      <c r="ES50">
        <v>50.25</v>
      </c>
      <c r="ET50">
        <v>1760.28</v>
      </c>
      <c r="EU50">
        <v>39.6</v>
      </c>
      <c r="EV50">
        <v>0</v>
      </c>
      <c r="EW50">
        <v>138.20000004768369</v>
      </c>
      <c r="EX50">
        <v>0</v>
      </c>
      <c r="EY50">
        <v>741.95099999999979</v>
      </c>
      <c r="EZ50">
        <v>-2.1826922141589749</v>
      </c>
      <c r="FA50">
        <v>34.123076808760487</v>
      </c>
      <c r="FB50">
        <v>14556.82</v>
      </c>
      <c r="FC50">
        <v>15</v>
      </c>
      <c r="FD50">
        <v>1691171005.5999999</v>
      </c>
      <c r="FE50" t="s">
        <v>596</v>
      </c>
      <c r="FF50">
        <v>1691171005.0999999</v>
      </c>
      <c r="FG50">
        <v>1691171005.5999999</v>
      </c>
      <c r="FH50">
        <v>55</v>
      </c>
      <c r="FI50">
        <v>-0.13</v>
      </c>
      <c r="FJ50">
        <v>1E-3</v>
      </c>
      <c r="FK50">
        <v>-0.48</v>
      </c>
      <c r="FL50">
        <v>9.4E-2</v>
      </c>
      <c r="FM50">
        <v>30</v>
      </c>
      <c r="FN50">
        <v>18</v>
      </c>
      <c r="FO50">
        <v>0.94</v>
      </c>
      <c r="FP50">
        <v>0.02</v>
      </c>
      <c r="FQ50">
        <v>4.8590680666148742</v>
      </c>
      <c r="FR50">
        <v>-0.43447476940802932</v>
      </c>
      <c r="FS50">
        <v>7.3264131820437214E-2</v>
      </c>
      <c r="FT50">
        <v>1</v>
      </c>
      <c r="FU50">
        <v>0.52602907858318615</v>
      </c>
      <c r="FV50">
        <v>3.0609589280402121E-2</v>
      </c>
      <c r="FW50">
        <v>3.380233136665745E-3</v>
      </c>
      <c r="FX50">
        <v>1</v>
      </c>
      <c r="FY50">
        <v>2</v>
      </c>
      <c r="FZ50">
        <v>2</v>
      </c>
      <c r="GA50" t="s">
        <v>416</v>
      </c>
      <c r="GB50">
        <v>2.9678599999999999</v>
      </c>
      <c r="GC50">
        <v>2.8115999999999999</v>
      </c>
      <c r="GD50">
        <v>7.0722700000000003E-3</v>
      </c>
      <c r="GE50">
        <v>8.5211899999999997E-3</v>
      </c>
      <c r="GF50">
        <v>0.128052</v>
      </c>
      <c r="GG50">
        <v>9.4478400000000004E-2</v>
      </c>
      <c r="GH50">
        <v>29250.3</v>
      </c>
      <c r="GI50">
        <v>26945.599999999999</v>
      </c>
      <c r="GJ50">
        <v>26486.3</v>
      </c>
      <c r="GK50">
        <v>25652</v>
      </c>
      <c r="GL50">
        <v>31425.200000000001</v>
      </c>
      <c r="GM50">
        <v>32784.400000000001</v>
      </c>
      <c r="GN50">
        <v>37491</v>
      </c>
      <c r="GO50">
        <v>38029.199999999997</v>
      </c>
      <c r="GP50">
        <v>1.9374</v>
      </c>
      <c r="GQ50">
        <v>1.8526</v>
      </c>
      <c r="GR50">
        <v>-3.63886E-2</v>
      </c>
      <c r="GS50">
        <v>0</v>
      </c>
      <c r="GT50">
        <v>30.6599</v>
      </c>
      <c r="GU50">
        <v>999.9</v>
      </c>
      <c r="GV50">
        <v>26.6</v>
      </c>
      <c r="GW50">
        <v>47.8</v>
      </c>
      <c r="GX50">
        <v>29.8474</v>
      </c>
      <c r="GY50">
        <v>61.652999999999999</v>
      </c>
      <c r="GZ50">
        <v>14.4511</v>
      </c>
      <c r="HA50">
        <v>1</v>
      </c>
      <c r="HB50">
        <v>0.54046799999999995</v>
      </c>
      <c r="HC50">
        <v>4.65001</v>
      </c>
      <c r="HD50">
        <v>20.183700000000002</v>
      </c>
      <c r="HE50">
        <v>5.2095000000000002</v>
      </c>
      <c r="HF50">
        <v>11.9381</v>
      </c>
      <c r="HG50">
        <v>4.9874000000000001</v>
      </c>
      <c r="HH50">
        <v>3.2907999999999999</v>
      </c>
      <c r="HI50">
        <v>9999</v>
      </c>
      <c r="HJ50">
        <v>9999</v>
      </c>
      <c r="HK50">
        <v>9999</v>
      </c>
      <c r="HL50">
        <v>999.9</v>
      </c>
      <c r="HM50">
        <v>1.8712899999999999</v>
      </c>
      <c r="HN50">
        <v>1.8771899999999999</v>
      </c>
      <c r="HO50">
        <v>1.875</v>
      </c>
      <c r="HP50">
        <v>1.8732200000000001</v>
      </c>
      <c r="HQ50">
        <v>1.87378</v>
      </c>
      <c r="HR50">
        <v>1.8711599999999999</v>
      </c>
      <c r="HS50">
        <v>1.8769800000000001</v>
      </c>
      <c r="HT50">
        <v>1.8761699999999999</v>
      </c>
      <c r="HU50">
        <v>5</v>
      </c>
      <c r="HV50">
        <v>0</v>
      </c>
      <c r="HW50">
        <v>0</v>
      </c>
      <c r="HX50">
        <v>0</v>
      </c>
      <c r="HY50" t="s">
        <v>417</v>
      </c>
      <c r="HZ50" t="s">
        <v>418</v>
      </c>
      <c r="IA50" t="s">
        <v>419</v>
      </c>
      <c r="IB50" t="s">
        <v>420</v>
      </c>
      <c r="IC50" t="s">
        <v>420</v>
      </c>
      <c r="ID50" t="s">
        <v>419</v>
      </c>
      <c r="IE50">
        <v>0</v>
      </c>
      <c r="IF50">
        <v>100</v>
      </c>
      <c r="IG50">
        <v>100</v>
      </c>
      <c r="IH50">
        <v>-0.47099999999999997</v>
      </c>
      <c r="II50">
        <v>0.374</v>
      </c>
      <c r="IJ50">
        <v>-0.43250560979180869</v>
      </c>
      <c r="IK50">
        <v>-1.615681629159814E-3</v>
      </c>
      <c r="IL50">
        <v>1.5005605225991581E-6</v>
      </c>
      <c r="IM50">
        <v>-5.1143626075267638E-10</v>
      </c>
      <c r="IN50">
        <v>-0.17506194599783079</v>
      </c>
      <c r="IO50">
        <v>-1.7182111142928099E-3</v>
      </c>
      <c r="IP50">
        <v>9.9985895407488957E-4</v>
      </c>
      <c r="IQ50">
        <v>-5.7750407166627208E-6</v>
      </c>
      <c r="IR50">
        <v>3</v>
      </c>
      <c r="IS50">
        <v>2181</v>
      </c>
      <c r="IT50">
        <v>2</v>
      </c>
      <c r="IU50">
        <v>42</v>
      </c>
      <c r="IV50">
        <v>0.5</v>
      </c>
      <c r="IW50">
        <v>0.5</v>
      </c>
      <c r="IX50">
        <v>0.19897500000000001</v>
      </c>
      <c r="IY50">
        <v>2.6184099999999999</v>
      </c>
      <c r="IZ50">
        <v>1.5991200000000001</v>
      </c>
      <c r="JA50">
        <v>2.2705099999999998</v>
      </c>
      <c r="JB50">
        <v>1.5502899999999999</v>
      </c>
      <c r="JC50">
        <v>2.3059099999999999</v>
      </c>
      <c r="JD50">
        <v>50.542499999999997</v>
      </c>
      <c r="JE50">
        <v>23.912400000000002</v>
      </c>
      <c r="JF50">
        <v>18</v>
      </c>
      <c r="JG50">
        <v>504.83</v>
      </c>
      <c r="JH50">
        <v>421.15199999999999</v>
      </c>
      <c r="JI50">
        <v>24.720700000000001</v>
      </c>
      <c r="JJ50">
        <v>33.963900000000002</v>
      </c>
      <c r="JK50">
        <v>30.004200000000001</v>
      </c>
      <c r="JL50">
        <v>33.938600000000001</v>
      </c>
      <c r="JM50">
        <v>33.915700000000001</v>
      </c>
      <c r="JN50">
        <v>4.0330899999999996</v>
      </c>
      <c r="JO50">
        <v>45.297699999999999</v>
      </c>
      <c r="JP50">
        <v>0</v>
      </c>
      <c r="JQ50">
        <v>24.670200000000001</v>
      </c>
      <c r="JR50">
        <v>30</v>
      </c>
      <c r="JS50">
        <v>17.481100000000001</v>
      </c>
      <c r="JT50">
        <v>98.882999999999996</v>
      </c>
      <c r="JU50">
        <v>98.707899999999995</v>
      </c>
    </row>
    <row r="51" spans="1:281" x14ac:dyDescent="0.25">
      <c r="A51">
        <v>35</v>
      </c>
      <c r="B51">
        <v>1691171152.5999999</v>
      </c>
      <c r="C51">
        <v>11422</v>
      </c>
      <c r="D51" t="s">
        <v>597</v>
      </c>
      <c r="E51" t="s">
        <v>598</v>
      </c>
      <c r="F51" t="s">
        <v>411</v>
      </c>
      <c r="G51" t="s">
        <v>567</v>
      </c>
      <c r="H51" t="s">
        <v>568</v>
      </c>
      <c r="I51" t="s">
        <v>413</v>
      </c>
      <c r="J51">
        <v>1691171152.5999999</v>
      </c>
      <c r="K51">
        <f t="shared" si="46"/>
        <v>8.1695490387791985E-3</v>
      </c>
      <c r="L51">
        <f t="shared" si="47"/>
        <v>8.1695490387791985</v>
      </c>
      <c r="M51">
        <f t="shared" si="48"/>
        <v>1.6864550491259358</v>
      </c>
      <c r="N51">
        <f t="shared" si="49"/>
        <v>7.9543999999999997</v>
      </c>
      <c r="O51">
        <f t="shared" si="50"/>
        <v>2.4067843098121755</v>
      </c>
      <c r="P51">
        <f t="shared" si="51"/>
        <v>0.23878102331630266</v>
      </c>
      <c r="Q51">
        <f t="shared" si="52"/>
        <v>0.7891690851248</v>
      </c>
      <c r="R51">
        <f t="shared" si="53"/>
        <v>0.54237790251478646</v>
      </c>
      <c r="S51">
        <f t="shared" si="54"/>
        <v>2.9191566641119544</v>
      </c>
      <c r="T51">
        <f t="shared" si="55"/>
        <v>0.49198193407967161</v>
      </c>
      <c r="U51">
        <f t="shared" si="56"/>
        <v>0.31162543466071008</v>
      </c>
      <c r="V51">
        <f t="shared" si="57"/>
        <v>289.60795201273646</v>
      </c>
      <c r="W51">
        <f t="shared" si="58"/>
        <v>30.060080082164532</v>
      </c>
      <c r="X51">
        <f t="shared" si="59"/>
        <v>29.967600000000001</v>
      </c>
      <c r="Y51">
        <f t="shared" si="60"/>
        <v>4.2525273768519289</v>
      </c>
      <c r="Z51">
        <f t="shared" si="61"/>
        <v>60.806497426443563</v>
      </c>
      <c r="AA51">
        <f t="shared" si="62"/>
        <v>2.6624932305329998</v>
      </c>
      <c r="AB51">
        <f t="shared" si="63"/>
        <v>4.3786327830406053</v>
      </c>
      <c r="AC51">
        <f t="shared" si="64"/>
        <v>1.5900341463189291</v>
      </c>
      <c r="AD51">
        <f t="shared" si="65"/>
        <v>-360.27711261016265</v>
      </c>
      <c r="AE51">
        <f t="shared" si="66"/>
        <v>80.199611748927481</v>
      </c>
      <c r="AF51">
        <f t="shared" si="67"/>
        <v>6.1222381562488364</v>
      </c>
      <c r="AG51">
        <f t="shared" si="68"/>
        <v>15.652689307750137</v>
      </c>
      <c r="AH51">
        <v>0</v>
      </c>
      <c r="AI51">
        <v>0</v>
      </c>
      <c r="AJ51">
        <f t="shared" si="69"/>
        <v>1</v>
      </c>
      <c r="AK51">
        <f t="shared" si="70"/>
        <v>0</v>
      </c>
      <c r="AL51">
        <f t="shared" si="71"/>
        <v>51955.831959559349</v>
      </c>
      <c r="AM51" t="s">
        <v>414</v>
      </c>
      <c r="AN51">
        <v>7361.72</v>
      </c>
      <c r="AO51">
        <v>541.39076923076925</v>
      </c>
      <c r="AP51">
        <v>2141.9899999999998</v>
      </c>
      <c r="AQ51">
        <f t="shared" si="72"/>
        <v>0.74724869433061347</v>
      </c>
      <c r="AR51">
        <v>-0.96077199609010144</v>
      </c>
      <c r="AS51" t="s">
        <v>599</v>
      </c>
      <c r="AT51">
        <v>7339.12</v>
      </c>
      <c r="AU51">
        <v>748.74692307692305</v>
      </c>
      <c r="AV51">
        <v>794.3700264046164</v>
      </c>
      <c r="AW51">
        <f t="shared" si="73"/>
        <v>5.7433062440922167E-2</v>
      </c>
      <c r="AX51">
        <v>0.5</v>
      </c>
      <c r="AY51">
        <f t="shared" si="74"/>
        <v>1513.3728000065994</v>
      </c>
      <c r="AZ51">
        <f t="shared" si="75"/>
        <v>1.6864550491259358</v>
      </c>
      <c r="BA51">
        <f t="shared" si="76"/>
        <v>43.45881725958612</v>
      </c>
      <c r="BB51">
        <f t="shared" si="77"/>
        <v>1.7492233540899462E-3</v>
      </c>
      <c r="BC51">
        <f t="shared" si="78"/>
        <v>1.6964637748164055</v>
      </c>
      <c r="BD51">
        <f t="shared" si="79"/>
        <v>378.91730566546579</v>
      </c>
      <c r="BE51" t="s">
        <v>600</v>
      </c>
      <c r="BF51">
        <v>624.42999999999995</v>
      </c>
      <c r="BG51">
        <f t="shared" si="80"/>
        <v>624.42999999999995</v>
      </c>
      <c r="BH51">
        <f t="shared" si="81"/>
        <v>0.21393056227685081</v>
      </c>
      <c r="BI51">
        <f t="shared" si="82"/>
        <v>0.26846590701985429</v>
      </c>
      <c r="BJ51">
        <f t="shared" si="83"/>
        <v>0.88801758981218759</v>
      </c>
      <c r="BK51">
        <f t="shared" si="84"/>
        <v>0.18034325753570057</v>
      </c>
      <c r="BL51">
        <f t="shared" si="85"/>
        <v>0.84194715809511655</v>
      </c>
      <c r="BM51">
        <f t="shared" si="86"/>
        <v>0.22389162633418286</v>
      </c>
      <c r="BN51">
        <f t="shared" si="87"/>
        <v>0.7761083736658172</v>
      </c>
      <c r="BO51">
        <v>1499</v>
      </c>
      <c r="BP51">
        <v>290.00000000000011</v>
      </c>
      <c r="BQ51">
        <v>778.15</v>
      </c>
      <c r="BR51">
        <v>95</v>
      </c>
      <c r="BS51">
        <v>7339.12</v>
      </c>
      <c r="BT51">
        <v>777.69</v>
      </c>
      <c r="BU51">
        <v>0.46</v>
      </c>
      <c r="BV51">
        <v>300.00000000000011</v>
      </c>
      <c r="BW51">
        <v>37.9</v>
      </c>
      <c r="BX51">
        <v>794.3700264046164</v>
      </c>
      <c r="BY51">
        <v>0.86106264577092728</v>
      </c>
      <c r="BZ51">
        <v>-12.243828052420451</v>
      </c>
      <c r="CA51">
        <v>0.52876506230670384</v>
      </c>
      <c r="CB51">
        <v>0.95037026776381128</v>
      </c>
      <c r="CC51">
        <v>-7.2172629588431536E-3</v>
      </c>
      <c r="CD51">
        <v>289.99999999999989</v>
      </c>
      <c r="CE51">
        <v>776.58</v>
      </c>
      <c r="CF51">
        <v>715</v>
      </c>
      <c r="CG51">
        <v>7318.27</v>
      </c>
      <c r="CH51">
        <v>777.64</v>
      </c>
      <c r="CI51">
        <v>-1.06</v>
      </c>
      <c r="CW51">
        <f t="shared" si="88"/>
        <v>1800.22</v>
      </c>
      <c r="CX51">
        <f t="shared" si="89"/>
        <v>1513.3728000065994</v>
      </c>
      <c r="CY51">
        <f t="shared" si="90"/>
        <v>0.84065991934685724</v>
      </c>
      <c r="CZ51">
        <f t="shared" si="91"/>
        <v>0.16087364433943432</v>
      </c>
      <c r="DA51">
        <v>6</v>
      </c>
      <c r="DB51">
        <v>0.5</v>
      </c>
      <c r="DC51" t="s">
        <v>415</v>
      </c>
      <c r="DD51">
        <v>2</v>
      </c>
      <c r="DE51">
        <v>1691171152.5999999</v>
      </c>
      <c r="DF51">
        <v>7.9543999999999997</v>
      </c>
      <c r="DG51">
        <v>10.0549</v>
      </c>
      <c r="DH51">
        <v>26.836500000000001</v>
      </c>
      <c r="DI51">
        <v>17.3017</v>
      </c>
      <c r="DJ51">
        <v>8.4828200000000002</v>
      </c>
      <c r="DK51">
        <v>26.469100000000001</v>
      </c>
      <c r="DL51">
        <v>500.29199999999997</v>
      </c>
      <c r="DM51">
        <v>99.111400000000003</v>
      </c>
      <c r="DN51">
        <v>0.100242</v>
      </c>
      <c r="DO51">
        <v>30.4772</v>
      </c>
      <c r="DP51">
        <v>29.967600000000001</v>
      </c>
      <c r="DQ51">
        <v>999.9</v>
      </c>
      <c r="DR51">
        <v>0</v>
      </c>
      <c r="DS51">
        <v>0</v>
      </c>
      <c r="DT51">
        <v>10030</v>
      </c>
      <c r="DU51">
        <v>0</v>
      </c>
      <c r="DV51">
        <v>1843.33</v>
      </c>
      <c r="DW51">
        <v>-2.1004999999999998</v>
      </c>
      <c r="DX51">
        <v>8.1737599999999997</v>
      </c>
      <c r="DY51">
        <v>10.2319</v>
      </c>
      <c r="DZ51">
        <v>9.5348400000000009</v>
      </c>
      <c r="EA51">
        <v>10.0549</v>
      </c>
      <c r="EB51">
        <v>17.3017</v>
      </c>
      <c r="EC51">
        <v>2.6598000000000002</v>
      </c>
      <c r="ED51">
        <v>1.71479</v>
      </c>
      <c r="EE51">
        <v>22.038900000000002</v>
      </c>
      <c r="EF51">
        <v>15.031000000000001</v>
      </c>
      <c r="EG51">
        <v>1800.22</v>
      </c>
      <c r="EH51">
        <v>0.97800200000000004</v>
      </c>
      <c r="EI51">
        <v>2.1997800000000001E-2</v>
      </c>
      <c r="EJ51">
        <v>0</v>
      </c>
      <c r="EK51">
        <v>749.57</v>
      </c>
      <c r="EL51">
        <v>9.9989999999999996E-2</v>
      </c>
      <c r="EM51">
        <v>14710.3</v>
      </c>
      <c r="EN51">
        <v>16707.3</v>
      </c>
      <c r="EO51">
        <v>49.811999999999998</v>
      </c>
      <c r="EP51">
        <v>51.936999999999998</v>
      </c>
      <c r="EQ51">
        <v>50.811999999999998</v>
      </c>
      <c r="ER51">
        <v>50.75</v>
      </c>
      <c r="ES51">
        <v>50.875</v>
      </c>
      <c r="ET51">
        <v>1760.52</v>
      </c>
      <c r="EU51">
        <v>39.6</v>
      </c>
      <c r="EV51">
        <v>0</v>
      </c>
      <c r="EW51">
        <v>115.19999980926509</v>
      </c>
      <c r="EX51">
        <v>0</v>
      </c>
      <c r="EY51">
        <v>748.74692307692305</v>
      </c>
      <c r="EZ51">
        <v>-2.2376068105531131</v>
      </c>
      <c r="FA51">
        <v>101.5145297226731</v>
      </c>
      <c r="FB51">
        <v>14684.65</v>
      </c>
      <c r="FC51">
        <v>15</v>
      </c>
      <c r="FD51">
        <v>1691171119.0999999</v>
      </c>
      <c r="FE51" t="s">
        <v>601</v>
      </c>
      <c r="FF51">
        <v>1691171104.0999999</v>
      </c>
      <c r="FG51">
        <v>1691171119.0999999</v>
      </c>
      <c r="FH51">
        <v>56</v>
      </c>
      <c r="FI51">
        <v>-8.2000000000000003E-2</v>
      </c>
      <c r="FJ51">
        <v>-5.0000000000000001E-3</v>
      </c>
      <c r="FK51">
        <v>-0.53200000000000003</v>
      </c>
      <c r="FL51">
        <v>0.06</v>
      </c>
      <c r="FM51">
        <v>10</v>
      </c>
      <c r="FN51">
        <v>17</v>
      </c>
      <c r="FO51">
        <v>0.68</v>
      </c>
      <c r="FP51">
        <v>0.02</v>
      </c>
      <c r="FQ51">
        <v>1.7302020744279021</v>
      </c>
      <c r="FR51">
        <v>-0.48960312574842457</v>
      </c>
      <c r="FS51">
        <v>5.8996157426486402E-2</v>
      </c>
      <c r="FT51">
        <v>1</v>
      </c>
      <c r="FU51">
        <v>0.54248463401916447</v>
      </c>
      <c r="FV51">
        <v>2.6495388306420928E-2</v>
      </c>
      <c r="FW51">
        <v>2.8483585640778622E-3</v>
      </c>
      <c r="FX51">
        <v>1</v>
      </c>
      <c r="FY51">
        <v>2</v>
      </c>
      <c r="FZ51">
        <v>2</v>
      </c>
      <c r="GA51" t="s">
        <v>416</v>
      </c>
      <c r="GB51">
        <v>2.9684699999999999</v>
      </c>
      <c r="GC51">
        <v>2.8121999999999998</v>
      </c>
      <c r="GD51">
        <v>2.4372E-3</v>
      </c>
      <c r="GE51">
        <v>2.8516599999999998E-3</v>
      </c>
      <c r="GF51">
        <v>0.12789400000000001</v>
      </c>
      <c r="GG51">
        <v>9.3312400000000004E-2</v>
      </c>
      <c r="GH51">
        <v>29377.7</v>
      </c>
      <c r="GI51">
        <v>27087.4</v>
      </c>
      <c r="GJ51">
        <v>26479.1</v>
      </c>
      <c r="GK51">
        <v>25641.7</v>
      </c>
      <c r="GL51">
        <v>31423.200000000001</v>
      </c>
      <c r="GM51">
        <v>32814.9</v>
      </c>
      <c r="GN51">
        <v>37479.800000000003</v>
      </c>
      <c r="GO51">
        <v>38015.800000000003</v>
      </c>
      <c r="GP51">
        <v>1.9341999999999999</v>
      </c>
      <c r="GQ51">
        <v>1.8478000000000001</v>
      </c>
      <c r="GR51">
        <v>-5.8561599999999998E-2</v>
      </c>
      <c r="GS51">
        <v>0</v>
      </c>
      <c r="GT51">
        <v>30.919899999999998</v>
      </c>
      <c r="GU51">
        <v>999.9</v>
      </c>
      <c r="GV51">
        <v>26.5</v>
      </c>
      <c r="GW51">
        <v>47.9</v>
      </c>
      <c r="GX51">
        <v>29.882300000000001</v>
      </c>
      <c r="GY51">
        <v>61.893000000000001</v>
      </c>
      <c r="GZ51">
        <v>13.8782</v>
      </c>
      <c r="HA51">
        <v>1</v>
      </c>
      <c r="HB51">
        <v>0.56385200000000002</v>
      </c>
      <c r="HC51">
        <v>3.8695499999999998</v>
      </c>
      <c r="HD51">
        <v>20.1996</v>
      </c>
      <c r="HE51">
        <v>5.2095000000000002</v>
      </c>
      <c r="HF51">
        <v>11.9381</v>
      </c>
      <c r="HG51">
        <v>4.9871999999999996</v>
      </c>
      <c r="HH51">
        <v>3.2909999999999999</v>
      </c>
      <c r="HI51">
        <v>9999</v>
      </c>
      <c r="HJ51">
        <v>9999</v>
      </c>
      <c r="HK51">
        <v>9999</v>
      </c>
      <c r="HL51">
        <v>999.9</v>
      </c>
      <c r="HM51">
        <v>1.87127</v>
      </c>
      <c r="HN51">
        <v>1.87723</v>
      </c>
      <c r="HO51">
        <v>1.8750199999999999</v>
      </c>
      <c r="HP51">
        <v>1.8732200000000001</v>
      </c>
      <c r="HQ51">
        <v>1.87378</v>
      </c>
      <c r="HR51">
        <v>1.8711899999999999</v>
      </c>
      <c r="HS51">
        <v>1.8769800000000001</v>
      </c>
      <c r="HT51">
        <v>1.87622</v>
      </c>
      <c r="HU51">
        <v>5</v>
      </c>
      <c r="HV51">
        <v>0</v>
      </c>
      <c r="HW51">
        <v>0</v>
      </c>
      <c r="HX51">
        <v>0</v>
      </c>
      <c r="HY51" t="s">
        <v>417</v>
      </c>
      <c r="HZ51" t="s">
        <v>418</v>
      </c>
      <c r="IA51" t="s">
        <v>419</v>
      </c>
      <c r="IB51" t="s">
        <v>420</v>
      </c>
      <c r="IC51" t="s">
        <v>420</v>
      </c>
      <c r="ID51" t="s">
        <v>419</v>
      </c>
      <c r="IE51">
        <v>0</v>
      </c>
      <c r="IF51">
        <v>100</v>
      </c>
      <c r="IG51">
        <v>100</v>
      </c>
      <c r="IH51">
        <v>-0.52800000000000002</v>
      </c>
      <c r="II51">
        <v>0.3674</v>
      </c>
      <c r="IJ51">
        <v>-0.51481754926763212</v>
      </c>
      <c r="IK51">
        <v>-1.615681629159814E-3</v>
      </c>
      <c r="IL51">
        <v>1.5005605225991581E-6</v>
      </c>
      <c r="IM51">
        <v>-5.1143626075267638E-10</v>
      </c>
      <c r="IN51">
        <v>-0.18050101405098151</v>
      </c>
      <c r="IO51">
        <v>-1.7182111142928099E-3</v>
      </c>
      <c r="IP51">
        <v>9.9985895407488957E-4</v>
      </c>
      <c r="IQ51">
        <v>-5.7750407166627208E-6</v>
      </c>
      <c r="IR51">
        <v>3</v>
      </c>
      <c r="IS51">
        <v>2181</v>
      </c>
      <c r="IT51">
        <v>2</v>
      </c>
      <c r="IU51">
        <v>42</v>
      </c>
      <c r="IV51">
        <v>0.8</v>
      </c>
      <c r="IW51">
        <v>0.6</v>
      </c>
      <c r="IX51">
        <v>0.159912</v>
      </c>
      <c r="IY51">
        <v>2.6196299999999999</v>
      </c>
      <c r="IZ51">
        <v>1.5991200000000001</v>
      </c>
      <c r="JA51">
        <v>2.2717299999999998</v>
      </c>
      <c r="JB51">
        <v>1.5502899999999999</v>
      </c>
      <c r="JC51">
        <v>2.4169900000000002</v>
      </c>
      <c r="JD51">
        <v>50.705500000000001</v>
      </c>
      <c r="JE51">
        <v>23.938700000000001</v>
      </c>
      <c r="JF51">
        <v>18</v>
      </c>
      <c r="JG51">
        <v>504.21199999999999</v>
      </c>
      <c r="JH51">
        <v>419.50799999999998</v>
      </c>
      <c r="JI51">
        <v>24.010300000000001</v>
      </c>
      <c r="JJ51">
        <v>34.229599999999998</v>
      </c>
      <c r="JK51">
        <v>30.000699999999998</v>
      </c>
      <c r="JL51">
        <v>34.128599999999999</v>
      </c>
      <c r="JM51">
        <v>34.094000000000001</v>
      </c>
      <c r="JN51">
        <v>3.2449400000000002</v>
      </c>
      <c r="JO51">
        <v>47.3386</v>
      </c>
      <c r="JP51">
        <v>0</v>
      </c>
      <c r="JQ51">
        <v>24.4391</v>
      </c>
      <c r="JR51">
        <v>10</v>
      </c>
      <c r="JS51">
        <v>17.142600000000002</v>
      </c>
      <c r="JT51">
        <v>98.854600000000005</v>
      </c>
      <c r="JU51">
        <v>98.671199999999999</v>
      </c>
    </row>
    <row r="52" spans="1:281" x14ac:dyDescent="0.25">
      <c r="A52">
        <v>36</v>
      </c>
      <c r="B52">
        <v>1691171314</v>
      </c>
      <c r="C52">
        <v>11583.400000095369</v>
      </c>
      <c r="D52" t="s">
        <v>602</v>
      </c>
      <c r="E52" t="s">
        <v>603</v>
      </c>
      <c r="F52" t="s">
        <v>411</v>
      </c>
      <c r="G52" t="s">
        <v>567</v>
      </c>
      <c r="H52" t="s">
        <v>568</v>
      </c>
      <c r="I52" t="s">
        <v>413</v>
      </c>
      <c r="J52">
        <v>1691171314</v>
      </c>
      <c r="K52">
        <f t="shared" si="46"/>
        <v>8.0486542095502458E-3</v>
      </c>
      <c r="L52">
        <f t="shared" si="47"/>
        <v>8.0486542095502465</v>
      </c>
      <c r="M52">
        <f t="shared" si="48"/>
        <v>44.712866254049977</v>
      </c>
      <c r="N52">
        <f t="shared" si="49"/>
        <v>342.887</v>
      </c>
      <c r="O52">
        <f t="shared" si="50"/>
        <v>185.62595577714649</v>
      </c>
      <c r="P52">
        <f t="shared" si="51"/>
        <v>18.414751372098518</v>
      </c>
      <c r="Q52">
        <f t="shared" si="52"/>
        <v>34.015603191319002</v>
      </c>
      <c r="R52">
        <f t="shared" si="53"/>
        <v>0.51645907862119556</v>
      </c>
      <c r="S52">
        <f t="shared" si="54"/>
        <v>2.9155200256009799</v>
      </c>
      <c r="T52">
        <f t="shared" si="55"/>
        <v>0.47049475137581093</v>
      </c>
      <c r="U52">
        <f t="shared" si="56"/>
        <v>0.2978472863300618</v>
      </c>
      <c r="V52">
        <f t="shared" si="57"/>
        <v>289.58937901274049</v>
      </c>
      <c r="W52">
        <f t="shared" si="58"/>
        <v>30.120800218048963</v>
      </c>
      <c r="X52">
        <f t="shared" si="59"/>
        <v>30.023499999999999</v>
      </c>
      <c r="Y52">
        <f t="shared" si="60"/>
        <v>4.2662039995620509</v>
      </c>
      <c r="Z52">
        <f t="shared" si="61"/>
        <v>59.919195499979864</v>
      </c>
      <c r="AA52">
        <f t="shared" si="62"/>
        <v>2.6281199429114004</v>
      </c>
      <c r="AB52">
        <f t="shared" si="63"/>
        <v>4.3861068577135418</v>
      </c>
      <c r="AC52">
        <f t="shared" si="64"/>
        <v>1.6380840566506505</v>
      </c>
      <c r="AD52">
        <f t="shared" si="65"/>
        <v>-354.94565064116586</v>
      </c>
      <c r="AE52">
        <f t="shared" si="66"/>
        <v>75.997262802367175</v>
      </c>
      <c r="AF52">
        <f t="shared" si="67"/>
        <v>5.8111401900812121</v>
      </c>
      <c r="AG52">
        <f t="shared" si="68"/>
        <v>16.452131364023046</v>
      </c>
      <c r="AH52">
        <v>0</v>
      </c>
      <c r="AI52">
        <v>0</v>
      </c>
      <c r="AJ52">
        <f t="shared" si="69"/>
        <v>1</v>
      </c>
      <c r="AK52">
        <f t="shared" si="70"/>
        <v>0</v>
      </c>
      <c r="AL52">
        <f t="shared" si="71"/>
        <v>51847.182085027125</v>
      </c>
      <c r="AM52" t="s">
        <v>414</v>
      </c>
      <c r="AN52">
        <v>7361.72</v>
      </c>
      <c r="AO52">
        <v>541.39076923076925</v>
      </c>
      <c r="AP52">
        <v>2141.9899999999998</v>
      </c>
      <c r="AQ52">
        <f t="shared" si="72"/>
        <v>0.74724869433061347</v>
      </c>
      <c r="AR52">
        <v>-0.96077199609010144</v>
      </c>
      <c r="AS52" t="s">
        <v>604</v>
      </c>
      <c r="AT52">
        <v>7327.91</v>
      </c>
      <c r="AU52">
        <v>720.07711538461547</v>
      </c>
      <c r="AV52">
        <v>1036.24604710727</v>
      </c>
      <c r="AW52">
        <f t="shared" si="73"/>
        <v>0.30510990377744274</v>
      </c>
      <c r="AX52">
        <v>0.5</v>
      </c>
      <c r="AY52">
        <f t="shared" si="74"/>
        <v>1513.2723000066012</v>
      </c>
      <c r="AZ52">
        <f t="shared" si="75"/>
        <v>44.712866254049977</v>
      </c>
      <c r="BA52">
        <f t="shared" si="76"/>
        <v>230.85718292204177</v>
      </c>
      <c r="BB52">
        <f t="shared" si="77"/>
        <v>3.0182035480290522E-2</v>
      </c>
      <c r="BC52">
        <f t="shared" si="78"/>
        <v>1.0670669924189013</v>
      </c>
      <c r="BD52">
        <f t="shared" si="79"/>
        <v>426.39180202298746</v>
      </c>
      <c r="BE52" t="s">
        <v>605</v>
      </c>
      <c r="BF52">
        <v>568.54</v>
      </c>
      <c r="BG52">
        <f t="shared" si="80"/>
        <v>568.54</v>
      </c>
      <c r="BH52">
        <f t="shared" si="81"/>
        <v>0.45134651988578744</v>
      </c>
      <c r="BI52">
        <f t="shared" si="82"/>
        <v>0.6759992385776018</v>
      </c>
      <c r="BJ52">
        <f t="shared" si="83"/>
        <v>0.70275124909767073</v>
      </c>
      <c r="BK52">
        <f t="shared" si="84"/>
        <v>0.63891191194197927</v>
      </c>
      <c r="BL52">
        <f t="shared" si="85"/>
        <v>0.69083124097299575</v>
      </c>
      <c r="BM52">
        <f t="shared" si="86"/>
        <v>0.5337381217782845</v>
      </c>
      <c r="BN52">
        <f t="shared" si="87"/>
        <v>0.4662618782217155</v>
      </c>
      <c r="BO52">
        <v>1501</v>
      </c>
      <c r="BP52">
        <v>290.00000000000011</v>
      </c>
      <c r="BQ52">
        <v>919.52</v>
      </c>
      <c r="BR52">
        <v>285</v>
      </c>
      <c r="BS52">
        <v>7327.91</v>
      </c>
      <c r="BT52">
        <v>922.18</v>
      </c>
      <c r="BU52">
        <v>-2.66</v>
      </c>
      <c r="BV52">
        <v>300.00000000000011</v>
      </c>
      <c r="BW52">
        <v>37.9</v>
      </c>
      <c r="BX52">
        <v>1036.24604710727</v>
      </c>
      <c r="BY52">
        <v>1.719363657270212</v>
      </c>
      <c r="BZ52">
        <v>-83.587739898862594</v>
      </c>
      <c r="CA52">
        <v>1.0562273568823151</v>
      </c>
      <c r="CB52">
        <v>0.9955490741177162</v>
      </c>
      <c r="CC52">
        <v>-7.2199245828698574E-3</v>
      </c>
      <c r="CD52">
        <v>289.99999999999989</v>
      </c>
      <c r="CE52">
        <v>908.84</v>
      </c>
      <c r="CF52">
        <v>655</v>
      </c>
      <c r="CG52">
        <v>7323.06</v>
      </c>
      <c r="CH52">
        <v>922.1</v>
      </c>
      <c r="CI52">
        <v>-13.26</v>
      </c>
      <c r="CW52">
        <f t="shared" si="88"/>
        <v>1800.1</v>
      </c>
      <c r="CX52">
        <f t="shared" si="89"/>
        <v>1513.2723000066012</v>
      </c>
      <c r="CY52">
        <f t="shared" si="90"/>
        <v>0.84066012999644535</v>
      </c>
      <c r="CZ52">
        <f t="shared" si="91"/>
        <v>0.16087405089313955</v>
      </c>
      <c r="DA52">
        <v>6</v>
      </c>
      <c r="DB52">
        <v>0.5</v>
      </c>
      <c r="DC52" t="s">
        <v>415</v>
      </c>
      <c r="DD52">
        <v>2</v>
      </c>
      <c r="DE52">
        <v>1691171314</v>
      </c>
      <c r="DF52">
        <v>342.887</v>
      </c>
      <c r="DG52">
        <v>399.86500000000001</v>
      </c>
      <c r="DH52">
        <v>26.4922</v>
      </c>
      <c r="DI52">
        <v>17.087900000000001</v>
      </c>
      <c r="DJ52">
        <v>343.577</v>
      </c>
      <c r="DK52">
        <v>26.136500000000002</v>
      </c>
      <c r="DL52">
        <v>499.90499999999997</v>
      </c>
      <c r="DM52">
        <v>99.103300000000004</v>
      </c>
      <c r="DN52">
        <v>0.10023700000000001</v>
      </c>
      <c r="DO52">
        <v>30.507000000000001</v>
      </c>
      <c r="DP52">
        <v>30.023499999999999</v>
      </c>
      <c r="DQ52">
        <v>999.9</v>
      </c>
      <c r="DR52">
        <v>0</v>
      </c>
      <c r="DS52">
        <v>0</v>
      </c>
      <c r="DT52">
        <v>10010</v>
      </c>
      <c r="DU52">
        <v>0</v>
      </c>
      <c r="DV52">
        <v>1791.36</v>
      </c>
      <c r="DW52">
        <v>-56.9786</v>
      </c>
      <c r="DX52">
        <v>352.21800000000002</v>
      </c>
      <c r="DY52">
        <v>406.81700000000001</v>
      </c>
      <c r="DZ52">
        <v>9.4043299999999999</v>
      </c>
      <c r="EA52">
        <v>399.86500000000001</v>
      </c>
      <c r="EB52">
        <v>17.087900000000001</v>
      </c>
      <c r="EC52">
        <v>2.62547</v>
      </c>
      <c r="ED52">
        <v>1.69347</v>
      </c>
      <c r="EE52">
        <v>21.825900000000001</v>
      </c>
      <c r="EF52">
        <v>14.8367</v>
      </c>
      <c r="EG52">
        <v>1800.1</v>
      </c>
      <c r="EH52">
        <v>0.97799400000000003</v>
      </c>
      <c r="EI52">
        <v>2.2006399999999999E-2</v>
      </c>
      <c r="EJ52">
        <v>0</v>
      </c>
      <c r="EK52">
        <v>718.30499999999995</v>
      </c>
      <c r="EL52">
        <v>9.9989999999999996E-2</v>
      </c>
      <c r="EM52">
        <v>14147.1</v>
      </c>
      <c r="EN52">
        <v>16706.2</v>
      </c>
      <c r="EO52">
        <v>49.5</v>
      </c>
      <c r="EP52">
        <v>51.625</v>
      </c>
      <c r="EQ52">
        <v>50.436999999999998</v>
      </c>
      <c r="ER52">
        <v>50.25</v>
      </c>
      <c r="ES52">
        <v>50.561999999999998</v>
      </c>
      <c r="ET52">
        <v>1760.39</v>
      </c>
      <c r="EU52">
        <v>39.61</v>
      </c>
      <c r="EV52">
        <v>0</v>
      </c>
      <c r="EW52">
        <v>159</v>
      </c>
      <c r="EX52">
        <v>0</v>
      </c>
      <c r="EY52">
        <v>720.07711538461547</v>
      </c>
      <c r="EZ52">
        <v>-11.357094037478101</v>
      </c>
      <c r="FA52">
        <v>-268.06495680610658</v>
      </c>
      <c r="FB52">
        <v>14184.834615384611</v>
      </c>
      <c r="FC52">
        <v>15</v>
      </c>
      <c r="FD52">
        <v>1691171249</v>
      </c>
      <c r="FE52" t="s">
        <v>606</v>
      </c>
      <c r="FF52">
        <v>1691171230.5</v>
      </c>
      <c r="FG52">
        <v>1691171249</v>
      </c>
      <c r="FH52">
        <v>57</v>
      </c>
      <c r="FI52">
        <v>0.223</v>
      </c>
      <c r="FJ52">
        <v>1E-3</v>
      </c>
      <c r="FK52">
        <v>-0.73099999999999998</v>
      </c>
      <c r="FL52">
        <v>4.5999999999999999E-2</v>
      </c>
      <c r="FM52">
        <v>400</v>
      </c>
      <c r="FN52">
        <v>17</v>
      </c>
      <c r="FO52">
        <v>0.17</v>
      </c>
      <c r="FP52">
        <v>0.02</v>
      </c>
      <c r="FQ52">
        <v>44.755412494010478</v>
      </c>
      <c r="FR52">
        <v>0.63315503054212829</v>
      </c>
      <c r="FS52">
        <v>8.2706884547280882E-2</v>
      </c>
      <c r="FT52">
        <v>1</v>
      </c>
      <c r="FU52">
        <v>0.519569465854132</v>
      </c>
      <c r="FV52">
        <v>-2.992262851222639E-2</v>
      </c>
      <c r="FW52">
        <v>2.3985161295429448E-3</v>
      </c>
      <c r="FX52">
        <v>1</v>
      </c>
      <c r="FY52">
        <v>2</v>
      </c>
      <c r="FZ52">
        <v>2</v>
      </c>
      <c r="GA52" t="s">
        <v>416</v>
      </c>
      <c r="GB52">
        <v>2.9670999999999998</v>
      </c>
      <c r="GC52">
        <v>2.8120099999999999</v>
      </c>
      <c r="GD52">
        <v>8.5150199999999995E-2</v>
      </c>
      <c r="GE52">
        <v>9.4867000000000007E-2</v>
      </c>
      <c r="GF52">
        <v>0.12665799999999999</v>
      </c>
      <c r="GG52">
        <v>9.2399099999999998E-2</v>
      </c>
      <c r="GH52">
        <v>26925.1</v>
      </c>
      <c r="GI52">
        <v>24565.3</v>
      </c>
      <c r="GJ52">
        <v>26463.7</v>
      </c>
      <c r="GK52">
        <v>25620.3</v>
      </c>
      <c r="GL52">
        <v>31458.1</v>
      </c>
      <c r="GM52">
        <v>32830</v>
      </c>
      <c r="GN52">
        <v>37457.699999999997</v>
      </c>
      <c r="GO52">
        <v>37986.699999999997</v>
      </c>
      <c r="GP52">
        <v>1.9296</v>
      </c>
      <c r="GQ52">
        <v>1.8442000000000001</v>
      </c>
      <c r="GR52">
        <v>-5.8770200000000002E-2</v>
      </c>
      <c r="GS52">
        <v>0</v>
      </c>
      <c r="GT52">
        <v>30.979099999999999</v>
      </c>
      <c r="GU52">
        <v>999.9</v>
      </c>
      <c r="GV52">
        <v>26.4</v>
      </c>
      <c r="GW52">
        <v>48</v>
      </c>
      <c r="GX52">
        <v>29.9267</v>
      </c>
      <c r="GY52">
        <v>61.863100000000003</v>
      </c>
      <c r="GZ52">
        <v>13.926299999999999</v>
      </c>
      <c r="HA52">
        <v>1</v>
      </c>
      <c r="HB52">
        <v>0.59936</v>
      </c>
      <c r="HC52">
        <v>4.9626400000000004</v>
      </c>
      <c r="HD52">
        <v>20.1738</v>
      </c>
      <c r="HE52">
        <v>5.2095000000000002</v>
      </c>
      <c r="HF52">
        <v>11.9381</v>
      </c>
      <c r="HG52">
        <v>4.9870000000000001</v>
      </c>
      <c r="HH52">
        <v>3.2909000000000002</v>
      </c>
      <c r="HI52">
        <v>9999</v>
      </c>
      <c r="HJ52">
        <v>9999</v>
      </c>
      <c r="HK52">
        <v>9999</v>
      </c>
      <c r="HL52">
        <v>999.9</v>
      </c>
      <c r="HM52">
        <v>1.8712800000000001</v>
      </c>
      <c r="HN52">
        <v>1.8772899999999999</v>
      </c>
      <c r="HO52">
        <v>1.87503</v>
      </c>
      <c r="HP52">
        <v>1.8733</v>
      </c>
      <c r="HQ52">
        <v>1.87378</v>
      </c>
      <c r="HR52">
        <v>1.87117</v>
      </c>
      <c r="HS52">
        <v>1.8769800000000001</v>
      </c>
      <c r="HT52">
        <v>1.87622</v>
      </c>
      <c r="HU52">
        <v>5</v>
      </c>
      <c r="HV52">
        <v>0</v>
      </c>
      <c r="HW52">
        <v>0</v>
      </c>
      <c r="HX52">
        <v>0</v>
      </c>
      <c r="HY52" t="s">
        <v>417</v>
      </c>
      <c r="HZ52" t="s">
        <v>418</v>
      </c>
      <c r="IA52" t="s">
        <v>419</v>
      </c>
      <c r="IB52" t="s">
        <v>420</v>
      </c>
      <c r="IC52" t="s">
        <v>420</v>
      </c>
      <c r="ID52" t="s">
        <v>419</v>
      </c>
      <c r="IE52">
        <v>0</v>
      </c>
      <c r="IF52">
        <v>100</v>
      </c>
      <c r="IG52">
        <v>100</v>
      </c>
      <c r="IH52">
        <v>-0.69</v>
      </c>
      <c r="II52">
        <v>0.35570000000000002</v>
      </c>
      <c r="IJ52">
        <v>-0.29157914624976322</v>
      </c>
      <c r="IK52">
        <v>-1.615681629159814E-3</v>
      </c>
      <c r="IL52">
        <v>1.5005605225991581E-6</v>
      </c>
      <c r="IM52">
        <v>-5.1143626075267638E-10</v>
      </c>
      <c r="IN52">
        <v>-0.1792492743449545</v>
      </c>
      <c r="IO52">
        <v>-1.7182111142928099E-3</v>
      </c>
      <c r="IP52">
        <v>9.9985895407488957E-4</v>
      </c>
      <c r="IQ52">
        <v>-5.7750407166627208E-6</v>
      </c>
      <c r="IR52">
        <v>3</v>
      </c>
      <c r="IS52">
        <v>2181</v>
      </c>
      <c r="IT52">
        <v>2</v>
      </c>
      <c r="IU52">
        <v>42</v>
      </c>
      <c r="IV52">
        <v>1.4</v>
      </c>
      <c r="IW52">
        <v>1.1000000000000001</v>
      </c>
      <c r="IX52">
        <v>0.94970699999999997</v>
      </c>
      <c r="IY52">
        <v>2.5683600000000002</v>
      </c>
      <c r="IZ52">
        <v>1.5991200000000001</v>
      </c>
      <c r="JA52">
        <v>2.2705099999999998</v>
      </c>
      <c r="JB52">
        <v>1.5502899999999999</v>
      </c>
      <c r="JC52">
        <v>2.323</v>
      </c>
      <c r="JD52">
        <v>51.000700000000002</v>
      </c>
      <c r="JE52">
        <v>23.903600000000001</v>
      </c>
      <c r="JF52">
        <v>18</v>
      </c>
      <c r="JG52">
        <v>503.637</v>
      </c>
      <c r="JH52">
        <v>419.42200000000003</v>
      </c>
      <c r="JI52">
        <v>24.157</v>
      </c>
      <c r="JJ52">
        <v>34.602600000000002</v>
      </c>
      <c r="JK52">
        <v>30.001300000000001</v>
      </c>
      <c r="JL52">
        <v>34.444400000000002</v>
      </c>
      <c r="JM52">
        <v>34.403399999999998</v>
      </c>
      <c r="JN52">
        <v>19.051600000000001</v>
      </c>
      <c r="JO52">
        <v>47.9178</v>
      </c>
      <c r="JP52">
        <v>0</v>
      </c>
      <c r="JQ52">
        <v>24.157399999999999</v>
      </c>
      <c r="JR52">
        <v>400</v>
      </c>
      <c r="JS52">
        <v>17.154599999999999</v>
      </c>
      <c r="JT52">
        <v>98.796599999999998</v>
      </c>
      <c r="JU52">
        <v>98.5929</v>
      </c>
    </row>
    <row r="53" spans="1:281" x14ac:dyDescent="0.25">
      <c r="A53">
        <v>37</v>
      </c>
      <c r="B53">
        <v>1691171504</v>
      </c>
      <c r="C53">
        <v>11773.400000095369</v>
      </c>
      <c r="D53" t="s">
        <v>607</v>
      </c>
      <c r="E53" t="s">
        <v>608</v>
      </c>
      <c r="F53" t="s">
        <v>411</v>
      </c>
      <c r="G53" t="s">
        <v>567</v>
      </c>
      <c r="H53" t="s">
        <v>568</v>
      </c>
      <c r="I53" t="s">
        <v>413</v>
      </c>
      <c r="J53">
        <v>1691171504</v>
      </c>
      <c r="K53">
        <f t="shared" si="46"/>
        <v>7.355731641577901E-3</v>
      </c>
      <c r="L53">
        <f t="shared" si="47"/>
        <v>7.3557316415779006</v>
      </c>
      <c r="M53">
        <f t="shared" si="48"/>
        <v>50.662867544909226</v>
      </c>
      <c r="N53">
        <f t="shared" si="49"/>
        <v>336.24400000000003</v>
      </c>
      <c r="O53">
        <f t="shared" si="50"/>
        <v>138.80334439500444</v>
      </c>
      <c r="P53">
        <f t="shared" si="51"/>
        <v>13.766869950992106</v>
      </c>
      <c r="Q53">
        <f t="shared" si="52"/>
        <v>33.349538081936807</v>
      </c>
      <c r="R53">
        <f t="shared" si="53"/>
        <v>0.45615102134155983</v>
      </c>
      <c r="S53">
        <f t="shared" si="54"/>
        <v>2.9151563023519773</v>
      </c>
      <c r="T53">
        <f t="shared" si="55"/>
        <v>0.41988718099068945</v>
      </c>
      <c r="U53">
        <f t="shared" si="56"/>
        <v>0.2654469910238188</v>
      </c>
      <c r="V53">
        <f t="shared" si="57"/>
        <v>289.56210601273199</v>
      </c>
      <c r="W53">
        <f t="shared" si="58"/>
        <v>30.108458331730997</v>
      </c>
      <c r="X53">
        <f t="shared" si="59"/>
        <v>30.017099999999999</v>
      </c>
      <c r="Y53">
        <f t="shared" si="60"/>
        <v>4.2646362201862269</v>
      </c>
      <c r="Z53">
        <f t="shared" si="61"/>
        <v>59.639324814886571</v>
      </c>
      <c r="AA53">
        <f t="shared" si="62"/>
        <v>2.5871372011161196</v>
      </c>
      <c r="AB53">
        <f t="shared" si="63"/>
        <v>4.3379719826578995</v>
      </c>
      <c r="AC53">
        <f t="shared" si="64"/>
        <v>1.6774990190701073</v>
      </c>
      <c r="AD53">
        <f t="shared" si="65"/>
        <v>-324.38776539358543</v>
      </c>
      <c r="AE53">
        <f t="shared" si="66"/>
        <v>46.708518633317247</v>
      </c>
      <c r="AF53">
        <f t="shared" si="67"/>
        <v>3.5685004208304374</v>
      </c>
      <c r="AG53">
        <f t="shared" si="68"/>
        <v>15.451359673294256</v>
      </c>
      <c r="AH53">
        <v>0</v>
      </c>
      <c r="AI53">
        <v>0</v>
      </c>
      <c r="AJ53">
        <f t="shared" si="69"/>
        <v>1</v>
      </c>
      <c r="AK53">
        <f t="shared" si="70"/>
        <v>0</v>
      </c>
      <c r="AL53">
        <f t="shared" si="71"/>
        <v>51869.337351057453</v>
      </c>
      <c r="AM53" t="s">
        <v>414</v>
      </c>
      <c r="AN53">
        <v>7361.72</v>
      </c>
      <c r="AO53">
        <v>541.39076923076925</v>
      </c>
      <c r="AP53">
        <v>2141.9899999999998</v>
      </c>
      <c r="AQ53">
        <f t="shared" si="72"/>
        <v>0.74724869433061347</v>
      </c>
      <c r="AR53">
        <v>-0.96077199609010144</v>
      </c>
      <c r="AS53" t="s">
        <v>609</v>
      </c>
      <c r="AT53">
        <v>7329</v>
      </c>
      <c r="AU53">
        <v>738.28120000000013</v>
      </c>
      <c r="AV53">
        <v>1114.4488754533099</v>
      </c>
      <c r="AW53">
        <f t="shared" si="73"/>
        <v>0.33753695098871261</v>
      </c>
      <c r="AX53">
        <v>0.5</v>
      </c>
      <c r="AY53">
        <f t="shared" si="74"/>
        <v>1513.137000006597</v>
      </c>
      <c r="AZ53">
        <f t="shared" si="75"/>
        <v>50.662867544909226</v>
      </c>
      <c r="BA53">
        <f t="shared" si="76"/>
        <v>255.36982470521718</v>
      </c>
      <c r="BB53">
        <f t="shared" si="77"/>
        <v>3.4116963329014004E-2</v>
      </c>
      <c r="BC53">
        <f t="shared" si="78"/>
        <v>0.92201728332197408</v>
      </c>
      <c r="BD53">
        <f t="shared" si="79"/>
        <v>439.06953420513588</v>
      </c>
      <c r="BE53" t="s">
        <v>610</v>
      </c>
      <c r="BF53">
        <v>575.49</v>
      </c>
      <c r="BG53">
        <f t="shared" si="80"/>
        <v>575.49</v>
      </c>
      <c r="BH53">
        <f t="shared" si="81"/>
        <v>0.48361022862900249</v>
      </c>
      <c r="BI53">
        <f t="shared" si="82"/>
        <v>0.69795246462342986</v>
      </c>
      <c r="BJ53">
        <f t="shared" si="83"/>
        <v>0.655947095146307</v>
      </c>
      <c r="BK53">
        <f t="shared" si="84"/>
        <v>0.65642152404564247</v>
      </c>
      <c r="BL53">
        <f t="shared" si="85"/>
        <v>0.641972771693052</v>
      </c>
      <c r="BM53">
        <f t="shared" si="86"/>
        <v>0.54405376144772144</v>
      </c>
      <c r="BN53">
        <f t="shared" si="87"/>
        <v>0.45594623855227856</v>
      </c>
      <c r="BO53">
        <v>1503</v>
      </c>
      <c r="BP53">
        <v>290.00000000000011</v>
      </c>
      <c r="BQ53">
        <v>983.37</v>
      </c>
      <c r="BR53">
        <v>295</v>
      </c>
      <c r="BS53">
        <v>7329</v>
      </c>
      <c r="BT53">
        <v>983.81</v>
      </c>
      <c r="BU53">
        <v>-0.44</v>
      </c>
      <c r="BV53">
        <v>300.00000000000011</v>
      </c>
      <c r="BW53">
        <v>37.9</v>
      </c>
      <c r="BX53">
        <v>1114.4488754533099</v>
      </c>
      <c r="BY53">
        <v>1.606683381224826</v>
      </c>
      <c r="BZ53">
        <v>-95.748300770579419</v>
      </c>
      <c r="CA53">
        <v>0.98714847111256665</v>
      </c>
      <c r="CB53">
        <v>0.997032640183382</v>
      </c>
      <c r="CC53">
        <v>-7.2213034482758636E-3</v>
      </c>
      <c r="CD53">
        <v>289.99999999999989</v>
      </c>
      <c r="CE53">
        <v>971.77</v>
      </c>
      <c r="CF53">
        <v>655</v>
      </c>
      <c r="CG53">
        <v>7324.18</v>
      </c>
      <c r="CH53">
        <v>983.72</v>
      </c>
      <c r="CI53">
        <v>-11.95</v>
      </c>
      <c r="CW53">
        <f t="shared" si="88"/>
        <v>1799.94</v>
      </c>
      <c r="CX53">
        <f t="shared" si="89"/>
        <v>1513.137000006597</v>
      </c>
      <c r="CY53">
        <f t="shared" si="90"/>
        <v>0.84065968865995366</v>
      </c>
      <c r="CZ53">
        <f t="shared" si="91"/>
        <v>0.16087319911371045</v>
      </c>
      <c r="DA53">
        <v>6</v>
      </c>
      <c r="DB53">
        <v>0.5</v>
      </c>
      <c r="DC53" t="s">
        <v>415</v>
      </c>
      <c r="DD53">
        <v>2</v>
      </c>
      <c r="DE53">
        <v>1691171504</v>
      </c>
      <c r="DF53">
        <v>336.24400000000003</v>
      </c>
      <c r="DG53">
        <v>399.97899999999998</v>
      </c>
      <c r="DH53">
        <v>26.084599999999998</v>
      </c>
      <c r="DI53">
        <v>17.491800000000001</v>
      </c>
      <c r="DJ53">
        <v>336.96</v>
      </c>
      <c r="DK53">
        <v>25.7484</v>
      </c>
      <c r="DL53">
        <v>500.22300000000001</v>
      </c>
      <c r="DM53">
        <v>99.082700000000003</v>
      </c>
      <c r="DN53">
        <v>9.9852200000000002E-2</v>
      </c>
      <c r="DO53">
        <v>30.314299999999999</v>
      </c>
      <c r="DP53">
        <v>30.017099999999999</v>
      </c>
      <c r="DQ53">
        <v>999.9</v>
      </c>
      <c r="DR53">
        <v>0</v>
      </c>
      <c r="DS53">
        <v>0</v>
      </c>
      <c r="DT53">
        <v>10010</v>
      </c>
      <c r="DU53">
        <v>0</v>
      </c>
      <c r="DV53">
        <v>1767.12</v>
      </c>
      <c r="DW53">
        <v>-63.735300000000002</v>
      </c>
      <c r="DX53">
        <v>345.24900000000002</v>
      </c>
      <c r="DY53">
        <v>407.1</v>
      </c>
      <c r="DZ53">
        <v>8.5928400000000007</v>
      </c>
      <c r="EA53">
        <v>399.97899999999998</v>
      </c>
      <c r="EB53">
        <v>17.491800000000001</v>
      </c>
      <c r="EC53">
        <v>2.5845400000000001</v>
      </c>
      <c r="ED53">
        <v>1.7331300000000001</v>
      </c>
      <c r="EE53">
        <v>21.568899999999999</v>
      </c>
      <c r="EF53">
        <v>15.196400000000001</v>
      </c>
      <c r="EG53">
        <v>1799.94</v>
      </c>
      <c r="EH53">
        <v>0.97800900000000002</v>
      </c>
      <c r="EI53">
        <v>2.19911E-2</v>
      </c>
      <c r="EJ53">
        <v>0</v>
      </c>
      <c r="EK53">
        <v>740.64499999999998</v>
      </c>
      <c r="EL53">
        <v>9.9989999999999996E-2</v>
      </c>
      <c r="EM53">
        <v>14505</v>
      </c>
      <c r="EN53">
        <v>16704.8</v>
      </c>
      <c r="EO53">
        <v>49.186999999999998</v>
      </c>
      <c r="EP53">
        <v>51.375</v>
      </c>
      <c r="EQ53">
        <v>50.186999999999998</v>
      </c>
      <c r="ER53">
        <v>50.125</v>
      </c>
      <c r="ES53">
        <v>50.311999999999998</v>
      </c>
      <c r="ET53">
        <v>1760.26</v>
      </c>
      <c r="EU53">
        <v>39.58</v>
      </c>
      <c r="EV53">
        <v>0</v>
      </c>
      <c r="EW53">
        <v>187.4000000953674</v>
      </c>
      <c r="EX53">
        <v>0</v>
      </c>
      <c r="EY53">
        <v>738.28120000000013</v>
      </c>
      <c r="EZ53">
        <v>11.61846148017653</v>
      </c>
      <c r="FA53">
        <v>117.0615380511765</v>
      </c>
      <c r="FB53">
        <v>14495.32</v>
      </c>
      <c r="FC53">
        <v>15</v>
      </c>
      <c r="FD53">
        <v>1691171391</v>
      </c>
      <c r="FE53" t="s">
        <v>611</v>
      </c>
      <c r="FF53">
        <v>1691171385</v>
      </c>
      <c r="FG53">
        <v>1691171391</v>
      </c>
      <c r="FH53">
        <v>58</v>
      </c>
      <c r="FI53">
        <v>-3.2000000000000001E-2</v>
      </c>
      <c r="FJ53">
        <v>-5.0000000000000001E-3</v>
      </c>
      <c r="FK53">
        <v>-0.76300000000000001</v>
      </c>
      <c r="FL53">
        <v>5.1999999999999998E-2</v>
      </c>
      <c r="FM53">
        <v>400</v>
      </c>
      <c r="FN53">
        <v>17</v>
      </c>
      <c r="FO53">
        <v>0.08</v>
      </c>
      <c r="FP53">
        <v>0.02</v>
      </c>
      <c r="FQ53">
        <v>50.528112944927507</v>
      </c>
      <c r="FR53">
        <v>1.5950177141919939</v>
      </c>
      <c r="FS53">
        <v>0.143513289485282</v>
      </c>
      <c r="FT53">
        <v>0</v>
      </c>
      <c r="FU53">
        <v>0.46402747778000047</v>
      </c>
      <c r="FV53">
        <v>-4.9576954309244317E-2</v>
      </c>
      <c r="FW53">
        <v>3.6791286755229712E-3</v>
      </c>
      <c r="FX53">
        <v>1</v>
      </c>
      <c r="FY53">
        <v>1</v>
      </c>
      <c r="FZ53">
        <v>2</v>
      </c>
      <c r="GA53" t="s">
        <v>421</v>
      </c>
      <c r="GB53">
        <v>2.9675099999999999</v>
      </c>
      <c r="GC53">
        <v>2.8116300000000001</v>
      </c>
      <c r="GD53">
        <v>8.3722000000000005E-2</v>
      </c>
      <c r="GE53">
        <v>9.4775200000000004E-2</v>
      </c>
      <c r="GF53">
        <v>0.12518299999999999</v>
      </c>
      <c r="GG53">
        <v>9.3869400000000006E-2</v>
      </c>
      <c r="GH53">
        <v>26949</v>
      </c>
      <c r="GI53">
        <v>24543.599999999999</v>
      </c>
      <c r="GJ53">
        <v>26447.5</v>
      </c>
      <c r="GK53">
        <v>25597.200000000001</v>
      </c>
      <c r="GL53">
        <v>31494.5</v>
      </c>
      <c r="GM53">
        <v>32749.8</v>
      </c>
      <c r="GN53">
        <v>37434.199999999997</v>
      </c>
      <c r="GO53">
        <v>37954.800000000003</v>
      </c>
      <c r="GP53">
        <v>1.9228000000000001</v>
      </c>
      <c r="GQ53">
        <v>1.8380000000000001</v>
      </c>
      <c r="GR53">
        <v>-5.7503600000000002E-2</v>
      </c>
      <c r="GS53">
        <v>0</v>
      </c>
      <c r="GT53">
        <v>30.952100000000002</v>
      </c>
      <c r="GU53">
        <v>999.9</v>
      </c>
      <c r="GV53">
        <v>26.4</v>
      </c>
      <c r="GW53">
        <v>48.2</v>
      </c>
      <c r="GX53">
        <v>30.2348</v>
      </c>
      <c r="GY53">
        <v>61.973100000000002</v>
      </c>
      <c r="GZ53">
        <v>13.914300000000001</v>
      </c>
      <c r="HA53">
        <v>1</v>
      </c>
      <c r="HB53">
        <v>0.64338399999999996</v>
      </c>
      <c r="HC53">
        <v>5.5444100000000001</v>
      </c>
      <c r="HD53">
        <v>20.1555</v>
      </c>
      <c r="HE53">
        <v>5.2095000000000002</v>
      </c>
      <c r="HF53">
        <v>11.9381</v>
      </c>
      <c r="HG53">
        <v>4.9867999999999997</v>
      </c>
      <c r="HH53">
        <v>3.2907000000000002</v>
      </c>
      <c r="HI53">
        <v>9999</v>
      </c>
      <c r="HJ53">
        <v>9999</v>
      </c>
      <c r="HK53">
        <v>9999</v>
      </c>
      <c r="HL53">
        <v>999.9</v>
      </c>
      <c r="HM53">
        <v>1.87134</v>
      </c>
      <c r="HN53">
        <v>1.8772899999999999</v>
      </c>
      <c r="HO53">
        <v>1.8750199999999999</v>
      </c>
      <c r="HP53">
        <v>1.8732800000000001</v>
      </c>
      <c r="HQ53">
        <v>1.87378</v>
      </c>
      <c r="HR53">
        <v>1.8711899999999999</v>
      </c>
      <c r="HS53">
        <v>1.8769800000000001</v>
      </c>
      <c r="HT53">
        <v>1.87622</v>
      </c>
      <c r="HU53">
        <v>5</v>
      </c>
      <c r="HV53">
        <v>0</v>
      </c>
      <c r="HW53">
        <v>0</v>
      </c>
      <c r="HX53">
        <v>0</v>
      </c>
      <c r="HY53" t="s">
        <v>417</v>
      </c>
      <c r="HZ53" t="s">
        <v>418</v>
      </c>
      <c r="IA53" t="s">
        <v>419</v>
      </c>
      <c r="IB53" t="s">
        <v>420</v>
      </c>
      <c r="IC53" t="s">
        <v>420</v>
      </c>
      <c r="ID53" t="s">
        <v>419</v>
      </c>
      <c r="IE53">
        <v>0</v>
      </c>
      <c r="IF53">
        <v>100</v>
      </c>
      <c r="IG53">
        <v>100</v>
      </c>
      <c r="IH53">
        <v>-0.71599999999999997</v>
      </c>
      <c r="II53">
        <v>0.3362</v>
      </c>
      <c r="IJ53">
        <v>-0.32322581847237303</v>
      </c>
      <c r="IK53">
        <v>-1.615681629159814E-3</v>
      </c>
      <c r="IL53">
        <v>1.5005605225991581E-6</v>
      </c>
      <c r="IM53">
        <v>-5.1143626075267638E-10</v>
      </c>
      <c r="IN53">
        <v>-0.1838500835326371</v>
      </c>
      <c r="IO53">
        <v>-1.7182111142928099E-3</v>
      </c>
      <c r="IP53">
        <v>9.9985895407488957E-4</v>
      </c>
      <c r="IQ53">
        <v>-5.7750407166627208E-6</v>
      </c>
      <c r="IR53">
        <v>3</v>
      </c>
      <c r="IS53">
        <v>2181</v>
      </c>
      <c r="IT53">
        <v>2</v>
      </c>
      <c r="IU53">
        <v>42</v>
      </c>
      <c r="IV53">
        <v>2</v>
      </c>
      <c r="IW53">
        <v>1.9</v>
      </c>
      <c r="IX53">
        <v>0.94970699999999997</v>
      </c>
      <c r="IY53">
        <v>2.5634800000000002</v>
      </c>
      <c r="IZ53">
        <v>1.5991200000000001</v>
      </c>
      <c r="JA53">
        <v>2.2717299999999998</v>
      </c>
      <c r="JB53">
        <v>1.5502899999999999</v>
      </c>
      <c r="JC53">
        <v>2.4609399999999999</v>
      </c>
      <c r="JD53">
        <v>51.331600000000002</v>
      </c>
      <c r="JE53">
        <v>23.903600000000001</v>
      </c>
      <c r="JF53">
        <v>18</v>
      </c>
      <c r="JG53">
        <v>502.358</v>
      </c>
      <c r="JH53">
        <v>418.42599999999999</v>
      </c>
      <c r="JI53">
        <v>23.723099999999999</v>
      </c>
      <c r="JJ53">
        <v>35.057099999999998</v>
      </c>
      <c r="JK53">
        <v>30.0016</v>
      </c>
      <c r="JL53">
        <v>34.859400000000001</v>
      </c>
      <c r="JM53">
        <v>34.810400000000001</v>
      </c>
      <c r="JN53">
        <v>19.035399999999999</v>
      </c>
      <c r="JO53">
        <v>45.779699999999998</v>
      </c>
      <c r="JP53">
        <v>0</v>
      </c>
      <c r="JQ53">
        <v>23.7194</v>
      </c>
      <c r="JR53">
        <v>400</v>
      </c>
      <c r="JS53">
        <v>17.6951</v>
      </c>
      <c r="JT53">
        <v>98.735200000000006</v>
      </c>
      <c r="JU53">
        <v>98.507599999999996</v>
      </c>
    </row>
    <row r="54" spans="1:281" x14ac:dyDescent="0.25">
      <c r="A54">
        <v>38</v>
      </c>
      <c r="B54">
        <v>1691171614.5</v>
      </c>
      <c r="C54">
        <v>11883.900000095369</v>
      </c>
      <c r="D54" t="s">
        <v>612</v>
      </c>
      <c r="E54" t="s">
        <v>613</v>
      </c>
      <c r="F54" t="s">
        <v>411</v>
      </c>
      <c r="G54" t="s">
        <v>567</v>
      </c>
      <c r="H54" t="s">
        <v>568</v>
      </c>
      <c r="I54" t="s">
        <v>413</v>
      </c>
      <c r="J54">
        <v>1691171614.5</v>
      </c>
      <c r="K54">
        <f t="shared" si="46"/>
        <v>6.7868601608421274E-3</v>
      </c>
      <c r="L54">
        <f t="shared" si="47"/>
        <v>6.7868601608421271</v>
      </c>
      <c r="M54">
        <f t="shared" si="48"/>
        <v>52.322514856013349</v>
      </c>
      <c r="N54">
        <f t="shared" si="49"/>
        <v>433.63400000000001</v>
      </c>
      <c r="O54">
        <f t="shared" si="50"/>
        <v>215.83288098413638</v>
      </c>
      <c r="P54">
        <f t="shared" si="51"/>
        <v>21.409342875890058</v>
      </c>
      <c r="Q54">
        <f t="shared" si="52"/>
        <v>43.013923301733001</v>
      </c>
      <c r="R54">
        <f t="shared" si="53"/>
        <v>0.42846479984892788</v>
      </c>
      <c r="S54">
        <f t="shared" si="54"/>
        <v>2.9101298072955024</v>
      </c>
      <c r="T54">
        <f t="shared" si="55"/>
        <v>0.39625215646123224</v>
      </c>
      <c r="U54">
        <f t="shared" si="56"/>
        <v>0.25034965638634166</v>
      </c>
      <c r="V54">
        <f t="shared" si="57"/>
        <v>289.57341901274123</v>
      </c>
      <c r="W54">
        <f t="shared" si="58"/>
        <v>30.081107252757178</v>
      </c>
      <c r="X54">
        <f t="shared" si="59"/>
        <v>29.9284</v>
      </c>
      <c r="Y54">
        <f t="shared" si="60"/>
        <v>4.2429594224954466</v>
      </c>
      <c r="Z54">
        <f t="shared" si="61"/>
        <v>60.603522647166827</v>
      </c>
      <c r="AA54">
        <f t="shared" si="62"/>
        <v>2.6026243685086503</v>
      </c>
      <c r="AB54">
        <f t="shared" si="63"/>
        <v>4.2945100463237198</v>
      </c>
      <c r="AC54">
        <f t="shared" si="64"/>
        <v>1.6403350539867962</v>
      </c>
      <c r="AD54">
        <f t="shared" si="65"/>
        <v>-299.3005330931378</v>
      </c>
      <c r="AE54">
        <f t="shared" si="66"/>
        <v>32.994160091343481</v>
      </c>
      <c r="AF54">
        <f t="shared" si="67"/>
        <v>2.5217853466413556</v>
      </c>
      <c r="AG54">
        <f t="shared" si="68"/>
        <v>25.788831357588272</v>
      </c>
      <c r="AH54">
        <v>0</v>
      </c>
      <c r="AI54">
        <v>0</v>
      </c>
      <c r="AJ54">
        <f t="shared" si="69"/>
        <v>1</v>
      </c>
      <c r="AK54">
        <f t="shared" si="70"/>
        <v>0</v>
      </c>
      <c r="AL54">
        <f t="shared" si="71"/>
        <v>51756.751677553279</v>
      </c>
      <c r="AM54" t="s">
        <v>414</v>
      </c>
      <c r="AN54">
        <v>7361.72</v>
      </c>
      <c r="AO54">
        <v>541.39076923076925</v>
      </c>
      <c r="AP54">
        <v>2141.9899999999998</v>
      </c>
      <c r="AQ54">
        <f t="shared" si="72"/>
        <v>0.74724869433061347</v>
      </c>
      <c r="AR54">
        <v>-0.96077199609010144</v>
      </c>
      <c r="AS54" t="s">
        <v>614</v>
      </c>
      <c r="AT54">
        <v>7329.92</v>
      </c>
      <c r="AU54">
        <v>750.65459999999996</v>
      </c>
      <c r="AV54">
        <v>1149.4067841868571</v>
      </c>
      <c r="AW54">
        <f t="shared" si="73"/>
        <v>0.34691998487633136</v>
      </c>
      <c r="AX54">
        <v>0.5</v>
      </c>
      <c r="AY54">
        <f t="shared" si="74"/>
        <v>1513.1883000066016</v>
      </c>
      <c r="AZ54">
        <f t="shared" si="75"/>
        <v>52.322514856013349</v>
      </c>
      <c r="BA54">
        <f t="shared" si="76"/>
        <v>262.47763107666589</v>
      </c>
      <c r="BB54">
        <f t="shared" si="77"/>
        <v>3.5212595056326429E-2</v>
      </c>
      <c r="BC54">
        <f t="shared" si="78"/>
        <v>0.8635612991577577</v>
      </c>
      <c r="BD54">
        <f t="shared" si="79"/>
        <v>444.39445897665121</v>
      </c>
      <c r="BE54" t="s">
        <v>615</v>
      </c>
      <c r="BF54">
        <v>581.36</v>
      </c>
      <c r="BG54">
        <f t="shared" si="80"/>
        <v>581.36</v>
      </c>
      <c r="BH54">
        <f t="shared" si="81"/>
        <v>0.49420865789366242</v>
      </c>
      <c r="BI54">
        <f t="shared" si="82"/>
        <v>0.70197067440080596</v>
      </c>
      <c r="BJ54">
        <f t="shared" si="83"/>
        <v>0.6360144402024458</v>
      </c>
      <c r="BK54">
        <f t="shared" si="84"/>
        <v>0.65582513351339244</v>
      </c>
      <c r="BL54">
        <f t="shared" si="85"/>
        <v>0.62013225842681319</v>
      </c>
      <c r="BM54">
        <f t="shared" si="86"/>
        <v>0.54365572564219622</v>
      </c>
      <c r="BN54">
        <f t="shared" si="87"/>
        <v>0.45634427435780378</v>
      </c>
      <c r="BO54">
        <v>1505</v>
      </c>
      <c r="BP54">
        <v>290.00000000000011</v>
      </c>
      <c r="BQ54">
        <v>1013.41</v>
      </c>
      <c r="BR54">
        <v>265</v>
      </c>
      <c r="BS54">
        <v>7329.92</v>
      </c>
      <c r="BT54">
        <v>1014.32</v>
      </c>
      <c r="BU54">
        <v>-0.91</v>
      </c>
      <c r="BV54">
        <v>300.00000000000011</v>
      </c>
      <c r="BW54">
        <v>37.9</v>
      </c>
      <c r="BX54">
        <v>1149.4067841868571</v>
      </c>
      <c r="BY54">
        <v>1.5375179210064369</v>
      </c>
      <c r="BZ54">
        <v>-99.020019334054524</v>
      </c>
      <c r="CA54">
        <v>0.94464021407556131</v>
      </c>
      <c r="CB54">
        <v>0.99745821046636596</v>
      </c>
      <c r="CC54">
        <v>-7.2211194660734227E-3</v>
      </c>
      <c r="CD54">
        <v>289.99999999999989</v>
      </c>
      <c r="CE54">
        <v>1003.09</v>
      </c>
      <c r="CF54">
        <v>695</v>
      </c>
      <c r="CG54">
        <v>7322.7</v>
      </c>
      <c r="CH54">
        <v>1014.18</v>
      </c>
      <c r="CI54">
        <v>-11.09</v>
      </c>
      <c r="CW54">
        <f t="shared" si="88"/>
        <v>1800</v>
      </c>
      <c r="CX54">
        <f t="shared" si="89"/>
        <v>1513.1883000066016</v>
      </c>
      <c r="CY54">
        <f t="shared" si="90"/>
        <v>0.84066016667033427</v>
      </c>
      <c r="CZ54">
        <f t="shared" si="91"/>
        <v>0.16087412167374512</v>
      </c>
      <c r="DA54">
        <v>6</v>
      </c>
      <c r="DB54">
        <v>0.5</v>
      </c>
      <c r="DC54" t="s">
        <v>415</v>
      </c>
      <c r="DD54">
        <v>2</v>
      </c>
      <c r="DE54">
        <v>1691171614.5</v>
      </c>
      <c r="DF54">
        <v>433.63400000000001</v>
      </c>
      <c r="DG54">
        <v>500.02499999999998</v>
      </c>
      <c r="DH54">
        <v>26.2377</v>
      </c>
      <c r="DI54">
        <v>18.298500000000001</v>
      </c>
      <c r="DJ54">
        <v>434.32799999999997</v>
      </c>
      <c r="DK54">
        <v>25.9023</v>
      </c>
      <c r="DL54">
        <v>499.45499999999998</v>
      </c>
      <c r="DM54">
        <v>99.095299999999995</v>
      </c>
      <c r="DN54">
        <v>9.8774500000000001E-2</v>
      </c>
      <c r="DO54">
        <v>30.1387</v>
      </c>
      <c r="DP54">
        <v>29.9284</v>
      </c>
      <c r="DQ54">
        <v>999.9</v>
      </c>
      <c r="DR54">
        <v>0</v>
      </c>
      <c r="DS54">
        <v>0</v>
      </c>
      <c r="DT54">
        <v>9980</v>
      </c>
      <c r="DU54">
        <v>0</v>
      </c>
      <c r="DV54">
        <v>692.19</v>
      </c>
      <c r="DW54">
        <v>-66.391599999999997</v>
      </c>
      <c r="DX54">
        <v>445.31799999999998</v>
      </c>
      <c r="DY54">
        <v>509.34500000000003</v>
      </c>
      <c r="DZ54">
        <v>7.9392399999999999</v>
      </c>
      <c r="EA54">
        <v>500.02499999999998</v>
      </c>
      <c r="EB54">
        <v>18.298500000000001</v>
      </c>
      <c r="EC54">
        <v>2.6000299999999998</v>
      </c>
      <c r="ED54">
        <v>1.8132900000000001</v>
      </c>
      <c r="EE54">
        <v>21.666599999999999</v>
      </c>
      <c r="EF54">
        <v>15.9018</v>
      </c>
      <c r="EG54">
        <v>1800</v>
      </c>
      <c r="EH54">
        <v>0.97799199999999997</v>
      </c>
      <c r="EI54">
        <v>2.2008400000000001E-2</v>
      </c>
      <c r="EJ54">
        <v>0</v>
      </c>
      <c r="EK54">
        <v>748.37</v>
      </c>
      <c r="EL54">
        <v>9.9989999999999996E-2</v>
      </c>
      <c r="EM54">
        <v>14166.3</v>
      </c>
      <c r="EN54">
        <v>16705.2</v>
      </c>
      <c r="EO54">
        <v>49.061999999999998</v>
      </c>
      <c r="EP54">
        <v>51.186999999999998</v>
      </c>
      <c r="EQ54">
        <v>50</v>
      </c>
      <c r="ER54">
        <v>50</v>
      </c>
      <c r="ES54">
        <v>50.186999999999998</v>
      </c>
      <c r="ET54">
        <v>1760.29</v>
      </c>
      <c r="EU54">
        <v>39.61</v>
      </c>
      <c r="EV54">
        <v>0</v>
      </c>
      <c r="EW54">
        <v>108.2000000476837</v>
      </c>
      <c r="EX54">
        <v>0</v>
      </c>
      <c r="EY54">
        <v>750.65459999999996</v>
      </c>
      <c r="EZ54">
        <v>-4.8726923332751353</v>
      </c>
      <c r="FA54">
        <v>-332.93076926622348</v>
      </c>
      <c r="FB54">
        <v>14185.444</v>
      </c>
      <c r="FC54">
        <v>15</v>
      </c>
      <c r="FD54">
        <v>1691171582</v>
      </c>
      <c r="FE54" t="s">
        <v>616</v>
      </c>
      <c r="FF54">
        <v>1691171579.5</v>
      </c>
      <c r="FG54">
        <v>1691171582</v>
      </c>
      <c r="FH54">
        <v>59</v>
      </c>
      <c r="FI54">
        <v>0.09</v>
      </c>
      <c r="FJ54">
        <v>-7.0000000000000001E-3</v>
      </c>
      <c r="FK54">
        <v>-0.73099999999999998</v>
      </c>
      <c r="FL54">
        <v>6.2E-2</v>
      </c>
      <c r="FM54">
        <v>500</v>
      </c>
      <c r="FN54">
        <v>18</v>
      </c>
      <c r="FO54">
        <v>0.09</v>
      </c>
      <c r="FP54">
        <v>0.03</v>
      </c>
      <c r="FQ54">
        <v>52.500631741984563</v>
      </c>
      <c r="FR54">
        <v>-0.38695732907376962</v>
      </c>
      <c r="FS54">
        <v>0.1114088330278102</v>
      </c>
      <c r="FT54">
        <v>1</v>
      </c>
      <c r="FU54">
        <v>0.42903265068766139</v>
      </c>
      <c r="FV54">
        <v>1.9535894047658771E-2</v>
      </c>
      <c r="FW54">
        <v>2.9237467071693002E-3</v>
      </c>
      <c r="FX54">
        <v>1</v>
      </c>
      <c r="FY54">
        <v>2</v>
      </c>
      <c r="FZ54">
        <v>2</v>
      </c>
      <c r="GA54" t="s">
        <v>416</v>
      </c>
      <c r="GB54">
        <v>2.9651900000000002</v>
      </c>
      <c r="GC54">
        <v>2.8102900000000002</v>
      </c>
      <c r="GD54">
        <v>0.102053</v>
      </c>
      <c r="GE54">
        <v>0.11214200000000001</v>
      </c>
      <c r="GF54">
        <v>0.12564600000000001</v>
      </c>
      <c r="GG54">
        <v>9.6928299999999995E-2</v>
      </c>
      <c r="GH54">
        <v>26397.5</v>
      </c>
      <c r="GI54">
        <v>24056.799999999999</v>
      </c>
      <c r="GJ54">
        <v>26436.7</v>
      </c>
      <c r="GK54">
        <v>25582.2</v>
      </c>
      <c r="GL54">
        <v>31467.599999999999</v>
      </c>
      <c r="GM54">
        <v>32623.200000000001</v>
      </c>
      <c r="GN54">
        <v>37417.800000000003</v>
      </c>
      <c r="GO54">
        <v>37934.199999999997</v>
      </c>
      <c r="GP54">
        <v>1.9165000000000001</v>
      </c>
      <c r="GQ54">
        <v>1.8351</v>
      </c>
      <c r="GR54">
        <v>-5.8233699999999999E-2</v>
      </c>
      <c r="GS54">
        <v>0</v>
      </c>
      <c r="GT54">
        <v>30.875499999999999</v>
      </c>
      <c r="GU54">
        <v>999.9</v>
      </c>
      <c r="GV54">
        <v>26.5</v>
      </c>
      <c r="GW54">
        <v>48.3</v>
      </c>
      <c r="GX54">
        <v>30.496500000000001</v>
      </c>
      <c r="GY54">
        <v>61.593200000000003</v>
      </c>
      <c r="GZ54">
        <v>14.1747</v>
      </c>
      <c r="HA54">
        <v>1</v>
      </c>
      <c r="HB54">
        <v>0.66131099999999998</v>
      </c>
      <c r="HC54">
        <v>4.7007500000000002</v>
      </c>
      <c r="HD54">
        <v>20.179200000000002</v>
      </c>
      <c r="HE54">
        <v>5.1903300000000003</v>
      </c>
      <c r="HF54">
        <v>11.9381</v>
      </c>
      <c r="HG54">
        <v>4.9825999999999997</v>
      </c>
      <c r="HH54">
        <v>3.2871000000000001</v>
      </c>
      <c r="HI54">
        <v>9999</v>
      </c>
      <c r="HJ54">
        <v>9999</v>
      </c>
      <c r="HK54">
        <v>9999</v>
      </c>
      <c r="HL54">
        <v>999.9</v>
      </c>
      <c r="HM54">
        <v>1.8713299999999999</v>
      </c>
      <c r="HN54">
        <v>1.8772899999999999</v>
      </c>
      <c r="HO54">
        <v>1.8750599999999999</v>
      </c>
      <c r="HP54">
        <v>1.8733200000000001</v>
      </c>
      <c r="HQ54">
        <v>1.8737900000000001</v>
      </c>
      <c r="HR54">
        <v>1.8711899999999999</v>
      </c>
      <c r="HS54">
        <v>1.8769800000000001</v>
      </c>
      <c r="HT54">
        <v>1.87622</v>
      </c>
      <c r="HU54">
        <v>5</v>
      </c>
      <c r="HV54">
        <v>0</v>
      </c>
      <c r="HW54">
        <v>0</v>
      </c>
      <c r="HX54">
        <v>0</v>
      </c>
      <c r="HY54" t="s">
        <v>417</v>
      </c>
      <c r="HZ54" t="s">
        <v>418</v>
      </c>
      <c r="IA54" t="s">
        <v>419</v>
      </c>
      <c r="IB54" t="s">
        <v>420</v>
      </c>
      <c r="IC54" t="s">
        <v>420</v>
      </c>
      <c r="ID54" t="s">
        <v>419</v>
      </c>
      <c r="IE54">
        <v>0</v>
      </c>
      <c r="IF54">
        <v>100</v>
      </c>
      <c r="IG54">
        <v>100</v>
      </c>
      <c r="IH54">
        <v>-0.69399999999999995</v>
      </c>
      <c r="II54">
        <v>0.33539999999999998</v>
      </c>
      <c r="IJ54">
        <v>-0.23356817925970461</v>
      </c>
      <c r="IK54">
        <v>-1.615681629159814E-3</v>
      </c>
      <c r="IL54">
        <v>1.5005605225991581E-6</v>
      </c>
      <c r="IM54">
        <v>-5.1143626075267638E-10</v>
      </c>
      <c r="IN54">
        <v>-0.19061389076849919</v>
      </c>
      <c r="IO54">
        <v>-1.7182111142928099E-3</v>
      </c>
      <c r="IP54">
        <v>9.9985895407488957E-4</v>
      </c>
      <c r="IQ54">
        <v>-5.7750407166627208E-6</v>
      </c>
      <c r="IR54">
        <v>3</v>
      </c>
      <c r="IS54">
        <v>2181</v>
      </c>
      <c r="IT54">
        <v>2</v>
      </c>
      <c r="IU54">
        <v>42</v>
      </c>
      <c r="IV54">
        <v>0.6</v>
      </c>
      <c r="IW54">
        <v>0.5</v>
      </c>
      <c r="IX54">
        <v>1.1376999999999999</v>
      </c>
      <c r="IY54">
        <v>2.5671400000000002</v>
      </c>
      <c r="IZ54">
        <v>1.5991200000000001</v>
      </c>
      <c r="JA54">
        <v>2.2717299999999998</v>
      </c>
      <c r="JB54">
        <v>1.5502899999999999</v>
      </c>
      <c r="JC54">
        <v>2.3852500000000001</v>
      </c>
      <c r="JD54">
        <v>51.531500000000001</v>
      </c>
      <c r="JE54">
        <v>23.912400000000002</v>
      </c>
      <c r="JF54">
        <v>18</v>
      </c>
      <c r="JG54">
        <v>500.33100000000002</v>
      </c>
      <c r="JH54">
        <v>418.46</v>
      </c>
      <c r="JI54">
        <v>23.697600000000001</v>
      </c>
      <c r="JJ54">
        <v>35.345799999999997</v>
      </c>
      <c r="JK54">
        <v>29.998799999999999</v>
      </c>
      <c r="JL54">
        <v>35.135599999999997</v>
      </c>
      <c r="JM54">
        <v>35.079900000000002</v>
      </c>
      <c r="JN54">
        <v>22.8096</v>
      </c>
      <c r="JO54">
        <v>43.123399999999997</v>
      </c>
      <c r="JP54">
        <v>0</v>
      </c>
      <c r="JQ54">
        <v>23.715599999999998</v>
      </c>
      <c r="JR54">
        <v>500</v>
      </c>
      <c r="JS54">
        <v>18.152699999999999</v>
      </c>
      <c r="JT54">
        <v>98.693200000000004</v>
      </c>
      <c r="JU54">
        <v>98.452500000000001</v>
      </c>
    </row>
    <row r="55" spans="1:281" x14ac:dyDescent="0.25">
      <c r="A55">
        <v>39</v>
      </c>
      <c r="B55">
        <v>1691171718.5</v>
      </c>
      <c r="C55">
        <v>11987.900000095369</v>
      </c>
      <c r="D55" t="s">
        <v>617</v>
      </c>
      <c r="E55" t="s">
        <v>618</v>
      </c>
      <c r="F55" t="s">
        <v>411</v>
      </c>
      <c r="G55" t="s">
        <v>567</v>
      </c>
      <c r="H55" t="s">
        <v>568</v>
      </c>
      <c r="I55" t="s">
        <v>413</v>
      </c>
      <c r="J55">
        <v>1691171718.5</v>
      </c>
      <c r="K55">
        <f t="shared" si="46"/>
        <v>5.6675731344688869E-3</v>
      </c>
      <c r="L55">
        <f t="shared" si="47"/>
        <v>5.6675731344688867</v>
      </c>
      <c r="M55">
        <f t="shared" si="48"/>
        <v>53.093190995886424</v>
      </c>
      <c r="N55">
        <f t="shared" si="49"/>
        <v>632.02</v>
      </c>
      <c r="O55">
        <f t="shared" si="50"/>
        <v>354.76137631445982</v>
      </c>
      <c r="P55">
        <f t="shared" si="51"/>
        <v>35.190642988143267</v>
      </c>
      <c r="Q55">
        <f t="shared" si="52"/>
        <v>62.693381146576002</v>
      </c>
      <c r="R55">
        <f t="shared" si="53"/>
        <v>0.34039583695940528</v>
      </c>
      <c r="S55">
        <f t="shared" si="54"/>
        <v>2.9101298072955024</v>
      </c>
      <c r="T55">
        <f t="shared" si="55"/>
        <v>0.3197220304037825</v>
      </c>
      <c r="U55">
        <f t="shared" si="56"/>
        <v>0.20157900974172022</v>
      </c>
      <c r="V55">
        <f t="shared" si="57"/>
        <v>289.57980301274097</v>
      </c>
      <c r="W55">
        <f t="shared" si="58"/>
        <v>30.334907681993815</v>
      </c>
      <c r="X55">
        <f t="shared" si="59"/>
        <v>29.955500000000001</v>
      </c>
      <c r="Y55">
        <f t="shared" si="60"/>
        <v>4.2495719989056591</v>
      </c>
      <c r="Z55">
        <f t="shared" si="61"/>
        <v>59.543558319662573</v>
      </c>
      <c r="AA55">
        <f t="shared" si="62"/>
        <v>2.55146051153408</v>
      </c>
      <c r="AB55">
        <f t="shared" si="63"/>
        <v>4.2850319724535719</v>
      </c>
      <c r="AC55">
        <f t="shared" si="64"/>
        <v>1.698111487371579</v>
      </c>
      <c r="AD55">
        <f t="shared" si="65"/>
        <v>-249.93997523007792</v>
      </c>
      <c r="AE55">
        <f t="shared" si="66"/>
        <v>22.702115859331464</v>
      </c>
      <c r="AF55">
        <f t="shared" si="67"/>
        <v>1.7350533794344514</v>
      </c>
      <c r="AG55">
        <f t="shared" si="68"/>
        <v>64.07699702142898</v>
      </c>
      <c r="AH55">
        <v>1</v>
      </c>
      <c r="AI55">
        <v>0</v>
      </c>
      <c r="AJ55">
        <f t="shared" si="69"/>
        <v>1</v>
      </c>
      <c r="AK55">
        <f t="shared" si="70"/>
        <v>0</v>
      </c>
      <c r="AL55">
        <f t="shared" si="71"/>
        <v>51763.325856453805</v>
      </c>
      <c r="AM55" t="s">
        <v>414</v>
      </c>
      <c r="AN55">
        <v>7361.72</v>
      </c>
      <c r="AO55">
        <v>541.39076923076925</v>
      </c>
      <c r="AP55">
        <v>2141.9899999999998</v>
      </c>
      <c r="AQ55">
        <f t="shared" si="72"/>
        <v>0.74724869433061347</v>
      </c>
      <c r="AR55">
        <v>-0.96077199609010144</v>
      </c>
      <c r="AS55" t="s">
        <v>619</v>
      </c>
      <c r="AT55">
        <v>7328.24</v>
      </c>
      <c r="AU55">
        <v>752.48480769230787</v>
      </c>
      <c r="AV55">
        <v>1163.129135263426</v>
      </c>
      <c r="AW55">
        <f t="shared" si="73"/>
        <v>0.35305136387810898</v>
      </c>
      <c r="AX55">
        <v>0.5</v>
      </c>
      <c r="AY55">
        <f t="shared" si="74"/>
        <v>1513.2219000066016</v>
      </c>
      <c r="AZ55">
        <f t="shared" si="75"/>
        <v>53.093190995886424</v>
      </c>
      <c r="BA55">
        <f t="shared" si="76"/>
        <v>267.12252782377709</v>
      </c>
      <c r="BB55">
        <f t="shared" si="77"/>
        <v>3.5721108048820012E-2</v>
      </c>
      <c r="BC55">
        <f t="shared" si="78"/>
        <v>0.84157539782964941</v>
      </c>
      <c r="BD55">
        <f t="shared" si="79"/>
        <v>446.43079580761497</v>
      </c>
      <c r="BE55" t="s">
        <v>620</v>
      </c>
      <c r="BF55">
        <v>580.83000000000004</v>
      </c>
      <c r="BG55">
        <f t="shared" si="80"/>
        <v>580.83000000000004</v>
      </c>
      <c r="BH55">
        <f t="shared" si="81"/>
        <v>0.50063154434829504</v>
      </c>
      <c r="BI55">
        <f t="shared" si="82"/>
        <v>0.7052119824724572</v>
      </c>
      <c r="BJ55">
        <f t="shared" si="83"/>
        <v>0.62700867607200661</v>
      </c>
      <c r="BK55">
        <f t="shared" si="84"/>
        <v>0.66047770252857307</v>
      </c>
      <c r="BL55">
        <f t="shared" si="85"/>
        <v>0.6115589998541634</v>
      </c>
      <c r="BM55">
        <f t="shared" si="86"/>
        <v>0.54434092435121528</v>
      </c>
      <c r="BN55">
        <f t="shared" si="87"/>
        <v>0.45565907564878472</v>
      </c>
      <c r="BO55">
        <v>1507</v>
      </c>
      <c r="BP55">
        <v>290.00000000000011</v>
      </c>
      <c r="BQ55">
        <v>1020</v>
      </c>
      <c r="BR55">
        <v>295</v>
      </c>
      <c r="BS55">
        <v>7328.24</v>
      </c>
      <c r="BT55">
        <v>1021.67</v>
      </c>
      <c r="BU55">
        <v>-1.67</v>
      </c>
      <c r="BV55">
        <v>300.00000000000011</v>
      </c>
      <c r="BW55">
        <v>37.9</v>
      </c>
      <c r="BX55">
        <v>1163.129135263426</v>
      </c>
      <c r="BY55">
        <v>1.4786023449324881</v>
      </c>
      <c r="BZ55">
        <v>-103.66120741707741</v>
      </c>
      <c r="CA55">
        <v>0.90837093245277112</v>
      </c>
      <c r="CB55">
        <v>0.99785454602461088</v>
      </c>
      <c r="CC55">
        <v>-7.2203285873192408E-3</v>
      </c>
      <c r="CD55">
        <v>289.99999999999989</v>
      </c>
      <c r="CE55">
        <v>1010.69</v>
      </c>
      <c r="CF55">
        <v>685</v>
      </c>
      <c r="CG55">
        <v>7322.47</v>
      </c>
      <c r="CH55">
        <v>1021.56</v>
      </c>
      <c r="CI55">
        <v>-10.87</v>
      </c>
      <c r="CW55">
        <f t="shared" si="88"/>
        <v>1800.04</v>
      </c>
      <c r="CX55">
        <f t="shared" si="89"/>
        <v>1513.2219000066016</v>
      </c>
      <c r="CY55">
        <f t="shared" si="90"/>
        <v>0.84066015200028976</v>
      </c>
      <c r="CZ55">
        <f t="shared" si="91"/>
        <v>0.16087409336055919</v>
      </c>
      <c r="DA55">
        <v>6</v>
      </c>
      <c r="DB55">
        <v>0.5</v>
      </c>
      <c r="DC55" t="s">
        <v>415</v>
      </c>
      <c r="DD55">
        <v>2</v>
      </c>
      <c r="DE55">
        <v>1691171718.5</v>
      </c>
      <c r="DF55">
        <v>632.02</v>
      </c>
      <c r="DG55">
        <v>700.04100000000005</v>
      </c>
      <c r="DH55">
        <v>25.721599999999999</v>
      </c>
      <c r="DI55">
        <v>19.0944</v>
      </c>
      <c r="DJ55">
        <v>632.62400000000002</v>
      </c>
      <c r="DK55">
        <v>25.408000000000001</v>
      </c>
      <c r="DL55">
        <v>499.92099999999999</v>
      </c>
      <c r="DM55">
        <v>99.095299999999995</v>
      </c>
      <c r="DN55">
        <v>9.9948800000000004E-2</v>
      </c>
      <c r="DO55">
        <v>30.100200000000001</v>
      </c>
      <c r="DP55">
        <v>29.955500000000001</v>
      </c>
      <c r="DQ55">
        <v>999.9</v>
      </c>
      <c r="DR55">
        <v>0</v>
      </c>
      <c r="DS55">
        <v>0</v>
      </c>
      <c r="DT55">
        <v>9980</v>
      </c>
      <c r="DU55">
        <v>0</v>
      </c>
      <c r="DV55">
        <v>914.505</v>
      </c>
      <c r="DW55">
        <v>-68.021500000000003</v>
      </c>
      <c r="DX55">
        <v>648.70500000000004</v>
      </c>
      <c r="DY55">
        <v>713.66800000000001</v>
      </c>
      <c r="DZ55">
        <v>6.6271699999999996</v>
      </c>
      <c r="EA55">
        <v>700.04100000000005</v>
      </c>
      <c r="EB55">
        <v>19.0944</v>
      </c>
      <c r="EC55">
        <v>2.5488900000000001</v>
      </c>
      <c r="ED55">
        <v>1.8921699999999999</v>
      </c>
      <c r="EE55">
        <v>21.342099999999999</v>
      </c>
      <c r="EF55">
        <v>16.569700000000001</v>
      </c>
      <c r="EG55">
        <v>1800.04</v>
      </c>
      <c r="EH55">
        <v>0.97799499999999995</v>
      </c>
      <c r="EI55">
        <v>2.2004900000000001E-2</v>
      </c>
      <c r="EJ55">
        <v>0</v>
      </c>
      <c r="EK55">
        <v>748.65499999999997</v>
      </c>
      <c r="EL55">
        <v>9.9989999999999996E-2</v>
      </c>
      <c r="EM55">
        <v>14268</v>
      </c>
      <c r="EN55">
        <v>16705.599999999999</v>
      </c>
      <c r="EO55">
        <v>48.75</v>
      </c>
      <c r="EP55">
        <v>50.686999999999998</v>
      </c>
      <c r="EQ55">
        <v>49.75</v>
      </c>
      <c r="ER55">
        <v>49.561999999999998</v>
      </c>
      <c r="ES55">
        <v>49.875</v>
      </c>
      <c r="ET55">
        <v>1760.33</v>
      </c>
      <c r="EU55">
        <v>39.61</v>
      </c>
      <c r="EV55">
        <v>0</v>
      </c>
      <c r="EW55">
        <v>101.4000000953674</v>
      </c>
      <c r="EX55">
        <v>0</v>
      </c>
      <c r="EY55">
        <v>752.48480769230787</v>
      </c>
      <c r="EZ55">
        <v>-2.2582905935608162</v>
      </c>
      <c r="FA55">
        <v>143.35384586991179</v>
      </c>
      <c r="FB55">
        <v>14258.926923076921</v>
      </c>
      <c r="FC55">
        <v>15</v>
      </c>
      <c r="FD55">
        <v>1691171686</v>
      </c>
      <c r="FE55" t="s">
        <v>621</v>
      </c>
      <c r="FF55">
        <v>1691171681.5</v>
      </c>
      <c r="FG55">
        <v>1691171686</v>
      </c>
      <c r="FH55">
        <v>60</v>
      </c>
      <c r="FI55">
        <v>0.18099999999999999</v>
      </c>
      <c r="FJ55">
        <v>-3.0000000000000001E-3</v>
      </c>
      <c r="FK55">
        <v>-0.624</v>
      </c>
      <c r="FL55">
        <v>6.6000000000000003E-2</v>
      </c>
      <c r="FM55">
        <v>700</v>
      </c>
      <c r="FN55">
        <v>18</v>
      </c>
      <c r="FO55">
        <v>0.12</v>
      </c>
      <c r="FP55">
        <v>0.03</v>
      </c>
      <c r="FQ55">
        <v>53.099857896147363</v>
      </c>
      <c r="FR55">
        <v>-0.69081646958662324</v>
      </c>
      <c r="FS55">
        <v>0.1282336177175199</v>
      </c>
      <c r="FT55">
        <v>1</v>
      </c>
      <c r="FU55">
        <v>0.34512477844058681</v>
      </c>
      <c r="FV55">
        <v>-3.9302887133214233E-2</v>
      </c>
      <c r="FW55">
        <v>2.9173685318922391E-3</v>
      </c>
      <c r="FX55">
        <v>1</v>
      </c>
      <c r="FY55">
        <v>2</v>
      </c>
      <c r="FZ55">
        <v>2</v>
      </c>
      <c r="GA55" t="s">
        <v>416</v>
      </c>
      <c r="GB55">
        <v>2.9663900000000001</v>
      </c>
      <c r="GC55">
        <v>2.8114699999999999</v>
      </c>
      <c r="GD55">
        <v>0.134321</v>
      </c>
      <c r="GE55">
        <v>0.142536</v>
      </c>
      <c r="GF55">
        <v>0.123917</v>
      </c>
      <c r="GG55">
        <v>9.9917800000000001E-2</v>
      </c>
      <c r="GH55">
        <v>25445</v>
      </c>
      <c r="GI55">
        <v>23229.4</v>
      </c>
      <c r="GJ55">
        <v>26434.400000000001</v>
      </c>
      <c r="GK55">
        <v>25579.8</v>
      </c>
      <c r="GL55">
        <v>31528.799999999999</v>
      </c>
      <c r="GM55">
        <v>32514.400000000001</v>
      </c>
      <c r="GN55">
        <v>37413.800000000003</v>
      </c>
      <c r="GO55">
        <v>37930.6</v>
      </c>
      <c r="GP55">
        <v>1.9155</v>
      </c>
      <c r="GQ55">
        <v>1.8364</v>
      </c>
      <c r="GR55">
        <v>-2.3186200000000001E-2</v>
      </c>
      <c r="GS55">
        <v>0</v>
      </c>
      <c r="GT55">
        <v>30.332699999999999</v>
      </c>
      <c r="GU55">
        <v>999.9</v>
      </c>
      <c r="GV55">
        <v>26.5</v>
      </c>
      <c r="GW55">
        <v>48.3</v>
      </c>
      <c r="GX55">
        <v>30.496700000000001</v>
      </c>
      <c r="GY55">
        <v>61.5732</v>
      </c>
      <c r="GZ55">
        <v>13.3133</v>
      </c>
      <c r="HA55">
        <v>1</v>
      </c>
      <c r="HB55">
        <v>0.66568099999999997</v>
      </c>
      <c r="HC55">
        <v>4.3990400000000003</v>
      </c>
      <c r="HD55">
        <v>20.1874</v>
      </c>
      <c r="HE55">
        <v>5.1999199999999997</v>
      </c>
      <c r="HF55">
        <v>11.9381</v>
      </c>
      <c r="HG55">
        <v>4.9846000000000004</v>
      </c>
      <c r="HH55">
        <v>3.2886000000000002</v>
      </c>
      <c r="HI55">
        <v>9999</v>
      </c>
      <c r="HJ55">
        <v>9999</v>
      </c>
      <c r="HK55">
        <v>9999</v>
      </c>
      <c r="HL55">
        <v>999.9</v>
      </c>
      <c r="HM55">
        <v>1.87134</v>
      </c>
      <c r="HN55">
        <v>1.8772899999999999</v>
      </c>
      <c r="HO55">
        <v>1.875</v>
      </c>
      <c r="HP55">
        <v>1.8733</v>
      </c>
      <c r="HQ55">
        <v>1.87381</v>
      </c>
      <c r="HR55">
        <v>1.8711899999999999</v>
      </c>
      <c r="HS55">
        <v>1.87703</v>
      </c>
      <c r="HT55">
        <v>1.87622</v>
      </c>
      <c r="HU55">
        <v>5</v>
      </c>
      <c r="HV55">
        <v>0</v>
      </c>
      <c r="HW55">
        <v>0</v>
      </c>
      <c r="HX55">
        <v>0</v>
      </c>
      <c r="HY55" t="s">
        <v>417</v>
      </c>
      <c r="HZ55" t="s">
        <v>418</v>
      </c>
      <c r="IA55" t="s">
        <v>419</v>
      </c>
      <c r="IB55" t="s">
        <v>420</v>
      </c>
      <c r="IC55" t="s">
        <v>420</v>
      </c>
      <c r="ID55" t="s">
        <v>419</v>
      </c>
      <c r="IE55">
        <v>0</v>
      </c>
      <c r="IF55">
        <v>100</v>
      </c>
      <c r="IG55">
        <v>100</v>
      </c>
      <c r="IH55">
        <v>-0.60399999999999998</v>
      </c>
      <c r="II55">
        <v>0.31359999999999999</v>
      </c>
      <c r="IJ55">
        <v>-5.2983364290627832E-2</v>
      </c>
      <c r="IK55">
        <v>-1.615681629159814E-3</v>
      </c>
      <c r="IL55">
        <v>1.5005605225991581E-6</v>
      </c>
      <c r="IM55">
        <v>-5.1143626075267638E-10</v>
      </c>
      <c r="IN55">
        <v>-0.19347027829281899</v>
      </c>
      <c r="IO55">
        <v>-1.7182111142928099E-3</v>
      </c>
      <c r="IP55">
        <v>9.9985895407488957E-4</v>
      </c>
      <c r="IQ55">
        <v>-5.7750407166627208E-6</v>
      </c>
      <c r="IR55">
        <v>3</v>
      </c>
      <c r="IS55">
        <v>2181</v>
      </c>
      <c r="IT55">
        <v>2</v>
      </c>
      <c r="IU55">
        <v>42</v>
      </c>
      <c r="IV55">
        <v>0.6</v>
      </c>
      <c r="IW55">
        <v>0.5</v>
      </c>
      <c r="IX55">
        <v>1.49902</v>
      </c>
      <c r="IY55">
        <v>2.5573700000000001</v>
      </c>
      <c r="IZ55">
        <v>1.5991200000000001</v>
      </c>
      <c r="JA55">
        <v>2.2717299999999998</v>
      </c>
      <c r="JB55">
        <v>1.5502899999999999</v>
      </c>
      <c r="JC55">
        <v>2.36328</v>
      </c>
      <c r="JD55">
        <v>51.598399999999998</v>
      </c>
      <c r="JE55">
        <v>23.912400000000002</v>
      </c>
      <c r="JF55">
        <v>18</v>
      </c>
      <c r="JG55">
        <v>500.46199999999999</v>
      </c>
      <c r="JH55">
        <v>419.90699999999998</v>
      </c>
      <c r="JI55">
        <v>24.2636</v>
      </c>
      <c r="JJ55">
        <v>35.383499999999998</v>
      </c>
      <c r="JK55">
        <v>29.997800000000002</v>
      </c>
      <c r="JL55">
        <v>35.239800000000002</v>
      </c>
      <c r="JM55">
        <v>35.185299999999998</v>
      </c>
      <c r="JN55">
        <v>30.024000000000001</v>
      </c>
      <c r="JO55">
        <v>40.548099999999998</v>
      </c>
      <c r="JP55">
        <v>0</v>
      </c>
      <c r="JQ55">
        <v>24.338200000000001</v>
      </c>
      <c r="JR55">
        <v>700</v>
      </c>
      <c r="JS55">
        <v>19.270700000000001</v>
      </c>
      <c r="JT55">
        <v>98.683499999999995</v>
      </c>
      <c r="JU55">
        <v>98.443200000000004</v>
      </c>
    </row>
    <row r="56" spans="1:281" x14ac:dyDescent="0.25">
      <c r="A56">
        <v>40</v>
      </c>
      <c r="B56">
        <v>1691171818.5</v>
      </c>
      <c r="C56">
        <v>12087.900000095369</v>
      </c>
      <c r="D56" t="s">
        <v>622</v>
      </c>
      <c r="E56" t="s">
        <v>623</v>
      </c>
      <c r="F56" t="s">
        <v>411</v>
      </c>
      <c r="G56" t="s">
        <v>567</v>
      </c>
      <c r="H56" t="s">
        <v>568</v>
      </c>
      <c r="I56" t="s">
        <v>413</v>
      </c>
      <c r="J56">
        <v>1691171818.5</v>
      </c>
      <c r="K56">
        <f t="shared" si="46"/>
        <v>4.7102929218584035E-3</v>
      </c>
      <c r="L56">
        <f t="shared" si="47"/>
        <v>4.7102929218584038</v>
      </c>
      <c r="M56">
        <f t="shared" si="48"/>
        <v>53.503207660774734</v>
      </c>
      <c r="N56">
        <f t="shared" si="49"/>
        <v>831.09500000000003</v>
      </c>
      <c r="O56">
        <f t="shared" si="50"/>
        <v>483.19774179714767</v>
      </c>
      <c r="P56">
        <f t="shared" si="51"/>
        <v>47.932739070105889</v>
      </c>
      <c r="Q56">
        <f t="shared" si="52"/>
        <v>82.443803709234999</v>
      </c>
      <c r="R56">
        <f t="shared" si="53"/>
        <v>0.27182431818091213</v>
      </c>
      <c r="S56">
        <f t="shared" si="54"/>
        <v>2.9106276008798391</v>
      </c>
      <c r="T56">
        <f t="shared" si="55"/>
        <v>0.25846756284673011</v>
      </c>
      <c r="U56">
        <f t="shared" si="56"/>
        <v>0.16268757003897305</v>
      </c>
      <c r="V56">
        <f t="shared" si="57"/>
        <v>289.58285401273105</v>
      </c>
      <c r="W56">
        <f t="shared" si="58"/>
        <v>30.655686133544272</v>
      </c>
      <c r="X56">
        <f t="shared" si="59"/>
        <v>30.087499999999999</v>
      </c>
      <c r="Y56">
        <f t="shared" si="60"/>
        <v>4.2819094400389561</v>
      </c>
      <c r="Z56">
        <f t="shared" si="61"/>
        <v>58.948069273023386</v>
      </c>
      <c r="AA56">
        <f t="shared" si="62"/>
        <v>2.5362410051735997</v>
      </c>
      <c r="AB56">
        <f t="shared" si="63"/>
        <v>4.3025005508268084</v>
      </c>
      <c r="AC56">
        <f t="shared" si="64"/>
        <v>1.7456684348653564</v>
      </c>
      <c r="AD56">
        <f t="shared" si="65"/>
        <v>-207.72391785395558</v>
      </c>
      <c r="AE56">
        <f t="shared" si="66"/>
        <v>13.118324336277883</v>
      </c>
      <c r="AF56">
        <f t="shared" si="67"/>
        <v>1.0034290885964099</v>
      </c>
      <c r="AG56">
        <f t="shared" si="68"/>
        <v>95.980689583649763</v>
      </c>
      <c r="AH56">
        <v>1</v>
      </c>
      <c r="AI56">
        <v>0</v>
      </c>
      <c r="AJ56">
        <f t="shared" si="69"/>
        <v>1</v>
      </c>
      <c r="AK56">
        <f t="shared" si="70"/>
        <v>0</v>
      </c>
      <c r="AL56">
        <f t="shared" si="71"/>
        <v>51765.43611378983</v>
      </c>
      <c r="AM56" t="s">
        <v>414</v>
      </c>
      <c r="AN56">
        <v>7361.72</v>
      </c>
      <c r="AO56">
        <v>541.39076923076925</v>
      </c>
      <c r="AP56">
        <v>2141.9899999999998</v>
      </c>
      <c r="AQ56">
        <f t="shared" si="72"/>
        <v>0.74724869433061347</v>
      </c>
      <c r="AR56">
        <v>-0.96077199609010144</v>
      </c>
      <c r="AS56" t="s">
        <v>624</v>
      </c>
      <c r="AT56">
        <v>7330.99</v>
      </c>
      <c r="AU56">
        <v>750.26384615384609</v>
      </c>
      <c r="AV56">
        <v>1166.3510247657359</v>
      </c>
      <c r="AW56">
        <f t="shared" si="73"/>
        <v>0.35674266989687931</v>
      </c>
      <c r="AX56">
        <v>0.5</v>
      </c>
      <c r="AY56">
        <f t="shared" si="74"/>
        <v>1513.2462000065964</v>
      </c>
      <c r="AZ56">
        <f t="shared" si="75"/>
        <v>53.503207660774734</v>
      </c>
      <c r="BA56">
        <f t="shared" si="76"/>
        <v>269.91974480083013</v>
      </c>
      <c r="BB56">
        <f t="shared" si="77"/>
        <v>3.5991486155146087E-2</v>
      </c>
      <c r="BC56">
        <f t="shared" si="78"/>
        <v>0.83648829084727983</v>
      </c>
      <c r="BD56">
        <f t="shared" si="79"/>
        <v>446.90462566939419</v>
      </c>
      <c r="BE56" t="s">
        <v>625</v>
      </c>
      <c r="BF56">
        <v>583.79</v>
      </c>
      <c r="BG56">
        <f t="shared" si="80"/>
        <v>583.79</v>
      </c>
      <c r="BH56">
        <f t="shared" si="81"/>
        <v>0.4994731537898246</v>
      </c>
      <c r="BI56">
        <f t="shared" si="82"/>
        <v>0.71423792688364296</v>
      </c>
      <c r="BJ56">
        <f t="shared" si="83"/>
        <v>0.62613205957788731</v>
      </c>
      <c r="BK56">
        <f t="shared" si="84"/>
        <v>0.66578182360687677</v>
      </c>
      <c r="BL56">
        <f t="shared" si="85"/>
        <v>0.60954607279511341</v>
      </c>
      <c r="BM56">
        <f t="shared" si="86"/>
        <v>0.55575776638169594</v>
      </c>
      <c r="BN56">
        <f t="shared" si="87"/>
        <v>0.44424223361830406</v>
      </c>
      <c r="BO56">
        <v>1509</v>
      </c>
      <c r="BP56">
        <v>290.00000000000011</v>
      </c>
      <c r="BQ56">
        <v>1022.84</v>
      </c>
      <c r="BR56">
        <v>255</v>
      </c>
      <c r="BS56">
        <v>7330.99</v>
      </c>
      <c r="BT56">
        <v>1023.25</v>
      </c>
      <c r="BU56">
        <v>-0.41</v>
      </c>
      <c r="BV56">
        <v>300.00000000000011</v>
      </c>
      <c r="BW56">
        <v>37.9</v>
      </c>
      <c r="BX56">
        <v>1166.3510247657359</v>
      </c>
      <c r="BY56">
        <v>1.392228362376422</v>
      </c>
      <c r="BZ56">
        <v>-104.9096619390892</v>
      </c>
      <c r="CA56">
        <v>0.8554445340557526</v>
      </c>
      <c r="CB56">
        <v>0.99814175492155888</v>
      </c>
      <c r="CC56">
        <v>-7.221608231368185E-3</v>
      </c>
      <c r="CD56">
        <v>289.99999999999989</v>
      </c>
      <c r="CE56">
        <v>1012.41</v>
      </c>
      <c r="CF56">
        <v>645</v>
      </c>
      <c r="CG56">
        <v>7325.08</v>
      </c>
      <c r="CH56">
        <v>1023.13</v>
      </c>
      <c r="CI56">
        <v>-10.72</v>
      </c>
      <c r="CW56">
        <f t="shared" si="88"/>
        <v>1800.07</v>
      </c>
      <c r="CX56">
        <f t="shared" si="89"/>
        <v>1513.2462000065964</v>
      </c>
      <c r="CY56">
        <f t="shared" si="90"/>
        <v>0.84065964101762514</v>
      </c>
      <c r="CZ56">
        <f t="shared" si="91"/>
        <v>0.16087310716401643</v>
      </c>
      <c r="DA56">
        <v>6</v>
      </c>
      <c r="DB56">
        <v>0.5</v>
      </c>
      <c r="DC56" t="s">
        <v>415</v>
      </c>
      <c r="DD56">
        <v>2</v>
      </c>
      <c r="DE56">
        <v>1691171818.5</v>
      </c>
      <c r="DF56">
        <v>831.09500000000003</v>
      </c>
      <c r="DG56">
        <v>899.95600000000002</v>
      </c>
      <c r="DH56">
        <v>25.5672</v>
      </c>
      <c r="DI56">
        <v>20.0626</v>
      </c>
      <c r="DJ56">
        <v>831.72</v>
      </c>
      <c r="DK56">
        <v>25.440200000000001</v>
      </c>
      <c r="DL56">
        <v>500.29399999999998</v>
      </c>
      <c r="DM56">
        <v>99.098699999999994</v>
      </c>
      <c r="DN56">
        <v>0.100313</v>
      </c>
      <c r="DO56">
        <v>30.171099999999999</v>
      </c>
      <c r="DP56">
        <v>30.087499999999999</v>
      </c>
      <c r="DQ56">
        <v>999.9</v>
      </c>
      <c r="DR56">
        <v>0</v>
      </c>
      <c r="DS56">
        <v>0</v>
      </c>
      <c r="DT56">
        <v>9982.5</v>
      </c>
      <c r="DU56">
        <v>0</v>
      </c>
      <c r="DV56">
        <v>1785.15</v>
      </c>
      <c r="DW56">
        <v>-68.889300000000006</v>
      </c>
      <c r="DX56">
        <v>853.03700000000003</v>
      </c>
      <c r="DY56">
        <v>918.38099999999997</v>
      </c>
      <c r="DZ56">
        <v>5.6924200000000003</v>
      </c>
      <c r="EA56">
        <v>899.95600000000002</v>
      </c>
      <c r="EB56">
        <v>20.0626</v>
      </c>
      <c r="EC56">
        <v>2.5522900000000002</v>
      </c>
      <c r="ED56">
        <v>1.9881800000000001</v>
      </c>
      <c r="EE56">
        <v>21.363900000000001</v>
      </c>
      <c r="EF56">
        <v>17.3505</v>
      </c>
      <c r="EG56">
        <v>1800.07</v>
      </c>
      <c r="EH56">
        <v>0.97800900000000002</v>
      </c>
      <c r="EI56">
        <v>2.19911E-2</v>
      </c>
      <c r="EJ56">
        <v>0</v>
      </c>
      <c r="EK56">
        <v>750.48</v>
      </c>
      <c r="EL56">
        <v>9.9989999999999996E-2</v>
      </c>
      <c r="EM56">
        <v>14697.4</v>
      </c>
      <c r="EN56">
        <v>16706</v>
      </c>
      <c r="EO56">
        <v>48.561999999999998</v>
      </c>
      <c r="EP56">
        <v>50.5</v>
      </c>
      <c r="EQ56">
        <v>49.5</v>
      </c>
      <c r="ER56">
        <v>49.311999999999998</v>
      </c>
      <c r="ES56">
        <v>49.686999999999998</v>
      </c>
      <c r="ET56">
        <v>1760.39</v>
      </c>
      <c r="EU56">
        <v>39.58</v>
      </c>
      <c r="EV56">
        <v>0</v>
      </c>
      <c r="EW56">
        <v>97.399999856948853</v>
      </c>
      <c r="EX56">
        <v>0</v>
      </c>
      <c r="EY56">
        <v>750.26384615384609</v>
      </c>
      <c r="EZ56">
        <v>-5.9319658780955367</v>
      </c>
      <c r="FA56">
        <v>3.4461539638972498</v>
      </c>
      <c r="FB56">
        <v>14700.915384615389</v>
      </c>
      <c r="FC56">
        <v>15</v>
      </c>
      <c r="FD56">
        <v>1691171854</v>
      </c>
      <c r="FE56" t="s">
        <v>626</v>
      </c>
      <c r="FF56">
        <v>1691171844.5</v>
      </c>
      <c r="FG56">
        <v>1691171854</v>
      </c>
      <c r="FH56">
        <v>61</v>
      </c>
      <c r="FI56">
        <v>0.04</v>
      </c>
      <c r="FJ56">
        <v>0</v>
      </c>
      <c r="FK56">
        <v>-0.625</v>
      </c>
      <c r="FL56">
        <v>0.127</v>
      </c>
      <c r="FM56">
        <v>900</v>
      </c>
      <c r="FN56">
        <v>20</v>
      </c>
      <c r="FO56">
        <v>0.11</v>
      </c>
      <c r="FP56">
        <v>0.04</v>
      </c>
      <c r="FQ56">
        <v>53.262920557394658</v>
      </c>
      <c r="FR56">
        <v>-0.34513998930410228</v>
      </c>
      <c r="FS56">
        <v>0.14564962587379349</v>
      </c>
      <c r="FT56">
        <v>1</v>
      </c>
      <c r="FU56">
        <v>0.29131670593265202</v>
      </c>
      <c r="FV56">
        <v>-3.6742563733332463E-2</v>
      </c>
      <c r="FW56">
        <v>2.9351005446534811E-3</v>
      </c>
      <c r="FX56">
        <v>1</v>
      </c>
      <c r="FY56">
        <v>2</v>
      </c>
      <c r="FZ56">
        <v>2</v>
      </c>
      <c r="GA56" t="s">
        <v>416</v>
      </c>
      <c r="GB56">
        <v>2.96739</v>
      </c>
      <c r="GC56">
        <v>2.8118599999999998</v>
      </c>
      <c r="GD56">
        <v>0.162055</v>
      </c>
      <c r="GE56">
        <v>0.16889499999999999</v>
      </c>
      <c r="GF56">
        <v>0.124028</v>
      </c>
      <c r="GG56">
        <v>0.10351100000000001</v>
      </c>
      <c r="GH56">
        <v>24629.8</v>
      </c>
      <c r="GI56">
        <v>22514.5</v>
      </c>
      <c r="GJ56">
        <v>26436.3</v>
      </c>
      <c r="GK56">
        <v>25580.9</v>
      </c>
      <c r="GL56">
        <v>31528.9</v>
      </c>
      <c r="GM56">
        <v>32388.5</v>
      </c>
      <c r="GN56">
        <v>37416.300000000003</v>
      </c>
      <c r="GO56">
        <v>37932.9</v>
      </c>
      <c r="GP56">
        <v>1.9156</v>
      </c>
      <c r="GQ56">
        <v>1.8384</v>
      </c>
      <c r="GR56">
        <v>-1.91927E-2</v>
      </c>
      <c r="GS56">
        <v>0</v>
      </c>
      <c r="GT56">
        <v>30.399699999999999</v>
      </c>
      <c r="GU56">
        <v>999.9</v>
      </c>
      <c r="GV56">
        <v>26.6</v>
      </c>
      <c r="GW56">
        <v>48.4</v>
      </c>
      <c r="GX56">
        <v>30.764399999999998</v>
      </c>
      <c r="GY56">
        <v>61.803199999999997</v>
      </c>
      <c r="GZ56">
        <v>13.333299999999999</v>
      </c>
      <c r="HA56">
        <v>1</v>
      </c>
      <c r="HB56">
        <v>0.67014200000000002</v>
      </c>
      <c r="HC56">
        <v>5.8859500000000002</v>
      </c>
      <c r="HD56">
        <v>20.1433</v>
      </c>
      <c r="HE56">
        <v>5.2088999999999999</v>
      </c>
      <c r="HF56">
        <v>11.9381</v>
      </c>
      <c r="HG56">
        <v>4.9874000000000001</v>
      </c>
      <c r="HH56">
        <v>3.2909999999999999</v>
      </c>
      <c r="HI56">
        <v>9999</v>
      </c>
      <c r="HJ56">
        <v>9999</v>
      </c>
      <c r="HK56">
        <v>9999</v>
      </c>
      <c r="HL56">
        <v>999.9</v>
      </c>
      <c r="HM56">
        <v>1.87131</v>
      </c>
      <c r="HN56">
        <v>1.8772899999999999</v>
      </c>
      <c r="HO56">
        <v>1.875</v>
      </c>
      <c r="HP56">
        <v>1.8732899999999999</v>
      </c>
      <c r="HQ56">
        <v>1.8737900000000001</v>
      </c>
      <c r="HR56">
        <v>1.8711899999999999</v>
      </c>
      <c r="HS56">
        <v>1.8769800000000001</v>
      </c>
      <c r="HT56">
        <v>1.8762399999999999</v>
      </c>
      <c r="HU56">
        <v>5</v>
      </c>
      <c r="HV56">
        <v>0</v>
      </c>
      <c r="HW56">
        <v>0</v>
      </c>
      <c r="HX56">
        <v>0</v>
      </c>
      <c r="HY56" t="s">
        <v>417</v>
      </c>
      <c r="HZ56" t="s">
        <v>418</v>
      </c>
      <c r="IA56" t="s">
        <v>419</v>
      </c>
      <c r="IB56" t="s">
        <v>420</v>
      </c>
      <c r="IC56" t="s">
        <v>420</v>
      </c>
      <c r="ID56" t="s">
        <v>419</v>
      </c>
      <c r="IE56">
        <v>0</v>
      </c>
      <c r="IF56">
        <v>100</v>
      </c>
      <c r="IG56">
        <v>100</v>
      </c>
      <c r="IH56">
        <v>-0.625</v>
      </c>
      <c r="II56">
        <v>0.127</v>
      </c>
      <c r="IJ56">
        <v>-5.2983364290627832E-2</v>
      </c>
      <c r="IK56">
        <v>-1.615681629159814E-3</v>
      </c>
      <c r="IL56">
        <v>1.5005605225991581E-6</v>
      </c>
      <c r="IM56">
        <v>-5.1143626075267638E-10</v>
      </c>
      <c r="IN56">
        <v>-0.19347027829281899</v>
      </c>
      <c r="IO56">
        <v>-1.7182111142928099E-3</v>
      </c>
      <c r="IP56">
        <v>9.9985895407488957E-4</v>
      </c>
      <c r="IQ56">
        <v>-5.7750407166627208E-6</v>
      </c>
      <c r="IR56">
        <v>3</v>
      </c>
      <c r="IS56">
        <v>2181</v>
      </c>
      <c r="IT56">
        <v>2</v>
      </c>
      <c r="IU56">
        <v>42</v>
      </c>
      <c r="IV56">
        <v>2.2999999999999998</v>
      </c>
      <c r="IW56">
        <v>2.2000000000000002</v>
      </c>
      <c r="IX56">
        <v>1.8456999999999999</v>
      </c>
      <c r="IY56">
        <v>2.5512700000000001</v>
      </c>
      <c r="IZ56">
        <v>1.5991200000000001</v>
      </c>
      <c r="JA56">
        <v>2.2705099999999998</v>
      </c>
      <c r="JB56">
        <v>1.5502899999999999</v>
      </c>
      <c r="JC56">
        <v>2.4462899999999999</v>
      </c>
      <c r="JD56">
        <v>51.564900000000002</v>
      </c>
      <c r="JE56">
        <v>23.8949</v>
      </c>
      <c r="JF56">
        <v>18</v>
      </c>
      <c r="JG56">
        <v>500.64800000000002</v>
      </c>
      <c r="JH56">
        <v>421.298</v>
      </c>
      <c r="JI56">
        <v>23.584599999999998</v>
      </c>
      <c r="JJ56">
        <v>35.360700000000001</v>
      </c>
      <c r="JK56">
        <v>30.000599999999999</v>
      </c>
      <c r="JL56">
        <v>35.255899999999997</v>
      </c>
      <c r="JM56">
        <v>35.217399999999998</v>
      </c>
      <c r="JN56">
        <v>36.968299999999999</v>
      </c>
      <c r="JO56">
        <v>38.170099999999998</v>
      </c>
      <c r="JP56">
        <v>0</v>
      </c>
      <c r="JQ56">
        <v>23.565000000000001</v>
      </c>
      <c r="JR56">
        <v>900</v>
      </c>
      <c r="JS56">
        <v>20.1418</v>
      </c>
      <c r="JT56">
        <v>98.690299999999993</v>
      </c>
      <c r="JU56">
        <v>98.448400000000007</v>
      </c>
    </row>
    <row r="57" spans="1:281" x14ac:dyDescent="0.25">
      <c r="A57">
        <v>41</v>
      </c>
      <c r="B57">
        <v>1691172013.5</v>
      </c>
      <c r="C57">
        <v>12282.900000095369</v>
      </c>
      <c r="D57" t="s">
        <v>627</v>
      </c>
      <c r="E57" t="s">
        <v>628</v>
      </c>
      <c r="F57" t="s">
        <v>411</v>
      </c>
      <c r="G57" t="s">
        <v>567</v>
      </c>
      <c r="H57" t="s">
        <v>568</v>
      </c>
      <c r="I57" t="s">
        <v>413</v>
      </c>
      <c r="J57">
        <v>1691172013.5</v>
      </c>
      <c r="K57">
        <f t="shared" si="46"/>
        <v>3.7632010484790171E-3</v>
      </c>
      <c r="L57">
        <f t="shared" si="47"/>
        <v>3.7632010484790173</v>
      </c>
      <c r="M57">
        <f t="shared" si="48"/>
        <v>51.598159129270314</v>
      </c>
      <c r="N57">
        <f t="shared" si="49"/>
        <v>1133.1300000000001</v>
      </c>
      <c r="O57">
        <f t="shared" si="50"/>
        <v>713.24318250468218</v>
      </c>
      <c r="P57">
        <f t="shared" si="51"/>
        <v>70.756138745880435</v>
      </c>
      <c r="Q57">
        <f t="shared" si="52"/>
        <v>112.41033277818002</v>
      </c>
      <c r="R57">
        <f t="shared" si="53"/>
        <v>0.21729780312080246</v>
      </c>
      <c r="S57">
        <f t="shared" si="54"/>
        <v>2.9067656384889196</v>
      </c>
      <c r="T57">
        <f t="shared" si="55"/>
        <v>0.20865981038293135</v>
      </c>
      <c r="U57">
        <f t="shared" si="56"/>
        <v>0.13115985923522586</v>
      </c>
      <c r="V57">
        <f t="shared" si="57"/>
        <v>289.55949301273535</v>
      </c>
      <c r="W57">
        <f t="shared" si="58"/>
        <v>30.630241450505387</v>
      </c>
      <c r="X57">
        <f t="shared" si="59"/>
        <v>30.0123</v>
      </c>
      <c r="Y57">
        <f t="shared" si="60"/>
        <v>4.2634607151818038</v>
      </c>
      <c r="Z57">
        <f t="shared" si="61"/>
        <v>59.867080498775017</v>
      </c>
      <c r="AA57">
        <f t="shared" si="62"/>
        <v>2.5356286258214</v>
      </c>
      <c r="AB57">
        <f t="shared" si="63"/>
        <v>4.2354305650052257</v>
      </c>
      <c r="AC57">
        <f t="shared" si="64"/>
        <v>1.7278320893604038</v>
      </c>
      <c r="AD57">
        <f t="shared" si="65"/>
        <v>-165.95716623792467</v>
      </c>
      <c r="AE57">
        <f t="shared" si="66"/>
        <v>-17.990256236934069</v>
      </c>
      <c r="AF57">
        <f t="shared" si="67"/>
        <v>-1.3755377017852788</v>
      </c>
      <c r="AG57">
        <f t="shared" si="68"/>
        <v>104.23653283609133</v>
      </c>
      <c r="AH57">
        <v>1</v>
      </c>
      <c r="AI57">
        <v>0</v>
      </c>
      <c r="AJ57">
        <f t="shared" si="69"/>
        <v>1</v>
      </c>
      <c r="AK57">
        <f t="shared" si="70"/>
        <v>0</v>
      </c>
      <c r="AL57">
        <f t="shared" si="71"/>
        <v>51702.499719408195</v>
      </c>
      <c r="AM57" t="s">
        <v>414</v>
      </c>
      <c r="AN57">
        <v>7361.72</v>
      </c>
      <c r="AO57">
        <v>541.39076923076925</v>
      </c>
      <c r="AP57">
        <v>2141.9899999999998</v>
      </c>
      <c r="AQ57">
        <f t="shared" si="72"/>
        <v>0.74724869433061347</v>
      </c>
      <c r="AR57">
        <v>-0.96077199609010144</v>
      </c>
      <c r="AS57" t="s">
        <v>629</v>
      </c>
      <c r="AT57">
        <v>7331.17</v>
      </c>
      <c r="AU57">
        <v>743.85300000000007</v>
      </c>
      <c r="AV57">
        <v>1150.8096311405091</v>
      </c>
      <c r="AW57">
        <f t="shared" si="73"/>
        <v>0.35362636888708943</v>
      </c>
      <c r="AX57">
        <v>0.5</v>
      </c>
      <c r="AY57">
        <f t="shared" si="74"/>
        <v>1513.1205000065986</v>
      </c>
      <c r="AZ57">
        <f t="shared" si="75"/>
        <v>51.598159129270314</v>
      </c>
      <c r="BA57">
        <f t="shared" si="76"/>
        <v>267.53965405297532</v>
      </c>
      <c r="BB57">
        <f t="shared" si="77"/>
        <v>3.473545637980003E-2</v>
      </c>
      <c r="BC57">
        <f t="shared" si="78"/>
        <v>0.86128960171908031</v>
      </c>
      <c r="BD57">
        <f t="shared" si="79"/>
        <v>444.60400289131178</v>
      </c>
      <c r="BE57" t="s">
        <v>630</v>
      </c>
      <c r="BF57">
        <v>582.87</v>
      </c>
      <c r="BG57">
        <f t="shared" si="80"/>
        <v>582.87</v>
      </c>
      <c r="BH57">
        <f t="shared" si="81"/>
        <v>0.49351310223016898</v>
      </c>
      <c r="BI57">
        <f t="shared" si="82"/>
        <v>0.71654909928239774</v>
      </c>
      <c r="BJ57">
        <f t="shared" si="83"/>
        <v>0.63573064860914541</v>
      </c>
      <c r="BK57">
        <f t="shared" si="84"/>
        <v>0.66777820080137718</v>
      </c>
      <c r="BL57">
        <f t="shared" si="85"/>
        <v>0.61925580732857177</v>
      </c>
      <c r="BM57">
        <f t="shared" si="86"/>
        <v>0.56147514831388878</v>
      </c>
      <c r="BN57">
        <f t="shared" si="87"/>
        <v>0.43852485168611122</v>
      </c>
      <c r="BO57">
        <v>1511</v>
      </c>
      <c r="BP57">
        <v>290.00000000000011</v>
      </c>
      <c r="BQ57">
        <v>1011.78</v>
      </c>
      <c r="BR57">
        <v>265</v>
      </c>
      <c r="BS57">
        <v>7331.17</v>
      </c>
      <c r="BT57">
        <v>1012.92</v>
      </c>
      <c r="BU57">
        <v>-1.1399999999999999</v>
      </c>
      <c r="BV57">
        <v>300.00000000000011</v>
      </c>
      <c r="BW57">
        <v>37.9</v>
      </c>
      <c r="BX57">
        <v>1150.8096311405091</v>
      </c>
      <c r="BY57">
        <v>1.638636027211092</v>
      </c>
      <c r="BZ57">
        <v>-101.09289130548839</v>
      </c>
      <c r="CA57">
        <v>1.006949771413191</v>
      </c>
      <c r="CB57">
        <v>0.99722969482504809</v>
      </c>
      <c r="CC57">
        <v>-7.2222894327030052E-3</v>
      </c>
      <c r="CD57">
        <v>289.99999999999989</v>
      </c>
      <c r="CE57">
        <v>1003.56</v>
      </c>
      <c r="CF57">
        <v>665</v>
      </c>
      <c r="CG57">
        <v>7325.15</v>
      </c>
      <c r="CH57">
        <v>1012.8</v>
      </c>
      <c r="CI57">
        <v>-9.24</v>
      </c>
      <c r="CW57">
        <f t="shared" si="88"/>
        <v>1799.92</v>
      </c>
      <c r="CX57">
        <f t="shared" si="89"/>
        <v>1513.1205000065986</v>
      </c>
      <c r="CY57">
        <f t="shared" si="90"/>
        <v>0.84065986266422876</v>
      </c>
      <c r="CZ57">
        <f t="shared" si="91"/>
        <v>0.16087353494196149</v>
      </c>
      <c r="DA57">
        <v>6</v>
      </c>
      <c r="DB57">
        <v>0.5</v>
      </c>
      <c r="DC57" t="s">
        <v>415</v>
      </c>
      <c r="DD57">
        <v>2</v>
      </c>
      <c r="DE57">
        <v>1691172013.5</v>
      </c>
      <c r="DF57">
        <v>1133.1300000000001</v>
      </c>
      <c r="DG57">
        <v>1200.1600000000001</v>
      </c>
      <c r="DH57">
        <v>25.559899999999999</v>
      </c>
      <c r="DI57">
        <v>21.159800000000001</v>
      </c>
      <c r="DJ57">
        <v>1133.98</v>
      </c>
      <c r="DK57">
        <v>25.260400000000001</v>
      </c>
      <c r="DL57">
        <v>500.036</v>
      </c>
      <c r="DM57">
        <v>99.103300000000004</v>
      </c>
      <c r="DN57">
        <v>0.10008599999999999</v>
      </c>
      <c r="DO57">
        <v>29.897500000000001</v>
      </c>
      <c r="DP57">
        <v>30.0123</v>
      </c>
      <c r="DQ57">
        <v>999.9</v>
      </c>
      <c r="DR57">
        <v>0</v>
      </c>
      <c r="DS57">
        <v>0</v>
      </c>
      <c r="DT57">
        <v>9960</v>
      </c>
      <c r="DU57">
        <v>0</v>
      </c>
      <c r="DV57">
        <v>1792.43</v>
      </c>
      <c r="DW57">
        <v>-67.025999999999996</v>
      </c>
      <c r="DX57">
        <v>1162.8599999999999</v>
      </c>
      <c r="DY57">
        <v>1226.0999999999999</v>
      </c>
      <c r="DZ57">
        <v>4.4001299999999999</v>
      </c>
      <c r="EA57">
        <v>1200.1600000000001</v>
      </c>
      <c r="EB57">
        <v>21.159800000000001</v>
      </c>
      <c r="EC57">
        <v>2.5330699999999999</v>
      </c>
      <c r="ED57">
        <v>2.09701</v>
      </c>
      <c r="EE57">
        <v>21.240600000000001</v>
      </c>
      <c r="EF57">
        <v>18.1965</v>
      </c>
      <c r="EG57">
        <v>1799.92</v>
      </c>
      <c r="EH57">
        <v>0.97800500000000001</v>
      </c>
      <c r="EI57">
        <v>2.1994699999999999E-2</v>
      </c>
      <c r="EJ57">
        <v>0</v>
      </c>
      <c r="EK57">
        <v>743.12</v>
      </c>
      <c r="EL57">
        <v>9.9989999999999996E-2</v>
      </c>
      <c r="EM57">
        <v>14569.1</v>
      </c>
      <c r="EN57">
        <v>16704.599999999999</v>
      </c>
      <c r="EO57">
        <v>48.5</v>
      </c>
      <c r="EP57">
        <v>50.75</v>
      </c>
      <c r="EQ57">
        <v>49.5</v>
      </c>
      <c r="ER57">
        <v>49.5</v>
      </c>
      <c r="ES57">
        <v>49.625</v>
      </c>
      <c r="ET57">
        <v>1760.23</v>
      </c>
      <c r="EU57">
        <v>39.590000000000003</v>
      </c>
      <c r="EV57">
        <v>0</v>
      </c>
      <c r="EW57">
        <v>192.79999995231631</v>
      </c>
      <c r="EX57">
        <v>0</v>
      </c>
      <c r="EY57">
        <v>743.85300000000007</v>
      </c>
      <c r="EZ57">
        <v>0.45192308548145488</v>
      </c>
      <c r="FA57">
        <v>-68.830769202648398</v>
      </c>
      <c r="FB57">
        <v>14570.82</v>
      </c>
      <c r="FC57">
        <v>15</v>
      </c>
      <c r="FD57">
        <v>1691171921</v>
      </c>
      <c r="FE57" t="s">
        <v>631</v>
      </c>
      <c r="FF57">
        <v>1691171921</v>
      </c>
      <c r="FG57">
        <v>1691171913</v>
      </c>
      <c r="FH57">
        <v>62</v>
      </c>
      <c r="FI57">
        <v>-0.182</v>
      </c>
      <c r="FJ57">
        <v>-8.9999999999999993E-3</v>
      </c>
      <c r="FK57">
        <v>-0.85799999999999998</v>
      </c>
      <c r="FL57">
        <v>0.13</v>
      </c>
      <c r="FM57">
        <v>1201</v>
      </c>
      <c r="FN57">
        <v>21</v>
      </c>
      <c r="FO57">
        <v>0.16</v>
      </c>
      <c r="FP57">
        <v>0.04</v>
      </c>
      <c r="FQ57">
        <v>51.478693233347492</v>
      </c>
      <c r="FR57">
        <v>0.26988369559448122</v>
      </c>
      <c r="FS57">
        <v>0.1694956301595045</v>
      </c>
      <c r="FT57">
        <v>1</v>
      </c>
      <c r="FU57">
        <v>0.22208523261049609</v>
      </c>
      <c r="FV57">
        <v>-3.5836157588504898E-2</v>
      </c>
      <c r="FW57">
        <v>2.7439824955411678E-3</v>
      </c>
      <c r="FX57">
        <v>1</v>
      </c>
      <c r="FY57">
        <v>2</v>
      </c>
      <c r="FZ57">
        <v>2</v>
      </c>
      <c r="GA57" t="s">
        <v>416</v>
      </c>
      <c r="GB57">
        <v>2.96652</v>
      </c>
      <c r="GC57">
        <v>2.8114300000000001</v>
      </c>
      <c r="GD57">
        <v>0.198321</v>
      </c>
      <c r="GE57">
        <v>0.203376</v>
      </c>
      <c r="GF57">
        <v>0.123358</v>
      </c>
      <c r="GG57">
        <v>0.10746</v>
      </c>
      <c r="GH57">
        <v>23554.400000000001</v>
      </c>
      <c r="GI57">
        <v>21567.9</v>
      </c>
      <c r="GJ57">
        <v>26430.3</v>
      </c>
      <c r="GK57">
        <v>25570.9</v>
      </c>
      <c r="GL57">
        <v>31549.9</v>
      </c>
      <c r="GM57">
        <v>32236.5</v>
      </c>
      <c r="GN57">
        <v>37408</v>
      </c>
      <c r="GO57">
        <v>37918.6</v>
      </c>
      <c r="GP57">
        <v>1.9119999999999999</v>
      </c>
      <c r="GQ57">
        <v>1.8369</v>
      </c>
      <c r="GR57">
        <v>-4.2408700000000001E-2</v>
      </c>
      <c r="GS57">
        <v>0</v>
      </c>
      <c r="GT57">
        <v>30.702100000000002</v>
      </c>
      <c r="GU57">
        <v>999.9</v>
      </c>
      <c r="GV57">
        <v>26.7</v>
      </c>
      <c r="GW57">
        <v>48.4</v>
      </c>
      <c r="GX57">
        <v>30.880600000000001</v>
      </c>
      <c r="GY57">
        <v>61.953200000000002</v>
      </c>
      <c r="GZ57">
        <v>13.790100000000001</v>
      </c>
      <c r="HA57">
        <v>1</v>
      </c>
      <c r="HB57">
        <v>0.68866899999999998</v>
      </c>
      <c r="HC57">
        <v>6.2678700000000003</v>
      </c>
      <c r="HD57">
        <v>20.130700000000001</v>
      </c>
      <c r="HE57">
        <v>5.2100999999999997</v>
      </c>
      <c r="HF57">
        <v>11.9381</v>
      </c>
      <c r="HG57">
        <v>4.9871999999999996</v>
      </c>
      <c r="HH57">
        <v>3.2902999999999998</v>
      </c>
      <c r="HI57">
        <v>9999</v>
      </c>
      <c r="HJ57">
        <v>9999</v>
      </c>
      <c r="HK57">
        <v>9999</v>
      </c>
      <c r="HL57">
        <v>999.9</v>
      </c>
      <c r="HM57">
        <v>1.87134</v>
      </c>
      <c r="HN57">
        <v>1.8772899999999999</v>
      </c>
      <c r="HO57">
        <v>1.8750500000000001</v>
      </c>
      <c r="HP57">
        <v>1.8733200000000001</v>
      </c>
      <c r="HQ57">
        <v>1.87378</v>
      </c>
      <c r="HR57">
        <v>1.8711899999999999</v>
      </c>
      <c r="HS57">
        <v>1.87703</v>
      </c>
      <c r="HT57">
        <v>1.8762399999999999</v>
      </c>
      <c r="HU57">
        <v>5</v>
      </c>
      <c r="HV57">
        <v>0</v>
      </c>
      <c r="HW57">
        <v>0</v>
      </c>
      <c r="HX57">
        <v>0</v>
      </c>
      <c r="HY57" t="s">
        <v>417</v>
      </c>
      <c r="HZ57" t="s">
        <v>418</v>
      </c>
      <c r="IA57" t="s">
        <v>419</v>
      </c>
      <c r="IB57" t="s">
        <v>420</v>
      </c>
      <c r="IC57" t="s">
        <v>420</v>
      </c>
      <c r="ID57" t="s">
        <v>419</v>
      </c>
      <c r="IE57">
        <v>0</v>
      </c>
      <c r="IF57">
        <v>100</v>
      </c>
      <c r="IG57">
        <v>100</v>
      </c>
      <c r="IH57">
        <v>-0.85</v>
      </c>
      <c r="II57">
        <v>0.29949999999999999</v>
      </c>
      <c r="IJ57">
        <v>-0.19591466836835339</v>
      </c>
      <c r="IK57">
        <v>-1.615681629159814E-3</v>
      </c>
      <c r="IL57">
        <v>1.5005605225991581E-6</v>
      </c>
      <c r="IM57">
        <v>-5.1143626075267638E-10</v>
      </c>
      <c r="IN57">
        <v>-0.2019411891705428</v>
      </c>
      <c r="IO57">
        <v>-1.7182111142928099E-3</v>
      </c>
      <c r="IP57">
        <v>9.9985895407488957E-4</v>
      </c>
      <c r="IQ57">
        <v>-5.7750407166627208E-6</v>
      </c>
      <c r="IR57">
        <v>3</v>
      </c>
      <c r="IS57">
        <v>2181</v>
      </c>
      <c r="IT57">
        <v>2</v>
      </c>
      <c r="IU57">
        <v>42</v>
      </c>
      <c r="IV57">
        <v>1.5</v>
      </c>
      <c r="IW57">
        <v>1.7</v>
      </c>
      <c r="IX57">
        <v>2.34619</v>
      </c>
      <c r="IY57">
        <v>2.5524900000000001</v>
      </c>
      <c r="IZ57">
        <v>1.5991200000000001</v>
      </c>
      <c r="JA57">
        <v>2.2717299999999998</v>
      </c>
      <c r="JB57">
        <v>1.5502899999999999</v>
      </c>
      <c r="JC57">
        <v>2.4145500000000002</v>
      </c>
      <c r="JD57">
        <v>51.665399999999998</v>
      </c>
      <c r="JE57">
        <v>23.886099999999999</v>
      </c>
      <c r="JF57">
        <v>18</v>
      </c>
      <c r="JG57">
        <v>499.72699999999998</v>
      </c>
      <c r="JH57">
        <v>421.68</v>
      </c>
      <c r="JI57">
        <v>22.7211</v>
      </c>
      <c r="JJ57">
        <v>35.557699999999997</v>
      </c>
      <c r="JK57">
        <v>30.001000000000001</v>
      </c>
      <c r="JL57">
        <v>35.446899999999999</v>
      </c>
      <c r="JM57">
        <v>35.413800000000002</v>
      </c>
      <c r="JN57">
        <v>46.983199999999997</v>
      </c>
      <c r="JO57">
        <v>35.051400000000001</v>
      </c>
      <c r="JP57">
        <v>0</v>
      </c>
      <c r="JQ57">
        <v>22.726700000000001</v>
      </c>
      <c r="JR57">
        <v>1200</v>
      </c>
      <c r="JS57">
        <v>21.258600000000001</v>
      </c>
      <c r="JT57">
        <v>98.668199999999999</v>
      </c>
      <c r="JU57">
        <v>98.410799999999995</v>
      </c>
    </row>
    <row r="58" spans="1:281" x14ac:dyDescent="0.25">
      <c r="A58">
        <v>42</v>
      </c>
      <c r="B58">
        <v>1691172203.5</v>
      </c>
      <c r="C58">
        <v>12472.900000095369</v>
      </c>
      <c r="D58" t="s">
        <v>632</v>
      </c>
      <c r="E58" t="s">
        <v>633</v>
      </c>
      <c r="F58" t="s">
        <v>411</v>
      </c>
      <c r="G58" t="s">
        <v>567</v>
      </c>
      <c r="H58" t="s">
        <v>568</v>
      </c>
      <c r="I58" t="s">
        <v>413</v>
      </c>
      <c r="J58">
        <v>1691172203.5</v>
      </c>
      <c r="K58">
        <f t="shared" si="46"/>
        <v>2.8917946997150962E-3</v>
      </c>
      <c r="L58">
        <f t="shared" si="47"/>
        <v>2.8917946997150961</v>
      </c>
      <c r="M58">
        <f t="shared" si="48"/>
        <v>50.092253484053685</v>
      </c>
      <c r="N58">
        <f t="shared" si="49"/>
        <v>1434.65</v>
      </c>
      <c r="O58">
        <f t="shared" si="50"/>
        <v>898.18252276676333</v>
      </c>
      <c r="P58">
        <f t="shared" si="51"/>
        <v>89.110067692045575</v>
      </c>
      <c r="Q58">
        <f t="shared" si="52"/>
        <v>142.33383012240003</v>
      </c>
      <c r="R58">
        <f t="shared" si="53"/>
        <v>0.16371285445992181</v>
      </c>
      <c r="S58">
        <f t="shared" si="54"/>
        <v>2.9130414869268906</v>
      </c>
      <c r="T58">
        <f t="shared" si="55"/>
        <v>0.15876785160520301</v>
      </c>
      <c r="U58">
        <f t="shared" si="56"/>
        <v>9.9661754188947543E-2</v>
      </c>
      <c r="V58">
        <f t="shared" si="57"/>
        <v>289.61375701273295</v>
      </c>
      <c r="W58">
        <f t="shared" si="58"/>
        <v>30.825975794684862</v>
      </c>
      <c r="X58">
        <f t="shared" si="59"/>
        <v>30.028300000000002</v>
      </c>
      <c r="Y58">
        <f t="shared" si="60"/>
        <v>4.2673801636954076</v>
      </c>
      <c r="Z58">
        <f t="shared" si="61"/>
        <v>59.653954434102566</v>
      </c>
      <c r="AA58">
        <f t="shared" si="62"/>
        <v>2.5221755104992001</v>
      </c>
      <c r="AB58">
        <f t="shared" si="63"/>
        <v>4.2280105894494397</v>
      </c>
      <c r="AC58">
        <f t="shared" si="64"/>
        <v>1.7452046531962075</v>
      </c>
      <c r="AD58">
        <f t="shared" si="65"/>
        <v>-127.52814625743575</v>
      </c>
      <c r="AE58">
        <f t="shared" si="66"/>
        <v>-25.331825083348669</v>
      </c>
      <c r="AF58">
        <f t="shared" si="67"/>
        <v>-1.9325636798939234</v>
      </c>
      <c r="AG58">
        <f t="shared" si="68"/>
        <v>134.8212219920546</v>
      </c>
      <c r="AH58">
        <v>2</v>
      </c>
      <c r="AI58">
        <v>0</v>
      </c>
      <c r="AJ58">
        <f t="shared" si="69"/>
        <v>1</v>
      </c>
      <c r="AK58">
        <f t="shared" si="70"/>
        <v>0</v>
      </c>
      <c r="AL58">
        <f t="shared" si="71"/>
        <v>51886.362569496268</v>
      </c>
      <c r="AM58" t="s">
        <v>414</v>
      </c>
      <c r="AN58">
        <v>7361.72</v>
      </c>
      <c r="AO58">
        <v>541.39076923076925</v>
      </c>
      <c r="AP58">
        <v>2141.9899999999998</v>
      </c>
      <c r="AQ58">
        <f t="shared" si="72"/>
        <v>0.74724869433061347</v>
      </c>
      <c r="AR58">
        <v>-0.96077199609010144</v>
      </c>
      <c r="AS58" t="s">
        <v>634</v>
      </c>
      <c r="AT58">
        <v>7330.05</v>
      </c>
      <c r="AU58">
        <v>738.81260000000009</v>
      </c>
      <c r="AV58">
        <v>1139.355901142065</v>
      </c>
      <c r="AW58">
        <f t="shared" si="73"/>
        <v>0.35155239968526886</v>
      </c>
      <c r="AX58">
        <v>0.5</v>
      </c>
      <c r="AY58">
        <f t="shared" si="74"/>
        <v>1513.4061000065974</v>
      </c>
      <c r="AZ58">
        <f t="shared" si="75"/>
        <v>50.092253484053685</v>
      </c>
      <c r="BA58">
        <f t="shared" si="76"/>
        <v>266.02077307782167</v>
      </c>
      <c r="BB58">
        <f t="shared" si="77"/>
        <v>3.3733857343327234E-2</v>
      </c>
      <c r="BC58">
        <f t="shared" si="78"/>
        <v>0.88000079505702877</v>
      </c>
      <c r="BD58">
        <f t="shared" si="79"/>
        <v>442.88392808012117</v>
      </c>
      <c r="BE58" t="s">
        <v>635</v>
      </c>
      <c r="BF58">
        <v>582.5</v>
      </c>
      <c r="BG58">
        <f t="shared" si="80"/>
        <v>582.5</v>
      </c>
      <c r="BH58">
        <f t="shared" si="81"/>
        <v>0.48874622985134408</v>
      </c>
      <c r="BI58">
        <f t="shared" si="82"/>
        <v>0.71929434584527885</v>
      </c>
      <c r="BJ58">
        <f t="shared" si="83"/>
        <v>0.64292435274220094</v>
      </c>
      <c r="BK58">
        <f t="shared" si="84"/>
        <v>0.66984390856001097</v>
      </c>
      <c r="BL58">
        <f t="shared" si="85"/>
        <v>0.62641170855497652</v>
      </c>
      <c r="BM58">
        <f t="shared" si="86"/>
        <v>0.56711127619490365</v>
      </c>
      <c r="BN58">
        <f t="shared" si="87"/>
        <v>0.43288872380509635</v>
      </c>
      <c r="BO58">
        <v>1513</v>
      </c>
      <c r="BP58">
        <v>290.00000000000011</v>
      </c>
      <c r="BQ58">
        <v>1003.52</v>
      </c>
      <c r="BR58">
        <v>295</v>
      </c>
      <c r="BS58">
        <v>7330.05</v>
      </c>
      <c r="BT58">
        <v>1004.33</v>
      </c>
      <c r="BU58">
        <v>-0.81</v>
      </c>
      <c r="BV58">
        <v>300.00000000000011</v>
      </c>
      <c r="BW58">
        <v>37.9</v>
      </c>
      <c r="BX58">
        <v>1139.355901142065</v>
      </c>
      <c r="BY58">
        <v>1.300616316001747</v>
      </c>
      <c r="BZ58">
        <v>-98.976698451647025</v>
      </c>
      <c r="CA58">
        <v>0.79922513908463055</v>
      </c>
      <c r="CB58">
        <v>0.99817762307908542</v>
      </c>
      <c r="CC58">
        <v>-7.2221959955506079E-3</v>
      </c>
      <c r="CD58">
        <v>289.99999999999989</v>
      </c>
      <c r="CE58">
        <v>995.73</v>
      </c>
      <c r="CF58">
        <v>655</v>
      </c>
      <c r="CG58">
        <v>7325.39</v>
      </c>
      <c r="CH58">
        <v>1004.24</v>
      </c>
      <c r="CI58">
        <v>-8.51</v>
      </c>
      <c r="CW58">
        <f t="shared" si="88"/>
        <v>1800.26</v>
      </c>
      <c r="CX58">
        <f t="shared" si="89"/>
        <v>1513.4061000065974</v>
      </c>
      <c r="CY58">
        <f t="shared" si="90"/>
        <v>0.84065973804150373</v>
      </c>
      <c r="CZ58">
        <f t="shared" si="91"/>
        <v>0.16087329442010206</v>
      </c>
      <c r="DA58">
        <v>6</v>
      </c>
      <c r="DB58">
        <v>0.5</v>
      </c>
      <c r="DC58" t="s">
        <v>415</v>
      </c>
      <c r="DD58">
        <v>2</v>
      </c>
      <c r="DE58">
        <v>1691172203.5</v>
      </c>
      <c r="DF58">
        <v>1434.65</v>
      </c>
      <c r="DG58">
        <v>1499.7</v>
      </c>
      <c r="DH58">
        <v>25.4222</v>
      </c>
      <c r="DI58">
        <v>22.042300000000001</v>
      </c>
      <c r="DJ58">
        <v>1435.67</v>
      </c>
      <c r="DK58">
        <v>25.145800000000001</v>
      </c>
      <c r="DL58">
        <v>500.30099999999999</v>
      </c>
      <c r="DM58">
        <v>99.111500000000007</v>
      </c>
      <c r="DN58">
        <v>0.100036</v>
      </c>
      <c r="DO58">
        <v>29.867000000000001</v>
      </c>
      <c r="DP58">
        <v>30.028300000000002</v>
      </c>
      <c r="DQ58">
        <v>999.9</v>
      </c>
      <c r="DR58">
        <v>0</v>
      </c>
      <c r="DS58">
        <v>0</v>
      </c>
      <c r="DT58">
        <v>9995</v>
      </c>
      <c r="DU58">
        <v>0</v>
      </c>
      <c r="DV58">
        <v>1752.04</v>
      </c>
      <c r="DW58">
        <v>-65.049899999999994</v>
      </c>
      <c r="DX58">
        <v>1472.07</v>
      </c>
      <c r="DY58">
        <v>1533.5</v>
      </c>
      <c r="DZ58">
        <v>3.3798400000000002</v>
      </c>
      <c r="EA58">
        <v>1499.7</v>
      </c>
      <c r="EB58">
        <v>22.042300000000001</v>
      </c>
      <c r="EC58">
        <v>2.5196299999999998</v>
      </c>
      <c r="ED58">
        <v>2.18465</v>
      </c>
      <c r="EE58">
        <v>21.1539</v>
      </c>
      <c r="EF58">
        <v>18.850200000000001</v>
      </c>
      <c r="EG58">
        <v>1800.26</v>
      </c>
      <c r="EH58">
        <v>0.97800900000000002</v>
      </c>
      <c r="EI58">
        <v>2.19911E-2</v>
      </c>
      <c r="EJ58">
        <v>0</v>
      </c>
      <c r="EK58">
        <v>739.59500000000003</v>
      </c>
      <c r="EL58">
        <v>9.9989999999999996E-2</v>
      </c>
      <c r="EM58">
        <v>14463</v>
      </c>
      <c r="EN58">
        <v>16707.7</v>
      </c>
      <c r="EO58">
        <v>48.561999999999998</v>
      </c>
      <c r="EP58">
        <v>50.811999999999998</v>
      </c>
      <c r="EQ58">
        <v>49.5</v>
      </c>
      <c r="ER58">
        <v>49.686999999999998</v>
      </c>
      <c r="ES58">
        <v>49.686999999999998</v>
      </c>
      <c r="ET58">
        <v>1760.57</v>
      </c>
      <c r="EU58">
        <v>39.590000000000003</v>
      </c>
      <c r="EV58">
        <v>0</v>
      </c>
      <c r="EW58">
        <v>187.79999995231631</v>
      </c>
      <c r="EX58">
        <v>0</v>
      </c>
      <c r="EY58">
        <v>738.81260000000009</v>
      </c>
      <c r="EZ58">
        <v>-3.724230778521652</v>
      </c>
      <c r="FA58">
        <v>35.299999912568417</v>
      </c>
      <c r="FB58">
        <v>14446.32</v>
      </c>
      <c r="FC58">
        <v>15</v>
      </c>
      <c r="FD58">
        <v>1691172162.5</v>
      </c>
      <c r="FE58" t="s">
        <v>636</v>
      </c>
      <c r="FF58">
        <v>1691172162.5</v>
      </c>
      <c r="FG58">
        <v>1691172148.5</v>
      </c>
      <c r="FH58">
        <v>63</v>
      </c>
      <c r="FI58">
        <v>-8.1000000000000003E-2</v>
      </c>
      <c r="FJ58">
        <v>-1.9E-2</v>
      </c>
      <c r="FK58">
        <v>-1.0509999999999999</v>
      </c>
      <c r="FL58">
        <v>0.14399999999999999</v>
      </c>
      <c r="FM58">
        <v>1500</v>
      </c>
      <c r="FN58">
        <v>22</v>
      </c>
      <c r="FO58">
        <v>0.16</v>
      </c>
      <c r="FP58">
        <v>0.06</v>
      </c>
      <c r="FQ58">
        <v>50.423433867673488</v>
      </c>
      <c r="FR58">
        <v>-1.2215202662313029</v>
      </c>
      <c r="FS58">
        <v>0.21286206239595601</v>
      </c>
      <c r="FT58">
        <v>0</v>
      </c>
      <c r="FU58">
        <v>0.16543832983933321</v>
      </c>
      <c r="FV58">
        <v>-1.2815056628116999E-2</v>
      </c>
      <c r="FW58">
        <v>9.8547910633249147E-4</v>
      </c>
      <c r="FX58">
        <v>1</v>
      </c>
      <c r="FY58">
        <v>1</v>
      </c>
      <c r="FZ58">
        <v>2</v>
      </c>
      <c r="GA58" t="s">
        <v>421</v>
      </c>
      <c r="GB58">
        <v>2.96692</v>
      </c>
      <c r="GC58">
        <v>2.81169</v>
      </c>
      <c r="GD58">
        <v>0.22969000000000001</v>
      </c>
      <c r="GE58">
        <v>0.23344200000000001</v>
      </c>
      <c r="GF58">
        <v>0.12289</v>
      </c>
      <c r="GG58">
        <v>0.11054700000000001</v>
      </c>
      <c r="GH58">
        <v>22616.2</v>
      </c>
      <c r="GI58">
        <v>20732.8</v>
      </c>
      <c r="GJ58">
        <v>26417</v>
      </c>
      <c r="GK58">
        <v>25551.3</v>
      </c>
      <c r="GL58">
        <v>31554.1</v>
      </c>
      <c r="GM58">
        <v>32104.5</v>
      </c>
      <c r="GN58">
        <v>37387.699999999997</v>
      </c>
      <c r="GO58">
        <v>37891.300000000003</v>
      </c>
      <c r="GP58">
        <v>1.9072</v>
      </c>
      <c r="GQ58">
        <v>1.8343</v>
      </c>
      <c r="GR58">
        <v>-3.2901800000000002E-2</v>
      </c>
      <c r="GS58">
        <v>0</v>
      </c>
      <c r="GT58">
        <v>30.563400000000001</v>
      </c>
      <c r="GU58">
        <v>999.9</v>
      </c>
      <c r="GV58">
        <v>26.6</v>
      </c>
      <c r="GW58">
        <v>48.5</v>
      </c>
      <c r="GX58">
        <v>30.920400000000001</v>
      </c>
      <c r="GY58">
        <v>61.973300000000002</v>
      </c>
      <c r="GZ58">
        <v>13.385400000000001</v>
      </c>
      <c r="HA58">
        <v>1</v>
      </c>
      <c r="HB58">
        <v>0.71353699999999998</v>
      </c>
      <c r="HC58">
        <v>5.8738900000000003</v>
      </c>
      <c r="HD58">
        <v>20.1449</v>
      </c>
      <c r="HE58">
        <v>5.2053099999999999</v>
      </c>
      <c r="HF58">
        <v>11.9381</v>
      </c>
      <c r="HG58">
        <v>4.9867999999999997</v>
      </c>
      <c r="HH58">
        <v>3.2905000000000002</v>
      </c>
      <c r="HI58">
        <v>9999</v>
      </c>
      <c r="HJ58">
        <v>9999</v>
      </c>
      <c r="HK58">
        <v>9999</v>
      </c>
      <c r="HL58">
        <v>999.9</v>
      </c>
      <c r="HM58">
        <v>1.87134</v>
      </c>
      <c r="HN58">
        <v>1.8772899999999999</v>
      </c>
      <c r="HO58">
        <v>1.8750899999999999</v>
      </c>
      <c r="HP58">
        <v>1.8733200000000001</v>
      </c>
      <c r="HQ58">
        <v>1.87384</v>
      </c>
      <c r="HR58">
        <v>1.8712</v>
      </c>
      <c r="HS58">
        <v>1.877</v>
      </c>
      <c r="HT58">
        <v>1.87622</v>
      </c>
      <c r="HU58">
        <v>5</v>
      </c>
      <c r="HV58">
        <v>0</v>
      </c>
      <c r="HW58">
        <v>0</v>
      </c>
      <c r="HX58">
        <v>0</v>
      </c>
      <c r="HY58" t="s">
        <v>417</v>
      </c>
      <c r="HZ58" t="s">
        <v>418</v>
      </c>
      <c r="IA58" t="s">
        <v>419</v>
      </c>
      <c r="IB58" t="s">
        <v>420</v>
      </c>
      <c r="IC58" t="s">
        <v>420</v>
      </c>
      <c r="ID58" t="s">
        <v>419</v>
      </c>
      <c r="IE58">
        <v>0</v>
      </c>
      <c r="IF58">
        <v>100</v>
      </c>
      <c r="IG58">
        <v>100</v>
      </c>
      <c r="IH58">
        <v>-1.02</v>
      </c>
      <c r="II58">
        <v>0.27639999999999998</v>
      </c>
      <c r="IJ58">
        <v>-0.27690706966590573</v>
      </c>
      <c r="IK58">
        <v>-1.615681629159814E-3</v>
      </c>
      <c r="IL58">
        <v>1.5005605225991581E-6</v>
      </c>
      <c r="IM58">
        <v>-5.1143626075267638E-10</v>
      </c>
      <c r="IN58">
        <v>-0.2208429497829936</v>
      </c>
      <c r="IO58">
        <v>-1.7182111142928099E-3</v>
      </c>
      <c r="IP58">
        <v>9.9985895407488957E-4</v>
      </c>
      <c r="IQ58">
        <v>-5.7750407166627208E-6</v>
      </c>
      <c r="IR58">
        <v>3</v>
      </c>
      <c r="IS58">
        <v>2181</v>
      </c>
      <c r="IT58">
        <v>2</v>
      </c>
      <c r="IU58">
        <v>42</v>
      </c>
      <c r="IV58">
        <v>0.7</v>
      </c>
      <c r="IW58">
        <v>0.9</v>
      </c>
      <c r="IX58">
        <v>2.8271500000000001</v>
      </c>
      <c r="IY58">
        <v>2.5354000000000001</v>
      </c>
      <c r="IZ58">
        <v>1.5991200000000001</v>
      </c>
      <c r="JA58">
        <v>2.2717299999999998</v>
      </c>
      <c r="JB58">
        <v>1.5502899999999999</v>
      </c>
      <c r="JC58">
        <v>2.4340799999999998</v>
      </c>
      <c r="JD58">
        <v>51.968400000000003</v>
      </c>
      <c r="JE58">
        <v>23.886099999999999</v>
      </c>
      <c r="JF58">
        <v>18</v>
      </c>
      <c r="JG58">
        <v>498.75900000000001</v>
      </c>
      <c r="JH58">
        <v>421.96</v>
      </c>
      <c r="JI58">
        <v>23.086200000000002</v>
      </c>
      <c r="JJ58">
        <v>35.870800000000003</v>
      </c>
      <c r="JK58">
        <v>30.000499999999999</v>
      </c>
      <c r="JL58">
        <v>35.738</v>
      </c>
      <c r="JM58">
        <v>35.696800000000003</v>
      </c>
      <c r="JN58">
        <v>56.598199999999999</v>
      </c>
      <c r="JO58">
        <v>31.8354</v>
      </c>
      <c r="JP58">
        <v>0</v>
      </c>
      <c r="JQ58">
        <v>23.084599999999998</v>
      </c>
      <c r="JR58">
        <v>1500</v>
      </c>
      <c r="JS58">
        <v>22.057700000000001</v>
      </c>
      <c r="JT58">
        <v>98.616299999999995</v>
      </c>
      <c r="JU58">
        <v>98.338099999999997</v>
      </c>
    </row>
    <row r="59" spans="1:281" x14ac:dyDescent="0.25">
      <c r="A59">
        <v>43</v>
      </c>
      <c r="B59">
        <v>1691172922.5999999</v>
      </c>
      <c r="C59">
        <v>13192</v>
      </c>
      <c r="D59" t="s">
        <v>637</v>
      </c>
      <c r="E59" t="s">
        <v>638</v>
      </c>
      <c r="F59" t="s">
        <v>411</v>
      </c>
      <c r="G59" t="s">
        <v>639</v>
      </c>
      <c r="H59" t="s">
        <v>496</v>
      </c>
      <c r="I59">
        <v>2</v>
      </c>
      <c r="J59">
        <v>1691172922.5999999</v>
      </c>
      <c r="K59">
        <f t="shared" si="46"/>
        <v>7.995645009425385E-3</v>
      </c>
      <c r="L59">
        <f t="shared" si="47"/>
        <v>7.9956450094253846</v>
      </c>
      <c r="M59">
        <f t="shared" si="48"/>
        <v>56.244785681028077</v>
      </c>
      <c r="N59">
        <f t="shared" si="49"/>
        <v>329.28300000000002</v>
      </c>
      <c r="O59">
        <f t="shared" si="50"/>
        <v>135.5256357240913</v>
      </c>
      <c r="P59">
        <f t="shared" si="51"/>
        <v>13.444979175686894</v>
      </c>
      <c r="Q59">
        <f t="shared" si="52"/>
        <v>32.666905078540204</v>
      </c>
      <c r="R59">
        <f t="shared" si="53"/>
        <v>0.52030838208654073</v>
      </c>
      <c r="S59">
        <f t="shared" si="54"/>
        <v>2.9129497284511401</v>
      </c>
      <c r="T59">
        <f t="shared" si="55"/>
        <v>0.47365222404588608</v>
      </c>
      <c r="U59">
        <f t="shared" si="56"/>
        <v>0.29987509544448848</v>
      </c>
      <c r="V59">
        <f t="shared" si="57"/>
        <v>289.55107501274216</v>
      </c>
      <c r="W59">
        <f t="shared" si="58"/>
        <v>30.244611392863973</v>
      </c>
      <c r="X59">
        <f t="shared" si="59"/>
        <v>30.014700000000001</v>
      </c>
      <c r="Y59">
        <f t="shared" si="60"/>
        <v>4.264048432381867</v>
      </c>
      <c r="Z59">
        <f t="shared" si="61"/>
        <v>59.985332534825567</v>
      </c>
      <c r="AA59">
        <f t="shared" si="62"/>
        <v>2.6477035344996604</v>
      </c>
      <c r="AB59">
        <f t="shared" si="63"/>
        <v>4.4139182407007391</v>
      </c>
      <c r="AC59">
        <f t="shared" si="64"/>
        <v>1.6163448978822066</v>
      </c>
      <c r="AD59">
        <f t="shared" si="65"/>
        <v>-352.60794491565946</v>
      </c>
      <c r="AE59">
        <f t="shared" si="66"/>
        <v>94.665487704283208</v>
      </c>
      <c r="AF59">
        <f t="shared" si="67"/>
        <v>7.2486430394841248</v>
      </c>
      <c r="AG59">
        <f t="shared" si="68"/>
        <v>38.857260840850046</v>
      </c>
      <c r="AH59">
        <v>0</v>
      </c>
      <c r="AI59">
        <v>0</v>
      </c>
      <c r="AJ59">
        <f t="shared" si="69"/>
        <v>1</v>
      </c>
      <c r="AK59">
        <f t="shared" si="70"/>
        <v>0</v>
      </c>
      <c r="AL59">
        <f t="shared" si="71"/>
        <v>51755.391188172187</v>
      </c>
      <c r="AM59" t="s">
        <v>414</v>
      </c>
      <c r="AN59">
        <v>7361.72</v>
      </c>
      <c r="AO59">
        <v>541.39076923076925</v>
      </c>
      <c r="AP59">
        <v>2141.9899999999998</v>
      </c>
      <c r="AQ59">
        <f t="shared" si="72"/>
        <v>0.74724869433061347</v>
      </c>
      <c r="AR59">
        <v>-0.96077199609010144</v>
      </c>
      <c r="AS59" t="s">
        <v>640</v>
      </c>
      <c r="AT59">
        <v>7358.02</v>
      </c>
      <c r="AU59">
        <v>788.02788461538466</v>
      </c>
      <c r="AV59">
        <v>1274.297617192374</v>
      </c>
      <c r="AW59">
        <f t="shared" si="73"/>
        <v>0.38159824362567241</v>
      </c>
      <c r="AX59">
        <v>0.5</v>
      </c>
      <c r="AY59">
        <f t="shared" si="74"/>
        <v>1513.0707000066022</v>
      </c>
      <c r="AZ59">
        <f t="shared" si="75"/>
        <v>56.244785681028077</v>
      </c>
      <c r="BA59">
        <f t="shared" si="76"/>
        <v>288.69256080199307</v>
      </c>
      <c r="BB59">
        <f t="shared" si="77"/>
        <v>3.7807590667685631E-2</v>
      </c>
      <c r="BC59">
        <f t="shared" si="78"/>
        <v>0.68091815530455857</v>
      </c>
      <c r="BD59">
        <f t="shared" si="79"/>
        <v>461.8969416757497</v>
      </c>
      <c r="BE59" t="s">
        <v>641</v>
      </c>
      <c r="BF59">
        <v>593.39</v>
      </c>
      <c r="BG59">
        <f t="shared" si="80"/>
        <v>593.39</v>
      </c>
      <c r="BH59">
        <f t="shared" si="81"/>
        <v>0.53433955145627565</v>
      </c>
      <c r="BI59">
        <f t="shared" si="82"/>
        <v>0.7141493505125609</v>
      </c>
      <c r="BJ59">
        <f t="shared" si="83"/>
        <v>0.56030762159862191</v>
      </c>
      <c r="BK59">
        <f t="shared" si="84"/>
        <v>0.66348095113236527</v>
      </c>
      <c r="BL59">
        <f t="shared" si="85"/>
        <v>0.5421047106155501</v>
      </c>
      <c r="BM59">
        <f t="shared" si="86"/>
        <v>0.53775899479430078</v>
      </c>
      <c r="BN59">
        <f t="shared" si="87"/>
        <v>0.46224100520569922</v>
      </c>
      <c r="BO59">
        <v>1515</v>
      </c>
      <c r="BP59">
        <v>290.00000000000011</v>
      </c>
      <c r="BQ59">
        <v>1122.4100000000001</v>
      </c>
      <c r="BR59">
        <v>295</v>
      </c>
      <c r="BS59">
        <v>7358.02</v>
      </c>
      <c r="BT59">
        <v>1123.98</v>
      </c>
      <c r="BU59">
        <v>-1.57</v>
      </c>
      <c r="BV59">
        <v>300.00000000000011</v>
      </c>
      <c r="BW59">
        <v>37.9</v>
      </c>
      <c r="BX59">
        <v>1274.297617192374</v>
      </c>
      <c r="BY59">
        <v>1.620566159011134</v>
      </c>
      <c r="BZ59">
        <v>-110.6029724127014</v>
      </c>
      <c r="CA59">
        <v>0.99962686216192809</v>
      </c>
      <c r="CB59">
        <v>0.99771803964565253</v>
      </c>
      <c r="CC59">
        <v>-7.2499931034482818E-3</v>
      </c>
      <c r="CD59">
        <v>289.99999999999989</v>
      </c>
      <c r="CE59">
        <v>1120.2</v>
      </c>
      <c r="CF59">
        <v>685</v>
      </c>
      <c r="CG59">
        <v>7352.36</v>
      </c>
      <c r="CH59">
        <v>1123.8699999999999</v>
      </c>
      <c r="CI59">
        <v>-3.67</v>
      </c>
      <c r="CW59">
        <f t="shared" si="88"/>
        <v>1799.86</v>
      </c>
      <c r="CX59">
        <f t="shared" si="89"/>
        <v>1513.0707000066022</v>
      </c>
      <c r="CY59">
        <f t="shared" si="90"/>
        <v>0.84066021802062507</v>
      </c>
      <c r="CZ59">
        <f t="shared" si="91"/>
        <v>0.16087422077980632</v>
      </c>
      <c r="DA59">
        <v>6</v>
      </c>
      <c r="DB59">
        <v>0.5</v>
      </c>
      <c r="DC59" t="s">
        <v>415</v>
      </c>
      <c r="DD59">
        <v>2</v>
      </c>
      <c r="DE59">
        <v>1691172922.5999999</v>
      </c>
      <c r="DF59">
        <v>329.28300000000002</v>
      </c>
      <c r="DG59">
        <v>399.94900000000001</v>
      </c>
      <c r="DH59">
        <v>26.6889</v>
      </c>
      <c r="DI59">
        <v>17.348500000000001</v>
      </c>
      <c r="DJ59">
        <v>329.81099999999998</v>
      </c>
      <c r="DK59">
        <v>26.331199999999999</v>
      </c>
      <c r="DL59">
        <v>499.90899999999999</v>
      </c>
      <c r="DM59">
        <v>99.106300000000005</v>
      </c>
      <c r="DN59">
        <v>9.9869399999999997E-2</v>
      </c>
      <c r="DO59">
        <v>30.6175</v>
      </c>
      <c r="DP59">
        <v>30.014700000000001</v>
      </c>
      <c r="DQ59">
        <v>999.9</v>
      </c>
      <c r="DR59">
        <v>0</v>
      </c>
      <c r="DS59">
        <v>0</v>
      </c>
      <c r="DT59">
        <v>9995</v>
      </c>
      <c r="DU59">
        <v>0</v>
      </c>
      <c r="DV59">
        <v>1774.45</v>
      </c>
      <c r="DW59">
        <v>-70.665300000000002</v>
      </c>
      <c r="DX59">
        <v>338.31200000000001</v>
      </c>
      <c r="DY59">
        <v>407.01</v>
      </c>
      <c r="DZ59">
        <v>9.3403200000000002</v>
      </c>
      <c r="EA59">
        <v>399.94900000000001</v>
      </c>
      <c r="EB59">
        <v>17.348500000000001</v>
      </c>
      <c r="EC59">
        <v>2.6450399999999998</v>
      </c>
      <c r="ED59">
        <v>1.7193499999999999</v>
      </c>
      <c r="EE59">
        <v>21.947600000000001</v>
      </c>
      <c r="EF59">
        <v>15.0722</v>
      </c>
      <c r="EG59">
        <v>1799.86</v>
      </c>
      <c r="EH59">
        <v>0.977993</v>
      </c>
      <c r="EI59">
        <v>2.2006700000000001E-2</v>
      </c>
      <c r="EJ59">
        <v>0</v>
      </c>
      <c r="EK59">
        <v>787.57500000000005</v>
      </c>
      <c r="EL59">
        <v>9.9989999999999996E-2</v>
      </c>
      <c r="EM59">
        <v>15411.8</v>
      </c>
      <c r="EN59">
        <v>16704</v>
      </c>
      <c r="EO59">
        <v>48.311999999999998</v>
      </c>
      <c r="EP59">
        <v>50.436999999999998</v>
      </c>
      <c r="EQ59">
        <v>49.311999999999998</v>
      </c>
      <c r="ER59">
        <v>48.811999999999998</v>
      </c>
      <c r="ES59">
        <v>49.375</v>
      </c>
      <c r="ET59">
        <v>1760.15</v>
      </c>
      <c r="EU59">
        <v>39.61</v>
      </c>
      <c r="EV59">
        <v>0</v>
      </c>
      <c r="EW59">
        <v>717</v>
      </c>
      <c r="EX59">
        <v>0</v>
      </c>
      <c r="EY59">
        <v>788.02788461538466</v>
      </c>
      <c r="EZ59">
        <v>-4.7270085373421349</v>
      </c>
      <c r="FA59">
        <v>-46.34529911118878</v>
      </c>
      <c r="FB59">
        <v>15419.90769230769</v>
      </c>
      <c r="FC59">
        <v>15</v>
      </c>
      <c r="FD59">
        <v>1691172865</v>
      </c>
      <c r="FE59" t="s">
        <v>642</v>
      </c>
      <c r="FF59">
        <v>1691172854.5</v>
      </c>
      <c r="FG59">
        <v>1691172865</v>
      </c>
      <c r="FH59">
        <v>65</v>
      </c>
      <c r="FI59">
        <v>0.44600000000000001</v>
      </c>
      <c r="FJ59">
        <v>4.8000000000000001E-2</v>
      </c>
      <c r="FK59">
        <v>-0.57899999999999996</v>
      </c>
      <c r="FL59">
        <v>4.4999999999999998E-2</v>
      </c>
      <c r="FM59">
        <v>400</v>
      </c>
      <c r="FN59">
        <v>17</v>
      </c>
      <c r="FO59">
        <v>0.09</v>
      </c>
      <c r="FP59">
        <v>0.02</v>
      </c>
      <c r="FQ59">
        <v>56.314957766194198</v>
      </c>
      <c r="FR59">
        <v>0.1081537543348239</v>
      </c>
      <c r="FS59">
        <v>8.6819122882139874E-2</v>
      </c>
      <c r="FT59">
        <v>1</v>
      </c>
      <c r="FU59">
        <v>0.52899064808110885</v>
      </c>
      <c r="FV59">
        <v>-4.4395441590259557E-2</v>
      </c>
      <c r="FW59">
        <v>3.9159332405877077E-3</v>
      </c>
      <c r="FX59">
        <v>1</v>
      </c>
      <c r="FY59">
        <v>2</v>
      </c>
      <c r="FZ59">
        <v>2</v>
      </c>
      <c r="GA59" t="s">
        <v>416</v>
      </c>
      <c r="GB59">
        <v>2.9659900000000001</v>
      </c>
      <c r="GC59">
        <v>2.8115199999999998</v>
      </c>
      <c r="GD59">
        <v>8.2099900000000003E-2</v>
      </c>
      <c r="GE59">
        <v>9.4551099999999999E-2</v>
      </c>
      <c r="GF59">
        <v>0.12692100000000001</v>
      </c>
      <c r="GG59">
        <v>9.3112600000000004E-2</v>
      </c>
      <c r="GH59">
        <v>26967.3</v>
      </c>
      <c r="GI59">
        <v>24509.200000000001</v>
      </c>
      <c r="GJ59">
        <v>26421.3</v>
      </c>
      <c r="GK59">
        <v>25558.400000000001</v>
      </c>
      <c r="GL59">
        <v>31402</v>
      </c>
      <c r="GM59">
        <v>32732</v>
      </c>
      <c r="GN59">
        <v>37391.9</v>
      </c>
      <c r="GO59">
        <v>37901.5</v>
      </c>
      <c r="GP59">
        <v>1.9117999999999999</v>
      </c>
      <c r="GQ59">
        <v>1.8280000000000001</v>
      </c>
      <c r="GR59">
        <v>-2.9325500000000001E-2</v>
      </c>
      <c r="GS59">
        <v>0</v>
      </c>
      <c r="GT59">
        <v>30.491700000000002</v>
      </c>
      <c r="GU59">
        <v>999.9</v>
      </c>
      <c r="GV59">
        <v>26.5</v>
      </c>
      <c r="GW59">
        <v>48.2</v>
      </c>
      <c r="GX59">
        <v>30.3398</v>
      </c>
      <c r="GY59">
        <v>61.484299999999998</v>
      </c>
      <c r="GZ59">
        <v>13.8582</v>
      </c>
      <c r="HA59">
        <v>1</v>
      </c>
      <c r="HB59">
        <v>0.69754099999999997</v>
      </c>
      <c r="HC59">
        <v>4.3355699999999997</v>
      </c>
      <c r="HD59">
        <v>20.244399999999999</v>
      </c>
      <c r="HE59">
        <v>5.1975199999999999</v>
      </c>
      <c r="HF59">
        <v>11.9381</v>
      </c>
      <c r="HG59">
        <v>4.9843999999999999</v>
      </c>
      <c r="HH59">
        <v>3.2883</v>
      </c>
      <c r="HI59">
        <v>9999</v>
      </c>
      <c r="HJ59">
        <v>9999</v>
      </c>
      <c r="HK59">
        <v>9999</v>
      </c>
      <c r="HL59">
        <v>999.9</v>
      </c>
      <c r="HM59">
        <v>1.8709199999999999</v>
      </c>
      <c r="HN59">
        <v>1.8769199999999999</v>
      </c>
      <c r="HO59">
        <v>1.87469</v>
      </c>
      <c r="HP59">
        <v>1.87294</v>
      </c>
      <c r="HQ59">
        <v>1.87347</v>
      </c>
      <c r="HR59">
        <v>1.87087</v>
      </c>
      <c r="HS59">
        <v>1.8766799999999999</v>
      </c>
      <c r="HT59">
        <v>1.8758900000000001</v>
      </c>
      <c r="HU59">
        <v>5</v>
      </c>
      <c r="HV59">
        <v>0</v>
      </c>
      <c r="HW59">
        <v>0</v>
      </c>
      <c r="HX59">
        <v>0</v>
      </c>
      <c r="HY59" t="s">
        <v>417</v>
      </c>
      <c r="HZ59" t="s">
        <v>418</v>
      </c>
      <c r="IA59" t="s">
        <v>419</v>
      </c>
      <c r="IB59" t="s">
        <v>420</v>
      </c>
      <c r="IC59" t="s">
        <v>420</v>
      </c>
      <c r="ID59" t="s">
        <v>419</v>
      </c>
      <c r="IE59">
        <v>0</v>
      </c>
      <c r="IF59">
        <v>100</v>
      </c>
      <c r="IG59">
        <v>100</v>
      </c>
      <c r="IH59">
        <v>-0.52800000000000002</v>
      </c>
      <c r="II59">
        <v>0.35770000000000002</v>
      </c>
      <c r="IJ59">
        <v>-0.14000845653389121</v>
      </c>
      <c r="IK59">
        <v>-1.615681629159814E-3</v>
      </c>
      <c r="IL59">
        <v>1.5005605225991581E-6</v>
      </c>
      <c r="IM59">
        <v>-5.1143626075267638E-10</v>
      </c>
      <c r="IN59">
        <v>-0.18488021160195081</v>
      </c>
      <c r="IO59">
        <v>-1.7182111142928099E-3</v>
      </c>
      <c r="IP59">
        <v>9.9985895407488957E-4</v>
      </c>
      <c r="IQ59">
        <v>-5.7750407166627208E-6</v>
      </c>
      <c r="IR59">
        <v>3</v>
      </c>
      <c r="IS59">
        <v>2181</v>
      </c>
      <c r="IT59">
        <v>2</v>
      </c>
      <c r="IU59">
        <v>42</v>
      </c>
      <c r="IV59">
        <v>1.1000000000000001</v>
      </c>
      <c r="IW59">
        <v>1</v>
      </c>
      <c r="IX59">
        <v>0.950928</v>
      </c>
      <c r="IY59">
        <v>2.5598100000000001</v>
      </c>
      <c r="IZ59">
        <v>1.5991200000000001</v>
      </c>
      <c r="JA59">
        <v>2.2692899999999998</v>
      </c>
      <c r="JB59">
        <v>1.5502899999999999</v>
      </c>
      <c r="JC59">
        <v>2.3059099999999999</v>
      </c>
      <c r="JD59">
        <v>49.738</v>
      </c>
      <c r="JE59">
        <v>15.9795</v>
      </c>
      <c r="JF59">
        <v>18</v>
      </c>
      <c r="JG59">
        <v>502.50599999999997</v>
      </c>
      <c r="JH59">
        <v>418.99200000000002</v>
      </c>
      <c r="JI59">
        <v>25.018000000000001</v>
      </c>
      <c r="JJ59">
        <v>35.808500000000002</v>
      </c>
      <c r="JK59">
        <v>29.9999</v>
      </c>
      <c r="JL59">
        <v>35.8369</v>
      </c>
      <c r="JM59">
        <v>35.816899999999997</v>
      </c>
      <c r="JN59">
        <v>19.0732</v>
      </c>
      <c r="JO59">
        <v>46.458399999999997</v>
      </c>
      <c r="JP59">
        <v>0</v>
      </c>
      <c r="JQ59">
        <v>25.023199999999999</v>
      </c>
      <c r="JR59">
        <v>400</v>
      </c>
      <c r="JS59">
        <v>17.418800000000001</v>
      </c>
      <c r="JT59">
        <v>98.629300000000001</v>
      </c>
      <c r="JU59">
        <v>98.364800000000002</v>
      </c>
    </row>
    <row r="60" spans="1:281" x14ac:dyDescent="0.25">
      <c r="A60">
        <v>44</v>
      </c>
      <c r="B60">
        <v>1691173070.5999999</v>
      </c>
      <c r="C60">
        <v>13340</v>
      </c>
      <c r="D60" t="s">
        <v>643</v>
      </c>
      <c r="E60" t="s">
        <v>644</v>
      </c>
      <c r="F60" t="s">
        <v>411</v>
      </c>
      <c r="G60" t="s">
        <v>639</v>
      </c>
      <c r="H60" t="s">
        <v>496</v>
      </c>
      <c r="I60">
        <v>2</v>
      </c>
      <c r="J60">
        <v>1691173070.5999999</v>
      </c>
      <c r="K60">
        <f t="shared" si="46"/>
        <v>7.6669243602322445E-3</v>
      </c>
      <c r="L60">
        <f t="shared" si="47"/>
        <v>7.6669243602322448</v>
      </c>
      <c r="M60">
        <f t="shared" si="48"/>
        <v>46.544642966419985</v>
      </c>
      <c r="N60">
        <f t="shared" si="49"/>
        <v>241.95500000000001</v>
      </c>
      <c r="O60">
        <f t="shared" si="50"/>
        <v>77.550968235280905</v>
      </c>
      <c r="P60">
        <f t="shared" si="51"/>
        <v>7.693360172816897</v>
      </c>
      <c r="Q60">
        <f t="shared" si="52"/>
        <v>24.002884850728002</v>
      </c>
      <c r="R60">
        <f t="shared" si="53"/>
        <v>0.50274095500989346</v>
      </c>
      <c r="S60">
        <f t="shared" si="54"/>
        <v>2.9199003550575706</v>
      </c>
      <c r="T60">
        <f t="shared" si="55"/>
        <v>0.45913498389305102</v>
      </c>
      <c r="U60">
        <f t="shared" si="56"/>
        <v>0.29056134754854945</v>
      </c>
      <c r="V60">
        <f t="shared" si="57"/>
        <v>289.5845782720902</v>
      </c>
      <c r="W60">
        <f t="shared" si="58"/>
        <v>30.202244004083195</v>
      </c>
      <c r="X60">
        <f t="shared" si="59"/>
        <v>29.969899999999999</v>
      </c>
      <c r="Y60">
        <f t="shared" si="60"/>
        <v>4.2530893454648417</v>
      </c>
      <c r="Z60">
        <f t="shared" si="61"/>
        <v>60.577351297037509</v>
      </c>
      <c r="AA60">
        <f t="shared" si="62"/>
        <v>2.6541910020158399</v>
      </c>
      <c r="AB60">
        <f t="shared" si="63"/>
        <v>4.3814906812302992</v>
      </c>
      <c r="AC60">
        <f t="shared" si="64"/>
        <v>1.5988983434490018</v>
      </c>
      <c r="AD60">
        <f t="shared" si="65"/>
        <v>-338.11136428624201</v>
      </c>
      <c r="AE60">
        <f t="shared" si="66"/>
        <v>81.652544361445138</v>
      </c>
      <c r="AF60">
        <f t="shared" si="67"/>
        <v>6.2319863312909023</v>
      </c>
      <c r="AG60">
        <f t="shared" si="68"/>
        <v>39.357744678584226</v>
      </c>
      <c r="AH60">
        <v>0</v>
      </c>
      <c r="AI60">
        <v>0</v>
      </c>
      <c r="AJ60">
        <f t="shared" si="69"/>
        <v>1</v>
      </c>
      <c r="AK60">
        <f t="shared" si="70"/>
        <v>0</v>
      </c>
      <c r="AL60">
        <f t="shared" si="71"/>
        <v>51974.872053426749</v>
      </c>
      <c r="AM60" t="s">
        <v>414</v>
      </c>
      <c r="AN60">
        <v>7361.72</v>
      </c>
      <c r="AO60">
        <v>541.39076923076925</v>
      </c>
      <c r="AP60">
        <v>2141.9899999999998</v>
      </c>
      <c r="AQ60">
        <f t="shared" si="72"/>
        <v>0.74724869433061347</v>
      </c>
      <c r="AR60">
        <v>-0.96077199609010144</v>
      </c>
      <c r="AS60" t="s">
        <v>645</v>
      </c>
      <c r="AT60">
        <v>7357</v>
      </c>
      <c r="AU60">
        <v>724.37403846153859</v>
      </c>
      <c r="AV60">
        <v>1095.009191206238</v>
      </c>
      <c r="AW60">
        <f t="shared" si="73"/>
        <v>0.33847675044299486</v>
      </c>
      <c r="AX60">
        <v>0.5</v>
      </c>
      <c r="AY60">
        <f t="shared" si="74"/>
        <v>1513.2470934052283</v>
      </c>
      <c r="AZ60">
        <f t="shared" si="75"/>
        <v>46.544642966419985</v>
      </c>
      <c r="BA60">
        <f t="shared" si="76"/>
        <v>256.09947939655439</v>
      </c>
      <c r="BB60">
        <f t="shared" si="77"/>
        <v>3.1393032353764276E-2</v>
      </c>
      <c r="BC60">
        <f t="shared" si="78"/>
        <v>0.95613883171193359</v>
      </c>
      <c r="BD60">
        <f t="shared" si="79"/>
        <v>436.01987799068252</v>
      </c>
      <c r="BE60" t="s">
        <v>646</v>
      </c>
      <c r="BF60">
        <v>573.9</v>
      </c>
      <c r="BG60">
        <f t="shared" si="80"/>
        <v>573.9</v>
      </c>
      <c r="BH60">
        <f t="shared" si="81"/>
        <v>0.47589481019076707</v>
      </c>
      <c r="BI60">
        <f t="shared" si="82"/>
        <v>0.71124278557968112</v>
      </c>
      <c r="BJ60">
        <f t="shared" si="83"/>
        <v>0.66767902913338006</v>
      </c>
      <c r="BK60">
        <f t="shared" si="84"/>
        <v>0.66947763664035465</v>
      </c>
      <c r="BL60">
        <f t="shared" si="85"/>
        <v>0.65411802571627764</v>
      </c>
      <c r="BM60">
        <f t="shared" si="86"/>
        <v>0.563496499006365</v>
      </c>
      <c r="BN60">
        <f t="shared" si="87"/>
        <v>0.436503500993635</v>
      </c>
      <c r="BO60">
        <v>1517</v>
      </c>
      <c r="BP60">
        <v>290.00000000000011</v>
      </c>
      <c r="BQ60">
        <v>971.27</v>
      </c>
      <c r="BR60">
        <v>285</v>
      </c>
      <c r="BS60">
        <v>7357</v>
      </c>
      <c r="BT60">
        <v>971.95</v>
      </c>
      <c r="BU60">
        <v>-0.68</v>
      </c>
      <c r="BV60">
        <v>300.00000000000011</v>
      </c>
      <c r="BW60">
        <v>37.9</v>
      </c>
      <c r="BX60">
        <v>1095.009191206238</v>
      </c>
      <c r="BY60">
        <v>1.1317867028954249</v>
      </c>
      <c r="BZ60">
        <v>-90.532184181245739</v>
      </c>
      <c r="CA60">
        <v>0.69803571609287596</v>
      </c>
      <c r="CB60">
        <v>0.99833817609257536</v>
      </c>
      <c r="CC60">
        <v>-7.2487628476084563E-3</v>
      </c>
      <c r="CD60">
        <v>289.99999999999989</v>
      </c>
      <c r="CE60">
        <v>965.23</v>
      </c>
      <c r="CF60">
        <v>675</v>
      </c>
      <c r="CG60">
        <v>7351.66</v>
      </c>
      <c r="CH60">
        <v>971.86</v>
      </c>
      <c r="CI60">
        <v>-6.63</v>
      </c>
      <c r="CW60">
        <f t="shared" si="88"/>
        <v>1800.07</v>
      </c>
      <c r="CX60">
        <f t="shared" si="89"/>
        <v>1513.2470934052283</v>
      </c>
      <c r="CY60">
        <f t="shared" si="90"/>
        <v>0.84066013733089728</v>
      </c>
      <c r="CZ60">
        <f t="shared" si="91"/>
        <v>0.16087406504863155</v>
      </c>
      <c r="DA60">
        <v>6</v>
      </c>
      <c r="DB60">
        <v>0.5</v>
      </c>
      <c r="DC60" t="s">
        <v>415</v>
      </c>
      <c r="DD60">
        <v>2</v>
      </c>
      <c r="DE60">
        <v>1691173070.5999999</v>
      </c>
      <c r="DF60">
        <v>241.95500000000001</v>
      </c>
      <c r="DG60">
        <v>300.02</v>
      </c>
      <c r="DH60">
        <v>26.754899999999999</v>
      </c>
      <c r="DI60">
        <v>17.803000000000001</v>
      </c>
      <c r="DJ60">
        <v>242.309</v>
      </c>
      <c r="DK60">
        <v>26.392099999999999</v>
      </c>
      <c r="DL60">
        <v>500.12599999999998</v>
      </c>
      <c r="DM60">
        <v>99.104100000000003</v>
      </c>
      <c r="DN60">
        <v>9.9821599999999996E-2</v>
      </c>
      <c r="DO60">
        <v>30.488600000000002</v>
      </c>
      <c r="DP60">
        <v>29.969899999999999</v>
      </c>
      <c r="DQ60">
        <v>999.9</v>
      </c>
      <c r="DR60">
        <v>0</v>
      </c>
      <c r="DS60">
        <v>0</v>
      </c>
      <c r="DT60">
        <v>10035</v>
      </c>
      <c r="DU60">
        <v>0</v>
      </c>
      <c r="DV60">
        <v>1786.67</v>
      </c>
      <c r="DW60">
        <v>-58.064500000000002</v>
      </c>
      <c r="DX60">
        <v>248.60599999999999</v>
      </c>
      <c r="DY60">
        <v>305.45800000000003</v>
      </c>
      <c r="DZ60">
        <v>8.9518599999999999</v>
      </c>
      <c r="EA60">
        <v>300.02</v>
      </c>
      <c r="EB60">
        <v>17.803000000000001</v>
      </c>
      <c r="EC60">
        <v>2.6515200000000001</v>
      </c>
      <c r="ED60">
        <v>1.7643500000000001</v>
      </c>
      <c r="EE60">
        <v>21.9877</v>
      </c>
      <c r="EF60">
        <v>15.474500000000001</v>
      </c>
      <c r="EG60">
        <v>1800.07</v>
      </c>
      <c r="EH60">
        <v>0.97799700000000001</v>
      </c>
      <c r="EI60">
        <v>2.2003200000000001E-2</v>
      </c>
      <c r="EJ60">
        <v>0</v>
      </c>
      <c r="EK60">
        <v>723.64</v>
      </c>
      <c r="EL60">
        <v>9.9989999999999996E-2</v>
      </c>
      <c r="EM60">
        <v>14228.9</v>
      </c>
      <c r="EN60">
        <v>16705.900000000001</v>
      </c>
      <c r="EO60">
        <v>48.311999999999998</v>
      </c>
      <c r="EP60">
        <v>50.5</v>
      </c>
      <c r="EQ60">
        <v>49.375</v>
      </c>
      <c r="ER60">
        <v>48.875</v>
      </c>
      <c r="ES60">
        <v>49.375</v>
      </c>
      <c r="ET60">
        <v>1760.37</v>
      </c>
      <c r="EU60">
        <v>39.61</v>
      </c>
      <c r="EV60">
        <v>0</v>
      </c>
      <c r="EW60">
        <v>146</v>
      </c>
      <c r="EX60">
        <v>0</v>
      </c>
      <c r="EY60">
        <v>724.37403846153859</v>
      </c>
      <c r="EZ60">
        <v>-7.3006838376012313</v>
      </c>
      <c r="FA60">
        <v>-188.84444447909331</v>
      </c>
      <c r="FB60">
        <v>14255.11153846154</v>
      </c>
      <c r="FC60">
        <v>15</v>
      </c>
      <c r="FD60">
        <v>1691173042.0999999</v>
      </c>
      <c r="FE60" t="s">
        <v>647</v>
      </c>
      <c r="FF60">
        <v>1691173022.0999999</v>
      </c>
      <c r="FG60">
        <v>1691173042.0999999</v>
      </c>
      <c r="FH60">
        <v>66</v>
      </c>
      <c r="FI60">
        <v>9.7000000000000003E-2</v>
      </c>
      <c r="FJ60">
        <v>3.0000000000000001E-3</v>
      </c>
      <c r="FK60">
        <v>-0.40699999999999997</v>
      </c>
      <c r="FL60">
        <v>6.9000000000000006E-2</v>
      </c>
      <c r="FM60">
        <v>300</v>
      </c>
      <c r="FN60">
        <v>18</v>
      </c>
      <c r="FO60">
        <v>0.1</v>
      </c>
      <c r="FP60">
        <v>0.02</v>
      </c>
      <c r="FQ60">
        <v>46.496593521867261</v>
      </c>
      <c r="FR60">
        <v>-0.45939188150179983</v>
      </c>
      <c r="FS60">
        <v>6.7413103510205602E-2</v>
      </c>
      <c r="FT60">
        <v>1</v>
      </c>
      <c r="FU60">
        <v>0.50355418126819496</v>
      </c>
      <c r="FV60">
        <v>4.3963079111353283E-2</v>
      </c>
      <c r="FW60">
        <v>4.4480303254860196E-3</v>
      </c>
      <c r="FX60">
        <v>1</v>
      </c>
      <c r="FY60">
        <v>2</v>
      </c>
      <c r="FZ60">
        <v>2</v>
      </c>
      <c r="GA60" t="s">
        <v>416</v>
      </c>
      <c r="GB60">
        <v>2.9665900000000001</v>
      </c>
      <c r="GC60">
        <v>2.81182</v>
      </c>
      <c r="GD60">
        <v>6.3473600000000005E-2</v>
      </c>
      <c r="GE60">
        <v>7.5141700000000006E-2</v>
      </c>
      <c r="GF60">
        <v>0.127136</v>
      </c>
      <c r="GG60">
        <v>9.4880599999999995E-2</v>
      </c>
      <c r="GH60">
        <v>27516.5</v>
      </c>
      <c r="GI60">
        <v>25036.5</v>
      </c>
      <c r="GJ60">
        <v>26422.799999999999</v>
      </c>
      <c r="GK60">
        <v>25559.599999999999</v>
      </c>
      <c r="GL60">
        <v>31395.3</v>
      </c>
      <c r="GM60">
        <v>32667.9</v>
      </c>
      <c r="GN60">
        <v>37395</v>
      </c>
      <c r="GO60">
        <v>37902.800000000003</v>
      </c>
      <c r="GP60">
        <v>1.9117</v>
      </c>
      <c r="GQ60">
        <v>1.83</v>
      </c>
      <c r="GR60">
        <v>-3.1232800000000002E-2</v>
      </c>
      <c r="GS60">
        <v>0</v>
      </c>
      <c r="GT60">
        <v>30.478000000000002</v>
      </c>
      <c r="GU60">
        <v>999.9</v>
      </c>
      <c r="GV60">
        <v>26.5</v>
      </c>
      <c r="GW60">
        <v>48</v>
      </c>
      <c r="GX60">
        <v>30.037299999999998</v>
      </c>
      <c r="GY60">
        <v>61.684399999999997</v>
      </c>
      <c r="GZ60">
        <v>13.778</v>
      </c>
      <c r="HA60">
        <v>1</v>
      </c>
      <c r="HB60">
        <v>0.69393300000000002</v>
      </c>
      <c r="HC60">
        <v>4.2491500000000002</v>
      </c>
      <c r="HD60">
        <v>20.2484</v>
      </c>
      <c r="HE60">
        <v>5.2107000000000001</v>
      </c>
      <c r="HF60">
        <v>11.9381</v>
      </c>
      <c r="HG60">
        <v>4.9867999999999997</v>
      </c>
      <c r="HH60">
        <v>3.2909000000000002</v>
      </c>
      <c r="HI60">
        <v>9999</v>
      </c>
      <c r="HJ60">
        <v>9999</v>
      </c>
      <c r="HK60">
        <v>9999</v>
      </c>
      <c r="HL60">
        <v>999.9</v>
      </c>
      <c r="HM60">
        <v>1.8709100000000001</v>
      </c>
      <c r="HN60">
        <v>1.87696</v>
      </c>
      <c r="HO60">
        <v>1.87469</v>
      </c>
      <c r="HP60">
        <v>1.8729100000000001</v>
      </c>
      <c r="HQ60">
        <v>1.87347</v>
      </c>
      <c r="HR60">
        <v>1.8708499999999999</v>
      </c>
      <c r="HS60">
        <v>1.8766799999999999</v>
      </c>
      <c r="HT60">
        <v>1.8758600000000001</v>
      </c>
      <c r="HU60">
        <v>5</v>
      </c>
      <c r="HV60">
        <v>0</v>
      </c>
      <c r="HW60">
        <v>0</v>
      </c>
      <c r="HX60">
        <v>0</v>
      </c>
      <c r="HY60" t="s">
        <v>417</v>
      </c>
      <c r="HZ60" t="s">
        <v>418</v>
      </c>
      <c r="IA60" t="s">
        <v>419</v>
      </c>
      <c r="IB60" t="s">
        <v>420</v>
      </c>
      <c r="IC60" t="s">
        <v>420</v>
      </c>
      <c r="ID60" t="s">
        <v>419</v>
      </c>
      <c r="IE60">
        <v>0</v>
      </c>
      <c r="IF60">
        <v>100</v>
      </c>
      <c r="IG60">
        <v>100</v>
      </c>
      <c r="IH60">
        <v>-0.35399999999999998</v>
      </c>
      <c r="II60">
        <v>0.36280000000000001</v>
      </c>
      <c r="IJ60">
        <v>-4.3403856454198031E-2</v>
      </c>
      <c r="IK60">
        <v>-1.615681629159814E-3</v>
      </c>
      <c r="IL60">
        <v>1.5005605225991581E-6</v>
      </c>
      <c r="IM60">
        <v>-5.1143626075267638E-10</v>
      </c>
      <c r="IN60">
        <v>-0.1821920325681195</v>
      </c>
      <c r="IO60">
        <v>-1.7182111142928099E-3</v>
      </c>
      <c r="IP60">
        <v>9.9985895407488957E-4</v>
      </c>
      <c r="IQ60">
        <v>-5.7750407166627208E-6</v>
      </c>
      <c r="IR60">
        <v>3</v>
      </c>
      <c r="IS60">
        <v>2181</v>
      </c>
      <c r="IT60">
        <v>2</v>
      </c>
      <c r="IU60">
        <v>42</v>
      </c>
      <c r="IV60">
        <v>0.8</v>
      </c>
      <c r="IW60">
        <v>0.5</v>
      </c>
      <c r="IX60">
        <v>0.75683599999999995</v>
      </c>
      <c r="IY60">
        <v>2.5647000000000002</v>
      </c>
      <c r="IZ60">
        <v>1.5991200000000001</v>
      </c>
      <c r="JA60">
        <v>2.2705099999999998</v>
      </c>
      <c r="JB60">
        <v>1.5502899999999999</v>
      </c>
      <c r="JC60">
        <v>2.2875999999999999</v>
      </c>
      <c r="JD60">
        <v>49.389400000000002</v>
      </c>
      <c r="JE60">
        <v>15.970800000000001</v>
      </c>
      <c r="JF60">
        <v>18</v>
      </c>
      <c r="JG60">
        <v>502.17</v>
      </c>
      <c r="JH60">
        <v>419.911</v>
      </c>
      <c r="JI60">
        <v>24.877700000000001</v>
      </c>
      <c r="JJ60">
        <v>35.768799999999999</v>
      </c>
      <c r="JK60">
        <v>29.9999</v>
      </c>
      <c r="JL60">
        <v>35.800600000000003</v>
      </c>
      <c r="JM60">
        <v>35.775399999999998</v>
      </c>
      <c r="JN60">
        <v>15.190300000000001</v>
      </c>
      <c r="JO60">
        <v>44.331000000000003</v>
      </c>
      <c r="JP60">
        <v>0</v>
      </c>
      <c r="JQ60">
        <v>24.916899999999998</v>
      </c>
      <c r="JR60">
        <v>300</v>
      </c>
      <c r="JS60">
        <v>17.761399999999998</v>
      </c>
      <c r="JT60">
        <v>98.636499999999998</v>
      </c>
      <c r="JU60">
        <v>98.368799999999993</v>
      </c>
    </row>
    <row r="61" spans="1:281" x14ac:dyDescent="0.25">
      <c r="A61">
        <v>45</v>
      </c>
      <c r="B61">
        <v>1691173171.5999999</v>
      </c>
      <c r="C61">
        <v>13441</v>
      </c>
      <c r="D61" t="s">
        <v>648</v>
      </c>
      <c r="E61" t="s">
        <v>649</v>
      </c>
      <c r="F61" t="s">
        <v>411</v>
      </c>
      <c r="G61" t="s">
        <v>639</v>
      </c>
      <c r="H61" t="s">
        <v>496</v>
      </c>
      <c r="I61">
        <v>2</v>
      </c>
      <c r="J61">
        <v>1691173171.5999999</v>
      </c>
      <c r="K61">
        <f t="shared" si="46"/>
        <v>7.6193780102921738E-3</v>
      </c>
      <c r="L61">
        <f t="shared" si="47"/>
        <v>7.6193780102921735</v>
      </c>
      <c r="M61">
        <f t="shared" si="48"/>
        <v>32.007469922891552</v>
      </c>
      <c r="N61">
        <f t="shared" si="49"/>
        <v>160.36099999999999</v>
      </c>
      <c r="O61">
        <f t="shared" si="50"/>
        <v>45.7803708415708</v>
      </c>
      <c r="P61">
        <f t="shared" si="51"/>
        <v>4.5415278335557474</v>
      </c>
      <c r="Q61">
        <f t="shared" si="52"/>
        <v>15.908214187192998</v>
      </c>
      <c r="R61">
        <f t="shared" si="53"/>
        <v>0.49468631498490856</v>
      </c>
      <c r="S61">
        <f t="shared" si="54"/>
        <v>2.9128791428123213</v>
      </c>
      <c r="T61">
        <f t="shared" si="55"/>
        <v>0.45231096047811603</v>
      </c>
      <c r="U61">
        <f t="shared" si="56"/>
        <v>0.28619850211810438</v>
      </c>
      <c r="V61">
        <f t="shared" si="57"/>
        <v>289.6111440127363</v>
      </c>
      <c r="W61">
        <f t="shared" si="58"/>
        <v>30.217261513357659</v>
      </c>
      <c r="X61">
        <f t="shared" si="59"/>
        <v>30.026900000000001</v>
      </c>
      <c r="Y61">
        <f t="shared" si="60"/>
        <v>4.2670370866356979</v>
      </c>
      <c r="Z61">
        <f t="shared" si="61"/>
        <v>60.567329296315521</v>
      </c>
      <c r="AA61">
        <f t="shared" si="62"/>
        <v>2.6542227568227998</v>
      </c>
      <c r="AB61">
        <f t="shared" si="63"/>
        <v>4.382268109986259</v>
      </c>
      <c r="AC61">
        <f t="shared" si="64"/>
        <v>1.6128143298128981</v>
      </c>
      <c r="AD61">
        <f t="shared" si="65"/>
        <v>-336.01457025388487</v>
      </c>
      <c r="AE61">
        <f t="shared" si="66"/>
        <v>72.991792433424109</v>
      </c>
      <c r="AF61">
        <f t="shared" si="67"/>
        <v>5.5860576073164694</v>
      </c>
      <c r="AG61">
        <f t="shared" si="68"/>
        <v>32.174423799592034</v>
      </c>
      <c r="AH61">
        <v>0</v>
      </c>
      <c r="AI61">
        <v>0</v>
      </c>
      <c r="AJ61">
        <f t="shared" si="69"/>
        <v>1</v>
      </c>
      <c r="AK61">
        <f t="shared" si="70"/>
        <v>0</v>
      </c>
      <c r="AL61">
        <f t="shared" si="71"/>
        <v>51774.754506748701</v>
      </c>
      <c r="AM61" t="s">
        <v>414</v>
      </c>
      <c r="AN61">
        <v>7361.72</v>
      </c>
      <c r="AO61">
        <v>541.39076923076925</v>
      </c>
      <c r="AP61">
        <v>2141.9899999999998</v>
      </c>
      <c r="AQ61">
        <f t="shared" si="72"/>
        <v>0.74724869433061347</v>
      </c>
      <c r="AR61">
        <v>-0.96077199609010144</v>
      </c>
      <c r="AS61" t="s">
        <v>650</v>
      </c>
      <c r="AT61">
        <v>7356</v>
      </c>
      <c r="AU61">
        <v>678.23288461538448</v>
      </c>
      <c r="AV61">
        <v>916.01343350993432</v>
      </c>
      <c r="AW61">
        <f t="shared" si="73"/>
        <v>0.25958194519422517</v>
      </c>
      <c r="AX61">
        <v>0.5</v>
      </c>
      <c r="AY61">
        <f t="shared" si="74"/>
        <v>1513.389600006599</v>
      </c>
      <c r="AZ61">
        <f t="shared" si="75"/>
        <v>32.007469922891552</v>
      </c>
      <c r="BA61">
        <f t="shared" si="76"/>
        <v>196.42430810321167</v>
      </c>
      <c r="BB61">
        <f t="shared" si="77"/>
        <v>2.1784371928311057E-2</v>
      </c>
      <c r="BC61">
        <f t="shared" si="78"/>
        <v>1.3383827372404682</v>
      </c>
      <c r="BD61">
        <f t="shared" si="79"/>
        <v>404.54283457759107</v>
      </c>
      <c r="BE61" t="s">
        <v>651</v>
      </c>
      <c r="BF61">
        <v>553.23</v>
      </c>
      <c r="BG61">
        <f t="shared" si="80"/>
        <v>553.23</v>
      </c>
      <c r="BH61">
        <f t="shared" si="81"/>
        <v>0.39604597513361672</v>
      </c>
      <c r="BI61">
        <f t="shared" si="82"/>
        <v>0.65543386751158961</v>
      </c>
      <c r="BJ61">
        <f t="shared" si="83"/>
        <v>0.77165623913622305</v>
      </c>
      <c r="BK61">
        <f t="shared" si="84"/>
        <v>0.63472013726686372</v>
      </c>
      <c r="BL61">
        <f t="shared" si="85"/>
        <v>0.76594849161640211</v>
      </c>
      <c r="BM61">
        <f t="shared" si="86"/>
        <v>0.53463299516811968</v>
      </c>
      <c r="BN61">
        <f t="shared" si="87"/>
        <v>0.46536700483188032</v>
      </c>
      <c r="BO61">
        <v>1519</v>
      </c>
      <c r="BP61">
        <v>290.00000000000011</v>
      </c>
      <c r="BQ61">
        <v>841.17</v>
      </c>
      <c r="BR61">
        <v>295</v>
      </c>
      <c r="BS61">
        <v>7356</v>
      </c>
      <c r="BT61">
        <v>842.42</v>
      </c>
      <c r="BU61">
        <v>-1.25</v>
      </c>
      <c r="BV61">
        <v>300.00000000000011</v>
      </c>
      <c r="BW61">
        <v>37.9</v>
      </c>
      <c r="BX61">
        <v>916.01343350993432</v>
      </c>
      <c r="BY61">
        <v>1.259573050289756</v>
      </c>
      <c r="BZ61">
        <v>-54.138579374728607</v>
      </c>
      <c r="CA61">
        <v>0.77675113655350747</v>
      </c>
      <c r="CB61">
        <v>0.99426924133797978</v>
      </c>
      <c r="CC61">
        <v>-7.2475083426028868E-3</v>
      </c>
      <c r="CD61">
        <v>289.99999999999989</v>
      </c>
      <c r="CE61">
        <v>842.61</v>
      </c>
      <c r="CF61">
        <v>795</v>
      </c>
      <c r="CG61">
        <v>7347.25</v>
      </c>
      <c r="CH61">
        <v>842.33</v>
      </c>
      <c r="CI61">
        <v>0.28000000000000003</v>
      </c>
      <c r="CW61">
        <f t="shared" si="88"/>
        <v>1800.24</v>
      </c>
      <c r="CX61">
        <f t="shared" si="89"/>
        <v>1513.389600006599</v>
      </c>
      <c r="CY61">
        <f t="shared" si="90"/>
        <v>0.84065991201539747</v>
      </c>
      <c r="CZ61">
        <f t="shared" si="91"/>
        <v>0.16087363018971709</v>
      </c>
      <c r="DA61">
        <v>6</v>
      </c>
      <c r="DB61">
        <v>0.5</v>
      </c>
      <c r="DC61" t="s">
        <v>415</v>
      </c>
      <c r="DD61">
        <v>2</v>
      </c>
      <c r="DE61">
        <v>1691173171.5999999</v>
      </c>
      <c r="DF61">
        <v>160.36099999999999</v>
      </c>
      <c r="DG61">
        <v>200.21100000000001</v>
      </c>
      <c r="DH61">
        <v>26.755600000000001</v>
      </c>
      <c r="DI61">
        <v>17.8626</v>
      </c>
      <c r="DJ61">
        <v>160.70699999999999</v>
      </c>
      <c r="DK61">
        <v>26.3935</v>
      </c>
      <c r="DL61">
        <v>500.31599999999997</v>
      </c>
      <c r="DM61">
        <v>99.1023</v>
      </c>
      <c r="DN61">
        <v>0.100213</v>
      </c>
      <c r="DO61">
        <v>30.491700000000002</v>
      </c>
      <c r="DP61">
        <v>30.026900000000001</v>
      </c>
      <c r="DQ61">
        <v>999.9</v>
      </c>
      <c r="DR61">
        <v>0</v>
      </c>
      <c r="DS61">
        <v>0</v>
      </c>
      <c r="DT61">
        <v>9995</v>
      </c>
      <c r="DU61">
        <v>0</v>
      </c>
      <c r="DV61">
        <v>1702.15</v>
      </c>
      <c r="DW61">
        <v>-39.849600000000002</v>
      </c>
      <c r="DX61">
        <v>164.77</v>
      </c>
      <c r="DY61">
        <v>203.852</v>
      </c>
      <c r="DZ61">
        <v>8.8929500000000008</v>
      </c>
      <c r="EA61">
        <v>200.21100000000001</v>
      </c>
      <c r="EB61">
        <v>17.8626</v>
      </c>
      <c r="EC61">
        <v>2.6515399999999998</v>
      </c>
      <c r="ED61">
        <v>1.77023</v>
      </c>
      <c r="EE61">
        <v>21.9878</v>
      </c>
      <c r="EF61">
        <v>15.526400000000001</v>
      </c>
      <c r="EG61">
        <v>1800.24</v>
      </c>
      <c r="EH61">
        <v>0.97799999999999998</v>
      </c>
      <c r="EI61">
        <v>2.1999600000000001E-2</v>
      </c>
      <c r="EJ61">
        <v>0</v>
      </c>
      <c r="EK61">
        <v>675.19</v>
      </c>
      <c r="EL61">
        <v>9.9989999999999996E-2</v>
      </c>
      <c r="EM61">
        <v>13296.5</v>
      </c>
      <c r="EN61">
        <v>16707.5</v>
      </c>
      <c r="EO61">
        <v>48.311999999999998</v>
      </c>
      <c r="EP61">
        <v>50.5</v>
      </c>
      <c r="EQ61">
        <v>49.375</v>
      </c>
      <c r="ER61">
        <v>48.875</v>
      </c>
      <c r="ES61">
        <v>49.375</v>
      </c>
      <c r="ET61">
        <v>1760.54</v>
      </c>
      <c r="EU61">
        <v>39.6</v>
      </c>
      <c r="EV61">
        <v>0</v>
      </c>
      <c r="EW61">
        <v>98.599999904632568</v>
      </c>
      <c r="EX61">
        <v>0</v>
      </c>
      <c r="EY61">
        <v>678.23288461538448</v>
      </c>
      <c r="EZ61">
        <v>-25.866837600106731</v>
      </c>
      <c r="FA61">
        <v>-573.01538374746542</v>
      </c>
      <c r="FB61">
        <v>13361.642307692309</v>
      </c>
      <c r="FC61">
        <v>15</v>
      </c>
      <c r="FD61">
        <v>1691173143.5999999</v>
      </c>
      <c r="FE61" t="s">
        <v>652</v>
      </c>
      <c r="FF61">
        <v>1691173133.5999999</v>
      </c>
      <c r="FG61">
        <v>1691173143.5999999</v>
      </c>
      <c r="FH61">
        <v>67</v>
      </c>
      <c r="FI61">
        <v>-0.08</v>
      </c>
      <c r="FJ61">
        <v>-1E-3</v>
      </c>
      <c r="FK61">
        <v>-0.39</v>
      </c>
      <c r="FL61">
        <v>6.5000000000000002E-2</v>
      </c>
      <c r="FM61">
        <v>200</v>
      </c>
      <c r="FN61">
        <v>18</v>
      </c>
      <c r="FO61">
        <v>0.13</v>
      </c>
      <c r="FP61">
        <v>0.02</v>
      </c>
      <c r="FQ61">
        <v>31.820827152388009</v>
      </c>
      <c r="FR61">
        <v>-0.26940578230633883</v>
      </c>
      <c r="FS61">
        <v>7.3017660209070093E-2</v>
      </c>
      <c r="FT61">
        <v>1</v>
      </c>
      <c r="FU61">
        <v>0.48725713464258852</v>
      </c>
      <c r="FV61">
        <v>4.6030778668179242E-2</v>
      </c>
      <c r="FW61">
        <v>4.2631481607372634E-3</v>
      </c>
      <c r="FX61">
        <v>1</v>
      </c>
      <c r="FY61">
        <v>2</v>
      </c>
      <c r="FZ61">
        <v>2</v>
      </c>
      <c r="GA61" t="s">
        <v>416</v>
      </c>
      <c r="GB61">
        <v>2.9671599999999998</v>
      </c>
      <c r="GC61">
        <v>2.8118599999999998</v>
      </c>
      <c r="GD61">
        <v>4.4014600000000001E-2</v>
      </c>
      <c r="GE61">
        <v>5.3099800000000003E-2</v>
      </c>
      <c r="GF61">
        <v>0.12715299999999999</v>
      </c>
      <c r="GG61">
        <v>9.5118800000000003E-2</v>
      </c>
      <c r="GH61">
        <v>28091.8</v>
      </c>
      <c r="GI61">
        <v>25638.2</v>
      </c>
      <c r="GJ61">
        <v>26425.9</v>
      </c>
      <c r="GK61">
        <v>25564</v>
      </c>
      <c r="GL61">
        <v>31396.5</v>
      </c>
      <c r="GM61">
        <v>32662.6</v>
      </c>
      <c r="GN61">
        <v>37399.4</v>
      </c>
      <c r="GO61">
        <v>37908.5</v>
      </c>
      <c r="GP61">
        <v>1.9127000000000001</v>
      </c>
      <c r="GQ61">
        <v>1.8320000000000001</v>
      </c>
      <c r="GR61">
        <v>-2.79248E-2</v>
      </c>
      <c r="GS61">
        <v>0</v>
      </c>
      <c r="GT61">
        <v>30.481100000000001</v>
      </c>
      <c r="GU61">
        <v>999.9</v>
      </c>
      <c r="GV61">
        <v>26.5</v>
      </c>
      <c r="GW61">
        <v>47.9</v>
      </c>
      <c r="GX61">
        <v>29.887499999999999</v>
      </c>
      <c r="GY61">
        <v>61.754399999999997</v>
      </c>
      <c r="GZ61">
        <v>13.1571</v>
      </c>
      <c r="HA61">
        <v>1</v>
      </c>
      <c r="HB61">
        <v>0.69101599999999996</v>
      </c>
      <c r="HC61">
        <v>4.61388</v>
      </c>
      <c r="HD61">
        <v>20.2378</v>
      </c>
      <c r="HE61">
        <v>5.2053099999999999</v>
      </c>
      <c r="HF61">
        <v>11.9381</v>
      </c>
      <c r="HG61">
        <v>4.9874000000000001</v>
      </c>
      <c r="HH61">
        <v>3.2907999999999999</v>
      </c>
      <c r="HI61">
        <v>9999</v>
      </c>
      <c r="HJ61">
        <v>9999</v>
      </c>
      <c r="HK61">
        <v>9999</v>
      </c>
      <c r="HL61">
        <v>999.9</v>
      </c>
      <c r="HM61">
        <v>1.8709</v>
      </c>
      <c r="HN61">
        <v>1.8768899999999999</v>
      </c>
      <c r="HO61">
        <v>1.87469</v>
      </c>
      <c r="HP61">
        <v>1.8728800000000001</v>
      </c>
      <c r="HQ61">
        <v>1.87347</v>
      </c>
      <c r="HR61">
        <v>1.8708800000000001</v>
      </c>
      <c r="HS61">
        <v>1.8766799999999999</v>
      </c>
      <c r="HT61">
        <v>1.8758600000000001</v>
      </c>
      <c r="HU61">
        <v>5</v>
      </c>
      <c r="HV61">
        <v>0</v>
      </c>
      <c r="HW61">
        <v>0</v>
      </c>
      <c r="HX61">
        <v>0</v>
      </c>
      <c r="HY61" t="s">
        <v>417</v>
      </c>
      <c r="HZ61" t="s">
        <v>418</v>
      </c>
      <c r="IA61" t="s">
        <v>419</v>
      </c>
      <c r="IB61" t="s">
        <v>420</v>
      </c>
      <c r="IC61" t="s">
        <v>420</v>
      </c>
      <c r="ID61" t="s">
        <v>419</v>
      </c>
      <c r="IE61">
        <v>0</v>
      </c>
      <c r="IF61">
        <v>100</v>
      </c>
      <c r="IG61">
        <v>100</v>
      </c>
      <c r="IH61">
        <v>-0.34599999999999997</v>
      </c>
      <c r="II61">
        <v>0.36209999999999998</v>
      </c>
      <c r="IJ61">
        <v>-0.12299910016464539</v>
      </c>
      <c r="IK61">
        <v>-1.615681629159814E-3</v>
      </c>
      <c r="IL61">
        <v>1.5005605225991581E-6</v>
      </c>
      <c r="IM61">
        <v>-5.1143626075267638E-10</v>
      </c>
      <c r="IN61">
        <v>-0.18289212726235041</v>
      </c>
      <c r="IO61">
        <v>-1.7182111142928099E-3</v>
      </c>
      <c r="IP61">
        <v>9.9985895407488957E-4</v>
      </c>
      <c r="IQ61">
        <v>-5.7750407166627208E-6</v>
      </c>
      <c r="IR61">
        <v>3</v>
      </c>
      <c r="IS61">
        <v>2181</v>
      </c>
      <c r="IT61">
        <v>2</v>
      </c>
      <c r="IU61">
        <v>42</v>
      </c>
      <c r="IV61">
        <v>0.6</v>
      </c>
      <c r="IW61">
        <v>0.5</v>
      </c>
      <c r="IX61">
        <v>0.554199</v>
      </c>
      <c r="IY61">
        <v>2.5671400000000002</v>
      </c>
      <c r="IZ61">
        <v>1.5991200000000001</v>
      </c>
      <c r="JA61">
        <v>2.2692899999999998</v>
      </c>
      <c r="JB61">
        <v>1.5502899999999999</v>
      </c>
      <c r="JC61">
        <v>2.3803700000000001</v>
      </c>
      <c r="JD61">
        <v>49.200600000000001</v>
      </c>
      <c r="JE61">
        <v>15.962</v>
      </c>
      <c r="JF61">
        <v>18</v>
      </c>
      <c r="JG61">
        <v>502.45699999999999</v>
      </c>
      <c r="JH61">
        <v>420.803</v>
      </c>
      <c r="JI61">
        <v>24.777100000000001</v>
      </c>
      <c r="JJ61">
        <v>35.707500000000003</v>
      </c>
      <c r="JK61">
        <v>30.000800000000002</v>
      </c>
      <c r="JL61">
        <v>35.751100000000001</v>
      </c>
      <c r="JM61">
        <v>35.729500000000002</v>
      </c>
      <c r="JN61">
        <v>11.130800000000001</v>
      </c>
      <c r="JO61">
        <v>44.004300000000001</v>
      </c>
      <c r="JP61">
        <v>0</v>
      </c>
      <c r="JQ61">
        <v>24.7791</v>
      </c>
      <c r="JR61">
        <v>200</v>
      </c>
      <c r="JS61">
        <v>17.805099999999999</v>
      </c>
      <c r="JT61">
        <v>98.648099999999999</v>
      </c>
      <c r="JU61">
        <v>98.384500000000003</v>
      </c>
    </row>
    <row r="62" spans="1:281" x14ac:dyDescent="0.25">
      <c r="A62">
        <v>46</v>
      </c>
      <c r="B62">
        <v>1691173276.5999999</v>
      </c>
      <c r="C62">
        <v>13546</v>
      </c>
      <c r="D62" t="s">
        <v>653</v>
      </c>
      <c r="E62" t="s">
        <v>654</v>
      </c>
      <c r="F62" t="s">
        <v>411</v>
      </c>
      <c r="G62" t="s">
        <v>639</v>
      </c>
      <c r="H62" t="s">
        <v>496</v>
      </c>
      <c r="I62">
        <v>2</v>
      </c>
      <c r="J62">
        <v>1691173276.5999999</v>
      </c>
      <c r="K62">
        <f t="shared" si="46"/>
        <v>7.9771299682610767E-3</v>
      </c>
      <c r="L62">
        <f t="shared" si="47"/>
        <v>7.9771299682610772</v>
      </c>
      <c r="M62">
        <f t="shared" si="48"/>
        <v>19.872915812779183</v>
      </c>
      <c r="N62">
        <f t="shared" si="49"/>
        <v>95.3142</v>
      </c>
      <c r="O62">
        <f t="shared" si="50"/>
        <v>28.064796746069504</v>
      </c>
      <c r="P62">
        <f t="shared" si="51"/>
        <v>2.7840950804630982</v>
      </c>
      <c r="Q62">
        <f t="shared" si="52"/>
        <v>9.4553970128232017</v>
      </c>
      <c r="R62">
        <f t="shared" si="53"/>
        <v>0.52588120538220107</v>
      </c>
      <c r="S62">
        <f t="shared" si="54"/>
        <v>2.9120059113785111</v>
      </c>
      <c r="T62">
        <f t="shared" si="55"/>
        <v>0.47825523786016699</v>
      </c>
      <c r="U62">
        <f t="shared" si="56"/>
        <v>0.30282827762917652</v>
      </c>
      <c r="V62">
        <f t="shared" si="57"/>
        <v>289.59039601273724</v>
      </c>
      <c r="W62">
        <f t="shared" si="58"/>
        <v>30.064613746516404</v>
      </c>
      <c r="X62">
        <f t="shared" si="59"/>
        <v>29.959099999999999</v>
      </c>
      <c r="Y62">
        <f t="shared" si="60"/>
        <v>4.2504510977895285</v>
      </c>
      <c r="Z62">
        <f t="shared" si="61"/>
        <v>60.752976310385279</v>
      </c>
      <c r="AA62">
        <f t="shared" si="62"/>
        <v>2.6533664858120001</v>
      </c>
      <c r="AB62">
        <f t="shared" si="63"/>
        <v>4.3674674838250294</v>
      </c>
      <c r="AC62">
        <f t="shared" si="64"/>
        <v>1.5970846119775284</v>
      </c>
      <c r="AD62">
        <f t="shared" si="65"/>
        <v>-351.7914316003135</v>
      </c>
      <c r="AE62">
        <f t="shared" si="66"/>
        <v>74.335741685722056</v>
      </c>
      <c r="AF62">
        <f t="shared" si="67"/>
        <v>5.6870448998457972</v>
      </c>
      <c r="AG62">
        <f t="shared" si="68"/>
        <v>17.821750997991572</v>
      </c>
      <c r="AH62">
        <v>0</v>
      </c>
      <c r="AI62">
        <v>0</v>
      </c>
      <c r="AJ62">
        <f t="shared" si="69"/>
        <v>1</v>
      </c>
      <c r="AK62">
        <f t="shared" si="70"/>
        <v>0</v>
      </c>
      <c r="AL62">
        <f t="shared" si="71"/>
        <v>51760.039495820987</v>
      </c>
      <c r="AM62" t="s">
        <v>414</v>
      </c>
      <c r="AN62">
        <v>7361.72</v>
      </c>
      <c r="AO62">
        <v>541.39076923076925</v>
      </c>
      <c r="AP62">
        <v>2141.9899999999998</v>
      </c>
      <c r="AQ62">
        <f t="shared" si="72"/>
        <v>0.74724869433061347</v>
      </c>
      <c r="AR62">
        <v>-0.96077199609010144</v>
      </c>
      <c r="AS62" t="s">
        <v>655</v>
      </c>
      <c r="AT62">
        <v>7355.3</v>
      </c>
      <c r="AU62">
        <v>674.85360000000003</v>
      </c>
      <c r="AV62">
        <v>823.60194745965862</v>
      </c>
      <c r="AW62">
        <f t="shared" si="73"/>
        <v>0.18060708564187133</v>
      </c>
      <c r="AX62">
        <v>0.5</v>
      </c>
      <c r="AY62">
        <f t="shared" si="74"/>
        <v>1513.2804000065996</v>
      </c>
      <c r="AZ62">
        <f t="shared" si="75"/>
        <v>19.872915812779183</v>
      </c>
      <c r="BA62">
        <f t="shared" si="76"/>
        <v>136.65458140207863</v>
      </c>
      <c r="BB62">
        <f t="shared" si="77"/>
        <v>1.3767235608667387E-2</v>
      </c>
      <c r="BC62">
        <f t="shared" si="78"/>
        <v>1.600758784758602</v>
      </c>
      <c r="BD62">
        <f t="shared" si="79"/>
        <v>385.44292387473666</v>
      </c>
      <c r="BE62" t="s">
        <v>656</v>
      </c>
      <c r="BF62">
        <v>554.84</v>
      </c>
      <c r="BG62">
        <f t="shared" si="80"/>
        <v>554.84</v>
      </c>
      <c r="BH62">
        <f t="shared" si="81"/>
        <v>0.32632505094073128</v>
      </c>
      <c r="BI62">
        <f t="shared" si="82"/>
        <v>0.553457618779853</v>
      </c>
      <c r="BJ62">
        <f t="shared" si="83"/>
        <v>0.83066380149345764</v>
      </c>
      <c r="BK62">
        <f t="shared" si="84"/>
        <v>0.52708169957398066</v>
      </c>
      <c r="BL62">
        <f t="shared" si="85"/>
        <v>0.82368404732191347</v>
      </c>
      <c r="BM62">
        <f t="shared" si="86"/>
        <v>0.45503265479181504</v>
      </c>
      <c r="BN62">
        <f t="shared" si="87"/>
        <v>0.54496734520818491</v>
      </c>
      <c r="BO62">
        <v>1521</v>
      </c>
      <c r="BP62">
        <v>290.00000000000011</v>
      </c>
      <c r="BQ62">
        <v>783.16</v>
      </c>
      <c r="BR62">
        <v>295</v>
      </c>
      <c r="BS62">
        <v>7355.3</v>
      </c>
      <c r="BT62">
        <v>784.04</v>
      </c>
      <c r="BU62">
        <v>-0.88</v>
      </c>
      <c r="BV62">
        <v>300.00000000000011</v>
      </c>
      <c r="BW62">
        <v>37.9</v>
      </c>
      <c r="BX62">
        <v>823.60194745965862</v>
      </c>
      <c r="BY62">
        <v>1.3734819716807549</v>
      </c>
      <c r="BZ62">
        <v>-29.099115067383021</v>
      </c>
      <c r="CA62">
        <v>0.84691896021031854</v>
      </c>
      <c r="CB62">
        <v>0.97683129584322725</v>
      </c>
      <c r="CC62">
        <v>-7.2466473859844234E-3</v>
      </c>
      <c r="CD62">
        <v>289.99999999999989</v>
      </c>
      <c r="CE62">
        <v>785.93</v>
      </c>
      <c r="CF62">
        <v>705</v>
      </c>
      <c r="CG62">
        <v>7349.04</v>
      </c>
      <c r="CH62">
        <v>784.01</v>
      </c>
      <c r="CI62">
        <v>1.92</v>
      </c>
      <c r="CW62">
        <f t="shared" si="88"/>
        <v>1800.11</v>
      </c>
      <c r="CX62">
        <f t="shared" si="89"/>
        <v>1513.2804000065996</v>
      </c>
      <c r="CY62">
        <f t="shared" si="90"/>
        <v>0.84065995967279761</v>
      </c>
      <c r="CZ62">
        <f t="shared" si="91"/>
        <v>0.16087372216849929</v>
      </c>
      <c r="DA62">
        <v>6</v>
      </c>
      <c r="DB62">
        <v>0.5</v>
      </c>
      <c r="DC62" t="s">
        <v>415</v>
      </c>
      <c r="DD62">
        <v>2</v>
      </c>
      <c r="DE62">
        <v>1691173276.5999999</v>
      </c>
      <c r="DF62">
        <v>95.3142</v>
      </c>
      <c r="DG62">
        <v>120.069</v>
      </c>
      <c r="DH62">
        <v>26.747</v>
      </c>
      <c r="DI62">
        <v>17.432400000000001</v>
      </c>
      <c r="DJ62">
        <v>95.581500000000005</v>
      </c>
      <c r="DK62">
        <v>26.386299999999999</v>
      </c>
      <c r="DL62">
        <v>500.10300000000001</v>
      </c>
      <c r="DM62">
        <v>99.102400000000003</v>
      </c>
      <c r="DN62">
        <v>9.9996000000000002E-2</v>
      </c>
      <c r="DO62">
        <v>30.432600000000001</v>
      </c>
      <c r="DP62">
        <v>29.959099999999999</v>
      </c>
      <c r="DQ62">
        <v>999.9</v>
      </c>
      <c r="DR62">
        <v>0</v>
      </c>
      <c r="DS62">
        <v>0</v>
      </c>
      <c r="DT62">
        <v>9990</v>
      </c>
      <c r="DU62">
        <v>0</v>
      </c>
      <c r="DV62">
        <v>1678.54</v>
      </c>
      <c r="DW62">
        <v>-24.755099999999999</v>
      </c>
      <c r="DX62">
        <v>97.933599999999998</v>
      </c>
      <c r="DY62">
        <v>122.2</v>
      </c>
      <c r="DZ62">
        <v>9.3145799999999994</v>
      </c>
      <c r="EA62">
        <v>120.069</v>
      </c>
      <c r="EB62">
        <v>17.432400000000001</v>
      </c>
      <c r="EC62">
        <v>2.65069</v>
      </c>
      <c r="ED62">
        <v>1.72759</v>
      </c>
      <c r="EE62">
        <v>21.982600000000001</v>
      </c>
      <c r="EF62">
        <v>15.146599999999999</v>
      </c>
      <c r="EG62">
        <v>1800.11</v>
      </c>
      <c r="EH62">
        <v>0.97799999999999998</v>
      </c>
      <c r="EI62">
        <v>2.1999600000000001E-2</v>
      </c>
      <c r="EJ62">
        <v>0</v>
      </c>
      <c r="EK62">
        <v>676.18</v>
      </c>
      <c r="EL62">
        <v>9.9989999999999996E-2</v>
      </c>
      <c r="EM62">
        <v>13234.8</v>
      </c>
      <c r="EN62">
        <v>16706.3</v>
      </c>
      <c r="EO62">
        <v>48.311999999999998</v>
      </c>
      <c r="EP62">
        <v>50.561999999999998</v>
      </c>
      <c r="EQ62">
        <v>49.375</v>
      </c>
      <c r="ER62">
        <v>48.936999999999998</v>
      </c>
      <c r="ES62">
        <v>49.436999999999998</v>
      </c>
      <c r="ET62">
        <v>1760.41</v>
      </c>
      <c r="EU62">
        <v>39.6</v>
      </c>
      <c r="EV62">
        <v>0</v>
      </c>
      <c r="EW62">
        <v>102.5999999046326</v>
      </c>
      <c r="EX62">
        <v>0</v>
      </c>
      <c r="EY62">
        <v>674.85360000000003</v>
      </c>
      <c r="EZ62">
        <v>-5.0188461863447378</v>
      </c>
      <c r="FA62">
        <v>-221.23846128839509</v>
      </c>
      <c r="FB62">
        <v>13265.656000000001</v>
      </c>
      <c r="FC62">
        <v>15</v>
      </c>
      <c r="FD62">
        <v>1691173247.0999999</v>
      </c>
      <c r="FE62" t="s">
        <v>657</v>
      </c>
      <c r="FF62">
        <v>1691173233.5999999</v>
      </c>
      <c r="FG62">
        <v>1691173247.0999999</v>
      </c>
      <c r="FH62">
        <v>68</v>
      </c>
      <c r="FI62">
        <v>-3.0000000000000001E-3</v>
      </c>
      <c r="FJ62">
        <v>-1E-3</v>
      </c>
      <c r="FK62">
        <v>-0.3</v>
      </c>
      <c r="FL62">
        <v>6.0999999999999999E-2</v>
      </c>
      <c r="FM62">
        <v>120</v>
      </c>
      <c r="FN62">
        <v>18</v>
      </c>
      <c r="FO62">
        <v>0.22</v>
      </c>
      <c r="FP62">
        <v>0.03</v>
      </c>
      <c r="FQ62">
        <v>19.870136291327999</v>
      </c>
      <c r="FR62">
        <v>-0.35372037172648729</v>
      </c>
      <c r="FS62">
        <v>6.3971098195617637E-2</v>
      </c>
      <c r="FT62">
        <v>1</v>
      </c>
      <c r="FU62">
        <v>0.52424065369617578</v>
      </c>
      <c r="FV62">
        <v>3.5979476344829661E-2</v>
      </c>
      <c r="FW62">
        <v>4.0517632732345989E-3</v>
      </c>
      <c r="FX62">
        <v>1</v>
      </c>
      <c r="FY62">
        <v>2</v>
      </c>
      <c r="FZ62">
        <v>2</v>
      </c>
      <c r="GA62" t="s">
        <v>416</v>
      </c>
      <c r="GB62">
        <v>2.9666600000000001</v>
      </c>
      <c r="GC62">
        <v>2.8115999999999999</v>
      </c>
      <c r="GD62">
        <v>2.6924199999999999E-2</v>
      </c>
      <c r="GE62">
        <v>3.3117800000000003E-2</v>
      </c>
      <c r="GF62">
        <v>0.12714600000000001</v>
      </c>
      <c r="GG62">
        <v>9.3467400000000006E-2</v>
      </c>
      <c r="GH62">
        <v>28599.200000000001</v>
      </c>
      <c r="GI62">
        <v>26183.7</v>
      </c>
      <c r="GJ62">
        <v>26430.6</v>
      </c>
      <c r="GK62">
        <v>25568</v>
      </c>
      <c r="GL62">
        <v>31400.1</v>
      </c>
      <c r="GM62">
        <v>32725.1</v>
      </c>
      <c r="GN62">
        <v>37405.599999999999</v>
      </c>
      <c r="GO62">
        <v>37913.599999999999</v>
      </c>
      <c r="GP62">
        <v>1.9133</v>
      </c>
      <c r="GQ62">
        <v>1.8335999999999999</v>
      </c>
      <c r="GR62">
        <v>-2.7209500000000001E-2</v>
      </c>
      <c r="GS62">
        <v>0</v>
      </c>
      <c r="GT62">
        <v>30.401800000000001</v>
      </c>
      <c r="GU62">
        <v>999.9</v>
      </c>
      <c r="GV62">
        <v>26.4</v>
      </c>
      <c r="GW62">
        <v>47.8</v>
      </c>
      <c r="GX62">
        <v>29.624099999999999</v>
      </c>
      <c r="GY62">
        <v>61.724400000000003</v>
      </c>
      <c r="GZ62">
        <v>13.645799999999999</v>
      </c>
      <c r="HA62">
        <v>1</v>
      </c>
      <c r="HB62">
        <v>0.68027400000000005</v>
      </c>
      <c r="HC62">
        <v>3.9194300000000002</v>
      </c>
      <c r="HD62">
        <v>20.256699999999999</v>
      </c>
      <c r="HE62">
        <v>5.2059100000000003</v>
      </c>
      <c r="HF62">
        <v>11.9381</v>
      </c>
      <c r="HG62">
        <v>4.9862000000000002</v>
      </c>
      <c r="HH62">
        <v>3.2909999999999999</v>
      </c>
      <c r="HI62">
        <v>9999</v>
      </c>
      <c r="HJ62">
        <v>9999</v>
      </c>
      <c r="HK62">
        <v>9999</v>
      </c>
      <c r="HL62">
        <v>999.9</v>
      </c>
      <c r="HM62">
        <v>1.8708800000000001</v>
      </c>
      <c r="HN62">
        <v>1.87683</v>
      </c>
      <c r="HO62">
        <v>1.87469</v>
      </c>
      <c r="HP62">
        <v>1.87296</v>
      </c>
      <c r="HQ62">
        <v>1.87347</v>
      </c>
      <c r="HR62">
        <v>1.8708800000000001</v>
      </c>
      <c r="HS62">
        <v>1.8766700000000001</v>
      </c>
      <c r="HT62">
        <v>1.8757900000000001</v>
      </c>
      <c r="HU62">
        <v>5</v>
      </c>
      <c r="HV62">
        <v>0</v>
      </c>
      <c r="HW62">
        <v>0</v>
      </c>
      <c r="HX62">
        <v>0</v>
      </c>
      <c r="HY62" t="s">
        <v>417</v>
      </c>
      <c r="HZ62" t="s">
        <v>418</v>
      </c>
      <c r="IA62" t="s">
        <v>419</v>
      </c>
      <c r="IB62" t="s">
        <v>420</v>
      </c>
      <c r="IC62" t="s">
        <v>420</v>
      </c>
      <c r="ID62" t="s">
        <v>419</v>
      </c>
      <c r="IE62">
        <v>0</v>
      </c>
      <c r="IF62">
        <v>100</v>
      </c>
      <c r="IG62">
        <v>100</v>
      </c>
      <c r="IH62">
        <v>-0.26700000000000002</v>
      </c>
      <c r="II62">
        <v>0.36070000000000002</v>
      </c>
      <c r="IJ62">
        <v>-0.12619611278046669</v>
      </c>
      <c r="IK62">
        <v>-1.615681629159814E-3</v>
      </c>
      <c r="IL62">
        <v>1.5005605225991581E-6</v>
      </c>
      <c r="IM62">
        <v>-5.1143626075267638E-10</v>
      </c>
      <c r="IN62">
        <v>-0.18406910391800449</v>
      </c>
      <c r="IO62">
        <v>-1.7182111142928099E-3</v>
      </c>
      <c r="IP62">
        <v>9.9985895407488957E-4</v>
      </c>
      <c r="IQ62">
        <v>-5.7750407166627208E-6</v>
      </c>
      <c r="IR62">
        <v>3</v>
      </c>
      <c r="IS62">
        <v>2181</v>
      </c>
      <c r="IT62">
        <v>2</v>
      </c>
      <c r="IU62">
        <v>42</v>
      </c>
      <c r="IV62">
        <v>0.7</v>
      </c>
      <c r="IW62">
        <v>0.5</v>
      </c>
      <c r="IX62">
        <v>0.386963</v>
      </c>
      <c r="IY62">
        <v>2.5842299999999998</v>
      </c>
      <c r="IZ62">
        <v>1.5991200000000001</v>
      </c>
      <c r="JA62">
        <v>2.2692899999999998</v>
      </c>
      <c r="JB62">
        <v>1.5502899999999999</v>
      </c>
      <c r="JC62">
        <v>2.34253</v>
      </c>
      <c r="JD62">
        <v>48.981499999999997</v>
      </c>
      <c r="JE62">
        <v>15.962</v>
      </c>
      <c r="JF62">
        <v>18</v>
      </c>
      <c r="JG62">
        <v>502.41</v>
      </c>
      <c r="JH62">
        <v>421.37599999999998</v>
      </c>
      <c r="JI62">
        <v>25.038399999999999</v>
      </c>
      <c r="JJ62">
        <v>35.628599999999999</v>
      </c>
      <c r="JK62">
        <v>29.999700000000001</v>
      </c>
      <c r="JL62">
        <v>35.692</v>
      </c>
      <c r="JM62">
        <v>35.6706</v>
      </c>
      <c r="JN62">
        <v>7.7879300000000002</v>
      </c>
      <c r="JO62">
        <v>44.938499999999998</v>
      </c>
      <c r="JP62">
        <v>0</v>
      </c>
      <c r="JQ62">
        <v>25.052199999999999</v>
      </c>
      <c r="JR62">
        <v>120</v>
      </c>
      <c r="JS62">
        <v>17.3475</v>
      </c>
      <c r="JT62">
        <v>98.664900000000003</v>
      </c>
      <c r="JU62">
        <v>98.398600000000002</v>
      </c>
    </row>
    <row r="63" spans="1:281" x14ac:dyDescent="0.25">
      <c r="A63">
        <v>47</v>
      </c>
      <c r="B63">
        <v>1691173408.5999999</v>
      </c>
      <c r="C63">
        <v>13678</v>
      </c>
      <c r="D63" t="s">
        <v>658</v>
      </c>
      <c r="E63" t="s">
        <v>659</v>
      </c>
      <c r="F63" t="s">
        <v>411</v>
      </c>
      <c r="G63" t="s">
        <v>639</v>
      </c>
      <c r="H63" t="s">
        <v>496</v>
      </c>
      <c r="I63">
        <v>2</v>
      </c>
      <c r="J63">
        <v>1691173408.5999999</v>
      </c>
      <c r="K63">
        <f t="shared" si="46"/>
        <v>8.1921005549808329E-3</v>
      </c>
      <c r="L63">
        <f t="shared" si="47"/>
        <v>8.1921005549808328</v>
      </c>
      <c r="M63">
        <f t="shared" si="48"/>
        <v>11.784349377477373</v>
      </c>
      <c r="N63">
        <f t="shared" si="49"/>
        <v>55.357999999999997</v>
      </c>
      <c r="O63">
        <f t="shared" si="50"/>
        <v>16.116564355599696</v>
      </c>
      <c r="P63">
        <f t="shared" si="51"/>
        <v>1.5988817407462024</v>
      </c>
      <c r="Q63">
        <f t="shared" si="52"/>
        <v>5.4919208245195996</v>
      </c>
      <c r="R63">
        <f t="shared" si="53"/>
        <v>0.53509433637484161</v>
      </c>
      <c r="S63">
        <f t="shared" si="54"/>
        <v>2.9182130427918831</v>
      </c>
      <c r="T63">
        <f t="shared" si="55"/>
        <v>0.4859629479031663</v>
      </c>
      <c r="U63">
        <f t="shared" si="56"/>
        <v>0.30776429527401916</v>
      </c>
      <c r="V63">
        <f t="shared" si="57"/>
        <v>289.56645601273829</v>
      </c>
      <c r="W63">
        <f t="shared" si="58"/>
        <v>30.080545880204355</v>
      </c>
      <c r="X63">
        <f t="shared" si="59"/>
        <v>30.041</v>
      </c>
      <c r="Y63">
        <f t="shared" si="60"/>
        <v>4.2704934610325784</v>
      </c>
      <c r="Z63">
        <f t="shared" si="61"/>
        <v>60.576876170484162</v>
      </c>
      <c r="AA63">
        <f t="shared" si="62"/>
        <v>2.6564952184386397</v>
      </c>
      <c r="AB63">
        <f t="shared" si="63"/>
        <v>4.3853288356473659</v>
      </c>
      <c r="AC63">
        <f t="shared" si="64"/>
        <v>1.6139982425939388</v>
      </c>
      <c r="AD63">
        <f t="shared" si="65"/>
        <v>-361.27163447465472</v>
      </c>
      <c r="AE63">
        <f t="shared" si="66"/>
        <v>72.826530153511044</v>
      </c>
      <c r="AF63">
        <f t="shared" si="67"/>
        <v>5.5639467402192198</v>
      </c>
      <c r="AG63">
        <f t="shared" si="68"/>
        <v>6.6852984318138056</v>
      </c>
      <c r="AH63">
        <v>0</v>
      </c>
      <c r="AI63">
        <v>0</v>
      </c>
      <c r="AJ63">
        <f t="shared" si="69"/>
        <v>1</v>
      </c>
      <c r="AK63">
        <f t="shared" si="70"/>
        <v>0</v>
      </c>
      <c r="AL63">
        <f t="shared" si="71"/>
        <v>51924.343039353662</v>
      </c>
      <c r="AM63" t="s">
        <v>414</v>
      </c>
      <c r="AN63">
        <v>7361.72</v>
      </c>
      <c r="AO63">
        <v>541.39076923076925</v>
      </c>
      <c r="AP63">
        <v>2141.9899999999998</v>
      </c>
      <c r="AQ63">
        <f t="shared" si="72"/>
        <v>0.74724869433061347</v>
      </c>
      <c r="AR63">
        <v>-0.96077199609010144</v>
      </c>
      <c r="AS63" t="s">
        <v>660</v>
      </c>
      <c r="AT63">
        <v>7357.38</v>
      </c>
      <c r="AU63">
        <v>679.37865384615384</v>
      </c>
      <c r="AV63">
        <v>769.60554225400915</v>
      </c>
      <c r="AW63">
        <f t="shared" si="73"/>
        <v>0.11723783607846705</v>
      </c>
      <c r="AX63">
        <v>0.5</v>
      </c>
      <c r="AY63">
        <f t="shared" si="74"/>
        <v>1513.1544000066001</v>
      </c>
      <c r="AZ63">
        <f t="shared" si="75"/>
        <v>11.784349377477373</v>
      </c>
      <c r="BA63">
        <f t="shared" si="76"/>
        <v>88.699473754692477</v>
      </c>
      <c r="BB63">
        <f t="shared" si="77"/>
        <v>8.4228822739516093E-3</v>
      </c>
      <c r="BC63">
        <f t="shared" si="78"/>
        <v>1.7832309961367634</v>
      </c>
      <c r="BD63">
        <f t="shared" si="79"/>
        <v>373.18919042218693</v>
      </c>
      <c r="BE63" t="s">
        <v>661</v>
      </c>
      <c r="BF63">
        <v>571.41</v>
      </c>
      <c r="BG63">
        <f t="shared" si="80"/>
        <v>571.41</v>
      </c>
      <c r="BH63">
        <f t="shared" si="81"/>
        <v>0.25752873566052692</v>
      </c>
      <c r="BI63">
        <f t="shared" si="82"/>
        <v>0.45524176468217292</v>
      </c>
      <c r="BJ63">
        <f t="shared" si="83"/>
        <v>0.87380742002699052</v>
      </c>
      <c r="BK63">
        <f t="shared" si="84"/>
        <v>0.39535954317325106</v>
      </c>
      <c r="BL63">
        <f t="shared" si="85"/>
        <v>0.85741916612470048</v>
      </c>
      <c r="BM63">
        <f t="shared" si="86"/>
        <v>0.38289353850665303</v>
      </c>
      <c r="BN63">
        <f t="shared" si="87"/>
        <v>0.61710646149334702</v>
      </c>
      <c r="BO63">
        <v>1523</v>
      </c>
      <c r="BP63">
        <v>290.00000000000011</v>
      </c>
      <c r="BQ63">
        <v>744.41</v>
      </c>
      <c r="BR63">
        <v>235</v>
      </c>
      <c r="BS63">
        <v>7357.38</v>
      </c>
      <c r="BT63">
        <v>744.93</v>
      </c>
      <c r="BU63">
        <v>-0.52</v>
      </c>
      <c r="BV63">
        <v>300.00000000000011</v>
      </c>
      <c r="BW63">
        <v>37.9</v>
      </c>
      <c r="BX63">
        <v>769.60554225400915</v>
      </c>
      <c r="BY63">
        <v>1.03069812863601</v>
      </c>
      <c r="BZ63">
        <v>-18.15197459391586</v>
      </c>
      <c r="CA63">
        <v>0.63549780509239651</v>
      </c>
      <c r="CB63">
        <v>0.96681943601885645</v>
      </c>
      <c r="CC63">
        <v>-7.2459668520578422E-3</v>
      </c>
      <c r="CD63">
        <v>289.99999999999989</v>
      </c>
      <c r="CE63">
        <v>745</v>
      </c>
      <c r="CF63">
        <v>685</v>
      </c>
      <c r="CG63">
        <v>7349.05</v>
      </c>
      <c r="CH63">
        <v>744.91</v>
      </c>
      <c r="CI63">
        <v>0.09</v>
      </c>
      <c r="CW63">
        <f t="shared" si="88"/>
        <v>1799.96</v>
      </c>
      <c r="CX63">
        <f t="shared" si="89"/>
        <v>1513.1544000066001</v>
      </c>
      <c r="CY63">
        <f t="shared" si="90"/>
        <v>0.84066001467065943</v>
      </c>
      <c r="CZ63">
        <f t="shared" si="91"/>
        <v>0.16087382831437269</v>
      </c>
      <c r="DA63">
        <v>6</v>
      </c>
      <c r="DB63">
        <v>0.5</v>
      </c>
      <c r="DC63" t="s">
        <v>415</v>
      </c>
      <c r="DD63">
        <v>2</v>
      </c>
      <c r="DE63">
        <v>1691173408.5999999</v>
      </c>
      <c r="DF63">
        <v>55.357999999999997</v>
      </c>
      <c r="DG63">
        <v>70.039599999999993</v>
      </c>
      <c r="DH63">
        <v>26.777200000000001</v>
      </c>
      <c r="DI63">
        <v>17.212399999999999</v>
      </c>
      <c r="DJ63">
        <v>55.577399999999997</v>
      </c>
      <c r="DK63">
        <v>26.4175</v>
      </c>
      <c r="DL63">
        <v>500.13</v>
      </c>
      <c r="DM63">
        <v>99.107399999999998</v>
      </c>
      <c r="DN63">
        <v>9.9956199999999995E-2</v>
      </c>
      <c r="DO63">
        <v>30.503900000000002</v>
      </c>
      <c r="DP63">
        <v>30.041</v>
      </c>
      <c r="DQ63">
        <v>999.9</v>
      </c>
      <c r="DR63">
        <v>0</v>
      </c>
      <c r="DS63">
        <v>0</v>
      </c>
      <c r="DT63">
        <v>10025</v>
      </c>
      <c r="DU63">
        <v>0</v>
      </c>
      <c r="DV63">
        <v>1301.25</v>
      </c>
      <c r="DW63">
        <v>-14.6816</v>
      </c>
      <c r="DX63">
        <v>56.881100000000004</v>
      </c>
      <c r="DY63">
        <v>71.266199999999998</v>
      </c>
      <c r="DZ63">
        <v>9.5648400000000002</v>
      </c>
      <c r="EA63">
        <v>70.039599999999993</v>
      </c>
      <c r="EB63">
        <v>17.212399999999999</v>
      </c>
      <c r="EC63">
        <v>2.6538200000000001</v>
      </c>
      <c r="ED63">
        <v>1.70587</v>
      </c>
      <c r="EE63">
        <v>22.001899999999999</v>
      </c>
      <c r="EF63">
        <v>14.95</v>
      </c>
      <c r="EG63">
        <v>1799.96</v>
      </c>
      <c r="EH63">
        <v>0.97799999999999998</v>
      </c>
      <c r="EI63">
        <v>2.1999600000000001E-2</v>
      </c>
      <c r="EJ63">
        <v>0</v>
      </c>
      <c r="EK63">
        <v>680.48</v>
      </c>
      <c r="EL63">
        <v>9.9989999999999996E-2</v>
      </c>
      <c r="EM63">
        <v>13101.3</v>
      </c>
      <c r="EN63">
        <v>16704.900000000001</v>
      </c>
      <c r="EO63">
        <v>48.375</v>
      </c>
      <c r="EP63">
        <v>50.561999999999998</v>
      </c>
      <c r="EQ63">
        <v>49.436999999999998</v>
      </c>
      <c r="ER63">
        <v>49.061999999999998</v>
      </c>
      <c r="ES63">
        <v>49.5</v>
      </c>
      <c r="ET63">
        <v>1760.26</v>
      </c>
      <c r="EU63">
        <v>39.6</v>
      </c>
      <c r="EV63">
        <v>0</v>
      </c>
      <c r="EW63">
        <v>129.5999999046326</v>
      </c>
      <c r="EX63">
        <v>0</v>
      </c>
      <c r="EY63">
        <v>679.37865384615384</v>
      </c>
      <c r="EZ63">
        <v>0.72188041129886116</v>
      </c>
      <c r="FA63">
        <v>-844.83760566424201</v>
      </c>
      <c r="FB63">
        <v>13145.27307692308</v>
      </c>
      <c r="FC63">
        <v>15</v>
      </c>
      <c r="FD63">
        <v>1691173378.5999999</v>
      </c>
      <c r="FE63" t="s">
        <v>662</v>
      </c>
      <c r="FF63">
        <v>1691173369.5999999</v>
      </c>
      <c r="FG63">
        <v>1691173378.5999999</v>
      </c>
      <c r="FH63">
        <v>69</v>
      </c>
      <c r="FI63">
        <v>-8.0000000000000002E-3</v>
      </c>
      <c r="FJ63">
        <v>-2E-3</v>
      </c>
      <c r="FK63">
        <v>-0.24</v>
      </c>
      <c r="FL63">
        <v>4.3999999999999997E-2</v>
      </c>
      <c r="FM63">
        <v>70</v>
      </c>
      <c r="FN63">
        <v>17</v>
      </c>
      <c r="FO63">
        <v>0.31</v>
      </c>
      <c r="FP63">
        <v>0.03</v>
      </c>
      <c r="FQ63">
        <v>11.92114740212315</v>
      </c>
      <c r="FR63">
        <v>-0.6432084892823684</v>
      </c>
      <c r="FS63">
        <v>6.0055135175248978E-2</v>
      </c>
      <c r="FT63">
        <v>1</v>
      </c>
      <c r="FU63">
        <v>0.53728379409962845</v>
      </c>
      <c r="FV63">
        <v>3.7544888913148319E-2</v>
      </c>
      <c r="FW63">
        <v>3.5681438355483039E-3</v>
      </c>
      <c r="FX63">
        <v>1</v>
      </c>
      <c r="FY63">
        <v>2</v>
      </c>
      <c r="FZ63">
        <v>2</v>
      </c>
      <c r="GA63" t="s">
        <v>416</v>
      </c>
      <c r="GB63">
        <v>2.96679</v>
      </c>
      <c r="GC63">
        <v>2.8118699999999999</v>
      </c>
      <c r="GD63">
        <v>1.5829200000000002E-2</v>
      </c>
      <c r="GE63">
        <v>1.96431E-2</v>
      </c>
      <c r="GF63">
        <v>0.127272</v>
      </c>
      <c r="GG63">
        <v>9.2624700000000004E-2</v>
      </c>
      <c r="GH63">
        <v>28925.7</v>
      </c>
      <c r="GI63">
        <v>26548.3</v>
      </c>
      <c r="GJ63">
        <v>26430.9</v>
      </c>
      <c r="GK63">
        <v>25567.7</v>
      </c>
      <c r="GL63">
        <v>31394.5</v>
      </c>
      <c r="GM63">
        <v>32753.599999999999</v>
      </c>
      <c r="GN63">
        <v>37405.800000000003</v>
      </c>
      <c r="GO63">
        <v>37912.699999999997</v>
      </c>
      <c r="GP63">
        <v>1.9146000000000001</v>
      </c>
      <c r="GQ63">
        <v>1.8349</v>
      </c>
      <c r="GR63">
        <v>-2.4616699999999998E-2</v>
      </c>
      <c r="GS63">
        <v>0</v>
      </c>
      <c r="GT63">
        <v>30.441400000000002</v>
      </c>
      <c r="GU63">
        <v>999.9</v>
      </c>
      <c r="GV63">
        <v>26.3</v>
      </c>
      <c r="GW63">
        <v>47.6</v>
      </c>
      <c r="GX63">
        <v>29.213699999999999</v>
      </c>
      <c r="GY63">
        <v>61.694400000000002</v>
      </c>
      <c r="GZ63">
        <v>13.209099999999999</v>
      </c>
      <c r="HA63">
        <v>1</v>
      </c>
      <c r="HB63">
        <v>0.68199200000000004</v>
      </c>
      <c r="HC63">
        <v>4.5198400000000003</v>
      </c>
      <c r="HD63">
        <v>20.240600000000001</v>
      </c>
      <c r="HE63">
        <v>5.2095000000000002</v>
      </c>
      <c r="HF63">
        <v>11.9381</v>
      </c>
      <c r="HG63">
        <v>4.9858000000000002</v>
      </c>
      <c r="HH63">
        <v>3.2907000000000002</v>
      </c>
      <c r="HI63">
        <v>9999</v>
      </c>
      <c r="HJ63">
        <v>9999</v>
      </c>
      <c r="HK63">
        <v>9999</v>
      </c>
      <c r="HL63">
        <v>999.9</v>
      </c>
      <c r="HM63">
        <v>1.8708800000000001</v>
      </c>
      <c r="HN63">
        <v>1.87683</v>
      </c>
      <c r="HO63">
        <v>1.87469</v>
      </c>
      <c r="HP63">
        <v>1.87286</v>
      </c>
      <c r="HQ63">
        <v>1.87347</v>
      </c>
      <c r="HR63">
        <v>1.8708100000000001</v>
      </c>
      <c r="HS63">
        <v>1.87663</v>
      </c>
      <c r="HT63">
        <v>1.8757600000000001</v>
      </c>
      <c r="HU63">
        <v>5</v>
      </c>
      <c r="HV63">
        <v>0</v>
      </c>
      <c r="HW63">
        <v>0</v>
      </c>
      <c r="HX63">
        <v>0</v>
      </c>
      <c r="HY63" t="s">
        <v>417</v>
      </c>
      <c r="HZ63" t="s">
        <v>418</v>
      </c>
      <c r="IA63" t="s">
        <v>419</v>
      </c>
      <c r="IB63" t="s">
        <v>420</v>
      </c>
      <c r="IC63" t="s">
        <v>420</v>
      </c>
      <c r="ID63" t="s">
        <v>419</v>
      </c>
      <c r="IE63">
        <v>0</v>
      </c>
      <c r="IF63">
        <v>100</v>
      </c>
      <c r="IG63">
        <v>100</v>
      </c>
      <c r="IH63">
        <v>-0.219</v>
      </c>
      <c r="II63">
        <v>0.35970000000000002</v>
      </c>
      <c r="IJ63">
        <v>-0.13417863754975981</v>
      </c>
      <c r="IK63">
        <v>-1.615681629159814E-3</v>
      </c>
      <c r="IL63">
        <v>1.5005605225991581E-6</v>
      </c>
      <c r="IM63">
        <v>-5.1143626075267638E-10</v>
      </c>
      <c r="IN63">
        <v>-0.18622601221544841</v>
      </c>
      <c r="IO63">
        <v>-1.7182111142928099E-3</v>
      </c>
      <c r="IP63">
        <v>9.9985895407488957E-4</v>
      </c>
      <c r="IQ63">
        <v>-5.7750407166627208E-6</v>
      </c>
      <c r="IR63">
        <v>3</v>
      </c>
      <c r="IS63">
        <v>2181</v>
      </c>
      <c r="IT63">
        <v>2</v>
      </c>
      <c r="IU63">
        <v>42</v>
      </c>
      <c r="IV63">
        <v>0.7</v>
      </c>
      <c r="IW63">
        <v>0.5</v>
      </c>
      <c r="IX63">
        <v>0.28320299999999998</v>
      </c>
      <c r="IY63">
        <v>2.5915499999999998</v>
      </c>
      <c r="IZ63">
        <v>1.5991200000000001</v>
      </c>
      <c r="JA63">
        <v>2.2692899999999998</v>
      </c>
      <c r="JB63">
        <v>1.5502899999999999</v>
      </c>
      <c r="JC63">
        <v>2.3974600000000001</v>
      </c>
      <c r="JD63">
        <v>48.7637</v>
      </c>
      <c r="JE63">
        <v>15.9445</v>
      </c>
      <c r="JF63">
        <v>18</v>
      </c>
      <c r="JG63">
        <v>502.89400000000001</v>
      </c>
      <c r="JH63">
        <v>421.839</v>
      </c>
      <c r="JI63">
        <v>24.866</v>
      </c>
      <c r="JJ63">
        <v>35.579300000000003</v>
      </c>
      <c r="JK63">
        <v>30.0002</v>
      </c>
      <c r="JL63">
        <v>35.642699999999998</v>
      </c>
      <c r="JM63">
        <v>35.622900000000001</v>
      </c>
      <c r="JN63">
        <v>5.7031599999999996</v>
      </c>
      <c r="JO63">
        <v>44.732500000000002</v>
      </c>
      <c r="JP63">
        <v>0</v>
      </c>
      <c r="JQ63">
        <v>24.8782</v>
      </c>
      <c r="JR63">
        <v>70</v>
      </c>
      <c r="JS63">
        <v>17.178100000000001</v>
      </c>
      <c r="JT63">
        <v>98.665700000000001</v>
      </c>
      <c r="JU63">
        <v>98.396600000000007</v>
      </c>
    </row>
    <row r="64" spans="1:281" x14ac:dyDescent="0.25">
      <c r="A64">
        <v>48</v>
      </c>
      <c r="B64">
        <v>1691173573.5999999</v>
      </c>
      <c r="C64">
        <v>13843</v>
      </c>
      <c r="D64" t="s">
        <v>663</v>
      </c>
      <c r="E64" t="s">
        <v>664</v>
      </c>
      <c r="F64" t="s">
        <v>411</v>
      </c>
      <c r="G64" t="s">
        <v>639</v>
      </c>
      <c r="H64" t="s">
        <v>496</v>
      </c>
      <c r="I64">
        <v>2</v>
      </c>
      <c r="J64">
        <v>1691173573.5999999</v>
      </c>
      <c r="K64">
        <f t="shared" si="46"/>
        <v>8.6983641093672862E-3</v>
      </c>
      <c r="L64">
        <f t="shared" si="47"/>
        <v>8.6983641093672865</v>
      </c>
      <c r="M64">
        <f t="shared" si="48"/>
        <v>5.2751980275167378</v>
      </c>
      <c r="N64">
        <f t="shared" si="49"/>
        <v>23.470099999999999</v>
      </c>
      <c r="O64">
        <f t="shared" si="50"/>
        <v>7.1100121654678397</v>
      </c>
      <c r="P64">
        <f t="shared" si="51"/>
        <v>0.70534659543153877</v>
      </c>
      <c r="Q64">
        <f t="shared" si="52"/>
        <v>2.3283441355896</v>
      </c>
      <c r="R64">
        <f t="shared" si="53"/>
        <v>0.57860068323527603</v>
      </c>
      <c r="S64">
        <f t="shared" si="54"/>
        <v>2.9094179597446894</v>
      </c>
      <c r="T64">
        <f t="shared" si="55"/>
        <v>0.52145589581928542</v>
      </c>
      <c r="U64">
        <f t="shared" si="56"/>
        <v>0.3305725835506591</v>
      </c>
      <c r="V64">
        <f t="shared" si="57"/>
        <v>289.56326401273844</v>
      </c>
      <c r="W64">
        <f t="shared" si="58"/>
        <v>29.933346889324046</v>
      </c>
      <c r="X64">
        <f t="shared" si="59"/>
        <v>30.0015</v>
      </c>
      <c r="Y64">
        <f t="shared" si="60"/>
        <v>4.2608168613183315</v>
      </c>
      <c r="Z64">
        <f t="shared" si="61"/>
        <v>60.790192598083237</v>
      </c>
      <c r="AA64">
        <f t="shared" si="62"/>
        <v>2.6637452922959999</v>
      </c>
      <c r="AB64">
        <f t="shared" si="63"/>
        <v>4.3818668414286117</v>
      </c>
      <c r="AC64">
        <f t="shared" si="64"/>
        <v>1.5970715690223316</v>
      </c>
      <c r="AD64">
        <f t="shared" si="65"/>
        <v>-383.59785722309732</v>
      </c>
      <c r="AE64">
        <f t="shared" si="66"/>
        <v>76.638151554956508</v>
      </c>
      <c r="AF64">
        <f t="shared" si="67"/>
        <v>5.871306862680127</v>
      </c>
      <c r="AG64">
        <f t="shared" si="68"/>
        <v>-11.525134792722255</v>
      </c>
      <c r="AH64">
        <v>0</v>
      </c>
      <c r="AI64">
        <v>0</v>
      </c>
      <c r="AJ64">
        <f t="shared" si="69"/>
        <v>1</v>
      </c>
      <c r="AK64">
        <f t="shared" si="70"/>
        <v>0</v>
      </c>
      <c r="AL64">
        <f t="shared" si="71"/>
        <v>51676.817905182274</v>
      </c>
      <c r="AM64" t="s">
        <v>414</v>
      </c>
      <c r="AN64">
        <v>7361.72</v>
      </c>
      <c r="AO64">
        <v>541.39076923076925</v>
      </c>
      <c r="AP64">
        <v>2141.9899999999998</v>
      </c>
      <c r="AQ64">
        <f t="shared" si="72"/>
        <v>0.74724869433061347</v>
      </c>
      <c r="AR64">
        <v>-0.96077199609010144</v>
      </c>
      <c r="AS64" t="s">
        <v>665</v>
      </c>
      <c r="AT64">
        <v>7360.89</v>
      </c>
      <c r="AU64">
        <v>687.01539999999989</v>
      </c>
      <c r="AV64">
        <v>745.01673143089886</v>
      </c>
      <c r="AW64">
        <f t="shared" si="73"/>
        <v>7.7852387716850435E-2</v>
      </c>
      <c r="AX64">
        <v>0.5</v>
      </c>
      <c r="AY64">
        <f t="shared" si="74"/>
        <v>1513.1376000066005</v>
      </c>
      <c r="AZ64">
        <f t="shared" si="75"/>
        <v>5.2751980275167378</v>
      </c>
      <c r="BA64">
        <f t="shared" si="76"/>
        <v>58.900687552329202</v>
      </c>
      <c r="BB64">
        <f t="shared" si="77"/>
        <v>4.1212180726852843E-3</v>
      </c>
      <c r="BC64">
        <f t="shared" si="78"/>
        <v>1.875089792797052</v>
      </c>
      <c r="BD64">
        <f t="shared" si="79"/>
        <v>367.31069822078797</v>
      </c>
      <c r="BE64" t="s">
        <v>666</v>
      </c>
      <c r="BF64">
        <v>588.17999999999995</v>
      </c>
      <c r="BG64">
        <f t="shared" si="80"/>
        <v>588.17999999999995</v>
      </c>
      <c r="BH64">
        <f t="shared" si="81"/>
        <v>0.21051437479756208</v>
      </c>
      <c r="BI64">
        <f t="shared" si="82"/>
        <v>0.36981981772843769</v>
      </c>
      <c r="BJ64">
        <f t="shared" si="83"/>
        <v>0.89906312133986854</v>
      </c>
      <c r="BK64">
        <f t="shared" si="84"/>
        <v>0.28484251617135908</v>
      </c>
      <c r="BL64">
        <f t="shared" si="85"/>
        <v>0.87278141942985377</v>
      </c>
      <c r="BM64">
        <f t="shared" si="86"/>
        <v>0.31661680421066618</v>
      </c>
      <c r="BN64">
        <f t="shared" si="87"/>
        <v>0.68338319578933382</v>
      </c>
      <c r="BO64">
        <v>1525</v>
      </c>
      <c r="BP64">
        <v>290.00000000000011</v>
      </c>
      <c r="BQ64">
        <v>728.56</v>
      </c>
      <c r="BR64">
        <v>195</v>
      </c>
      <c r="BS64">
        <v>7360.89</v>
      </c>
      <c r="BT64">
        <v>727.82</v>
      </c>
      <c r="BU64">
        <v>0.74</v>
      </c>
      <c r="BV64">
        <v>300.00000000000011</v>
      </c>
      <c r="BW64">
        <v>37.9</v>
      </c>
      <c r="BX64">
        <v>745.01673143089886</v>
      </c>
      <c r="BY64">
        <v>0.96955272400478443</v>
      </c>
      <c r="BZ64">
        <v>-12.66125684146215</v>
      </c>
      <c r="CA64">
        <v>0.59787370956419428</v>
      </c>
      <c r="CB64">
        <v>0.94123466449291149</v>
      </c>
      <c r="CC64">
        <v>-7.2467670745272562E-3</v>
      </c>
      <c r="CD64">
        <v>289.99999999999989</v>
      </c>
      <c r="CE64">
        <v>727.71</v>
      </c>
      <c r="CF64">
        <v>675</v>
      </c>
      <c r="CG64">
        <v>7350.28</v>
      </c>
      <c r="CH64">
        <v>727.79</v>
      </c>
      <c r="CI64">
        <v>-0.08</v>
      </c>
      <c r="CW64">
        <f t="shared" si="88"/>
        <v>1799.94</v>
      </c>
      <c r="CX64">
        <f t="shared" si="89"/>
        <v>1513.1376000066005</v>
      </c>
      <c r="CY64">
        <f t="shared" si="90"/>
        <v>0.84066002200440038</v>
      </c>
      <c r="CZ64">
        <f t="shared" si="91"/>
        <v>0.16087384246849254</v>
      </c>
      <c r="DA64">
        <v>6</v>
      </c>
      <c r="DB64">
        <v>0.5</v>
      </c>
      <c r="DC64" t="s">
        <v>415</v>
      </c>
      <c r="DD64">
        <v>2</v>
      </c>
      <c r="DE64">
        <v>1691173573.5999999</v>
      </c>
      <c r="DF64">
        <v>23.470099999999999</v>
      </c>
      <c r="DG64">
        <v>30.043399999999998</v>
      </c>
      <c r="DH64">
        <v>26.850999999999999</v>
      </c>
      <c r="DI64">
        <v>16.696200000000001</v>
      </c>
      <c r="DJ64">
        <v>23.805599999999998</v>
      </c>
      <c r="DK64">
        <v>26.4815</v>
      </c>
      <c r="DL64">
        <v>500.14600000000002</v>
      </c>
      <c r="DM64">
        <v>99.104600000000005</v>
      </c>
      <c r="DN64">
        <v>0.100096</v>
      </c>
      <c r="DO64">
        <v>30.490100000000002</v>
      </c>
      <c r="DP64">
        <v>30.0015</v>
      </c>
      <c r="DQ64">
        <v>999.9</v>
      </c>
      <c r="DR64">
        <v>0</v>
      </c>
      <c r="DS64">
        <v>0</v>
      </c>
      <c r="DT64">
        <v>9975</v>
      </c>
      <c r="DU64">
        <v>0</v>
      </c>
      <c r="DV64">
        <v>1758.14</v>
      </c>
      <c r="DW64">
        <v>-6.5733800000000002</v>
      </c>
      <c r="DX64">
        <v>24.117599999999999</v>
      </c>
      <c r="DY64">
        <v>30.553599999999999</v>
      </c>
      <c r="DZ64">
        <v>10.1549</v>
      </c>
      <c r="EA64">
        <v>30.043399999999998</v>
      </c>
      <c r="EB64">
        <v>16.696200000000001</v>
      </c>
      <c r="EC64">
        <v>2.66106</v>
      </c>
      <c r="ED64">
        <v>1.6546700000000001</v>
      </c>
      <c r="EE64">
        <v>22.046600000000002</v>
      </c>
      <c r="EF64">
        <v>14.477499999999999</v>
      </c>
      <c r="EG64">
        <v>1799.94</v>
      </c>
      <c r="EH64">
        <v>0.97799599999999998</v>
      </c>
      <c r="EI64">
        <v>2.20038E-2</v>
      </c>
      <c r="EJ64">
        <v>0</v>
      </c>
      <c r="EK64">
        <v>687.52</v>
      </c>
      <c r="EL64">
        <v>9.9989999999999996E-2</v>
      </c>
      <c r="EM64">
        <v>13529.3</v>
      </c>
      <c r="EN64">
        <v>16704.7</v>
      </c>
      <c r="EO64">
        <v>48.375</v>
      </c>
      <c r="EP64">
        <v>50.561999999999998</v>
      </c>
      <c r="EQ64">
        <v>49.436999999999998</v>
      </c>
      <c r="ER64">
        <v>49.061999999999998</v>
      </c>
      <c r="ES64">
        <v>49.5</v>
      </c>
      <c r="ET64">
        <v>1760.24</v>
      </c>
      <c r="EU64">
        <v>39.6</v>
      </c>
      <c r="EV64">
        <v>0</v>
      </c>
      <c r="EW64">
        <v>162.5999999046326</v>
      </c>
      <c r="EX64">
        <v>0</v>
      </c>
      <c r="EY64">
        <v>687.01539999999989</v>
      </c>
      <c r="EZ64">
        <v>4.1803846515105727</v>
      </c>
      <c r="FA64">
        <v>-20.461538383763489</v>
      </c>
      <c r="FB64">
        <v>13527</v>
      </c>
      <c r="FC64">
        <v>15</v>
      </c>
      <c r="FD64">
        <v>1691173543.5999999</v>
      </c>
      <c r="FE64" t="s">
        <v>667</v>
      </c>
      <c r="FF64">
        <v>1691173525.0999999</v>
      </c>
      <c r="FG64">
        <v>1691173543.5999999</v>
      </c>
      <c r="FH64">
        <v>70</v>
      </c>
      <c r="FI64">
        <v>-0.16400000000000001</v>
      </c>
      <c r="FJ64">
        <v>7.0000000000000001E-3</v>
      </c>
      <c r="FK64">
        <v>-0.34599999999999997</v>
      </c>
      <c r="FL64">
        <v>4.2999999999999997E-2</v>
      </c>
      <c r="FM64">
        <v>30</v>
      </c>
      <c r="FN64">
        <v>17</v>
      </c>
      <c r="FO64">
        <v>0.46</v>
      </c>
      <c r="FP64">
        <v>0.02</v>
      </c>
      <c r="FQ64">
        <v>5.3565283661084946</v>
      </c>
      <c r="FR64">
        <v>-0.69720720675259573</v>
      </c>
      <c r="FS64">
        <v>6.9645077499612434E-2</v>
      </c>
      <c r="FT64">
        <v>1</v>
      </c>
      <c r="FU64">
        <v>0.57814701375854294</v>
      </c>
      <c r="FV64">
        <v>3.2454494225273557E-2</v>
      </c>
      <c r="FW64">
        <v>5.2393492728657932E-3</v>
      </c>
      <c r="FX64">
        <v>1</v>
      </c>
      <c r="FY64">
        <v>2</v>
      </c>
      <c r="FZ64">
        <v>2</v>
      </c>
      <c r="GA64" t="s">
        <v>416</v>
      </c>
      <c r="GB64">
        <v>2.96685</v>
      </c>
      <c r="GC64">
        <v>2.8115700000000001</v>
      </c>
      <c r="GD64">
        <v>6.8060899999999999E-3</v>
      </c>
      <c r="GE64">
        <v>8.4778900000000001E-3</v>
      </c>
      <c r="GF64">
        <v>0.127494</v>
      </c>
      <c r="GG64">
        <v>9.06E-2</v>
      </c>
      <c r="GH64">
        <v>29190</v>
      </c>
      <c r="GI64">
        <v>26852</v>
      </c>
      <c r="GJ64">
        <v>26430.3</v>
      </c>
      <c r="GK64">
        <v>25569</v>
      </c>
      <c r="GL64">
        <v>31386</v>
      </c>
      <c r="GM64">
        <v>32827.5</v>
      </c>
      <c r="GN64">
        <v>37405.9</v>
      </c>
      <c r="GO64">
        <v>37914.6</v>
      </c>
      <c r="GP64">
        <v>1.9152</v>
      </c>
      <c r="GQ64">
        <v>1.8361000000000001</v>
      </c>
      <c r="GR64">
        <v>-3.1441499999999997E-2</v>
      </c>
      <c r="GS64">
        <v>0</v>
      </c>
      <c r="GT64">
        <v>30.513000000000002</v>
      </c>
      <c r="GU64">
        <v>999.9</v>
      </c>
      <c r="GV64">
        <v>26.2</v>
      </c>
      <c r="GW64">
        <v>47.4</v>
      </c>
      <c r="GX64">
        <v>28.808900000000001</v>
      </c>
      <c r="GY64">
        <v>61.634500000000003</v>
      </c>
      <c r="GZ64">
        <v>13.353400000000001</v>
      </c>
      <c r="HA64">
        <v>1</v>
      </c>
      <c r="HB64">
        <v>0.68</v>
      </c>
      <c r="HC64">
        <v>4.4942599999999997</v>
      </c>
      <c r="HD64">
        <v>20.242599999999999</v>
      </c>
      <c r="HE64">
        <v>5.2100999999999997</v>
      </c>
      <c r="HF64">
        <v>11.9381</v>
      </c>
      <c r="HG64">
        <v>4.9871999999999996</v>
      </c>
      <c r="HH64">
        <v>3.2909999999999999</v>
      </c>
      <c r="HI64">
        <v>9999</v>
      </c>
      <c r="HJ64">
        <v>9999</v>
      </c>
      <c r="HK64">
        <v>9999</v>
      </c>
      <c r="HL64">
        <v>999.9</v>
      </c>
      <c r="HM64">
        <v>1.8708800000000001</v>
      </c>
      <c r="HN64">
        <v>1.87683</v>
      </c>
      <c r="HO64">
        <v>1.87469</v>
      </c>
      <c r="HP64">
        <v>1.87286</v>
      </c>
      <c r="HQ64">
        <v>1.87341</v>
      </c>
      <c r="HR64">
        <v>1.87077</v>
      </c>
      <c r="HS64">
        <v>1.8766499999999999</v>
      </c>
      <c r="HT64">
        <v>1.8757600000000001</v>
      </c>
      <c r="HU64">
        <v>5</v>
      </c>
      <c r="HV64">
        <v>0</v>
      </c>
      <c r="HW64">
        <v>0</v>
      </c>
      <c r="HX64">
        <v>0</v>
      </c>
      <c r="HY64" t="s">
        <v>417</v>
      </c>
      <c r="HZ64" t="s">
        <v>418</v>
      </c>
      <c r="IA64" t="s">
        <v>419</v>
      </c>
      <c r="IB64" t="s">
        <v>420</v>
      </c>
      <c r="IC64" t="s">
        <v>420</v>
      </c>
      <c r="ID64" t="s">
        <v>419</v>
      </c>
      <c r="IE64">
        <v>0</v>
      </c>
      <c r="IF64">
        <v>100</v>
      </c>
      <c r="IG64">
        <v>100</v>
      </c>
      <c r="IH64">
        <v>-0.33500000000000002</v>
      </c>
      <c r="II64">
        <v>0.3695</v>
      </c>
      <c r="IJ64">
        <v>-0.29795230598215111</v>
      </c>
      <c r="IK64">
        <v>-1.615681629159814E-3</v>
      </c>
      <c r="IL64">
        <v>1.5005605225991581E-6</v>
      </c>
      <c r="IM64">
        <v>-5.1143626075267638E-10</v>
      </c>
      <c r="IN64">
        <v>-0.17888025909475669</v>
      </c>
      <c r="IO64">
        <v>-1.7182111142928099E-3</v>
      </c>
      <c r="IP64">
        <v>9.9985895407488957E-4</v>
      </c>
      <c r="IQ64">
        <v>-5.7750407166627208E-6</v>
      </c>
      <c r="IR64">
        <v>3</v>
      </c>
      <c r="IS64">
        <v>2181</v>
      </c>
      <c r="IT64">
        <v>2</v>
      </c>
      <c r="IU64">
        <v>42</v>
      </c>
      <c r="IV64">
        <v>0.8</v>
      </c>
      <c r="IW64">
        <v>0.5</v>
      </c>
      <c r="IX64">
        <v>0.20019500000000001</v>
      </c>
      <c r="IY64">
        <v>2.6147499999999999</v>
      </c>
      <c r="IZ64">
        <v>1.5991200000000001</v>
      </c>
      <c r="JA64">
        <v>2.2692899999999998</v>
      </c>
      <c r="JB64">
        <v>1.5502899999999999</v>
      </c>
      <c r="JC64">
        <v>2.3779300000000001</v>
      </c>
      <c r="JD64">
        <v>48.516199999999998</v>
      </c>
      <c r="JE64">
        <v>15.927</v>
      </c>
      <c r="JF64">
        <v>18</v>
      </c>
      <c r="JG64">
        <v>503.06700000000001</v>
      </c>
      <c r="JH64">
        <v>422.33699999999999</v>
      </c>
      <c r="JI64">
        <v>24.777000000000001</v>
      </c>
      <c r="JJ64">
        <v>35.569499999999998</v>
      </c>
      <c r="JK64">
        <v>30</v>
      </c>
      <c r="JL64">
        <v>35.613300000000002</v>
      </c>
      <c r="JM64">
        <v>35.588999999999999</v>
      </c>
      <c r="JN64">
        <v>4.0554300000000003</v>
      </c>
      <c r="JO64">
        <v>45.677</v>
      </c>
      <c r="JP64">
        <v>0</v>
      </c>
      <c r="JQ64">
        <v>24.7818</v>
      </c>
      <c r="JR64">
        <v>30</v>
      </c>
      <c r="JS64">
        <v>16.592700000000001</v>
      </c>
      <c r="JT64">
        <v>98.665000000000006</v>
      </c>
      <c r="JU64">
        <v>98.401600000000002</v>
      </c>
    </row>
    <row r="65" spans="1:281" x14ac:dyDescent="0.25">
      <c r="A65">
        <v>49</v>
      </c>
      <c r="B65">
        <v>1691173694.5999999</v>
      </c>
      <c r="C65">
        <v>13964</v>
      </c>
      <c r="D65" t="s">
        <v>668</v>
      </c>
      <c r="E65" t="s">
        <v>669</v>
      </c>
      <c r="F65" t="s">
        <v>411</v>
      </c>
      <c r="G65" t="s">
        <v>639</v>
      </c>
      <c r="H65" t="s">
        <v>496</v>
      </c>
      <c r="I65">
        <v>2</v>
      </c>
      <c r="J65">
        <v>1691173694.5999999</v>
      </c>
      <c r="K65">
        <f t="shared" si="46"/>
        <v>8.8412645199130394E-3</v>
      </c>
      <c r="L65">
        <f t="shared" si="47"/>
        <v>8.8412645199130395</v>
      </c>
      <c r="M65">
        <f t="shared" si="48"/>
        <v>1.7203265846941873</v>
      </c>
      <c r="N65">
        <f t="shared" si="49"/>
        <v>7.8901399999999997</v>
      </c>
      <c r="O65">
        <f t="shared" si="50"/>
        <v>2.5840870469687651</v>
      </c>
      <c r="P65">
        <f t="shared" si="51"/>
        <v>0.25634091565780509</v>
      </c>
      <c r="Q65">
        <f t="shared" si="52"/>
        <v>0.78270030208186003</v>
      </c>
      <c r="R65">
        <f t="shared" si="53"/>
        <v>0.58311366873461457</v>
      </c>
      <c r="S65">
        <f t="shared" si="54"/>
        <v>2.9111023965225193</v>
      </c>
      <c r="T65">
        <f t="shared" si="55"/>
        <v>0.52515169564496622</v>
      </c>
      <c r="U65">
        <f t="shared" si="56"/>
        <v>0.33294603471058259</v>
      </c>
      <c r="V65">
        <f t="shared" si="57"/>
        <v>289.58617427216086</v>
      </c>
      <c r="W65">
        <f t="shared" si="58"/>
        <v>29.8996911645655</v>
      </c>
      <c r="X65">
        <f t="shared" si="59"/>
        <v>30.019400000000001</v>
      </c>
      <c r="Y65">
        <f t="shared" si="60"/>
        <v>4.2651995830914968</v>
      </c>
      <c r="Z65">
        <f t="shared" si="61"/>
        <v>60.541792574173428</v>
      </c>
      <c r="AA65">
        <f t="shared" si="62"/>
        <v>2.6533466237525003</v>
      </c>
      <c r="AB65">
        <f t="shared" si="63"/>
        <v>4.3826694105592008</v>
      </c>
      <c r="AC65">
        <f t="shared" si="64"/>
        <v>1.6118529593389965</v>
      </c>
      <c r="AD65">
        <f t="shared" si="65"/>
        <v>-389.89976532816502</v>
      </c>
      <c r="AE65">
        <f t="shared" si="66"/>
        <v>74.375454702986602</v>
      </c>
      <c r="AF65">
        <f t="shared" si="67"/>
        <v>5.6952571177038616</v>
      </c>
      <c r="AG65">
        <f t="shared" si="68"/>
        <v>-20.24287923531368</v>
      </c>
      <c r="AH65">
        <v>0</v>
      </c>
      <c r="AI65">
        <v>0</v>
      </c>
      <c r="AJ65">
        <f t="shared" si="69"/>
        <v>1</v>
      </c>
      <c r="AK65">
        <f t="shared" si="70"/>
        <v>0</v>
      </c>
      <c r="AL65">
        <f t="shared" si="71"/>
        <v>51724.002001729088</v>
      </c>
      <c r="AM65" t="s">
        <v>414</v>
      </c>
      <c r="AN65">
        <v>7361.72</v>
      </c>
      <c r="AO65">
        <v>541.39076923076925</v>
      </c>
      <c r="AP65">
        <v>2141.9899999999998</v>
      </c>
      <c r="AQ65">
        <f t="shared" si="72"/>
        <v>0.74724869433061347</v>
      </c>
      <c r="AR65">
        <v>-0.96077199609010144</v>
      </c>
      <c r="AS65" t="s">
        <v>670</v>
      </c>
      <c r="AT65">
        <v>7357.27</v>
      </c>
      <c r="AU65">
        <v>693.10423076923087</v>
      </c>
      <c r="AV65">
        <v>740.50050859614657</v>
      </c>
      <c r="AW65">
        <f t="shared" si="73"/>
        <v>6.4005732982912344E-2</v>
      </c>
      <c r="AX65">
        <v>0.5</v>
      </c>
      <c r="AY65">
        <f t="shared" si="74"/>
        <v>1513.2554934052646</v>
      </c>
      <c r="AZ65">
        <f t="shared" si="75"/>
        <v>1.7203265846941873</v>
      </c>
      <c r="BA65">
        <f t="shared" si="76"/>
        <v>48.428513522911317</v>
      </c>
      <c r="BB65">
        <f t="shared" si="77"/>
        <v>1.7717421760360095E-3</v>
      </c>
      <c r="BC65">
        <f t="shared" si="78"/>
        <v>1.8926246169105552</v>
      </c>
      <c r="BD65">
        <f t="shared" si="79"/>
        <v>366.20954636761365</v>
      </c>
      <c r="BE65" t="s">
        <v>671</v>
      </c>
      <c r="BF65">
        <v>599.16999999999996</v>
      </c>
      <c r="BG65">
        <f t="shared" si="80"/>
        <v>599.16999999999996</v>
      </c>
      <c r="BH65">
        <f t="shared" si="81"/>
        <v>0.19085808443816388</v>
      </c>
      <c r="BI65">
        <f t="shared" si="82"/>
        <v>0.33535772493645416</v>
      </c>
      <c r="BJ65">
        <f t="shared" si="83"/>
        <v>0.90839468726348727</v>
      </c>
      <c r="BK65">
        <f t="shared" si="84"/>
        <v>0.23804098171180332</v>
      </c>
      <c r="BL65">
        <f t="shared" si="85"/>
        <v>0.87560300196465346</v>
      </c>
      <c r="BM65">
        <f t="shared" si="86"/>
        <v>0.2899077499890157</v>
      </c>
      <c r="BN65">
        <f t="shared" si="87"/>
        <v>0.7100922500109843</v>
      </c>
      <c r="BO65">
        <v>1527</v>
      </c>
      <c r="BP65">
        <v>290.00000000000011</v>
      </c>
      <c r="BQ65">
        <v>724.85</v>
      </c>
      <c r="BR65">
        <v>255</v>
      </c>
      <c r="BS65">
        <v>7357.27</v>
      </c>
      <c r="BT65">
        <v>724.38</v>
      </c>
      <c r="BU65">
        <v>0.47</v>
      </c>
      <c r="BV65">
        <v>300.00000000000011</v>
      </c>
      <c r="BW65">
        <v>37.9</v>
      </c>
      <c r="BX65">
        <v>740.50050859614657</v>
      </c>
      <c r="BY65">
        <v>0.99581303094311946</v>
      </c>
      <c r="BZ65">
        <v>-11.85756269581886</v>
      </c>
      <c r="CA65">
        <v>0.61407506938008194</v>
      </c>
      <c r="CB65">
        <v>0.93015049607742317</v>
      </c>
      <c r="CC65">
        <v>-7.2468934371523906E-3</v>
      </c>
      <c r="CD65">
        <v>289.99999999999989</v>
      </c>
      <c r="CE65">
        <v>723.27</v>
      </c>
      <c r="CF65">
        <v>765</v>
      </c>
      <c r="CG65">
        <v>7347.67</v>
      </c>
      <c r="CH65">
        <v>724.36</v>
      </c>
      <c r="CI65">
        <v>-1.0900000000000001</v>
      </c>
      <c r="CW65">
        <f t="shared" si="88"/>
        <v>1800.08</v>
      </c>
      <c r="CX65">
        <f t="shared" si="89"/>
        <v>1513.2554934052646</v>
      </c>
      <c r="CY65">
        <f t="shared" si="90"/>
        <v>0.84066013366365089</v>
      </c>
      <c r="CZ65">
        <f t="shared" si="91"/>
        <v>0.16087405797084622</v>
      </c>
      <c r="DA65">
        <v>6</v>
      </c>
      <c r="DB65">
        <v>0.5</v>
      </c>
      <c r="DC65" t="s">
        <v>415</v>
      </c>
      <c r="DD65">
        <v>2</v>
      </c>
      <c r="DE65">
        <v>1691173694.5999999</v>
      </c>
      <c r="DF65">
        <v>7.8901399999999997</v>
      </c>
      <c r="DG65">
        <v>10.0389</v>
      </c>
      <c r="DH65">
        <v>26.747499999999999</v>
      </c>
      <c r="DI65">
        <v>16.418600000000001</v>
      </c>
      <c r="DJ65">
        <v>8.2671500000000009</v>
      </c>
      <c r="DK65">
        <v>26.382100000000001</v>
      </c>
      <c r="DL65">
        <v>499.84699999999998</v>
      </c>
      <c r="DM65">
        <v>99.100800000000007</v>
      </c>
      <c r="DN65">
        <v>9.8999000000000004E-2</v>
      </c>
      <c r="DO65">
        <v>30.493300000000001</v>
      </c>
      <c r="DP65">
        <v>30.019400000000001</v>
      </c>
      <c r="DQ65">
        <v>999.9</v>
      </c>
      <c r="DR65">
        <v>0</v>
      </c>
      <c r="DS65">
        <v>0</v>
      </c>
      <c r="DT65">
        <v>9985</v>
      </c>
      <c r="DU65">
        <v>0</v>
      </c>
      <c r="DV65">
        <v>1765.37</v>
      </c>
      <c r="DW65">
        <v>-2.1487599999999998</v>
      </c>
      <c r="DX65">
        <v>8.1069800000000001</v>
      </c>
      <c r="DY65">
        <v>10.2065</v>
      </c>
      <c r="DZ65">
        <v>10.328900000000001</v>
      </c>
      <c r="EA65">
        <v>10.0389</v>
      </c>
      <c r="EB65">
        <v>16.418600000000001</v>
      </c>
      <c r="EC65">
        <v>2.6507000000000001</v>
      </c>
      <c r="ED65">
        <v>1.6271</v>
      </c>
      <c r="EE65">
        <v>21.982600000000001</v>
      </c>
      <c r="EF65">
        <v>14.2178</v>
      </c>
      <c r="EG65">
        <v>1800.08</v>
      </c>
      <c r="EH65">
        <v>0.97799700000000001</v>
      </c>
      <c r="EI65">
        <v>2.2003200000000001E-2</v>
      </c>
      <c r="EJ65">
        <v>0</v>
      </c>
      <c r="EK65">
        <v>694.74</v>
      </c>
      <c r="EL65">
        <v>9.9989999999999996E-2</v>
      </c>
      <c r="EM65">
        <v>13618</v>
      </c>
      <c r="EN65">
        <v>16706</v>
      </c>
      <c r="EO65">
        <v>48.436999999999998</v>
      </c>
      <c r="EP65">
        <v>50.561999999999998</v>
      </c>
      <c r="EQ65">
        <v>49.5</v>
      </c>
      <c r="ER65">
        <v>49.061999999999998</v>
      </c>
      <c r="ES65">
        <v>49.5</v>
      </c>
      <c r="ET65">
        <v>1760.38</v>
      </c>
      <c r="EU65">
        <v>39.61</v>
      </c>
      <c r="EV65">
        <v>0</v>
      </c>
      <c r="EW65">
        <v>118.7999999523163</v>
      </c>
      <c r="EX65">
        <v>0</v>
      </c>
      <c r="EY65">
        <v>693.10423076923087</v>
      </c>
      <c r="EZ65">
        <v>-1.9295726902560371</v>
      </c>
      <c r="FA65">
        <v>-18.382906012341579</v>
      </c>
      <c r="FB65">
        <v>13617.31923076923</v>
      </c>
      <c r="FC65">
        <v>15</v>
      </c>
      <c r="FD65">
        <v>1691173662.5999999</v>
      </c>
      <c r="FE65" t="s">
        <v>672</v>
      </c>
      <c r="FF65">
        <v>1691173647.0999999</v>
      </c>
      <c r="FG65">
        <v>1691173662.5999999</v>
      </c>
      <c r="FH65">
        <v>71</v>
      </c>
      <c r="FI65">
        <v>-6.6000000000000003E-2</v>
      </c>
      <c r="FJ65">
        <v>0</v>
      </c>
      <c r="FK65">
        <v>-0.38</v>
      </c>
      <c r="FL65">
        <v>3.3000000000000002E-2</v>
      </c>
      <c r="FM65">
        <v>10</v>
      </c>
      <c r="FN65">
        <v>16</v>
      </c>
      <c r="FO65">
        <v>0.84</v>
      </c>
      <c r="FP65">
        <v>0.02</v>
      </c>
      <c r="FQ65">
        <v>1.7748805010587609</v>
      </c>
      <c r="FR65">
        <v>-0.5744269869974632</v>
      </c>
      <c r="FS65">
        <v>6.0276108753250568E-2</v>
      </c>
      <c r="FT65">
        <v>1</v>
      </c>
      <c r="FU65">
        <v>0.58548693660894235</v>
      </c>
      <c r="FV65">
        <v>-7.7686447906565601E-3</v>
      </c>
      <c r="FW65">
        <v>2.5566035761644562E-3</v>
      </c>
      <c r="FX65">
        <v>1</v>
      </c>
      <c r="FY65">
        <v>2</v>
      </c>
      <c r="FZ65">
        <v>2</v>
      </c>
      <c r="GA65" t="s">
        <v>416</v>
      </c>
      <c r="GB65">
        <v>2.9660500000000001</v>
      </c>
      <c r="GC65">
        <v>2.8105600000000002</v>
      </c>
      <c r="GD65">
        <v>2.3636E-3</v>
      </c>
      <c r="GE65">
        <v>2.8330999999999999E-3</v>
      </c>
      <c r="GF65">
        <v>0.12715499999999999</v>
      </c>
      <c r="GG65">
        <v>8.9496999999999993E-2</v>
      </c>
      <c r="GH65">
        <v>29320.400000000001</v>
      </c>
      <c r="GI65">
        <v>27005.1</v>
      </c>
      <c r="GJ65">
        <v>26430.400000000001</v>
      </c>
      <c r="GK65">
        <v>25569.5</v>
      </c>
      <c r="GL65">
        <v>31397.599999999999</v>
      </c>
      <c r="GM65">
        <v>32867.800000000003</v>
      </c>
      <c r="GN65">
        <v>37405.599999999999</v>
      </c>
      <c r="GO65">
        <v>37915.599999999999</v>
      </c>
      <c r="GP65">
        <v>1.9152</v>
      </c>
      <c r="GQ65">
        <v>1.8368</v>
      </c>
      <c r="GR65">
        <v>-3.7699900000000001E-2</v>
      </c>
      <c r="GS65">
        <v>0</v>
      </c>
      <c r="GT65">
        <v>30.6326</v>
      </c>
      <c r="GU65">
        <v>999.9</v>
      </c>
      <c r="GV65">
        <v>26.2</v>
      </c>
      <c r="GW65">
        <v>47.3</v>
      </c>
      <c r="GX65">
        <v>28.663599999999999</v>
      </c>
      <c r="GY65">
        <v>61.714500000000001</v>
      </c>
      <c r="GZ65">
        <v>13.3614</v>
      </c>
      <c r="HA65">
        <v>1</v>
      </c>
      <c r="HB65">
        <v>0.68157500000000004</v>
      </c>
      <c r="HC65">
        <v>4.6243400000000001</v>
      </c>
      <c r="HD65">
        <v>20.237500000000001</v>
      </c>
      <c r="HE65">
        <v>5.1999199999999997</v>
      </c>
      <c r="HF65">
        <v>11.9381</v>
      </c>
      <c r="HG65">
        <v>4.9846000000000004</v>
      </c>
      <c r="HH65">
        <v>3.2885</v>
      </c>
      <c r="HI65">
        <v>9999</v>
      </c>
      <c r="HJ65">
        <v>9999</v>
      </c>
      <c r="HK65">
        <v>9999</v>
      </c>
      <c r="HL65">
        <v>999.9</v>
      </c>
      <c r="HM65">
        <v>1.8708800000000001</v>
      </c>
      <c r="HN65">
        <v>1.8768499999999999</v>
      </c>
      <c r="HO65">
        <v>1.8746799999999999</v>
      </c>
      <c r="HP65">
        <v>1.87286</v>
      </c>
      <c r="HQ65">
        <v>1.87338</v>
      </c>
      <c r="HR65">
        <v>1.87076</v>
      </c>
      <c r="HS65">
        <v>1.8766700000000001</v>
      </c>
      <c r="HT65">
        <v>1.8757600000000001</v>
      </c>
      <c r="HU65">
        <v>5</v>
      </c>
      <c r="HV65">
        <v>0</v>
      </c>
      <c r="HW65">
        <v>0</v>
      </c>
      <c r="HX65">
        <v>0</v>
      </c>
      <c r="HY65" t="s">
        <v>417</v>
      </c>
      <c r="HZ65" t="s">
        <v>418</v>
      </c>
      <c r="IA65" t="s">
        <v>419</v>
      </c>
      <c r="IB65" t="s">
        <v>420</v>
      </c>
      <c r="IC65" t="s">
        <v>420</v>
      </c>
      <c r="ID65" t="s">
        <v>419</v>
      </c>
      <c r="IE65">
        <v>0</v>
      </c>
      <c r="IF65">
        <v>100</v>
      </c>
      <c r="IG65">
        <v>100</v>
      </c>
      <c r="IH65">
        <v>-0.377</v>
      </c>
      <c r="II65">
        <v>0.3654</v>
      </c>
      <c r="IJ65">
        <v>-0.36375689936741501</v>
      </c>
      <c r="IK65">
        <v>-1.615681629159814E-3</v>
      </c>
      <c r="IL65">
        <v>1.5005605225991581E-6</v>
      </c>
      <c r="IM65">
        <v>-5.1143626075267638E-10</v>
      </c>
      <c r="IN65">
        <v>-0.17919480197356341</v>
      </c>
      <c r="IO65">
        <v>-1.7182111142928099E-3</v>
      </c>
      <c r="IP65">
        <v>9.9985895407488957E-4</v>
      </c>
      <c r="IQ65">
        <v>-5.7750407166627208E-6</v>
      </c>
      <c r="IR65">
        <v>3</v>
      </c>
      <c r="IS65">
        <v>2181</v>
      </c>
      <c r="IT65">
        <v>2</v>
      </c>
      <c r="IU65">
        <v>42</v>
      </c>
      <c r="IV65">
        <v>0.8</v>
      </c>
      <c r="IW65">
        <v>0.5</v>
      </c>
      <c r="IX65">
        <v>0.159912</v>
      </c>
      <c r="IY65">
        <v>2.6269499999999999</v>
      </c>
      <c r="IZ65">
        <v>1.5991200000000001</v>
      </c>
      <c r="JA65">
        <v>2.2680699999999998</v>
      </c>
      <c r="JB65">
        <v>1.5502899999999999</v>
      </c>
      <c r="JC65">
        <v>2.36084</v>
      </c>
      <c r="JD65">
        <v>48.362299999999998</v>
      </c>
      <c r="JE65">
        <v>15.918200000000001</v>
      </c>
      <c r="JF65">
        <v>18</v>
      </c>
      <c r="JG65">
        <v>503.04199999999997</v>
      </c>
      <c r="JH65">
        <v>422.73200000000003</v>
      </c>
      <c r="JI65">
        <v>24.6799</v>
      </c>
      <c r="JJ65">
        <v>35.579300000000003</v>
      </c>
      <c r="JK65">
        <v>30.000299999999999</v>
      </c>
      <c r="JL65">
        <v>35.61</v>
      </c>
      <c r="JM65">
        <v>35.585799999999999</v>
      </c>
      <c r="JN65">
        <v>3.2558199999999999</v>
      </c>
      <c r="JO65">
        <v>46.448700000000002</v>
      </c>
      <c r="JP65">
        <v>0</v>
      </c>
      <c r="JQ65">
        <v>24.685700000000001</v>
      </c>
      <c r="JR65">
        <v>10</v>
      </c>
      <c r="JS65">
        <v>16.3415</v>
      </c>
      <c r="JT65">
        <v>98.664599999999993</v>
      </c>
      <c r="JU65">
        <v>98.403999999999996</v>
      </c>
    </row>
    <row r="66" spans="1:281" x14ac:dyDescent="0.25">
      <c r="A66">
        <v>50</v>
      </c>
      <c r="B66">
        <v>1691173869.5999999</v>
      </c>
      <c r="C66">
        <v>14139</v>
      </c>
      <c r="D66" t="s">
        <v>673</v>
      </c>
      <c r="E66" t="s">
        <v>674</v>
      </c>
      <c r="F66" t="s">
        <v>411</v>
      </c>
      <c r="G66" t="s">
        <v>639</v>
      </c>
      <c r="H66" t="s">
        <v>496</v>
      </c>
      <c r="I66">
        <v>2</v>
      </c>
      <c r="J66">
        <v>1691173869.5999999</v>
      </c>
      <c r="K66">
        <f t="shared" si="46"/>
        <v>8.2921361592792169E-3</v>
      </c>
      <c r="L66">
        <f t="shared" si="47"/>
        <v>8.2921361592792167</v>
      </c>
      <c r="M66">
        <f t="shared" si="48"/>
        <v>48.161528899234909</v>
      </c>
      <c r="N66">
        <f t="shared" si="49"/>
        <v>338.94200000000001</v>
      </c>
      <c r="O66">
        <f t="shared" si="50"/>
        <v>174.57914751106236</v>
      </c>
      <c r="P66">
        <f t="shared" si="51"/>
        <v>17.31752937374328</v>
      </c>
      <c r="Q66">
        <f t="shared" si="52"/>
        <v>33.621644535888002</v>
      </c>
      <c r="R66">
        <f t="shared" si="53"/>
        <v>0.53181268766857037</v>
      </c>
      <c r="S66">
        <f t="shared" si="54"/>
        <v>2.9118841668559772</v>
      </c>
      <c r="T66">
        <f t="shared" si="55"/>
        <v>0.48315762128292794</v>
      </c>
      <c r="U66">
        <f t="shared" si="56"/>
        <v>0.30597316714575284</v>
      </c>
      <c r="V66">
        <f t="shared" si="57"/>
        <v>289.56964801273813</v>
      </c>
      <c r="W66">
        <f t="shared" si="58"/>
        <v>30.015299149912245</v>
      </c>
      <c r="X66">
        <f t="shared" si="59"/>
        <v>30.0306</v>
      </c>
      <c r="Y66">
        <f t="shared" si="60"/>
        <v>4.2679438424805225</v>
      </c>
      <c r="Z66">
        <f t="shared" si="61"/>
        <v>59.982112140265606</v>
      </c>
      <c r="AA66">
        <f t="shared" si="62"/>
        <v>2.6246531243352003</v>
      </c>
      <c r="AB66">
        <f t="shared" si="63"/>
        <v>4.3757264135640321</v>
      </c>
      <c r="AC66">
        <f t="shared" si="64"/>
        <v>1.6432907181453222</v>
      </c>
      <c r="AD66">
        <f t="shared" si="65"/>
        <v>-365.68320462421349</v>
      </c>
      <c r="AE66">
        <f t="shared" si="66"/>
        <v>68.288692153539472</v>
      </c>
      <c r="AF66">
        <f t="shared" si="67"/>
        <v>5.2273357667185234</v>
      </c>
      <c r="AG66">
        <f t="shared" si="68"/>
        <v>-2.5975286912173772</v>
      </c>
      <c r="AH66">
        <v>0</v>
      </c>
      <c r="AI66">
        <v>0</v>
      </c>
      <c r="AJ66">
        <f t="shared" si="69"/>
        <v>1</v>
      </c>
      <c r="AK66">
        <f t="shared" si="70"/>
        <v>0</v>
      </c>
      <c r="AL66">
        <f t="shared" si="71"/>
        <v>51750.807514409193</v>
      </c>
      <c r="AM66" t="s">
        <v>414</v>
      </c>
      <c r="AN66">
        <v>7361.72</v>
      </c>
      <c r="AO66">
        <v>541.39076923076925</v>
      </c>
      <c r="AP66">
        <v>2141.9899999999998</v>
      </c>
      <c r="AQ66">
        <f t="shared" si="72"/>
        <v>0.74724869433061347</v>
      </c>
      <c r="AR66">
        <v>-0.96077199609010144</v>
      </c>
      <c r="AS66" t="s">
        <v>675</v>
      </c>
      <c r="AT66">
        <v>7356.35</v>
      </c>
      <c r="AU66">
        <v>691.71679999999992</v>
      </c>
      <c r="AV66">
        <v>1062.046807560565</v>
      </c>
      <c r="AW66">
        <f t="shared" si="73"/>
        <v>0.3486946196007904</v>
      </c>
      <c r="AX66">
        <v>0.5</v>
      </c>
      <c r="AY66">
        <f t="shared" si="74"/>
        <v>1513.1712000066002</v>
      </c>
      <c r="AZ66">
        <f t="shared" si="75"/>
        <v>48.161528899234909</v>
      </c>
      <c r="BA66">
        <f t="shared" si="76"/>
        <v>263.8173279885865</v>
      </c>
      <c r="BB66">
        <f t="shared" si="77"/>
        <v>3.2463148185156276E-2</v>
      </c>
      <c r="BC66">
        <f t="shared" si="78"/>
        <v>1.0168508438154213</v>
      </c>
      <c r="BD66">
        <f t="shared" si="79"/>
        <v>430.69713545272873</v>
      </c>
      <c r="BE66" t="s">
        <v>676</v>
      </c>
      <c r="BF66">
        <v>561.11</v>
      </c>
      <c r="BG66">
        <f t="shared" si="80"/>
        <v>561.11</v>
      </c>
      <c r="BH66">
        <f t="shared" si="81"/>
        <v>0.47167112032583192</v>
      </c>
      <c r="BI66">
        <f t="shared" si="82"/>
        <v>0.7392748984926425</v>
      </c>
      <c r="BJ66">
        <f t="shared" si="83"/>
        <v>0.68312787336131464</v>
      </c>
      <c r="BK66">
        <f t="shared" si="84"/>
        <v>0.7112757373342693</v>
      </c>
      <c r="BL66">
        <f t="shared" si="85"/>
        <v>0.67471180272929787</v>
      </c>
      <c r="BM66">
        <f t="shared" si="86"/>
        <v>0.5996883960216185</v>
      </c>
      <c r="BN66">
        <f t="shared" si="87"/>
        <v>0.4003116039783815</v>
      </c>
      <c r="BO66">
        <v>1529</v>
      </c>
      <c r="BP66">
        <v>290.00000000000011</v>
      </c>
      <c r="BQ66">
        <v>919.63</v>
      </c>
      <c r="BR66">
        <v>295</v>
      </c>
      <c r="BS66">
        <v>7356.35</v>
      </c>
      <c r="BT66">
        <v>922.31</v>
      </c>
      <c r="BU66">
        <v>-2.68</v>
      </c>
      <c r="BV66">
        <v>300.00000000000011</v>
      </c>
      <c r="BW66">
        <v>37.9</v>
      </c>
      <c r="BX66">
        <v>1062.046807560565</v>
      </c>
      <c r="BY66">
        <v>1.9156311074815999</v>
      </c>
      <c r="BZ66">
        <v>-102.794629509369</v>
      </c>
      <c r="CA66">
        <v>1.181367977810778</v>
      </c>
      <c r="CB66">
        <v>0.99631545016740952</v>
      </c>
      <c r="CC66">
        <v>-7.2482300333704137E-3</v>
      </c>
      <c r="CD66">
        <v>289.99999999999989</v>
      </c>
      <c r="CE66">
        <v>900.68</v>
      </c>
      <c r="CF66">
        <v>655</v>
      </c>
      <c r="CG66">
        <v>7351.62</v>
      </c>
      <c r="CH66">
        <v>922.22</v>
      </c>
      <c r="CI66">
        <v>-21.54</v>
      </c>
      <c r="CW66">
        <f t="shared" si="88"/>
        <v>1799.98</v>
      </c>
      <c r="CX66">
        <f t="shared" si="89"/>
        <v>1513.1712000066002</v>
      </c>
      <c r="CY66">
        <f t="shared" si="90"/>
        <v>0.84066000733708157</v>
      </c>
      <c r="CZ66">
        <f t="shared" si="91"/>
        <v>0.16087381416056742</v>
      </c>
      <c r="DA66">
        <v>6</v>
      </c>
      <c r="DB66">
        <v>0.5</v>
      </c>
      <c r="DC66" t="s">
        <v>415</v>
      </c>
      <c r="DD66">
        <v>2</v>
      </c>
      <c r="DE66">
        <v>1691173869.5999999</v>
      </c>
      <c r="DF66">
        <v>338.94200000000001</v>
      </c>
      <c r="DG66">
        <v>400.12</v>
      </c>
      <c r="DH66">
        <v>26.459299999999999</v>
      </c>
      <c r="DI66">
        <v>16.770199999999999</v>
      </c>
      <c r="DJ66">
        <v>339.459</v>
      </c>
      <c r="DK66">
        <v>26.102399999999999</v>
      </c>
      <c r="DL66">
        <v>499.90600000000001</v>
      </c>
      <c r="DM66">
        <v>99.095500000000001</v>
      </c>
      <c r="DN66">
        <v>0.10036399999999999</v>
      </c>
      <c r="DO66">
        <v>30.465599999999998</v>
      </c>
      <c r="DP66">
        <v>30.0306</v>
      </c>
      <c r="DQ66">
        <v>999.9</v>
      </c>
      <c r="DR66">
        <v>0</v>
      </c>
      <c r="DS66">
        <v>0</v>
      </c>
      <c r="DT66">
        <v>9990</v>
      </c>
      <c r="DU66">
        <v>0</v>
      </c>
      <c r="DV66">
        <v>1790.41</v>
      </c>
      <c r="DW66">
        <v>-61.177399999999999</v>
      </c>
      <c r="DX66">
        <v>348.154</v>
      </c>
      <c r="DY66">
        <v>406.94400000000002</v>
      </c>
      <c r="DZ66">
        <v>9.6890199999999993</v>
      </c>
      <c r="EA66">
        <v>400.12</v>
      </c>
      <c r="EB66">
        <v>16.770199999999999</v>
      </c>
      <c r="EC66">
        <v>2.6219999999999999</v>
      </c>
      <c r="ED66">
        <v>1.6618599999999999</v>
      </c>
      <c r="EE66">
        <v>21.804300000000001</v>
      </c>
      <c r="EF66">
        <v>14.544600000000001</v>
      </c>
      <c r="EG66">
        <v>1799.98</v>
      </c>
      <c r="EH66">
        <v>0.97799700000000001</v>
      </c>
      <c r="EI66">
        <v>2.2003200000000001E-2</v>
      </c>
      <c r="EJ66">
        <v>0</v>
      </c>
      <c r="EK66">
        <v>690.14</v>
      </c>
      <c r="EL66">
        <v>9.9989999999999996E-2</v>
      </c>
      <c r="EM66">
        <v>13605.9</v>
      </c>
      <c r="EN66">
        <v>16705.099999999999</v>
      </c>
      <c r="EO66">
        <v>48.5</v>
      </c>
      <c r="EP66">
        <v>50.75</v>
      </c>
      <c r="EQ66">
        <v>49.561999999999998</v>
      </c>
      <c r="ER66">
        <v>49.125</v>
      </c>
      <c r="ES66">
        <v>49.625</v>
      </c>
      <c r="ET66">
        <v>1760.28</v>
      </c>
      <c r="EU66">
        <v>39.6</v>
      </c>
      <c r="EV66">
        <v>0</v>
      </c>
      <c r="EW66">
        <v>173</v>
      </c>
      <c r="EX66">
        <v>0</v>
      </c>
      <c r="EY66">
        <v>691.71679999999992</v>
      </c>
      <c r="EZ66">
        <v>-21.27538464012914</v>
      </c>
      <c r="FA66">
        <v>-251.87692275457951</v>
      </c>
      <c r="FB66">
        <v>13630.64</v>
      </c>
      <c r="FC66">
        <v>15</v>
      </c>
      <c r="FD66">
        <v>1691173794.5999999</v>
      </c>
      <c r="FE66" t="s">
        <v>677</v>
      </c>
      <c r="FF66">
        <v>1691173781.0999999</v>
      </c>
      <c r="FG66">
        <v>1691173794.5999999</v>
      </c>
      <c r="FH66">
        <v>72</v>
      </c>
      <c r="FI66">
        <v>0.24199999999999999</v>
      </c>
      <c r="FJ66">
        <v>2E-3</v>
      </c>
      <c r="FK66">
        <v>-0.56100000000000005</v>
      </c>
      <c r="FL66">
        <v>3.2000000000000001E-2</v>
      </c>
      <c r="FM66">
        <v>400</v>
      </c>
      <c r="FN66">
        <v>16</v>
      </c>
      <c r="FO66">
        <v>0.24</v>
      </c>
      <c r="FP66">
        <v>0.02</v>
      </c>
      <c r="FQ66">
        <v>48.022457684188353</v>
      </c>
      <c r="FR66">
        <v>0.62416870849870421</v>
      </c>
      <c r="FS66">
        <v>9.6962381811849754E-2</v>
      </c>
      <c r="FT66">
        <v>1</v>
      </c>
      <c r="FU66">
        <v>0.53678696370588008</v>
      </c>
      <c r="FV66">
        <v>-2.8246061069785229E-2</v>
      </c>
      <c r="FW66">
        <v>2.1201824027689072E-3</v>
      </c>
      <c r="FX66">
        <v>1</v>
      </c>
      <c r="FY66">
        <v>2</v>
      </c>
      <c r="FZ66">
        <v>2</v>
      </c>
      <c r="GA66" t="s">
        <v>416</v>
      </c>
      <c r="GB66">
        <v>2.9661400000000002</v>
      </c>
      <c r="GC66">
        <v>2.8119700000000001</v>
      </c>
      <c r="GD66">
        <v>8.4061800000000006E-2</v>
      </c>
      <c r="GE66">
        <v>9.4613600000000006E-2</v>
      </c>
      <c r="GF66">
        <v>0.12618499999999999</v>
      </c>
      <c r="GG66">
        <v>9.0877600000000003E-2</v>
      </c>
      <c r="GH66">
        <v>26919.1</v>
      </c>
      <c r="GI66">
        <v>24515.599999999999</v>
      </c>
      <c r="GJ66">
        <v>26430</v>
      </c>
      <c r="GK66">
        <v>25566.1</v>
      </c>
      <c r="GL66">
        <v>31437.9</v>
      </c>
      <c r="GM66">
        <v>32821.199999999997</v>
      </c>
      <c r="GN66">
        <v>37404.699999999997</v>
      </c>
      <c r="GO66">
        <v>37911.699999999997</v>
      </c>
      <c r="GP66">
        <v>1.9138999999999999</v>
      </c>
      <c r="GQ66">
        <v>1.8389</v>
      </c>
      <c r="GR66">
        <v>-4.1782899999999998E-2</v>
      </c>
      <c r="GS66">
        <v>0</v>
      </c>
      <c r="GT66">
        <v>30.710100000000001</v>
      </c>
      <c r="GU66">
        <v>999.9</v>
      </c>
      <c r="GV66">
        <v>26.3</v>
      </c>
      <c r="GW66">
        <v>47.1</v>
      </c>
      <c r="GX66">
        <v>28.485700000000001</v>
      </c>
      <c r="GY66">
        <v>61.734499999999997</v>
      </c>
      <c r="GZ66">
        <v>13.109</v>
      </c>
      <c r="HA66">
        <v>1</v>
      </c>
      <c r="HB66">
        <v>0.68395300000000003</v>
      </c>
      <c r="HC66">
        <v>4.4150299999999998</v>
      </c>
      <c r="HD66">
        <v>20.244700000000002</v>
      </c>
      <c r="HE66">
        <v>5.2088999999999999</v>
      </c>
      <c r="HF66">
        <v>11.9381</v>
      </c>
      <c r="HG66">
        <v>4.9866000000000001</v>
      </c>
      <c r="HH66">
        <v>3.2909999999999999</v>
      </c>
      <c r="HI66">
        <v>9999</v>
      </c>
      <c r="HJ66">
        <v>9999</v>
      </c>
      <c r="HK66">
        <v>9999</v>
      </c>
      <c r="HL66">
        <v>999.9</v>
      </c>
      <c r="HM66">
        <v>1.87087</v>
      </c>
      <c r="HN66">
        <v>1.87683</v>
      </c>
      <c r="HO66">
        <v>1.8746799999999999</v>
      </c>
      <c r="HP66">
        <v>1.87286</v>
      </c>
      <c r="HQ66">
        <v>1.87337</v>
      </c>
      <c r="HR66">
        <v>1.87073</v>
      </c>
      <c r="HS66">
        <v>1.87656</v>
      </c>
      <c r="HT66">
        <v>1.8757600000000001</v>
      </c>
      <c r="HU66">
        <v>5</v>
      </c>
      <c r="HV66">
        <v>0</v>
      </c>
      <c r="HW66">
        <v>0</v>
      </c>
      <c r="HX66">
        <v>0</v>
      </c>
      <c r="HY66" t="s">
        <v>417</v>
      </c>
      <c r="HZ66" t="s">
        <v>418</v>
      </c>
      <c r="IA66" t="s">
        <v>419</v>
      </c>
      <c r="IB66" t="s">
        <v>420</v>
      </c>
      <c r="IC66" t="s">
        <v>420</v>
      </c>
      <c r="ID66" t="s">
        <v>419</v>
      </c>
      <c r="IE66">
        <v>0</v>
      </c>
      <c r="IF66">
        <v>100</v>
      </c>
      <c r="IG66">
        <v>100</v>
      </c>
      <c r="IH66">
        <v>-0.51700000000000002</v>
      </c>
      <c r="II66">
        <v>0.3569</v>
      </c>
      <c r="IJ66">
        <v>-0.1215342223064599</v>
      </c>
      <c r="IK66">
        <v>-1.615681629159814E-3</v>
      </c>
      <c r="IL66">
        <v>1.5005605225991581E-6</v>
      </c>
      <c r="IM66">
        <v>-5.1143626075267638E-10</v>
      </c>
      <c r="IN66">
        <v>-0.1768382085296604</v>
      </c>
      <c r="IO66">
        <v>-1.7182111142928099E-3</v>
      </c>
      <c r="IP66">
        <v>9.9985895407488957E-4</v>
      </c>
      <c r="IQ66">
        <v>-5.7750407166627208E-6</v>
      </c>
      <c r="IR66">
        <v>3</v>
      </c>
      <c r="IS66">
        <v>2181</v>
      </c>
      <c r="IT66">
        <v>2</v>
      </c>
      <c r="IU66">
        <v>42</v>
      </c>
      <c r="IV66">
        <v>1.5</v>
      </c>
      <c r="IW66">
        <v>1.2</v>
      </c>
      <c r="IX66">
        <v>0.95214799999999999</v>
      </c>
      <c r="IY66">
        <v>2.5598100000000001</v>
      </c>
      <c r="IZ66">
        <v>1.5991200000000001</v>
      </c>
      <c r="JA66">
        <v>2.2680699999999998</v>
      </c>
      <c r="JB66">
        <v>1.5502899999999999</v>
      </c>
      <c r="JC66">
        <v>2.4145500000000002</v>
      </c>
      <c r="JD66">
        <v>48.239600000000003</v>
      </c>
      <c r="JE66">
        <v>15.9095</v>
      </c>
      <c r="JF66">
        <v>18</v>
      </c>
      <c r="JG66">
        <v>502.43400000000003</v>
      </c>
      <c r="JH66">
        <v>424.21600000000001</v>
      </c>
      <c r="JI66">
        <v>24.815899999999999</v>
      </c>
      <c r="JJ66">
        <v>35.628599999999999</v>
      </c>
      <c r="JK66">
        <v>30.000699999999998</v>
      </c>
      <c r="JL66">
        <v>35.642699999999998</v>
      </c>
      <c r="JM66">
        <v>35.621600000000001</v>
      </c>
      <c r="JN66">
        <v>19.098099999999999</v>
      </c>
      <c r="JO66">
        <v>45.487299999999998</v>
      </c>
      <c r="JP66">
        <v>0</v>
      </c>
      <c r="JQ66">
        <v>24.803999999999998</v>
      </c>
      <c r="JR66">
        <v>400</v>
      </c>
      <c r="JS66">
        <v>16.704599999999999</v>
      </c>
      <c r="JT66">
        <v>98.662499999999994</v>
      </c>
      <c r="JU66">
        <v>98.392600000000002</v>
      </c>
    </row>
    <row r="67" spans="1:281" x14ac:dyDescent="0.25">
      <c r="A67">
        <v>51</v>
      </c>
      <c r="B67">
        <v>1691174059.0999999</v>
      </c>
      <c r="C67">
        <v>14328.5</v>
      </c>
      <c r="D67" t="s">
        <v>678</v>
      </c>
      <c r="E67" t="s">
        <v>679</v>
      </c>
      <c r="F67" t="s">
        <v>411</v>
      </c>
      <c r="G67" t="s">
        <v>639</v>
      </c>
      <c r="H67" t="s">
        <v>496</v>
      </c>
      <c r="I67">
        <v>2</v>
      </c>
      <c r="J67">
        <v>1691174059.0999999</v>
      </c>
      <c r="K67">
        <f t="shared" ref="K67:K98" si="92">(L67)/1000</f>
        <v>7.6505580338727605E-3</v>
      </c>
      <c r="L67">
        <f t="shared" ref="L67:L98" si="93">1000*DL67*AJ67*(DH67-DI67)/(100*DA67*(1000-AJ67*DH67))</f>
        <v>7.6505580338727608</v>
      </c>
      <c r="M67">
        <f t="shared" ref="M67:M98" si="94">DL67*AJ67*(DG67-DF67*(1000-AJ67*DI67)/(1000-AJ67*DH67))/(100*DA67)</f>
        <v>55.733528097482861</v>
      </c>
      <c r="N67">
        <f t="shared" ref="N67:N98" si="95">DF67 - IF(AJ67&gt;1, M67*DA67*100/(AL67*DT67), 0)</f>
        <v>330.09199999999998</v>
      </c>
      <c r="O67">
        <f t="shared" ref="O67:O98" si="96">((U67-K67/2)*N67-M67)/(U67+K67/2)</f>
        <v>124.28072524093129</v>
      </c>
      <c r="P67">
        <f t="shared" ref="P67:P98" si="97">O67*(DM67+DN67)/1000</f>
        <v>12.328225016592391</v>
      </c>
      <c r="Q67">
        <f t="shared" ref="Q67:Q98" si="98">(DF67 - IF(AJ67&gt;1, M67*DA67*100/(AL67*DT67), 0))*(DM67+DN67)/1000</f>
        <v>32.744003096924004</v>
      </c>
      <c r="R67">
        <f t="shared" ref="R67:R98" si="99">2/((1/T67-1/S67)+SIGN(T67)*SQRT((1/T67-1/S67)*(1/T67-1/S67) + 4*DB67/((DB67+1)*(DB67+1))*(2*1/T67*1/S67-1/S67*1/S67)))</f>
        <v>0.48174457155151656</v>
      </c>
      <c r="S67">
        <f t="shared" ref="S67:S98" si="100">IF(LEFT(DC67,1)&lt;&gt;"0",IF(LEFT(DC67,1)="1",3,DD67),$D$5+$E$5*(DT67*DM67/($K$5*1000))+$F$5*(DT67*DM67/($K$5*1000))*MAX(MIN(DA67,$J$5),$I$5)*MAX(MIN(DA67,$J$5),$I$5)+$G$5*MAX(MIN(DA67,$J$5),$I$5)*(DT67*DM67/($K$5*1000))+$H$5*(DT67*DM67/($K$5*1000))*(DT67*DM67/($K$5*1000)))</f>
        <v>2.9119018113413908</v>
      </c>
      <c r="T67">
        <f t="shared" ref="T67:T98" si="101">K67*(1000-(1000*0.61365*EXP(17.502*X67/(240.97+X67))/(DM67+DN67)+DH67)/2)/(1000*0.61365*EXP(17.502*X67/(240.97+X67))/(DM67+DN67)-DH67)</f>
        <v>0.4414484912128161</v>
      </c>
      <c r="U67">
        <f t="shared" ref="U67:U98" si="102">1/((DB67+1)/(R67/1.6)+1/(S67/1.37)) + DB67/((DB67+1)/(R67/1.6) + DB67/(S67/1.37))</f>
        <v>0.27924432525134441</v>
      </c>
      <c r="V67">
        <f t="shared" ref="V67:V98" si="103">(CW67*CZ67)</f>
        <v>289.58880001273729</v>
      </c>
      <c r="W67">
        <f t="shared" ref="W67:W98" si="104">(DO67+(V67+2*0.95*0.0000000567*(((DO67+$B$7)+273)^4-(DO67+273)^4)-44100*K67)/(1.84*29.3*S67+8*0.95*0.0000000567*(DO67+273)^3))</f>
        <v>30.100387399622687</v>
      </c>
      <c r="X67">
        <f t="shared" ref="X67:X98" si="105">($C$7*DP67+$D$7*DQ67+$E$7*W67)</f>
        <v>30.018899999999999</v>
      </c>
      <c r="Y67">
        <f t="shared" ref="Y67:Y98" si="106">0.61365*EXP(17.502*X67/(240.97+X67))</f>
        <v>4.2650771073778637</v>
      </c>
      <c r="Z67">
        <f t="shared" ref="Z67:Z98" si="107">(AA67/AB67*100)</f>
        <v>59.82549949756519</v>
      </c>
      <c r="AA67">
        <f t="shared" ref="AA67:AA98" si="108">DH67*(DM67+DN67)/1000</f>
        <v>2.6054779774826002</v>
      </c>
      <c r="AB67">
        <f t="shared" ref="AB67:AB98" si="109">0.61365*EXP(17.502*DO67/(240.97+DO67))</f>
        <v>4.355129500571306</v>
      </c>
      <c r="AC67">
        <f t="shared" ref="AC67:AC98" si="110">(Y67-DH67*(DM67+DN67)/1000)</f>
        <v>1.6595991298952635</v>
      </c>
      <c r="AD67">
        <f t="shared" ref="AD67:AD98" si="111">(-K67*44100)</f>
        <v>-337.38960929378874</v>
      </c>
      <c r="AE67">
        <f t="shared" ref="AE67:AE98" si="112">2*29.3*S67*0.92*(DO67-X67)</f>
        <v>57.190163900041426</v>
      </c>
      <c r="AF67">
        <f t="shared" ref="AF67:AF98" si="113">2*0.95*0.0000000567*(((DO67+$B$7)+273)^4-(X67+273)^4)</f>
        <v>4.3757054717205852</v>
      </c>
      <c r="AG67">
        <f t="shared" ref="AG67:AG98" si="114">V67+AF67+AD67+AE67</f>
        <v>13.765060090710591</v>
      </c>
      <c r="AH67">
        <v>0</v>
      </c>
      <c r="AI67">
        <v>0</v>
      </c>
      <c r="AJ67">
        <f t="shared" ref="AJ67:AJ98" si="115">IF(AH67*$H$13&gt;=AL67,1,(AL67/(AL67-AH67*$H$13)))</f>
        <v>1</v>
      </c>
      <c r="AK67">
        <f t="shared" ref="AK67:AK98" si="116">(AJ67-1)*100</f>
        <v>0</v>
      </c>
      <c r="AL67">
        <f t="shared" ref="AL67:AL98" si="117">MAX(0,($B$13+$C$13*DT67)/(1+$D$13*DT67)*DM67/(DO67+273)*$E$13)</f>
        <v>51765.38559877043</v>
      </c>
      <c r="AM67" t="s">
        <v>414</v>
      </c>
      <c r="AN67">
        <v>7361.72</v>
      </c>
      <c r="AO67">
        <v>541.39076923076925</v>
      </c>
      <c r="AP67">
        <v>2141.9899999999998</v>
      </c>
      <c r="AQ67">
        <f t="shared" ref="AQ67:AQ98" si="118">1-AO67/AP67</f>
        <v>0.74724869433061347</v>
      </c>
      <c r="AR67">
        <v>-0.96077199609010144</v>
      </c>
      <c r="AS67" t="s">
        <v>680</v>
      </c>
      <c r="AT67">
        <v>7356.25</v>
      </c>
      <c r="AU67">
        <v>744.79250000000002</v>
      </c>
      <c r="AV67">
        <v>1184.0408981232599</v>
      </c>
      <c r="AW67">
        <f t="shared" ref="AW67:AW98" si="119">1-AU67/AV67</f>
        <v>0.37097400843119666</v>
      </c>
      <c r="AX67">
        <v>0.5</v>
      </c>
      <c r="AY67">
        <f t="shared" ref="AY67:AY98" si="120">CX67</f>
        <v>1513.2720000065997</v>
      </c>
      <c r="AZ67">
        <f t="shared" ref="AZ67:AZ98" si="121">M67</f>
        <v>55.733528097482861</v>
      </c>
      <c r="BA67">
        <f t="shared" ref="BA67:BA98" si="122">AW67*AX67*AY67</f>
        <v>280.69228984457106</v>
      </c>
      <c r="BB67">
        <f t="shared" ref="BB67:BB98" si="123">(AZ67-AR67)/AY67</f>
        <v>3.7464712287893852E-2</v>
      </c>
      <c r="BC67">
        <f t="shared" ref="BC67:BC98" si="124">(AP67-AV67)/AV67</f>
        <v>0.80905068684292725</v>
      </c>
      <c r="BD67">
        <f t="shared" ref="BD67:BD98" si="125">AO67/(AQ67+AO67/AV67)</f>
        <v>449.47769649821993</v>
      </c>
      <c r="BE67" t="s">
        <v>681</v>
      </c>
      <c r="BF67">
        <v>577.70000000000005</v>
      </c>
      <c r="BG67">
        <f t="shared" ref="BG67:BG98" si="126">IF(BF67&lt;&gt;0, BF67, BD67)</f>
        <v>577.70000000000005</v>
      </c>
      <c r="BH67">
        <f t="shared" ref="BH67:BH98" si="127">1-BG67/AV67</f>
        <v>0.51209455609542565</v>
      </c>
      <c r="BI67">
        <f t="shared" ref="BI67:BI98" si="128">(AV67-AU67)/(AV67-BG67)</f>
        <v>0.72442482353213689</v>
      </c>
      <c r="BJ67">
        <f t="shared" ref="BJ67:BJ98" si="129">(AP67-AV67)/(AP67-BG67)</f>
        <v>0.61238587594163485</v>
      </c>
      <c r="BK67">
        <f t="shared" ref="BK67:BK98" si="130">(AV67-AU67)/(AV67-AO67)</f>
        <v>0.68349538633134244</v>
      </c>
      <c r="BL67">
        <f t="shared" ref="BL67:BL98" si="131">(AP67-AV67)/(AP67-AO67)</f>
        <v>0.59849404114505289</v>
      </c>
      <c r="BM67">
        <f t="shared" ref="BM67:BM98" si="132">(BI67*BG67/AU67)</f>
        <v>0.56190176532996172</v>
      </c>
      <c r="BN67">
        <f t="shared" ref="BN67:BN98" si="133">(1-BM67)</f>
        <v>0.43809823467003828</v>
      </c>
      <c r="BO67">
        <v>1531</v>
      </c>
      <c r="BP67">
        <v>290.00000000000011</v>
      </c>
      <c r="BQ67">
        <v>1032.78</v>
      </c>
      <c r="BR67">
        <v>295</v>
      </c>
      <c r="BS67">
        <v>7356.25</v>
      </c>
      <c r="BT67">
        <v>1034.72</v>
      </c>
      <c r="BU67">
        <v>-1.94</v>
      </c>
      <c r="BV67">
        <v>300.00000000000011</v>
      </c>
      <c r="BW67">
        <v>37.9</v>
      </c>
      <c r="BX67">
        <v>1184.0408981232599</v>
      </c>
      <c r="BY67">
        <v>1.8331636734010099</v>
      </c>
      <c r="BZ67">
        <v>-109.8414638901298</v>
      </c>
      <c r="CA67">
        <v>1.130489345340806</v>
      </c>
      <c r="CB67">
        <v>0.99704285799104275</v>
      </c>
      <c r="CC67">
        <v>-7.2482469410456093E-3</v>
      </c>
      <c r="CD67">
        <v>289.99999999999989</v>
      </c>
      <c r="CE67">
        <v>1021.28</v>
      </c>
      <c r="CF67">
        <v>655</v>
      </c>
      <c r="CG67">
        <v>7351.54</v>
      </c>
      <c r="CH67">
        <v>1034.6300000000001</v>
      </c>
      <c r="CI67">
        <v>-13.35</v>
      </c>
      <c r="CW67">
        <f t="shared" ref="CW67:CW98" si="134">$B$11*DU67+$C$11*DV67+$F$11*EG67*(1-EJ67)</f>
        <v>1800.1</v>
      </c>
      <c r="CX67">
        <f t="shared" ref="CX67:CX98" si="135">CW67*CY67</f>
        <v>1513.2720000065997</v>
      </c>
      <c r="CY67">
        <f t="shared" ref="CY67:CY98" si="136">($B$11*$D$9+$C$11*$D$9+$F$11*((ET67+EL67)/MAX(ET67+EL67+EU67, 0.1)*$I$9+EU67/MAX(ET67+EL67+EU67, 0.1)*$J$9))/($B$11+$C$11+$F$11)</f>
        <v>0.84065996333903659</v>
      </c>
      <c r="CZ67">
        <f t="shared" ref="CZ67:CZ98" si="137">($B$11*$K$9+$C$11*$K$9+$F$11*((ET67+EL67)/MAX(ET67+EL67+EU67, 0.1)*$P$9+EU67/MAX(ET67+EL67+EU67, 0.1)*$Q$9))/($B$11+$C$11+$F$11)</f>
        <v>0.16087372924434049</v>
      </c>
      <c r="DA67">
        <v>6</v>
      </c>
      <c r="DB67">
        <v>0.5</v>
      </c>
      <c r="DC67" t="s">
        <v>415</v>
      </c>
      <c r="DD67">
        <v>2</v>
      </c>
      <c r="DE67">
        <v>1691174059.0999999</v>
      </c>
      <c r="DF67">
        <v>330.09199999999998</v>
      </c>
      <c r="DG67">
        <v>400.02199999999999</v>
      </c>
      <c r="DH67">
        <v>26.265799999999999</v>
      </c>
      <c r="DI67">
        <v>17.323799999999999</v>
      </c>
      <c r="DJ67">
        <v>330.63099999999997</v>
      </c>
      <c r="DK67">
        <v>25.9191</v>
      </c>
      <c r="DL67">
        <v>499.86200000000002</v>
      </c>
      <c r="DM67">
        <v>99.096500000000006</v>
      </c>
      <c r="DN67">
        <v>0.10009700000000001</v>
      </c>
      <c r="DO67">
        <v>30.383199999999999</v>
      </c>
      <c r="DP67">
        <v>30.018899999999999</v>
      </c>
      <c r="DQ67">
        <v>999.9</v>
      </c>
      <c r="DR67">
        <v>0</v>
      </c>
      <c r="DS67">
        <v>0</v>
      </c>
      <c r="DT67">
        <v>9990</v>
      </c>
      <c r="DU67">
        <v>0</v>
      </c>
      <c r="DV67">
        <v>1807.93</v>
      </c>
      <c r="DW67">
        <v>-69.930499999999995</v>
      </c>
      <c r="DX67">
        <v>338.99599999999998</v>
      </c>
      <c r="DY67">
        <v>407.07400000000001</v>
      </c>
      <c r="DZ67">
        <v>8.9420300000000008</v>
      </c>
      <c r="EA67">
        <v>400.02199999999999</v>
      </c>
      <c r="EB67">
        <v>17.323799999999999</v>
      </c>
      <c r="EC67">
        <v>2.6028500000000001</v>
      </c>
      <c r="ED67">
        <v>1.7167300000000001</v>
      </c>
      <c r="EE67">
        <v>21.6843</v>
      </c>
      <c r="EF67">
        <v>15.048500000000001</v>
      </c>
      <c r="EG67">
        <v>1800.1</v>
      </c>
      <c r="EH67">
        <v>0.97799999999999998</v>
      </c>
      <c r="EI67">
        <v>2.1999600000000001E-2</v>
      </c>
      <c r="EJ67">
        <v>0</v>
      </c>
      <c r="EK67">
        <v>744.98500000000001</v>
      </c>
      <c r="EL67">
        <v>9.9989999999999996E-2</v>
      </c>
      <c r="EM67">
        <v>14653.2</v>
      </c>
      <c r="EN67">
        <v>16706.2</v>
      </c>
      <c r="EO67">
        <v>48.561999999999998</v>
      </c>
      <c r="EP67">
        <v>50.875</v>
      </c>
      <c r="EQ67">
        <v>49.686999999999998</v>
      </c>
      <c r="ER67">
        <v>49.311999999999998</v>
      </c>
      <c r="ES67">
        <v>49.686999999999998</v>
      </c>
      <c r="ET67">
        <v>1760.4</v>
      </c>
      <c r="EU67">
        <v>39.6</v>
      </c>
      <c r="EV67">
        <v>0</v>
      </c>
      <c r="EW67">
        <v>187.39999985694891</v>
      </c>
      <c r="EX67">
        <v>0</v>
      </c>
      <c r="EY67">
        <v>744.79250000000002</v>
      </c>
      <c r="EZ67">
        <v>10.019658190663369</v>
      </c>
      <c r="FA67">
        <v>192.17094016545531</v>
      </c>
      <c r="FB67">
        <v>14628.461538461541</v>
      </c>
      <c r="FC67">
        <v>15</v>
      </c>
      <c r="FD67">
        <v>1691173944.0999999</v>
      </c>
      <c r="FE67" t="s">
        <v>682</v>
      </c>
      <c r="FF67">
        <v>1691173936.5999999</v>
      </c>
      <c r="FG67">
        <v>1691173944.0999999</v>
      </c>
      <c r="FH67">
        <v>73</v>
      </c>
      <c r="FI67">
        <v>-2.9000000000000001E-2</v>
      </c>
      <c r="FJ67">
        <v>-3.0000000000000001E-3</v>
      </c>
      <c r="FK67">
        <v>-0.59</v>
      </c>
      <c r="FL67">
        <v>4.8000000000000001E-2</v>
      </c>
      <c r="FM67">
        <v>400</v>
      </c>
      <c r="FN67">
        <v>17</v>
      </c>
      <c r="FO67">
        <v>0.09</v>
      </c>
      <c r="FP67">
        <v>0.03</v>
      </c>
      <c r="FQ67">
        <v>55.649265312450261</v>
      </c>
      <c r="FR67">
        <v>0.56244737144871404</v>
      </c>
      <c r="FS67">
        <v>0.1028114022646079</v>
      </c>
      <c r="FT67">
        <v>1</v>
      </c>
      <c r="FU67">
        <v>0.48450874897150759</v>
      </c>
      <c r="FV67">
        <v>-6.1709762189456948E-3</v>
      </c>
      <c r="FW67">
        <v>6.9519750775828316E-4</v>
      </c>
      <c r="FX67">
        <v>1</v>
      </c>
      <c r="FY67">
        <v>2</v>
      </c>
      <c r="FZ67">
        <v>2</v>
      </c>
      <c r="GA67" t="s">
        <v>416</v>
      </c>
      <c r="GB67">
        <v>2.9658899999999999</v>
      </c>
      <c r="GC67">
        <v>2.8117000000000001</v>
      </c>
      <c r="GD67">
        <v>8.22769E-2</v>
      </c>
      <c r="GE67">
        <v>9.4581399999999996E-2</v>
      </c>
      <c r="GF67">
        <v>0.12553500000000001</v>
      </c>
      <c r="GG67">
        <v>9.3031299999999997E-2</v>
      </c>
      <c r="GH67">
        <v>26967.200000000001</v>
      </c>
      <c r="GI67">
        <v>24509.4</v>
      </c>
      <c r="GJ67">
        <v>26426.1</v>
      </c>
      <c r="GK67">
        <v>25559.200000000001</v>
      </c>
      <c r="GL67">
        <v>31456.7</v>
      </c>
      <c r="GM67">
        <v>32735.5</v>
      </c>
      <c r="GN67">
        <v>37398.5</v>
      </c>
      <c r="GO67">
        <v>37902.199999999997</v>
      </c>
      <c r="GP67">
        <v>1.9118999999999999</v>
      </c>
      <c r="GQ67">
        <v>1.8392999999999999</v>
      </c>
      <c r="GR67">
        <v>-4.7445300000000003E-2</v>
      </c>
      <c r="GS67">
        <v>0</v>
      </c>
      <c r="GT67">
        <v>30.790500000000002</v>
      </c>
      <c r="GU67">
        <v>999.9</v>
      </c>
      <c r="GV67">
        <v>26.4</v>
      </c>
      <c r="GW67">
        <v>46.9</v>
      </c>
      <c r="GX67">
        <v>28.3034</v>
      </c>
      <c r="GY67">
        <v>61.874600000000001</v>
      </c>
      <c r="GZ67">
        <v>13.645799999999999</v>
      </c>
      <c r="HA67">
        <v>1</v>
      </c>
      <c r="HB67">
        <v>0.69520300000000002</v>
      </c>
      <c r="HC67">
        <v>4.7761199999999997</v>
      </c>
      <c r="HD67">
        <v>20.234999999999999</v>
      </c>
      <c r="HE67">
        <v>5.2083000000000004</v>
      </c>
      <c r="HF67">
        <v>11.9381</v>
      </c>
      <c r="HG67">
        <v>4.9858000000000002</v>
      </c>
      <c r="HH67">
        <v>3.2905000000000002</v>
      </c>
      <c r="HI67">
        <v>9999</v>
      </c>
      <c r="HJ67">
        <v>9999</v>
      </c>
      <c r="HK67">
        <v>9999</v>
      </c>
      <c r="HL67">
        <v>999.9</v>
      </c>
      <c r="HM67">
        <v>1.87087</v>
      </c>
      <c r="HN67">
        <v>1.87683</v>
      </c>
      <c r="HO67">
        <v>1.8745700000000001</v>
      </c>
      <c r="HP67">
        <v>1.87286</v>
      </c>
      <c r="HQ67">
        <v>1.8733500000000001</v>
      </c>
      <c r="HR67">
        <v>1.87073</v>
      </c>
      <c r="HS67">
        <v>1.87659</v>
      </c>
      <c r="HT67">
        <v>1.8757600000000001</v>
      </c>
      <c r="HU67">
        <v>5</v>
      </c>
      <c r="HV67">
        <v>0</v>
      </c>
      <c r="HW67">
        <v>0</v>
      </c>
      <c r="HX67">
        <v>0</v>
      </c>
      <c r="HY67" t="s">
        <v>417</v>
      </c>
      <c r="HZ67" t="s">
        <v>418</v>
      </c>
      <c r="IA67" t="s">
        <v>419</v>
      </c>
      <c r="IB67" t="s">
        <v>420</v>
      </c>
      <c r="IC67" t="s">
        <v>420</v>
      </c>
      <c r="ID67" t="s">
        <v>419</v>
      </c>
      <c r="IE67">
        <v>0</v>
      </c>
      <c r="IF67">
        <v>100</v>
      </c>
      <c r="IG67">
        <v>100</v>
      </c>
      <c r="IH67">
        <v>-0.53900000000000003</v>
      </c>
      <c r="II67">
        <v>0.34670000000000001</v>
      </c>
      <c r="IJ67">
        <v>-0.15094897872886731</v>
      </c>
      <c r="IK67">
        <v>-1.615681629159814E-3</v>
      </c>
      <c r="IL67">
        <v>1.5005605225991581E-6</v>
      </c>
      <c r="IM67">
        <v>-5.1143626075267638E-10</v>
      </c>
      <c r="IN67">
        <v>-0.17991886308526911</v>
      </c>
      <c r="IO67">
        <v>-1.7182111142928099E-3</v>
      </c>
      <c r="IP67">
        <v>9.9985895407488957E-4</v>
      </c>
      <c r="IQ67">
        <v>-5.7750407166627208E-6</v>
      </c>
      <c r="IR67">
        <v>3</v>
      </c>
      <c r="IS67">
        <v>2181</v>
      </c>
      <c r="IT67">
        <v>2</v>
      </c>
      <c r="IU67">
        <v>42</v>
      </c>
      <c r="IV67">
        <v>2</v>
      </c>
      <c r="IW67">
        <v>1.9</v>
      </c>
      <c r="IX67">
        <v>0.95336900000000002</v>
      </c>
      <c r="IY67">
        <v>2.5683600000000002</v>
      </c>
      <c r="IZ67">
        <v>1.5991200000000001</v>
      </c>
      <c r="JA67">
        <v>2.2680699999999998</v>
      </c>
      <c r="JB67">
        <v>1.5502899999999999</v>
      </c>
      <c r="JC67">
        <v>2.32056</v>
      </c>
      <c r="JD67">
        <v>48.0869</v>
      </c>
      <c r="JE67">
        <v>15.8832</v>
      </c>
      <c r="JF67">
        <v>18</v>
      </c>
      <c r="JG67">
        <v>501.78399999999999</v>
      </c>
      <c r="JH67">
        <v>425.00700000000001</v>
      </c>
      <c r="JI67">
        <v>24.3796</v>
      </c>
      <c r="JJ67">
        <v>35.750300000000003</v>
      </c>
      <c r="JK67">
        <v>30</v>
      </c>
      <c r="JL67">
        <v>35.731400000000001</v>
      </c>
      <c r="JM67">
        <v>35.706600000000002</v>
      </c>
      <c r="JN67">
        <v>19.104399999999998</v>
      </c>
      <c r="JO67">
        <v>43.6937</v>
      </c>
      <c r="JP67">
        <v>0</v>
      </c>
      <c r="JQ67">
        <v>24.384399999999999</v>
      </c>
      <c r="JR67">
        <v>400</v>
      </c>
      <c r="JS67">
        <v>17.355799999999999</v>
      </c>
      <c r="JT67">
        <v>98.647000000000006</v>
      </c>
      <c r="JU67">
        <v>98.367199999999997</v>
      </c>
    </row>
    <row r="68" spans="1:281" x14ac:dyDescent="0.25">
      <c r="A68">
        <v>52</v>
      </c>
      <c r="B68">
        <v>1691174159.5999999</v>
      </c>
      <c r="C68">
        <v>14429</v>
      </c>
      <c r="D68" t="s">
        <v>683</v>
      </c>
      <c r="E68" t="s">
        <v>684</v>
      </c>
      <c r="F68" t="s">
        <v>411</v>
      </c>
      <c r="G68" t="s">
        <v>639</v>
      </c>
      <c r="H68" t="s">
        <v>496</v>
      </c>
      <c r="I68">
        <v>2</v>
      </c>
      <c r="J68">
        <v>1691174159.5999999</v>
      </c>
      <c r="K68">
        <f t="shared" si="92"/>
        <v>7.279843045002149E-3</v>
      </c>
      <c r="L68">
        <f t="shared" si="93"/>
        <v>7.2798430450021492</v>
      </c>
      <c r="M68">
        <f t="shared" si="94"/>
        <v>57.996792792003106</v>
      </c>
      <c r="N68">
        <f t="shared" si="95"/>
        <v>426.82299999999998</v>
      </c>
      <c r="O68">
        <f t="shared" si="96"/>
        <v>202.4826812645565</v>
      </c>
      <c r="P68">
        <f t="shared" si="97"/>
        <v>20.085924295787549</v>
      </c>
      <c r="Q68">
        <f t="shared" si="98"/>
        <v>42.340087617170497</v>
      </c>
      <c r="R68">
        <f t="shared" si="99"/>
        <v>0.46225506299610186</v>
      </c>
      <c r="S68">
        <f t="shared" si="100"/>
        <v>2.9119353355352127</v>
      </c>
      <c r="T68">
        <f t="shared" si="101"/>
        <v>0.42501896816214418</v>
      </c>
      <c r="U68">
        <f t="shared" si="102"/>
        <v>0.26873197125374942</v>
      </c>
      <c r="V68">
        <f t="shared" si="103"/>
        <v>289.5856080127374</v>
      </c>
      <c r="W68">
        <f t="shared" si="104"/>
        <v>30.16789245906088</v>
      </c>
      <c r="X68">
        <f t="shared" si="105"/>
        <v>30.018000000000001</v>
      </c>
      <c r="Y68">
        <f t="shared" si="106"/>
        <v>4.2648566588169912</v>
      </c>
      <c r="Z68">
        <f t="shared" si="107"/>
        <v>60.369260190556282</v>
      </c>
      <c r="AA68">
        <f t="shared" si="108"/>
        <v>2.6247654187633001</v>
      </c>
      <c r="AB68">
        <f t="shared" si="109"/>
        <v>4.34785089377971</v>
      </c>
      <c r="AC68">
        <f t="shared" si="110"/>
        <v>1.6400912400536911</v>
      </c>
      <c r="AD68">
        <f t="shared" si="111"/>
        <v>-321.04107828459479</v>
      </c>
      <c r="AE68">
        <f t="shared" si="112"/>
        <v>52.748054623949571</v>
      </c>
      <c r="AF68">
        <f t="shared" si="113"/>
        <v>4.0351853845112435</v>
      </c>
      <c r="AG68">
        <f t="shared" si="114"/>
        <v>25.327769736603415</v>
      </c>
      <c r="AH68">
        <v>0</v>
      </c>
      <c r="AI68">
        <v>0</v>
      </c>
      <c r="AJ68">
        <f t="shared" si="115"/>
        <v>1</v>
      </c>
      <c r="AK68">
        <f t="shared" si="116"/>
        <v>0</v>
      </c>
      <c r="AL68">
        <f t="shared" si="117"/>
        <v>51771.360993897768</v>
      </c>
      <c r="AM68" t="s">
        <v>414</v>
      </c>
      <c r="AN68">
        <v>7361.72</v>
      </c>
      <c r="AO68">
        <v>541.39076923076925</v>
      </c>
      <c r="AP68">
        <v>2141.9899999999998</v>
      </c>
      <c r="AQ68">
        <f t="shared" si="118"/>
        <v>0.74724869433061347</v>
      </c>
      <c r="AR68">
        <v>-0.96077199609010144</v>
      </c>
      <c r="AS68" t="s">
        <v>685</v>
      </c>
      <c r="AT68">
        <v>7355.99</v>
      </c>
      <c r="AU68">
        <v>763.61980769230763</v>
      </c>
      <c r="AV68">
        <v>1237.085559448871</v>
      </c>
      <c r="AW68">
        <f t="shared" si="119"/>
        <v>0.38272676302801167</v>
      </c>
      <c r="AX68">
        <v>0.5</v>
      </c>
      <c r="AY68">
        <f t="shared" si="120"/>
        <v>1513.2552000065996</v>
      </c>
      <c r="AZ68">
        <f t="shared" si="121"/>
        <v>57.996792792003106</v>
      </c>
      <c r="BA68">
        <f t="shared" si="122"/>
        <v>289.58163216691611</v>
      </c>
      <c r="BB68">
        <f t="shared" si="123"/>
        <v>3.8960754793927743E-2</v>
      </c>
      <c r="BC68">
        <f t="shared" si="124"/>
        <v>0.7314808855696846</v>
      </c>
      <c r="BD68">
        <f t="shared" si="125"/>
        <v>456.91505740412259</v>
      </c>
      <c r="BE68" t="s">
        <v>686</v>
      </c>
      <c r="BF68">
        <v>586.70000000000005</v>
      </c>
      <c r="BG68">
        <f t="shared" si="126"/>
        <v>586.70000000000005</v>
      </c>
      <c r="BH68">
        <f t="shared" si="127"/>
        <v>0.52574015958817077</v>
      </c>
      <c r="BI68">
        <f t="shared" si="128"/>
        <v>0.72797703589509688</v>
      </c>
      <c r="BJ68">
        <f t="shared" si="129"/>
        <v>0.58182360881323025</v>
      </c>
      <c r="BK68">
        <f t="shared" si="130"/>
        <v>0.68056532607945919</v>
      </c>
      <c r="BL68">
        <f t="shared" si="131"/>
        <v>0.56535353957170253</v>
      </c>
      <c r="BM68">
        <f t="shared" si="132"/>
        <v>0.55931514957735406</v>
      </c>
      <c r="BN68">
        <f t="shared" si="133"/>
        <v>0.44068485042264594</v>
      </c>
      <c r="BO68">
        <v>1533</v>
      </c>
      <c r="BP68">
        <v>290.00000000000011</v>
      </c>
      <c r="BQ68">
        <v>1077.54</v>
      </c>
      <c r="BR68">
        <v>285</v>
      </c>
      <c r="BS68">
        <v>7355.99</v>
      </c>
      <c r="BT68">
        <v>1079.4000000000001</v>
      </c>
      <c r="BU68">
        <v>-1.86</v>
      </c>
      <c r="BV68">
        <v>300.00000000000011</v>
      </c>
      <c r="BW68">
        <v>37.9</v>
      </c>
      <c r="BX68">
        <v>1237.085559448871</v>
      </c>
      <c r="BY68">
        <v>1.814652701990864</v>
      </c>
      <c r="BZ68">
        <v>-115.9919589987377</v>
      </c>
      <c r="CA68">
        <v>1.119030478219619</v>
      </c>
      <c r="CB68">
        <v>0.99740070383801382</v>
      </c>
      <c r="CC68">
        <v>-7.2481263626251362E-3</v>
      </c>
      <c r="CD68">
        <v>289.99999999999989</v>
      </c>
      <c r="CE68">
        <v>1067.3399999999999</v>
      </c>
      <c r="CF68">
        <v>655</v>
      </c>
      <c r="CG68">
        <v>7351.25</v>
      </c>
      <c r="CH68">
        <v>1079.3</v>
      </c>
      <c r="CI68">
        <v>-11.96</v>
      </c>
      <c r="CW68">
        <f t="shared" si="134"/>
        <v>1800.08</v>
      </c>
      <c r="CX68">
        <f t="shared" si="135"/>
        <v>1513.2552000065996</v>
      </c>
      <c r="CY68">
        <f t="shared" si="136"/>
        <v>0.84065997067163667</v>
      </c>
      <c r="CZ68">
        <f t="shared" si="137"/>
        <v>0.16087374339625873</v>
      </c>
      <c r="DA68">
        <v>6</v>
      </c>
      <c r="DB68">
        <v>0.5</v>
      </c>
      <c r="DC68" t="s">
        <v>415</v>
      </c>
      <c r="DD68">
        <v>2</v>
      </c>
      <c r="DE68">
        <v>1691174159.5999999</v>
      </c>
      <c r="DF68">
        <v>426.82299999999998</v>
      </c>
      <c r="DG68">
        <v>500.10500000000002</v>
      </c>
      <c r="DH68">
        <v>26.459800000000001</v>
      </c>
      <c r="DI68">
        <v>17.960100000000001</v>
      </c>
      <c r="DJ68">
        <v>427.41300000000001</v>
      </c>
      <c r="DK68">
        <v>26.111599999999999</v>
      </c>
      <c r="DL68">
        <v>500.29199999999997</v>
      </c>
      <c r="DM68">
        <v>99.098399999999998</v>
      </c>
      <c r="DN68">
        <v>9.9833500000000006E-2</v>
      </c>
      <c r="DO68">
        <v>30.353999999999999</v>
      </c>
      <c r="DP68">
        <v>30.018000000000001</v>
      </c>
      <c r="DQ68">
        <v>999.9</v>
      </c>
      <c r="DR68">
        <v>0</v>
      </c>
      <c r="DS68">
        <v>0</v>
      </c>
      <c r="DT68">
        <v>9990</v>
      </c>
      <c r="DU68">
        <v>0</v>
      </c>
      <c r="DV68">
        <v>1847.47</v>
      </c>
      <c r="DW68">
        <v>-73.281999999999996</v>
      </c>
      <c r="DX68">
        <v>438.42399999999998</v>
      </c>
      <c r="DY68">
        <v>509.25099999999998</v>
      </c>
      <c r="DZ68">
        <v>8.4996899999999993</v>
      </c>
      <c r="EA68">
        <v>500.10500000000002</v>
      </c>
      <c r="EB68">
        <v>17.960100000000001</v>
      </c>
      <c r="EC68">
        <v>2.6221299999999998</v>
      </c>
      <c r="ED68">
        <v>1.77982</v>
      </c>
      <c r="EE68">
        <v>21.805099999999999</v>
      </c>
      <c r="EF68">
        <v>15.6107</v>
      </c>
      <c r="EG68">
        <v>1800.08</v>
      </c>
      <c r="EH68">
        <v>0.97799999999999998</v>
      </c>
      <c r="EI68">
        <v>2.1999600000000001E-2</v>
      </c>
      <c r="EJ68">
        <v>0</v>
      </c>
      <c r="EK68">
        <v>763.64499999999998</v>
      </c>
      <c r="EL68">
        <v>9.9989999999999996E-2</v>
      </c>
      <c r="EM68">
        <v>15016.5</v>
      </c>
      <c r="EN68">
        <v>16706.099999999999</v>
      </c>
      <c r="EO68">
        <v>48.625</v>
      </c>
      <c r="EP68">
        <v>50.936999999999998</v>
      </c>
      <c r="EQ68">
        <v>49.75</v>
      </c>
      <c r="ER68">
        <v>49.311999999999998</v>
      </c>
      <c r="ES68">
        <v>49.75</v>
      </c>
      <c r="ET68">
        <v>1760.38</v>
      </c>
      <c r="EU68">
        <v>39.6</v>
      </c>
      <c r="EV68">
        <v>0</v>
      </c>
      <c r="EW68">
        <v>98.599999904632568</v>
      </c>
      <c r="EX68">
        <v>0</v>
      </c>
      <c r="EY68">
        <v>763.61980769230763</v>
      </c>
      <c r="EZ68">
        <v>5.7967521397262338</v>
      </c>
      <c r="FA68">
        <v>143.21025627170459</v>
      </c>
      <c r="FB68">
        <v>15004.619230769231</v>
      </c>
      <c r="FC68">
        <v>15</v>
      </c>
      <c r="FD68">
        <v>1691174131.0999999</v>
      </c>
      <c r="FE68" t="s">
        <v>687</v>
      </c>
      <c r="FF68">
        <v>1691174131.0999999</v>
      </c>
      <c r="FG68">
        <v>1691174127.5999999</v>
      </c>
      <c r="FH68">
        <v>74</v>
      </c>
      <c r="FI68">
        <v>1.7999999999999999E-2</v>
      </c>
      <c r="FJ68">
        <v>-6.0000000000000001E-3</v>
      </c>
      <c r="FK68">
        <v>-0.63</v>
      </c>
      <c r="FL68">
        <v>0.06</v>
      </c>
      <c r="FM68">
        <v>500</v>
      </c>
      <c r="FN68">
        <v>18</v>
      </c>
      <c r="FO68">
        <v>0.1</v>
      </c>
      <c r="FP68">
        <v>0.02</v>
      </c>
      <c r="FQ68">
        <v>58.081770891860891</v>
      </c>
      <c r="FR68">
        <v>0.30866196646232352</v>
      </c>
      <c r="FS68">
        <v>7.6781248846916228E-2</v>
      </c>
      <c r="FT68">
        <v>1</v>
      </c>
      <c r="FU68">
        <v>0.46114696972172448</v>
      </c>
      <c r="FV68">
        <v>4.0115153589980378E-2</v>
      </c>
      <c r="FW68">
        <v>3.404007469721442E-3</v>
      </c>
      <c r="FX68">
        <v>1</v>
      </c>
      <c r="FY68">
        <v>2</v>
      </c>
      <c r="FZ68">
        <v>2</v>
      </c>
      <c r="GA68" t="s">
        <v>416</v>
      </c>
      <c r="GB68">
        <v>2.9670200000000002</v>
      </c>
      <c r="GC68">
        <v>2.8114400000000002</v>
      </c>
      <c r="GD68">
        <v>0.100661</v>
      </c>
      <c r="GE68">
        <v>0.11198</v>
      </c>
      <c r="GF68">
        <v>0.12618499999999999</v>
      </c>
      <c r="GG68">
        <v>9.5489099999999993E-2</v>
      </c>
      <c r="GH68">
        <v>26426.3</v>
      </c>
      <c r="GI68">
        <v>24036.1</v>
      </c>
      <c r="GJ68">
        <v>26426.1</v>
      </c>
      <c r="GK68">
        <v>25557.599999999999</v>
      </c>
      <c r="GL68">
        <v>31435.5</v>
      </c>
      <c r="GM68">
        <v>32645.8</v>
      </c>
      <c r="GN68">
        <v>37399</v>
      </c>
      <c r="GO68">
        <v>37899.5</v>
      </c>
      <c r="GP68">
        <v>1.9115</v>
      </c>
      <c r="GQ68">
        <v>1.841</v>
      </c>
      <c r="GR68">
        <v>-5.11408E-2</v>
      </c>
      <c r="GS68">
        <v>0</v>
      </c>
      <c r="GT68">
        <v>30.849599999999999</v>
      </c>
      <c r="GU68">
        <v>999.9</v>
      </c>
      <c r="GV68">
        <v>26.5</v>
      </c>
      <c r="GW68">
        <v>46.8</v>
      </c>
      <c r="GX68">
        <v>28.264299999999999</v>
      </c>
      <c r="GY68">
        <v>61.924599999999998</v>
      </c>
      <c r="GZ68">
        <v>13.213100000000001</v>
      </c>
      <c r="HA68">
        <v>1</v>
      </c>
      <c r="HB68">
        <v>0.70046699999999995</v>
      </c>
      <c r="HC68">
        <v>5.33535</v>
      </c>
      <c r="HD68">
        <v>20.2181</v>
      </c>
      <c r="HE68">
        <v>5.2088999999999999</v>
      </c>
      <c r="HF68">
        <v>11.9381</v>
      </c>
      <c r="HG68">
        <v>4.9871999999999996</v>
      </c>
      <c r="HH68">
        <v>3.2909000000000002</v>
      </c>
      <c r="HI68">
        <v>9999</v>
      </c>
      <c r="HJ68">
        <v>9999</v>
      </c>
      <c r="HK68">
        <v>9999</v>
      </c>
      <c r="HL68">
        <v>999.9</v>
      </c>
      <c r="HM68">
        <v>1.87087</v>
      </c>
      <c r="HN68">
        <v>1.87683</v>
      </c>
      <c r="HO68">
        <v>1.8745700000000001</v>
      </c>
      <c r="HP68">
        <v>1.87286</v>
      </c>
      <c r="HQ68">
        <v>1.8733299999999999</v>
      </c>
      <c r="HR68">
        <v>1.87073</v>
      </c>
      <c r="HS68">
        <v>1.8765400000000001</v>
      </c>
      <c r="HT68">
        <v>1.8757600000000001</v>
      </c>
      <c r="HU68">
        <v>5</v>
      </c>
      <c r="HV68">
        <v>0</v>
      </c>
      <c r="HW68">
        <v>0</v>
      </c>
      <c r="HX68">
        <v>0</v>
      </c>
      <c r="HY68" t="s">
        <v>417</v>
      </c>
      <c r="HZ68" t="s">
        <v>418</v>
      </c>
      <c r="IA68" t="s">
        <v>419</v>
      </c>
      <c r="IB68" t="s">
        <v>420</v>
      </c>
      <c r="IC68" t="s">
        <v>420</v>
      </c>
      <c r="ID68" t="s">
        <v>419</v>
      </c>
      <c r="IE68">
        <v>0</v>
      </c>
      <c r="IF68">
        <v>100</v>
      </c>
      <c r="IG68">
        <v>100</v>
      </c>
      <c r="IH68">
        <v>-0.59</v>
      </c>
      <c r="II68">
        <v>0.34820000000000001</v>
      </c>
      <c r="IJ68">
        <v>-0.1330124689785894</v>
      </c>
      <c r="IK68">
        <v>-1.615681629159814E-3</v>
      </c>
      <c r="IL68">
        <v>1.5005605225991581E-6</v>
      </c>
      <c r="IM68">
        <v>-5.1143626075267638E-10</v>
      </c>
      <c r="IN68">
        <v>-0.1858704853329359</v>
      </c>
      <c r="IO68">
        <v>-1.7182111142928099E-3</v>
      </c>
      <c r="IP68">
        <v>9.9985895407488957E-4</v>
      </c>
      <c r="IQ68">
        <v>-5.7750407166627208E-6</v>
      </c>
      <c r="IR68">
        <v>3</v>
      </c>
      <c r="IS68">
        <v>2181</v>
      </c>
      <c r="IT68">
        <v>2</v>
      </c>
      <c r="IU68">
        <v>42</v>
      </c>
      <c r="IV68">
        <v>0.5</v>
      </c>
      <c r="IW68">
        <v>0.5</v>
      </c>
      <c r="IX68">
        <v>1.1413599999999999</v>
      </c>
      <c r="IY68">
        <v>2.5549300000000001</v>
      </c>
      <c r="IZ68">
        <v>1.5991200000000001</v>
      </c>
      <c r="JA68">
        <v>2.2680699999999998</v>
      </c>
      <c r="JB68">
        <v>1.5502899999999999</v>
      </c>
      <c r="JC68">
        <v>2.3925800000000002</v>
      </c>
      <c r="JD68">
        <v>47.9651</v>
      </c>
      <c r="JE68">
        <v>15.874499999999999</v>
      </c>
      <c r="JF68">
        <v>18</v>
      </c>
      <c r="JG68">
        <v>501.76799999999997</v>
      </c>
      <c r="JH68">
        <v>426.202</v>
      </c>
      <c r="JI68">
        <v>23.978100000000001</v>
      </c>
      <c r="JJ68">
        <v>35.773499999999999</v>
      </c>
      <c r="JK68">
        <v>30.000499999999999</v>
      </c>
      <c r="JL68">
        <v>35.764299999999999</v>
      </c>
      <c r="JM68">
        <v>35.734099999999998</v>
      </c>
      <c r="JN68">
        <v>22.881799999999998</v>
      </c>
      <c r="JO68">
        <v>41.046300000000002</v>
      </c>
      <c r="JP68">
        <v>0</v>
      </c>
      <c r="JQ68">
        <v>23.9802</v>
      </c>
      <c r="JR68">
        <v>500</v>
      </c>
      <c r="JS68">
        <v>17.9712</v>
      </c>
      <c r="JT68">
        <v>98.6477</v>
      </c>
      <c r="JU68">
        <v>98.360500000000002</v>
      </c>
    </row>
    <row r="69" spans="1:281" x14ac:dyDescent="0.25">
      <c r="A69">
        <v>53</v>
      </c>
      <c r="B69">
        <v>1691174261.5999999</v>
      </c>
      <c r="C69">
        <v>14531</v>
      </c>
      <c r="D69" t="s">
        <v>688</v>
      </c>
      <c r="E69" t="s">
        <v>689</v>
      </c>
      <c r="F69" t="s">
        <v>411</v>
      </c>
      <c r="G69" t="s">
        <v>639</v>
      </c>
      <c r="H69" t="s">
        <v>496</v>
      </c>
      <c r="I69">
        <v>2</v>
      </c>
      <c r="J69">
        <v>1691174261.5999999</v>
      </c>
      <c r="K69">
        <f t="shared" si="92"/>
        <v>6.6282493122366394E-3</v>
      </c>
      <c r="L69">
        <f t="shared" si="93"/>
        <v>6.6282493122366395</v>
      </c>
      <c r="M69">
        <f t="shared" si="94"/>
        <v>58.61536454566928</v>
      </c>
      <c r="N69">
        <f t="shared" si="95"/>
        <v>624.61300000000006</v>
      </c>
      <c r="O69">
        <f t="shared" si="96"/>
        <v>366.74946653032697</v>
      </c>
      <c r="P69">
        <f t="shared" si="97"/>
        <v>36.380468139552853</v>
      </c>
      <c r="Q69">
        <f t="shared" si="98"/>
        <v>61.959772051015307</v>
      </c>
      <c r="R69">
        <f t="shared" si="99"/>
        <v>0.40959265945956047</v>
      </c>
      <c r="S69">
        <f t="shared" si="100"/>
        <v>2.918907564559249</v>
      </c>
      <c r="T69">
        <f t="shared" si="101"/>
        <v>0.38013236226523894</v>
      </c>
      <c r="U69">
        <f t="shared" si="102"/>
        <v>0.2400528004337914</v>
      </c>
      <c r="V69">
        <f t="shared" si="103"/>
        <v>289.57762801273776</v>
      </c>
      <c r="W69">
        <f t="shared" si="104"/>
        <v>30.246493477692969</v>
      </c>
      <c r="X69">
        <f t="shared" si="105"/>
        <v>30.025600000000001</v>
      </c>
      <c r="Y69">
        <f t="shared" si="106"/>
        <v>4.2667185366035874</v>
      </c>
      <c r="Z69">
        <f t="shared" si="107"/>
        <v>60.041800022489802</v>
      </c>
      <c r="AA69">
        <f t="shared" si="108"/>
        <v>2.5968897037057102</v>
      </c>
      <c r="AB69">
        <f t="shared" si="109"/>
        <v>4.3251363262477067</v>
      </c>
      <c r="AC69">
        <f t="shared" si="110"/>
        <v>1.6698288328978772</v>
      </c>
      <c r="AD69">
        <f t="shared" si="111"/>
        <v>-292.30579466963582</v>
      </c>
      <c r="AE69">
        <f t="shared" si="112"/>
        <v>37.295302275062554</v>
      </c>
      <c r="AF69">
        <f t="shared" si="113"/>
        <v>2.8450665126315289</v>
      </c>
      <c r="AG69">
        <f t="shared" si="114"/>
        <v>37.412202130796047</v>
      </c>
      <c r="AH69">
        <v>0</v>
      </c>
      <c r="AI69">
        <v>0</v>
      </c>
      <c r="AJ69">
        <f t="shared" si="115"/>
        <v>1</v>
      </c>
      <c r="AK69">
        <f t="shared" si="116"/>
        <v>0</v>
      </c>
      <c r="AL69">
        <f t="shared" si="117"/>
        <v>51985.201173410162</v>
      </c>
      <c r="AM69" t="s">
        <v>414</v>
      </c>
      <c r="AN69">
        <v>7361.72</v>
      </c>
      <c r="AO69">
        <v>541.39076923076925</v>
      </c>
      <c r="AP69">
        <v>2141.9899999999998</v>
      </c>
      <c r="AQ69">
        <f t="shared" si="118"/>
        <v>0.74724869433061347</v>
      </c>
      <c r="AR69">
        <v>-0.96077199609010144</v>
      </c>
      <c r="AS69" t="s">
        <v>690</v>
      </c>
      <c r="AT69">
        <v>7356.3</v>
      </c>
      <c r="AU69">
        <v>767.37826923076921</v>
      </c>
      <c r="AV69">
        <v>1259.411963154522</v>
      </c>
      <c r="AW69">
        <f t="shared" si="119"/>
        <v>0.3906852628994627</v>
      </c>
      <c r="AX69">
        <v>0.5</v>
      </c>
      <c r="AY69">
        <f t="shared" si="120"/>
        <v>1513.2132000065999</v>
      </c>
      <c r="AZ69">
        <f t="shared" si="121"/>
        <v>58.61536454566928</v>
      </c>
      <c r="BA69">
        <f t="shared" si="122"/>
        <v>295.59504843375788</v>
      </c>
      <c r="BB69">
        <f t="shared" si="123"/>
        <v>3.9370616474598254E-2</v>
      </c>
      <c r="BC69">
        <f t="shared" si="124"/>
        <v>0.70078581327338951</v>
      </c>
      <c r="BD69">
        <f t="shared" si="125"/>
        <v>459.92650374296335</v>
      </c>
      <c r="BE69" t="s">
        <v>691</v>
      </c>
      <c r="BF69">
        <v>589.72</v>
      </c>
      <c r="BG69">
        <f t="shared" si="126"/>
        <v>589.72</v>
      </c>
      <c r="BH69">
        <f t="shared" si="127"/>
        <v>0.53174972347976257</v>
      </c>
      <c r="BI69">
        <f t="shared" si="128"/>
        <v>0.73471643829511357</v>
      </c>
      <c r="BJ69">
        <f t="shared" si="129"/>
        <v>0.56857250146268234</v>
      </c>
      <c r="BK69">
        <f t="shared" si="130"/>
        <v>0.68526346866580412</v>
      </c>
      <c r="BL69">
        <f t="shared" si="131"/>
        <v>0.55140476134136363</v>
      </c>
      <c r="BM69">
        <f t="shared" si="132"/>
        <v>0.56461981706325537</v>
      </c>
      <c r="BN69">
        <f t="shared" si="133"/>
        <v>0.43538018293674463</v>
      </c>
      <c r="BO69">
        <v>1535</v>
      </c>
      <c r="BP69">
        <v>290.00000000000011</v>
      </c>
      <c r="BQ69">
        <v>1091.45</v>
      </c>
      <c r="BR69">
        <v>275</v>
      </c>
      <c r="BS69">
        <v>7356.3</v>
      </c>
      <c r="BT69">
        <v>1093.8399999999999</v>
      </c>
      <c r="BU69">
        <v>-2.39</v>
      </c>
      <c r="BV69">
        <v>300.00000000000011</v>
      </c>
      <c r="BW69">
        <v>37.9</v>
      </c>
      <c r="BX69">
        <v>1259.411963154522</v>
      </c>
      <c r="BY69">
        <v>1.634603796867883</v>
      </c>
      <c r="BZ69">
        <v>-121.8025213645176</v>
      </c>
      <c r="CA69">
        <v>1.007971678326488</v>
      </c>
      <c r="CB69">
        <v>0.99808614003218643</v>
      </c>
      <c r="CC69">
        <v>-7.2479281423804198E-3</v>
      </c>
      <c r="CD69">
        <v>289.99999999999989</v>
      </c>
      <c r="CE69">
        <v>1080.8699999999999</v>
      </c>
      <c r="CF69">
        <v>665</v>
      </c>
      <c r="CG69">
        <v>7350.69</v>
      </c>
      <c r="CH69">
        <v>1093.71</v>
      </c>
      <c r="CI69">
        <v>-12.84</v>
      </c>
      <c r="CW69">
        <f t="shared" si="134"/>
        <v>1800.03</v>
      </c>
      <c r="CX69">
        <f t="shared" si="135"/>
        <v>1513.2132000065999</v>
      </c>
      <c r="CY69">
        <f t="shared" si="136"/>
        <v>0.84065998900384986</v>
      </c>
      <c r="CZ69">
        <f t="shared" si="137"/>
        <v>0.16087377877743025</v>
      </c>
      <c r="DA69">
        <v>6</v>
      </c>
      <c r="DB69">
        <v>0.5</v>
      </c>
      <c r="DC69" t="s">
        <v>415</v>
      </c>
      <c r="DD69">
        <v>2</v>
      </c>
      <c r="DE69">
        <v>1691174261.5999999</v>
      </c>
      <c r="DF69">
        <v>624.61300000000006</v>
      </c>
      <c r="DG69">
        <v>699.87800000000004</v>
      </c>
      <c r="DH69">
        <v>26.179099999999998</v>
      </c>
      <c r="DI69">
        <v>18.4377</v>
      </c>
      <c r="DJ69">
        <v>625.00400000000002</v>
      </c>
      <c r="DK69">
        <v>25.8429</v>
      </c>
      <c r="DL69">
        <v>500.27600000000001</v>
      </c>
      <c r="DM69">
        <v>99.097300000000004</v>
      </c>
      <c r="DN69">
        <v>9.9758100000000002E-2</v>
      </c>
      <c r="DO69">
        <v>30.262599999999999</v>
      </c>
      <c r="DP69">
        <v>30.025600000000001</v>
      </c>
      <c r="DQ69">
        <v>999.9</v>
      </c>
      <c r="DR69">
        <v>0</v>
      </c>
      <c r="DS69">
        <v>0</v>
      </c>
      <c r="DT69">
        <v>10030</v>
      </c>
      <c r="DU69">
        <v>0</v>
      </c>
      <c r="DV69">
        <v>1894.85</v>
      </c>
      <c r="DW69">
        <v>-75.265100000000004</v>
      </c>
      <c r="DX69">
        <v>641.404</v>
      </c>
      <c r="DY69">
        <v>713.024</v>
      </c>
      <c r="DZ69">
        <v>7.7414399999999999</v>
      </c>
      <c r="EA69">
        <v>699.87800000000004</v>
      </c>
      <c r="EB69">
        <v>18.4377</v>
      </c>
      <c r="EC69">
        <v>2.5942799999999999</v>
      </c>
      <c r="ED69">
        <v>1.8271200000000001</v>
      </c>
      <c r="EE69">
        <v>21.630400000000002</v>
      </c>
      <c r="EF69">
        <v>16.020800000000001</v>
      </c>
      <c r="EG69">
        <v>1800.03</v>
      </c>
      <c r="EH69">
        <v>0.97799999999999998</v>
      </c>
      <c r="EI69">
        <v>2.1999600000000001E-2</v>
      </c>
      <c r="EJ69">
        <v>0</v>
      </c>
      <c r="EK69">
        <v>768.72</v>
      </c>
      <c r="EL69">
        <v>9.9989999999999996E-2</v>
      </c>
      <c r="EM69">
        <v>15108.6</v>
      </c>
      <c r="EN69">
        <v>16705.5</v>
      </c>
      <c r="EO69">
        <v>48.625</v>
      </c>
      <c r="EP69">
        <v>50.936999999999998</v>
      </c>
      <c r="EQ69">
        <v>49.75</v>
      </c>
      <c r="ER69">
        <v>49.311999999999998</v>
      </c>
      <c r="ES69">
        <v>49.75</v>
      </c>
      <c r="ET69">
        <v>1760.33</v>
      </c>
      <c r="EU69">
        <v>39.6</v>
      </c>
      <c r="EV69">
        <v>0</v>
      </c>
      <c r="EW69">
        <v>99.599999904632568</v>
      </c>
      <c r="EX69">
        <v>0</v>
      </c>
      <c r="EY69">
        <v>767.37826923076921</v>
      </c>
      <c r="EZ69">
        <v>1.8145299203345531</v>
      </c>
      <c r="FA69">
        <v>111.3948717106872</v>
      </c>
      <c r="FB69">
        <v>15096.74230769231</v>
      </c>
      <c r="FC69">
        <v>15</v>
      </c>
      <c r="FD69">
        <v>1691174232.0999999</v>
      </c>
      <c r="FE69" t="s">
        <v>692</v>
      </c>
      <c r="FF69">
        <v>1691174228.5999999</v>
      </c>
      <c r="FG69">
        <v>1691174232.0999999</v>
      </c>
      <c r="FH69">
        <v>75</v>
      </c>
      <c r="FI69">
        <v>0.28999999999999998</v>
      </c>
      <c r="FJ69">
        <v>-2E-3</v>
      </c>
      <c r="FK69">
        <v>-0.41399999999999998</v>
      </c>
      <c r="FL69">
        <v>6.6000000000000003E-2</v>
      </c>
      <c r="FM69">
        <v>700</v>
      </c>
      <c r="FN69">
        <v>18</v>
      </c>
      <c r="FO69">
        <v>0.09</v>
      </c>
      <c r="FP69">
        <v>0.03</v>
      </c>
      <c r="FQ69">
        <v>58.832008546359553</v>
      </c>
      <c r="FR69">
        <v>-0.47789345963562269</v>
      </c>
      <c r="FS69">
        <v>0.16190632728652549</v>
      </c>
      <c r="FT69">
        <v>1</v>
      </c>
      <c r="FU69">
        <v>0.41324964429422129</v>
      </c>
      <c r="FV69">
        <v>6.3278276061777836E-3</v>
      </c>
      <c r="FW69">
        <v>1.752659882268823E-3</v>
      </c>
      <c r="FX69">
        <v>1</v>
      </c>
      <c r="FY69">
        <v>2</v>
      </c>
      <c r="FZ69">
        <v>2</v>
      </c>
      <c r="GA69" t="s">
        <v>416</v>
      </c>
      <c r="GB69">
        <v>2.9669400000000001</v>
      </c>
      <c r="GC69">
        <v>2.8117100000000002</v>
      </c>
      <c r="GD69">
        <v>0.133022</v>
      </c>
      <c r="GE69">
        <v>0.142321</v>
      </c>
      <c r="GF69">
        <v>0.12525900000000001</v>
      </c>
      <c r="GG69">
        <v>9.7307400000000002E-2</v>
      </c>
      <c r="GH69">
        <v>25472.799999999999</v>
      </c>
      <c r="GI69">
        <v>23212.5</v>
      </c>
      <c r="GJ69">
        <v>26425.1</v>
      </c>
      <c r="GK69">
        <v>25556.9</v>
      </c>
      <c r="GL69">
        <v>31470</v>
      </c>
      <c r="GM69">
        <v>32582.1</v>
      </c>
      <c r="GN69">
        <v>37397.599999999999</v>
      </c>
      <c r="GO69">
        <v>37899.199999999997</v>
      </c>
      <c r="GP69">
        <v>1.9103000000000001</v>
      </c>
      <c r="GQ69">
        <v>1.8428</v>
      </c>
      <c r="GR69">
        <v>-5.1170599999999997E-2</v>
      </c>
      <c r="GS69">
        <v>0</v>
      </c>
      <c r="GT69">
        <v>30.857700000000001</v>
      </c>
      <c r="GU69">
        <v>999.9</v>
      </c>
      <c r="GV69">
        <v>26.6</v>
      </c>
      <c r="GW69">
        <v>46.6</v>
      </c>
      <c r="GX69">
        <v>28.084299999999999</v>
      </c>
      <c r="GY69">
        <v>61.744599999999998</v>
      </c>
      <c r="GZ69">
        <v>13.113</v>
      </c>
      <c r="HA69">
        <v>1</v>
      </c>
      <c r="HB69">
        <v>0.70272400000000002</v>
      </c>
      <c r="HC69">
        <v>5.3938199999999998</v>
      </c>
      <c r="HD69">
        <v>20.216999999999999</v>
      </c>
      <c r="HE69">
        <v>5.2107000000000001</v>
      </c>
      <c r="HF69">
        <v>11.9381</v>
      </c>
      <c r="HG69">
        <v>4.9880000000000004</v>
      </c>
      <c r="HH69">
        <v>3.2907999999999999</v>
      </c>
      <c r="HI69">
        <v>9999</v>
      </c>
      <c r="HJ69">
        <v>9999</v>
      </c>
      <c r="HK69">
        <v>9999</v>
      </c>
      <c r="HL69">
        <v>999.9</v>
      </c>
      <c r="HM69">
        <v>1.87077</v>
      </c>
      <c r="HN69">
        <v>1.87683</v>
      </c>
      <c r="HO69">
        <v>1.8745400000000001</v>
      </c>
      <c r="HP69">
        <v>1.87286</v>
      </c>
      <c r="HQ69">
        <v>1.8733200000000001</v>
      </c>
      <c r="HR69">
        <v>1.87073</v>
      </c>
      <c r="HS69">
        <v>1.87653</v>
      </c>
      <c r="HT69">
        <v>1.8757299999999999</v>
      </c>
      <c r="HU69">
        <v>5</v>
      </c>
      <c r="HV69">
        <v>0</v>
      </c>
      <c r="HW69">
        <v>0</v>
      </c>
      <c r="HX69">
        <v>0</v>
      </c>
      <c r="HY69" t="s">
        <v>417</v>
      </c>
      <c r="HZ69" t="s">
        <v>418</v>
      </c>
      <c r="IA69" t="s">
        <v>419</v>
      </c>
      <c r="IB69" t="s">
        <v>420</v>
      </c>
      <c r="IC69" t="s">
        <v>420</v>
      </c>
      <c r="ID69" t="s">
        <v>419</v>
      </c>
      <c r="IE69">
        <v>0</v>
      </c>
      <c r="IF69">
        <v>100</v>
      </c>
      <c r="IG69">
        <v>100</v>
      </c>
      <c r="IH69">
        <v>-0.39100000000000001</v>
      </c>
      <c r="II69">
        <v>0.3362</v>
      </c>
      <c r="IJ69">
        <v>0.1573350207122062</v>
      </c>
      <c r="IK69">
        <v>-1.615681629159814E-3</v>
      </c>
      <c r="IL69">
        <v>1.5005605225991581E-6</v>
      </c>
      <c r="IM69">
        <v>-5.1143626075267638E-10</v>
      </c>
      <c r="IN69">
        <v>-0.18751455985479301</v>
      </c>
      <c r="IO69">
        <v>-1.7182111142928099E-3</v>
      </c>
      <c r="IP69">
        <v>9.9985895407488957E-4</v>
      </c>
      <c r="IQ69">
        <v>-5.7750407166627208E-6</v>
      </c>
      <c r="IR69">
        <v>3</v>
      </c>
      <c r="IS69">
        <v>2181</v>
      </c>
      <c r="IT69">
        <v>2</v>
      </c>
      <c r="IU69">
        <v>42</v>
      </c>
      <c r="IV69">
        <v>0.6</v>
      </c>
      <c r="IW69">
        <v>0.5</v>
      </c>
      <c r="IX69">
        <v>1.5039100000000001</v>
      </c>
      <c r="IY69">
        <v>2.5500500000000001</v>
      </c>
      <c r="IZ69">
        <v>1.5991200000000001</v>
      </c>
      <c r="JA69">
        <v>2.2680699999999998</v>
      </c>
      <c r="JB69">
        <v>1.5502899999999999</v>
      </c>
      <c r="JC69">
        <v>2.4011200000000001</v>
      </c>
      <c r="JD69">
        <v>47.843699999999998</v>
      </c>
      <c r="JE69">
        <v>15.8657</v>
      </c>
      <c r="JF69">
        <v>18</v>
      </c>
      <c r="JG69">
        <v>501.15300000000002</v>
      </c>
      <c r="JH69">
        <v>427.447</v>
      </c>
      <c r="JI69">
        <v>23.7515</v>
      </c>
      <c r="JJ69">
        <v>35.803199999999997</v>
      </c>
      <c r="JK69">
        <v>30.0002</v>
      </c>
      <c r="JL69">
        <v>35.787399999999998</v>
      </c>
      <c r="JM69">
        <v>35.759</v>
      </c>
      <c r="JN69">
        <v>30.115400000000001</v>
      </c>
      <c r="JO69">
        <v>39.530799999999999</v>
      </c>
      <c r="JP69">
        <v>0</v>
      </c>
      <c r="JQ69">
        <v>23.7577</v>
      </c>
      <c r="JR69">
        <v>700</v>
      </c>
      <c r="JS69">
        <v>18.476800000000001</v>
      </c>
      <c r="JT69">
        <v>98.644099999999995</v>
      </c>
      <c r="JU69">
        <v>98.358999999999995</v>
      </c>
    </row>
    <row r="70" spans="1:281" x14ac:dyDescent="0.25">
      <c r="A70">
        <v>54</v>
      </c>
      <c r="B70">
        <v>1691174361.0999999</v>
      </c>
      <c r="C70">
        <v>14630.5</v>
      </c>
      <c r="D70" t="s">
        <v>693</v>
      </c>
      <c r="E70" t="s">
        <v>694</v>
      </c>
      <c r="F70" t="s">
        <v>411</v>
      </c>
      <c r="G70" t="s">
        <v>639</v>
      </c>
      <c r="H70" t="s">
        <v>496</v>
      </c>
      <c r="I70">
        <v>2</v>
      </c>
      <c r="J70">
        <v>1691174361.0999999</v>
      </c>
      <c r="K70">
        <f t="shared" si="92"/>
        <v>5.3455849924272936E-3</v>
      </c>
      <c r="L70">
        <f t="shared" si="93"/>
        <v>5.3455849924272938</v>
      </c>
      <c r="M70">
        <f t="shared" si="94"/>
        <v>58.769186277783547</v>
      </c>
      <c r="N70">
        <f t="shared" si="95"/>
        <v>824.476</v>
      </c>
      <c r="O70">
        <f t="shared" si="96"/>
        <v>494.4274587670381</v>
      </c>
      <c r="P70">
        <f t="shared" si="97"/>
        <v>49.045045239405212</v>
      </c>
      <c r="Q70">
        <f t="shared" si="98"/>
        <v>81.784419537784004</v>
      </c>
      <c r="R70">
        <f t="shared" si="99"/>
        <v>0.3175945260650781</v>
      </c>
      <c r="S70">
        <f t="shared" si="100"/>
        <v>2.9118718156452488</v>
      </c>
      <c r="T70">
        <f t="shared" si="101"/>
        <v>0.29952884513614275</v>
      </c>
      <c r="U70">
        <f t="shared" si="102"/>
        <v>0.1887429688763157</v>
      </c>
      <c r="V70">
        <f t="shared" si="103"/>
        <v>289.57864501273446</v>
      </c>
      <c r="W70">
        <f t="shared" si="104"/>
        <v>30.454692003036076</v>
      </c>
      <c r="X70">
        <f t="shared" si="105"/>
        <v>30.050799999999999</v>
      </c>
      <c r="Y70">
        <f t="shared" si="106"/>
        <v>4.2728972008074786</v>
      </c>
      <c r="Z70">
        <f t="shared" si="107"/>
        <v>59.703542208901453</v>
      </c>
      <c r="AA70">
        <f t="shared" si="108"/>
        <v>2.5635921259692003</v>
      </c>
      <c r="AB70">
        <f t="shared" si="109"/>
        <v>4.2938693938782473</v>
      </c>
      <c r="AC70">
        <f t="shared" si="110"/>
        <v>1.7093050748382783</v>
      </c>
      <c r="AD70">
        <f t="shared" si="111"/>
        <v>-235.74029816604366</v>
      </c>
      <c r="AE70">
        <f t="shared" si="112"/>
        <v>13.39080628262821</v>
      </c>
      <c r="AF70">
        <f t="shared" si="113"/>
        <v>1.0234705355772502</v>
      </c>
      <c r="AG70">
        <f t="shared" si="114"/>
        <v>68.252623664896248</v>
      </c>
      <c r="AH70">
        <v>1</v>
      </c>
      <c r="AI70">
        <v>0</v>
      </c>
      <c r="AJ70">
        <f t="shared" si="115"/>
        <v>1</v>
      </c>
      <c r="AK70">
        <f t="shared" si="116"/>
        <v>0</v>
      </c>
      <c r="AL70">
        <f t="shared" si="117"/>
        <v>51806.693156320733</v>
      </c>
      <c r="AM70" t="s">
        <v>414</v>
      </c>
      <c r="AN70">
        <v>7361.72</v>
      </c>
      <c r="AO70">
        <v>541.39076923076925</v>
      </c>
      <c r="AP70">
        <v>2141.9899999999998</v>
      </c>
      <c r="AQ70">
        <f t="shared" si="118"/>
        <v>0.74724869433061347</v>
      </c>
      <c r="AR70">
        <v>-0.96077199609010144</v>
      </c>
      <c r="AS70" t="s">
        <v>695</v>
      </c>
      <c r="AT70">
        <v>7355.17</v>
      </c>
      <c r="AU70">
        <v>765.34250000000009</v>
      </c>
      <c r="AV70">
        <v>1260.4363400397201</v>
      </c>
      <c r="AW70">
        <f t="shared" si="119"/>
        <v>0.39279559332930547</v>
      </c>
      <c r="AX70">
        <v>0.5</v>
      </c>
      <c r="AY70">
        <f t="shared" si="120"/>
        <v>1513.2213000065981</v>
      </c>
      <c r="AZ70">
        <f t="shared" si="121"/>
        <v>58.769186277783547</v>
      </c>
      <c r="BA70">
        <f t="shared" si="122"/>
        <v>297.19332918731732</v>
      </c>
      <c r="BB70">
        <f t="shared" si="123"/>
        <v>3.9472057572552809E-2</v>
      </c>
      <c r="BC70">
        <f t="shared" si="124"/>
        <v>0.69940355728913628</v>
      </c>
      <c r="BD70">
        <f t="shared" si="125"/>
        <v>460.06304906630498</v>
      </c>
      <c r="BE70" t="s">
        <v>696</v>
      </c>
      <c r="BF70">
        <v>591.41999999999996</v>
      </c>
      <c r="BG70">
        <f t="shared" si="126"/>
        <v>591.41999999999996</v>
      </c>
      <c r="BH70">
        <f t="shared" si="127"/>
        <v>0.53078153873176759</v>
      </c>
      <c r="BI70">
        <f t="shared" si="128"/>
        <v>0.74003250804057463</v>
      </c>
      <c r="BJ70">
        <f t="shared" si="129"/>
        <v>0.56853522250545274</v>
      </c>
      <c r="BK70">
        <f t="shared" si="130"/>
        <v>0.6885430633870987</v>
      </c>
      <c r="BL70">
        <f t="shared" si="131"/>
        <v>0.55076476547887299</v>
      </c>
      <c r="BM70">
        <f t="shared" si="132"/>
        <v>0.57186165135917133</v>
      </c>
      <c r="BN70">
        <f t="shared" si="133"/>
        <v>0.42813834864082867</v>
      </c>
      <c r="BO70">
        <v>1537</v>
      </c>
      <c r="BP70">
        <v>290.00000000000011</v>
      </c>
      <c r="BQ70">
        <v>1091.94</v>
      </c>
      <c r="BR70">
        <v>295</v>
      </c>
      <c r="BS70">
        <v>7355.17</v>
      </c>
      <c r="BT70">
        <v>1094.27</v>
      </c>
      <c r="BU70">
        <v>-2.33</v>
      </c>
      <c r="BV70">
        <v>300.00000000000011</v>
      </c>
      <c r="BW70">
        <v>37.9</v>
      </c>
      <c r="BX70">
        <v>1260.4363400397201</v>
      </c>
      <c r="BY70">
        <v>1.8509974788744481</v>
      </c>
      <c r="BZ70">
        <v>-122.2199483398047</v>
      </c>
      <c r="CA70">
        <v>1.1413140769705841</v>
      </c>
      <c r="CB70">
        <v>0.99756429278308911</v>
      </c>
      <c r="CC70">
        <v>-7.2473608453837634E-3</v>
      </c>
      <c r="CD70">
        <v>289.99999999999989</v>
      </c>
      <c r="CE70">
        <v>1081.3499999999999</v>
      </c>
      <c r="CF70">
        <v>655</v>
      </c>
      <c r="CG70">
        <v>7350.45</v>
      </c>
      <c r="CH70">
        <v>1094.1600000000001</v>
      </c>
      <c r="CI70">
        <v>-12.81</v>
      </c>
      <c r="CW70">
        <f t="shared" si="134"/>
        <v>1800.04</v>
      </c>
      <c r="CX70">
        <f t="shared" si="135"/>
        <v>1513.2213000065981</v>
      </c>
      <c r="CY70">
        <f t="shared" si="136"/>
        <v>0.84065981867436179</v>
      </c>
      <c r="CZ70">
        <f t="shared" si="137"/>
        <v>0.16087345004151823</v>
      </c>
      <c r="DA70">
        <v>6</v>
      </c>
      <c r="DB70">
        <v>0.5</v>
      </c>
      <c r="DC70" t="s">
        <v>415</v>
      </c>
      <c r="DD70">
        <v>2</v>
      </c>
      <c r="DE70">
        <v>1691174361.0999999</v>
      </c>
      <c r="DF70">
        <v>824.476</v>
      </c>
      <c r="DG70">
        <v>900.23900000000003</v>
      </c>
      <c r="DH70">
        <v>25.843800000000002</v>
      </c>
      <c r="DI70">
        <v>19.5989</v>
      </c>
      <c r="DJ70">
        <v>824.81700000000001</v>
      </c>
      <c r="DK70">
        <v>25.524799999999999</v>
      </c>
      <c r="DL70">
        <v>500.322</v>
      </c>
      <c r="DM70">
        <v>99.094800000000006</v>
      </c>
      <c r="DN70">
        <v>0.10083399999999999</v>
      </c>
      <c r="DO70">
        <v>30.136099999999999</v>
      </c>
      <c r="DP70">
        <v>30.050799999999999</v>
      </c>
      <c r="DQ70">
        <v>999.9</v>
      </c>
      <c r="DR70">
        <v>0</v>
      </c>
      <c r="DS70">
        <v>0</v>
      </c>
      <c r="DT70">
        <v>9990</v>
      </c>
      <c r="DU70">
        <v>0</v>
      </c>
      <c r="DV70">
        <v>1872.21</v>
      </c>
      <c r="DW70">
        <v>-75.762900000000002</v>
      </c>
      <c r="DX70">
        <v>846.34900000000005</v>
      </c>
      <c r="DY70">
        <v>918.23599999999999</v>
      </c>
      <c r="DZ70">
        <v>6.2448300000000003</v>
      </c>
      <c r="EA70">
        <v>900.23900000000003</v>
      </c>
      <c r="EB70">
        <v>19.5989</v>
      </c>
      <c r="EC70">
        <v>2.5609799999999998</v>
      </c>
      <c r="ED70">
        <v>1.94215</v>
      </c>
      <c r="EE70">
        <v>21.4194</v>
      </c>
      <c r="EF70">
        <v>16.980499999999999</v>
      </c>
      <c r="EG70">
        <v>1800.04</v>
      </c>
      <c r="EH70">
        <v>0.97800399999999998</v>
      </c>
      <c r="EI70">
        <v>2.1996100000000001E-2</v>
      </c>
      <c r="EJ70">
        <v>0</v>
      </c>
      <c r="EK70">
        <v>765.07500000000005</v>
      </c>
      <c r="EL70">
        <v>9.9989999999999996E-2</v>
      </c>
      <c r="EM70">
        <v>15050.3</v>
      </c>
      <c r="EN70">
        <v>16705.599999999999</v>
      </c>
      <c r="EO70">
        <v>48.625</v>
      </c>
      <c r="EP70">
        <v>50.875</v>
      </c>
      <c r="EQ70">
        <v>49.75</v>
      </c>
      <c r="ER70">
        <v>49.186999999999998</v>
      </c>
      <c r="ES70">
        <v>49.686999999999998</v>
      </c>
      <c r="ET70">
        <v>1760.35</v>
      </c>
      <c r="EU70">
        <v>39.590000000000003</v>
      </c>
      <c r="EV70">
        <v>0</v>
      </c>
      <c r="EW70">
        <v>97.199999809265137</v>
      </c>
      <c r="EX70">
        <v>0</v>
      </c>
      <c r="EY70">
        <v>765.34250000000009</v>
      </c>
      <c r="EZ70">
        <v>-9.7892307512432453</v>
      </c>
      <c r="FA70">
        <v>-45.483760785674619</v>
      </c>
      <c r="FB70">
        <v>15054.323076923079</v>
      </c>
      <c r="FC70">
        <v>15</v>
      </c>
      <c r="FD70">
        <v>1691174327.5999999</v>
      </c>
      <c r="FE70" t="s">
        <v>697</v>
      </c>
      <c r="FF70">
        <v>1691174327.5999999</v>
      </c>
      <c r="FG70">
        <v>1691174327.0999999</v>
      </c>
      <c r="FH70">
        <v>76</v>
      </c>
      <c r="FI70">
        <v>0.10100000000000001</v>
      </c>
      <c r="FJ70">
        <v>-5.0000000000000001E-3</v>
      </c>
      <c r="FK70">
        <v>-0.35399999999999998</v>
      </c>
      <c r="FL70">
        <v>8.4000000000000005E-2</v>
      </c>
      <c r="FM70">
        <v>900</v>
      </c>
      <c r="FN70">
        <v>19</v>
      </c>
      <c r="FO70">
        <v>0.09</v>
      </c>
      <c r="FP70">
        <v>0.03</v>
      </c>
      <c r="FQ70">
        <v>58.632640394322131</v>
      </c>
      <c r="FR70">
        <v>-2.77793354677912E-2</v>
      </c>
      <c r="FS70">
        <v>0.1363433009845757</v>
      </c>
      <c r="FT70">
        <v>1</v>
      </c>
      <c r="FU70">
        <v>0.3217139339014411</v>
      </c>
      <c r="FV70">
        <v>-2.641467354878007E-2</v>
      </c>
      <c r="FW70">
        <v>2.1098850563501569E-3</v>
      </c>
      <c r="FX70">
        <v>1</v>
      </c>
      <c r="FY70">
        <v>2</v>
      </c>
      <c r="FZ70">
        <v>2</v>
      </c>
      <c r="GA70" t="s">
        <v>416</v>
      </c>
      <c r="GB70">
        <v>2.96706</v>
      </c>
      <c r="GC70">
        <v>2.8124400000000001</v>
      </c>
      <c r="GD70">
        <v>0.160968</v>
      </c>
      <c r="GE70">
        <v>0.16872100000000001</v>
      </c>
      <c r="GF70">
        <v>0.124167</v>
      </c>
      <c r="GG70">
        <v>0.10166799999999999</v>
      </c>
      <c r="GH70">
        <v>24651.8</v>
      </c>
      <c r="GI70">
        <v>22497.7</v>
      </c>
      <c r="GJ70">
        <v>26427.200000000001</v>
      </c>
      <c r="GK70">
        <v>25558.7</v>
      </c>
      <c r="GL70">
        <v>31513.200000000001</v>
      </c>
      <c r="GM70">
        <v>32428.9</v>
      </c>
      <c r="GN70">
        <v>37400.199999999997</v>
      </c>
      <c r="GO70">
        <v>37901.800000000003</v>
      </c>
      <c r="GP70">
        <v>1.9101999999999999</v>
      </c>
      <c r="GQ70">
        <v>1.8464</v>
      </c>
      <c r="GR70">
        <v>-3.74168E-2</v>
      </c>
      <c r="GS70">
        <v>0</v>
      </c>
      <c r="GT70">
        <v>30.659300000000002</v>
      </c>
      <c r="GU70">
        <v>999.9</v>
      </c>
      <c r="GV70">
        <v>26.7</v>
      </c>
      <c r="GW70">
        <v>46.5</v>
      </c>
      <c r="GX70">
        <v>28.047899999999998</v>
      </c>
      <c r="GY70">
        <v>61.974699999999999</v>
      </c>
      <c r="GZ70">
        <v>12.676299999999999</v>
      </c>
      <c r="HA70">
        <v>1</v>
      </c>
      <c r="HB70">
        <v>0.69967500000000005</v>
      </c>
      <c r="HC70">
        <v>5.49099</v>
      </c>
      <c r="HD70">
        <v>20.2135</v>
      </c>
      <c r="HE70">
        <v>5.2065099999999997</v>
      </c>
      <c r="HF70">
        <v>11.9381</v>
      </c>
      <c r="HG70">
        <v>4.9867999999999997</v>
      </c>
      <c r="HH70">
        <v>3.2909000000000002</v>
      </c>
      <c r="HI70">
        <v>9999</v>
      </c>
      <c r="HJ70">
        <v>9999</v>
      </c>
      <c r="HK70">
        <v>9999</v>
      </c>
      <c r="HL70">
        <v>999.9</v>
      </c>
      <c r="HM70">
        <v>1.87076</v>
      </c>
      <c r="HN70">
        <v>1.8768199999999999</v>
      </c>
      <c r="HO70">
        <v>1.8745400000000001</v>
      </c>
      <c r="HP70">
        <v>1.87286</v>
      </c>
      <c r="HQ70">
        <v>1.8733200000000001</v>
      </c>
      <c r="HR70">
        <v>1.87073</v>
      </c>
      <c r="HS70">
        <v>1.87653</v>
      </c>
      <c r="HT70">
        <v>1.87575</v>
      </c>
      <c r="HU70">
        <v>5</v>
      </c>
      <c r="HV70">
        <v>0</v>
      </c>
      <c r="HW70">
        <v>0</v>
      </c>
      <c r="HX70">
        <v>0</v>
      </c>
      <c r="HY70" t="s">
        <v>417</v>
      </c>
      <c r="HZ70" t="s">
        <v>418</v>
      </c>
      <c r="IA70" t="s">
        <v>419</v>
      </c>
      <c r="IB70" t="s">
        <v>420</v>
      </c>
      <c r="IC70" t="s">
        <v>420</v>
      </c>
      <c r="ID70" t="s">
        <v>419</v>
      </c>
      <c r="IE70">
        <v>0</v>
      </c>
      <c r="IF70">
        <v>100</v>
      </c>
      <c r="IG70">
        <v>100</v>
      </c>
      <c r="IH70">
        <v>-0.34100000000000003</v>
      </c>
      <c r="II70">
        <v>0.31900000000000001</v>
      </c>
      <c r="IJ70">
        <v>0.25797624650020962</v>
      </c>
      <c r="IK70">
        <v>-1.615681629159814E-3</v>
      </c>
      <c r="IL70">
        <v>1.5005605225991581E-6</v>
      </c>
      <c r="IM70">
        <v>-5.1143626075267638E-10</v>
      </c>
      <c r="IN70">
        <v>-0.19250591924682589</v>
      </c>
      <c r="IO70">
        <v>-1.7182111142928099E-3</v>
      </c>
      <c r="IP70">
        <v>9.9985895407488957E-4</v>
      </c>
      <c r="IQ70">
        <v>-5.7750407166627208E-6</v>
      </c>
      <c r="IR70">
        <v>3</v>
      </c>
      <c r="IS70">
        <v>2181</v>
      </c>
      <c r="IT70">
        <v>2</v>
      </c>
      <c r="IU70">
        <v>42</v>
      </c>
      <c r="IV70">
        <v>0.6</v>
      </c>
      <c r="IW70">
        <v>0.6</v>
      </c>
      <c r="IX70">
        <v>1.85181</v>
      </c>
      <c r="IY70">
        <v>2.5378400000000001</v>
      </c>
      <c r="IZ70">
        <v>1.5991200000000001</v>
      </c>
      <c r="JA70">
        <v>2.2680699999999998</v>
      </c>
      <c r="JB70">
        <v>1.5502899999999999</v>
      </c>
      <c r="JC70">
        <v>2.4169900000000002</v>
      </c>
      <c r="JD70">
        <v>47.7226</v>
      </c>
      <c r="JE70">
        <v>15.8482</v>
      </c>
      <c r="JF70">
        <v>18</v>
      </c>
      <c r="JG70">
        <v>500.99</v>
      </c>
      <c r="JH70">
        <v>429.55</v>
      </c>
      <c r="JI70">
        <v>23.738600000000002</v>
      </c>
      <c r="JJ70">
        <v>35.776800000000001</v>
      </c>
      <c r="JK70">
        <v>30.001100000000001</v>
      </c>
      <c r="JL70">
        <v>35.7742</v>
      </c>
      <c r="JM70">
        <v>35.749200000000002</v>
      </c>
      <c r="JN70">
        <v>37.085799999999999</v>
      </c>
      <c r="JO70">
        <v>35.148299999999999</v>
      </c>
      <c r="JP70">
        <v>0</v>
      </c>
      <c r="JQ70">
        <v>23.707000000000001</v>
      </c>
      <c r="JR70">
        <v>900</v>
      </c>
      <c r="JS70">
        <v>19.6632</v>
      </c>
      <c r="JT70">
        <v>98.651300000000006</v>
      </c>
      <c r="JU70">
        <v>98.365799999999993</v>
      </c>
    </row>
    <row r="71" spans="1:281" x14ac:dyDescent="0.25">
      <c r="A71">
        <v>55</v>
      </c>
      <c r="B71">
        <v>1691174463.0999999</v>
      </c>
      <c r="C71">
        <v>14732.5</v>
      </c>
      <c r="D71" t="s">
        <v>698</v>
      </c>
      <c r="E71" t="s">
        <v>699</v>
      </c>
      <c r="F71" t="s">
        <v>411</v>
      </c>
      <c r="G71" t="s">
        <v>639</v>
      </c>
      <c r="H71" t="s">
        <v>496</v>
      </c>
      <c r="I71">
        <v>2</v>
      </c>
      <c r="J71">
        <v>1691174463.0999999</v>
      </c>
      <c r="K71">
        <f t="shared" si="92"/>
        <v>4.0974396305976483E-3</v>
      </c>
      <c r="L71">
        <f t="shared" si="93"/>
        <v>4.0974396305976484</v>
      </c>
      <c r="M71">
        <f t="shared" si="94"/>
        <v>57.560486686245255</v>
      </c>
      <c r="N71">
        <f t="shared" si="95"/>
        <v>1125.508</v>
      </c>
      <c r="O71">
        <f t="shared" si="96"/>
        <v>697.12692933766107</v>
      </c>
      <c r="P71">
        <f t="shared" si="97"/>
        <v>69.147476780273877</v>
      </c>
      <c r="Q71">
        <f t="shared" si="98"/>
        <v>111.63826129906481</v>
      </c>
      <c r="R71">
        <f t="shared" si="99"/>
        <v>0.23780188332462526</v>
      </c>
      <c r="S71">
        <f t="shared" si="100"/>
        <v>2.911774768385313</v>
      </c>
      <c r="T71">
        <f t="shared" si="101"/>
        <v>0.2275152856071547</v>
      </c>
      <c r="U71">
        <f t="shared" si="102"/>
        <v>0.14308418177130205</v>
      </c>
      <c r="V71">
        <f t="shared" si="103"/>
        <v>289.59141301273388</v>
      </c>
      <c r="W71">
        <f t="shared" si="104"/>
        <v>30.599391421167176</v>
      </c>
      <c r="X71">
        <f t="shared" si="105"/>
        <v>29.9313</v>
      </c>
      <c r="Y71">
        <f t="shared" si="106"/>
        <v>4.2436666126317224</v>
      </c>
      <c r="Z71">
        <f t="shared" si="107"/>
        <v>59.259916780646449</v>
      </c>
      <c r="AA71">
        <f t="shared" si="108"/>
        <v>2.5182060136707394</v>
      </c>
      <c r="AB71">
        <f t="shared" si="109"/>
        <v>4.249425497831874</v>
      </c>
      <c r="AC71">
        <f t="shared" si="110"/>
        <v>1.725460598960983</v>
      </c>
      <c r="AD71">
        <f t="shared" si="111"/>
        <v>-180.69708770935628</v>
      </c>
      <c r="AE71">
        <f t="shared" si="112"/>
        <v>3.7047185909909919</v>
      </c>
      <c r="AF71">
        <f t="shared" si="113"/>
        <v>0.28274299267066311</v>
      </c>
      <c r="AG71">
        <f t="shared" si="114"/>
        <v>112.88178688703924</v>
      </c>
      <c r="AH71">
        <v>1</v>
      </c>
      <c r="AI71">
        <v>0</v>
      </c>
      <c r="AJ71">
        <f t="shared" si="115"/>
        <v>1</v>
      </c>
      <c r="AK71">
        <f t="shared" si="116"/>
        <v>0</v>
      </c>
      <c r="AL71">
        <f t="shared" si="117"/>
        <v>51834.802080806985</v>
      </c>
      <c r="AM71" t="s">
        <v>414</v>
      </c>
      <c r="AN71">
        <v>7361.72</v>
      </c>
      <c r="AO71">
        <v>541.39076923076925</v>
      </c>
      <c r="AP71">
        <v>2141.9899999999998</v>
      </c>
      <c r="AQ71">
        <f t="shared" si="118"/>
        <v>0.74724869433061347</v>
      </c>
      <c r="AR71">
        <v>-0.96077199609010144</v>
      </c>
      <c r="AS71" t="s">
        <v>700</v>
      </c>
      <c r="AT71">
        <v>7354.17</v>
      </c>
      <c r="AU71">
        <v>760.614423076923</v>
      </c>
      <c r="AV71">
        <v>1255.185953272058</v>
      </c>
      <c r="AW71">
        <f t="shared" si="119"/>
        <v>0.39402251826183243</v>
      </c>
      <c r="AX71">
        <v>0.5</v>
      </c>
      <c r="AY71">
        <f t="shared" si="120"/>
        <v>1513.2885000065976</v>
      </c>
      <c r="AZ71">
        <f t="shared" si="121"/>
        <v>57.560486686245255</v>
      </c>
      <c r="BA71">
        <f t="shared" si="122"/>
        <v>298.13487281463529</v>
      </c>
      <c r="BB71">
        <f t="shared" si="123"/>
        <v>3.8671580919355575E-2</v>
      </c>
      <c r="BC71">
        <f t="shared" si="124"/>
        <v>0.70651208644917773</v>
      </c>
      <c r="BD71">
        <f t="shared" si="125"/>
        <v>459.36169964053033</v>
      </c>
      <c r="BE71" t="s">
        <v>701</v>
      </c>
      <c r="BF71">
        <v>588.19000000000005</v>
      </c>
      <c r="BG71">
        <f t="shared" si="126"/>
        <v>588.19000000000005</v>
      </c>
      <c r="BH71">
        <f t="shared" si="127"/>
        <v>0.53139214276045077</v>
      </c>
      <c r="BI71">
        <f t="shared" si="128"/>
        <v>0.74149105068618981</v>
      </c>
      <c r="BJ71">
        <f t="shared" si="129"/>
        <v>0.57073242806535074</v>
      </c>
      <c r="BK71">
        <f t="shared" si="130"/>
        <v>0.69287596953936159</v>
      </c>
      <c r="BL71">
        <f t="shared" si="131"/>
        <v>0.55404502868700833</v>
      </c>
      <c r="BM71">
        <f t="shared" si="132"/>
        <v>0.57340172348927732</v>
      </c>
      <c r="BN71">
        <f t="shared" si="133"/>
        <v>0.42659827651072268</v>
      </c>
      <c r="BO71">
        <v>1539</v>
      </c>
      <c r="BP71">
        <v>290.00000000000011</v>
      </c>
      <c r="BQ71">
        <v>1088.79</v>
      </c>
      <c r="BR71">
        <v>285</v>
      </c>
      <c r="BS71">
        <v>7354.17</v>
      </c>
      <c r="BT71">
        <v>1090.5</v>
      </c>
      <c r="BU71">
        <v>-1.71</v>
      </c>
      <c r="BV71">
        <v>300.00000000000011</v>
      </c>
      <c r="BW71">
        <v>37.9</v>
      </c>
      <c r="BX71">
        <v>1255.185953272058</v>
      </c>
      <c r="BY71">
        <v>1.8906229469891169</v>
      </c>
      <c r="BZ71">
        <v>-121.11144531219639</v>
      </c>
      <c r="CA71">
        <v>1.165581996183491</v>
      </c>
      <c r="CB71">
        <v>0.99741328567891907</v>
      </c>
      <c r="CC71">
        <v>-7.2465426028920999E-3</v>
      </c>
      <c r="CD71">
        <v>289.99999999999989</v>
      </c>
      <c r="CE71">
        <v>1077.74</v>
      </c>
      <c r="CF71">
        <v>685</v>
      </c>
      <c r="CG71">
        <v>7348.33</v>
      </c>
      <c r="CH71">
        <v>1090.3699999999999</v>
      </c>
      <c r="CI71">
        <v>-12.63</v>
      </c>
      <c r="CW71">
        <f t="shared" si="134"/>
        <v>1800.12</v>
      </c>
      <c r="CX71">
        <f t="shared" si="135"/>
        <v>1513.2885000065976</v>
      </c>
      <c r="CY71">
        <f t="shared" si="136"/>
        <v>0.84065978935104202</v>
      </c>
      <c r="CZ71">
        <f t="shared" si="137"/>
        <v>0.16087339344751123</v>
      </c>
      <c r="DA71">
        <v>6</v>
      </c>
      <c r="DB71">
        <v>0.5</v>
      </c>
      <c r="DC71" t="s">
        <v>415</v>
      </c>
      <c r="DD71">
        <v>2</v>
      </c>
      <c r="DE71">
        <v>1691174463.0999999</v>
      </c>
      <c r="DF71">
        <v>1125.508</v>
      </c>
      <c r="DG71">
        <v>1200.1099999999999</v>
      </c>
      <c r="DH71">
        <v>25.387899999999998</v>
      </c>
      <c r="DI71">
        <v>20.5961</v>
      </c>
      <c r="DJ71">
        <v>1126.22</v>
      </c>
      <c r="DK71">
        <v>25.2529</v>
      </c>
      <c r="DL71">
        <v>500.03100000000001</v>
      </c>
      <c r="DM71">
        <v>99.089299999999994</v>
      </c>
      <c r="DN71">
        <v>9.9920599999999998E-2</v>
      </c>
      <c r="DO71">
        <v>29.954899999999999</v>
      </c>
      <c r="DP71">
        <v>29.9313</v>
      </c>
      <c r="DQ71">
        <v>999.9</v>
      </c>
      <c r="DR71">
        <v>0</v>
      </c>
      <c r="DS71">
        <v>0</v>
      </c>
      <c r="DT71">
        <v>9990</v>
      </c>
      <c r="DU71">
        <v>0</v>
      </c>
      <c r="DV71">
        <v>681.10500000000002</v>
      </c>
      <c r="DW71">
        <v>-74.281999999999996</v>
      </c>
      <c r="DX71">
        <v>1155.3599999999999</v>
      </c>
      <c r="DY71">
        <v>1225.3499999999999</v>
      </c>
      <c r="DZ71">
        <v>4.9655399999999998</v>
      </c>
      <c r="EA71">
        <v>1200.1099999999999</v>
      </c>
      <c r="EB71">
        <v>20.5961</v>
      </c>
      <c r="EC71">
        <v>2.5328900000000001</v>
      </c>
      <c r="ED71">
        <v>2.0408499999999998</v>
      </c>
      <c r="EE71">
        <v>21.2394</v>
      </c>
      <c r="EF71">
        <v>17.764900000000001</v>
      </c>
      <c r="EG71">
        <v>1800.12</v>
      </c>
      <c r="EH71">
        <v>0.97800699999999996</v>
      </c>
      <c r="EI71">
        <v>2.1992500000000002E-2</v>
      </c>
      <c r="EJ71">
        <v>0</v>
      </c>
      <c r="EK71">
        <v>759.75</v>
      </c>
      <c r="EL71">
        <v>9.9989999999999996E-2</v>
      </c>
      <c r="EM71">
        <v>14259.6</v>
      </c>
      <c r="EN71">
        <v>16706.400000000001</v>
      </c>
      <c r="EO71">
        <v>48.625</v>
      </c>
      <c r="EP71">
        <v>50.811999999999998</v>
      </c>
      <c r="EQ71">
        <v>49.686999999999998</v>
      </c>
      <c r="ER71">
        <v>49.25</v>
      </c>
      <c r="ES71">
        <v>49.686999999999998</v>
      </c>
      <c r="ET71">
        <v>1760.43</v>
      </c>
      <c r="EU71">
        <v>39.590000000000003</v>
      </c>
      <c r="EV71">
        <v>0</v>
      </c>
      <c r="EW71">
        <v>99.599999904632568</v>
      </c>
      <c r="EX71">
        <v>0</v>
      </c>
      <c r="EY71">
        <v>760.614423076923</v>
      </c>
      <c r="EZ71">
        <v>-7.1635896444615108</v>
      </c>
      <c r="FA71">
        <v>-91.863247825489125</v>
      </c>
      <c r="FB71">
        <v>14268.85384615385</v>
      </c>
      <c r="FC71">
        <v>15</v>
      </c>
      <c r="FD71">
        <v>1691174489.0999999</v>
      </c>
      <c r="FE71" t="s">
        <v>702</v>
      </c>
      <c r="FF71">
        <v>1691174489.0999999</v>
      </c>
      <c r="FG71">
        <v>1691174489.0999999</v>
      </c>
      <c r="FH71">
        <v>77</v>
      </c>
      <c r="FI71">
        <v>-0.308</v>
      </c>
      <c r="FJ71">
        <v>-8.9999999999999993E-3</v>
      </c>
      <c r="FK71">
        <v>-0.71199999999999997</v>
      </c>
      <c r="FL71">
        <v>0.13500000000000001</v>
      </c>
      <c r="FM71">
        <v>1200</v>
      </c>
      <c r="FN71">
        <v>21</v>
      </c>
      <c r="FO71">
        <v>0.13</v>
      </c>
      <c r="FP71">
        <v>0.05</v>
      </c>
      <c r="FQ71">
        <v>57.298042947508947</v>
      </c>
      <c r="FR71">
        <v>-0.57176342924074119</v>
      </c>
      <c r="FS71">
        <v>0.12704474247001099</v>
      </c>
      <c r="FT71">
        <v>1</v>
      </c>
      <c r="FU71">
        <v>0.25335855050719208</v>
      </c>
      <c r="FV71">
        <v>-2.8051015390618779E-2</v>
      </c>
      <c r="FW71">
        <v>2.1542538088037801E-3</v>
      </c>
      <c r="FX71">
        <v>1</v>
      </c>
      <c r="FY71">
        <v>2</v>
      </c>
      <c r="FZ71">
        <v>2</v>
      </c>
      <c r="GA71" t="s">
        <v>416</v>
      </c>
      <c r="GB71">
        <v>2.9662700000000002</v>
      </c>
      <c r="GC71">
        <v>2.8115299999999999</v>
      </c>
      <c r="GD71">
        <v>0.197296</v>
      </c>
      <c r="GE71">
        <v>0.203185</v>
      </c>
      <c r="GF71">
        <v>0.123224</v>
      </c>
      <c r="GG71">
        <v>0.105324</v>
      </c>
      <c r="GH71">
        <v>23581</v>
      </c>
      <c r="GI71">
        <v>21560.1</v>
      </c>
      <c r="GJ71">
        <v>26427.200000000001</v>
      </c>
      <c r="GK71">
        <v>25556.9</v>
      </c>
      <c r="GL71">
        <v>31549.5</v>
      </c>
      <c r="GM71">
        <v>32297.1</v>
      </c>
      <c r="GN71">
        <v>37400.1</v>
      </c>
      <c r="GO71">
        <v>37898.9</v>
      </c>
      <c r="GP71">
        <v>1.9088000000000001</v>
      </c>
      <c r="GQ71">
        <v>1.8498000000000001</v>
      </c>
      <c r="GR71">
        <v>-3.3408399999999998E-2</v>
      </c>
      <c r="GS71">
        <v>0</v>
      </c>
      <c r="GT71">
        <v>30.474799999999998</v>
      </c>
      <c r="GU71">
        <v>999.9</v>
      </c>
      <c r="GV71">
        <v>26.7</v>
      </c>
      <c r="GW71">
        <v>46.4</v>
      </c>
      <c r="GX71">
        <v>27.906199999999998</v>
      </c>
      <c r="GY71">
        <v>61.974699999999999</v>
      </c>
      <c r="GZ71">
        <v>12.8005</v>
      </c>
      <c r="HA71">
        <v>1</v>
      </c>
      <c r="HB71">
        <v>0.69643299999999997</v>
      </c>
      <c r="HC71">
        <v>4.8885100000000001</v>
      </c>
      <c r="HD71">
        <v>20.232700000000001</v>
      </c>
      <c r="HE71">
        <v>5.2107000000000001</v>
      </c>
      <c r="HF71">
        <v>11.9381</v>
      </c>
      <c r="HG71">
        <v>4.9874000000000001</v>
      </c>
      <c r="HH71">
        <v>3.2907999999999999</v>
      </c>
      <c r="HI71">
        <v>9999</v>
      </c>
      <c r="HJ71">
        <v>9999</v>
      </c>
      <c r="HK71">
        <v>9999</v>
      </c>
      <c r="HL71">
        <v>999.9</v>
      </c>
      <c r="HM71">
        <v>1.8708400000000001</v>
      </c>
      <c r="HN71">
        <v>1.87683</v>
      </c>
      <c r="HO71">
        <v>1.8746</v>
      </c>
      <c r="HP71">
        <v>1.87286</v>
      </c>
      <c r="HQ71">
        <v>1.8733200000000001</v>
      </c>
      <c r="HR71">
        <v>1.87073</v>
      </c>
      <c r="HS71">
        <v>1.87653</v>
      </c>
      <c r="HT71">
        <v>1.87575</v>
      </c>
      <c r="HU71">
        <v>5</v>
      </c>
      <c r="HV71">
        <v>0</v>
      </c>
      <c r="HW71">
        <v>0</v>
      </c>
      <c r="HX71">
        <v>0</v>
      </c>
      <c r="HY71" t="s">
        <v>417</v>
      </c>
      <c r="HZ71" t="s">
        <v>418</v>
      </c>
      <c r="IA71" t="s">
        <v>419</v>
      </c>
      <c r="IB71" t="s">
        <v>420</v>
      </c>
      <c r="IC71" t="s">
        <v>420</v>
      </c>
      <c r="ID71" t="s">
        <v>419</v>
      </c>
      <c r="IE71">
        <v>0</v>
      </c>
      <c r="IF71">
        <v>100</v>
      </c>
      <c r="IG71">
        <v>100</v>
      </c>
      <c r="IH71">
        <v>-0.71199999999999997</v>
      </c>
      <c r="II71">
        <v>0.13500000000000001</v>
      </c>
      <c r="IJ71">
        <v>0.25797624650020962</v>
      </c>
      <c r="IK71">
        <v>-1.615681629159814E-3</v>
      </c>
      <c r="IL71">
        <v>1.5005605225991581E-6</v>
      </c>
      <c r="IM71">
        <v>-5.1143626075267638E-10</v>
      </c>
      <c r="IN71">
        <v>-0.19250591924682589</v>
      </c>
      <c r="IO71">
        <v>-1.7182111142928099E-3</v>
      </c>
      <c r="IP71">
        <v>9.9985895407488957E-4</v>
      </c>
      <c r="IQ71">
        <v>-5.7750407166627208E-6</v>
      </c>
      <c r="IR71">
        <v>3</v>
      </c>
      <c r="IS71">
        <v>2181</v>
      </c>
      <c r="IT71">
        <v>2</v>
      </c>
      <c r="IU71">
        <v>42</v>
      </c>
      <c r="IV71">
        <v>2.2999999999999998</v>
      </c>
      <c r="IW71">
        <v>2.2999999999999998</v>
      </c>
      <c r="IX71">
        <v>2.3535200000000001</v>
      </c>
      <c r="IY71">
        <v>2.5366200000000001</v>
      </c>
      <c r="IZ71">
        <v>1.5991200000000001</v>
      </c>
      <c r="JA71">
        <v>2.2680699999999998</v>
      </c>
      <c r="JB71">
        <v>1.5502899999999999</v>
      </c>
      <c r="JC71">
        <v>2.3596200000000001</v>
      </c>
      <c r="JD71">
        <v>47.662199999999999</v>
      </c>
      <c r="JE71">
        <v>15.8482</v>
      </c>
      <c r="JF71">
        <v>18</v>
      </c>
      <c r="JG71">
        <v>500.048</v>
      </c>
      <c r="JH71">
        <v>431.60500000000002</v>
      </c>
      <c r="JI71">
        <v>23.776599999999998</v>
      </c>
      <c r="JJ71">
        <v>35.773499999999999</v>
      </c>
      <c r="JK71">
        <v>30</v>
      </c>
      <c r="JL71">
        <v>35.770899999999997</v>
      </c>
      <c r="JM71">
        <v>35.749200000000002</v>
      </c>
      <c r="JN71">
        <v>47.116900000000001</v>
      </c>
      <c r="JO71">
        <v>30.535499999999999</v>
      </c>
      <c r="JP71">
        <v>0</v>
      </c>
      <c r="JQ71">
        <v>23.811900000000001</v>
      </c>
      <c r="JR71">
        <v>1200</v>
      </c>
      <c r="JS71">
        <v>20.732800000000001</v>
      </c>
      <c r="JT71">
        <v>98.651200000000003</v>
      </c>
      <c r="JU71">
        <v>98.358500000000006</v>
      </c>
    </row>
    <row r="72" spans="1:281" x14ac:dyDescent="0.25">
      <c r="A72">
        <v>56</v>
      </c>
      <c r="B72">
        <v>1691174585.5</v>
      </c>
      <c r="C72">
        <v>14854.900000095369</v>
      </c>
      <c r="D72" t="s">
        <v>703</v>
      </c>
      <c r="E72" t="s">
        <v>704</v>
      </c>
      <c r="F72" t="s">
        <v>411</v>
      </c>
      <c r="G72" t="s">
        <v>639</v>
      </c>
      <c r="H72" t="s">
        <v>496</v>
      </c>
      <c r="I72">
        <v>2</v>
      </c>
      <c r="J72">
        <v>1691174585.5</v>
      </c>
      <c r="K72">
        <f t="shared" si="92"/>
        <v>2.8686631875395833E-3</v>
      </c>
      <c r="L72">
        <f t="shared" si="93"/>
        <v>2.8686631875395832</v>
      </c>
      <c r="M72">
        <f t="shared" si="94"/>
        <v>56.308980549127533</v>
      </c>
      <c r="N72">
        <f t="shared" si="95"/>
        <v>1427.502</v>
      </c>
      <c r="O72">
        <f t="shared" si="96"/>
        <v>830.06405393563455</v>
      </c>
      <c r="P72">
        <f t="shared" si="97"/>
        <v>82.328403263860451</v>
      </c>
      <c r="Q72">
        <f t="shared" si="98"/>
        <v>141.58420637388599</v>
      </c>
      <c r="R72">
        <f t="shared" si="99"/>
        <v>0.16373795421212098</v>
      </c>
      <c r="S72">
        <f t="shared" si="100"/>
        <v>2.9064042804455421</v>
      </c>
      <c r="T72">
        <f t="shared" si="101"/>
        <v>0.15878053172646994</v>
      </c>
      <c r="U72">
        <f t="shared" si="102"/>
        <v>9.9670734437906444E-2</v>
      </c>
      <c r="V72">
        <f t="shared" si="103"/>
        <v>289.57704901273456</v>
      </c>
      <c r="W72">
        <f t="shared" si="104"/>
        <v>30.908989744372704</v>
      </c>
      <c r="X72">
        <f t="shared" si="105"/>
        <v>29.9754</v>
      </c>
      <c r="Y72">
        <f t="shared" si="106"/>
        <v>4.2544334458956543</v>
      </c>
      <c r="Z72">
        <f t="shared" si="107"/>
        <v>59.433411981984264</v>
      </c>
      <c r="AA72">
        <f t="shared" si="108"/>
        <v>2.5237361825235998</v>
      </c>
      <c r="AB72">
        <f t="shared" si="109"/>
        <v>4.2463255908790947</v>
      </c>
      <c r="AC72">
        <f t="shared" si="110"/>
        <v>1.7306972633720545</v>
      </c>
      <c r="AD72">
        <f t="shared" si="111"/>
        <v>-126.50804657049562</v>
      </c>
      <c r="AE72">
        <f t="shared" si="112"/>
        <v>-5.2021102432371418</v>
      </c>
      <c r="AF72">
        <f t="shared" si="113"/>
        <v>-0.39781893636050492</v>
      </c>
      <c r="AG72">
        <f t="shared" si="114"/>
        <v>157.46907326264127</v>
      </c>
      <c r="AH72">
        <v>2</v>
      </c>
      <c r="AI72">
        <v>0</v>
      </c>
      <c r="AJ72">
        <f t="shared" si="115"/>
        <v>1</v>
      </c>
      <c r="AK72">
        <f t="shared" si="116"/>
        <v>0</v>
      </c>
      <c r="AL72">
        <f t="shared" si="117"/>
        <v>51684.177529993241</v>
      </c>
      <c r="AM72" t="s">
        <v>414</v>
      </c>
      <c r="AN72">
        <v>7361.72</v>
      </c>
      <c r="AO72">
        <v>541.39076923076925</v>
      </c>
      <c r="AP72">
        <v>2141.9899999999998</v>
      </c>
      <c r="AQ72">
        <f t="shared" si="118"/>
        <v>0.74724869433061347</v>
      </c>
      <c r="AR72">
        <v>-0.96077199609010144</v>
      </c>
      <c r="AS72" t="s">
        <v>705</v>
      </c>
      <c r="AT72">
        <v>7354.64</v>
      </c>
      <c r="AU72">
        <v>754.59640000000002</v>
      </c>
      <c r="AV72">
        <v>1246.4370531888401</v>
      </c>
      <c r="AW72">
        <f t="shared" si="119"/>
        <v>0.39459726580699162</v>
      </c>
      <c r="AX72">
        <v>0.5</v>
      </c>
      <c r="AY72">
        <f t="shared" si="120"/>
        <v>1513.2129000065981</v>
      </c>
      <c r="AZ72">
        <f t="shared" si="121"/>
        <v>56.308980549127533</v>
      </c>
      <c r="BA72">
        <f t="shared" si="122"/>
        <v>298.55483646323614</v>
      </c>
      <c r="BB72">
        <f t="shared" si="123"/>
        <v>3.7846460696289282E-2</v>
      </c>
      <c r="BC72">
        <f t="shared" si="124"/>
        <v>0.7184903116607525</v>
      </c>
      <c r="BD72">
        <f t="shared" si="125"/>
        <v>458.18471602973648</v>
      </c>
      <c r="BE72" t="s">
        <v>706</v>
      </c>
      <c r="BF72">
        <v>592.49</v>
      </c>
      <c r="BG72">
        <f t="shared" si="126"/>
        <v>592.49</v>
      </c>
      <c r="BH72">
        <f t="shared" si="127"/>
        <v>0.52465309139824212</v>
      </c>
      <c r="BI72">
        <f t="shared" si="128"/>
        <v>0.75211081813195568</v>
      </c>
      <c r="BJ72">
        <f t="shared" si="129"/>
        <v>0.57796253424405286</v>
      </c>
      <c r="BK72">
        <f t="shared" si="130"/>
        <v>0.69760051840524251</v>
      </c>
      <c r="BL72">
        <f t="shared" si="131"/>
        <v>0.55951104411112751</v>
      </c>
      <c r="BM72">
        <f t="shared" si="132"/>
        <v>0.59053838400899128</v>
      </c>
      <c r="BN72">
        <f t="shared" si="133"/>
        <v>0.40946161599100872</v>
      </c>
      <c r="BO72">
        <v>1541</v>
      </c>
      <c r="BP72">
        <v>290.00000000000011</v>
      </c>
      <c r="BQ72">
        <v>1080.21</v>
      </c>
      <c r="BR72">
        <v>295</v>
      </c>
      <c r="BS72">
        <v>7354.64</v>
      </c>
      <c r="BT72">
        <v>1082.67</v>
      </c>
      <c r="BU72">
        <v>-2.46</v>
      </c>
      <c r="BV72">
        <v>300.00000000000011</v>
      </c>
      <c r="BW72">
        <v>37.9</v>
      </c>
      <c r="BX72">
        <v>1246.4370531888401</v>
      </c>
      <c r="BY72">
        <v>1.956956454715941</v>
      </c>
      <c r="BZ72">
        <v>-120.4443876147227</v>
      </c>
      <c r="CA72">
        <v>1.206562757595631</v>
      </c>
      <c r="CB72">
        <v>0.99719801289615173</v>
      </c>
      <c r="CC72">
        <v>-7.2467817575083424E-3</v>
      </c>
      <c r="CD72">
        <v>289.99999999999989</v>
      </c>
      <c r="CE72">
        <v>1070.71</v>
      </c>
      <c r="CF72">
        <v>645</v>
      </c>
      <c r="CG72">
        <v>7350.29</v>
      </c>
      <c r="CH72">
        <v>1082.57</v>
      </c>
      <c r="CI72">
        <v>-11.86</v>
      </c>
      <c r="CW72">
        <f t="shared" si="134"/>
        <v>1800.03</v>
      </c>
      <c r="CX72">
        <f t="shared" si="135"/>
        <v>1513.2129000065981</v>
      </c>
      <c r="CY72">
        <f t="shared" si="136"/>
        <v>0.84065982233995995</v>
      </c>
      <c r="CZ72">
        <f t="shared" si="137"/>
        <v>0.16087345711612283</v>
      </c>
      <c r="DA72">
        <v>6</v>
      </c>
      <c r="DB72">
        <v>0.5</v>
      </c>
      <c r="DC72" t="s">
        <v>415</v>
      </c>
      <c r="DD72">
        <v>2</v>
      </c>
      <c r="DE72">
        <v>1691174585.5</v>
      </c>
      <c r="DF72">
        <v>1427.502</v>
      </c>
      <c r="DG72">
        <v>1499.95</v>
      </c>
      <c r="DH72">
        <v>25.4452</v>
      </c>
      <c r="DI72">
        <v>22.092099999999999</v>
      </c>
      <c r="DJ72">
        <v>1428.22</v>
      </c>
      <c r="DK72">
        <v>25.270199999999999</v>
      </c>
      <c r="DL72">
        <v>500.25400000000002</v>
      </c>
      <c r="DM72">
        <v>99.082800000000006</v>
      </c>
      <c r="DN72">
        <v>0.100393</v>
      </c>
      <c r="DO72">
        <v>29.9422</v>
      </c>
      <c r="DP72">
        <v>29.9754</v>
      </c>
      <c r="DQ72">
        <v>999.9</v>
      </c>
      <c r="DR72">
        <v>0</v>
      </c>
      <c r="DS72">
        <v>0</v>
      </c>
      <c r="DT72">
        <v>9960</v>
      </c>
      <c r="DU72">
        <v>0</v>
      </c>
      <c r="DV72">
        <v>1468.69</v>
      </c>
      <c r="DW72">
        <v>-72.516499999999994</v>
      </c>
      <c r="DX72">
        <v>1464.89</v>
      </c>
      <c r="DY72">
        <v>1533.83</v>
      </c>
      <c r="DZ72">
        <v>3.4784299999999999</v>
      </c>
      <c r="EA72">
        <v>1499.95</v>
      </c>
      <c r="EB72">
        <v>22.092099999999999</v>
      </c>
      <c r="EC72">
        <v>2.5335999999999999</v>
      </c>
      <c r="ED72">
        <v>2.1889400000000001</v>
      </c>
      <c r="EE72">
        <v>21.2439</v>
      </c>
      <c r="EF72">
        <v>18.881599999999999</v>
      </c>
      <c r="EG72">
        <v>1800.03</v>
      </c>
      <c r="EH72">
        <v>0.97800399999999998</v>
      </c>
      <c r="EI72">
        <v>2.1996100000000001E-2</v>
      </c>
      <c r="EJ72">
        <v>0</v>
      </c>
      <c r="EK72">
        <v>753.82</v>
      </c>
      <c r="EL72">
        <v>9.9989999999999996E-2</v>
      </c>
      <c r="EM72">
        <v>14646.4</v>
      </c>
      <c r="EN72">
        <v>16705.5</v>
      </c>
      <c r="EO72">
        <v>48.436999999999998</v>
      </c>
      <c r="EP72">
        <v>50.375</v>
      </c>
      <c r="EQ72">
        <v>49.436999999999998</v>
      </c>
      <c r="ER72">
        <v>48.811999999999998</v>
      </c>
      <c r="ES72">
        <v>49.436999999999998</v>
      </c>
      <c r="ET72">
        <v>1760.34</v>
      </c>
      <c r="EU72">
        <v>39.590000000000003</v>
      </c>
      <c r="EV72">
        <v>0</v>
      </c>
      <c r="EW72">
        <v>120.5999999046326</v>
      </c>
      <c r="EX72">
        <v>0</v>
      </c>
      <c r="EY72">
        <v>754.59640000000002</v>
      </c>
      <c r="EZ72">
        <v>-9.0673076972094488</v>
      </c>
      <c r="FA72">
        <v>115.1461538609051</v>
      </c>
      <c r="FB72">
        <v>14606.147999999999</v>
      </c>
      <c r="FC72">
        <v>15</v>
      </c>
      <c r="FD72">
        <v>1691174620.5</v>
      </c>
      <c r="FE72" t="s">
        <v>707</v>
      </c>
      <c r="FF72">
        <v>1691174620.5</v>
      </c>
      <c r="FG72">
        <v>1691174611</v>
      </c>
      <c r="FH72">
        <v>78</v>
      </c>
      <c r="FI72">
        <v>0.104</v>
      </c>
      <c r="FJ72">
        <v>-4.0000000000000001E-3</v>
      </c>
      <c r="FK72">
        <v>-0.71799999999999997</v>
      </c>
      <c r="FL72">
        <v>0.17499999999999999</v>
      </c>
      <c r="FM72">
        <v>1500</v>
      </c>
      <c r="FN72">
        <v>22</v>
      </c>
      <c r="FO72">
        <v>0.16</v>
      </c>
      <c r="FP72">
        <v>0.09</v>
      </c>
      <c r="FQ72">
        <v>56.385056589031251</v>
      </c>
      <c r="FR72">
        <v>-0.49843311124811007</v>
      </c>
      <c r="FS72">
        <v>0.15265252897448131</v>
      </c>
      <c r="FT72">
        <v>1</v>
      </c>
      <c r="FU72">
        <v>0.1700341154577574</v>
      </c>
      <c r="FV72">
        <v>-2.0683269806591022E-3</v>
      </c>
      <c r="FW72">
        <v>8.4600015972532115E-4</v>
      </c>
      <c r="FX72">
        <v>1</v>
      </c>
      <c r="FY72">
        <v>2</v>
      </c>
      <c r="FZ72">
        <v>2</v>
      </c>
      <c r="GA72" t="s">
        <v>416</v>
      </c>
      <c r="GB72">
        <v>2.9669500000000002</v>
      </c>
      <c r="GC72">
        <v>2.8117399999999999</v>
      </c>
      <c r="GD72">
        <v>0.22892599999999999</v>
      </c>
      <c r="GE72">
        <v>0.23341999999999999</v>
      </c>
      <c r="GF72">
        <v>0.123303</v>
      </c>
      <c r="GG72">
        <v>0.11070199999999999</v>
      </c>
      <c r="GH72">
        <v>22652.9</v>
      </c>
      <c r="GI72">
        <v>20744</v>
      </c>
      <c r="GJ72">
        <v>26432.3</v>
      </c>
      <c r="GK72">
        <v>25562.799999999999</v>
      </c>
      <c r="GL72">
        <v>31553.5</v>
      </c>
      <c r="GM72">
        <v>32111.599999999999</v>
      </c>
      <c r="GN72">
        <v>37406.5</v>
      </c>
      <c r="GO72">
        <v>37906.6</v>
      </c>
      <c r="GP72">
        <v>1.9094</v>
      </c>
      <c r="GQ72">
        <v>1.8564000000000001</v>
      </c>
      <c r="GR72">
        <v>3.0398399999999998E-3</v>
      </c>
      <c r="GS72">
        <v>0</v>
      </c>
      <c r="GT72">
        <v>29.925999999999998</v>
      </c>
      <c r="GU72">
        <v>999.9</v>
      </c>
      <c r="GV72">
        <v>26.7</v>
      </c>
      <c r="GW72">
        <v>46.3</v>
      </c>
      <c r="GX72">
        <v>27.7639</v>
      </c>
      <c r="GY72">
        <v>61.834699999999998</v>
      </c>
      <c r="GZ72">
        <v>13.125</v>
      </c>
      <c r="HA72">
        <v>1</v>
      </c>
      <c r="HB72">
        <v>0.68225599999999997</v>
      </c>
      <c r="HC72">
        <v>4.1541499999999996</v>
      </c>
      <c r="HD72">
        <v>20.251999999999999</v>
      </c>
      <c r="HE72">
        <v>5.2107000000000001</v>
      </c>
      <c r="HF72">
        <v>11.9381</v>
      </c>
      <c r="HG72">
        <v>4.9875999999999996</v>
      </c>
      <c r="HH72">
        <v>3.2907000000000002</v>
      </c>
      <c r="HI72">
        <v>9999</v>
      </c>
      <c r="HJ72">
        <v>9999</v>
      </c>
      <c r="HK72">
        <v>9999</v>
      </c>
      <c r="HL72">
        <v>999.9</v>
      </c>
      <c r="HM72">
        <v>1.87076</v>
      </c>
      <c r="HN72">
        <v>1.8768199999999999</v>
      </c>
      <c r="HO72">
        <v>1.8745400000000001</v>
      </c>
      <c r="HP72">
        <v>1.87286</v>
      </c>
      <c r="HQ72">
        <v>1.8733299999999999</v>
      </c>
      <c r="HR72">
        <v>1.87073</v>
      </c>
      <c r="HS72">
        <v>1.87653</v>
      </c>
      <c r="HT72">
        <v>1.87575</v>
      </c>
      <c r="HU72">
        <v>5</v>
      </c>
      <c r="HV72">
        <v>0</v>
      </c>
      <c r="HW72">
        <v>0</v>
      </c>
      <c r="HX72">
        <v>0</v>
      </c>
      <c r="HY72" t="s">
        <v>417</v>
      </c>
      <c r="HZ72" t="s">
        <v>418</v>
      </c>
      <c r="IA72" t="s">
        <v>419</v>
      </c>
      <c r="IB72" t="s">
        <v>420</v>
      </c>
      <c r="IC72" t="s">
        <v>420</v>
      </c>
      <c r="ID72" t="s">
        <v>419</v>
      </c>
      <c r="IE72">
        <v>0</v>
      </c>
      <c r="IF72">
        <v>100</v>
      </c>
      <c r="IG72">
        <v>100</v>
      </c>
      <c r="IH72">
        <v>-0.71799999999999997</v>
      </c>
      <c r="II72">
        <v>0.17499999999999999</v>
      </c>
      <c r="IJ72">
        <v>-4.9545548555664558E-2</v>
      </c>
      <c r="IK72">
        <v>-1.615681629159814E-3</v>
      </c>
      <c r="IL72">
        <v>1.5005605225991581E-6</v>
      </c>
      <c r="IM72">
        <v>-5.1143626075267638E-10</v>
      </c>
      <c r="IN72">
        <v>-0.20160337186756519</v>
      </c>
      <c r="IO72">
        <v>-1.7182111142928099E-3</v>
      </c>
      <c r="IP72">
        <v>9.9985895407488957E-4</v>
      </c>
      <c r="IQ72">
        <v>-5.7750407166627208E-6</v>
      </c>
      <c r="IR72">
        <v>3</v>
      </c>
      <c r="IS72">
        <v>2181</v>
      </c>
      <c r="IT72">
        <v>2</v>
      </c>
      <c r="IU72">
        <v>42</v>
      </c>
      <c r="IV72">
        <v>1.6</v>
      </c>
      <c r="IW72">
        <v>1.6</v>
      </c>
      <c r="IX72">
        <v>2.83447</v>
      </c>
      <c r="IY72">
        <v>2.5329600000000001</v>
      </c>
      <c r="IZ72">
        <v>1.5991200000000001</v>
      </c>
      <c r="JA72">
        <v>2.2680699999999998</v>
      </c>
      <c r="JB72">
        <v>1.5502899999999999</v>
      </c>
      <c r="JC72">
        <v>2.3852500000000001</v>
      </c>
      <c r="JD72">
        <v>47.511699999999998</v>
      </c>
      <c r="JE72">
        <v>15.8569</v>
      </c>
      <c r="JF72">
        <v>18</v>
      </c>
      <c r="JG72">
        <v>499.73200000000003</v>
      </c>
      <c r="JH72">
        <v>434.97800000000001</v>
      </c>
      <c r="JI72">
        <v>24.375699999999998</v>
      </c>
      <c r="JJ72">
        <v>35.634099999999997</v>
      </c>
      <c r="JK72">
        <v>29.999099999999999</v>
      </c>
      <c r="JL72">
        <v>35.6755</v>
      </c>
      <c r="JM72">
        <v>35.653300000000002</v>
      </c>
      <c r="JN72">
        <v>56.745100000000001</v>
      </c>
      <c r="JO72">
        <v>23.765599999999999</v>
      </c>
      <c r="JP72">
        <v>0</v>
      </c>
      <c r="JQ72">
        <v>24.391500000000001</v>
      </c>
      <c r="JR72">
        <v>1500</v>
      </c>
      <c r="JS72">
        <v>22.170999999999999</v>
      </c>
      <c r="JT72">
        <v>98.668899999999994</v>
      </c>
      <c r="JU72">
        <v>98.3797</v>
      </c>
    </row>
    <row r="73" spans="1:281" x14ac:dyDescent="0.25">
      <c r="A73">
        <v>57</v>
      </c>
      <c r="B73">
        <v>1691176989.0999999</v>
      </c>
      <c r="C73">
        <v>17258.5</v>
      </c>
      <c r="D73" t="s">
        <v>708</v>
      </c>
      <c r="E73" t="s">
        <v>709</v>
      </c>
      <c r="F73" t="s">
        <v>411</v>
      </c>
      <c r="G73" t="s">
        <v>710</v>
      </c>
      <c r="H73" t="s">
        <v>412</v>
      </c>
      <c r="I73" t="s">
        <v>31</v>
      </c>
      <c r="J73">
        <v>1691176989.0999999</v>
      </c>
      <c r="K73">
        <f t="shared" si="92"/>
        <v>5.3090219914062875E-3</v>
      </c>
      <c r="L73">
        <f t="shared" si="93"/>
        <v>5.3090219914062873</v>
      </c>
      <c r="M73">
        <f t="shared" si="94"/>
        <v>46.528656696739873</v>
      </c>
      <c r="N73">
        <f t="shared" si="95"/>
        <v>342.1</v>
      </c>
      <c r="O73">
        <f t="shared" si="96"/>
        <v>95.540515111455164</v>
      </c>
      <c r="P73">
        <f t="shared" si="97"/>
        <v>9.4786222744650246</v>
      </c>
      <c r="Q73">
        <f t="shared" si="98"/>
        <v>33.939912050000004</v>
      </c>
      <c r="R73">
        <f t="shared" si="99"/>
        <v>0.32588451783119526</v>
      </c>
      <c r="S73">
        <f t="shared" si="100"/>
        <v>2.9121435287862152</v>
      </c>
      <c r="T73">
        <f t="shared" si="101"/>
        <v>0.30689533860740326</v>
      </c>
      <c r="U73">
        <f t="shared" si="102"/>
        <v>0.19342341779236946</v>
      </c>
      <c r="V73">
        <f t="shared" si="103"/>
        <v>289.5808200127376</v>
      </c>
      <c r="W73">
        <f t="shared" si="104"/>
        <v>30.42202781506694</v>
      </c>
      <c r="X73">
        <f t="shared" si="105"/>
        <v>29.959299999999999</v>
      </c>
      <c r="Y73">
        <f t="shared" si="106"/>
        <v>4.2504999412632083</v>
      </c>
      <c r="Z73">
        <f t="shared" si="107"/>
        <v>60.545168235966514</v>
      </c>
      <c r="AA73">
        <f t="shared" si="108"/>
        <v>2.5934418384</v>
      </c>
      <c r="AB73">
        <f t="shared" si="109"/>
        <v>4.2834827517406753</v>
      </c>
      <c r="AC73">
        <f t="shared" si="110"/>
        <v>1.6570581028632083</v>
      </c>
      <c r="AD73">
        <f t="shared" si="111"/>
        <v>-234.12786982101727</v>
      </c>
      <c r="AE73">
        <f t="shared" si="112"/>
        <v>21.132130266960353</v>
      </c>
      <c r="AF73">
        <f t="shared" si="113"/>
        <v>1.6139273879202025</v>
      </c>
      <c r="AG73">
        <f t="shared" si="114"/>
        <v>78.199007846600921</v>
      </c>
      <c r="AH73">
        <v>0</v>
      </c>
      <c r="AI73">
        <v>0</v>
      </c>
      <c r="AJ73">
        <f t="shared" si="115"/>
        <v>1</v>
      </c>
      <c r="AK73">
        <f t="shared" si="116"/>
        <v>0</v>
      </c>
      <c r="AL73">
        <f t="shared" si="117"/>
        <v>51821.958472949751</v>
      </c>
      <c r="AM73" t="s">
        <v>414</v>
      </c>
      <c r="AN73">
        <v>7361.72</v>
      </c>
      <c r="AO73">
        <v>541.39076923076925</v>
      </c>
      <c r="AP73">
        <v>2141.9899999999998</v>
      </c>
      <c r="AQ73">
        <f t="shared" si="118"/>
        <v>0.74724869433061347</v>
      </c>
      <c r="AR73">
        <v>-0.96077199609010144</v>
      </c>
      <c r="AS73" t="s">
        <v>711</v>
      </c>
      <c r="AT73">
        <v>7343.9</v>
      </c>
      <c r="AU73">
        <v>730.52653846153851</v>
      </c>
      <c r="AV73">
        <v>1077.399839456911</v>
      </c>
      <c r="AW73">
        <f t="shared" si="119"/>
        <v>0.32195410495904864</v>
      </c>
      <c r="AX73">
        <v>0.5</v>
      </c>
      <c r="AY73">
        <f t="shared" si="120"/>
        <v>1513.2300000065998</v>
      </c>
      <c r="AZ73">
        <f t="shared" si="121"/>
        <v>46.528656696739873</v>
      </c>
      <c r="BA73">
        <f t="shared" si="122"/>
        <v>243.59530512465301</v>
      </c>
      <c r="BB73">
        <f t="shared" si="123"/>
        <v>3.1382822632793995E-2</v>
      </c>
      <c r="BC73">
        <f t="shared" si="124"/>
        <v>0.9881105617016992</v>
      </c>
      <c r="BD73">
        <f t="shared" si="125"/>
        <v>433.20056042993258</v>
      </c>
      <c r="BE73" t="s">
        <v>712</v>
      </c>
      <c r="BF73">
        <v>581.03</v>
      </c>
      <c r="BG73">
        <f t="shared" si="126"/>
        <v>581.03</v>
      </c>
      <c r="BH73">
        <f t="shared" si="127"/>
        <v>0.46071089049643632</v>
      </c>
      <c r="BI73">
        <f t="shared" si="128"/>
        <v>0.69882026147054799</v>
      </c>
      <c r="BJ73">
        <f t="shared" si="129"/>
        <v>0.68200989169683335</v>
      </c>
      <c r="BK73">
        <f t="shared" si="130"/>
        <v>0.64714073000486161</v>
      </c>
      <c r="BL73">
        <f t="shared" si="131"/>
        <v>0.66511975020221548</v>
      </c>
      <c r="BM73">
        <f t="shared" si="132"/>
        <v>0.5558121644387185</v>
      </c>
      <c r="BN73">
        <f t="shared" si="133"/>
        <v>0.4441878355612815</v>
      </c>
      <c r="BO73">
        <v>1543</v>
      </c>
      <c r="BP73">
        <v>290.00000000000011</v>
      </c>
      <c r="BQ73">
        <v>959.84</v>
      </c>
      <c r="BR73">
        <v>285</v>
      </c>
      <c r="BS73">
        <v>7343.9</v>
      </c>
      <c r="BT73">
        <v>960.96</v>
      </c>
      <c r="BU73">
        <v>-1.1200000000000001</v>
      </c>
      <c r="BV73">
        <v>300.00000000000011</v>
      </c>
      <c r="BW73">
        <v>37.9</v>
      </c>
      <c r="BX73">
        <v>1077.399839456911</v>
      </c>
      <c r="BY73">
        <v>1.408047212267824</v>
      </c>
      <c r="BZ73">
        <v>-85.514140346674765</v>
      </c>
      <c r="CA73">
        <v>0.86686026342253564</v>
      </c>
      <c r="CB73">
        <v>0.9971309866676995</v>
      </c>
      <c r="CC73">
        <v>-7.2361067853170197E-3</v>
      </c>
      <c r="CD73">
        <v>289.99999999999989</v>
      </c>
      <c r="CE73">
        <v>952.63</v>
      </c>
      <c r="CF73">
        <v>635</v>
      </c>
      <c r="CG73">
        <v>7339.88</v>
      </c>
      <c r="CH73">
        <v>960.89</v>
      </c>
      <c r="CI73">
        <v>-8.26</v>
      </c>
      <c r="CW73">
        <f t="shared" si="134"/>
        <v>1800.05</v>
      </c>
      <c r="CX73">
        <f t="shared" si="135"/>
        <v>1513.2300000065998</v>
      </c>
      <c r="CY73">
        <f t="shared" si="136"/>
        <v>0.84065998167084233</v>
      </c>
      <c r="CZ73">
        <f t="shared" si="137"/>
        <v>0.16087376462472577</v>
      </c>
      <c r="DA73">
        <v>6</v>
      </c>
      <c r="DB73">
        <v>0.5</v>
      </c>
      <c r="DC73" t="s">
        <v>415</v>
      </c>
      <c r="DD73">
        <v>2</v>
      </c>
      <c r="DE73">
        <v>1691176989.0999999</v>
      </c>
      <c r="DF73">
        <v>342.1</v>
      </c>
      <c r="DG73">
        <v>400.09899999999999</v>
      </c>
      <c r="DH73">
        <v>26.140799999999999</v>
      </c>
      <c r="DI73">
        <v>19.938099999999999</v>
      </c>
      <c r="DJ73">
        <v>342.77</v>
      </c>
      <c r="DK73">
        <v>25.818000000000001</v>
      </c>
      <c r="DL73">
        <v>500.12799999999999</v>
      </c>
      <c r="DM73">
        <v>99.110200000000006</v>
      </c>
      <c r="DN73">
        <v>0.1003</v>
      </c>
      <c r="DO73">
        <v>30.093900000000001</v>
      </c>
      <c r="DP73">
        <v>29.959299999999999</v>
      </c>
      <c r="DQ73">
        <v>999.9</v>
      </c>
      <c r="DR73">
        <v>0</v>
      </c>
      <c r="DS73">
        <v>0</v>
      </c>
      <c r="DT73">
        <v>9990</v>
      </c>
      <c r="DU73">
        <v>0</v>
      </c>
      <c r="DV73">
        <v>771.40300000000002</v>
      </c>
      <c r="DW73">
        <v>-57.998399999999997</v>
      </c>
      <c r="DX73">
        <v>351.28300000000002</v>
      </c>
      <c r="DY73">
        <v>408.238</v>
      </c>
      <c r="DZ73">
        <v>6.2027400000000004</v>
      </c>
      <c r="EA73">
        <v>400.09899999999999</v>
      </c>
      <c r="EB73">
        <v>19.938099999999999</v>
      </c>
      <c r="EC73">
        <v>2.5908199999999999</v>
      </c>
      <c r="ED73">
        <v>1.97607</v>
      </c>
      <c r="EE73">
        <v>21.608599999999999</v>
      </c>
      <c r="EF73">
        <v>17.253900000000002</v>
      </c>
      <c r="EG73">
        <v>1800.05</v>
      </c>
      <c r="EH73">
        <v>0.97800100000000001</v>
      </c>
      <c r="EI73">
        <v>2.1999299999999999E-2</v>
      </c>
      <c r="EJ73">
        <v>0</v>
      </c>
      <c r="EK73">
        <v>730.86</v>
      </c>
      <c r="EL73">
        <v>9.9989999999999996E-2</v>
      </c>
      <c r="EM73">
        <v>13779.4</v>
      </c>
      <c r="EN73">
        <v>16705.8</v>
      </c>
      <c r="EO73">
        <v>49.061999999999998</v>
      </c>
      <c r="EP73">
        <v>51.125</v>
      </c>
      <c r="EQ73">
        <v>49.936999999999998</v>
      </c>
      <c r="ER73">
        <v>50</v>
      </c>
      <c r="ES73">
        <v>50.125</v>
      </c>
      <c r="ET73">
        <v>1760.35</v>
      </c>
      <c r="EU73">
        <v>39.6</v>
      </c>
      <c r="EV73">
        <v>0</v>
      </c>
      <c r="EW73">
        <v>2401.1999998092651</v>
      </c>
      <c r="EX73">
        <v>0</v>
      </c>
      <c r="EY73">
        <v>730.52653846153851</v>
      </c>
      <c r="EZ73">
        <v>6.4543588817516779</v>
      </c>
      <c r="FA73">
        <v>-1151.7880357367751</v>
      </c>
      <c r="FB73">
        <v>13803.946153846149</v>
      </c>
      <c r="FC73">
        <v>15</v>
      </c>
      <c r="FD73">
        <v>1691176954.0999999</v>
      </c>
      <c r="FE73" t="s">
        <v>713</v>
      </c>
      <c r="FF73">
        <v>1691176951.0999999</v>
      </c>
      <c r="FG73">
        <v>1691176954.0999999</v>
      </c>
      <c r="FH73">
        <v>80</v>
      </c>
      <c r="FI73">
        <v>0.26900000000000002</v>
      </c>
      <c r="FJ73">
        <v>6.0000000000000001E-3</v>
      </c>
      <c r="FK73">
        <v>-0.71099999999999997</v>
      </c>
      <c r="FL73">
        <v>0.11600000000000001</v>
      </c>
      <c r="FM73">
        <v>400</v>
      </c>
      <c r="FN73">
        <v>20</v>
      </c>
      <c r="FO73">
        <v>0.15</v>
      </c>
      <c r="FP73">
        <v>0.04</v>
      </c>
      <c r="FQ73">
        <v>46.395040226039598</v>
      </c>
      <c r="FR73">
        <v>0.25064448646585941</v>
      </c>
      <c r="FS73">
        <v>0.1156684222519694</v>
      </c>
      <c r="FT73">
        <v>1</v>
      </c>
      <c r="FU73">
        <v>0.32734969681524623</v>
      </c>
      <c r="FV73">
        <v>-3.0968876931667159E-3</v>
      </c>
      <c r="FW73">
        <v>8.3834365416173018E-4</v>
      </c>
      <c r="FX73">
        <v>1</v>
      </c>
      <c r="FY73">
        <v>2</v>
      </c>
      <c r="FZ73">
        <v>2</v>
      </c>
      <c r="GA73" t="s">
        <v>416</v>
      </c>
      <c r="GB73">
        <v>2.96618</v>
      </c>
      <c r="GC73">
        <v>2.8119100000000001</v>
      </c>
      <c r="GD73">
        <v>8.4622299999999998E-2</v>
      </c>
      <c r="GE73">
        <v>9.4537899999999994E-2</v>
      </c>
      <c r="GF73">
        <v>0.12509200000000001</v>
      </c>
      <c r="GG73">
        <v>0.102854</v>
      </c>
      <c r="GH73">
        <v>26886.5</v>
      </c>
      <c r="GI73">
        <v>24484.7</v>
      </c>
      <c r="GJ73">
        <v>26416.1</v>
      </c>
      <c r="GK73">
        <v>25533.9</v>
      </c>
      <c r="GL73">
        <v>31461.1</v>
      </c>
      <c r="GM73">
        <v>32350.1</v>
      </c>
      <c r="GN73">
        <v>37381.199999999997</v>
      </c>
      <c r="GO73">
        <v>37865.300000000003</v>
      </c>
      <c r="GP73">
        <v>1.9060999999999999</v>
      </c>
      <c r="GQ73">
        <v>1.8181</v>
      </c>
      <c r="GR73">
        <v>-5.6237000000000002E-2</v>
      </c>
      <c r="GS73">
        <v>0</v>
      </c>
      <c r="GT73">
        <v>30.873799999999999</v>
      </c>
      <c r="GU73">
        <v>999.9</v>
      </c>
      <c r="GV73">
        <v>23.9</v>
      </c>
      <c r="GW73">
        <v>49.2</v>
      </c>
      <c r="GX73">
        <v>28.774000000000001</v>
      </c>
      <c r="GY73">
        <v>62.021799999999999</v>
      </c>
      <c r="GZ73">
        <v>13.8622</v>
      </c>
      <c r="HA73">
        <v>1</v>
      </c>
      <c r="HB73">
        <v>0.73408499999999999</v>
      </c>
      <c r="HC73">
        <v>5.3958000000000004</v>
      </c>
      <c r="HD73">
        <v>20.159600000000001</v>
      </c>
      <c r="HE73">
        <v>5.2107000000000001</v>
      </c>
      <c r="HF73">
        <v>11.9381</v>
      </c>
      <c r="HG73">
        <v>4.9874000000000001</v>
      </c>
      <c r="HH73">
        <v>3.2902999999999998</v>
      </c>
      <c r="HI73">
        <v>9999</v>
      </c>
      <c r="HJ73">
        <v>9999</v>
      </c>
      <c r="HK73">
        <v>9999</v>
      </c>
      <c r="HL73">
        <v>999.9</v>
      </c>
      <c r="HM73">
        <v>1.8716200000000001</v>
      </c>
      <c r="HN73">
        <v>1.87748</v>
      </c>
      <c r="HO73">
        <v>1.8752899999999999</v>
      </c>
      <c r="HP73">
        <v>1.87347</v>
      </c>
      <c r="HQ73">
        <v>1.87408</v>
      </c>
      <c r="HR73">
        <v>1.8714500000000001</v>
      </c>
      <c r="HS73">
        <v>1.8772800000000001</v>
      </c>
      <c r="HT73">
        <v>1.8764799999999999</v>
      </c>
      <c r="HU73">
        <v>5</v>
      </c>
      <c r="HV73">
        <v>0</v>
      </c>
      <c r="HW73">
        <v>0</v>
      </c>
      <c r="HX73">
        <v>0</v>
      </c>
      <c r="HY73" t="s">
        <v>417</v>
      </c>
      <c r="HZ73" t="s">
        <v>418</v>
      </c>
      <c r="IA73" t="s">
        <v>419</v>
      </c>
      <c r="IB73" t="s">
        <v>420</v>
      </c>
      <c r="IC73" t="s">
        <v>420</v>
      </c>
      <c r="ID73" t="s">
        <v>419</v>
      </c>
      <c r="IE73">
        <v>0</v>
      </c>
      <c r="IF73">
        <v>100</v>
      </c>
      <c r="IG73">
        <v>100</v>
      </c>
      <c r="IH73">
        <v>-0.67</v>
      </c>
      <c r="II73">
        <v>0.32279999999999998</v>
      </c>
      <c r="IJ73">
        <v>-0.27192280275119229</v>
      </c>
      <c r="IK73">
        <v>-1.615681629159814E-3</v>
      </c>
      <c r="IL73">
        <v>1.5005605225991581E-6</v>
      </c>
      <c r="IM73">
        <v>-5.1143626075267638E-10</v>
      </c>
      <c r="IN73">
        <v>-0.19988729340693789</v>
      </c>
      <c r="IO73">
        <v>-1.7182111142928099E-3</v>
      </c>
      <c r="IP73">
        <v>9.9985895407488957E-4</v>
      </c>
      <c r="IQ73">
        <v>-5.7750407166627208E-6</v>
      </c>
      <c r="IR73">
        <v>3</v>
      </c>
      <c r="IS73">
        <v>2181</v>
      </c>
      <c r="IT73">
        <v>2</v>
      </c>
      <c r="IU73">
        <v>42</v>
      </c>
      <c r="IV73">
        <v>0.6</v>
      </c>
      <c r="IW73">
        <v>0.6</v>
      </c>
      <c r="IX73">
        <v>0.950928</v>
      </c>
      <c r="IY73">
        <v>2.5720200000000002</v>
      </c>
      <c r="IZ73">
        <v>1.5991200000000001</v>
      </c>
      <c r="JA73">
        <v>2.2741699999999998</v>
      </c>
      <c r="JB73">
        <v>1.5502899999999999</v>
      </c>
      <c r="JC73">
        <v>2.34131</v>
      </c>
      <c r="JD73">
        <v>54.854199999999999</v>
      </c>
      <c r="JE73">
        <v>23.8248</v>
      </c>
      <c r="JF73">
        <v>18</v>
      </c>
      <c r="JG73">
        <v>500.93700000000001</v>
      </c>
      <c r="JH73">
        <v>414.93</v>
      </c>
      <c r="JI73">
        <v>23.642399999999999</v>
      </c>
      <c r="JJ73">
        <v>36.153199999999998</v>
      </c>
      <c r="JK73">
        <v>29.9998</v>
      </c>
      <c r="JL73">
        <v>36.1295</v>
      </c>
      <c r="JM73">
        <v>36.099400000000003</v>
      </c>
      <c r="JN73">
        <v>19.061699999999998</v>
      </c>
      <c r="JO73">
        <v>33.215499999999999</v>
      </c>
      <c r="JP73">
        <v>0</v>
      </c>
      <c r="JQ73">
        <v>23.6557</v>
      </c>
      <c r="JR73">
        <v>400</v>
      </c>
      <c r="JS73">
        <v>19.846499999999999</v>
      </c>
      <c r="JT73">
        <v>98.604900000000001</v>
      </c>
      <c r="JU73">
        <v>98.270799999999994</v>
      </c>
    </row>
    <row r="74" spans="1:281" x14ac:dyDescent="0.25">
      <c r="A74">
        <v>58</v>
      </c>
      <c r="B74">
        <v>1691177088.5999999</v>
      </c>
      <c r="C74">
        <v>17358</v>
      </c>
      <c r="D74" t="s">
        <v>714</v>
      </c>
      <c r="E74" t="s">
        <v>715</v>
      </c>
      <c r="F74" t="s">
        <v>411</v>
      </c>
      <c r="G74" t="s">
        <v>710</v>
      </c>
      <c r="H74" t="s">
        <v>412</v>
      </c>
      <c r="I74" t="s">
        <v>31</v>
      </c>
      <c r="J74">
        <v>1691177088.5999999</v>
      </c>
      <c r="K74">
        <f t="shared" si="92"/>
        <v>4.8308026856199596E-3</v>
      </c>
      <c r="L74">
        <f t="shared" si="93"/>
        <v>4.8308026856199593</v>
      </c>
      <c r="M74">
        <f t="shared" si="94"/>
        <v>34.068921674226331</v>
      </c>
      <c r="N74">
        <f t="shared" si="95"/>
        <v>257.63400000000001</v>
      </c>
      <c r="O74">
        <f t="shared" si="96"/>
        <v>54.313017608226318</v>
      </c>
      <c r="P74">
        <f t="shared" si="97"/>
        <v>5.3882792790017859</v>
      </c>
      <c r="Q74">
        <f t="shared" si="98"/>
        <v>25.559322698286</v>
      </c>
      <c r="R74">
        <f t="shared" si="99"/>
        <v>0.28684164284135061</v>
      </c>
      <c r="S74">
        <f t="shared" si="100"/>
        <v>2.9077199634315187</v>
      </c>
      <c r="T74">
        <f t="shared" si="101"/>
        <v>0.27199753457816905</v>
      </c>
      <c r="U74">
        <f t="shared" si="102"/>
        <v>0.17126810282838625</v>
      </c>
      <c r="V74">
        <f t="shared" si="103"/>
        <v>289.55847601273865</v>
      </c>
      <c r="W74">
        <f t="shared" si="104"/>
        <v>30.590512907480342</v>
      </c>
      <c r="X74">
        <f t="shared" si="105"/>
        <v>29.952300000000001</v>
      </c>
      <c r="Y74">
        <f t="shared" si="106"/>
        <v>4.2487907107076994</v>
      </c>
      <c r="Z74">
        <f t="shared" si="107"/>
        <v>59.317503732986843</v>
      </c>
      <c r="AA74">
        <f t="shared" si="108"/>
        <v>2.547162293325</v>
      </c>
      <c r="AB74">
        <f t="shared" si="109"/>
        <v>4.294115788808063</v>
      </c>
      <c r="AC74">
        <f t="shared" si="110"/>
        <v>1.7016284173826994</v>
      </c>
      <c r="AD74">
        <f t="shared" si="111"/>
        <v>-213.03839843584021</v>
      </c>
      <c r="AE74">
        <f t="shared" si="112"/>
        <v>28.969432553942376</v>
      </c>
      <c r="AF74">
        <f t="shared" si="113"/>
        <v>2.2162499423985782</v>
      </c>
      <c r="AG74">
        <f t="shared" si="114"/>
        <v>107.70576007323939</v>
      </c>
      <c r="AH74">
        <v>0</v>
      </c>
      <c r="AI74">
        <v>0</v>
      </c>
      <c r="AJ74">
        <f t="shared" si="115"/>
        <v>1</v>
      </c>
      <c r="AK74">
        <f t="shared" si="116"/>
        <v>0</v>
      </c>
      <c r="AL74">
        <f t="shared" si="117"/>
        <v>51688.826534365428</v>
      </c>
      <c r="AM74" t="s">
        <v>414</v>
      </c>
      <c r="AN74">
        <v>7361.72</v>
      </c>
      <c r="AO74">
        <v>541.39076923076925</v>
      </c>
      <c r="AP74">
        <v>2141.9899999999998</v>
      </c>
      <c r="AQ74">
        <f t="shared" si="118"/>
        <v>0.74724869433061347</v>
      </c>
      <c r="AR74">
        <v>-0.96077199609010144</v>
      </c>
      <c r="AS74" t="s">
        <v>716</v>
      </c>
      <c r="AT74">
        <v>7345.09</v>
      </c>
      <c r="AU74">
        <v>702.7582692307692</v>
      </c>
      <c r="AV74">
        <v>955.19252724852345</v>
      </c>
      <c r="AW74">
        <f t="shared" si="119"/>
        <v>0.26427578819623188</v>
      </c>
      <c r="AX74">
        <v>0.5</v>
      </c>
      <c r="AY74">
        <f t="shared" si="120"/>
        <v>1513.1124000066006</v>
      </c>
      <c r="AZ74">
        <f t="shared" si="121"/>
        <v>34.068921674226331</v>
      </c>
      <c r="BA74">
        <f t="shared" si="122"/>
        <v>199.93948607061824</v>
      </c>
      <c r="BB74">
        <f t="shared" si="123"/>
        <v>2.3150754478096686E-2</v>
      </c>
      <c r="BC74">
        <f t="shared" si="124"/>
        <v>1.2424693859049565</v>
      </c>
      <c r="BD74">
        <f t="shared" si="125"/>
        <v>412.00611573887755</v>
      </c>
      <c r="BE74" t="s">
        <v>717</v>
      </c>
      <c r="BF74">
        <v>563.16999999999996</v>
      </c>
      <c r="BG74">
        <f t="shared" si="126"/>
        <v>563.16999999999996</v>
      </c>
      <c r="BH74">
        <f t="shared" si="127"/>
        <v>0.41041205418321547</v>
      </c>
      <c r="BI74">
        <f t="shared" si="128"/>
        <v>0.64392793901285938</v>
      </c>
      <c r="BJ74">
        <f t="shared" si="129"/>
        <v>0.75169903646487668</v>
      </c>
      <c r="BK74">
        <f t="shared" si="130"/>
        <v>0.61003669783085734</v>
      </c>
      <c r="BL74">
        <f t="shared" si="131"/>
        <v>0.74147072542394921</v>
      </c>
      <c r="BM74">
        <f t="shared" si="132"/>
        <v>0.51602508756078302</v>
      </c>
      <c r="BN74">
        <f t="shared" si="133"/>
        <v>0.48397491243921698</v>
      </c>
      <c r="BO74">
        <v>1545</v>
      </c>
      <c r="BP74">
        <v>290.00000000000011</v>
      </c>
      <c r="BQ74">
        <v>871.72</v>
      </c>
      <c r="BR74">
        <v>255</v>
      </c>
      <c r="BS74">
        <v>7345.09</v>
      </c>
      <c r="BT74">
        <v>873.62</v>
      </c>
      <c r="BU74">
        <v>-1.9</v>
      </c>
      <c r="BV74">
        <v>300.00000000000011</v>
      </c>
      <c r="BW74">
        <v>37.9</v>
      </c>
      <c r="BX74">
        <v>955.19252724852345</v>
      </c>
      <c r="BY74">
        <v>1.317550068976272</v>
      </c>
      <c r="BZ74">
        <v>-59.918709629839519</v>
      </c>
      <c r="CA74">
        <v>0.81110755756095454</v>
      </c>
      <c r="CB74">
        <v>0.9948953329961463</v>
      </c>
      <c r="CC74">
        <v>-7.2354949944382716E-3</v>
      </c>
      <c r="CD74">
        <v>289.99999999999989</v>
      </c>
      <c r="CE74">
        <v>871.36</v>
      </c>
      <c r="CF74">
        <v>725</v>
      </c>
      <c r="CG74">
        <v>7336.4</v>
      </c>
      <c r="CH74">
        <v>873.52</v>
      </c>
      <c r="CI74">
        <v>-2.16</v>
      </c>
      <c r="CW74">
        <f t="shared" si="134"/>
        <v>1799.91</v>
      </c>
      <c r="CX74">
        <f t="shared" si="135"/>
        <v>1513.1124000066006</v>
      </c>
      <c r="CY74">
        <f t="shared" si="136"/>
        <v>0.84066003300531722</v>
      </c>
      <c r="CZ74">
        <f t="shared" si="137"/>
        <v>0.16087386370026205</v>
      </c>
      <c r="DA74">
        <v>6</v>
      </c>
      <c r="DB74">
        <v>0.5</v>
      </c>
      <c r="DC74" t="s">
        <v>415</v>
      </c>
      <c r="DD74">
        <v>2</v>
      </c>
      <c r="DE74">
        <v>1691177088.5999999</v>
      </c>
      <c r="DF74">
        <v>257.63400000000001</v>
      </c>
      <c r="DG74">
        <v>299.99799999999999</v>
      </c>
      <c r="DH74">
        <v>25.675000000000001</v>
      </c>
      <c r="DI74">
        <v>20.028500000000001</v>
      </c>
      <c r="DJ74">
        <v>258.10700000000003</v>
      </c>
      <c r="DK74">
        <v>25.548999999999999</v>
      </c>
      <c r="DL74">
        <v>500.14400000000001</v>
      </c>
      <c r="DM74">
        <v>99.107699999999994</v>
      </c>
      <c r="DN74">
        <v>0.100179</v>
      </c>
      <c r="DO74">
        <v>30.1371</v>
      </c>
      <c r="DP74">
        <v>29.952300000000001</v>
      </c>
      <c r="DQ74">
        <v>999.9</v>
      </c>
      <c r="DR74">
        <v>0</v>
      </c>
      <c r="DS74">
        <v>0</v>
      </c>
      <c r="DT74">
        <v>9965</v>
      </c>
      <c r="DU74">
        <v>0</v>
      </c>
      <c r="DV74">
        <v>586.053</v>
      </c>
      <c r="DW74">
        <v>-42.4895</v>
      </c>
      <c r="DX74">
        <v>264.34500000000003</v>
      </c>
      <c r="DY74">
        <v>306.13</v>
      </c>
      <c r="DZ74">
        <v>5.8330000000000002</v>
      </c>
      <c r="EA74">
        <v>299.99799999999999</v>
      </c>
      <c r="EB74">
        <v>20.028500000000001</v>
      </c>
      <c r="EC74">
        <v>2.5630799999999998</v>
      </c>
      <c r="ED74">
        <v>1.98498</v>
      </c>
      <c r="EE74">
        <v>21.432700000000001</v>
      </c>
      <c r="EF74">
        <v>17.325099999999999</v>
      </c>
      <c r="EG74">
        <v>1799.91</v>
      </c>
      <c r="EH74">
        <v>0.97799800000000003</v>
      </c>
      <c r="EI74">
        <v>2.2001699999999999E-2</v>
      </c>
      <c r="EJ74">
        <v>0</v>
      </c>
      <c r="EK74">
        <v>702.78</v>
      </c>
      <c r="EL74">
        <v>9.9989999999999996E-2</v>
      </c>
      <c r="EM74">
        <v>13130.6</v>
      </c>
      <c r="EN74">
        <v>16704.5</v>
      </c>
      <c r="EO74">
        <v>48.875</v>
      </c>
      <c r="EP74">
        <v>50.75</v>
      </c>
      <c r="EQ74">
        <v>49.75</v>
      </c>
      <c r="ER74">
        <v>49.686999999999998</v>
      </c>
      <c r="ES74">
        <v>50</v>
      </c>
      <c r="ET74">
        <v>1760.21</v>
      </c>
      <c r="EU74">
        <v>39.6</v>
      </c>
      <c r="EV74">
        <v>0</v>
      </c>
      <c r="EW74">
        <v>97.199999809265137</v>
      </c>
      <c r="EX74">
        <v>0</v>
      </c>
      <c r="EY74">
        <v>702.7582692307692</v>
      </c>
      <c r="EZ74">
        <v>-14.40871799862142</v>
      </c>
      <c r="FA74">
        <v>-233.65470080197591</v>
      </c>
      <c r="FB74">
        <v>13158.75384615385</v>
      </c>
      <c r="FC74">
        <v>15</v>
      </c>
      <c r="FD74">
        <v>1691177121.0999999</v>
      </c>
      <c r="FE74" t="s">
        <v>718</v>
      </c>
      <c r="FF74">
        <v>1691177109.0999999</v>
      </c>
      <c r="FG74">
        <v>1691177121.0999999</v>
      </c>
      <c r="FH74">
        <v>81</v>
      </c>
      <c r="FI74">
        <v>0.16300000000000001</v>
      </c>
      <c r="FJ74">
        <v>8.0000000000000002E-3</v>
      </c>
      <c r="FK74">
        <v>-0.47299999999999998</v>
      </c>
      <c r="FL74">
        <v>0.126</v>
      </c>
      <c r="FM74">
        <v>300</v>
      </c>
      <c r="FN74">
        <v>20</v>
      </c>
      <c r="FO74">
        <v>0.16</v>
      </c>
      <c r="FP74">
        <v>0.04</v>
      </c>
      <c r="FQ74">
        <v>33.952690983788507</v>
      </c>
      <c r="FR74">
        <v>0.57034555956488586</v>
      </c>
      <c r="FS74">
        <v>6.5027396874920526E-2</v>
      </c>
      <c r="FT74">
        <v>1</v>
      </c>
      <c r="FU74">
        <v>0.29794929928658509</v>
      </c>
      <c r="FV74">
        <v>1.350262923715218E-2</v>
      </c>
      <c r="FW74">
        <v>1.318153998144321E-3</v>
      </c>
      <c r="FX74">
        <v>1</v>
      </c>
      <c r="FY74">
        <v>2</v>
      </c>
      <c r="FZ74">
        <v>2</v>
      </c>
      <c r="GA74" t="s">
        <v>416</v>
      </c>
      <c r="GB74">
        <v>2.9662999999999999</v>
      </c>
      <c r="GC74">
        <v>2.8115700000000001</v>
      </c>
      <c r="GD74">
        <v>6.6948199999999999E-2</v>
      </c>
      <c r="GE74">
        <v>7.5099799999999994E-2</v>
      </c>
      <c r="GF74">
        <v>0.124184</v>
      </c>
      <c r="GG74">
        <v>0.103199</v>
      </c>
      <c r="GH74">
        <v>27410.2</v>
      </c>
      <c r="GI74">
        <v>25015.9</v>
      </c>
      <c r="GJ74">
        <v>26419.9</v>
      </c>
      <c r="GK74">
        <v>25538.6</v>
      </c>
      <c r="GL74">
        <v>31497.1</v>
      </c>
      <c r="GM74">
        <v>32341.3</v>
      </c>
      <c r="GN74">
        <v>37387.699999999997</v>
      </c>
      <c r="GO74">
        <v>37871.4</v>
      </c>
      <c r="GP74">
        <v>1.9069</v>
      </c>
      <c r="GQ74">
        <v>1.8180000000000001</v>
      </c>
      <c r="GR74">
        <v>-3.0264300000000001E-2</v>
      </c>
      <c r="GS74">
        <v>0</v>
      </c>
      <c r="GT74">
        <v>30.444600000000001</v>
      </c>
      <c r="GU74">
        <v>999.9</v>
      </c>
      <c r="GV74">
        <v>23.9</v>
      </c>
      <c r="GW74">
        <v>49.3</v>
      </c>
      <c r="GX74">
        <v>28.919899999999998</v>
      </c>
      <c r="GY74">
        <v>61.631799999999998</v>
      </c>
      <c r="GZ74">
        <v>13.2372</v>
      </c>
      <c r="HA74">
        <v>1</v>
      </c>
      <c r="HB74">
        <v>0.71768299999999996</v>
      </c>
      <c r="HC74">
        <v>4.0321899999999999</v>
      </c>
      <c r="HD74">
        <v>20.196300000000001</v>
      </c>
      <c r="HE74">
        <v>5.2053099999999999</v>
      </c>
      <c r="HF74">
        <v>11.9381</v>
      </c>
      <c r="HG74">
        <v>4.9871999999999996</v>
      </c>
      <c r="HH74">
        <v>3.2905000000000002</v>
      </c>
      <c r="HI74">
        <v>9999</v>
      </c>
      <c r="HJ74">
        <v>9999</v>
      </c>
      <c r="HK74">
        <v>9999</v>
      </c>
      <c r="HL74">
        <v>999.9</v>
      </c>
      <c r="HM74">
        <v>1.8715999999999999</v>
      </c>
      <c r="HN74">
        <v>1.8774500000000001</v>
      </c>
      <c r="HO74">
        <v>1.8752800000000001</v>
      </c>
      <c r="HP74">
        <v>1.87347</v>
      </c>
      <c r="HQ74">
        <v>1.87405</v>
      </c>
      <c r="HR74">
        <v>1.87138</v>
      </c>
      <c r="HS74">
        <v>1.87723</v>
      </c>
      <c r="HT74">
        <v>1.8763700000000001</v>
      </c>
      <c r="HU74">
        <v>5</v>
      </c>
      <c r="HV74">
        <v>0</v>
      </c>
      <c r="HW74">
        <v>0</v>
      </c>
      <c r="HX74">
        <v>0</v>
      </c>
      <c r="HY74" t="s">
        <v>417</v>
      </c>
      <c r="HZ74" t="s">
        <v>418</v>
      </c>
      <c r="IA74" t="s">
        <v>419</v>
      </c>
      <c r="IB74" t="s">
        <v>420</v>
      </c>
      <c r="IC74" t="s">
        <v>420</v>
      </c>
      <c r="ID74" t="s">
        <v>419</v>
      </c>
      <c r="IE74">
        <v>0</v>
      </c>
      <c r="IF74">
        <v>100</v>
      </c>
      <c r="IG74">
        <v>100</v>
      </c>
      <c r="IH74">
        <v>-0.47299999999999998</v>
      </c>
      <c r="II74">
        <v>0.126</v>
      </c>
      <c r="IJ74">
        <v>-0.27192280275119229</v>
      </c>
      <c r="IK74">
        <v>-1.615681629159814E-3</v>
      </c>
      <c r="IL74">
        <v>1.5005605225991581E-6</v>
      </c>
      <c r="IM74">
        <v>-5.1143626075267638E-10</v>
      </c>
      <c r="IN74">
        <v>-0.19988729340693789</v>
      </c>
      <c r="IO74">
        <v>-1.7182111142928099E-3</v>
      </c>
      <c r="IP74">
        <v>9.9985895407488957E-4</v>
      </c>
      <c r="IQ74">
        <v>-5.7750407166627208E-6</v>
      </c>
      <c r="IR74">
        <v>3</v>
      </c>
      <c r="IS74">
        <v>2181</v>
      </c>
      <c r="IT74">
        <v>2</v>
      </c>
      <c r="IU74">
        <v>42</v>
      </c>
      <c r="IV74">
        <v>2.2999999999999998</v>
      </c>
      <c r="IW74">
        <v>2.2000000000000002</v>
      </c>
      <c r="IX74">
        <v>0.75561500000000004</v>
      </c>
      <c r="IY74">
        <v>2.5671400000000002</v>
      </c>
      <c r="IZ74">
        <v>1.5991200000000001</v>
      </c>
      <c r="JA74">
        <v>2.2729499999999998</v>
      </c>
      <c r="JB74">
        <v>1.5502899999999999</v>
      </c>
      <c r="JC74">
        <v>2.4694799999999999</v>
      </c>
      <c r="JD74">
        <v>54.780999999999999</v>
      </c>
      <c r="JE74">
        <v>23.868600000000001</v>
      </c>
      <c r="JF74">
        <v>18</v>
      </c>
      <c r="JG74">
        <v>500.99099999999999</v>
      </c>
      <c r="JH74">
        <v>414.476</v>
      </c>
      <c r="JI74">
        <v>24.881599999999999</v>
      </c>
      <c r="JJ74">
        <v>36.072400000000002</v>
      </c>
      <c r="JK74">
        <v>29.998999999999999</v>
      </c>
      <c r="JL74">
        <v>36.066000000000003</v>
      </c>
      <c r="JM74">
        <v>36.036200000000001</v>
      </c>
      <c r="JN74">
        <v>15.165699999999999</v>
      </c>
      <c r="JO74">
        <v>32.9328</v>
      </c>
      <c r="JP74">
        <v>0</v>
      </c>
      <c r="JQ74">
        <v>24.889700000000001</v>
      </c>
      <c r="JR74">
        <v>300</v>
      </c>
      <c r="JS74">
        <v>20.025500000000001</v>
      </c>
      <c r="JT74">
        <v>98.620599999999996</v>
      </c>
      <c r="JU74">
        <v>98.287499999999994</v>
      </c>
    </row>
    <row r="75" spans="1:281" x14ac:dyDescent="0.25">
      <c r="A75">
        <v>59</v>
      </c>
      <c r="B75">
        <v>1691177253.5999999</v>
      </c>
      <c r="C75">
        <v>17523</v>
      </c>
      <c r="D75" t="s">
        <v>719</v>
      </c>
      <c r="E75" t="s">
        <v>720</v>
      </c>
      <c r="F75" t="s">
        <v>411</v>
      </c>
      <c r="G75" t="s">
        <v>710</v>
      </c>
      <c r="H75" t="s">
        <v>412</v>
      </c>
      <c r="I75" t="s">
        <v>31</v>
      </c>
      <c r="J75">
        <v>1691177253.5999999</v>
      </c>
      <c r="K75">
        <f t="shared" si="92"/>
        <v>5.7025462812430828E-3</v>
      </c>
      <c r="L75">
        <f t="shared" si="93"/>
        <v>5.7025462812430829</v>
      </c>
      <c r="M75">
        <f t="shared" si="94"/>
        <v>25.108821609392844</v>
      </c>
      <c r="N75">
        <f t="shared" si="95"/>
        <v>168.8</v>
      </c>
      <c r="O75">
        <f t="shared" si="96"/>
        <v>46.464097337531932</v>
      </c>
      <c r="P75">
        <f t="shared" si="97"/>
        <v>4.6088898357608441</v>
      </c>
      <c r="Q75">
        <f t="shared" si="98"/>
        <v>16.743693493600002</v>
      </c>
      <c r="R75">
        <f t="shared" si="99"/>
        <v>0.35592910017879043</v>
      </c>
      <c r="S75">
        <f t="shared" si="100"/>
        <v>2.9065735079736092</v>
      </c>
      <c r="T75">
        <f t="shared" si="101"/>
        <v>0.33336674177478159</v>
      </c>
      <c r="U75">
        <f t="shared" si="102"/>
        <v>0.21026205544288695</v>
      </c>
      <c r="V75">
        <f t="shared" si="103"/>
        <v>289.59257101274034</v>
      </c>
      <c r="W75">
        <f t="shared" si="104"/>
        <v>30.52627581737762</v>
      </c>
      <c r="X75">
        <f t="shared" si="105"/>
        <v>29.9421</v>
      </c>
      <c r="Y75">
        <f t="shared" si="106"/>
        <v>4.2463011899853056</v>
      </c>
      <c r="Z75">
        <f t="shared" si="107"/>
        <v>60.171576881600139</v>
      </c>
      <c r="AA75">
        <f t="shared" si="108"/>
        <v>2.6081476776186001</v>
      </c>
      <c r="AB75">
        <f t="shared" si="109"/>
        <v>4.3345177453977364</v>
      </c>
      <c r="AC75">
        <f t="shared" si="110"/>
        <v>1.6381535123667055</v>
      </c>
      <c r="AD75">
        <f t="shared" si="111"/>
        <v>-251.48229100281995</v>
      </c>
      <c r="AE75">
        <f t="shared" si="112"/>
        <v>56.145320121639152</v>
      </c>
      <c r="AF75">
        <f t="shared" si="113"/>
        <v>4.3002406538872888</v>
      </c>
      <c r="AG75">
        <f t="shared" si="114"/>
        <v>98.555840785446804</v>
      </c>
      <c r="AH75">
        <v>0</v>
      </c>
      <c r="AI75">
        <v>0</v>
      </c>
      <c r="AJ75">
        <f t="shared" si="115"/>
        <v>1</v>
      </c>
      <c r="AK75">
        <f t="shared" si="116"/>
        <v>0</v>
      </c>
      <c r="AL75">
        <f t="shared" si="117"/>
        <v>51628.139833558533</v>
      </c>
      <c r="AM75" t="s">
        <v>414</v>
      </c>
      <c r="AN75">
        <v>7361.72</v>
      </c>
      <c r="AO75">
        <v>541.39076923076925</v>
      </c>
      <c r="AP75">
        <v>2141.9899999999998</v>
      </c>
      <c r="AQ75">
        <f t="shared" si="118"/>
        <v>0.74724869433061347</v>
      </c>
      <c r="AR75">
        <v>-0.96077199609010144</v>
      </c>
      <c r="AS75" t="s">
        <v>721</v>
      </c>
      <c r="AT75">
        <v>7345.8</v>
      </c>
      <c r="AU75">
        <v>695.55560000000003</v>
      </c>
      <c r="AV75">
        <v>871.99067109675968</v>
      </c>
      <c r="AW75">
        <f t="shared" si="119"/>
        <v>0.20233596177679947</v>
      </c>
      <c r="AX75">
        <v>0.5</v>
      </c>
      <c r="AY75">
        <f t="shared" si="120"/>
        <v>1513.2891000066011</v>
      </c>
      <c r="AZ75">
        <f t="shared" si="121"/>
        <v>25.108821609392844</v>
      </c>
      <c r="BA75">
        <f t="shared" si="122"/>
        <v>153.09640274809146</v>
      </c>
      <c r="BB75">
        <f t="shared" si="123"/>
        <v>1.7227107236396026E-2</v>
      </c>
      <c r="BC75">
        <f t="shared" si="124"/>
        <v>1.4564368301164035</v>
      </c>
      <c r="BD75">
        <f t="shared" si="125"/>
        <v>395.71984128884327</v>
      </c>
      <c r="BE75" t="s">
        <v>722</v>
      </c>
      <c r="BF75">
        <v>558.02</v>
      </c>
      <c r="BG75">
        <f t="shared" si="126"/>
        <v>558.02</v>
      </c>
      <c r="BH75">
        <f t="shared" si="127"/>
        <v>0.36006196110086619</v>
      </c>
      <c r="BI75">
        <f t="shared" si="128"/>
        <v>0.56194761912135982</v>
      </c>
      <c r="BJ75">
        <f t="shared" si="129"/>
        <v>0.80178243836893381</v>
      </c>
      <c r="BK75">
        <f t="shared" si="130"/>
        <v>0.53368155919259197</v>
      </c>
      <c r="BL75">
        <f t="shared" si="131"/>
        <v>0.79345241737551775</v>
      </c>
      <c r="BM75">
        <f t="shared" si="132"/>
        <v>0.45083097659209587</v>
      </c>
      <c r="BN75">
        <f t="shared" si="133"/>
        <v>0.54916902340790408</v>
      </c>
      <c r="BO75">
        <v>1547</v>
      </c>
      <c r="BP75">
        <v>290.00000000000011</v>
      </c>
      <c r="BQ75">
        <v>818.08</v>
      </c>
      <c r="BR75">
        <v>295</v>
      </c>
      <c r="BS75">
        <v>7345.8</v>
      </c>
      <c r="BT75">
        <v>819.97</v>
      </c>
      <c r="BU75">
        <v>-1.89</v>
      </c>
      <c r="BV75">
        <v>300.00000000000011</v>
      </c>
      <c r="BW75">
        <v>37.9</v>
      </c>
      <c r="BX75">
        <v>871.99067109675968</v>
      </c>
      <c r="BY75">
        <v>0.89249589469554591</v>
      </c>
      <c r="BZ75">
        <v>-38.215954340210601</v>
      </c>
      <c r="CA75">
        <v>0.54962241745333051</v>
      </c>
      <c r="CB75">
        <v>0.99424176360088701</v>
      </c>
      <c r="CC75">
        <v>-7.2372264738598457E-3</v>
      </c>
      <c r="CD75">
        <v>289.99999999999989</v>
      </c>
      <c r="CE75">
        <v>821.42</v>
      </c>
      <c r="CF75">
        <v>795</v>
      </c>
      <c r="CG75">
        <v>7337.04</v>
      </c>
      <c r="CH75">
        <v>819.9</v>
      </c>
      <c r="CI75">
        <v>1.52</v>
      </c>
      <c r="CW75">
        <f t="shared" si="134"/>
        <v>1800.12</v>
      </c>
      <c r="CX75">
        <f t="shared" si="135"/>
        <v>1513.2891000066011</v>
      </c>
      <c r="CY75">
        <f t="shared" si="136"/>
        <v>0.84066012266215651</v>
      </c>
      <c r="CZ75">
        <f t="shared" si="137"/>
        <v>0.16087403673796211</v>
      </c>
      <c r="DA75">
        <v>6</v>
      </c>
      <c r="DB75">
        <v>0.5</v>
      </c>
      <c r="DC75" t="s">
        <v>415</v>
      </c>
      <c r="DD75">
        <v>2</v>
      </c>
      <c r="DE75">
        <v>1691177253.5999999</v>
      </c>
      <c r="DF75">
        <v>168.8</v>
      </c>
      <c r="DG75">
        <v>200.07900000000001</v>
      </c>
      <c r="DH75">
        <v>26.293800000000001</v>
      </c>
      <c r="DI75">
        <v>19.632100000000001</v>
      </c>
      <c r="DJ75">
        <v>169.16900000000001</v>
      </c>
      <c r="DK75">
        <v>25.954999999999998</v>
      </c>
      <c r="DL75">
        <v>500.10700000000003</v>
      </c>
      <c r="DM75">
        <v>99.092399999999998</v>
      </c>
      <c r="DN75">
        <v>0.10009700000000001</v>
      </c>
      <c r="DO75">
        <v>30.3004</v>
      </c>
      <c r="DP75">
        <v>29.9421</v>
      </c>
      <c r="DQ75">
        <v>999.9</v>
      </c>
      <c r="DR75">
        <v>0</v>
      </c>
      <c r="DS75">
        <v>0</v>
      </c>
      <c r="DT75">
        <v>9960</v>
      </c>
      <c r="DU75">
        <v>0</v>
      </c>
      <c r="DV75">
        <v>579.33199999999999</v>
      </c>
      <c r="DW75">
        <v>-31.278099999999998</v>
      </c>
      <c r="DX75">
        <v>173.35900000000001</v>
      </c>
      <c r="DY75">
        <v>204.08500000000001</v>
      </c>
      <c r="DZ75">
        <v>6.6616400000000002</v>
      </c>
      <c r="EA75">
        <v>200.07900000000001</v>
      </c>
      <c r="EB75">
        <v>19.632100000000001</v>
      </c>
      <c r="EC75">
        <v>2.6055100000000002</v>
      </c>
      <c r="ED75">
        <v>1.94539</v>
      </c>
      <c r="EE75">
        <v>21.701000000000001</v>
      </c>
      <c r="EF75">
        <v>17.006799999999998</v>
      </c>
      <c r="EG75">
        <v>1800.12</v>
      </c>
      <c r="EH75">
        <v>0.97799400000000003</v>
      </c>
      <c r="EI75">
        <v>2.2006000000000001E-2</v>
      </c>
      <c r="EJ75">
        <v>0</v>
      </c>
      <c r="EK75">
        <v>694.96</v>
      </c>
      <c r="EL75">
        <v>9.9989999999999996E-2</v>
      </c>
      <c r="EM75">
        <v>12993</v>
      </c>
      <c r="EN75">
        <v>16706.3</v>
      </c>
      <c r="EO75">
        <v>48.311999999999998</v>
      </c>
      <c r="EP75">
        <v>49.936999999999998</v>
      </c>
      <c r="EQ75">
        <v>49.186999999999998</v>
      </c>
      <c r="ER75">
        <v>48.875</v>
      </c>
      <c r="ES75">
        <v>49.436999999999998</v>
      </c>
      <c r="ET75">
        <v>1760.41</v>
      </c>
      <c r="EU75">
        <v>39.61</v>
      </c>
      <c r="EV75">
        <v>0</v>
      </c>
      <c r="EW75">
        <v>162.5999999046326</v>
      </c>
      <c r="EX75">
        <v>0</v>
      </c>
      <c r="EY75">
        <v>695.55560000000003</v>
      </c>
      <c r="EZ75">
        <v>-0.30076928591263258</v>
      </c>
      <c r="FA75">
        <v>-29.623076842975639</v>
      </c>
      <c r="FB75">
        <v>12993.776</v>
      </c>
      <c r="FC75">
        <v>15</v>
      </c>
      <c r="FD75">
        <v>1691177189.5999999</v>
      </c>
      <c r="FE75" t="s">
        <v>723</v>
      </c>
      <c r="FF75">
        <v>1691177179.0999999</v>
      </c>
      <c r="FG75">
        <v>1691177189.5999999</v>
      </c>
      <c r="FH75">
        <v>82</v>
      </c>
      <c r="FI75">
        <v>-2.7E-2</v>
      </c>
      <c r="FJ75">
        <v>2E-3</v>
      </c>
      <c r="FK75">
        <v>-0.40300000000000002</v>
      </c>
      <c r="FL75">
        <v>0.129</v>
      </c>
      <c r="FM75">
        <v>200</v>
      </c>
      <c r="FN75">
        <v>20</v>
      </c>
      <c r="FO75">
        <v>0.17</v>
      </c>
      <c r="FP75">
        <v>0.04</v>
      </c>
      <c r="FQ75">
        <v>24.828122582762109</v>
      </c>
      <c r="FR75">
        <v>0.69107361816122259</v>
      </c>
      <c r="FS75">
        <v>8.403164092255376E-2</v>
      </c>
      <c r="FT75">
        <v>1</v>
      </c>
      <c r="FU75">
        <v>0.35437759072647668</v>
      </c>
      <c r="FV75">
        <v>3.7959512709713879E-2</v>
      </c>
      <c r="FW75">
        <v>3.2445235054441679E-3</v>
      </c>
      <c r="FX75">
        <v>1</v>
      </c>
      <c r="FY75">
        <v>2</v>
      </c>
      <c r="FZ75">
        <v>2</v>
      </c>
      <c r="GA75" t="s">
        <v>416</v>
      </c>
      <c r="GB75">
        <v>2.9666000000000001</v>
      </c>
      <c r="GC75">
        <v>2.8114400000000002</v>
      </c>
      <c r="GD75">
        <v>4.6130999999999998E-2</v>
      </c>
      <c r="GE75">
        <v>5.3069100000000001E-2</v>
      </c>
      <c r="GF75">
        <v>0.12564900000000001</v>
      </c>
      <c r="GG75">
        <v>0.101795</v>
      </c>
      <c r="GH75">
        <v>28042.7</v>
      </c>
      <c r="GI75">
        <v>25637.200000000001</v>
      </c>
      <c r="GJ75">
        <v>26438.1</v>
      </c>
      <c r="GK75">
        <v>25561.7</v>
      </c>
      <c r="GL75">
        <v>31461.4</v>
      </c>
      <c r="GM75">
        <v>32416.9</v>
      </c>
      <c r="GN75">
        <v>37412.9</v>
      </c>
      <c r="GO75">
        <v>37903.1</v>
      </c>
      <c r="GP75">
        <v>1.9123000000000001</v>
      </c>
      <c r="GQ75">
        <v>1.8225</v>
      </c>
      <c r="GR75">
        <v>1.3113000000000001E-3</v>
      </c>
      <c r="GS75">
        <v>0</v>
      </c>
      <c r="GT75">
        <v>29.9208</v>
      </c>
      <c r="GU75">
        <v>999.9</v>
      </c>
      <c r="GV75">
        <v>23.9</v>
      </c>
      <c r="GW75">
        <v>49.3</v>
      </c>
      <c r="GX75">
        <v>28.9224</v>
      </c>
      <c r="GY75">
        <v>61.931899999999999</v>
      </c>
      <c r="GZ75">
        <v>13.4054</v>
      </c>
      <c r="HA75">
        <v>1</v>
      </c>
      <c r="HB75">
        <v>0.67828299999999997</v>
      </c>
      <c r="HC75">
        <v>3.2342</v>
      </c>
      <c r="HD75">
        <v>20.2135</v>
      </c>
      <c r="HE75">
        <v>5.2088999999999999</v>
      </c>
      <c r="HF75">
        <v>11.9381</v>
      </c>
      <c r="HG75">
        <v>4.9866000000000001</v>
      </c>
      <c r="HH75">
        <v>3.2909000000000002</v>
      </c>
      <c r="HI75">
        <v>9999</v>
      </c>
      <c r="HJ75">
        <v>9999</v>
      </c>
      <c r="HK75">
        <v>9999</v>
      </c>
      <c r="HL75">
        <v>999.9</v>
      </c>
      <c r="HM75">
        <v>1.8714900000000001</v>
      </c>
      <c r="HN75">
        <v>1.87744</v>
      </c>
      <c r="HO75">
        <v>1.87523</v>
      </c>
      <c r="HP75">
        <v>1.8734599999999999</v>
      </c>
      <c r="HQ75">
        <v>1.8739399999999999</v>
      </c>
      <c r="HR75">
        <v>1.87134</v>
      </c>
      <c r="HS75">
        <v>1.87714</v>
      </c>
      <c r="HT75">
        <v>1.8763700000000001</v>
      </c>
      <c r="HU75">
        <v>5</v>
      </c>
      <c r="HV75">
        <v>0</v>
      </c>
      <c r="HW75">
        <v>0</v>
      </c>
      <c r="HX75">
        <v>0</v>
      </c>
      <c r="HY75" t="s">
        <v>417</v>
      </c>
      <c r="HZ75" t="s">
        <v>418</v>
      </c>
      <c r="IA75" t="s">
        <v>419</v>
      </c>
      <c r="IB75" t="s">
        <v>420</v>
      </c>
      <c r="IC75" t="s">
        <v>420</v>
      </c>
      <c r="ID75" t="s">
        <v>419</v>
      </c>
      <c r="IE75">
        <v>0</v>
      </c>
      <c r="IF75">
        <v>100</v>
      </c>
      <c r="IG75">
        <v>100</v>
      </c>
      <c r="IH75">
        <v>-0.36899999999999999</v>
      </c>
      <c r="II75">
        <v>0.33879999999999999</v>
      </c>
      <c r="IJ75">
        <v>-0.1354080693221589</v>
      </c>
      <c r="IK75">
        <v>-1.615681629159814E-3</v>
      </c>
      <c r="IL75">
        <v>1.5005605225991581E-6</v>
      </c>
      <c r="IM75">
        <v>-5.1143626075267638E-10</v>
      </c>
      <c r="IN75">
        <v>-0.1891958757795846</v>
      </c>
      <c r="IO75">
        <v>-1.7182111142928099E-3</v>
      </c>
      <c r="IP75">
        <v>9.9985895407488957E-4</v>
      </c>
      <c r="IQ75">
        <v>-5.7750407166627208E-6</v>
      </c>
      <c r="IR75">
        <v>3</v>
      </c>
      <c r="IS75">
        <v>2181</v>
      </c>
      <c r="IT75">
        <v>2</v>
      </c>
      <c r="IU75">
        <v>42</v>
      </c>
      <c r="IV75">
        <v>1.2</v>
      </c>
      <c r="IW75">
        <v>1.1000000000000001</v>
      </c>
      <c r="IX75">
        <v>0.55175799999999997</v>
      </c>
      <c r="IY75">
        <v>2.5720200000000002</v>
      </c>
      <c r="IZ75">
        <v>1.5991200000000001</v>
      </c>
      <c r="JA75">
        <v>2.2729499999999998</v>
      </c>
      <c r="JB75">
        <v>1.5502899999999999</v>
      </c>
      <c r="JC75">
        <v>2.4682599999999999</v>
      </c>
      <c r="JD75">
        <v>54.3446</v>
      </c>
      <c r="JE75">
        <v>23.886099999999999</v>
      </c>
      <c r="JF75">
        <v>18</v>
      </c>
      <c r="JG75">
        <v>502.12099999999998</v>
      </c>
      <c r="JH75">
        <v>415.12799999999999</v>
      </c>
      <c r="JI75">
        <v>25.6434</v>
      </c>
      <c r="JJ75">
        <v>35.6509</v>
      </c>
      <c r="JK75">
        <v>29.9986</v>
      </c>
      <c r="JL75">
        <v>35.741300000000003</v>
      </c>
      <c r="JM75">
        <v>35.719700000000003</v>
      </c>
      <c r="JN75">
        <v>11.0695</v>
      </c>
      <c r="JO75">
        <v>34.657899999999998</v>
      </c>
      <c r="JP75">
        <v>0</v>
      </c>
      <c r="JQ75">
        <v>25.6555</v>
      </c>
      <c r="JR75">
        <v>200</v>
      </c>
      <c r="JS75">
        <v>19.5717</v>
      </c>
      <c r="JT75">
        <v>98.687700000000007</v>
      </c>
      <c r="JU75">
        <v>98.372500000000002</v>
      </c>
    </row>
    <row r="76" spans="1:281" x14ac:dyDescent="0.25">
      <c r="A76">
        <v>60</v>
      </c>
      <c r="B76">
        <v>1691177354.5999999</v>
      </c>
      <c r="C76">
        <v>17624</v>
      </c>
      <c r="D76" t="s">
        <v>724</v>
      </c>
      <c r="E76" t="s">
        <v>725</v>
      </c>
      <c r="F76" t="s">
        <v>411</v>
      </c>
      <c r="G76" t="s">
        <v>710</v>
      </c>
      <c r="H76" t="s">
        <v>412</v>
      </c>
      <c r="I76" t="s">
        <v>31</v>
      </c>
      <c r="J76">
        <v>1691177354.5999999</v>
      </c>
      <c r="K76">
        <f t="shared" si="92"/>
        <v>5.9149322407449027E-3</v>
      </c>
      <c r="L76">
        <f t="shared" si="93"/>
        <v>5.9149322407449025</v>
      </c>
      <c r="M76">
        <f t="shared" si="94"/>
        <v>15.384006803114314</v>
      </c>
      <c r="N76">
        <f t="shared" si="95"/>
        <v>100.84399999999999</v>
      </c>
      <c r="O76">
        <f t="shared" si="96"/>
        <v>28.620762913826013</v>
      </c>
      <c r="P76">
        <f t="shared" si="97"/>
        <v>2.8386289002279503</v>
      </c>
      <c r="Q76">
        <f t="shared" si="98"/>
        <v>10.001784147979599</v>
      </c>
      <c r="R76">
        <f t="shared" si="99"/>
        <v>0.37032146864552901</v>
      </c>
      <c r="S76">
        <f t="shared" si="100"/>
        <v>2.9125138316216814</v>
      </c>
      <c r="T76">
        <f t="shared" si="101"/>
        <v>0.34601069750955271</v>
      </c>
      <c r="U76">
        <f t="shared" si="102"/>
        <v>0.21830777862257206</v>
      </c>
      <c r="V76">
        <f t="shared" si="103"/>
        <v>289.5563010127355</v>
      </c>
      <c r="W76">
        <f t="shared" si="104"/>
        <v>30.611308981537348</v>
      </c>
      <c r="X76">
        <f t="shared" si="105"/>
        <v>30.05</v>
      </c>
      <c r="Y76">
        <f t="shared" si="106"/>
        <v>4.2727009329641259</v>
      </c>
      <c r="Z76">
        <f t="shared" si="107"/>
        <v>60.331322690807568</v>
      </c>
      <c r="AA76">
        <f t="shared" si="108"/>
        <v>2.63629391835113</v>
      </c>
      <c r="AB76">
        <f t="shared" si="109"/>
        <v>4.3696935534828105</v>
      </c>
      <c r="AC76">
        <f t="shared" si="110"/>
        <v>1.6364070146129959</v>
      </c>
      <c r="AD76">
        <f t="shared" si="111"/>
        <v>-260.84851181685019</v>
      </c>
      <c r="AE76">
        <f t="shared" si="112"/>
        <v>61.47311298778704</v>
      </c>
      <c r="AF76">
        <f t="shared" si="113"/>
        <v>4.7044923571444981</v>
      </c>
      <c r="AG76">
        <f t="shared" si="114"/>
        <v>94.885394540816833</v>
      </c>
      <c r="AH76">
        <v>0</v>
      </c>
      <c r="AI76">
        <v>0</v>
      </c>
      <c r="AJ76">
        <f t="shared" si="115"/>
        <v>1</v>
      </c>
      <c r="AK76">
        <f t="shared" si="116"/>
        <v>0</v>
      </c>
      <c r="AL76">
        <f t="shared" si="117"/>
        <v>51772.503645138408</v>
      </c>
      <c r="AM76" t="s">
        <v>414</v>
      </c>
      <c r="AN76">
        <v>7361.72</v>
      </c>
      <c r="AO76">
        <v>541.39076923076925</v>
      </c>
      <c r="AP76">
        <v>2141.9899999999998</v>
      </c>
      <c r="AQ76">
        <f t="shared" si="118"/>
        <v>0.74724869433061347</v>
      </c>
      <c r="AR76">
        <v>-0.96077199609010144</v>
      </c>
      <c r="AS76" t="s">
        <v>726</v>
      </c>
      <c r="AT76">
        <v>7347.11</v>
      </c>
      <c r="AU76">
        <v>708.53859999999997</v>
      </c>
      <c r="AV76">
        <v>829.0579332427784</v>
      </c>
      <c r="AW76">
        <f t="shared" si="119"/>
        <v>0.14536901271950797</v>
      </c>
      <c r="AX76">
        <v>0.5</v>
      </c>
      <c r="AY76">
        <f t="shared" si="120"/>
        <v>1513.103700006599</v>
      </c>
      <c r="AZ76">
        <f t="shared" si="121"/>
        <v>15.384006803114314</v>
      </c>
      <c r="BA76">
        <f t="shared" si="122"/>
        <v>109.97919550609693</v>
      </c>
      <c r="BB76">
        <f t="shared" si="123"/>
        <v>1.08021537447388E-2</v>
      </c>
      <c r="BC76">
        <f t="shared" si="124"/>
        <v>1.5836433307161264</v>
      </c>
      <c r="BD76">
        <f t="shared" si="125"/>
        <v>386.63370178726171</v>
      </c>
      <c r="BE76" t="s">
        <v>727</v>
      </c>
      <c r="BF76">
        <v>578.51</v>
      </c>
      <c r="BG76">
        <f t="shared" si="126"/>
        <v>578.51</v>
      </c>
      <c r="BH76">
        <f t="shared" si="127"/>
        <v>0.30220799198288217</v>
      </c>
      <c r="BI76">
        <f t="shared" si="128"/>
        <v>0.48102305887311558</v>
      </c>
      <c r="BJ76">
        <f t="shared" si="129"/>
        <v>0.83974983163022343</v>
      </c>
      <c r="BK76">
        <f t="shared" si="130"/>
        <v>0.41895408416425012</v>
      </c>
      <c r="BL76">
        <f t="shared" si="131"/>
        <v>0.82027533283659071</v>
      </c>
      <c r="BM76">
        <f t="shared" si="132"/>
        <v>0.39274733908454118</v>
      </c>
      <c r="BN76">
        <f t="shared" si="133"/>
        <v>0.60725266091545882</v>
      </c>
      <c r="BO76">
        <v>1549</v>
      </c>
      <c r="BP76">
        <v>290.00000000000011</v>
      </c>
      <c r="BQ76">
        <v>796.38</v>
      </c>
      <c r="BR76">
        <v>285</v>
      </c>
      <c r="BS76">
        <v>7347.11</v>
      </c>
      <c r="BT76">
        <v>797.15</v>
      </c>
      <c r="BU76">
        <v>-0.77</v>
      </c>
      <c r="BV76">
        <v>300.00000000000011</v>
      </c>
      <c r="BW76">
        <v>37.9</v>
      </c>
      <c r="BX76">
        <v>829.0579332427784</v>
      </c>
      <c r="BY76">
        <v>0.76342713816748753</v>
      </c>
      <c r="BZ76">
        <v>-23.44334331467163</v>
      </c>
      <c r="CA76">
        <v>0.47022519032105597</v>
      </c>
      <c r="CB76">
        <v>0.9888604987452474</v>
      </c>
      <c r="CC76">
        <v>-7.2383047830923281E-3</v>
      </c>
      <c r="CD76">
        <v>289.99999999999989</v>
      </c>
      <c r="CE76">
        <v>798.03</v>
      </c>
      <c r="CF76">
        <v>655</v>
      </c>
      <c r="CG76">
        <v>7342.61</v>
      </c>
      <c r="CH76">
        <v>797.13</v>
      </c>
      <c r="CI76">
        <v>0.9</v>
      </c>
      <c r="CW76">
        <f t="shared" si="134"/>
        <v>1799.9</v>
      </c>
      <c r="CX76">
        <f t="shared" si="135"/>
        <v>1513.103700006599</v>
      </c>
      <c r="CY76">
        <f t="shared" si="136"/>
        <v>0.8406598699964436</v>
      </c>
      <c r="CZ76">
        <f t="shared" si="137"/>
        <v>0.160873549093136</v>
      </c>
      <c r="DA76">
        <v>6</v>
      </c>
      <c r="DB76">
        <v>0.5</v>
      </c>
      <c r="DC76" t="s">
        <v>415</v>
      </c>
      <c r="DD76">
        <v>2</v>
      </c>
      <c r="DE76">
        <v>1691177354.5999999</v>
      </c>
      <c r="DF76">
        <v>100.84399999999999</v>
      </c>
      <c r="DG76">
        <v>120.026</v>
      </c>
      <c r="DH76">
        <v>26.5807</v>
      </c>
      <c r="DI76">
        <v>19.669499999999999</v>
      </c>
      <c r="DJ76">
        <v>101.152</v>
      </c>
      <c r="DK76">
        <v>26.227499999999999</v>
      </c>
      <c r="DL76">
        <v>499.85899999999998</v>
      </c>
      <c r="DM76">
        <v>99.081599999999995</v>
      </c>
      <c r="DN76">
        <v>9.9155900000000005E-2</v>
      </c>
      <c r="DO76">
        <v>30.441500000000001</v>
      </c>
      <c r="DP76">
        <v>30.05</v>
      </c>
      <c r="DQ76">
        <v>999.9</v>
      </c>
      <c r="DR76">
        <v>0</v>
      </c>
      <c r="DS76">
        <v>0</v>
      </c>
      <c r="DT76">
        <v>9995</v>
      </c>
      <c r="DU76">
        <v>0</v>
      </c>
      <c r="DV76">
        <v>1356.48</v>
      </c>
      <c r="DW76">
        <v>-19.1812</v>
      </c>
      <c r="DX76">
        <v>103.598</v>
      </c>
      <c r="DY76">
        <v>122.434</v>
      </c>
      <c r="DZ76">
        <v>6.9111399999999996</v>
      </c>
      <c r="EA76">
        <v>120.026</v>
      </c>
      <c r="EB76">
        <v>19.669499999999999</v>
      </c>
      <c r="EC76">
        <v>2.6336499999999998</v>
      </c>
      <c r="ED76">
        <v>1.94889</v>
      </c>
      <c r="EE76">
        <v>21.876899999999999</v>
      </c>
      <c r="EF76">
        <v>17.0351</v>
      </c>
      <c r="EG76">
        <v>1799.9</v>
      </c>
      <c r="EH76">
        <v>0.97800399999999998</v>
      </c>
      <c r="EI76">
        <v>2.19957E-2</v>
      </c>
      <c r="EJ76">
        <v>0</v>
      </c>
      <c r="EK76">
        <v>706.52</v>
      </c>
      <c r="EL76">
        <v>9.9989999999999996E-2</v>
      </c>
      <c r="EM76">
        <v>13686.7</v>
      </c>
      <c r="EN76">
        <v>16704.400000000001</v>
      </c>
      <c r="EO76">
        <v>48</v>
      </c>
      <c r="EP76">
        <v>49.561999999999998</v>
      </c>
      <c r="EQ76">
        <v>48.875</v>
      </c>
      <c r="ER76">
        <v>48.5</v>
      </c>
      <c r="ES76">
        <v>49.125</v>
      </c>
      <c r="ET76">
        <v>1760.21</v>
      </c>
      <c r="EU76">
        <v>39.590000000000003</v>
      </c>
      <c r="EV76">
        <v>0</v>
      </c>
      <c r="EW76">
        <v>99</v>
      </c>
      <c r="EX76">
        <v>0</v>
      </c>
      <c r="EY76">
        <v>708.53859999999997</v>
      </c>
      <c r="EZ76">
        <v>-7.5669231020554859</v>
      </c>
      <c r="FA76">
        <v>642.02307605922579</v>
      </c>
      <c r="FB76">
        <v>13602.652</v>
      </c>
      <c r="FC76">
        <v>15</v>
      </c>
      <c r="FD76">
        <v>1691177322.0999999</v>
      </c>
      <c r="FE76" t="s">
        <v>728</v>
      </c>
      <c r="FF76">
        <v>1691177316.0999999</v>
      </c>
      <c r="FG76">
        <v>1691177322.0999999</v>
      </c>
      <c r="FH76">
        <v>83</v>
      </c>
      <c r="FI76">
        <v>-2.4E-2</v>
      </c>
      <c r="FJ76">
        <v>4.0000000000000001E-3</v>
      </c>
      <c r="FK76">
        <v>-0.33300000000000002</v>
      </c>
      <c r="FL76">
        <v>0.11700000000000001</v>
      </c>
      <c r="FM76">
        <v>120</v>
      </c>
      <c r="FN76">
        <v>20</v>
      </c>
      <c r="FO76">
        <v>0.23</v>
      </c>
      <c r="FP76">
        <v>0.04</v>
      </c>
      <c r="FQ76">
        <v>15.40892304644713</v>
      </c>
      <c r="FR76">
        <v>-0.12976012294548661</v>
      </c>
      <c r="FS76">
        <v>7.1732395690708495E-2</v>
      </c>
      <c r="FT76">
        <v>1</v>
      </c>
      <c r="FU76">
        <v>0.36956829166398408</v>
      </c>
      <c r="FV76">
        <v>6.9677609901236054E-3</v>
      </c>
      <c r="FW76">
        <v>1.472161495192074E-3</v>
      </c>
      <c r="FX76">
        <v>1</v>
      </c>
      <c r="FY76">
        <v>2</v>
      </c>
      <c r="FZ76">
        <v>2</v>
      </c>
      <c r="GA76" t="s">
        <v>416</v>
      </c>
      <c r="GB76">
        <v>2.9662299999999999</v>
      </c>
      <c r="GC76">
        <v>2.8108</v>
      </c>
      <c r="GD76">
        <v>2.84499E-2</v>
      </c>
      <c r="GE76">
        <v>3.3121100000000001E-2</v>
      </c>
      <c r="GF76">
        <v>0.126639</v>
      </c>
      <c r="GG76">
        <v>0.101981</v>
      </c>
      <c r="GH76">
        <v>28574.799999999999</v>
      </c>
      <c r="GI76">
        <v>26194.5</v>
      </c>
      <c r="GJ76">
        <v>26448.5</v>
      </c>
      <c r="GK76">
        <v>25577.200000000001</v>
      </c>
      <c r="GL76">
        <v>31435.3</v>
      </c>
      <c r="GM76">
        <v>32426.6</v>
      </c>
      <c r="GN76">
        <v>37428.199999999997</v>
      </c>
      <c r="GO76">
        <v>37924.300000000003</v>
      </c>
      <c r="GP76">
        <v>1.9153</v>
      </c>
      <c r="GQ76">
        <v>1.8261000000000001</v>
      </c>
      <c r="GR76">
        <v>1.20699E-2</v>
      </c>
      <c r="GS76">
        <v>0</v>
      </c>
      <c r="GT76">
        <v>29.8536</v>
      </c>
      <c r="GU76">
        <v>999.9</v>
      </c>
      <c r="GV76">
        <v>23.8</v>
      </c>
      <c r="GW76">
        <v>49.3</v>
      </c>
      <c r="GX76">
        <v>28.807300000000001</v>
      </c>
      <c r="GY76">
        <v>61.791899999999998</v>
      </c>
      <c r="GZ76">
        <v>13.754</v>
      </c>
      <c r="HA76">
        <v>1</v>
      </c>
      <c r="HB76">
        <v>0.65710400000000002</v>
      </c>
      <c r="HC76">
        <v>3.7936999999999999</v>
      </c>
      <c r="HD76">
        <v>20.200299999999999</v>
      </c>
      <c r="HE76">
        <v>5.1963200000000001</v>
      </c>
      <c r="HF76">
        <v>11.9381</v>
      </c>
      <c r="HG76">
        <v>4.984</v>
      </c>
      <c r="HH76">
        <v>3.2881999999999998</v>
      </c>
      <c r="HI76">
        <v>9999</v>
      </c>
      <c r="HJ76">
        <v>9999</v>
      </c>
      <c r="HK76">
        <v>9999</v>
      </c>
      <c r="HL76">
        <v>999.9</v>
      </c>
      <c r="HM76">
        <v>1.87151</v>
      </c>
      <c r="HN76">
        <v>1.87744</v>
      </c>
      <c r="HO76">
        <v>1.87523</v>
      </c>
      <c r="HP76">
        <v>1.87347</v>
      </c>
      <c r="HQ76">
        <v>1.8739600000000001</v>
      </c>
      <c r="HR76">
        <v>1.87134</v>
      </c>
      <c r="HS76">
        <v>1.87714</v>
      </c>
      <c r="HT76">
        <v>1.8763700000000001</v>
      </c>
      <c r="HU76">
        <v>5</v>
      </c>
      <c r="HV76">
        <v>0</v>
      </c>
      <c r="HW76">
        <v>0</v>
      </c>
      <c r="HX76">
        <v>0</v>
      </c>
      <c r="HY76" t="s">
        <v>417</v>
      </c>
      <c r="HZ76" t="s">
        <v>418</v>
      </c>
      <c r="IA76" t="s">
        <v>419</v>
      </c>
      <c r="IB76" t="s">
        <v>420</v>
      </c>
      <c r="IC76" t="s">
        <v>420</v>
      </c>
      <c r="ID76" t="s">
        <v>419</v>
      </c>
      <c r="IE76">
        <v>0</v>
      </c>
      <c r="IF76">
        <v>100</v>
      </c>
      <c r="IG76">
        <v>100</v>
      </c>
      <c r="IH76">
        <v>-0.308</v>
      </c>
      <c r="II76">
        <v>0.35320000000000001</v>
      </c>
      <c r="IJ76">
        <v>-0.15937848198228649</v>
      </c>
      <c r="IK76">
        <v>-1.615681629159814E-3</v>
      </c>
      <c r="IL76">
        <v>1.5005605225991581E-6</v>
      </c>
      <c r="IM76">
        <v>-5.1143626075267638E-10</v>
      </c>
      <c r="IN76">
        <v>-0.1853467433689128</v>
      </c>
      <c r="IO76">
        <v>-1.7182111142928099E-3</v>
      </c>
      <c r="IP76">
        <v>9.9985895407488957E-4</v>
      </c>
      <c r="IQ76">
        <v>-5.7750407166627208E-6</v>
      </c>
      <c r="IR76">
        <v>3</v>
      </c>
      <c r="IS76">
        <v>2181</v>
      </c>
      <c r="IT76">
        <v>2</v>
      </c>
      <c r="IU76">
        <v>42</v>
      </c>
      <c r="IV76">
        <v>0.6</v>
      </c>
      <c r="IW76">
        <v>0.5</v>
      </c>
      <c r="IX76">
        <v>0.384521</v>
      </c>
      <c r="IY76">
        <v>2.5915499999999998</v>
      </c>
      <c r="IZ76">
        <v>1.5991200000000001</v>
      </c>
      <c r="JA76">
        <v>2.2717299999999998</v>
      </c>
      <c r="JB76">
        <v>1.5502899999999999</v>
      </c>
      <c r="JC76">
        <v>2.3864700000000001</v>
      </c>
      <c r="JD76">
        <v>54.056699999999999</v>
      </c>
      <c r="JE76">
        <v>23.886099999999999</v>
      </c>
      <c r="JF76">
        <v>18</v>
      </c>
      <c r="JG76">
        <v>502.19799999999998</v>
      </c>
      <c r="JH76">
        <v>415.69600000000003</v>
      </c>
      <c r="JI76">
        <v>25.5731</v>
      </c>
      <c r="JJ76">
        <v>35.347700000000003</v>
      </c>
      <c r="JK76">
        <v>29.999700000000001</v>
      </c>
      <c r="JL76">
        <v>35.488199999999999</v>
      </c>
      <c r="JM76">
        <v>35.475000000000001</v>
      </c>
      <c r="JN76">
        <v>7.7461799999999998</v>
      </c>
      <c r="JO76">
        <v>34.583199999999998</v>
      </c>
      <c r="JP76">
        <v>0</v>
      </c>
      <c r="JQ76">
        <v>25.572500000000002</v>
      </c>
      <c r="JR76">
        <v>120</v>
      </c>
      <c r="JS76">
        <v>19.5656</v>
      </c>
      <c r="JT76">
        <v>98.727599999999995</v>
      </c>
      <c r="JU76">
        <v>98.429400000000001</v>
      </c>
    </row>
    <row r="77" spans="1:281" x14ac:dyDescent="0.25">
      <c r="A77">
        <v>61</v>
      </c>
      <c r="B77">
        <v>1691177471.0999999</v>
      </c>
      <c r="C77">
        <v>17740.5</v>
      </c>
      <c r="D77" t="s">
        <v>729</v>
      </c>
      <c r="E77" t="s">
        <v>730</v>
      </c>
      <c r="F77" t="s">
        <v>411</v>
      </c>
      <c r="G77" t="s">
        <v>710</v>
      </c>
      <c r="H77" t="s">
        <v>412</v>
      </c>
      <c r="I77" t="s">
        <v>31</v>
      </c>
      <c r="J77">
        <v>1691177471.0999999</v>
      </c>
      <c r="K77">
        <f t="shared" si="92"/>
        <v>6.8405457121425879E-3</v>
      </c>
      <c r="L77">
        <f t="shared" si="93"/>
        <v>6.8405457121425881</v>
      </c>
      <c r="M77">
        <f t="shared" si="94"/>
        <v>10.252929766419021</v>
      </c>
      <c r="N77">
        <f t="shared" si="95"/>
        <v>57.356699999999996</v>
      </c>
      <c r="O77">
        <f t="shared" si="96"/>
        <v>16.686753838933051</v>
      </c>
      <c r="P77">
        <f t="shared" si="97"/>
        <v>1.655008977553454</v>
      </c>
      <c r="Q77">
        <f t="shared" si="98"/>
        <v>5.6886950175630888</v>
      </c>
      <c r="R77">
        <f t="shared" si="99"/>
        <v>0.44302391436945676</v>
      </c>
      <c r="S77">
        <f t="shared" si="100"/>
        <v>2.9168841109394812</v>
      </c>
      <c r="T77">
        <f t="shared" si="101"/>
        <v>0.40875185116883866</v>
      </c>
      <c r="U77">
        <f t="shared" si="102"/>
        <v>0.25832782124043185</v>
      </c>
      <c r="V77">
        <f t="shared" si="103"/>
        <v>289.57226101273471</v>
      </c>
      <c r="W77">
        <f t="shared" si="104"/>
        <v>30.308348774317544</v>
      </c>
      <c r="X77">
        <f t="shared" si="105"/>
        <v>30.011500000000002</v>
      </c>
      <c r="Y77">
        <f t="shared" si="106"/>
        <v>4.2632648251370604</v>
      </c>
      <c r="Z77">
        <f t="shared" si="107"/>
        <v>61.121296482197941</v>
      </c>
      <c r="AA77">
        <f t="shared" si="108"/>
        <v>2.6613932721509901</v>
      </c>
      <c r="AB77">
        <f t="shared" si="109"/>
        <v>4.354281445790571</v>
      </c>
      <c r="AC77">
        <f t="shared" si="110"/>
        <v>1.6018715529860703</v>
      </c>
      <c r="AD77">
        <f t="shared" si="111"/>
        <v>-301.66806590548811</v>
      </c>
      <c r="AE77">
        <f t="shared" si="112"/>
        <v>57.917037194397061</v>
      </c>
      <c r="AF77">
        <f t="shared" si="113"/>
        <v>4.4235142286369689</v>
      </c>
      <c r="AG77">
        <f t="shared" si="114"/>
        <v>50.244746530280644</v>
      </c>
      <c r="AH77">
        <v>0</v>
      </c>
      <c r="AI77">
        <v>0</v>
      </c>
      <c r="AJ77">
        <f t="shared" si="115"/>
        <v>1</v>
      </c>
      <c r="AK77">
        <f t="shared" si="116"/>
        <v>0</v>
      </c>
      <c r="AL77">
        <f t="shared" si="117"/>
        <v>51907.231589591596</v>
      </c>
      <c r="AM77" t="s">
        <v>414</v>
      </c>
      <c r="AN77">
        <v>7361.72</v>
      </c>
      <c r="AO77">
        <v>541.39076923076925</v>
      </c>
      <c r="AP77">
        <v>2141.9899999999998</v>
      </c>
      <c r="AQ77">
        <f t="shared" si="118"/>
        <v>0.74724869433061347</v>
      </c>
      <c r="AR77">
        <v>-0.96077199609010144</v>
      </c>
      <c r="AS77" t="s">
        <v>731</v>
      </c>
      <c r="AT77">
        <v>7347.65</v>
      </c>
      <c r="AU77">
        <v>715.43800000000022</v>
      </c>
      <c r="AV77">
        <v>801.18902337042573</v>
      </c>
      <c r="AW77">
        <f t="shared" si="119"/>
        <v>0.1070297031900036</v>
      </c>
      <c r="AX77">
        <v>0.5</v>
      </c>
      <c r="AY77">
        <f t="shared" si="120"/>
        <v>1513.1877000065981</v>
      </c>
      <c r="AZ77">
        <f t="shared" si="121"/>
        <v>10.252929766419021</v>
      </c>
      <c r="BA77">
        <f t="shared" si="122"/>
        <v>80.978015201235209</v>
      </c>
      <c r="BB77">
        <f t="shared" si="123"/>
        <v>7.4106482377964255E-3</v>
      </c>
      <c r="BC77">
        <f t="shared" si="124"/>
        <v>1.6735139118470692</v>
      </c>
      <c r="BD77">
        <f t="shared" si="125"/>
        <v>380.46191368865823</v>
      </c>
      <c r="BE77" t="s">
        <v>732</v>
      </c>
      <c r="BF77">
        <v>590.62</v>
      </c>
      <c r="BG77">
        <f t="shared" si="126"/>
        <v>590.62</v>
      </c>
      <c r="BH77">
        <f t="shared" si="127"/>
        <v>0.26282065433773449</v>
      </c>
      <c r="BI77">
        <f t="shared" si="128"/>
        <v>0.40723474895723522</v>
      </c>
      <c r="BJ77">
        <f t="shared" si="129"/>
        <v>0.86426898588317047</v>
      </c>
      <c r="BK77">
        <f t="shared" si="130"/>
        <v>0.33006774296616104</v>
      </c>
      <c r="BL77">
        <f t="shared" si="131"/>
        <v>0.83768688054735585</v>
      </c>
      <c r="BM77">
        <f t="shared" si="132"/>
        <v>0.33618704545903655</v>
      </c>
      <c r="BN77">
        <f t="shared" si="133"/>
        <v>0.66381295454096345</v>
      </c>
      <c r="BO77">
        <v>1551</v>
      </c>
      <c r="BP77">
        <v>290.00000000000011</v>
      </c>
      <c r="BQ77">
        <v>775.95</v>
      </c>
      <c r="BR77">
        <v>295</v>
      </c>
      <c r="BS77">
        <v>7347.65</v>
      </c>
      <c r="BT77">
        <v>776.48</v>
      </c>
      <c r="BU77">
        <v>-0.53</v>
      </c>
      <c r="BV77">
        <v>300.00000000000011</v>
      </c>
      <c r="BW77">
        <v>37.9</v>
      </c>
      <c r="BX77">
        <v>801.18902337042573</v>
      </c>
      <c r="BY77">
        <v>1.0680159987198929</v>
      </c>
      <c r="BZ77">
        <v>-18.152996353395469</v>
      </c>
      <c r="CA77">
        <v>0.65788039251570007</v>
      </c>
      <c r="CB77">
        <v>0.96452922578824496</v>
      </c>
      <c r="CC77">
        <v>-7.2389644048943226E-3</v>
      </c>
      <c r="CD77">
        <v>289.99999999999989</v>
      </c>
      <c r="CE77">
        <v>775.83</v>
      </c>
      <c r="CF77">
        <v>645</v>
      </c>
      <c r="CG77">
        <v>7343.51</v>
      </c>
      <c r="CH77">
        <v>776.47</v>
      </c>
      <c r="CI77">
        <v>-0.64</v>
      </c>
      <c r="CW77">
        <f t="shared" si="134"/>
        <v>1800</v>
      </c>
      <c r="CX77">
        <f t="shared" si="135"/>
        <v>1513.1877000065981</v>
      </c>
      <c r="CY77">
        <f t="shared" si="136"/>
        <v>0.84065983333699901</v>
      </c>
      <c r="CZ77">
        <f t="shared" si="137"/>
        <v>0.16087347834040819</v>
      </c>
      <c r="DA77">
        <v>6</v>
      </c>
      <c r="DB77">
        <v>0.5</v>
      </c>
      <c r="DC77" t="s">
        <v>415</v>
      </c>
      <c r="DD77">
        <v>2</v>
      </c>
      <c r="DE77">
        <v>1691177471.0999999</v>
      </c>
      <c r="DF77">
        <v>57.356699999999996</v>
      </c>
      <c r="DG77">
        <v>70.129300000000001</v>
      </c>
      <c r="DH77">
        <v>26.8337</v>
      </c>
      <c r="DI77">
        <v>18.846399999999999</v>
      </c>
      <c r="DJ77">
        <v>57.661799999999999</v>
      </c>
      <c r="DK77">
        <v>26.463699999999999</v>
      </c>
      <c r="DL77">
        <v>500.06799999999998</v>
      </c>
      <c r="DM77">
        <v>99.081599999999995</v>
      </c>
      <c r="DN77">
        <v>9.9402699999999997E-2</v>
      </c>
      <c r="DO77">
        <v>30.379799999999999</v>
      </c>
      <c r="DP77">
        <v>30.011500000000002</v>
      </c>
      <c r="DQ77">
        <v>999.9</v>
      </c>
      <c r="DR77">
        <v>0</v>
      </c>
      <c r="DS77">
        <v>0</v>
      </c>
      <c r="DT77">
        <v>10020</v>
      </c>
      <c r="DU77">
        <v>0</v>
      </c>
      <c r="DV77">
        <v>581.596</v>
      </c>
      <c r="DW77">
        <v>-12.772600000000001</v>
      </c>
      <c r="DX77">
        <v>58.938200000000002</v>
      </c>
      <c r="DY77">
        <v>71.476399999999998</v>
      </c>
      <c r="DZ77">
        <v>7.9872800000000002</v>
      </c>
      <c r="EA77">
        <v>70.129300000000001</v>
      </c>
      <c r="EB77">
        <v>18.846399999999999</v>
      </c>
      <c r="EC77">
        <v>2.6587200000000002</v>
      </c>
      <c r="ED77">
        <v>1.8673299999999999</v>
      </c>
      <c r="EE77">
        <v>22.0322</v>
      </c>
      <c r="EF77">
        <v>16.362100000000002</v>
      </c>
      <c r="EG77">
        <v>1800</v>
      </c>
      <c r="EH77">
        <v>0.97800399999999998</v>
      </c>
      <c r="EI77">
        <v>2.19957E-2</v>
      </c>
      <c r="EJ77">
        <v>0</v>
      </c>
      <c r="EK77">
        <v>717.33</v>
      </c>
      <c r="EL77">
        <v>9.9989999999999996E-2</v>
      </c>
      <c r="EM77">
        <v>14026.6</v>
      </c>
      <c r="EN77">
        <v>16705.3</v>
      </c>
      <c r="EO77">
        <v>48.061999999999998</v>
      </c>
      <c r="EP77">
        <v>49.811999999999998</v>
      </c>
      <c r="EQ77">
        <v>48.936999999999998</v>
      </c>
      <c r="ER77">
        <v>48.686999999999998</v>
      </c>
      <c r="ES77">
        <v>49.186999999999998</v>
      </c>
      <c r="ET77">
        <v>1760.31</v>
      </c>
      <c r="EU77">
        <v>39.590000000000003</v>
      </c>
      <c r="EV77">
        <v>0</v>
      </c>
      <c r="EW77">
        <v>114</v>
      </c>
      <c r="EX77">
        <v>0</v>
      </c>
      <c r="EY77">
        <v>715.43800000000022</v>
      </c>
      <c r="EZ77">
        <v>-6.6296155029387833</v>
      </c>
      <c r="FA77">
        <v>634.16923080656579</v>
      </c>
      <c r="FB77">
        <v>14012.484</v>
      </c>
      <c r="FC77">
        <v>15</v>
      </c>
      <c r="FD77">
        <v>1691177438.5999999</v>
      </c>
      <c r="FE77" t="s">
        <v>733</v>
      </c>
      <c r="FF77">
        <v>1691177427.0999999</v>
      </c>
      <c r="FG77">
        <v>1691177438.5999999</v>
      </c>
      <c r="FH77">
        <v>84</v>
      </c>
      <c r="FI77">
        <v>-5.7000000000000002E-2</v>
      </c>
      <c r="FJ77">
        <v>8.0000000000000002E-3</v>
      </c>
      <c r="FK77">
        <v>-0.32300000000000001</v>
      </c>
      <c r="FL77">
        <v>0.11700000000000001</v>
      </c>
      <c r="FM77">
        <v>70</v>
      </c>
      <c r="FN77">
        <v>19</v>
      </c>
      <c r="FO77">
        <v>0.32</v>
      </c>
      <c r="FP77">
        <v>0.03</v>
      </c>
      <c r="FQ77">
        <v>10.18576354624444</v>
      </c>
      <c r="FR77">
        <v>-0.57411035415656997</v>
      </c>
      <c r="FS77">
        <v>5.9481890232039529E-2</v>
      </c>
      <c r="FT77">
        <v>1</v>
      </c>
      <c r="FU77">
        <v>0.43978665180399529</v>
      </c>
      <c r="FV77">
        <v>4.2315216495808362E-2</v>
      </c>
      <c r="FW77">
        <v>4.1962728842006754E-3</v>
      </c>
      <c r="FX77">
        <v>1</v>
      </c>
      <c r="FY77">
        <v>2</v>
      </c>
      <c r="FZ77">
        <v>2</v>
      </c>
      <c r="GA77" t="s">
        <v>416</v>
      </c>
      <c r="GB77">
        <v>2.9668999999999999</v>
      </c>
      <c r="GC77">
        <v>2.8112699999999999</v>
      </c>
      <c r="GD77">
        <v>1.6427799999999999E-2</v>
      </c>
      <c r="GE77">
        <v>1.96811E-2</v>
      </c>
      <c r="GF77">
        <v>0.12748399999999999</v>
      </c>
      <c r="GG77">
        <v>9.8936399999999994E-2</v>
      </c>
      <c r="GH77">
        <v>28932.3</v>
      </c>
      <c r="GI77">
        <v>26561.9</v>
      </c>
      <c r="GJ77">
        <v>26451.8</v>
      </c>
      <c r="GK77">
        <v>25580.1</v>
      </c>
      <c r="GL77">
        <v>31407.5</v>
      </c>
      <c r="GM77">
        <v>32538.7</v>
      </c>
      <c r="GN77">
        <v>37433.300000000003</v>
      </c>
      <c r="GO77">
        <v>37928.199999999997</v>
      </c>
      <c r="GP77">
        <v>1.9189000000000001</v>
      </c>
      <c r="GQ77">
        <v>1.8257000000000001</v>
      </c>
      <c r="GR77">
        <v>-2.6524099999999998E-2</v>
      </c>
      <c r="GS77">
        <v>0</v>
      </c>
      <c r="GT77">
        <v>30.443000000000001</v>
      </c>
      <c r="GU77">
        <v>999.9</v>
      </c>
      <c r="GV77">
        <v>23.8</v>
      </c>
      <c r="GW77">
        <v>49.4</v>
      </c>
      <c r="GX77">
        <v>28.950299999999999</v>
      </c>
      <c r="GY77">
        <v>61.881900000000002</v>
      </c>
      <c r="GZ77">
        <v>14.0905</v>
      </c>
      <c r="HA77">
        <v>1</v>
      </c>
      <c r="HB77">
        <v>0.65855699999999995</v>
      </c>
      <c r="HC77">
        <v>5.2911799999999998</v>
      </c>
      <c r="HD77">
        <v>20.161899999999999</v>
      </c>
      <c r="HE77">
        <v>5.2011200000000004</v>
      </c>
      <c r="HF77">
        <v>11.9381</v>
      </c>
      <c r="HG77">
        <v>4.9847999999999999</v>
      </c>
      <c r="HH77">
        <v>3.2885</v>
      </c>
      <c r="HI77">
        <v>9999</v>
      </c>
      <c r="HJ77">
        <v>9999</v>
      </c>
      <c r="HK77">
        <v>9999</v>
      </c>
      <c r="HL77">
        <v>999.9</v>
      </c>
      <c r="HM77">
        <v>1.8714900000000001</v>
      </c>
      <c r="HN77">
        <v>1.87744</v>
      </c>
      <c r="HO77">
        <v>1.8752500000000001</v>
      </c>
      <c r="HP77">
        <v>1.8734200000000001</v>
      </c>
      <c r="HQ77">
        <v>1.8739300000000001</v>
      </c>
      <c r="HR77">
        <v>1.87134</v>
      </c>
      <c r="HS77">
        <v>1.87714</v>
      </c>
      <c r="HT77">
        <v>1.8763700000000001</v>
      </c>
      <c r="HU77">
        <v>5</v>
      </c>
      <c r="HV77">
        <v>0</v>
      </c>
      <c r="HW77">
        <v>0</v>
      </c>
      <c r="HX77">
        <v>0</v>
      </c>
      <c r="HY77" t="s">
        <v>417</v>
      </c>
      <c r="HZ77" t="s">
        <v>418</v>
      </c>
      <c r="IA77" t="s">
        <v>419</v>
      </c>
      <c r="IB77" t="s">
        <v>420</v>
      </c>
      <c r="IC77" t="s">
        <v>420</v>
      </c>
      <c r="ID77" t="s">
        <v>419</v>
      </c>
      <c r="IE77">
        <v>0</v>
      </c>
      <c r="IF77">
        <v>100</v>
      </c>
      <c r="IG77">
        <v>100</v>
      </c>
      <c r="IH77">
        <v>-0.30499999999999999</v>
      </c>
      <c r="II77">
        <v>0.37</v>
      </c>
      <c r="IJ77">
        <v>-0.21686493676326421</v>
      </c>
      <c r="IK77">
        <v>-1.615681629159814E-3</v>
      </c>
      <c r="IL77">
        <v>1.5005605225991581E-6</v>
      </c>
      <c r="IM77">
        <v>-5.1143626075267638E-10</v>
      </c>
      <c r="IN77">
        <v>-0.17778305572696931</v>
      </c>
      <c r="IO77">
        <v>-1.7182111142928099E-3</v>
      </c>
      <c r="IP77">
        <v>9.9985895407488957E-4</v>
      </c>
      <c r="IQ77">
        <v>-5.7750407166627208E-6</v>
      </c>
      <c r="IR77">
        <v>3</v>
      </c>
      <c r="IS77">
        <v>2181</v>
      </c>
      <c r="IT77">
        <v>2</v>
      </c>
      <c r="IU77">
        <v>42</v>
      </c>
      <c r="IV77">
        <v>0.7</v>
      </c>
      <c r="IW77">
        <v>0.5</v>
      </c>
      <c r="IX77">
        <v>0.27954099999999998</v>
      </c>
      <c r="IY77">
        <v>2.6110799999999998</v>
      </c>
      <c r="IZ77">
        <v>1.5991200000000001</v>
      </c>
      <c r="JA77">
        <v>2.2729499999999998</v>
      </c>
      <c r="JB77">
        <v>1.5502899999999999</v>
      </c>
      <c r="JC77">
        <v>2.3779300000000001</v>
      </c>
      <c r="JD77">
        <v>53.985100000000003</v>
      </c>
      <c r="JE77">
        <v>23.877400000000002</v>
      </c>
      <c r="JF77">
        <v>18</v>
      </c>
      <c r="JG77">
        <v>503.46499999999997</v>
      </c>
      <c r="JH77">
        <v>414.57799999999997</v>
      </c>
      <c r="JI77">
        <v>23.932200000000002</v>
      </c>
      <c r="JJ77">
        <v>35.231200000000001</v>
      </c>
      <c r="JK77">
        <v>29.9999</v>
      </c>
      <c r="JL77">
        <v>35.3431</v>
      </c>
      <c r="JM77">
        <v>35.336300000000001</v>
      </c>
      <c r="JN77">
        <v>5.6325900000000004</v>
      </c>
      <c r="JO77">
        <v>37.780900000000003</v>
      </c>
      <c r="JP77">
        <v>0</v>
      </c>
      <c r="JQ77">
        <v>23.953299999999999</v>
      </c>
      <c r="JR77">
        <v>70</v>
      </c>
      <c r="JS77">
        <v>18.720400000000001</v>
      </c>
      <c r="JT77">
        <v>98.740399999999994</v>
      </c>
      <c r="JU77">
        <v>98.439800000000005</v>
      </c>
    </row>
    <row r="78" spans="1:281" x14ac:dyDescent="0.25">
      <c r="A78">
        <v>62</v>
      </c>
      <c r="B78">
        <v>1691177632.0999999</v>
      </c>
      <c r="C78">
        <v>17901.5</v>
      </c>
      <c r="D78" t="s">
        <v>734</v>
      </c>
      <c r="E78" t="s">
        <v>735</v>
      </c>
      <c r="F78" t="s">
        <v>411</v>
      </c>
      <c r="G78" t="s">
        <v>710</v>
      </c>
      <c r="H78" t="s">
        <v>412</v>
      </c>
      <c r="I78" t="s">
        <v>31</v>
      </c>
      <c r="J78">
        <v>1691177632.0999999</v>
      </c>
      <c r="K78">
        <f t="shared" si="92"/>
        <v>7.7875059032961715E-3</v>
      </c>
      <c r="L78">
        <f t="shared" si="93"/>
        <v>7.7875059032961715</v>
      </c>
      <c r="M78">
        <f t="shared" si="94"/>
        <v>4.7850508519696371</v>
      </c>
      <c r="N78">
        <f t="shared" si="95"/>
        <v>24.144200000000001</v>
      </c>
      <c r="O78">
        <f t="shared" si="96"/>
        <v>7.3182996087776981</v>
      </c>
      <c r="P78">
        <f t="shared" si="97"/>
        <v>0.72585594581935919</v>
      </c>
      <c r="Q78">
        <f t="shared" si="98"/>
        <v>2.39471080222402</v>
      </c>
      <c r="R78">
        <f t="shared" si="99"/>
        <v>0.50487562903117666</v>
      </c>
      <c r="S78">
        <f t="shared" si="100"/>
        <v>2.9151757257510265</v>
      </c>
      <c r="T78">
        <f t="shared" si="101"/>
        <v>0.46085128846989648</v>
      </c>
      <c r="U78">
        <f t="shared" si="102"/>
        <v>0.29166689083977371</v>
      </c>
      <c r="V78">
        <f t="shared" si="103"/>
        <v>289.56428101273519</v>
      </c>
      <c r="W78">
        <f t="shared" si="104"/>
        <v>30.014131433359083</v>
      </c>
      <c r="X78">
        <f t="shared" si="105"/>
        <v>29.972000000000001</v>
      </c>
      <c r="Y78">
        <f t="shared" si="106"/>
        <v>4.2536025037654248</v>
      </c>
      <c r="Z78">
        <f t="shared" si="107"/>
        <v>60.697698330553905</v>
      </c>
      <c r="AA78">
        <f t="shared" si="108"/>
        <v>2.6357965928886897</v>
      </c>
      <c r="AB78">
        <f t="shared" si="109"/>
        <v>4.3424984231434802</v>
      </c>
      <c r="AC78">
        <f t="shared" si="110"/>
        <v>1.6178059108767351</v>
      </c>
      <c r="AD78">
        <f t="shared" si="111"/>
        <v>-343.42901033536117</v>
      </c>
      <c r="AE78">
        <f t="shared" si="112"/>
        <v>56.657244818471241</v>
      </c>
      <c r="AF78">
        <f t="shared" si="113"/>
        <v>4.3279721904640232</v>
      </c>
      <c r="AG78">
        <f t="shared" si="114"/>
        <v>7.1204876863093034</v>
      </c>
      <c r="AH78">
        <v>0</v>
      </c>
      <c r="AI78">
        <v>0</v>
      </c>
      <c r="AJ78">
        <f t="shared" si="115"/>
        <v>1</v>
      </c>
      <c r="AK78">
        <f t="shared" si="116"/>
        <v>0</v>
      </c>
      <c r="AL78">
        <f t="shared" si="117"/>
        <v>51866.800992652148</v>
      </c>
      <c r="AM78" t="s">
        <v>414</v>
      </c>
      <c r="AN78">
        <v>7361.72</v>
      </c>
      <c r="AO78">
        <v>541.39076923076925</v>
      </c>
      <c r="AP78">
        <v>2141.9899999999998</v>
      </c>
      <c r="AQ78">
        <f t="shared" si="118"/>
        <v>0.74724869433061347</v>
      </c>
      <c r="AR78">
        <v>-0.96077199609010144</v>
      </c>
      <c r="AS78" t="s">
        <v>736</v>
      </c>
      <c r="AT78">
        <v>7351.88</v>
      </c>
      <c r="AU78">
        <v>723.90899999999999</v>
      </c>
      <c r="AV78">
        <v>780.35660574660176</v>
      </c>
      <c r="AW78">
        <f t="shared" si="119"/>
        <v>7.2335654405841554E-2</v>
      </c>
      <c r="AX78">
        <v>0.5</v>
      </c>
      <c r="AY78">
        <f t="shared" si="120"/>
        <v>1513.1457000065986</v>
      </c>
      <c r="AZ78">
        <f t="shared" si="121"/>
        <v>4.7850508519696371</v>
      </c>
      <c r="BA78">
        <f t="shared" si="122"/>
        <v>54.72719221068126</v>
      </c>
      <c r="BB78">
        <f t="shared" si="123"/>
        <v>3.7972700500914628E-3</v>
      </c>
      <c r="BC78">
        <f t="shared" si="124"/>
        <v>1.7448860997987745</v>
      </c>
      <c r="BD78">
        <f t="shared" si="125"/>
        <v>375.69910735215461</v>
      </c>
      <c r="BE78" t="s">
        <v>737</v>
      </c>
      <c r="BF78">
        <v>606.75</v>
      </c>
      <c r="BG78">
        <f t="shared" si="126"/>
        <v>606.75</v>
      </c>
      <c r="BH78">
        <f t="shared" si="127"/>
        <v>0.22247086071694699</v>
      </c>
      <c r="BI78">
        <f t="shared" si="128"/>
        <v>0.32514664694840789</v>
      </c>
      <c r="BJ78">
        <f t="shared" si="129"/>
        <v>0.88691891447161231</v>
      </c>
      <c r="BK78">
        <f t="shared" si="130"/>
        <v>0.23621621638313922</v>
      </c>
      <c r="BL78">
        <f t="shared" si="131"/>
        <v>0.85070226704970475</v>
      </c>
      <c r="BM78">
        <f t="shared" si="132"/>
        <v>0.27252420958427992</v>
      </c>
      <c r="BN78">
        <f t="shared" si="133"/>
        <v>0.72747579041572008</v>
      </c>
      <c r="BO78">
        <v>1553</v>
      </c>
      <c r="BP78">
        <v>290.00000000000011</v>
      </c>
      <c r="BQ78">
        <v>763.37</v>
      </c>
      <c r="BR78">
        <v>205</v>
      </c>
      <c r="BS78">
        <v>7351.88</v>
      </c>
      <c r="BT78">
        <v>763.05</v>
      </c>
      <c r="BU78">
        <v>0.32</v>
      </c>
      <c r="BV78">
        <v>300.00000000000011</v>
      </c>
      <c r="BW78">
        <v>37.9</v>
      </c>
      <c r="BX78">
        <v>780.35660574660176</v>
      </c>
      <c r="BY78">
        <v>0.97353102773386224</v>
      </c>
      <c r="BZ78">
        <v>-12.726285535137441</v>
      </c>
      <c r="CA78">
        <v>0.59964863943170821</v>
      </c>
      <c r="CB78">
        <v>0.9414729979003531</v>
      </c>
      <c r="CC78">
        <v>-7.2387379310344876E-3</v>
      </c>
      <c r="CD78">
        <v>289.99999999999989</v>
      </c>
      <c r="CE78">
        <v>762.39</v>
      </c>
      <c r="CF78">
        <v>725</v>
      </c>
      <c r="CG78">
        <v>7340.42</v>
      </c>
      <c r="CH78">
        <v>763.02</v>
      </c>
      <c r="CI78">
        <v>-0.63</v>
      </c>
      <c r="CW78">
        <f t="shared" si="134"/>
        <v>1799.95</v>
      </c>
      <c r="CX78">
        <f t="shared" si="135"/>
        <v>1513.1457000065986</v>
      </c>
      <c r="CY78">
        <f t="shared" si="136"/>
        <v>0.84065985166621215</v>
      </c>
      <c r="CZ78">
        <f t="shared" si="137"/>
        <v>0.16087351371578942</v>
      </c>
      <c r="DA78">
        <v>6</v>
      </c>
      <c r="DB78">
        <v>0.5</v>
      </c>
      <c r="DC78" t="s">
        <v>415</v>
      </c>
      <c r="DD78">
        <v>2</v>
      </c>
      <c r="DE78">
        <v>1691177632.0999999</v>
      </c>
      <c r="DF78">
        <v>24.144200000000001</v>
      </c>
      <c r="DG78">
        <v>30.110600000000002</v>
      </c>
      <c r="DH78">
        <v>26.5749</v>
      </c>
      <c r="DI78">
        <v>17.4802</v>
      </c>
      <c r="DJ78">
        <v>24.474799999999998</v>
      </c>
      <c r="DK78">
        <v>26.211200000000002</v>
      </c>
      <c r="DL78">
        <v>500.108</v>
      </c>
      <c r="DM78">
        <v>99.083799999999997</v>
      </c>
      <c r="DN78">
        <v>9.9888099999999994E-2</v>
      </c>
      <c r="DO78">
        <v>30.3325</v>
      </c>
      <c r="DP78">
        <v>29.972000000000001</v>
      </c>
      <c r="DQ78">
        <v>999.9</v>
      </c>
      <c r="DR78">
        <v>0</v>
      </c>
      <c r="DS78">
        <v>0</v>
      </c>
      <c r="DT78">
        <v>10010</v>
      </c>
      <c r="DU78">
        <v>0</v>
      </c>
      <c r="DV78">
        <v>509.85399999999998</v>
      </c>
      <c r="DW78">
        <v>-5.9663599999999999</v>
      </c>
      <c r="DX78">
        <v>24.8034</v>
      </c>
      <c r="DY78">
        <v>30.6463</v>
      </c>
      <c r="DZ78">
        <v>9.0946499999999997</v>
      </c>
      <c r="EA78">
        <v>30.110600000000002</v>
      </c>
      <c r="EB78">
        <v>17.4802</v>
      </c>
      <c r="EC78">
        <v>2.63314</v>
      </c>
      <c r="ED78">
        <v>1.73201</v>
      </c>
      <c r="EE78">
        <v>21.873699999999999</v>
      </c>
      <c r="EF78">
        <v>15.186299999999999</v>
      </c>
      <c r="EG78">
        <v>1799.95</v>
      </c>
      <c r="EH78">
        <v>0.97800399999999998</v>
      </c>
      <c r="EI78">
        <v>2.19957E-2</v>
      </c>
      <c r="EJ78">
        <v>0</v>
      </c>
      <c r="EK78">
        <v>721.30499999999995</v>
      </c>
      <c r="EL78">
        <v>9.9989999999999996E-2</v>
      </c>
      <c r="EM78">
        <v>14148</v>
      </c>
      <c r="EN78">
        <v>16704.900000000001</v>
      </c>
      <c r="EO78">
        <v>48.375</v>
      </c>
      <c r="EP78">
        <v>50.311999999999998</v>
      </c>
      <c r="EQ78">
        <v>49.25</v>
      </c>
      <c r="ER78">
        <v>49.25</v>
      </c>
      <c r="ES78">
        <v>49.5</v>
      </c>
      <c r="ET78">
        <v>1760.26</v>
      </c>
      <c r="EU78">
        <v>39.590000000000003</v>
      </c>
      <c r="EV78">
        <v>0</v>
      </c>
      <c r="EW78">
        <v>158.5999999046326</v>
      </c>
      <c r="EX78">
        <v>0</v>
      </c>
      <c r="EY78">
        <v>723.90899999999999</v>
      </c>
      <c r="EZ78">
        <v>-8.6138462412475718</v>
      </c>
      <c r="FA78">
        <v>-69.276923186599888</v>
      </c>
      <c r="FB78">
        <v>14150.6</v>
      </c>
      <c r="FC78">
        <v>15</v>
      </c>
      <c r="FD78">
        <v>1691177595.0999999</v>
      </c>
      <c r="FE78" t="s">
        <v>738</v>
      </c>
      <c r="FF78">
        <v>1691177580.5999999</v>
      </c>
      <c r="FG78">
        <v>1691177595.0999999</v>
      </c>
      <c r="FH78">
        <v>85</v>
      </c>
      <c r="FI78">
        <v>-7.4999999999999997E-2</v>
      </c>
      <c r="FJ78">
        <v>4.0000000000000001E-3</v>
      </c>
      <c r="FK78">
        <v>-0.33900000000000002</v>
      </c>
      <c r="FL78">
        <v>7.3999999999999996E-2</v>
      </c>
      <c r="FM78">
        <v>30</v>
      </c>
      <c r="FN78">
        <v>18</v>
      </c>
      <c r="FO78">
        <v>0.81</v>
      </c>
      <c r="FP78">
        <v>0.03</v>
      </c>
      <c r="FQ78">
        <v>4.7602431239775367</v>
      </c>
      <c r="FR78">
        <v>-0.38519993888219639</v>
      </c>
      <c r="FS78">
        <v>4.6924148814467118E-2</v>
      </c>
      <c r="FT78">
        <v>1</v>
      </c>
      <c r="FU78">
        <v>0.50242004502027227</v>
      </c>
      <c r="FV78">
        <v>3.8831746963130562E-2</v>
      </c>
      <c r="FW78">
        <v>3.602293030197943E-3</v>
      </c>
      <c r="FX78">
        <v>1</v>
      </c>
      <c r="FY78">
        <v>2</v>
      </c>
      <c r="FZ78">
        <v>2</v>
      </c>
      <c r="GA78" t="s">
        <v>416</v>
      </c>
      <c r="GB78">
        <v>2.96685</v>
      </c>
      <c r="GC78">
        <v>2.8116699999999999</v>
      </c>
      <c r="GD78">
        <v>7.0001300000000002E-3</v>
      </c>
      <c r="GE78">
        <v>8.5003500000000003E-3</v>
      </c>
      <c r="GF78">
        <v>0.126605</v>
      </c>
      <c r="GG78">
        <v>9.3696100000000004E-2</v>
      </c>
      <c r="GH78">
        <v>29199.5</v>
      </c>
      <c r="GI78">
        <v>26853.9</v>
      </c>
      <c r="GJ78">
        <v>26443.599999999999</v>
      </c>
      <c r="GK78">
        <v>25570.7</v>
      </c>
      <c r="GL78">
        <v>31429</v>
      </c>
      <c r="GM78">
        <v>32715.7</v>
      </c>
      <c r="GN78">
        <v>37420.6</v>
      </c>
      <c r="GO78">
        <v>37914.699999999997</v>
      </c>
      <c r="GP78">
        <v>1.9187000000000001</v>
      </c>
      <c r="GQ78">
        <v>1.8193999999999999</v>
      </c>
      <c r="GR78">
        <v>-5.2243499999999998E-2</v>
      </c>
      <c r="GS78">
        <v>0</v>
      </c>
      <c r="GT78">
        <v>30.8216</v>
      </c>
      <c r="GU78">
        <v>999.9</v>
      </c>
      <c r="GV78">
        <v>23.7</v>
      </c>
      <c r="GW78">
        <v>49.4</v>
      </c>
      <c r="GX78">
        <v>28.828099999999999</v>
      </c>
      <c r="GY78">
        <v>61.622</v>
      </c>
      <c r="GZ78">
        <v>13.505599999999999</v>
      </c>
      <c r="HA78">
        <v>1</v>
      </c>
      <c r="HB78">
        <v>0.669512</v>
      </c>
      <c r="HC78">
        <v>4.62547</v>
      </c>
      <c r="HD78">
        <v>20.182300000000001</v>
      </c>
      <c r="HE78">
        <v>5.2107000000000001</v>
      </c>
      <c r="HF78">
        <v>11.9381</v>
      </c>
      <c r="HG78">
        <v>4.9874000000000001</v>
      </c>
      <c r="HH78">
        <v>3.2905000000000002</v>
      </c>
      <c r="HI78">
        <v>9999</v>
      </c>
      <c r="HJ78">
        <v>9999</v>
      </c>
      <c r="HK78">
        <v>9999</v>
      </c>
      <c r="HL78">
        <v>999.9</v>
      </c>
      <c r="HM78">
        <v>1.8715200000000001</v>
      </c>
      <c r="HN78">
        <v>1.87744</v>
      </c>
      <c r="HO78">
        <v>1.8752599999999999</v>
      </c>
      <c r="HP78">
        <v>1.87347</v>
      </c>
      <c r="HQ78">
        <v>1.8739600000000001</v>
      </c>
      <c r="HR78">
        <v>1.8713599999999999</v>
      </c>
      <c r="HS78">
        <v>1.87717</v>
      </c>
      <c r="HT78">
        <v>1.8763700000000001</v>
      </c>
      <c r="HU78">
        <v>5</v>
      </c>
      <c r="HV78">
        <v>0</v>
      </c>
      <c r="HW78">
        <v>0</v>
      </c>
      <c r="HX78">
        <v>0</v>
      </c>
      <c r="HY78" t="s">
        <v>417</v>
      </c>
      <c r="HZ78" t="s">
        <v>418</v>
      </c>
      <c r="IA78" t="s">
        <v>419</v>
      </c>
      <c r="IB78" t="s">
        <v>420</v>
      </c>
      <c r="IC78" t="s">
        <v>420</v>
      </c>
      <c r="ID78" t="s">
        <v>419</v>
      </c>
      <c r="IE78">
        <v>0</v>
      </c>
      <c r="IF78">
        <v>100</v>
      </c>
      <c r="IG78">
        <v>100</v>
      </c>
      <c r="IH78">
        <v>-0.33100000000000002</v>
      </c>
      <c r="II78">
        <v>0.36370000000000002</v>
      </c>
      <c r="IJ78">
        <v>-0.29186976696725447</v>
      </c>
      <c r="IK78">
        <v>-1.615681629159814E-3</v>
      </c>
      <c r="IL78">
        <v>1.5005605225991581E-6</v>
      </c>
      <c r="IM78">
        <v>-5.1143626075267638E-10</v>
      </c>
      <c r="IN78">
        <v>-0.1741641712694007</v>
      </c>
      <c r="IO78">
        <v>-1.7182111142928099E-3</v>
      </c>
      <c r="IP78">
        <v>9.9985895407488957E-4</v>
      </c>
      <c r="IQ78">
        <v>-5.7750407166627208E-6</v>
      </c>
      <c r="IR78">
        <v>3</v>
      </c>
      <c r="IS78">
        <v>2181</v>
      </c>
      <c r="IT78">
        <v>2</v>
      </c>
      <c r="IU78">
        <v>42</v>
      </c>
      <c r="IV78">
        <v>0.9</v>
      </c>
      <c r="IW78">
        <v>0.6</v>
      </c>
      <c r="IX78">
        <v>0.19653300000000001</v>
      </c>
      <c r="IY78">
        <v>2.6245099999999999</v>
      </c>
      <c r="IZ78">
        <v>1.5991200000000001</v>
      </c>
      <c r="JA78">
        <v>2.2729499999999998</v>
      </c>
      <c r="JB78">
        <v>1.5502899999999999</v>
      </c>
      <c r="JC78">
        <v>2.4462899999999999</v>
      </c>
      <c r="JD78">
        <v>54.236400000000003</v>
      </c>
      <c r="JE78">
        <v>23.886099999999999</v>
      </c>
      <c r="JF78">
        <v>18</v>
      </c>
      <c r="JG78">
        <v>503.92</v>
      </c>
      <c r="JH78">
        <v>411.28500000000003</v>
      </c>
      <c r="JI78">
        <v>24.427700000000002</v>
      </c>
      <c r="JJ78">
        <v>35.409500000000001</v>
      </c>
      <c r="JK78">
        <v>30.000399999999999</v>
      </c>
      <c r="JL78">
        <v>35.420900000000003</v>
      </c>
      <c r="JM78">
        <v>35.397599999999997</v>
      </c>
      <c r="JN78">
        <v>3.98298</v>
      </c>
      <c r="JO78">
        <v>43.241900000000001</v>
      </c>
      <c r="JP78">
        <v>0</v>
      </c>
      <c r="JQ78">
        <v>24.428599999999999</v>
      </c>
      <c r="JR78">
        <v>30</v>
      </c>
      <c r="JS78">
        <v>17.374400000000001</v>
      </c>
      <c r="JT78">
        <v>98.708200000000005</v>
      </c>
      <c r="JU78">
        <v>98.404300000000006</v>
      </c>
    </row>
    <row r="79" spans="1:281" x14ac:dyDescent="0.25">
      <c r="A79">
        <v>63</v>
      </c>
      <c r="B79">
        <v>1691177763.5999999</v>
      </c>
      <c r="C79">
        <v>18033</v>
      </c>
      <c r="D79" t="s">
        <v>739</v>
      </c>
      <c r="E79" t="s">
        <v>740</v>
      </c>
      <c r="F79" t="s">
        <v>411</v>
      </c>
      <c r="G79" t="s">
        <v>710</v>
      </c>
      <c r="H79" t="s">
        <v>412</v>
      </c>
      <c r="I79" t="s">
        <v>31</v>
      </c>
      <c r="J79">
        <v>1691177763.5999999</v>
      </c>
      <c r="K79">
        <f t="shared" si="92"/>
        <v>8.0107834022769015E-3</v>
      </c>
      <c r="L79">
        <f t="shared" si="93"/>
        <v>8.0107834022769016</v>
      </c>
      <c r="M79">
        <f t="shared" si="94"/>
        <v>1.5563705473415919</v>
      </c>
      <c r="N79">
        <f t="shared" si="95"/>
        <v>8.0849799999999998</v>
      </c>
      <c r="O79">
        <f t="shared" si="96"/>
        <v>2.7890219635663516</v>
      </c>
      <c r="P79">
        <f t="shared" si="97"/>
        <v>0.27663332057452344</v>
      </c>
      <c r="Q79">
        <f t="shared" si="98"/>
        <v>0.80192085017454595</v>
      </c>
      <c r="R79">
        <f t="shared" si="99"/>
        <v>0.52448630640191751</v>
      </c>
      <c r="S79">
        <f t="shared" si="100"/>
        <v>2.9139121856930066</v>
      </c>
      <c r="T79">
        <f t="shared" si="101"/>
        <v>0.47712848985322254</v>
      </c>
      <c r="U79">
        <f t="shared" si="102"/>
        <v>0.30210307059797431</v>
      </c>
      <c r="V79">
        <f t="shared" si="103"/>
        <v>289.59300901273383</v>
      </c>
      <c r="W79">
        <f t="shared" si="104"/>
        <v>29.948449477637677</v>
      </c>
      <c r="X79">
        <f t="shared" si="105"/>
        <v>29.909400000000002</v>
      </c>
      <c r="Y79">
        <f t="shared" si="106"/>
        <v>4.2383286481889266</v>
      </c>
      <c r="Z79">
        <f t="shared" si="107"/>
        <v>60.606228278164352</v>
      </c>
      <c r="AA79">
        <f t="shared" si="108"/>
        <v>2.63069372254779</v>
      </c>
      <c r="AB79">
        <f t="shared" si="109"/>
        <v>4.3406326334542671</v>
      </c>
      <c r="AC79">
        <f t="shared" si="110"/>
        <v>1.6076349256411366</v>
      </c>
      <c r="AD79">
        <f t="shared" si="111"/>
        <v>-353.27554804041137</v>
      </c>
      <c r="AE79">
        <f t="shared" si="112"/>
        <v>65.288612908611469</v>
      </c>
      <c r="AF79">
        <f t="shared" si="113"/>
        <v>4.9877437814009831</v>
      </c>
      <c r="AG79">
        <f t="shared" si="114"/>
        <v>6.5938176623349136</v>
      </c>
      <c r="AH79">
        <v>0</v>
      </c>
      <c r="AI79">
        <v>0</v>
      </c>
      <c r="AJ79">
        <f t="shared" si="115"/>
        <v>1</v>
      </c>
      <c r="AK79">
        <f t="shared" si="116"/>
        <v>0</v>
      </c>
      <c r="AL79">
        <f t="shared" si="117"/>
        <v>51832.227296763464</v>
      </c>
      <c r="AM79" t="s">
        <v>414</v>
      </c>
      <c r="AN79">
        <v>7361.72</v>
      </c>
      <c r="AO79">
        <v>541.39076923076925</v>
      </c>
      <c r="AP79">
        <v>2141.9899999999998</v>
      </c>
      <c r="AQ79">
        <f t="shared" si="118"/>
        <v>0.74724869433061347</v>
      </c>
      <c r="AR79">
        <v>-0.96077199609010144</v>
      </c>
      <c r="AS79" t="s">
        <v>741</v>
      </c>
      <c r="AT79">
        <v>7350.16</v>
      </c>
      <c r="AU79">
        <v>727.94540000000006</v>
      </c>
      <c r="AV79">
        <v>772.55452858100637</v>
      </c>
      <c r="AW79">
        <f t="shared" si="119"/>
        <v>5.7742368895231766E-2</v>
      </c>
      <c r="AX79">
        <v>0.5</v>
      </c>
      <c r="AY79">
        <f t="shared" si="120"/>
        <v>1513.296900006598</v>
      </c>
      <c r="AZ79">
        <f t="shared" si="121"/>
        <v>1.5563705473415919</v>
      </c>
      <c r="BA79">
        <f t="shared" si="122"/>
        <v>43.690673924095819</v>
      </c>
      <c r="BB79">
        <f t="shared" si="123"/>
        <v>1.6633500956889018E-3</v>
      </c>
      <c r="BC79">
        <f t="shared" si="124"/>
        <v>1.7726068785517461</v>
      </c>
      <c r="BD79">
        <f t="shared" si="125"/>
        <v>373.88124151954554</v>
      </c>
      <c r="BE79" t="s">
        <v>742</v>
      </c>
      <c r="BF79">
        <v>617.53</v>
      </c>
      <c r="BG79">
        <f t="shared" si="126"/>
        <v>617.53</v>
      </c>
      <c r="BH79">
        <f t="shared" si="127"/>
        <v>0.20066483703842697</v>
      </c>
      <c r="BI79">
        <f t="shared" si="128"/>
        <v>0.28775529259356064</v>
      </c>
      <c r="BJ79">
        <f t="shared" si="129"/>
        <v>0.89830856265103298</v>
      </c>
      <c r="BK79">
        <f t="shared" si="130"/>
        <v>0.19297630695397558</v>
      </c>
      <c r="BL79">
        <f t="shared" si="131"/>
        <v>0.85557673969445669</v>
      </c>
      <c r="BM79">
        <f t="shared" si="132"/>
        <v>0.24410831613923445</v>
      </c>
      <c r="BN79">
        <f t="shared" si="133"/>
        <v>0.75589168386076555</v>
      </c>
      <c r="BO79">
        <v>1555</v>
      </c>
      <c r="BP79">
        <v>290.00000000000011</v>
      </c>
      <c r="BQ79">
        <v>760.51</v>
      </c>
      <c r="BR79">
        <v>225</v>
      </c>
      <c r="BS79">
        <v>7350.16</v>
      </c>
      <c r="BT79">
        <v>758.65</v>
      </c>
      <c r="BU79">
        <v>1.86</v>
      </c>
      <c r="BV79">
        <v>300.00000000000011</v>
      </c>
      <c r="BW79">
        <v>37.9</v>
      </c>
      <c r="BX79">
        <v>772.55452858100637</v>
      </c>
      <c r="BY79">
        <v>1.060075528703085</v>
      </c>
      <c r="BZ79">
        <v>-10.22048681737366</v>
      </c>
      <c r="CA79">
        <v>0.65291232609336125</v>
      </c>
      <c r="CB79">
        <v>0.89745016977297332</v>
      </c>
      <c r="CC79">
        <v>-7.238279421579538E-3</v>
      </c>
      <c r="CD79">
        <v>289.99999999999989</v>
      </c>
      <c r="CE79">
        <v>758.22</v>
      </c>
      <c r="CF79">
        <v>655</v>
      </c>
      <c r="CG79">
        <v>7342.24</v>
      </c>
      <c r="CH79">
        <v>758.63</v>
      </c>
      <c r="CI79">
        <v>-0.41</v>
      </c>
      <c r="CW79">
        <f t="shared" si="134"/>
        <v>1800.13</v>
      </c>
      <c r="CX79">
        <f t="shared" si="135"/>
        <v>1513.296900006598</v>
      </c>
      <c r="CY79">
        <f t="shared" si="136"/>
        <v>0.84065978568581035</v>
      </c>
      <c r="CZ79">
        <f t="shared" si="137"/>
        <v>0.16087338637361404</v>
      </c>
      <c r="DA79">
        <v>6</v>
      </c>
      <c r="DB79">
        <v>0.5</v>
      </c>
      <c r="DC79" t="s">
        <v>415</v>
      </c>
      <c r="DD79">
        <v>2</v>
      </c>
      <c r="DE79">
        <v>1691177763.5999999</v>
      </c>
      <c r="DF79">
        <v>8.0849799999999998</v>
      </c>
      <c r="DG79">
        <v>10.030099999999999</v>
      </c>
      <c r="DH79">
        <v>26.5227</v>
      </c>
      <c r="DI79">
        <v>17.165900000000001</v>
      </c>
      <c r="DJ79">
        <v>8.4571100000000001</v>
      </c>
      <c r="DK79">
        <v>26.166699999999999</v>
      </c>
      <c r="DL79">
        <v>500.06299999999999</v>
      </c>
      <c r="DM79">
        <v>99.086500000000001</v>
      </c>
      <c r="DN79">
        <v>9.9997699999999995E-2</v>
      </c>
      <c r="DO79">
        <v>30.324999999999999</v>
      </c>
      <c r="DP79">
        <v>29.909400000000002</v>
      </c>
      <c r="DQ79">
        <v>999.9</v>
      </c>
      <c r="DR79">
        <v>0</v>
      </c>
      <c r="DS79">
        <v>0</v>
      </c>
      <c r="DT79">
        <v>10002.5</v>
      </c>
      <c r="DU79">
        <v>0</v>
      </c>
      <c r="DV79">
        <v>457.46600000000001</v>
      </c>
      <c r="DW79">
        <v>-1.9451000000000001</v>
      </c>
      <c r="DX79">
        <v>8.3052499999999991</v>
      </c>
      <c r="DY79">
        <v>10.205299999999999</v>
      </c>
      <c r="DZ79">
        <v>9.3567400000000003</v>
      </c>
      <c r="EA79">
        <v>10.030099999999999</v>
      </c>
      <c r="EB79">
        <v>17.165900000000001</v>
      </c>
      <c r="EC79">
        <v>2.6280399999999999</v>
      </c>
      <c r="ED79">
        <v>1.7009099999999999</v>
      </c>
      <c r="EE79">
        <v>21.841999999999999</v>
      </c>
      <c r="EF79">
        <v>14.9048</v>
      </c>
      <c r="EG79">
        <v>1800.13</v>
      </c>
      <c r="EH79">
        <v>0.97800799999999999</v>
      </c>
      <c r="EI79">
        <v>2.19922E-2</v>
      </c>
      <c r="EJ79">
        <v>0</v>
      </c>
      <c r="EK79">
        <v>730.43</v>
      </c>
      <c r="EL79">
        <v>9.9989999999999996E-2</v>
      </c>
      <c r="EM79">
        <v>13440.5</v>
      </c>
      <c r="EN79">
        <v>16706.5</v>
      </c>
      <c r="EO79">
        <v>48.5</v>
      </c>
      <c r="EP79">
        <v>50.5</v>
      </c>
      <c r="EQ79">
        <v>49.436999999999998</v>
      </c>
      <c r="ER79">
        <v>49.311999999999998</v>
      </c>
      <c r="ES79">
        <v>49.686999999999998</v>
      </c>
      <c r="ET79">
        <v>1760.44</v>
      </c>
      <c r="EU79">
        <v>39.590000000000003</v>
      </c>
      <c r="EV79">
        <v>0</v>
      </c>
      <c r="EW79">
        <v>129</v>
      </c>
      <c r="EX79">
        <v>0</v>
      </c>
      <c r="EY79">
        <v>727.94540000000006</v>
      </c>
      <c r="EZ79">
        <v>1.371538546451452</v>
      </c>
      <c r="FA79">
        <v>-50.53846150174364</v>
      </c>
      <c r="FB79">
        <v>13445.62</v>
      </c>
      <c r="FC79">
        <v>15</v>
      </c>
      <c r="FD79">
        <v>1691177729.0999999</v>
      </c>
      <c r="FE79" t="s">
        <v>743</v>
      </c>
      <c r="FF79">
        <v>1691177726.0999999</v>
      </c>
      <c r="FG79">
        <v>1691177729.0999999</v>
      </c>
      <c r="FH79">
        <v>86</v>
      </c>
      <c r="FI79">
        <v>-6.7000000000000004E-2</v>
      </c>
      <c r="FJ79">
        <v>-6.0000000000000001E-3</v>
      </c>
      <c r="FK79">
        <v>-0.375</v>
      </c>
      <c r="FL79">
        <v>0.05</v>
      </c>
      <c r="FM79">
        <v>10</v>
      </c>
      <c r="FN79">
        <v>17</v>
      </c>
      <c r="FO79">
        <v>0.88</v>
      </c>
      <c r="FP79">
        <v>0.03</v>
      </c>
      <c r="FQ79">
        <v>1.6385020016085039</v>
      </c>
      <c r="FR79">
        <v>-0.37660909533503673</v>
      </c>
      <c r="FS79">
        <v>5.2200162784813119E-2</v>
      </c>
      <c r="FT79">
        <v>1</v>
      </c>
      <c r="FU79">
        <v>0.52561164645054526</v>
      </c>
      <c r="FV79">
        <v>4.0638479869920967E-2</v>
      </c>
      <c r="FW79">
        <v>4.1605590694897181E-3</v>
      </c>
      <c r="FX79">
        <v>1</v>
      </c>
      <c r="FY79">
        <v>2</v>
      </c>
      <c r="FZ79">
        <v>2</v>
      </c>
      <c r="GA79" t="s">
        <v>416</v>
      </c>
      <c r="GB79">
        <v>2.9665699999999999</v>
      </c>
      <c r="GC79">
        <v>2.8117200000000002</v>
      </c>
      <c r="GD79">
        <v>2.4179499999999999E-3</v>
      </c>
      <c r="GE79">
        <v>2.8307499999999999E-3</v>
      </c>
      <c r="GF79">
        <v>0.126417</v>
      </c>
      <c r="GG79">
        <v>9.2445600000000003E-2</v>
      </c>
      <c r="GH79">
        <v>29323.9</v>
      </c>
      <c r="GI79">
        <v>26994</v>
      </c>
      <c r="GJ79">
        <v>26435.1</v>
      </c>
      <c r="GK79">
        <v>25559</v>
      </c>
      <c r="GL79">
        <v>31426.6</v>
      </c>
      <c r="GM79">
        <v>32746.799999999999</v>
      </c>
      <c r="GN79">
        <v>37408.6</v>
      </c>
      <c r="GO79">
        <v>37898.699999999997</v>
      </c>
      <c r="GP79">
        <v>1.9158999999999999</v>
      </c>
      <c r="GQ79">
        <v>1.8156000000000001</v>
      </c>
      <c r="GR79">
        <v>-5.2988500000000001E-2</v>
      </c>
      <c r="GS79">
        <v>0</v>
      </c>
      <c r="GT79">
        <v>30.7712</v>
      </c>
      <c r="GU79">
        <v>999.9</v>
      </c>
      <c r="GV79">
        <v>23.5</v>
      </c>
      <c r="GW79">
        <v>49.5</v>
      </c>
      <c r="GX79">
        <v>28.7256</v>
      </c>
      <c r="GY79">
        <v>61.692</v>
      </c>
      <c r="GZ79">
        <v>13.75</v>
      </c>
      <c r="HA79">
        <v>1</v>
      </c>
      <c r="HB79">
        <v>0.68311999999999995</v>
      </c>
      <c r="HC79">
        <v>4.1024900000000004</v>
      </c>
      <c r="HD79">
        <v>20.1952</v>
      </c>
      <c r="HE79">
        <v>5.2095000000000002</v>
      </c>
      <c r="HF79">
        <v>11.9381</v>
      </c>
      <c r="HG79">
        <v>4.9867999999999997</v>
      </c>
      <c r="HH79">
        <v>3.2906</v>
      </c>
      <c r="HI79">
        <v>9999</v>
      </c>
      <c r="HJ79">
        <v>9999</v>
      </c>
      <c r="HK79">
        <v>9999</v>
      </c>
      <c r="HL79">
        <v>999.9</v>
      </c>
      <c r="HM79">
        <v>1.87151</v>
      </c>
      <c r="HN79">
        <v>1.8774200000000001</v>
      </c>
      <c r="HO79">
        <v>1.8751800000000001</v>
      </c>
      <c r="HP79">
        <v>1.87347</v>
      </c>
      <c r="HQ79">
        <v>1.8739300000000001</v>
      </c>
      <c r="HR79">
        <v>1.87134</v>
      </c>
      <c r="HS79">
        <v>1.87714</v>
      </c>
      <c r="HT79">
        <v>1.8763700000000001</v>
      </c>
      <c r="HU79">
        <v>5</v>
      </c>
      <c r="HV79">
        <v>0</v>
      </c>
      <c r="HW79">
        <v>0</v>
      </c>
      <c r="HX79">
        <v>0</v>
      </c>
      <c r="HY79" t="s">
        <v>417</v>
      </c>
      <c r="HZ79" t="s">
        <v>418</v>
      </c>
      <c r="IA79" t="s">
        <v>419</v>
      </c>
      <c r="IB79" t="s">
        <v>420</v>
      </c>
      <c r="IC79" t="s">
        <v>420</v>
      </c>
      <c r="ID79" t="s">
        <v>419</v>
      </c>
      <c r="IE79">
        <v>0</v>
      </c>
      <c r="IF79">
        <v>100</v>
      </c>
      <c r="IG79">
        <v>100</v>
      </c>
      <c r="IH79">
        <v>-0.372</v>
      </c>
      <c r="II79">
        <v>0.35599999999999998</v>
      </c>
      <c r="IJ79">
        <v>-0.35857603679951211</v>
      </c>
      <c r="IK79">
        <v>-1.615681629159814E-3</v>
      </c>
      <c r="IL79">
        <v>1.5005605225991581E-6</v>
      </c>
      <c r="IM79">
        <v>-5.1143626075267638E-10</v>
      </c>
      <c r="IN79">
        <v>-0.18019232080308689</v>
      </c>
      <c r="IO79">
        <v>-1.7182111142928099E-3</v>
      </c>
      <c r="IP79">
        <v>9.9985895407488957E-4</v>
      </c>
      <c r="IQ79">
        <v>-5.7750407166627208E-6</v>
      </c>
      <c r="IR79">
        <v>3</v>
      </c>
      <c r="IS79">
        <v>2181</v>
      </c>
      <c r="IT79">
        <v>2</v>
      </c>
      <c r="IU79">
        <v>42</v>
      </c>
      <c r="IV79">
        <v>0.6</v>
      </c>
      <c r="IW79">
        <v>0.6</v>
      </c>
      <c r="IX79">
        <v>0.15625</v>
      </c>
      <c r="IY79">
        <v>2.64771</v>
      </c>
      <c r="IZ79">
        <v>1.5991200000000001</v>
      </c>
      <c r="JA79">
        <v>2.2729499999999998</v>
      </c>
      <c r="JB79">
        <v>1.5502899999999999</v>
      </c>
      <c r="JC79">
        <v>2.3901400000000002</v>
      </c>
      <c r="JD79">
        <v>54.417000000000002</v>
      </c>
      <c r="JE79">
        <v>23.921099999999999</v>
      </c>
      <c r="JF79">
        <v>18</v>
      </c>
      <c r="JG79">
        <v>503.13400000000001</v>
      </c>
      <c r="JH79">
        <v>409.86500000000001</v>
      </c>
      <c r="JI79">
        <v>24.875499999999999</v>
      </c>
      <c r="JJ79">
        <v>35.593400000000003</v>
      </c>
      <c r="JK79">
        <v>29.999600000000001</v>
      </c>
      <c r="JL79">
        <v>35.561</v>
      </c>
      <c r="JM79">
        <v>35.524000000000001</v>
      </c>
      <c r="JN79">
        <v>3.1857199999999999</v>
      </c>
      <c r="JO79">
        <v>44.942700000000002</v>
      </c>
      <c r="JP79">
        <v>0</v>
      </c>
      <c r="JQ79">
        <v>24.881499999999999</v>
      </c>
      <c r="JR79">
        <v>10</v>
      </c>
      <c r="JS79">
        <v>17.060700000000001</v>
      </c>
      <c r="JT79">
        <v>98.676500000000004</v>
      </c>
      <c r="JU79">
        <v>98.361500000000007</v>
      </c>
    </row>
    <row r="80" spans="1:281" x14ac:dyDescent="0.25">
      <c r="A80">
        <v>64</v>
      </c>
      <c r="B80">
        <v>1691177926.5999999</v>
      </c>
      <c r="C80">
        <v>18196</v>
      </c>
      <c r="D80" t="s">
        <v>744</v>
      </c>
      <c r="E80" t="s">
        <v>745</v>
      </c>
      <c r="F80" t="s">
        <v>411</v>
      </c>
      <c r="G80" t="s">
        <v>710</v>
      </c>
      <c r="H80" t="s">
        <v>412</v>
      </c>
      <c r="I80" t="s">
        <v>31</v>
      </c>
      <c r="J80">
        <v>1691177926.5999999</v>
      </c>
      <c r="K80">
        <f t="shared" si="92"/>
        <v>7.2694392123473792E-3</v>
      </c>
      <c r="L80">
        <f t="shared" si="93"/>
        <v>7.269439212347379</v>
      </c>
      <c r="M80">
        <f t="shared" si="94"/>
        <v>45.397310506002427</v>
      </c>
      <c r="N80">
        <f t="shared" si="95"/>
        <v>342.52300000000002</v>
      </c>
      <c r="O80">
        <f t="shared" si="96"/>
        <v>166.37643772488929</v>
      </c>
      <c r="P80">
        <f t="shared" si="97"/>
        <v>16.499691983817719</v>
      </c>
      <c r="Q80">
        <f t="shared" si="98"/>
        <v>33.968295478944199</v>
      </c>
      <c r="R80">
        <f t="shared" si="99"/>
        <v>0.46127326071218233</v>
      </c>
      <c r="S80">
        <f t="shared" si="100"/>
        <v>2.9158287296402996</v>
      </c>
      <c r="T80">
        <f t="shared" si="101"/>
        <v>0.42423363915716295</v>
      </c>
      <c r="U80">
        <f t="shared" si="102"/>
        <v>0.26822559952138098</v>
      </c>
      <c r="V80">
        <f t="shared" si="103"/>
        <v>289.56587701273509</v>
      </c>
      <c r="W80">
        <f t="shared" si="104"/>
        <v>30.338139474986768</v>
      </c>
      <c r="X80">
        <f t="shared" si="105"/>
        <v>30.010999999999999</v>
      </c>
      <c r="Y80">
        <f t="shared" si="106"/>
        <v>4.2631423978423246</v>
      </c>
      <c r="Z80">
        <f t="shared" si="107"/>
        <v>59.748676957406886</v>
      </c>
      <c r="AA80">
        <f t="shared" si="108"/>
        <v>2.6228010995474196</v>
      </c>
      <c r="AB80">
        <f t="shared" si="109"/>
        <v>4.3897224727120552</v>
      </c>
      <c r="AC80">
        <f t="shared" si="110"/>
        <v>1.640341298294905</v>
      </c>
      <c r="AD80">
        <f t="shared" si="111"/>
        <v>-320.58226926451943</v>
      </c>
      <c r="AE80">
        <f t="shared" si="112"/>
        <v>80.233940084296648</v>
      </c>
      <c r="AF80">
        <f t="shared" si="113"/>
        <v>6.1345068093584194</v>
      </c>
      <c r="AG80">
        <f t="shared" si="114"/>
        <v>55.352054641870723</v>
      </c>
      <c r="AH80">
        <v>0</v>
      </c>
      <c r="AI80">
        <v>0</v>
      </c>
      <c r="AJ80">
        <f t="shared" si="115"/>
        <v>1</v>
      </c>
      <c r="AK80">
        <f t="shared" si="116"/>
        <v>0</v>
      </c>
      <c r="AL80">
        <f t="shared" si="117"/>
        <v>51852.803815800391</v>
      </c>
      <c r="AM80" t="s">
        <v>414</v>
      </c>
      <c r="AN80">
        <v>7361.72</v>
      </c>
      <c r="AO80">
        <v>541.39076923076925</v>
      </c>
      <c r="AP80">
        <v>2141.9899999999998</v>
      </c>
      <c r="AQ80">
        <f t="shared" si="118"/>
        <v>0.74724869433061347</v>
      </c>
      <c r="AR80">
        <v>-0.96077199609010144</v>
      </c>
      <c r="AS80" t="s">
        <v>746</v>
      </c>
      <c r="AT80">
        <v>7348.87</v>
      </c>
      <c r="AU80">
        <v>712.86596153846165</v>
      </c>
      <c r="AV80">
        <v>1047.329180755426</v>
      </c>
      <c r="AW80">
        <f t="shared" si="119"/>
        <v>0.31934870656016678</v>
      </c>
      <c r="AX80">
        <v>0.5</v>
      </c>
      <c r="AY80">
        <f t="shared" si="120"/>
        <v>1513.1541000065986</v>
      </c>
      <c r="AZ80">
        <f t="shared" si="121"/>
        <v>45.397310506002427</v>
      </c>
      <c r="BA80">
        <f t="shared" si="122"/>
        <v>241.61190233166025</v>
      </c>
      <c r="BB80">
        <f t="shared" si="123"/>
        <v>3.0636722658908547E-2</v>
      </c>
      <c r="BC80">
        <f t="shared" si="124"/>
        <v>1.0451927047950751</v>
      </c>
      <c r="BD80">
        <f t="shared" si="125"/>
        <v>428.25658965360105</v>
      </c>
      <c r="BE80" t="s">
        <v>747</v>
      </c>
      <c r="BF80">
        <v>573.21</v>
      </c>
      <c r="BG80">
        <f t="shared" si="126"/>
        <v>573.21</v>
      </c>
      <c r="BH80">
        <f t="shared" si="127"/>
        <v>0.45269356518210391</v>
      </c>
      <c r="BI80">
        <f t="shared" si="128"/>
        <v>0.70544123248516488</v>
      </c>
      <c r="BJ80">
        <f t="shared" si="129"/>
        <v>0.69777841331772072</v>
      </c>
      <c r="BK80">
        <f t="shared" si="130"/>
        <v>0.66107496801646659</v>
      </c>
      <c r="BL80">
        <f t="shared" si="131"/>
        <v>0.68390687575083475</v>
      </c>
      <c r="BM80">
        <f t="shared" si="132"/>
        <v>0.56723983285742052</v>
      </c>
      <c r="BN80">
        <f t="shared" si="133"/>
        <v>0.43276016714257948</v>
      </c>
      <c r="BO80">
        <v>1557</v>
      </c>
      <c r="BP80">
        <v>290.00000000000011</v>
      </c>
      <c r="BQ80">
        <v>923.26</v>
      </c>
      <c r="BR80">
        <v>275</v>
      </c>
      <c r="BS80">
        <v>7348.87</v>
      </c>
      <c r="BT80">
        <v>926.47</v>
      </c>
      <c r="BU80">
        <v>-3.21</v>
      </c>
      <c r="BV80">
        <v>300.00000000000011</v>
      </c>
      <c r="BW80">
        <v>37.9</v>
      </c>
      <c r="BX80">
        <v>1047.329180755426</v>
      </c>
      <c r="BY80">
        <v>1.9997499943862931</v>
      </c>
      <c r="BZ80">
        <v>-88.817761280558457</v>
      </c>
      <c r="CA80">
        <v>1.2319187855788201</v>
      </c>
      <c r="CB80">
        <v>0.99464216409748318</v>
      </c>
      <c r="CC80">
        <v>-7.2401414905450562E-3</v>
      </c>
      <c r="CD80">
        <v>289.99999999999989</v>
      </c>
      <c r="CE80">
        <v>910.46</v>
      </c>
      <c r="CF80">
        <v>655</v>
      </c>
      <c r="CG80">
        <v>7343.78</v>
      </c>
      <c r="CH80">
        <v>926.39</v>
      </c>
      <c r="CI80">
        <v>-15.93</v>
      </c>
      <c r="CW80">
        <f t="shared" si="134"/>
        <v>1799.96</v>
      </c>
      <c r="CX80">
        <f t="shared" si="135"/>
        <v>1513.1541000065986</v>
      </c>
      <c r="CY80">
        <f t="shared" si="136"/>
        <v>0.84065984800028803</v>
      </c>
      <c r="CZ80">
        <f t="shared" si="137"/>
        <v>0.16087350664055594</v>
      </c>
      <c r="DA80">
        <v>6</v>
      </c>
      <c r="DB80">
        <v>0.5</v>
      </c>
      <c r="DC80" t="s">
        <v>415</v>
      </c>
      <c r="DD80">
        <v>2</v>
      </c>
      <c r="DE80">
        <v>1691177926.5999999</v>
      </c>
      <c r="DF80">
        <v>342.52300000000002</v>
      </c>
      <c r="DG80">
        <v>399.99299999999999</v>
      </c>
      <c r="DH80">
        <v>26.447299999999998</v>
      </c>
      <c r="DI80">
        <v>17.953900000000001</v>
      </c>
      <c r="DJ80">
        <v>343.05500000000001</v>
      </c>
      <c r="DK80">
        <v>26.0931</v>
      </c>
      <c r="DL80">
        <v>499.95400000000001</v>
      </c>
      <c r="DM80">
        <v>99.071299999999994</v>
      </c>
      <c r="DN80">
        <v>9.9545400000000006E-2</v>
      </c>
      <c r="DO80">
        <v>30.5214</v>
      </c>
      <c r="DP80">
        <v>30.010999999999999</v>
      </c>
      <c r="DQ80">
        <v>999.9</v>
      </c>
      <c r="DR80">
        <v>0</v>
      </c>
      <c r="DS80">
        <v>0</v>
      </c>
      <c r="DT80">
        <v>10015</v>
      </c>
      <c r="DU80">
        <v>0</v>
      </c>
      <c r="DV80">
        <v>687.92399999999998</v>
      </c>
      <c r="DW80">
        <v>-57.469799999999999</v>
      </c>
      <c r="DX80">
        <v>351.82799999999997</v>
      </c>
      <c r="DY80">
        <v>407.30599999999998</v>
      </c>
      <c r="DZ80">
        <v>8.4933499999999995</v>
      </c>
      <c r="EA80">
        <v>399.99299999999999</v>
      </c>
      <c r="EB80">
        <v>17.953900000000001</v>
      </c>
      <c r="EC80">
        <v>2.6201699999999999</v>
      </c>
      <c r="ED80">
        <v>1.7787200000000001</v>
      </c>
      <c r="EE80">
        <v>21.7928</v>
      </c>
      <c r="EF80">
        <v>15.601000000000001</v>
      </c>
      <c r="EG80">
        <v>1799.96</v>
      </c>
      <c r="EH80">
        <v>0.97800399999999998</v>
      </c>
      <c r="EI80">
        <v>2.19957E-2</v>
      </c>
      <c r="EJ80">
        <v>0</v>
      </c>
      <c r="EK80">
        <v>709.41499999999996</v>
      </c>
      <c r="EL80">
        <v>9.9989999999999996E-2</v>
      </c>
      <c r="EM80">
        <v>13327.2</v>
      </c>
      <c r="EN80">
        <v>16704.900000000001</v>
      </c>
      <c r="EO80">
        <v>48.125</v>
      </c>
      <c r="EP80">
        <v>49.75</v>
      </c>
      <c r="EQ80">
        <v>49.061999999999998</v>
      </c>
      <c r="ER80">
        <v>48.625</v>
      </c>
      <c r="ES80">
        <v>49.25</v>
      </c>
      <c r="ET80">
        <v>1760.27</v>
      </c>
      <c r="EU80">
        <v>39.590000000000003</v>
      </c>
      <c r="EV80">
        <v>0</v>
      </c>
      <c r="EW80">
        <v>160.39999985694891</v>
      </c>
      <c r="EX80">
        <v>0</v>
      </c>
      <c r="EY80">
        <v>712.86596153846165</v>
      </c>
      <c r="EZ80">
        <v>-19.324615270382861</v>
      </c>
      <c r="FA80">
        <v>-922.75555575169881</v>
      </c>
      <c r="FB80">
        <v>13406.45384615385</v>
      </c>
      <c r="FC80">
        <v>15</v>
      </c>
      <c r="FD80">
        <v>1691177852.0999999</v>
      </c>
      <c r="FE80" t="s">
        <v>748</v>
      </c>
      <c r="FF80">
        <v>1691177846.0999999</v>
      </c>
      <c r="FG80">
        <v>1691177852.0999999</v>
      </c>
      <c r="FH80">
        <v>87</v>
      </c>
      <c r="FI80">
        <v>0.22600000000000001</v>
      </c>
      <c r="FJ80">
        <v>1E-3</v>
      </c>
      <c r="FK80">
        <v>-0.57199999999999995</v>
      </c>
      <c r="FL80">
        <v>4.5999999999999999E-2</v>
      </c>
      <c r="FM80">
        <v>400</v>
      </c>
      <c r="FN80">
        <v>17</v>
      </c>
      <c r="FO80">
        <v>0.2</v>
      </c>
      <c r="FP80">
        <v>0.03</v>
      </c>
      <c r="FQ80">
        <v>45.424214693830983</v>
      </c>
      <c r="FR80">
        <v>0.53529128934025993</v>
      </c>
      <c r="FS80">
        <v>0.1084475534056888</v>
      </c>
      <c r="FT80">
        <v>1</v>
      </c>
      <c r="FU80">
        <v>0.46611606916255283</v>
      </c>
      <c r="FV80">
        <v>-4.3744681882605108E-2</v>
      </c>
      <c r="FW80">
        <v>3.3153186039424892E-3</v>
      </c>
      <c r="FX80">
        <v>1</v>
      </c>
      <c r="FY80">
        <v>2</v>
      </c>
      <c r="FZ80">
        <v>2</v>
      </c>
      <c r="GA80" t="s">
        <v>416</v>
      </c>
      <c r="GB80">
        <v>2.96644</v>
      </c>
      <c r="GC80">
        <v>2.8113700000000001</v>
      </c>
      <c r="GD80">
        <v>8.4802000000000002E-2</v>
      </c>
      <c r="GE80">
        <v>9.4630800000000001E-2</v>
      </c>
      <c r="GF80">
        <v>0.12618399999999999</v>
      </c>
      <c r="GG80">
        <v>9.5514299999999996E-2</v>
      </c>
      <c r="GH80">
        <v>26913.1</v>
      </c>
      <c r="GI80">
        <v>24521.4</v>
      </c>
      <c r="GJ80">
        <v>26444.7</v>
      </c>
      <c r="GK80">
        <v>25571.4</v>
      </c>
      <c r="GL80">
        <v>31451.3</v>
      </c>
      <c r="GM80">
        <v>32658.6</v>
      </c>
      <c r="GN80">
        <v>37422.5</v>
      </c>
      <c r="GO80">
        <v>37917.4</v>
      </c>
      <c r="GP80">
        <v>1.9169</v>
      </c>
      <c r="GQ80">
        <v>1.8220000000000001</v>
      </c>
      <c r="GR80">
        <v>-3.0547399999999998E-3</v>
      </c>
      <c r="GS80">
        <v>0</v>
      </c>
      <c r="GT80">
        <v>30.060700000000001</v>
      </c>
      <c r="GU80">
        <v>999.9</v>
      </c>
      <c r="GV80">
        <v>23.3</v>
      </c>
      <c r="GW80">
        <v>49.5</v>
      </c>
      <c r="GX80">
        <v>28.485700000000001</v>
      </c>
      <c r="GY80">
        <v>61.802</v>
      </c>
      <c r="GZ80">
        <v>13.5016</v>
      </c>
      <c r="HA80">
        <v>1</v>
      </c>
      <c r="HB80">
        <v>0.66057900000000003</v>
      </c>
      <c r="HC80">
        <v>3.54833</v>
      </c>
      <c r="HD80">
        <v>20.207000000000001</v>
      </c>
      <c r="HE80">
        <v>5.2095000000000002</v>
      </c>
      <c r="HF80">
        <v>11.9381</v>
      </c>
      <c r="HG80">
        <v>4.9870000000000001</v>
      </c>
      <c r="HH80">
        <v>3.2909999999999999</v>
      </c>
      <c r="HI80">
        <v>9999</v>
      </c>
      <c r="HJ80">
        <v>9999</v>
      </c>
      <c r="HK80">
        <v>9999</v>
      </c>
      <c r="HL80">
        <v>999.9</v>
      </c>
      <c r="HM80">
        <v>1.8714900000000001</v>
      </c>
      <c r="HN80">
        <v>1.8773299999999999</v>
      </c>
      <c r="HO80">
        <v>1.8751500000000001</v>
      </c>
      <c r="HP80">
        <v>1.8733299999999999</v>
      </c>
      <c r="HQ80">
        <v>1.8739300000000001</v>
      </c>
      <c r="HR80">
        <v>1.87131</v>
      </c>
      <c r="HS80">
        <v>1.87714</v>
      </c>
      <c r="HT80">
        <v>1.87626</v>
      </c>
      <c r="HU80">
        <v>5</v>
      </c>
      <c r="HV80">
        <v>0</v>
      </c>
      <c r="HW80">
        <v>0</v>
      </c>
      <c r="HX80">
        <v>0</v>
      </c>
      <c r="HY80" t="s">
        <v>417</v>
      </c>
      <c r="HZ80" t="s">
        <v>418</v>
      </c>
      <c r="IA80" t="s">
        <v>419</v>
      </c>
      <c r="IB80" t="s">
        <v>420</v>
      </c>
      <c r="IC80" t="s">
        <v>420</v>
      </c>
      <c r="ID80" t="s">
        <v>419</v>
      </c>
      <c r="IE80">
        <v>0</v>
      </c>
      <c r="IF80">
        <v>100</v>
      </c>
      <c r="IG80">
        <v>100</v>
      </c>
      <c r="IH80">
        <v>-0.53200000000000003</v>
      </c>
      <c r="II80">
        <v>0.35420000000000001</v>
      </c>
      <c r="IJ80">
        <v>-0.1328772166852418</v>
      </c>
      <c r="IK80">
        <v>-1.615681629159814E-3</v>
      </c>
      <c r="IL80">
        <v>1.5005605225991581E-6</v>
      </c>
      <c r="IM80">
        <v>-5.1143626075267638E-10</v>
      </c>
      <c r="IN80">
        <v>-0.17908632834149649</v>
      </c>
      <c r="IO80">
        <v>-1.7182111142928099E-3</v>
      </c>
      <c r="IP80">
        <v>9.9985895407488957E-4</v>
      </c>
      <c r="IQ80">
        <v>-5.7750407166627208E-6</v>
      </c>
      <c r="IR80">
        <v>3</v>
      </c>
      <c r="IS80">
        <v>2181</v>
      </c>
      <c r="IT80">
        <v>2</v>
      </c>
      <c r="IU80">
        <v>42</v>
      </c>
      <c r="IV80">
        <v>1.3</v>
      </c>
      <c r="IW80">
        <v>1.2</v>
      </c>
      <c r="IX80">
        <v>0.950928</v>
      </c>
      <c r="IY80">
        <v>2.5817899999999998</v>
      </c>
      <c r="IZ80">
        <v>1.5991200000000001</v>
      </c>
      <c r="JA80">
        <v>2.2729499999999998</v>
      </c>
      <c r="JB80">
        <v>1.5502899999999999</v>
      </c>
      <c r="JC80">
        <v>2.4389599999999998</v>
      </c>
      <c r="JD80">
        <v>53.985100000000003</v>
      </c>
      <c r="JE80">
        <v>23.921099999999999</v>
      </c>
      <c r="JF80">
        <v>18</v>
      </c>
      <c r="JG80">
        <v>502.80599999999998</v>
      </c>
      <c r="JH80">
        <v>412.822</v>
      </c>
      <c r="JI80">
        <v>25.939699999999998</v>
      </c>
      <c r="JJ80">
        <v>35.386699999999998</v>
      </c>
      <c r="JK80">
        <v>29.999500000000001</v>
      </c>
      <c r="JL80">
        <v>35.429699999999997</v>
      </c>
      <c r="JM80">
        <v>35.4009</v>
      </c>
      <c r="JN80">
        <v>19.079999999999998</v>
      </c>
      <c r="JO80">
        <v>41.238700000000001</v>
      </c>
      <c r="JP80">
        <v>0</v>
      </c>
      <c r="JQ80">
        <v>25.820900000000002</v>
      </c>
      <c r="JR80">
        <v>400</v>
      </c>
      <c r="JS80">
        <v>17.999700000000001</v>
      </c>
      <c r="JT80">
        <v>98.712800000000001</v>
      </c>
      <c r="JU80">
        <v>98.409599999999998</v>
      </c>
    </row>
    <row r="81" spans="1:281" x14ac:dyDescent="0.25">
      <c r="A81">
        <v>65</v>
      </c>
      <c r="B81">
        <v>1691178099.5</v>
      </c>
      <c r="C81">
        <v>18368.900000095371</v>
      </c>
      <c r="D81" t="s">
        <v>749</v>
      </c>
      <c r="E81" t="s">
        <v>750</v>
      </c>
      <c r="F81" t="s">
        <v>411</v>
      </c>
      <c r="G81" t="s">
        <v>710</v>
      </c>
      <c r="H81" t="s">
        <v>412</v>
      </c>
      <c r="I81" t="s">
        <v>31</v>
      </c>
      <c r="J81">
        <v>1691178099.5</v>
      </c>
      <c r="K81">
        <f t="shared" si="92"/>
        <v>6.2333938747802823E-3</v>
      </c>
      <c r="L81">
        <f t="shared" si="93"/>
        <v>6.2333938747802824</v>
      </c>
      <c r="M81">
        <f t="shared" si="94"/>
        <v>49.996786382539383</v>
      </c>
      <c r="N81">
        <f t="shared" si="95"/>
        <v>337.57799999999997</v>
      </c>
      <c r="O81">
        <f t="shared" si="96"/>
        <v>110.81226357578741</v>
      </c>
      <c r="P81">
        <f t="shared" si="97"/>
        <v>10.988053112550364</v>
      </c>
      <c r="Q81">
        <f t="shared" si="98"/>
        <v>33.4739574297354</v>
      </c>
      <c r="R81">
        <f t="shared" si="99"/>
        <v>0.38529047088933244</v>
      </c>
      <c r="S81">
        <f t="shared" si="100"/>
        <v>2.9182343462581928</v>
      </c>
      <c r="T81">
        <f t="shared" si="101"/>
        <v>0.35909697378837657</v>
      </c>
      <c r="U81">
        <f t="shared" si="102"/>
        <v>0.22664042528734535</v>
      </c>
      <c r="V81">
        <f t="shared" si="103"/>
        <v>289.58241601273755</v>
      </c>
      <c r="W81">
        <f t="shared" si="104"/>
        <v>30.40554033642276</v>
      </c>
      <c r="X81">
        <f t="shared" si="105"/>
        <v>29.994299999999999</v>
      </c>
      <c r="Y81">
        <f t="shared" si="106"/>
        <v>4.2590550859729133</v>
      </c>
      <c r="Z81">
        <f t="shared" si="107"/>
        <v>59.858303639915803</v>
      </c>
      <c r="AA81">
        <f t="shared" si="108"/>
        <v>2.5973061311586902</v>
      </c>
      <c r="AB81">
        <f t="shared" si="109"/>
        <v>4.339090774745423</v>
      </c>
      <c r="AC81">
        <f t="shared" si="110"/>
        <v>1.661748954814223</v>
      </c>
      <c r="AD81">
        <f t="shared" si="111"/>
        <v>-274.89266987781048</v>
      </c>
      <c r="AE81">
        <f t="shared" si="112"/>
        <v>51.052887349490639</v>
      </c>
      <c r="AF81">
        <f t="shared" si="113"/>
        <v>3.8959407623616094</v>
      </c>
      <c r="AG81">
        <f t="shared" si="114"/>
        <v>69.638574246779314</v>
      </c>
      <c r="AH81">
        <v>0</v>
      </c>
      <c r="AI81">
        <v>0</v>
      </c>
      <c r="AJ81">
        <f t="shared" si="115"/>
        <v>1</v>
      </c>
      <c r="AK81">
        <f t="shared" si="116"/>
        <v>0</v>
      </c>
      <c r="AL81">
        <f t="shared" si="117"/>
        <v>51955.586088946788</v>
      </c>
      <c r="AM81" t="s">
        <v>414</v>
      </c>
      <c r="AN81">
        <v>7361.72</v>
      </c>
      <c r="AO81">
        <v>541.39076923076925</v>
      </c>
      <c r="AP81">
        <v>2141.9899999999998</v>
      </c>
      <c r="AQ81">
        <f t="shared" si="118"/>
        <v>0.74724869433061347</v>
      </c>
      <c r="AR81">
        <v>-0.96077199609010144</v>
      </c>
      <c r="AS81" t="s">
        <v>751</v>
      </c>
      <c r="AT81">
        <v>7350.13</v>
      </c>
      <c r="AU81">
        <v>734.94860000000006</v>
      </c>
      <c r="AV81">
        <v>1107.97927599473</v>
      </c>
      <c r="AW81">
        <f t="shared" si="119"/>
        <v>0.33667658238447429</v>
      </c>
      <c r="AX81">
        <v>0.5</v>
      </c>
      <c r="AY81">
        <f t="shared" si="120"/>
        <v>1513.2384000065997</v>
      </c>
      <c r="AZ81">
        <f t="shared" si="121"/>
        <v>49.996786382539383</v>
      </c>
      <c r="BA81">
        <f t="shared" si="122"/>
        <v>254.73596642358601</v>
      </c>
      <c r="BB81">
        <f t="shared" si="123"/>
        <v>3.3674507849131535E-2</v>
      </c>
      <c r="BC81">
        <f t="shared" si="124"/>
        <v>0.93324013039589382</v>
      </c>
      <c r="BD81">
        <f t="shared" si="125"/>
        <v>438.06178080031214</v>
      </c>
      <c r="BE81" t="s">
        <v>752</v>
      </c>
      <c r="BF81">
        <v>586.45000000000005</v>
      </c>
      <c r="BG81">
        <f t="shared" si="126"/>
        <v>586.45000000000005</v>
      </c>
      <c r="BH81">
        <f t="shared" si="127"/>
        <v>0.47070309643337638</v>
      </c>
      <c r="BI81">
        <f t="shared" si="128"/>
        <v>0.7152631561924041</v>
      </c>
      <c r="BJ81">
        <f t="shared" si="129"/>
        <v>0.66472782699594357</v>
      </c>
      <c r="BK81">
        <f t="shared" si="130"/>
        <v>0.65838023811191337</v>
      </c>
      <c r="BL81">
        <f t="shared" si="131"/>
        <v>0.64601475755322935</v>
      </c>
      <c r="BM81">
        <f t="shared" si="132"/>
        <v>0.5707420599876446</v>
      </c>
      <c r="BN81">
        <f t="shared" si="133"/>
        <v>0.4292579400123554</v>
      </c>
      <c r="BO81">
        <v>1559</v>
      </c>
      <c r="BP81">
        <v>290.00000000000011</v>
      </c>
      <c r="BQ81">
        <v>978</v>
      </c>
      <c r="BR81">
        <v>285</v>
      </c>
      <c r="BS81">
        <v>7350.13</v>
      </c>
      <c r="BT81">
        <v>979.19</v>
      </c>
      <c r="BU81">
        <v>-1.19</v>
      </c>
      <c r="BV81">
        <v>300.00000000000011</v>
      </c>
      <c r="BW81">
        <v>37.9</v>
      </c>
      <c r="BX81">
        <v>1107.97927599473</v>
      </c>
      <c r="BY81">
        <v>1.451205548804944</v>
      </c>
      <c r="BZ81">
        <v>-94.664661529636248</v>
      </c>
      <c r="CA81">
        <v>0.89421320421014128</v>
      </c>
      <c r="CB81">
        <v>0.9975078124550828</v>
      </c>
      <c r="CC81">
        <v>-7.2418887652947756E-3</v>
      </c>
      <c r="CD81">
        <v>289.99999999999989</v>
      </c>
      <c r="CE81">
        <v>966.41</v>
      </c>
      <c r="CF81">
        <v>665</v>
      </c>
      <c r="CG81">
        <v>7345.25</v>
      </c>
      <c r="CH81">
        <v>979.1</v>
      </c>
      <c r="CI81">
        <v>-12.69</v>
      </c>
      <c r="CW81">
        <f t="shared" si="134"/>
        <v>1800.06</v>
      </c>
      <c r="CX81">
        <f t="shared" si="135"/>
        <v>1513.2384000065997</v>
      </c>
      <c r="CY81">
        <f t="shared" si="136"/>
        <v>0.84065997800439973</v>
      </c>
      <c r="CZ81">
        <f t="shared" si="137"/>
        <v>0.16087375754849148</v>
      </c>
      <c r="DA81">
        <v>6</v>
      </c>
      <c r="DB81">
        <v>0.5</v>
      </c>
      <c r="DC81" t="s">
        <v>415</v>
      </c>
      <c r="DD81">
        <v>2</v>
      </c>
      <c r="DE81">
        <v>1691178099.5</v>
      </c>
      <c r="DF81">
        <v>337.57799999999997</v>
      </c>
      <c r="DG81">
        <v>400.09199999999998</v>
      </c>
      <c r="DH81">
        <v>26.193300000000001</v>
      </c>
      <c r="DI81">
        <v>18.91</v>
      </c>
      <c r="DJ81">
        <v>338.17899999999997</v>
      </c>
      <c r="DK81">
        <v>25.845400000000001</v>
      </c>
      <c r="DL81">
        <v>500.05799999999999</v>
      </c>
      <c r="DM81">
        <v>99.059200000000004</v>
      </c>
      <c r="DN81">
        <v>9.9979299999999993E-2</v>
      </c>
      <c r="DO81">
        <v>30.3188</v>
      </c>
      <c r="DP81">
        <v>29.994299999999999</v>
      </c>
      <c r="DQ81">
        <v>999.9</v>
      </c>
      <c r="DR81">
        <v>0</v>
      </c>
      <c r="DS81">
        <v>0</v>
      </c>
      <c r="DT81">
        <v>10030</v>
      </c>
      <c r="DU81">
        <v>0</v>
      </c>
      <c r="DV81">
        <v>402.399</v>
      </c>
      <c r="DW81">
        <v>-62.5137</v>
      </c>
      <c r="DX81">
        <v>346.65800000000002</v>
      </c>
      <c r="DY81">
        <v>407.80399999999997</v>
      </c>
      <c r="DZ81">
        <v>7.2833600000000001</v>
      </c>
      <c r="EA81">
        <v>400.09199999999998</v>
      </c>
      <c r="EB81">
        <v>18.91</v>
      </c>
      <c r="EC81">
        <v>2.5946899999999999</v>
      </c>
      <c r="ED81">
        <v>1.87321</v>
      </c>
      <c r="EE81">
        <v>21.632999999999999</v>
      </c>
      <c r="EF81">
        <v>16.4114</v>
      </c>
      <c r="EG81">
        <v>1800.06</v>
      </c>
      <c r="EH81">
        <v>0.97800100000000001</v>
      </c>
      <c r="EI81">
        <v>2.1999299999999999E-2</v>
      </c>
      <c r="EJ81">
        <v>0</v>
      </c>
      <c r="EK81">
        <v>735.46500000000003</v>
      </c>
      <c r="EL81">
        <v>9.9989999999999996E-2</v>
      </c>
      <c r="EM81">
        <v>13831.1</v>
      </c>
      <c r="EN81">
        <v>16705.900000000001</v>
      </c>
      <c r="EO81">
        <v>47.75</v>
      </c>
      <c r="EP81">
        <v>49.311999999999998</v>
      </c>
      <c r="EQ81">
        <v>48.686999999999998</v>
      </c>
      <c r="ER81">
        <v>48.186999999999998</v>
      </c>
      <c r="ES81">
        <v>48.875</v>
      </c>
      <c r="ET81">
        <v>1760.36</v>
      </c>
      <c r="EU81">
        <v>39.6</v>
      </c>
      <c r="EV81">
        <v>0</v>
      </c>
      <c r="EW81">
        <v>170.5999999046326</v>
      </c>
      <c r="EX81">
        <v>0</v>
      </c>
      <c r="EY81">
        <v>734.94860000000006</v>
      </c>
      <c r="EZ81">
        <v>8.994615358372398</v>
      </c>
      <c r="FA81">
        <v>1130.7000016876</v>
      </c>
      <c r="FB81">
        <v>13673.592000000001</v>
      </c>
      <c r="FC81">
        <v>15</v>
      </c>
      <c r="FD81">
        <v>1691178000</v>
      </c>
      <c r="FE81" t="s">
        <v>753</v>
      </c>
      <c r="FF81">
        <v>1691177987.5</v>
      </c>
      <c r="FG81">
        <v>1691178000</v>
      </c>
      <c r="FH81">
        <v>88</v>
      </c>
      <c r="FI81">
        <v>-7.3999999999999996E-2</v>
      </c>
      <c r="FJ81">
        <v>3.0000000000000001E-3</v>
      </c>
      <c r="FK81">
        <v>-0.64600000000000002</v>
      </c>
      <c r="FL81">
        <v>8.5000000000000006E-2</v>
      </c>
      <c r="FM81">
        <v>400</v>
      </c>
      <c r="FN81">
        <v>18</v>
      </c>
      <c r="FO81">
        <v>0.14000000000000001</v>
      </c>
      <c r="FP81">
        <v>0.03</v>
      </c>
      <c r="FQ81">
        <v>49.848310892054798</v>
      </c>
      <c r="FR81">
        <v>0.61121603464703855</v>
      </c>
      <c r="FS81">
        <v>0.1128840527289398</v>
      </c>
      <c r="FT81">
        <v>1</v>
      </c>
      <c r="FU81">
        <v>0.38683811485086189</v>
      </c>
      <c r="FV81">
        <v>-2.390022227946938E-2</v>
      </c>
      <c r="FW81">
        <v>2.6671085342076292E-3</v>
      </c>
      <c r="FX81">
        <v>1</v>
      </c>
      <c r="FY81">
        <v>2</v>
      </c>
      <c r="FZ81">
        <v>2</v>
      </c>
      <c r="GA81" t="s">
        <v>416</v>
      </c>
      <c r="GB81">
        <v>2.9669699999999999</v>
      </c>
      <c r="GC81">
        <v>2.8119399999999999</v>
      </c>
      <c r="GD81">
        <v>8.38753E-2</v>
      </c>
      <c r="GE81">
        <v>9.4701900000000006E-2</v>
      </c>
      <c r="GF81">
        <v>0.125393</v>
      </c>
      <c r="GG81">
        <v>9.9193299999999998E-2</v>
      </c>
      <c r="GH81">
        <v>26952.9</v>
      </c>
      <c r="GI81">
        <v>24534.2</v>
      </c>
      <c r="GJ81">
        <v>26456</v>
      </c>
      <c r="GK81">
        <v>25585.3</v>
      </c>
      <c r="GL81">
        <v>31491.4</v>
      </c>
      <c r="GM81">
        <v>32541.200000000001</v>
      </c>
      <c r="GN81">
        <v>37439.1</v>
      </c>
      <c r="GO81">
        <v>37935.800000000003</v>
      </c>
      <c r="GP81">
        <v>1.9208000000000001</v>
      </c>
      <c r="GQ81">
        <v>1.8277000000000001</v>
      </c>
      <c r="GR81">
        <v>8.3446500000000003E-3</v>
      </c>
      <c r="GS81">
        <v>0</v>
      </c>
      <c r="GT81">
        <v>29.858499999999999</v>
      </c>
      <c r="GU81">
        <v>999.9</v>
      </c>
      <c r="GV81">
        <v>23.1</v>
      </c>
      <c r="GW81">
        <v>49.5</v>
      </c>
      <c r="GX81">
        <v>28.247499999999999</v>
      </c>
      <c r="GY81">
        <v>61.781999999999996</v>
      </c>
      <c r="GZ81">
        <v>14.2628</v>
      </c>
      <c r="HA81">
        <v>1</v>
      </c>
      <c r="HB81">
        <v>0.63722599999999996</v>
      </c>
      <c r="HC81">
        <v>3.49587</v>
      </c>
      <c r="HD81">
        <v>20.209</v>
      </c>
      <c r="HE81">
        <v>5.2053099999999999</v>
      </c>
      <c r="HF81">
        <v>11.9381</v>
      </c>
      <c r="HG81">
        <v>4.9874000000000001</v>
      </c>
      <c r="HH81">
        <v>3.2909999999999999</v>
      </c>
      <c r="HI81">
        <v>9999</v>
      </c>
      <c r="HJ81">
        <v>9999</v>
      </c>
      <c r="HK81">
        <v>9999</v>
      </c>
      <c r="HL81">
        <v>999.9</v>
      </c>
      <c r="HM81">
        <v>1.8714299999999999</v>
      </c>
      <c r="HN81">
        <v>1.8772899999999999</v>
      </c>
      <c r="HO81">
        <v>1.8751500000000001</v>
      </c>
      <c r="HP81">
        <v>1.8733200000000001</v>
      </c>
      <c r="HQ81">
        <v>1.87391</v>
      </c>
      <c r="HR81">
        <v>1.8712500000000001</v>
      </c>
      <c r="HS81">
        <v>1.8770899999999999</v>
      </c>
      <c r="HT81">
        <v>1.87622</v>
      </c>
      <c r="HU81">
        <v>5</v>
      </c>
      <c r="HV81">
        <v>0</v>
      </c>
      <c r="HW81">
        <v>0</v>
      </c>
      <c r="HX81">
        <v>0</v>
      </c>
      <c r="HY81" t="s">
        <v>417</v>
      </c>
      <c r="HZ81" t="s">
        <v>418</v>
      </c>
      <c r="IA81" t="s">
        <v>419</v>
      </c>
      <c r="IB81" t="s">
        <v>420</v>
      </c>
      <c r="IC81" t="s">
        <v>420</v>
      </c>
      <c r="ID81" t="s">
        <v>419</v>
      </c>
      <c r="IE81">
        <v>0</v>
      </c>
      <c r="IF81">
        <v>100</v>
      </c>
      <c r="IG81">
        <v>100</v>
      </c>
      <c r="IH81">
        <v>-0.60099999999999998</v>
      </c>
      <c r="II81">
        <v>0.34789999999999999</v>
      </c>
      <c r="IJ81">
        <v>-0.20643026825199401</v>
      </c>
      <c r="IK81">
        <v>-1.615681629159814E-3</v>
      </c>
      <c r="IL81">
        <v>1.5005605225991581E-6</v>
      </c>
      <c r="IM81">
        <v>-5.1143626075267638E-10</v>
      </c>
      <c r="IN81">
        <v>-0.1758099234015221</v>
      </c>
      <c r="IO81">
        <v>-1.7182111142928099E-3</v>
      </c>
      <c r="IP81">
        <v>9.9985895407488957E-4</v>
      </c>
      <c r="IQ81">
        <v>-5.7750407166627208E-6</v>
      </c>
      <c r="IR81">
        <v>3</v>
      </c>
      <c r="IS81">
        <v>2181</v>
      </c>
      <c r="IT81">
        <v>2</v>
      </c>
      <c r="IU81">
        <v>42</v>
      </c>
      <c r="IV81">
        <v>1.9</v>
      </c>
      <c r="IW81">
        <v>1.7</v>
      </c>
      <c r="IX81">
        <v>0.95336900000000002</v>
      </c>
      <c r="IY81">
        <v>2.5939899999999998</v>
      </c>
      <c r="IZ81">
        <v>1.5991200000000001</v>
      </c>
      <c r="JA81">
        <v>2.2705099999999998</v>
      </c>
      <c r="JB81">
        <v>1.5502899999999999</v>
      </c>
      <c r="JC81">
        <v>2.34009</v>
      </c>
      <c r="JD81">
        <v>53.523099999999999</v>
      </c>
      <c r="JE81">
        <v>23.9299</v>
      </c>
      <c r="JF81">
        <v>18</v>
      </c>
      <c r="JG81">
        <v>503.517</v>
      </c>
      <c r="JH81">
        <v>414.666</v>
      </c>
      <c r="JI81">
        <v>25.515499999999999</v>
      </c>
      <c r="JJ81">
        <v>35.0991</v>
      </c>
      <c r="JK81">
        <v>29.999400000000001</v>
      </c>
      <c r="JL81">
        <v>35.185000000000002</v>
      </c>
      <c r="JM81">
        <v>35.1661</v>
      </c>
      <c r="JN81">
        <v>19.101700000000001</v>
      </c>
      <c r="JO81">
        <v>36.537199999999999</v>
      </c>
      <c r="JP81">
        <v>0</v>
      </c>
      <c r="JQ81">
        <v>25.5139</v>
      </c>
      <c r="JR81">
        <v>400</v>
      </c>
      <c r="JS81">
        <v>18.907800000000002</v>
      </c>
      <c r="JT81">
        <v>98.755899999999997</v>
      </c>
      <c r="JU81">
        <v>98.459699999999998</v>
      </c>
    </row>
    <row r="82" spans="1:281" x14ac:dyDescent="0.25">
      <c r="A82">
        <v>66</v>
      </c>
      <c r="B82">
        <v>1691178236</v>
      </c>
      <c r="C82">
        <v>18505.400000095371</v>
      </c>
      <c r="D82" t="s">
        <v>754</v>
      </c>
      <c r="E82" t="s">
        <v>755</v>
      </c>
      <c r="F82" t="s">
        <v>411</v>
      </c>
      <c r="G82" t="s">
        <v>710</v>
      </c>
      <c r="H82" t="s">
        <v>412</v>
      </c>
      <c r="I82" t="s">
        <v>31</v>
      </c>
      <c r="J82">
        <v>1691178236</v>
      </c>
      <c r="K82">
        <f t="shared" si="92"/>
        <v>5.538511056578683E-3</v>
      </c>
      <c r="L82">
        <f t="shared" si="93"/>
        <v>5.5385110565786828</v>
      </c>
      <c r="M82">
        <f t="shared" si="94"/>
        <v>53.854518133408895</v>
      </c>
      <c r="N82">
        <f t="shared" si="95"/>
        <v>432.52600000000001</v>
      </c>
      <c r="O82">
        <f t="shared" si="96"/>
        <v>156.60639480692191</v>
      </c>
      <c r="P82">
        <f t="shared" si="97"/>
        <v>15.527703829247546</v>
      </c>
      <c r="Q82">
        <f t="shared" si="98"/>
        <v>42.885449439848003</v>
      </c>
      <c r="R82">
        <f t="shared" si="99"/>
        <v>0.33949327656526906</v>
      </c>
      <c r="S82">
        <f t="shared" si="100"/>
        <v>2.9163382480406495</v>
      </c>
      <c r="T82">
        <f t="shared" si="101"/>
        <v>0.31896634898471565</v>
      </c>
      <c r="U82">
        <f t="shared" si="102"/>
        <v>0.2010947219056628</v>
      </c>
      <c r="V82">
        <f t="shared" si="103"/>
        <v>289.58880001273729</v>
      </c>
      <c r="W82">
        <f t="shared" si="104"/>
        <v>30.538898057431268</v>
      </c>
      <c r="X82">
        <f t="shared" si="105"/>
        <v>30.040700000000001</v>
      </c>
      <c r="Y82">
        <f t="shared" si="106"/>
        <v>4.2704198957553858</v>
      </c>
      <c r="Z82">
        <f t="shared" si="107"/>
        <v>60.28093093700506</v>
      </c>
      <c r="AA82">
        <f t="shared" si="108"/>
        <v>2.6084882318136002</v>
      </c>
      <c r="AB82">
        <f t="shared" si="109"/>
        <v>4.3272195556162352</v>
      </c>
      <c r="AC82">
        <f t="shared" si="110"/>
        <v>1.6619316639417856</v>
      </c>
      <c r="AD82">
        <f t="shared" si="111"/>
        <v>-244.24833759511992</v>
      </c>
      <c r="AE82">
        <f t="shared" si="112"/>
        <v>36.209062042812995</v>
      </c>
      <c r="AF82">
        <f t="shared" si="113"/>
        <v>2.7649578267543808</v>
      </c>
      <c r="AG82">
        <f t="shared" si="114"/>
        <v>84.314482287184745</v>
      </c>
      <c r="AH82">
        <v>0</v>
      </c>
      <c r="AI82">
        <v>0</v>
      </c>
      <c r="AJ82">
        <f t="shared" si="115"/>
        <v>1</v>
      </c>
      <c r="AK82">
        <f t="shared" si="116"/>
        <v>0</v>
      </c>
      <c r="AL82">
        <f t="shared" si="117"/>
        <v>51909.659757852613</v>
      </c>
      <c r="AM82" t="s">
        <v>414</v>
      </c>
      <c r="AN82">
        <v>7361.72</v>
      </c>
      <c r="AO82">
        <v>541.39076923076925</v>
      </c>
      <c r="AP82">
        <v>2141.9899999999998</v>
      </c>
      <c r="AQ82">
        <f t="shared" si="118"/>
        <v>0.74724869433061347</v>
      </c>
      <c r="AR82">
        <v>-0.96077199609010144</v>
      </c>
      <c r="AS82" t="s">
        <v>756</v>
      </c>
      <c r="AT82">
        <v>7350.95</v>
      </c>
      <c r="AU82">
        <v>765.00519230769225</v>
      </c>
      <c r="AV82">
        <v>1188.6242052696989</v>
      </c>
      <c r="AW82">
        <f t="shared" si="119"/>
        <v>0.35639440210279705</v>
      </c>
      <c r="AX82">
        <v>0.5</v>
      </c>
      <c r="AY82">
        <f t="shared" si="120"/>
        <v>1513.2720000065997</v>
      </c>
      <c r="AZ82">
        <f t="shared" si="121"/>
        <v>53.854518133408895</v>
      </c>
      <c r="BA82">
        <f t="shared" si="122"/>
        <v>269.660834830628</v>
      </c>
      <c r="BB82">
        <f t="shared" si="123"/>
        <v>3.6223025423889388E-2</v>
      </c>
      <c r="BC82">
        <f t="shared" si="124"/>
        <v>0.80207502968861566</v>
      </c>
      <c r="BD82">
        <f t="shared" si="125"/>
        <v>450.13659748620324</v>
      </c>
      <c r="BE82" t="s">
        <v>757</v>
      </c>
      <c r="BF82">
        <v>589.78</v>
      </c>
      <c r="BG82">
        <f t="shared" si="126"/>
        <v>589.78</v>
      </c>
      <c r="BH82">
        <f t="shared" si="127"/>
        <v>0.5038128978147649</v>
      </c>
      <c r="BI82">
        <f t="shared" si="128"/>
        <v>0.70739435939139317</v>
      </c>
      <c r="BJ82">
        <f t="shared" si="129"/>
        <v>0.61419897741304397</v>
      </c>
      <c r="BK82">
        <f t="shared" si="130"/>
        <v>0.65450730659799672</v>
      </c>
      <c r="BL82">
        <f t="shared" si="131"/>
        <v>0.59563054661229831</v>
      </c>
      <c r="BM82">
        <f t="shared" si="132"/>
        <v>0.54536498507065201</v>
      </c>
      <c r="BN82">
        <f t="shared" si="133"/>
        <v>0.45463501492934799</v>
      </c>
      <c r="BO82">
        <v>1561</v>
      </c>
      <c r="BP82">
        <v>290.00000000000011</v>
      </c>
      <c r="BQ82">
        <v>1045.3</v>
      </c>
      <c r="BR82">
        <v>295</v>
      </c>
      <c r="BS82">
        <v>7350.95</v>
      </c>
      <c r="BT82">
        <v>1046.55</v>
      </c>
      <c r="BU82">
        <v>-1.25</v>
      </c>
      <c r="BV82">
        <v>300.00000000000011</v>
      </c>
      <c r="BW82">
        <v>37.9</v>
      </c>
      <c r="BX82">
        <v>1188.6242052696989</v>
      </c>
      <c r="BY82">
        <v>1.51771286939525</v>
      </c>
      <c r="BZ82">
        <v>-104.4345926013164</v>
      </c>
      <c r="CA82">
        <v>0.93529353200580123</v>
      </c>
      <c r="CB82">
        <v>0.99775926288435746</v>
      </c>
      <c r="CC82">
        <v>-7.2428073414905411E-3</v>
      </c>
      <c r="CD82">
        <v>289.99999999999989</v>
      </c>
      <c r="CE82">
        <v>1034.5</v>
      </c>
      <c r="CF82">
        <v>645</v>
      </c>
      <c r="CG82">
        <v>7346.79</v>
      </c>
      <c r="CH82">
        <v>1046.47</v>
      </c>
      <c r="CI82">
        <v>-11.97</v>
      </c>
      <c r="CW82">
        <f t="shared" si="134"/>
        <v>1800.1</v>
      </c>
      <c r="CX82">
        <f t="shared" si="135"/>
        <v>1513.2720000065997</v>
      </c>
      <c r="CY82">
        <f t="shared" si="136"/>
        <v>0.84065996333903659</v>
      </c>
      <c r="CZ82">
        <f t="shared" si="137"/>
        <v>0.16087372924434049</v>
      </c>
      <c r="DA82">
        <v>6</v>
      </c>
      <c r="DB82">
        <v>0.5</v>
      </c>
      <c r="DC82" t="s">
        <v>415</v>
      </c>
      <c r="DD82">
        <v>2</v>
      </c>
      <c r="DE82">
        <v>1691178236</v>
      </c>
      <c r="DF82">
        <v>432.52600000000001</v>
      </c>
      <c r="DG82">
        <v>499.99099999999999</v>
      </c>
      <c r="DH82">
        <v>26.308199999999999</v>
      </c>
      <c r="DI82">
        <v>19.840199999999999</v>
      </c>
      <c r="DJ82">
        <v>433.14699999999999</v>
      </c>
      <c r="DK82">
        <v>25.9559</v>
      </c>
      <c r="DL82">
        <v>500.26</v>
      </c>
      <c r="DM82">
        <v>99.050700000000006</v>
      </c>
      <c r="DN82">
        <v>0.100448</v>
      </c>
      <c r="DO82">
        <v>30.271000000000001</v>
      </c>
      <c r="DP82">
        <v>30.040700000000001</v>
      </c>
      <c r="DQ82">
        <v>999.9</v>
      </c>
      <c r="DR82">
        <v>0</v>
      </c>
      <c r="DS82">
        <v>0</v>
      </c>
      <c r="DT82">
        <v>10020</v>
      </c>
      <c r="DU82">
        <v>0</v>
      </c>
      <c r="DV82">
        <v>393.036</v>
      </c>
      <c r="DW82">
        <v>-67.464399999999998</v>
      </c>
      <c r="DX82">
        <v>444.21300000000002</v>
      </c>
      <c r="DY82">
        <v>510.11099999999999</v>
      </c>
      <c r="DZ82">
        <v>6.46793</v>
      </c>
      <c r="EA82">
        <v>499.99099999999999</v>
      </c>
      <c r="EB82">
        <v>19.840199999999999</v>
      </c>
      <c r="EC82">
        <v>2.6058400000000002</v>
      </c>
      <c r="ED82">
        <v>1.96519</v>
      </c>
      <c r="EE82">
        <v>21.703099999999999</v>
      </c>
      <c r="EF82">
        <v>17.166599999999999</v>
      </c>
      <c r="EG82">
        <v>1800.1</v>
      </c>
      <c r="EH82">
        <v>0.97800100000000001</v>
      </c>
      <c r="EI82">
        <v>2.1999299999999999E-2</v>
      </c>
      <c r="EJ82">
        <v>0</v>
      </c>
      <c r="EK82">
        <v>763.21500000000003</v>
      </c>
      <c r="EL82">
        <v>9.9989999999999996E-2</v>
      </c>
      <c r="EM82">
        <v>14860.8</v>
      </c>
      <c r="EN82">
        <v>16706.2</v>
      </c>
      <c r="EO82">
        <v>47.75</v>
      </c>
      <c r="EP82">
        <v>49.436999999999998</v>
      </c>
      <c r="EQ82">
        <v>48.625</v>
      </c>
      <c r="ER82">
        <v>48.311999999999998</v>
      </c>
      <c r="ES82">
        <v>48.875</v>
      </c>
      <c r="ET82">
        <v>1760.4</v>
      </c>
      <c r="EU82">
        <v>39.6</v>
      </c>
      <c r="EV82">
        <v>0</v>
      </c>
      <c r="EW82">
        <v>133.79999995231631</v>
      </c>
      <c r="EX82">
        <v>0</v>
      </c>
      <c r="EY82">
        <v>765.00519230769225</v>
      </c>
      <c r="EZ82">
        <v>-4.1656411122974104</v>
      </c>
      <c r="FA82">
        <v>4.2153847273018323</v>
      </c>
      <c r="FB82">
        <v>14860.303846153851</v>
      </c>
      <c r="FC82">
        <v>15</v>
      </c>
      <c r="FD82">
        <v>1691178201</v>
      </c>
      <c r="FE82" t="s">
        <v>758</v>
      </c>
      <c r="FF82">
        <v>1691178200</v>
      </c>
      <c r="FG82">
        <v>1691178201</v>
      </c>
      <c r="FH82">
        <v>89</v>
      </c>
      <c r="FI82">
        <v>4.4999999999999998E-2</v>
      </c>
      <c r="FJ82">
        <v>0</v>
      </c>
      <c r="FK82">
        <v>-0.65800000000000003</v>
      </c>
      <c r="FL82">
        <v>0.11899999999999999</v>
      </c>
      <c r="FM82">
        <v>500</v>
      </c>
      <c r="FN82">
        <v>19</v>
      </c>
      <c r="FO82">
        <v>0.08</v>
      </c>
      <c r="FP82">
        <v>0.03</v>
      </c>
      <c r="FQ82">
        <v>54.120064938846802</v>
      </c>
      <c r="FR82">
        <v>-0.48484073789177229</v>
      </c>
      <c r="FS82">
        <v>0.1107781923990221</v>
      </c>
      <c r="FT82">
        <v>1</v>
      </c>
      <c r="FU82">
        <v>0.34190720329999269</v>
      </c>
      <c r="FV82">
        <v>-8.127717873079747E-3</v>
      </c>
      <c r="FW82">
        <v>1.27343386466319E-3</v>
      </c>
      <c r="FX82">
        <v>1</v>
      </c>
      <c r="FY82">
        <v>2</v>
      </c>
      <c r="FZ82">
        <v>2</v>
      </c>
      <c r="GA82" t="s">
        <v>416</v>
      </c>
      <c r="GB82">
        <v>2.9676300000000002</v>
      </c>
      <c r="GC82">
        <v>2.8123100000000001</v>
      </c>
      <c r="GD82">
        <v>0.101825</v>
      </c>
      <c r="GE82">
        <v>0.112123</v>
      </c>
      <c r="GF82">
        <v>0.125805</v>
      </c>
      <c r="GG82">
        <v>0.102689</v>
      </c>
      <c r="GH82">
        <v>26430.799999999999</v>
      </c>
      <c r="GI82">
        <v>24069.1</v>
      </c>
      <c r="GJ82">
        <v>26461.9</v>
      </c>
      <c r="GK82">
        <v>25592.7</v>
      </c>
      <c r="GL82">
        <v>31483.599999999999</v>
      </c>
      <c r="GM82">
        <v>32424.9</v>
      </c>
      <c r="GN82">
        <v>37447.1</v>
      </c>
      <c r="GO82">
        <v>37946.199999999997</v>
      </c>
      <c r="GP82">
        <v>1.9218</v>
      </c>
      <c r="GQ82">
        <v>1.8312999999999999</v>
      </c>
      <c r="GR82">
        <v>-1.5586600000000001E-2</v>
      </c>
      <c r="GS82">
        <v>0</v>
      </c>
      <c r="GT82">
        <v>30.2943</v>
      </c>
      <c r="GU82">
        <v>999.9</v>
      </c>
      <c r="GV82">
        <v>23.1</v>
      </c>
      <c r="GW82">
        <v>49.5</v>
      </c>
      <c r="GX82">
        <v>28.247900000000001</v>
      </c>
      <c r="GY82">
        <v>61.882100000000001</v>
      </c>
      <c r="GZ82">
        <v>14.2949</v>
      </c>
      <c r="HA82">
        <v>1</v>
      </c>
      <c r="HB82">
        <v>0.63573199999999996</v>
      </c>
      <c r="HC82">
        <v>5.2586500000000003</v>
      </c>
      <c r="HD82">
        <v>20.164100000000001</v>
      </c>
      <c r="HE82">
        <v>5.2112999999999996</v>
      </c>
      <c r="HF82">
        <v>11.9381</v>
      </c>
      <c r="HG82">
        <v>4.9880000000000004</v>
      </c>
      <c r="HH82">
        <v>3.2909999999999999</v>
      </c>
      <c r="HI82">
        <v>9999</v>
      </c>
      <c r="HJ82">
        <v>9999</v>
      </c>
      <c r="HK82">
        <v>9999</v>
      </c>
      <c r="HL82">
        <v>999.9</v>
      </c>
      <c r="HM82">
        <v>1.87141</v>
      </c>
      <c r="HN82">
        <v>1.8772899999999999</v>
      </c>
      <c r="HO82">
        <v>1.87514</v>
      </c>
      <c r="HP82">
        <v>1.8733200000000001</v>
      </c>
      <c r="HQ82">
        <v>1.87388</v>
      </c>
      <c r="HR82">
        <v>1.8712299999999999</v>
      </c>
      <c r="HS82">
        <v>1.87706</v>
      </c>
      <c r="HT82">
        <v>1.8762399999999999</v>
      </c>
      <c r="HU82">
        <v>5</v>
      </c>
      <c r="HV82">
        <v>0</v>
      </c>
      <c r="HW82">
        <v>0</v>
      </c>
      <c r="HX82">
        <v>0</v>
      </c>
      <c r="HY82" t="s">
        <v>417</v>
      </c>
      <c r="HZ82" t="s">
        <v>418</v>
      </c>
      <c r="IA82" t="s">
        <v>419</v>
      </c>
      <c r="IB82" t="s">
        <v>420</v>
      </c>
      <c r="IC82" t="s">
        <v>420</v>
      </c>
      <c r="ID82" t="s">
        <v>419</v>
      </c>
      <c r="IE82">
        <v>0</v>
      </c>
      <c r="IF82">
        <v>100</v>
      </c>
      <c r="IG82">
        <v>100</v>
      </c>
      <c r="IH82">
        <v>-0.621</v>
      </c>
      <c r="II82">
        <v>0.3523</v>
      </c>
      <c r="IJ82">
        <v>-0.1613659279111436</v>
      </c>
      <c r="IK82">
        <v>-1.615681629159814E-3</v>
      </c>
      <c r="IL82">
        <v>1.5005605225991581E-6</v>
      </c>
      <c r="IM82">
        <v>-5.1143626075267638E-10</v>
      </c>
      <c r="IN82">
        <v>-0.1757887268428919</v>
      </c>
      <c r="IO82">
        <v>-1.7182111142928099E-3</v>
      </c>
      <c r="IP82">
        <v>9.9985895407488957E-4</v>
      </c>
      <c r="IQ82">
        <v>-5.7750407166627208E-6</v>
      </c>
      <c r="IR82">
        <v>3</v>
      </c>
      <c r="IS82">
        <v>2181</v>
      </c>
      <c r="IT82">
        <v>2</v>
      </c>
      <c r="IU82">
        <v>42</v>
      </c>
      <c r="IV82">
        <v>0.6</v>
      </c>
      <c r="IW82">
        <v>0.6</v>
      </c>
      <c r="IX82">
        <v>1.1425799999999999</v>
      </c>
      <c r="IY82">
        <v>2.5805699999999998</v>
      </c>
      <c r="IZ82">
        <v>1.5991200000000001</v>
      </c>
      <c r="JA82">
        <v>2.2705099999999998</v>
      </c>
      <c r="JB82">
        <v>1.5502899999999999</v>
      </c>
      <c r="JC82">
        <v>2.3730500000000001</v>
      </c>
      <c r="JD82">
        <v>53.347000000000001</v>
      </c>
      <c r="JE82">
        <v>23.903600000000001</v>
      </c>
      <c r="JF82">
        <v>18</v>
      </c>
      <c r="JG82">
        <v>503.00900000000001</v>
      </c>
      <c r="JH82">
        <v>415.83800000000002</v>
      </c>
      <c r="JI82">
        <v>23.8034</v>
      </c>
      <c r="JJ82">
        <v>34.945399999999999</v>
      </c>
      <c r="JK82">
        <v>30.0002</v>
      </c>
      <c r="JL82">
        <v>35.031199999999998</v>
      </c>
      <c r="JM82">
        <v>35.019399999999997</v>
      </c>
      <c r="JN82">
        <v>22.908899999999999</v>
      </c>
      <c r="JO82">
        <v>32.763199999999998</v>
      </c>
      <c r="JP82">
        <v>0</v>
      </c>
      <c r="JQ82">
        <v>23.815799999999999</v>
      </c>
      <c r="JR82">
        <v>500</v>
      </c>
      <c r="JS82">
        <v>19.738700000000001</v>
      </c>
      <c r="JT82">
        <v>98.777500000000003</v>
      </c>
      <c r="JU82">
        <v>98.487399999999994</v>
      </c>
    </row>
    <row r="83" spans="1:281" x14ac:dyDescent="0.25">
      <c r="A83">
        <v>67</v>
      </c>
      <c r="B83">
        <v>1691178356</v>
      </c>
      <c r="C83">
        <v>18625.400000095371</v>
      </c>
      <c r="D83" t="s">
        <v>759</v>
      </c>
      <c r="E83" t="s">
        <v>760</v>
      </c>
      <c r="F83" t="s">
        <v>411</v>
      </c>
      <c r="G83" t="s">
        <v>710</v>
      </c>
      <c r="H83" t="s">
        <v>412</v>
      </c>
      <c r="I83" t="s">
        <v>31</v>
      </c>
      <c r="J83">
        <v>1691178356</v>
      </c>
      <c r="K83">
        <f t="shared" si="92"/>
        <v>4.8821612241140826E-3</v>
      </c>
      <c r="L83">
        <f t="shared" si="93"/>
        <v>4.8821612241140828</v>
      </c>
      <c r="M83">
        <f t="shared" si="94"/>
        <v>55.776025704469973</v>
      </c>
      <c r="N83">
        <f t="shared" si="95"/>
        <v>629.601</v>
      </c>
      <c r="O83">
        <f t="shared" si="96"/>
        <v>293.65408212666983</v>
      </c>
      <c r="P83">
        <f t="shared" si="97"/>
        <v>29.117621723552173</v>
      </c>
      <c r="Q83">
        <f t="shared" si="98"/>
        <v>62.428840157796003</v>
      </c>
      <c r="R83">
        <f t="shared" si="99"/>
        <v>0.2893852376784376</v>
      </c>
      <c r="S83">
        <f t="shared" si="100"/>
        <v>2.9138302411668002</v>
      </c>
      <c r="T83">
        <f t="shared" si="101"/>
        <v>0.27431403758482664</v>
      </c>
      <c r="U83">
        <f t="shared" si="102"/>
        <v>0.17273492536494356</v>
      </c>
      <c r="V83">
        <f t="shared" si="103"/>
        <v>289.56645601273829</v>
      </c>
      <c r="W83">
        <f t="shared" si="104"/>
        <v>30.482211432552035</v>
      </c>
      <c r="X83">
        <f t="shared" si="105"/>
        <v>30.041699999999999</v>
      </c>
      <c r="Y83">
        <f t="shared" si="106"/>
        <v>4.2706651176410046</v>
      </c>
      <c r="Z83">
        <f t="shared" si="107"/>
        <v>60.097563818235457</v>
      </c>
      <c r="AA83">
        <f t="shared" si="108"/>
        <v>2.566757289656</v>
      </c>
      <c r="AB83">
        <f t="shared" si="109"/>
        <v>4.2709839244384922</v>
      </c>
      <c r="AC83">
        <f t="shared" si="110"/>
        <v>1.7039078279850046</v>
      </c>
      <c r="AD83">
        <f t="shared" si="111"/>
        <v>-215.30330998343103</v>
      </c>
      <c r="AE83">
        <f t="shared" si="112"/>
        <v>0.20421754075040205</v>
      </c>
      <c r="AF83">
        <f t="shared" si="113"/>
        <v>1.5590138699209555E-2</v>
      </c>
      <c r="AG83">
        <f t="shared" si="114"/>
        <v>74.482953708756881</v>
      </c>
      <c r="AH83">
        <v>0</v>
      </c>
      <c r="AI83">
        <v>0</v>
      </c>
      <c r="AJ83">
        <f t="shared" si="115"/>
        <v>1</v>
      </c>
      <c r="AK83">
        <f t="shared" si="116"/>
        <v>0</v>
      </c>
      <c r="AL83">
        <f t="shared" si="117"/>
        <v>51877.498829836542</v>
      </c>
      <c r="AM83" t="s">
        <v>414</v>
      </c>
      <c r="AN83">
        <v>7361.72</v>
      </c>
      <c r="AO83">
        <v>541.39076923076925</v>
      </c>
      <c r="AP83">
        <v>2141.9899999999998</v>
      </c>
      <c r="AQ83">
        <f t="shared" si="118"/>
        <v>0.74724869433061347</v>
      </c>
      <c r="AR83">
        <v>-0.96077199609010144</v>
      </c>
      <c r="AS83" t="s">
        <v>761</v>
      </c>
      <c r="AT83">
        <v>7350.37</v>
      </c>
      <c r="AU83">
        <v>774.62653846153864</v>
      </c>
      <c r="AV83">
        <v>1220.799688274232</v>
      </c>
      <c r="AW83">
        <f t="shared" si="119"/>
        <v>0.36547613347069285</v>
      </c>
      <c r="AX83">
        <v>0.5</v>
      </c>
      <c r="AY83">
        <f t="shared" si="120"/>
        <v>1513.1544000066001</v>
      </c>
      <c r="AZ83">
        <f t="shared" si="121"/>
        <v>55.776025704469973</v>
      </c>
      <c r="BA83">
        <f t="shared" si="122"/>
        <v>276.51090972928915</v>
      </c>
      <c r="BB83">
        <f t="shared" si="123"/>
        <v>3.7495709426818971E-2</v>
      </c>
      <c r="BC83">
        <f t="shared" si="124"/>
        <v>0.754579412637299</v>
      </c>
      <c r="BD83">
        <f t="shared" si="125"/>
        <v>454.67477289038476</v>
      </c>
      <c r="BE83" t="s">
        <v>762</v>
      </c>
      <c r="BF83">
        <v>595.37</v>
      </c>
      <c r="BG83">
        <f t="shared" si="126"/>
        <v>595.37</v>
      </c>
      <c r="BH83">
        <f t="shared" si="127"/>
        <v>0.51231147442244418</v>
      </c>
      <c r="BI83">
        <f t="shared" si="128"/>
        <v>0.71338658553902856</v>
      </c>
      <c r="BJ83">
        <f t="shared" si="129"/>
        <v>0.59561515545238508</v>
      </c>
      <c r="BK83">
        <f t="shared" si="130"/>
        <v>0.65670781955712154</v>
      </c>
      <c r="BL83">
        <f t="shared" si="131"/>
        <v>0.57552839837555947</v>
      </c>
      <c r="BM83">
        <f t="shared" si="132"/>
        <v>0.5483016012799049</v>
      </c>
      <c r="BN83">
        <f t="shared" si="133"/>
        <v>0.4516983987200951</v>
      </c>
      <c r="BO83">
        <v>1563</v>
      </c>
      <c r="BP83">
        <v>290.00000000000011</v>
      </c>
      <c r="BQ83">
        <v>1072.26</v>
      </c>
      <c r="BR83">
        <v>295</v>
      </c>
      <c r="BS83">
        <v>7350.37</v>
      </c>
      <c r="BT83">
        <v>1073.99</v>
      </c>
      <c r="BU83">
        <v>-1.73</v>
      </c>
      <c r="BV83">
        <v>300.00000000000011</v>
      </c>
      <c r="BW83">
        <v>37.9</v>
      </c>
      <c r="BX83">
        <v>1220.799688274232</v>
      </c>
      <c r="BY83">
        <v>1.8685360728446549</v>
      </c>
      <c r="BZ83">
        <v>-107.911715712575</v>
      </c>
      <c r="CA83">
        <v>1.151387524146412</v>
      </c>
      <c r="CB83">
        <v>0.99682252809380401</v>
      </c>
      <c r="CC83">
        <v>-7.2424126807563941E-3</v>
      </c>
      <c r="CD83">
        <v>289.99999999999989</v>
      </c>
      <c r="CE83">
        <v>1063.42</v>
      </c>
      <c r="CF83">
        <v>665</v>
      </c>
      <c r="CG83">
        <v>7345.44</v>
      </c>
      <c r="CH83">
        <v>1073.8900000000001</v>
      </c>
      <c r="CI83">
        <v>-10.47</v>
      </c>
      <c r="CW83">
        <f t="shared" si="134"/>
        <v>1799.96</v>
      </c>
      <c r="CX83">
        <f t="shared" si="135"/>
        <v>1513.1544000066001</v>
      </c>
      <c r="CY83">
        <f t="shared" si="136"/>
        <v>0.84066001467065943</v>
      </c>
      <c r="CZ83">
        <f t="shared" si="137"/>
        <v>0.16087382831437269</v>
      </c>
      <c r="DA83">
        <v>6</v>
      </c>
      <c r="DB83">
        <v>0.5</v>
      </c>
      <c r="DC83" t="s">
        <v>415</v>
      </c>
      <c r="DD83">
        <v>2</v>
      </c>
      <c r="DE83">
        <v>1691178356</v>
      </c>
      <c r="DF83">
        <v>629.601</v>
      </c>
      <c r="DG83">
        <v>700.22900000000004</v>
      </c>
      <c r="DH83">
        <v>25.885999999999999</v>
      </c>
      <c r="DI83">
        <v>20.1784</v>
      </c>
      <c r="DJ83">
        <v>630.09</v>
      </c>
      <c r="DK83">
        <v>25.550599999999999</v>
      </c>
      <c r="DL83">
        <v>499.94200000000001</v>
      </c>
      <c r="DM83">
        <v>99.057100000000005</v>
      </c>
      <c r="DN83">
        <v>9.9096000000000004E-2</v>
      </c>
      <c r="DO83">
        <v>30.042999999999999</v>
      </c>
      <c r="DP83">
        <v>30.041699999999999</v>
      </c>
      <c r="DQ83">
        <v>999.9</v>
      </c>
      <c r="DR83">
        <v>0</v>
      </c>
      <c r="DS83">
        <v>0</v>
      </c>
      <c r="DT83">
        <v>10005</v>
      </c>
      <c r="DU83">
        <v>0</v>
      </c>
      <c r="DV83">
        <v>1563.23</v>
      </c>
      <c r="DW83">
        <v>-70.628100000000003</v>
      </c>
      <c r="DX83">
        <v>646.33199999999999</v>
      </c>
      <c r="DY83">
        <v>714.65</v>
      </c>
      <c r="DZ83">
        <v>5.7076399999999996</v>
      </c>
      <c r="EA83">
        <v>700.22900000000004</v>
      </c>
      <c r="EB83">
        <v>20.1784</v>
      </c>
      <c r="EC83">
        <v>2.56419</v>
      </c>
      <c r="ED83">
        <v>1.99881</v>
      </c>
      <c r="EE83">
        <v>21.439800000000002</v>
      </c>
      <c r="EF83">
        <v>17.434899999999999</v>
      </c>
      <c r="EG83">
        <v>1799.96</v>
      </c>
      <c r="EH83">
        <v>0.97800100000000001</v>
      </c>
      <c r="EI83">
        <v>2.1999299999999999E-2</v>
      </c>
      <c r="EJ83">
        <v>0</v>
      </c>
      <c r="EK83">
        <v>774.71500000000003</v>
      </c>
      <c r="EL83">
        <v>9.9989999999999996E-2</v>
      </c>
      <c r="EM83">
        <v>15005.6</v>
      </c>
      <c r="EN83">
        <v>16704.900000000001</v>
      </c>
      <c r="EO83">
        <v>48</v>
      </c>
      <c r="EP83">
        <v>49.936999999999998</v>
      </c>
      <c r="EQ83">
        <v>48.875</v>
      </c>
      <c r="ER83">
        <v>48.811999999999998</v>
      </c>
      <c r="ES83">
        <v>49.186999999999998</v>
      </c>
      <c r="ET83">
        <v>1760.26</v>
      </c>
      <c r="EU83">
        <v>39.6</v>
      </c>
      <c r="EV83">
        <v>0</v>
      </c>
      <c r="EW83">
        <v>117.5999999046326</v>
      </c>
      <c r="EX83">
        <v>0</v>
      </c>
      <c r="EY83">
        <v>774.62653846153864</v>
      </c>
      <c r="EZ83">
        <v>0.8714529476484919</v>
      </c>
      <c r="FA83">
        <v>-131.99316239991941</v>
      </c>
      <c r="FB83">
        <v>15028.36153846154</v>
      </c>
      <c r="FC83">
        <v>15</v>
      </c>
      <c r="FD83">
        <v>1691178316</v>
      </c>
      <c r="FE83" t="s">
        <v>763</v>
      </c>
      <c r="FF83">
        <v>1691178313.5</v>
      </c>
      <c r="FG83">
        <v>1691178316</v>
      </c>
      <c r="FH83">
        <v>90</v>
      </c>
      <c r="FI83">
        <v>0.223</v>
      </c>
      <c r="FJ83">
        <v>-1E-3</v>
      </c>
      <c r="FK83">
        <v>-0.51</v>
      </c>
      <c r="FL83">
        <v>0.126</v>
      </c>
      <c r="FM83">
        <v>700</v>
      </c>
      <c r="FN83">
        <v>20</v>
      </c>
      <c r="FO83">
        <v>0.13</v>
      </c>
      <c r="FP83">
        <v>0.02</v>
      </c>
      <c r="FQ83">
        <v>55.643635999749968</v>
      </c>
      <c r="FR83">
        <v>-0.59886876602448624</v>
      </c>
      <c r="FS83">
        <v>0.1124463424396101</v>
      </c>
      <c r="FT83">
        <v>1</v>
      </c>
      <c r="FU83">
        <v>0.29643092933119392</v>
      </c>
      <c r="FV83">
        <v>-4.5225466477582167E-2</v>
      </c>
      <c r="FW83">
        <v>3.325868329135962E-3</v>
      </c>
      <c r="FX83">
        <v>1</v>
      </c>
      <c r="FY83">
        <v>2</v>
      </c>
      <c r="FZ83">
        <v>2</v>
      </c>
      <c r="GA83" t="s">
        <v>416</v>
      </c>
      <c r="GB83">
        <v>2.9666899999999998</v>
      </c>
      <c r="GC83">
        <v>2.8108300000000002</v>
      </c>
      <c r="GD83">
        <v>0.13394500000000001</v>
      </c>
      <c r="GE83">
        <v>0.14257</v>
      </c>
      <c r="GF83">
        <v>0.12441000000000001</v>
      </c>
      <c r="GG83">
        <v>0.103933</v>
      </c>
      <c r="GH83">
        <v>25479.200000000001</v>
      </c>
      <c r="GI83">
        <v>23235.1</v>
      </c>
      <c r="GJ83">
        <v>26457</v>
      </c>
      <c r="GK83">
        <v>25585.4</v>
      </c>
      <c r="GL83">
        <v>31531.7</v>
      </c>
      <c r="GM83">
        <v>32373.5</v>
      </c>
      <c r="GN83">
        <v>37441</v>
      </c>
      <c r="GO83">
        <v>37935.9</v>
      </c>
      <c r="GP83">
        <v>1.9200999999999999</v>
      </c>
      <c r="GQ83">
        <v>1.8315999999999999</v>
      </c>
      <c r="GR83">
        <v>-3.7252899999999999E-2</v>
      </c>
      <c r="GS83">
        <v>0</v>
      </c>
      <c r="GT83">
        <v>30.647600000000001</v>
      </c>
      <c r="GU83">
        <v>999.9</v>
      </c>
      <c r="GV83">
        <v>23</v>
      </c>
      <c r="GW83">
        <v>49.5</v>
      </c>
      <c r="GX83">
        <v>28.124500000000001</v>
      </c>
      <c r="GY83">
        <v>62.062100000000001</v>
      </c>
      <c r="GZ83">
        <v>13.990399999999999</v>
      </c>
      <c r="HA83">
        <v>1</v>
      </c>
      <c r="HB83">
        <v>0.64686999999999995</v>
      </c>
      <c r="HC83">
        <v>5.5890399999999998</v>
      </c>
      <c r="HD83">
        <v>20.153300000000002</v>
      </c>
      <c r="HE83">
        <v>5.2095000000000002</v>
      </c>
      <c r="HF83">
        <v>11.9381</v>
      </c>
      <c r="HG83">
        <v>4.9850000000000003</v>
      </c>
      <c r="HH83">
        <v>3.2909000000000002</v>
      </c>
      <c r="HI83">
        <v>9999</v>
      </c>
      <c r="HJ83">
        <v>9999</v>
      </c>
      <c r="HK83">
        <v>9999</v>
      </c>
      <c r="HL83">
        <v>999.9</v>
      </c>
      <c r="HM83">
        <v>1.87147</v>
      </c>
      <c r="HN83">
        <v>1.8772899999999999</v>
      </c>
      <c r="HO83">
        <v>1.87514</v>
      </c>
      <c r="HP83">
        <v>1.8733200000000001</v>
      </c>
      <c r="HQ83">
        <v>1.8738999999999999</v>
      </c>
      <c r="HR83">
        <v>1.8712299999999999</v>
      </c>
      <c r="HS83">
        <v>1.8771100000000001</v>
      </c>
      <c r="HT83">
        <v>1.8762399999999999</v>
      </c>
      <c r="HU83">
        <v>5</v>
      </c>
      <c r="HV83">
        <v>0</v>
      </c>
      <c r="HW83">
        <v>0</v>
      </c>
      <c r="HX83">
        <v>0</v>
      </c>
      <c r="HY83" t="s">
        <v>417</v>
      </c>
      <c r="HZ83" t="s">
        <v>418</v>
      </c>
      <c r="IA83" t="s">
        <v>419</v>
      </c>
      <c r="IB83" t="s">
        <v>420</v>
      </c>
      <c r="IC83" t="s">
        <v>420</v>
      </c>
      <c r="ID83" t="s">
        <v>419</v>
      </c>
      <c r="IE83">
        <v>0</v>
      </c>
      <c r="IF83">
        <v>100</v>
      </c>
      <c r="IG83">
        <v>100</v>
      </c>
      <c r="IH83">
        <v>-0.48899999999999999</v>
      </c>
      <c r="II83">
        <v>0.33539999999999998</v>
      </c>
      <c r="IJ83">
        <v>6.126811972837648E-2</v>
      </c>
      <c r="IK83">
        <v>-1.615681629159814E-3</v>
      </c>
      <c r="IL83">
        <v>1.5005605225991581E-6</v>
      </c>
      <c r="IM83">
        <v>-5.1143626075267638E-10</v>
      </c>
      <c r="IN83">
        <v>-0.17711631603280001</v>
      </c>
      <c r="IO83">
        <v>-1.7182111142928099E-3</v>
      </c>
      <c r="IP83">
        <v>9.9985895407488957E-4</v>
      </c>
      <c r="IQ83">
        <v>-5.7750407166627208E-6</v>
      </c>
      <c r="IR83">
        <v>3</v>
      </c>
      <c r="IS83">
        <v>2181</v>
      </c>
      <c r="IT83">
        <v>2</v>
      </c>
      <c r="IU83">
        <v>42</v>
      </c>
      <c r="IV83">
        <v>0.7</v>
      </c>
      <c r="IW83">
        <v>0.7</v>
      </c>
      <c r="IX83">
        <v>1.5063500000000001</v>
      </c>
      <c r="IY83">
        <v>2.5805699999999998</v>
      </c>
      <c r="IZ83">
        <v>1.6003400000000001</v>
      </c>
      <c r="JA83">
        <v>2.2705099999999998</v>
      </c>
      <c r="JB83">
        <v>1.5502899999999999</v>
      </c>
      <c r="JC83">
        <v>2.2997999999999998</v>
      </c>
      <c r="JD83">
        <v>53.4878</v>
      </c>
      <c r="JE83">
        <v>23.8949</v>
      </c>
      <c r="JF83">
        <v>18</v>
      </c>
      <c r="JG83">
        <v>502.202</v>
      </c>
      <c r="JH83">
        <v>416.238</v>
      </c>
      <c r="JI83">
        <v>23.436900000000001</v>
      </c>
      <c r="JJ83">
        <v>35.051000000000002</v>
      </c>
      <c r="JK83">
        <v>30.001300000000001</v>
      </c>
      <c r="JL83">
        <v>35.072099999999999</v>
      </c>
      <c r="JM83">
        <v>35.054400000000001</v>
      </c>
      <c r="JN83">
        <v>30.1645</v>
      </c>
      <c r="JO83">
        <v>31.466200000000001</v>
      </c>
      <c r="JP83">
        <v>0</v>
      </c>
      <c r="JQ83">
        <v>23.428000000000001</v>
      </c>
      <c r="JR83">
        <v>700</v>
      </c>
      <c r="JS83">
        <v>20.217300000000002</v>
      </c>
      <c r="JT83">
        <v>98.760499999999993</v>
      </c>
      <c r="JU83">
        <v>98.46</v>
      </c>
    </row>
    <row r="84" spans="1:281" x14ac:dyDescent="0.25">
      <c r="A84">
        <v>68</v>
      </c>
      <c r="B84">
        <v>1691178531.5</v>
      </c>
      <c r="C84">
        <v>18800.900000095371</v>
      </c>
      <c r="D84" t="s">
        <v>764</v>
      </c>
      <c r="E84" t="s">
        <v>765</v>
      </c>
      <c r="F84" t="s">
        <v>411</v>
      </c>
      <c r="G84" t="s">
        <v>710</v>
      </c>
      <c r="H84" t="s">
        <v>412</v>
      </c>
      <c r="I84" t="s">
        <v>31</v>
      </c>
      <c r="J84">
        <v>1691178531.5</v>
      </c>
      <c r="K84">
        <f t="shared" si="92"/>
        <v>3.1980701644940776E-3</v>
      </c>
      <c r="L84">
        <f t="shared" si="93"/>
        <v>3.1980701644940774</v>
      </c>
      <c r="M84">
        <f t="shared" si="94"/>
        <v>52.864719188772874</v>
      </c>
      <c r="N84">
        <f t="shared" si="95"/>
        <v>833.63</v>
      </c>
      <c r="O84">
        <f t="shared" si="96"/>
        <v>339.84564540862442</v>
      </c>
      <c r="P84">
        <f t="shared" si="97"/>
        <v>33.699045260946257</v>
      </c>
      <c r="Q84">
        <f t="shared" si="98"/>
        <v>82.662630757279985</v>
      </c>
      <c r="R84">
        <f t="shared" si="99"/>
        <v>0.18265916588764977</v>
      </c>
      <c r="S84">
        <f t="shared" si="100"/>
        <v>2.9108166347971243</v>
      </c>
      <c r="T84">
        <f t="shared" si="101"/>
        <v>0.17652193005537042</v>
      </c>
      <c r="U84">
        <f t="shared" si="102"/>
        <v>0.11086043412461707</v>
      </c>
      <c r="V84">
        <f t="shared" si="103"/>
        <v>289.59300901273383</v>
      </c>
      <c r="W84">
        <f t="shared" si="104"/>
        <v>30.626638947429974</v>
      </c>
      <c r="X84">
        <f t="shared" si="105"/>
        <v>29.9678</v>
      </c>
      <c r="Y84">
        <f t="shared" si="106"/>
        <v>4.2525762411187307</v>
      </c>
      <c r="Z84">
        <f t="shared" si="107"/>
        <v>59.953670675386206</v>
      </c>
      <c r="AA84">
        <f t="shared" si="108"/>
        <v>2.5174109282143995</v>
      </c>
      <c r="AB84">
        <f t="shared" si="109"/>
        <v>4.1989271046383401</v>
      </c>
      <c r="AC84">
        <f t="shared" si="110"/>
        <v>1.7351653129043312</v>
      </c>
      <c r="AD84">
        <f t="shared" si="111"/>
        <v>-141.03489425418883</v>
      </c>
      <c r="AE84">
        <f t="shared" si="112"/>
        <v>-34.649690568472394</v>
      </c>
      <c r="AF84">
        <f t="shared" si="113"/>
        <v>-2.6430802341341573</v>
      </c>
      <c r="AG84">
        <f t="shared" si="114"/>
        <v>111.26534395593843</v>
      </c>
      <c r="AH84">
        <v>1</v>
      </c>
      <c r="AI84">
        <v>0</v>
      </c>
      <c r="AJ84">
        <f t="shared" si="115"/>
        <v>1</v>
      </c>
      <c r="AK84">
        <f t="shared" si="116"/>
        <v>0</v>
      </c>
      <c r="AL84">
        <f t="shared" si="117"/>
        <v>51842.505357859394</v>
      </c>
      <c r="AM84" t="s">
        <v>414</v>
      </c>
      <c r="AN84">
        <v>7361.72</v>
      </c>
      <c r="AO84">
        <v>541.39076923076925</v>
      </c>
      <c r="AP84">
        <v>2141.9899999999998</v>
      </c>
      <c r="AQ84">
        <f t="shared" si="118"/>
        <v>0.74724869433061347</v>
      </c>
      <c r="AR84">
        <v>-0.96077199609010144</v>
      </c>
      <c r="AS84" t="s">
        <v>766</v>
      </c>
      <c r="AT84">
        <v>7349.04</v>
      </c>
      <c r="AU84">
        <v>755.09999999999991</v>
      </c>
      <c r="AV84">
        <v>1178.0440295220451</v>
      </c>
      <c r="AW84">
        <f t="shared" si="119"/>
        <v>0.35902225971438573</v>
      </c>
      <c r="AX84">
        <v>0.5</v>
      </c>
      <c r="AY84">
        <f t="shared" si="120"/>
        <v>1513.296900006598</v>
      </c>
      <c r="AZ84">
        <f t="shared" si="121"/>
        <v>52.864719188772874</v>
      </c>
      <c r="BA84">
        <f t="shared" si="122"/>
        <v>271.65363632957184</v>
      </c>
      <c r="BB84">
        <f t="shared" si="123"/>
        <v>3.5568361492466082E-2</v>
      </c>
      <c r="BC84">
        <f t="shared" si="124"/>
        <v>0.81825971383178775</v>
      </c>
      <c r="BD84">
        <f t="shared" si="125"/>
        <v>448.61078619484675</v>
      </c>
      <c r="BE84" t="s">
        <v>767</v>
      </c>
      <c r="BF84">
        <v>595.70000000000005</v>
      </c>
      <c r="BG84">
        <f t="shared" si="126"/>
        <v>595.70000000000005</v>
      </c>
      <c r="BH84">
        <f t="shared" si="127"/>
        <v>0.49433129401650044</v>
      </c>
      <c r="BI84">
        <f t="shared" si="128"/>
        <v>0.72627863956838989</v>
      </c>
      <c r="BJ84">
        <f t="shared" si="129"/>
        <v>0.62339274681848478</v>
      </c>
      <c r="BK84">
        <f t="shared" si="130"/>
        <v>0.66432398277288907</v>
      </c>
      <c r="BL84">
        <f t="shared" si="131"/>
        <v>0.60224068083219862</v>
      </c>
      <c r="BM84">
        <f t="shared" si="132"/>
        <v>0.57296276730352269</v>
      </c>
      <c r="BN84">
        <f t="shared" si="133"/>
        <v>0.42703723269647731</v>
      </c>
      <c r="BO84">
        <v>1565</v>
      </c>
      <c r="BP84">
        <v>290.00000000000011</v>
      </c>
      <c r="BQ84">
        <v>1036.1099999999999</v>
      </c>
      <c r="BR84">
        <v>275</v>
      </c>
      <c r="BS84">
        <v>7349.04</v>
      </c>
      <c r="BT84">
        <v>1038.4000000000001</v>
      </c>
      <c r="BU84">
        <v>-2.29</v>
      </c>
      <c r="BV84">
        <v>300.00000000000011</v>
      </c>
      <c r="BW84">
        <v>37.9</v>
      </c>
      <c r="BX84">
        <v>1178.0440295220451</v>
      </c>
      <c r="BY84">
        <v>1.284324175332898</v>
      </c>
      <c r="BZ84">
        <v>-102.6230013532205</v>
      </c>
      <c r="CA84">
        <v>0.79119762852316233</v>
      </c>
      <c r="CB84">
        <v>0.9983384387551375</v>
      </c>
      <c r="CC84">
        <v>-7.2407296996663088E-3</v>
      </c>
      <c r="CD84">
        <v>289.99999999999989</v>
      </c>
      <c r="CE84">
        <v>1028.26</v>
      </c>
      <c r="CF84">
        <v>645</v>
      </c>
      <c r="CG84">
        <v>7344.31</v>
      </c>
      <c r="CH84">
        <v>1038.31</v>
      </c>
      <c r="CI84">
        <v>-10.050000000000001</v>
      </c>
      <c r="CW84">
        <f t="shared" si="134"/>
        <v>1800.13</v>
      </c>
      <c r="CX84">
        <f t="shared" si="135"/>
        <v>1513.296900006598</v>
      </c>
      <c r="CY84">
        <f t="shared" si="136"/>
        <v>0.84065978568581035</v>
      </c>
      <c r="CZ84">
        <f t="shared" si="137"/>
        <v>0.16087338637361404</v>
      </c>
      <c r="DA84">
        <v>6</v>
      </c>
      <c r="DB84">
        <v>0.5</v>
      </c>
      <c r="DC84" t="s">
        <v>415</v>
      </c>
      <c r="DD84">
        <v>2</v>
      </c>
      <c r="DE84">
        <v>1691178531.5</v>
      </c>
      <c r="DF84">
        <v>833.63</v>
      </c>
      <c r="DG84">
        <v>900.21600000000001</v>
      </c>
      <c r="DH84">
        <v>25.3874</v>
      </c>
      <c r="DI84">
        <v>21.65</v>
      </c>
      <c r="DJ84">
        <v>834.173</v>
      </c>
      <c r="DK84">
        <v>25.078800000000001</v>
      </c>
      <c r="DL84">
        <v>500.38200000000001</v>
      </c>
      <c r="DM84">
        <v>99.059799999999996</v>
      </c>
      <c r="DN84">
        <v>0.10005600000000001</v>
      </c>
      <c r="DO84">
        <v>29.747</v>
      </c>
      <c r="DP84">
        <v>29.9678</v>
      </c>
      <c r="DQ84">
        <v>999.9</v>
      </c>
      <c r="DR84">
        <v>0</v>
      </c>
      <c r="DS84">
        <v>0</v>
      </c>
      <c r="DT84">
        <v>9987.5</v>
      </c>
      <c r="DU84">
        <v>0</v>
      </c>
      <c r="DV84">
        <v>373.38600000000002</v>
      </c>
      <c r="DW84">
        <v>-66.585999999999999</v>
      </c>
      <c r="DX84">
        <v>855.34500000000003</v>
      </c>
      <c r="DY84">
        <v>920.13699999999994</v>
      </c>
      <c r="DZ84">
        <v>3.7373799999999999</v>
      </c>
      <c r="EA84">
        <v>900.21600000000001</v>
      </c>
      <c r="EB84">
        <v>21.65</v>
      </c>
      <c r="EC84">
        <v>2.5148700000000002</v>
      </c>
      <c r="ED84">
        <v>2.1446399999999999</v>
      </c>
      <c r="EE84">
        <v>21.123100000000001</v>
      </c>
      <c r="EF84">
        <v>18.5547</v>
      </c>
      <c r="EG84">
        <v>1800.13</v>
      </c>
      <c r="EH84">
        <v>0.97800799999999999</v>
      </c>
      <c r="EI84">
        <v>2.19922E-2</v>
      </c>
      <c r="EJ84">
        <v>0</v>
      </c>
      <c r="EK84">
        <v>753.65</v>
      </c>
      <c r="EL84">
        <v>9.9989999999999996E-2</v>
      </c>
      <c r="EM84">
        <v>14647.9</v>
      </c>
      <c r="EN84">
        <v>16706.599999999999</v>
      </c>
      <c r="EO84">
        <v>48.311999999999998</v>
      </c>
      <c r="EP84">
        <v>50.375</v>
      </c>
      <c r="EQ84">
        <v>49.186999999999998</v>
      </c>
      <c r="ER84">
        <v>49.186999999999998</v>
      </c>
      <c r="ES84">
        <v>49.436999999999998</v>
      </c>
      <c r="ET84">
        <v>1760.44</v>
      </c>
      <c r="EU84">
        <v>39.590000000000003</v>
      </c>
      <c r="EV84">
        <v>0</v>
      </c>
      <c r="EW84">
        <v>173.5999999046326</v>
      </c>
      <c r="EX84">
        <v>0</v>
      </c>
      <c r="EY84">
        <v>755.09999999999991</v>
      </c>
      <c r="EZ84">
        <v>-8.9237606957441198</v>
      </c>
      <c r="FA84">
        <v>-96.673504366065615</v>
      </c>
      <c r="FB84">
        <v>14657.83461538462</v>
      </c>
      <c r="FC84">
        <v>15</v>
      </c>
      <c r="FD84">
        <v>1691178495</v>
      </c>
      <c r="FE84" t="s">
        <v>768</v>
      </c>
      <c r="FF84">
        <v>1691178495</v>
      </c>
      <c r="FG84">
        <v>1691178482.5</v>
      </c>
      <c r="FH84">
        <v>91</v>
      </c>
      <c r="FI84">
        <v>-4.0000000000000001E-3</v>
      </c>
      <c r="FJ84">
        <v>-8.9999999999999993E-3</v>
      </c>
      <c r="FK84">
        <v>-0.55400000000000005</v>
      </c>
      <c r="FL84">
        <v>0.16600000000000001</v>
      </c>
      <c r="FM84">
        <v>900</v>
      </c>
      <c r="FN84">
        <v>21</v>
      </c>
      <c r="FO84">
        <v>0.15</v>
      </c>
      <c r="FP84">
        <v>0.05</v>
      </c>
      <c r="FQ84">
        <v>52.824410719747682</v>
      </c>
      <c r="FR84">
        <v>-0.52262901979215293</v>
      </c>
      <c r="FS84">
        <v>0.1176563695905084</v>
      </c>
      <c r="FT84">
        <v>1</v>
      </c>
      <c r="FU84">
        <v>0.1841446500985674</v>
      </c>
      <c r="FV84">
        <v>-9.3072605009011499E-3</v>
      </c>
      <c r="FW84">
        <v>9.7972006417771382E-4</v>
      </c>
      <c r="FX84">
        <v>1</v>
      </c>
      <c r="FY84">
        <v>2</v>
      </c>
      <c r="FZ84">
        <v>2</v>
      </c>
      <c r="GA84" t="s">
        <v>416</v>
      </c>
      <c r="GB84">
        <v>2.9676100000000001</v>
      </c>
      <c r="GC84">
        <v>2.8116400000000001</v>
      </c>
      <c r="GD84">
        <v>0.16231400000000001</v>
      </c>
      <c r="GE84">
        <v>0.168906</v>
      </c>
      <c r="GF84">
        <v>0.122738</v>
      </c>
      <c r="GG84">
        <v>0.109222</v>
      </c>
      <c r="GH84">
        <v>24634.2</v>
      </c>
      <c r="GI84">
        <v>22507.599999999999</v>
      </c>
      <c r="GJ84">
        <v>26448.9</v>
      </c>
      <c r="GK84">
        <v>25572.9</v>
      </c>
      <c r="GL84">
        <v>31583.9</v>
      </c>
      <c r="GM84">
        <v>32169.7</v>
      </c>
      <c r="GN84">
        <v>37427.300000000003</v>
      </c>
      <c r="GO84">
        <v>37918.199999999997</v>
      </c>
      <c r="GP84">
        <v>1.9153</v>
      </c>
      <c r="GQ84">
        <v>1.8309</v>
      </c>
      <c r="GR84">
        <v>-4.5806199999999998E-2</v>
      </c>
      <c r="GS84">
        <v>0</v>
      </c>
      <c r="GT84">
        <v>30.712800000000001</v>
      </c>
      <c r="GU84">
        <v>999.9</v>
      </c>
      <c r="GV84">
        <v>23</v>
      </c>
      <c r="GW84">
        <v>49.5</v>
      </c>
      <c r="GX84">
        <v>28.123999999999999</v>
      </c>
      <c r="GY84">
        <v>61.9621</v>
      </c>
      <c r="GZ84">
        <v>13.569699999999999</v>
      </c>
      <c r="HA84">
        <v>1</v>
      </c>
      <c r="HB84">
        <v>0.67038600000000004</v>
      </c>
      <c r="HC84">
        <v>6.31264</v>
      </c>
      <c r="HD84">
        <v>20.129100000000001</v>
      </c>
      <c r="HE84">
        <v>5.2100999999999997</v>
      </c>
      <c r="HF84">
        <v>11.9381</v>
      </c>
      <c r="HG84">
        <v>4.9867999999999997</v>
      </c>
      <c r="HH84">
        <v>3.2907000000000002</v>
      </c>
      <c r="HI84">
        <v>9999</v>
      </c>
      <c r="HJ84">
        <v>9999</v>
      </c>
      <c r="HK84">
        <v>9999</v>
      </c>
      <c r="HL84">
        <v>999.9</v>
      </c>
      <c r="HM84">
        <v>1.8714900000000001</v>
      </c>
      <c r="HN84">
        <v>1.8773299999999999</v>
      </c>
      <c r="HO84">
        <v>1.8751500000000001</v>
      </c>
      <c r="HP84">
        <v>1.8733200000000001</v>
      </c>
      <c r="HQ84">
        <v>1.87391</v>
      </c>
      <c r="HR84">
        <v>1.8712800000000001</v>
      </c>
      <c r="HS84">
        <v>1.8770899999999999</v>
      </c>
      <c r="HT84">
        <v>1.8762399999999999</v>
      </c>
      <c r="HU84">
        <v>5</v>
      </c>
      <c r="HV84">
        <v>0</v>
      </c>
      <c r="HW84">
        <v>0</v>
      </c>
      <c r="HX84">
        <v>0</v>
      </c>
      <c r="HY84" t="s">
        <v>417</v>
      </c>
      <c r="HZ84" t="s">
        <v>418</v>
      </c>
      <c r="IA84" t="s">
        <v>419</v>
      </c>
      <c r="IB84" t="s">
        <v>420</v>
      </c>
      <c r="IC84" t="s">
        <v>420</v>
      </c>
      <c r="ID84" t="s">
        <v>419</v>
      </c>
      <c r="IE84">
        <v>0</v>
      </c>
      <c r="IF84">
        <v>100</v>
      </c>
      <c r="IG84">
        <v>100</v>
      </c>
      <c r="IH84">
        <v>-0.54300000000000004</v>
      </c>
      <c r="II84">
        <v>0.30859999999999999</v>
      </c>
      <c r="IJ84">
        <v>5.7373354559976657E-2</v>
      </c>
      <c r="IK84">
        <v>-1.615681629159814E-3</v>
      </c>
      <c r="IL84">
        <v>1.5005605225991581E-6</v>
      </c>
      <c r="IM84">
        <v>-5.1143626075267638E-10</v>
      </c>
      <c r="IN84">
        <v>-0.18612740699974459</v>
      </c>
      <c r="IO84">
        <v>-1.7182111142928099E-3</v>
      </c>
      <c r="IP84">
        <v>9.9985895407488957E-4</v>
      </c>
      <c r="IQ84">
        <v>-5.7750407166627208E-6</v>
      </c>
      <c r="IR84">
        <v>3</v>
      </c>
      <c r="IS84">
        <v>2181</v>
      </c>
      <c r="IT84">
        <v>2</v>
      </c>
      <c r="IU84">
        <v>42</v>
      </c>
      <c r="IV84">
        <v>0.6</v>
      </c>
      <c r="IW84">
        <v>0.8</v>
      </c>
      <c r="IX84">
        <v>1.85669</v>
      </c>
      <c r="IY84">
        <v>2.5647000000000002</v>
      </c>
      <c r="IZ84">
        <v>1.5991200000000001</v>
      </c>
      <c r="JA84">
        <v>2.2705099999999998</v>
      </c>
      <c r="JB84">
        <v>1.5502899999999999</v>
      </c>
      <c r="JC84">
        <v>2.4694799999999999</v>
      </c>
      <c r="JD84">
        <v>53.735500000000002</v>
      </c>
      <c r="JE84">
        <v>23.8949</v>
      </c>
      <c r="JF84">
        <v>18</v>
      </c>
      <c r="JG84">
        <v>500.25900000000001</v>
      </c>
      <c r="JH84">
        <v>416.76799999999997</v>
      </c>
      <c r="JI84">
        <v>22.589500000000001</v>
      </c>
      <c r="JJ84">
        <v>35.287100000000002</v>
      </c>
      <c r="JK84">
        <v>30.000599999999999</v>
      </c>
      <c r="JL84">
        <v>35.2301</v>
      </c>
      <c r="JM84">
        <v>35.201300000000003</v>
      </c>
      <c r="JN84">
        <v>37.188299999999998</v>
      </c>
      <c r="JO84">
        <v>25.213200000000001</v>
      </c>
      <c r="JP84">
        <v>0</v>
      </c>
      <c r="JQ84">
        <v>22.615600000000001</v>
      </c>
      <c r="JR84">
        <v>900</v>
      </c>
      <c r="JS84">
        <v>21.706800000000001</v>
      </c>
      <c r="JT84">
        <v>98.726699999999994</v>
      </c>
      <c r="JU84">
        <v>98.413200000000003</v>
      </c>
    </row>
    <row r="85" spans="1:281" x14ac:dyDescent="0.25">
      <c r="A85">
        <v>69</v>
      </c>
      <c r="B85">
        <v>1691178721.5</v>
      </c>
      <c r="C85">
        <v>18990.900000095371</v>
      </c>
      <c r="D85" t="s">
        <v>769</v>
      </c>
      <c r="E85" t="s">
        <v>770</v>
      </c>
      <c r="F85" t="s">
        <v>411</v>
      </c>
      <c r="G85" t="s">
        <v>710</v>
      </c>
      <c r="H85" t="s">
        <v>412</v>
      </c>
      <c r="I85" t="s">
        <v>31</v>
      </c>
      <c r="J85">
        <v>1691178721.5</v>
      </c>
      <c r="K85">
        <f t="shared" si="92"/>
        <v>2.1129673764437528E-3</v>
      </c>
      <c r="L85">
        <f t="shared" si="93"/>
        <v>2.1129673764437529</v>
      </c>
      <c r="M85">
        <f t="shared" si="94"/>
        <v>50.621405049820915</v>
      </c>
      <c r="N85">
        <f t="shared" si="95"/>
        <v>1136.29</v>
      </c>
      <c r="O85">
        <f t="shared" si="96"/>
        <v>417.10589101045178</v>
      </c>
      <c r="P85">
        <f t="shared" si="97"/>
        <v>41.363930309496936</v>
      </c>
      <c r="Q85">
        <f t="shared" si="98"/>
        <v>112.68462369955</v>
      </c>
      <c r="R85">
        <f t="shared" si="99"/>
        <v>0.11852023527287814</v>
      </c>
      <c r="S85">
        <f t="shared" si="100"/>
        <v>2.9096605752152565</v>
      </c>
      <c r="T85">
        <f t="shared" si="101"/>
        <v>0.11590207669951845</v>
      </c>
      <c r="U85">
        <f t="shared" si="102"/>
        <v>7.2669211981690046E-2</v>
      </c>
      <c r="V85">
        <f t="shared" si="103"/>
        <v>289.57501501274118</v>
      </c>
      <c r="W85">
        <f t="shared" si="104"/>
        <v>30.890823925480767</v>
      </c>
      <c r="X85">
        <f t="shared" si="105"/>
        <v>29.984100000000002</v>
      </c>
      <c r="Y85">
        <f t="shared" si="106"/>
        <v>4.2565603243340924</v>
      </c>
      <c r="Z85">
        <f t="shared" si="107"/>
        <v>59.852204362908815</v>
      </c>
      <c r="AA85">
        <f t="shared" si="108"/>
        <v>2.5103316573615002</v>
      </c>
      <c r="AB85">
        <f t="shared" si="109"/>
        <v>4.1942175465089226</v>
      </c>
      <c r="AC85">
        <f t="shared" si="110"/>
        <v>1.7462286669725922</v>
      </c>
      <c r="AD85">
        <f t="shared" si="111"/>
        <v>-93.181861301169505</v>
      </c>
      <c r="AE85">
        <f t="shared" si="112"/>
        <v>-40.251718330896232</v>
      </c>
      <c r="AF85">
        <f t="shared" si="113"/>
        <v>-3.0715745954738107</v>
      </c>
      <c r="AG85">
        <f t="shared" si="114"/>
        <v>153.06986078520163</v>
      </c>
      <c r="AH85">
        <v>1</v>
      </c>
      <c r="AI85">
        <v>0</v>
      </c>
      <c r="AJ85">
        <f t="shared" si="115"/>
        <v>1</v>
      </c>
      <c r="AK85">
        <f t="shared" si="116"/>
        <v>0</v>
      </c>
      <c r="AL85">
        <f t="shared" si="117"/>
        <v>51813.141911802617</v>
      </c>
      <c r="AM85" t="s">
        <v>414</v>
      </c>
      <c r="AN85">
        <v>7361.72</v>
      </c>
      <c r="AO85">
        <v>541.39076923076925</v>
      </c>
      <c r="AP85">
        <v>2141.9899999999998</v>
      </c>
      <c r="AQ85">
        <f t="shared" si="118"/>
        <v>0.74724869433061347</v>
      </c>
      <c r="AR85">
        <v>-0.96077199609010144</v>
      </c>
      <c r="AS85" t="s">
        <v>771</v>
      </c>
      <c r="AT85">
        <v>7346.86</v>
      </c>
      <c r="AU85">
        <v>746.34460000000001</v>
      </c>
      <c r="AV85">
        <v>1153.98290454792</v>
      </c>
      <c r="AW85">
        <f t="shared" si="119"/>
        <v>0.35324466501313978</v>
      </c>
      <c r="AX85">
        <v>0.5</v>
      </c>
      <c r="AY85">
        <f t="shared" si="120"/>
        <v>1513.1967000066018</v>
      </c>
      <c r="AZ85">
        <f t="shared" si="121"/>
        <v>50.621405049820915</v>
      </c>
      <c r="BA85">
        <f t="shared" si="122"/>
        <v>267.2643306964103</v>
      </c>
      <c r="BB85">
        <f t="shared" si="123"/>
        <v>3.4088216717420794E-2</v>
      </c>
      <c r="BC85">
        <f t="shared" si="124"/>
        <v>0.85617134496384728</v>
      </c>
      <c r="BD85">
        <f t="shared" si="125"/>
        <v>445.07684157021117</v>
      </c>
      <c r="BE85" t="s">
        <v>772</v>
      </c>
      <c r="BF85">
        <v>590.57000000000005</v>
      </c>
      <c r="BG85">
        <f t="shared" si="126"/>
        <v>590.57000000000005</v>
      </c>
      <c r="BH85">
        <f t="shared" si="127"/>
        <v>0.48823331985896312</v>
      </c>
      <c r="BI85">
        <f t="shared" si="128"/>
        <v>0.72351609495882452</v>
      </c>
      <c r="BJ85">
        <f t="shared" si="129"/>
        <v>0.63684050447466189</v>
      </c>
      <c r="BK85">
        <f t="shared" si="130"/>
        <v>0.66543182820471214</v>
      </c>
      <c r="BL85">
        <f t="shared" si="131"/>
        <v>0.61727325395330501</v>
      </c>
      <c r="BM85">
        <f t="shared" si="132"/>
        <v>0.57250618574828982</v>
      </c>
      <c r="BN85">
        <f t="shared" si="133"/>
        <v>0.42749381425171018</v>
      </c>
      <c r="BO85">
        <v>1567</v>
      </c>
      <c r="BP85">
        <v>290.00000000000011</v>
      </c>
      <c r="BQ85">
        <v>1018.81</v>
      </c>
      <c r="BR85">
        <v>295</v>
      </c>
      <c r="BS85">
        <v>7346.86</v>
      </c>
      <c r="BT85">
        <v>1020.42</v>
      </c>
      <c r="BU85">
        <v>-1.61</v>
      </c>
      <c r="BV85">
        <v>300.00000000000011</v>
      </c>
      <c r="BW85">
        <v>37.9</v>
      </c>
      <c r="BX85">
        <v>1153.98290454792</v>
      </c>
      <c r="BY85">
        <v>1.577346344593993</v>
      </c>
      <c r="BZ85">
        <v>-98.125915343026705</v>
      </c>
      <c r="CA85">
        <v>0.97148255651797244</v>
      </c>
      <c r="CB85">
        <v>0.99726302820438328</v>
      </c>
      <c r="CC85">
        <v>-7.2390347052280384E-3</v>
      </c>
      <c r="CD85">
        <v>289.99999999999989</v>
      </c>
      <c r="CE85">
        <v>1011.92</v>
      </c>
      <c r="CF85">
        <v>655</v>
      </c>
      <c r="CG85">
        <v>7342.18</v>
      </c>
      <c r="CH85">
        <v>1020.34</v>
      </c>
      <c r="CI85">
        <v>-8.42</v>
      </c>
      <c r="CW85">
        <f t="shared" si="134"/>
        <v>1800.01</v>
      </c>
      <c r="CX85">
        <f t="shared" si="135"/>
        <v>1513.1967000066018</v>
      </c>
      <c r="CY85">
        <f t="shared" si="136"/>
        <v>0.84066016300276203</v>
      </c>
      <c r="CZ85">
        <f t="shared" si="137"/>
        <v>0.16087411459533069</v>
      </c>
      <c r="DA85">
        <v>6</v>
      </c>
      <c r="DB85">
        <v>0.5</v>
      </c>
      <c r="DC85" t="s">
        <v>415</v>
      </c>
      <c r="DD85">
        <v>2</v>
      </c>
      <c r="DE85">
        <v>1691178721.5</v>
      </c>
      <c r="DF85">
        <v>1136.29</v>
      </c>
      <c r="DG85">
        <v>1199.92</v>
      </c>
      <c r="DH85">
        <v>25.313700000000001</v>
      </c>
      <c r="DI85">
        <v>22.842199999999998</v>
      </c>
      <c r="DJ85">
        <v>1137.07</v>
      </c>
      <c r="DK85">
        <v>25.017399999999999</v>
      </c>
      <c r="DL85">
        <v>499.97500000000002</v>
      </c>
      <c r="DM85">
        <v>99.068700000000007</v>
      </c>
      <c r="DN85">
        <v>0.10019500000000001</v>
      </c>
      <c r="DO85">
        <v>29.727499999999999</v>
      </c>
      <c r="DP85">
        <v>29.984100000000002</v>
      </c>
      <c r="DQ85">
        <v>999.9</v>
      </c>
      <c r="DR85">
        <v>0</v>
      </c>
      <c r="DS85">
        <v>0</v>
      </c>
      <c r="DT85">
        <v>9980</v>
      </c>
      <c r="DU85">
        <v>0</v>
      </c>
      <c r="DV85">
        <v>379.64800000000002</v>
      </c>
      <c r="DW85">
        <v>-63.621200000000002</v>
      </c>
      <c r="DX85">
        <v>1165.81</v>
      </c>
      <c r="DY85">
        <v>1227.97</v>
      </c>
      <c r="DZ85">
        <v>2.4714700000000001</v>
      </c>
      <c r="EA85">
        <v>1199.92</v>
      </c>
      <c r="EB85">
        <v>22.842199999999998</v>
      </c>
      <c r="EC85">
        <v>2.50779</v>
      </c>
      <c r="ED85">
        <v>2.26295</v>
      </c>
      <c r="EE85">
        <v>21.077200000000001</v>
      </c>
      <c r="EF85">
        <v>19.414999999999999</v>
      </c>
      <c r="EG85">
        <v>1800.01</v>
      </c>
      <c r="EH85">
        <v>0.977993</v>
      </c>
      <c r="EI85">
        <v>2.20068E-2</v>
      </c>
      <c r="EJ85">
        <v>0</v>
      </c>
      <c r="EK85">
        <v>743.95500000000004</v>
      </c>
      <c r="EL85">
        <v>9.9989999999999996E-2</v>
      </c>
      <c r="EM85">
        <v>14476</v>
      </c>
      <c r="EN85">
        <v>16705.3</v>
      </c>
      <c r="EO85">
        <v>48.75</v>
      </c>
      <c r="EP85">
        <v>50.875</v>
      </c>
      <c r="EQ85">
        <v>49.625</v>
      </c>
      <c r="ER85">
        <v>49.625</v>
      </c>
      <c r="ES85">
        <v>49.75</v>
      </c>
      <c r="ET85">
        <v>1760.3</v>
      </c>
      <c r="EU85">
        <v>39.61</v>
      </c>
      <c r="EV85">
        <v>0</v>
      </c>
      <c r="EW85">
        <v>187.79999995231631</v>
      </c>
      <c r="EX85">
        <v>0</v>
      </c>
      <c r="EY85">
        <v>746.34460000000001</v>
      </c>
      <c r="EZ85">
        <v>-15.39538467460901</v>
      </c>
      <c r="FA85">
        <v>-185.18461503749461</v>
      </c>
      <c r="FB85">
        <v>14496.624</v>
      </c>
      <c r="FC85">
        <v>15</v>
      </c>
      <c r="FD85">
        <v>1691178615.5</v>
      </c>
      <c r="FE85" t="s">
        <v>773</v>
      </c>
      <c r="FF85">
        <v>1691178615.5</v>
      </c>
      <c r="FG85">
        <v>1691178611</v>
      </c>
      <c r="FH85">
        <v>92</v>
      </c>
      <c r="FI85">
        <v>-0.186</v>
      </c>
      <c r="FJ85">
        <v>-0.01</v>
      </c>
      <c r="FK85">
        <v>-0.78900000000000003</v>
      </c>
      <c r="FL85">
        <v>0.16600000000000001</v>
      </c>
      <c r="FM85">
        <v>1200</v>
      </c>
      <c r="FN85">
        <v>22</v>
      </c>
      <c r="FO85">
        <v>0.17</v>
      </c>
      <c r="FP85">
        <v>0.04</v>
      </c>
      <c r="FQ85">
        <v>50.987857217146633</v>
      </c>
      <c r="FR85">
        <v>-2.3796990141104941</v>
      </c>
      <c r="FS85">
        <v>0.2151799866477816</v>
      </c>
      <c r="FT85">
        <v>0</v>
      </c>
      <c r="FU85">
        <v>0.12138871834980371</v>
      </c>
      <c r="FV85">
        <v>-2.5478468186168619E-2</v>
      </c>
      <c r="FW85">
        <v>1.926682770880424E-3</v>
      </c>
      <c r="FX85">
        <v>1</v>
      </c>
      <c r="FY85">
        <v>1</v>
      </c>
      <c r="FZ85">
        <v>2</v>
      </c>
      <c r="GA85" t="s">
        <v>421</v>
      </c>
      <c r="GB85">
        <v>2.9662099999999998</v>
      </c>
      <c r="GC85">
        <v>2.8117100000000002</v>
      </c>
      <c r="GD85">
        <v>0.19855700000000001</v>
      </c>
      <c r="GE85">
        <v>0.20329900000000001</v>
      </c>
      <c r="GF85">
        <v>0.12245200000000001</v>
      </c>
      <c r="GG85">
        <v>0.11336</v>
      </c>
      <c r="GH85">
        <v>23549.3</v>
      </c>
      <c r="GI85">
        <v>21552.3</v>
      </c>
      <c r="GJ85">
        <v>26432.7</v>
      </c>
      <c r="GK85">
        <v>25550.2</v>
      </c>
      <c r="GL85">
        <v>31579.3</v>
      </c>
      <c r="GM85">
        <v>31996.400000000001</v>
      </c>
      <c r="GN85">
        <v>37403.800000000003</v>
      </c>
      <c r="GO85">
        <v>37886.5</v>
      </c>
      <c r="GP85">
        <v>1.9108000000000001</v>
      </c>
      <c r="GQ85">
        <v>1.8292999999999999</v>
      </c>
      <c r="GR85">
        <v>-3.8728100000000001E-2</v>
      </c>
      <c r="GS85">
        <v>0</v>
      </c>
      <c r="GT85">
        <v>30.614000000000001</v>
      </c>
      <c r="GU85">
        <v>999.9</v>
      </c>
      <c r="GV85">
        <v>23</v>
      </c>
      <c r="GW85">
        <v>49.6</v>
      </c>
      <c r="GX85">
        <v>28.2636</v>
      </c>
      <c r="GY85">
        <v>62.0122</v>
      </c>
      <c r="GZ85">
        <v>13.473599999999999</v>
      </c>
      <c r="HA85">
        <v>1</v>
      </c>
      <c r="HB85">
        <v>0.70110799999999995</v>
      </c>
      <c r="HC85">
        <v>6.2694400000000003</v>
      </c>
      <c r="HD85">
        <v>20.1296</v>
      </c>
      <c r="HE85">
        <v>5.2077099999999996</v>
      </c>
      <c r="HF85">
        <v>11.9381</v>
      </c>
      <c r="HG85">
        <v>4.9866000000000001</v>
      </c>
      <c r="HH85">
        <v>3.2904</v>
      </c>
      <c r="HI85">
        <v>9999</v>
      </c>
      <c r="HJ85">
        <v>9999</v>
      </c>
      <c r="HK85">
        <v>9999</v>
      </c>
      <c r="HL85">
        <v>999.9</v>
      </c>
      <c r="HM85">
        <v>1.8714599999999999</v>
      </c>
      <c r="HN85">
        <v>1.87731</v>
      </c>
      <c r="HO85">
        <v>1.8751500000000001</v>
      </c>
      <c r="HP85">
        <v>1.8733200000000001</v>
      </c>
      <c r="HQ85">
        <v>1.8739300000000001</v>
      </c>
      <c r="HR85">
        <v>1.8712200000000001</v>
      </c>
      <c r="HS85">
        <v>1.87704</v>
      </c>
      <c r="HT85">
        <v>1.87629</v>
      </c>
      <c r="HU85">
        <v>5</v>
      </c>
      <c r="HV85">
        <v>0</v>
      </c>
      <c r="HW85">
        <v>0</v>
      </c>
      <c r="HX85">
        <v>0</v>
      </c>
      <c r="HY85" t="s">
        <v>417</v>
      </c>
      <c r="HZ85" t="s">
        <v>418</v>
      </c>
      <c r="IA85" t="s">
        <v>419</v>
      </c>
      <c r="IB85" t="s">
        <v>420</v>
      </c>
      <c r="IC85" t="s">
        <v>420</v>
      </c>
      <c r="ID85" t="s">
        <v>419</v>
      </c>
      <c r="IE85">
        <v>0</v>
      </c>
      <c r="IF85">
        <v>100</v>
      </c>
      <c r="IG85">
        <v>100</v>
      </c>
      <c r="IH85">
        <v>-0.78</v>
      </c>
      <c r="II85">
        <v>0.29630000000000001</v>
      </c>
      <c r="IJ85">
        <v>-0.1274886678363</v>
      </c>
      <c r="IK85">
        <v>-1.615681629159814E-3</v>
      </c>
      <c r="IL85">
        <v>1.5005605225991581E-6</v>
      </c>
      <c r="IM85">
        <v>-5.1143626075267638E-10</v>
      </c>
      <c r="IN85">
        <v>-0.19614745995602659</v>
      </c>
      <c r="IO85">
        <v>-1.7182111142928099E-3</v>
      </c>
      <c r="IP85">
        <v>9.9985895407488957E-4</v>
      </c>
      <c r="IQ85">
        <v>-5.7750407166627208E-6</v>
      </c>
      <c r="IR85">
        <v>3</v>
      </c>
      <c r="IS85">
        <v>2181</v>
      </c>
      <c r="IT85">
        <v>2</v>
      </c>
      <c r="IU85">
        <v>42</v>
      </c>
      <c r="IV85">
        <v>1.8</v>
      </c>
      <c r="IW85">
        <v>1.8</v>
      </c>
      <c r="IX85">
        <v>2.36206</v>
      </c>
      <c r="IY85">
        <v>2.5659200000000002</v>
      </c>
      <c r="IZ85">
        <v>1.5991200000000001</v>
      </c>
      <c r="JA85">
        <v>2.2705099999999998</v>
      </c>
      <c r="JB85">
        <v>1.5502899999999999</v>
      </c>
      <c r="JC85">
        <v>2.3010299999999999</v>
      </c>
      <c r="JD85">
        <v>53.913600000000002</v>
      </c>
      <c r="JE85">
        <v>23.877400000000002</v>
      </c>
      <c r="JF85">
        <v>18</v>
      </c>
      <c r="JG85">
        <v>499.53300000000002</v>
      </c>
      <c r="JH85">
        <v>417.68200000000002</v>
      </c>
      <c r="JI85">
        <v>22.606400000000001</v>
      </c>
      <c r="JJ85">
        <v>35.619700000000002</v>
      </c>
      <c r="JK85">
        <v>30.001100000000001</v>
      </c>
      <c r="JL85">
        <v>35.526000000000003</v>
      </c>
      <c r="JM85">
        <v>35.491500000000002</v>
      </c>
      <c r="JN85">
        <v>47.286499999999997</v>
      </c>
      <c r="JO85">
        <v>19.811599999999999</v>
      </c>
      <c r="JP85">
        <v>0</v>
      </c>
      <c r="JQ85">
        <v>22.616</v>
      </c>
      <c r="JR85">
        <v>1200</v>
      </c>
      <c r="JS85">
        <v>22.956299999999999</v>
      </c>
      <c r="JT85">
        <v>98.665400000000005</v>
      </c>
      <c r="JU85">
        <v>98.328800000000001</v>
      </c>
    </row>
    <row r="86" spans="1:281" x14ac:dyDescent="0.25">
      <c r="A86">
        <v>70</v>
      </c>
      <c r="B86">
        <v>1691178856</v>
      </c>
      <c r="C86">
        <v>19125.400000095371</v>
      </c>
      <c r="D86" t="s">
        <v>774</v>
      </c>
      <c r="E86" t="s">
        <v>775</v>
      </c>
      <c r="F86" t="s">
        <v>411</v>
      </c>
      <c r="G86" t="s">
        <v>710</v>
      </c>
      <c r="H86" t="s">
        <v>412</v>
      </c>
      <c r="I86" t="s">
        <v>31</v>
      </c>
      <c r="J86">
        <v>1691178856</v>
      </c>
      <c r="K86">
        <f t="shared" si="92"/>
        <v>1.8899016618346811E-3</v>
      </c>
      <c r="L86">
        <f t="shared" si="93"/>
        <v>1.8899016618346811</v>
      </c>
      <c r="M86">
        <f t="shared" si="94"/>
        <v>52.097278453263336</v>
      </c>
      <c r="N86">
        <f t="shared" si="95"/>
        <v>1434.2</v>
      </c>
      <c r="O86">
        <f t="shared" si="96"/>
        <v>594.63229823743802</v>
      </c>
      <c r="P86">
        <f t="shared" si="97"/>
        <v>58.971803512695658</v>
      </c>
      <c r="Q86">
        <f t="shared" si="98"/>
        <v>142.23472362434003</v>
      </c>
      <c r="R86">
        <f t="shared" si="99"/>
        <v>0.10469443395817571</v>
      </c>
      <c r="S86">
        <f t="shared" si="100"/>
        <v>2.9141215796442888</v>
      </c>
      <c r="T86">
        <f t="shared" si="101"/>
        <v>0.10264886335676542</v>
      </c>
      <c r="U86">
        <f t="shared" si="102"/>
        <v>6.4335997092168445E-2</v>
      </c>
      <c r="V86">
        <f t="shared" si="103"/>
        <v>289.59734627265584</v>
      </c>
      <c r="W86">
        <f t="shared" si="104"/>
        <v>30.942892238315178</v>
      </c>
      <c r="X86">
        <f t="shared" si="105"/>
        <v>30.041599999999999</v>
      </c>
      <c r="Y86">
        <f t="shared" si="106"/>
        <v>4.2706405949002288</v>
      </c>
      <c r="Z86">
        <f t="shared" si="107"/>
        <v>59.791401359151386</v>
      </c>
      <c r="AA86">
        <f t="shared" si="108"/>
        <v>2.50711758241227</v>
      </c>
      <c r="AB86">
        <f t="shared" si="109"/>
        <v>4.1931072452252245</v>
      </c>
      <c r="AC86">
        <f t="shared" si="110"/>
        <v>1.7635230124879588</v>
      </c>
      <c r="AD86">
        <f t="shared" si="111"/>
        <v>-83.344663286909437</v>
      </c>
      <c r="AE86">
        <f t="shared" si="112"/>
        <v>-50.069721273188179</v>
      </c>
      <c r="AF86">
        <f t="shared" si="113"/>
        <v>-3.815929156933477</v>
      </c>
      <c r="AG86">
        <f t="shared" si="114"/>
        <v>152.36703255562475</v>
      </c>
      <c r="AH86">
        <v>2</v>
      </c>
      <c r="AI86">
        <v>0</v>
      </c>
      <c r="AJ86">
        <f t="shared" si="115"/>
        <v>1</v>
      </c>
      <c r="AK86">
        <f t="shared" si="116"/>
        <v>0</v>
      </c>
      <c r="AL86">
        <f t="shared" si="117"/>
        <v>51941.004638243903</v>
      </c>
      <c r="AM86" t="s">
        <v>414</v>
      </c>
      <c r="AN86">
        <v>7361.72</v>
      </c>
      <c r="AO86">
        <v>541.39076923076925</v>
      </c>
      <c r="AP86">
        <v>2141.9899999999998</v>
      </c>
      <c r="AQ86">
        <f t="shared" si="118"/>
        <v>0.74724869433061347</v>
      </c>
      <c r="AR86">
        <v>-0.96077199609010144</v>
      </c>
      <c r="AS86" t="s">
        <v>776</v>
      </c>
      <c r="AT86">
        <v>7346</v>
      </c>
      <c r="AU86">
        <v>754.76819999999998</v>
      </c>
      <c r="AV86">
        <v>1182.1875561955881</v>
      </c>
      <c r="AW86">
        <f t="shared" si="119"/>
        <v>0.36154953074541862</v>
      </c>
      <c r="AX86">
        <v>0.5</v>
      </c>
      <c r="AY86">
        <f t="shared" si="120"/>
        <v>1513.3142934055211</v>
      </c>
      <c r="AZ86">
        <f t="shared" si="121"/>
        <v>52.097278453263336</v>
      </c>
      <c r="BA86">
        <f t="shared" si="122"/>
        <v>273.56903632555043</v>
      </c>
      <c r="BB86">
        <f t="shared" si="123"/>
        <v>3.506082687552832E-2</v>
      </c>
      <c r="BC86">
        <f t="shared" si="124"/>
        <v>0.81188677615010896</v>
      </c>
      <c r="BD86">
        <f t="shared" si="125"/>
        <v>449.21035869658954</v>
      </c>
      <c r="BE86" t="s">
        <v>777</v>
      </c>
      <c r="BF86">
        <v>592.15</v>
      </c>
      <c r="BG86">
        <f t="shared" si="126"/>
        <v>592.15</v>
      </c>
      <c r="BH86">
        <f t="shared" si="127"/>
        <v>0.4991065530197214</v>
      </c>
      <c r="BI86">
        <f t="shared" si="128"/>
        <v>0.7243934758178433</v>
      </c>
      <c r="BJ86">
        <f t="shared" si="129"/>
        <v>0.61929130994451809</v>
      </c>
      <c r="BK86">
        <f t="shared" si="130"/>
        <v>0.66701232729347992</v>
      </c>
      <c r="BL86">
        <f t="shared" si="131"/>
        <v>0.59965194619214035</v>
      </c>
      <c r="BM86">
        <f t="shared" si="132"/>
        <v>0.56831964662201706</v>
      </c>
      <c r="BN86">
        <f t="shared" si="133"/>
        <v>0.43168035337798294</v>
      </c>
      <c r="BO86">
        <v>1569</v>
      </c>
      <c r="BP86">
        <v>290.00000000000011</v>
      </c>
      <c r="BQ86">
        <v>1043.4100000000001</v>
      </c>
      <c r="BR86">
        <v>295</v>
      </c>
      <c r="BS86">
        <v>7346</v>
      </c>
      <c r="BT86">
        <v>1045.58</v>
      </c>
      <c r="BU86">
        <v>-2.17</v>
      </c>
      <c r="BV86">
        <v>300.00000000000011</v>
      </c>
      <c r="BW86">
        <v>37.9</v>
      </c>
      <c r="BX86">
        <v>1182.1875561955881</v>
      </c>
      <c r="BY86">
        <v>2.020548932183484</v>
      </c>
      <c r="BZ86">
        <v>-100.3509570611988</v>
      </c>
      <c r="CA86">
        <v>1.244295627238535</v>
      </c>
      <c r="CB86">
        <v>0.99571356180670401</v>
      </c>
      <c r="CC86">
        <v>-7.2383666295884348E-3</v>
      </c>
      <c r="CD86">
        <v>289.99999999999989</v>
      </c>
      <c r="CE86">
        <v>1038.44</v>
      </c>
      <c r="CF86">
        <v>655</v>
      </c>
      <c r="CG86">
        <v>7341.28</v>
      </c>
      <c r="CH86">
        <v>1045.49</v>
      </c>
      <c r="CI86">
        <v>-7.05</v>
      </c>
      <c r="CW86">
        <f t="shared" si="134"/>
        <v>1800.15</v>
      </c>
      <c r="CX86">
        <f t="shared" si="135"/>
        <v>1513.3142934055211</v>
      </c>
      <c r="CY86">
        <f t="shared" si="136"/>
        <v>0.84066010799406776</v>
      </c>
      <c r="CZ86">
        <f t="shared" si="137"/>
        <v>0.16087400842855085</v>
      </c>
      <c r="DA86">
        <v>6</v>
      </c>
      <c r="DB86">
        <v>0.5</v>
      </c>
      <c r="DC86" t="s">
        <v>415</v>
      </c>
      <c r="DD86">
        <v>2</v>
      </c>
      <c r="DE86">
        <v>1691178856</v>
      </c>
      <c r="DF86">
        <v>1434.2</v>
      </c>
      <c r="DG86">
        <v>1499.95</v>
      </c>
      <c r="DH86">
        <v>25.280100000000001</v>
      </c>
      <c r="DI86">
        <v>23.0702</v>
      </c>
      <c r="DJ86">
        <v>1434.98</v>
      </c>
      <c r="DK86">
        <v>25.001899999999999</v>
      </c>
      <c r="DL86">
        <v>500.14699999999999</v>
      </c>
      <c r="DM86">
        <v>99.073599999999999</v>
      </c>
      <c r="DN86">
        <v>9.9962700000000002E-2</v>
      </c>
      <c r="DO86">
        <v>29.722899999999999</v>
      </c>
      <c r="DP86">
        <v>30.041599999999999</v>
      </c>
      <c r="DQ86">
        <v>999.9</v>
      </c>
      <c r="DR86">
        <v>0</v>
      </c>
      <c r="DS86">
        <v>0</v>
      </c>
      <c r="DT86">
        <v>10005</v>
      </c>
      <c r="DU86">
        <v>0</v>
      </c>
      <c r="DV86">
        <v>746.09299999999996</v>
      </c>
      <c r="DW86">
        <v>-65.748900000000006</v>
      </c>
      <c r="DX86">
        <v>1471.39</v>
      </c>
      <c r="DY86">
        <v>1535.37</v>
      </c>
      <c r="DZ86">
        <v>2.2099500000000001</v>
      </c>
      <c r="EA86">
        <v>1499.95</v>
      </c>
      <c r="EB86">
        <v>23.0702</v>
      </c>
      <c r="EC86">
        <v>2.5045899999999999</v>
      </c>
      <c r="ED86">
        <v>2.2856399999999999</v>
      </c>
      <c r="EE86">
        <v>21.0564</v>
      </c>
      <c r="EF86">
        <v>19.575600000000001</v>
      </c>
      <c r="EG86">
        <v>1800.15</v>
      </c>
      <c r="EH86">
        <v>0.97799800000000003</v>
      </c>
      <c r="EI86">
        <v>2.2002500000000001E-2</v>
      </c>
      <c r="EJ86">
        <v>0</v>
      </c>
      <c r="EK86">
        <v>754.3</v>
      </c>
      <c r="EL86">
        <v>9.9989999999999996E-2</v>
      </c>
      <c r="EM86">
        <v>14665.5</v>
      </c>
      <c r="EN86">
        <v>16706.7</v>
      </c>
      <c r="EO86">
        <v>49</v>
      </c>
      <c r="EP86">
        <v>51.25</v>
      </c>
      <c r="EQ86">
        <v>49.875</v>
      </c>
      <c r="ER86">
        <v>50</v>
      </c>
      <c r="ES86">
        <v>50</v>
      </c>
      <c r="ET86">
        <v>1760.45</v>
      </c>
      <c r="EU86">
        <v>39.61</v>
      </c>
      <c r="EV86">
        <v>0</v>
      </c>
      <c r="EW86">
        <v>132.20000004768369</v>
      </c>
      <c r="EX86">
        <v>0</v>
      </c>
      <c r="EY86">
        <v>754.76819999999998</v>
      </c>
      <c r="EZ86">
        <v>-5.4396152881471318</v>
      </c>
      <c r="FA86">
        <v>-113.0076923706395</v>
      </c>
      <c r="FB86">
        <v>14679.468000000001</v>
      </c>
      <c r="FC86">
        <v>15</v>
      </c>
      <c r="FD86">
        <v>1691178806.5</v>
      </c>
      <c r="FE86" t="s">
        <v>778</v>
      </c>
      <c r="FF86">
        <v>1691178806.5</v>
      </c>
      <c r="FG86">
        <v>1691178795</v>
      </c>
      <c r="FH86">
        <v>93</v>
      </c>
      <c r="FI86">
        <v>7.9000000000000001E-2</v>
      </c>
      <c r="FJ86">
        <v>-1.7000000000000001E-2</v>
      </c>
      <c r="FK86">
        <v>-0.82299999999999995</v>
      </c>
      <c r="FL86">
        <v>0.189</v>
      </c>
      <c r="FM86">
        <v>1501</v>
      </c>
      <c r="FN86">
        <v>23</v>
      </c>
      <c r="FO86">
        <v>0.19</v>
      </c>
      <c r="FP86">
        <v>0.2</v>
      </c>
      <c r="FQ86">
        <v>52.270300703652559</v>
      </c>
      <c r="FR86">
        <v>-0.37702080863749471</v>
      </c>
      <c r="FS86">
        <v>9.2172859414871244E-2</v>
      </c>
      <c r="FT86">
        <v>1</v>
      </c>
      <c r="FU86">
        <v>0.10546631398485901</v>
      </c>
      <c r="FV86">
        <v>-8.9490292817345669E-3</v>
      </c>
      <c r="FW86">
        <v>7.240589905753781E-4</v>
      </c>
      <c r="FX86">
        <v>1</v>
      </c>
      <c r="FY86">
        <v>2</v>
      </c>
      <c r="FZ86">
        <v>2</v>
      </c>
      <c r="GA86" t="s">
        <v>416</v>
      </c>
      <c r="GB86">
        <v>2.9664100000000002</v>
      </c>
      <c r="GC86">
        <v>2.8117000000000001</v>
      </c>
      <c r="GD86">
        <v>0.229523</v>
      </c>
      <c r="GE86">
        <v>0.233408</v>
      </c>
      <c r="GF86">
        <v>0.12234</v>
      </c>
      <c r="GG86">
        <v>0.11410099999999999</v>
      </c>
      <c r="GH86">
        <v>22627.4</v>
      </c>
      <c r="GI86">
        <v>20722.3</v>
      </c>
      <c r="GJ86">
        <v>26424.400000000001</v>
      </c>
      <c r="GK86">
        <v>25537.1</v>
      </c>
      <c r="GL86">
        <v>31576.7</v>
      </c>
      <c r="GM86">
        <v>31957</v>
      </c>
      <c r="GN86">
        <v>37391.300000000003</v>
      </c>
      <c r="GO86">
        <v>37868.5</v>
      </c>
      <c r="GP86">
        <v>1.9068000000000001</v>
      </c>
      <c r="GQ86">
        <v>1.8267</v>
      </c>
      <c r="GR86">
        <v>-3.6671799999999997E-2</v>
      </c>
      <c r="GS86">
        <v>0</v>
      </c>
      <c r="GT86">
        <v>30.638000000000002</v>
      </c>
      <c r="GU86">
        <v>999.9</v>
      </c>
      <c r="GV86">
        <v>23</v>
      </c>
      <c r="GW86">
        <v>49.6</v>
      </c>
      <c r="GX86">
        <v>28.260400000000001</v>
      </c>
      <c r="GY86">
        <v>62.072200000000002</v>
      </c>
      <c r="GZ86">
        <v>13.004799999999999</v>
      </c>
      <c r="HA86">
        <v>1</v>
      </c>
      <c r="HB86">
        <v>0.71804900000000005</v>
      </c>
      <c r="HC86">
        <v>5.8840000000000003</v>
      </c>
      <c r="HD86">
        <v>20.143799999999999</v>
      </c>
      <c r="HE86">
        <v>5.2083000000000004</v>
      </c>
      <c r="HF86">
        <v>11.9381</v>
      </c>
      <c r="HG86">
        <v>4.9858000000000002</v>
      </c>
      <c r="HH86">
        <v>3.2904</v>
      </c>
      <c r="HI86">
        <v>9999</v>
      </c>
      <c r="HJ86">
        <v>9999</v>
      </c>
      <c r="HK86">
        <v>9999</v>
      </c>
      <c r="HL86">
        <v>999.9</v>
      </c>
      <c r="HM86">
        <v>1.8714900000000001</v>
      </c>
      <c r="HN86">
        <v>1.8773500000000001</v>
      </c>
      <c r="HO86">
        <v>1.8751500000000001</v>
      </c>
      <c r="HP86">
        <v>1.8733500000000001</v>
      </c>
      <c r="HQ86">
        <v>1.8739300000000001</v>
      </c>
      <c r="HR86">
        <v>1.8713299999999999</v>
      </c>
      <c r="HS86">
        <v>1.8771199999999999</v>
      </c>
      <c r="HT86">
        <v>1.87629</v>
      </c>
      <c r="HU86">
        <v>5</v>
      </c>
      <c r="HV86">
        <v>0</v>
      </c>
      <c r="HW86">
        <v>0</v>
      </c>
      <c r="HX86">
        <v>0</v>
      </c>
      <c r="HY86" t="s">
        <v>417</v>
      </c>
      <c r="HZ86" t="s">
        <v>418</v>
      </c>
      <c r="IA86" t="s">
        <v>419</v>
      </c>
      <c r="IB86" t="s">
        <v>420</v>
      </c>
      <c r="IC86" t="s">
        <v>420</v>
      </c>
      <c r="ID86" t="s">
        <v>419</v>
      </c>
      <c r="IE86">
        <v>0</v>
      </c>
      <c r="IF86">
        <v>100</v>
      </c>
      <c r="IG86">
        <v>100</v>
      </c>
      <c r="IH86">
        <v>-0.78</v>
      </c>
      <c r="II86">
        <v>0.2782</v>
      </c>
      <c r="IJ86">
        <v>-4.8632235672257218E-2</v>
      </c>
      <c r="IK86">
        <v>-1.615681629159814E-3</v>
      </c>
      <c r="IL86">
        <v>1.5005605225991581E-6</v>
      </c>
      <c r="IM86">
        <v>-5.1143626075267638E-10</v>
      </c>
      <c r="IN86">
        <v>-0.21354478047654829</v>
      </c>
      <c r="IO86">
        <v>-1.7182111142928099E-3</v>
      </c>
      <c r="IP86">
        <v>9.9985895407488957E-4</v>
      </c>
      <c r="IQ86">
        <v>-5.7750407166627208E-6</v>
      </c>
      <c r="IR86">
        <v>3</v>
      </c>
      <c r="IS86">
        <v>2181</v>
      </c>
      <c r="IT86">
        <v>2</v>
      </c>
      <c r="IU86">
        <v>42</v>
      </c>
      <c r="IV86">
        <v>0.8</v>
      </c>
      <c r="IW86">
        <v>1</v>
      </c>
      <c r="IX86">
        <v>2.8418000000000001</v>
      </c>
      <c r="IY86">
        <v>2.5537100000000001</v>
      </c>
      <c r="IZ86">
        <v>1.5991200000000001</v>
      </c>
      <c r="JA86">
        <v>2.2705099999999998</v>
      </c>
      <c r="JB86">
        <v>1.5502899999999999</v>
      </c>
      <c r="JC86">
        <v>2.4133300000000002</v>
      </c>
      <c r="JD86">
        <v>54.056699999999999</v>
      </c>
      <c r="JE86">
        <v>23.903600000000001</v>
      </c>
      <c r="JF86">
        <v>18</v>
      </c>
      <c r="JG86">
        <v>498.61900000000003</v>
      </c>
      <c r="JH86">
        <v>417.56099999999998</v>
      </c>
      <c r="JI86">
        <v>22.913699999999999</v>
      </c>
      <c r="JJ86">
        <v>35.866199999999999</v>
      </c>
      <c r="JK86">
        <v>30.000599999999999</v>
      </c>
      <c r="JL86">
        <v>35.754399999999997</v>
      </c>
      <c r="JM86">
        <v>35.713200000000001</v>
      </c>
      <c r="JN86">
        <v>56.8919</v>
      </c>
      <c r="JO86">
        <v>19.149000000000001</v>
      </c>
      <c r="JP86">
        <v>0</v>
      </c>
      <c r="JQ86">
        <v>22.903099999999998</v>
      </c>
      <c r="JR86">
        <v>1500</v>
      </c>
      <c r="JS86">
        <v>23.0715</v>
      </c>
      <c r="JT86">
        <v>98.633200000000002</v>
      </c>
      <c r="JU86">
        <v>98.280600000000007</v>
      </c>
    </row>
    <row r="87" spans="1:281" x14ac:dyDescent="0.25">
      <c r="A87">
        <v>71</v>
      </c>
      <c r="B87">
        <v>1691182133.5</v>
      </c>
      <c r="C87">
        <v>22402.900000095371</v>
      </c>
      <c r="D87" t="s">
        <v>779</v>
      </c>
      <c r="E87" t="s">
        <v>780</v>
      </c>
      <c r="F87" t="s">
        <v>411</v>
      </c>
      <c r="G87" t="s">
        <v>31</v>
      </c>
      <c r="H87" t="s">
        <v>412</v>
      </c>
      <c r="I87" t="s">
        <v>781</v>
      </c>
      <c r="J87">
        <v>1691182133.5</v>
      </c>
      <c r="K87">
        <f t="shared" si="92"/>
        <v>4.675273929593304E-3</v>
      </c>
      <c r="L87">
        <f t="shared" si="93"/>
        <v>4.6752739295933043</v>
      </c>
      <c r="M87">
        <f t="shared" si="94"/>
        <v>40.386699436536752</v>
      </c>
      <c r="N87">
        <f t="shared" si="95"/>
        <v>349.98700000000002</v>
      </c>
      <c r="O87">
        <f t="shared" si="96"/>
        <v>99.239034069355014</v>
      </c>
      <c r="P87">
        <f t="shared" si="97"/>
        <v>9.8348917492392651</v>
      </c>
      <c r="Q87">
        <f t="shared" si="98"/>
        <v>34.684781960245999</v>
      </c>
      <c r="R87">
        <f t="shared" si="99"/>
        <v>0.27631186626992571</v>
      </c>
      <c r="S87">
        <f t="shared" si="100"/>
        <v>2.9084906566410624</v>
      </c>
      <c r="T87">
        <f t="shared" si="101"/>
        <v>0.26251288650482135</v>
      </c>
      <c r="U87">
        <f t="shared" si="102"/>
        <v>0.16525289314126437</v>
      </c>
      <c r="V87">
        <f t="shared" si="103"/>
        <v>289.54469101274242</v>
      </c>
      <c r="W87">
        <f t="shared" si="104"/>
        <v>30.330355380022219</v>
      </c>
      <c r="X87">
        <f t="shared" si="105"/>
        <v>29.984000000000002</v>
      </c>
      <c r="Y87">
        <f t="shared" si="106"/>
        <v>4.2565358721921243</v>
      </c>
      <c r="Z87">
        <f t="shared" si="107"/>
        <v>60.469715735505893</v>
      </c>
      <c r="AA87">
        <f t="shared" si="108"/>
        <v>2.5521713217566</v>
      </c>
      <c r="AB87">
        <f t="shared" si="109"/>
        <v>4.2205776738223468</v>
      </c>
      <c r="AC87">
        <f t="shared" si="110"/>
        <v>1.7043645504355243</v>
      </c>
      <c r="AD87">
        <f t="shared" si="111"/>
        <v>-206.17958029506471</v>
      </c>
      <c r="AE87">
        <f t="shared" si="112"/>
        <v>-23.144056126251044</v>
      </c>
      <c r="AF87">
        <f t="shared" si="113"/>
        <v>-1.7677658001473975</v>
      </c>
      <c r="AG87">
        <f t="shared" si="114"/>
        <v>58.453288791279263</v>
      </c>
      <c r="AH87">
        <v>2</v>
      </c>
      <c r="AI87">
        <v>0</v>
      </c>
      <c r="AJ87">
        <f t="shared" si="115"/>
        <v>1</v>
      </c>
      <c r="AK87">
        <f t="shared" si="116"/>
        <v>0</v>
      </c>
      <c r="AL87">
        <f t="shared" si="117"/>
        <v>51759.84732813968</v>
      </c>
      <c r="AM87" t="s">
        <v>414</v>
      </c>
      <c r="AN87">
        <v>7361.72</v>
      </c>
      <c r="AO87">
        <v>541.39076923076925</v>
      </c>
      <c r="AP87">
        <v>2141.9899999999998</v>
      </c>
      <c r="AQ87">
        <f t="shared" si="118"/>
        <v>0.74724869433061347</v>
      </c>
      <c r="AR87">
        <v>-0.96077199609010144</v>
      </c>
      <c r="AS87" t="s">
        <v>782</v>
      </c>
      <c r="AT87">
        <v>7333.84</v>
      </c>
      <c r="AU87">
        <v>727.54557692307685</v>
      </c>
      <c r="AV87">
        <v>1019.70429965321</v>
      </c>
      <c r="AW87">
        <f t="shared" si="119"/>
        <v>0.28651318115407876</v>
      </c>
      <c r="AX87">
        <v>0.5</v>
      </c>
      <c r="AY87">
        <f t="shared" si="120"/>
        <v>1513.037100006602</v>
      </c>
      <c r="AZ87">
        <f t="shared" si="121"/>
        <v>40.386699436536752</v>
      </c>
      <c r="BA87">
        <f t="shared" si="122"/>
        <v>216.75253636351678</v>
      </c>
      <c r="BB87">
        <f t="shared" si="123"/>
        <v>2.7327467008209143E-2</v>
      </c>
      <c r="BC87">
        <f t="shared" si="124"/>
        <v>1.1005991646092563</v>
      </c>
      <c r="BD87">
        <f t="shared" si="125"/>
        <v>423.56449712504411</v>
      </c>
      <c r="BE87" t="s">
        <v>783</v>
      </c>
      <c r="BF87">
        <v>582.11</v>
      </c>
      <c r="BG87">
        <f t="shared" si="126"/>
        <v>582.11</v>
      </c>
      <c r="BH87">
        <f t="shared" si="127"/>
        <v>0.42913842748533171</v>
      </c>
      <c r="BI87">
        <f t="shared" si="128"/>
        <v>0.66764746012840348</v>
      </c>
      <c r="BJ87">
        <f t="shared" si="129"/>
        <v>0.71946925426750141</v>
      </c>
      <c r="BK87">
        <f t="shared" si="130"/>
        <v>0.61081007361866202</v>
      </c>
      <c r="BL87">
        <f t="shared" si="131"/>
        <v>0.7011659625797968</v>
      </c>
      <c r="BM87">
        <f t="shared" si="132"/>
        <v>0.53418545221454383</v>
      </c>
      <c r="BN87">
        <f t="shared" si="133"/>
        <v>0.46581454778545617</v>
      </c>
      <c r="BO87">
        <v>1571</v>
      </c>
      <c r="BP87">
        <v>290.00000000000011</v>
      </c>
      <c r="BQ87">
        <v>924.24</v>
      </c>
      <c r="BR87">
        <v>295</v>
      </c>
      <c r="BS87">
        <v>7333.84</v>
      </c>
      <c r="BT87">
        <v>925.46</v>
      </c>
      <c r="BU87">
        <v>-1.22</v>
      </c>
      <c r="BV87">
        <v>300.00000000000011</v>
      </c>
      <c r="BW87">
        <v>37.9</v>
      </c>
      <c r="BX87">
        <v>1019.70429965321</v>
      </c>
      <c r="BY87">
        <v>1.560993534949465</v>
      </c>
      <c r="BZ87">
        <v>-69.114614725320422</v>
      </c>
      <c r="CA87">
        <v>0.95971163585315789</v>
      </c>
      <c r="CB87">
        <v>0.99463015941304767</v>
      </c>
      <c r="CC87">
        <v>-7.2259744160178057E-3</v>
      </c>
      <c r="CD87">
        <v>289.99999999999989</v>
      </c>
      <c r="CE87">
        <v>920.32</v>
      </c>
      <c r="CF87">
        <v>635</v>
      </c>
      <c r="CG87">
        <v>7329.84</v>
      </c>
      <c r="CH87">
        <v>925.41</v>
      </c>
      <c r="CI87">
        <v>-5.09</v>
      </c>
      <c r="CW87">
        <f t="shared" si="134"/>
        <v>1799.82</v>
      </c>
      <c r="CX87">
        <f t="shared" si="135"/>
        <v>1513.037100006602</v>
      </c>
      <c r="CY87">
        <f t="shared" si="136"/>
        <v>0.8406602326936039</v>
      </c>
      <c r="CZ87">
        <f t="shared" si="137"/>
        <v>0.16087424909865566</v>
      </c>
      <c r="DA87">
        <v>6</v>
      </c>
      <c r="DB87">
        <v>0.5</v>
      </c>
      <c r="DC87" t="s">
        <v>415</v>
      </c>
      <c r="DD87">
        <v>2</v>
      </c>
      <c r="DE87">
        <v>1691182133.5</v>
      </c>
      <c r="DF87">
        <v>349.98700000000002</v>
      </c>
      <c r="DG87">
        <v>400.392</v>
      </c>
      <c r="DH87">
        <v>25.752700000000001</v>
      </c>
      <c r="DI87">
        <v>20.289300000000001</v>
      </c>
      <c r="DJ87">
        <v>350.67399999999998</v>
      </c>
      <c r="DK87">
        <v>25.444600000000001</v>
      </c>
      <c r="DL87">
        <v>500.22399999999999</v>
      </c>
      <c r="DM87">
        <v>99.002399999999994</v>
      </c>
      <c r="DN87">
        <v>0.100658</v>
      </c>
      <c r="DO87">
        <v>29.836400000000001</v>
      </c>
      <c r="DP87">
        <v>29.984000000000002</v>
      </c>
      <c r="DQ87">
        <v>999.9</v>
      </c>
      <c r="DR87">
        <v>0</v>
      </c>
      <c r="DS87">
        <v>0</v>
      </c>
      <c r="DT87">
        <v>9980</v>
      </c>
      <c r="DU87">
        <v>0</v>
      </c>
      <c r="DV87">
        <v>1188.0999999999999</v>
      </c>
      <c r="DW87">
        <v>-50.404699999999998</v>
      </c>
      <c r="DX87">
        <v>359.23899999999998</v>
      </c>
      <c r="DY87">
        <v>408.68400000000003</v>
      </c>
      <c r="DZ87">
        <v>5.4633399999999996</v>
      </c>
      <c r="EA87">
        <v>400.392</v>
      </c>
      <c r="EB87">
        <v>20.289300000000001</v>
      </c>
      <c r="EC87">
        <v>2.5495700000000001</v>
      </c>
      <c r="ED87">
        <v>2.0086900000000001</v>
      </c>
      <c r="EE87">
        <v>21.346499999999999</v>
      </c>
      <c r="EF87">
        <v>17.513000000000002</v>
      </c>
      <c r="EG87">
        <v>1799.82</v>
      </c>
      <c r="EH87">
        <v>0.97799100000000005</v>
      </c>
      <c r="EI87">
        <v>2.2008799999999999E-2</v>
      </c>
      <c r="EJ87">
        <v>0</v>
      </c>
      <c r="EK87">
        <v>726.81500000000005</v>
      </c>
      <c r="EL87">
        <v>9.9989999999999996E-2</v>
      </c>
      <c r="EM87">
        <v>13946.7</v>
      </c>
      <c r="EN87">
        <v>16703.5</v>
      </c>
      <c r="EO87">
        <v>49.311999999999998</v>
      </c>
      <c r="EP87">
        <v>51.125</v>
      </c>
      <c r="EQ87">
        <v>50.25</v>
      </c>
      <c r="ER87">
        <v>50.125</v>
      </c>
      <c r="ES87">
        <v>50.311999999999998</v>
      </c>
      <c r="ET87">
        <v>1760.11</v>
      </c>
      <c r="EU87">
        <v>39.61</v>
      </c>
      <c r="EV87">
        <v>0</v>
      </c>
      <c r="EW87">
        <v>3275.599999904633</v>
      </c>
      <c r="EX87">
        <v>0</v>
      </c>
      <c r="EY87">
        <v>727.54557692307685</v>
      </c>
      <c r="EZ87">
        <v>-3.6880343030275151</v>
      </c>
      <c r="FA87">
        <v>32.393162198358432</v>
      </c>
      <c r="FB87">
        <v>13944.25769230769</v>
      </c>
      <c r="FC87">
        <v>15</v>
      </c>
      <c r="FD87">
        <v>1691182100.5</v>
      </c>
      <c r="FE87" t="s">
        <v>784</v>
      </c>
      <c r="FF87">
        <v>1691182095.5</v>
      </c>
      <c r="FG87">
        <v>1691182100.5</v>
      </c>
      <c r="FH87">
        <v>96</v>
      </c>
      <c r="FI87">
        <v>4.0000000000000001E-3</v>
      </c>
      <c r="FJ87">
        <v>0</v>
      </c>
      <c r="FK87">
        <v>-0.72199999999999998</v>
      </c>
      <c r="FL87">
        <v>0.123</v>
      </c>
      <c r="FM87">
        <v>400</v>
      </c>
      <c r="FN87">
        <v>20</v>
      </c>
      <c r="FO87">
        <v>0.13</v>
      </c>
      <c r="FP87">
        <v>0.05</v>
      </c>
      <c r="FQ87">
        <v>40.243914618002563</v>
      </c>
      <c r="FR87">
        <v>-0.39715312746612208</v>
      </c>
      <c r="FS87">
        <v>8.8052343842378047E-2</v>
      </c>
      <c r="FT87">
        <v>1</v>
      </c>
      <c r="FU87">
        <v>0.27155702693568662</v>
      </c>
      <c r="FV87">
        <v>4.0768797512266468E-2</v>
      </c>
      <c r="FW87">
        <v>3.08555461733938E-3</v>
      </c>
      <c r="FX87">
        <v>1</v>
      </c>
      <c r="FY87">
        <v>2</v>
      </c>
      <c r="FZ87">
        <v>2</v>
      </c>
      <c r="GA87" t="s">
        <v>416</v>
      </c>
      <c r="GB87">
        <v>2.96576</v>
      </c>
      <c r="GC87">
        <v>2.8121800000000001</v>
      </c>
      <c r="GD87">
        <v>8.5942000000000005E-2</v>
      </c>
      <c r="GE87">
        <v>9.4342499999999996E-2</v>
      </c>
      <c r="GF87">
        <v>0.12349499999999999</v>
      </c>
      <c r="GG87">
        <v>0.103878</v>
      </c>
      <c r="GH87">
        <v>26827.9</v>
      </c>
      <c r="GI87">
        <v>24451.9</v>
      </c>
      <c r="GJ87">
        <v>26399</v>
      </c>
      <c r="GK87">
        <v>25497.200000000001</v>
      </c>
      <c r="GL87">
        <v>31497.4</v>
      </c>
      <c r="GM87">
        <v>32270.3</v>
      </c>
      <c r="GN87">
        <v>37351.300000000003</v>
      </c>
      <c r="GO87">
        <v>37814</v>
      </c>
      <c r="GP87">
        <v>1.8965000000000001</v>
      </c>
      <c r="GQ87">
        <v>1.8489</v>
      </c>
      <c r="GR87">
        <v>-3.3825599999999997E-2</v>
      </c>
      <c r="GS87">
        <v>0</v>
      </c>
      <c r="GT87">
        <v>30.534199999999998</v>
      </c>
      <c r="GU87">
        <v>999.9</v>
      </c>
      <c r="GV87">
        <v>24.9</v>
      </c>
      <c r="GW87">
        <v>44.7</v>
      </c>
      <c r="GX87">
        <v>23.868600000000001</v>
      </c>
      <c r="GY87">
        <v>61.724899999999998</v>
      </c>
      <c r="GZ87">
        <v>11.931100000000001</v>
      </c>
      <c r="HA87">
        <v>1</v>
      </c>
      <c r="HB87">
        <v>0.78990899999999997</v>
      </c>
      <c r="HC87">
        <v>6.2819099999999999</v>
      </c>
      <c r="HD87">
        <v>20.1889</v>
      </c>
      <c r="HE87">
        <v>5.2023099999999998</v>
      </c>
      <c r="HF87">
        <v>11.944100000000001</v>
      </c>
      <c r="HG87">
        <v>4.9858000000000002</v>
      </c>
      <c r="HH87">
        <v>3.2898999999999998</v>
      </c>
      <c r="HI87">
        <v>9999</v>
      </c>
      <c r="HJ87">
        <v>9999</v>
      </c>
      <c r="HK87">
        <v>9999</v>
      </c>
      <c r="HL87">
        <v>999.9</v>
      </c>
      <c r="HM87">
        <v>1.8705700000000001</v>
      </c>
      <c r="HN87">
        <v>1.8766799999999999</v>
      </c>
      <c r="HO87">
        <v>1.87442</v>
      </c>
      <c r="HP87">
        <v>1.87269</v>
      </c>
      <c r="HQ87">
        <v>1.87317</v>
      </c>
      <c r="HR87">
        <v>1.8705700000000001</v>
      </c>
      <c r="HS87">
        <v>1.8763700000000001</v>
      </c>
      <c r="HT87">
        <v>1.8755999999999999</v>
      </c>
      <c r="HU87">
        <v>5</v>
      </c>
      <c r="HV87">
        <v>0</v>
      </c>
      <c r="HW87">
        <v>0</v>
      </c>
      <c r="HX87">
        <v>0</v>
      </c>
      <c r="HY87" t="s">
        <v>417</v>
      </c>
      <c r="HZ87" t="s">
        <v>418</v>
      </c>
      <c r="IA87" t="s">
        <v>419</v>
      </c>
      <c r="IB87" t="s">
        <v>420</v>
      </c>
      <c r="IC87" t="s">
        <v>420</v>
      </c>
      <c r="ID87" t="s">
        <v>419</v>
      </c>
      <c r="IE87">
        <v>0</v>
      </c>
      <c r="IF87">
        <v>100</v>
      </c>
      <c r="IG87">
        <v>100</v>
      </c>
      <c r="IH87">
        <v>-0.68700000000000006</v>
      </c>
      <c r="II87">
        <v>0.30809999999999998</v>
      </c>
      <c r="IJ87">
        <v>-0.28248367190071111</v>
      </c>
      <c r="IK87">
        <v>-1.615681629159814E-3</v>
      </c>
      <c r="IL87">
        <v>1.5005605225991581E-6</v>
      </c>
      <c r="IM87">
        <v>-5.1143626075267638E-10</v>
      </c>
      <c r="IN87">
        <v>-0.2004722787216151</v>
      </c>
      <c r="IO87">
        <v>-1.7182111142928099E-3</v>
      </c>
      <c r="IP87">
        <v>9.9985895407488957E-4</v>
      </c>
      <c r="IQ87">
        <v>-5.7750407166627208E-6</v>
      </c>
      <c r="IR87">
        <v>3</v>
      </c>
      <c r="IS87">
        <v>2181</v>
      </c>
      <c r="IT87">
        <v>2</v>
      </c>
      <c r="IU87">
        <v>42</v>
      </c>
      <c r="IV87">
        <v>0.6</v>
      </c>
      <c r="IW87">
        <v>0.6</v>
      </c>
      <c r="IX87">
        <v>0.95947300000000002</v>
      </c>
      <c r="IY87">
        <v>2.5415000000000001</v>
      </c>
      <c r="IZ87">
        <v>1.5991200000000001</v>
      </c>
      <c r="JA87">
        <v>2.2668499999999998</v>
      </c>
      <c r="JB87">
        <v>1.5502899999999999</v>
      </c>
      <c r="JC87">
        <v>2.3571800000000001</v>
      </c>
      <c r="JD87">
        <v>45.6905</v>
      </c>
      <c r="JE87">
        <v>15.2615</v>
      </c>
      <c r="JF87">
        <v>18</v>
      </c>
      <c r="JG87">
        <v>499.387</v>
      </c>
      <c r="JH87">
        <v>437.61200000000002</v>
      </c>
      <c r="JI87">
        <v>22.804200000000002</v>
      </c>
      <c r="JJ87">
        <v>36.806699999999999</v>
      </c>
      <c r="JK87">
        <v>30.0001</v>
      </c>
      <c r="JL87">
        <v>36.777200000000001</v>
      </c>
      <c r="JM87">
        <v>36.743299999999998</v>
      </c>
      <c r="JN87">
        <v>19.245100000000001</v>
      </c>
      <c r="JO87">
        <v>19.6326</v>
      </c>
      <c r="JP87">
        <v>2.5563500000000001</v>
      </c>
      <c r="JQ87">
        <v>22.807700000000001</v>
      </c>
      <c r="JR87">
        <v>400</v>
      </c>
      <c r="JS87">
        <v>20.181699999999999</v>
      </c>
      <c r="JT87">
        <v>98.5321</v>
      </c>
      <c r="JU87">
        <v>98.134299999999996</v>
      </c>
    </row>
    <row r="88" spans="1:281" x14ac:dyDescent="0.25">
      <c r="A88">
        <v>72</v>
      </c>
      <c r="B88">
        <v>1691182236.5</v>
      </c>
      <c r="C88">
        <v>22505.900000095371</v>
      </c>
      <c r="D88" t="s">
        <v>785</v>
      </c>
      <c r="E88" t="s">
        <v>786</v>
      </c>
      <c r="F88" t="s">
        <v>411</v>
      </c>
      <c r="G88" t="s">
        <v>31</v>
      </c>
      <c r="H88" t="s">
        <v>412</v>
      </c>
      <c r="I88" t="s">
        <v>781</v>
      </c>
      <c r="J88">
        <v>1691182236.5</v>
      </c>
      <c r="K88">
        <f t="shared" si="92"/>
        <v>4.5914269080054668E-3</v>
      </c>
      <c r="L88">
        <f t="shared" si="93"/>
        <v>4.5914269080054666</v>
      </c>
      <c r="M88">
        <f t="shared" si="94"/>
        <v>30.791942399695024</v>
      </c>
      <c r="N88">
        <f t="shared" si="95"/>
        <v>261.755</v>
      </c>
      <c r="O88">
        <f t="shared" si="96"/>
        <v>66.803947987871979</v>
      </c>
      <c r="P88">
        <f t="shared" si="97"/>
        <v>6.62013690285871</v>
      </c>
      <c r="Q88">
        <f t="shared" si="98"/>
        <v>25.939394110695002</v>
      </c>
      <c r="R88">
        <f t="shared" si="99"/>
        <v>0.27030090485979535</v>
      </c>
      <c r="S88">
        <f t="shared" si="100"/>
        <v>2.9114751840869961</v>
      </c>
      <c r="T88">
        <f t="shared" si="101"/>
        <v>0.2570931787126951</v>
      </c>
      <c r="U88">
        <f t="shared" si="102"/>
        <v>0.16181610343431876</v>
      </c>
      <c r="V88">
        <f t="shared" si="103"/>
        <v>289.58299501274081</v>
      </c>
      <c r="W88">
        <f t="shared" si="104"/>
        <v>30.338904874540589</v>
      </c>
      <c r="X88">
        <f t="shared" si="105"/>
        <v>29.988499999999998</v>
      </c>
      <c r="Y88">
        <f t="shared" si="106"/>
        <v>4.2576363397827803</v>
      </c>
      <c r="Z88">
        <f t="shared" si="107"/>
        <v>60.43112935783023</v>
      </c>
      <c r="AA88">
        <f t="shared" si="108"/>
        <v>2.5486219006997999</v>
      </c>
      <c r="AB88">
        <f t="shared" si="109"/>
        <v>4.2173990917969961</v>
      </c>
      <c r="AC88">
        <f t="shared" si="110"/>
        <v>1.7090144390829805</v>
      </c>
      <c r="AD88">
        <f t="shared" si="111"/>
        <v>-202.48192664304108</v>
      </c>
      <c r="AE88">
        <f t="shared" si="112"/>
        <v>-25.930361960566891</v>
      </c>
      <c r="AF88">
        <f t="shared" si="113"/>
        <v>-1.9784720724020126</v>
      </c>
      <c r="AG88">
        <f t="shared" si="114"/>
        <v>59.192234336730856</v>
      </c>
      <c r="AH88">
        <v>2</v>
      </c>
      <c r="AI88">
        <v>0</v>
      </c>
      <c r="AJ88">
        <f t="shared" si="115"/>
        <v>1</v>
      </c>
      <c r="AK88">
        <f t="shared" si="116"/>
        <v>0</v>
      </c>
      <c r="AL88">
        <f t="shared" si="117"/>
        <v>51846.858960423444</v>
      </c>
      <c r="AM88" t="s">
        <v>414</v>
      </c>
      <c r="AN88">
        <v>7361.72</v>
      </c>
      <c r="AO88">
        <v>541.39076923076925</v>
      </c>
      <c r="AP88">
        <v>2141.9899999999998</v>
      </c>
      <c r="AQ88">
        <f t="shared" si="118"/>
        <v>0.74724869433061347</v>
      </c>
      <c r="AR88">
        <v>-0.96077199609010144</v>
      </c>
      <c r="AS88" t="s">
        <v>787</v>
      </c>
      <c r="AT88">
        <v>7333.39</v>
      </c>
      <c r="AU88">
        <v>713.98360000000002</v>
      </c>
      <c r="AV88">
        <v>940.05611128729277</v>
      </c>
      <c r="AW88">
        <f t="shared" si="119"/>
        <v>0.24048831614712218</v>
      </c>
      <c r="AX88">
        <v>0.5</v>
      </c>
      <c r="AY88">
        <f t="shared" si="120"/>
        <v>1513.2387000066017</v>
      </c>
      <c r="AZ88">
        <f t="shared" si="121"/>
        <v>30.791942399695024</v>
      </c>
      <c r="BA88">
        <f t="shared" si="122"/>
        <v>181.95811344662391</v>
      </c>
      <c r="BB88">
        <f t="shared" si="123"/>
        <v>2.0983282013370793E-2</v>
      </c>
      <c r="BC88">
        <f t="shared" si="124"/>
        <v>1.278576751197122</v>
      </c>
      <c r="BD88">
        <f t="shared" si="125"/>
        <v>409.1644049974883</v>
      </c>
      <c r="BE88" t="s">
        <v>788</v>
      </c>
      <c r="BF88">
        <v>566.57000000000005</v>
      </c>
      <c r="BG88">
        <f t="shared" si="126"/>
        <v>566.57000000000005</v>
      </c>
      <c r="BH88">
        <f t="shared" si="127"/>
        <v>0.3973019342173616</v>
      </c>
      <c r="BI88">
        <f t="shared" si="128"/>
        <v>0.60530366312174166</v>
      </c>
      <c r="BJ88">
        <f t="shared" si="129"/>
        <v>0.76292917997277376</v>
      </c>
      <c r="BK88">
        <f t="shared" si="130"/>
        <v>0.56707340076539625</v>
      </c>
      <c r="BL88">
        <f t="shared" si="131"/>
        <v>0.75092744367687259</v>
      </c>
      <c r="BM88">
        <f t="shared" si="132"/>
        <v>0.48032881485637091</v>
      </c>
      <c r="BN88">
        <f t="shared" si="133"/>
        <v>0.51967118514362909</v>
      </c>
      <c r="BO88">
        <v>1573</v>
      </c>
      <c r="BP88">
        <v>290.00000000000011</v>
      </c>
      <c r="BQ88">
        <v>869.5</v>
      </c>
      <c r="BR88">
        <v>295</v>
      </c>
      <c r="BS88">
        <v>7333.39</v>
      </c>
      <c r="BT88">
        <v>870.66</v>
      </c>
      <c r="BU88">
        <v>-1.1599999999999999</v>
      </c>
      <c r="BV88">
        <v>300.00000000000011</v>
      </c>
      <c r="BW88">
        <v>37.9</v>
      </c>
      <c r="BX88">
        <v>940.05611128729277</v>
      </c>
      <c r="BY88">
        <v>1.170355114807121</v>
      </c>
      <c r="BZ88">
        <v>-50.891921959826917</v>
      </c>
      <c r="CA88">
        <v>0.71950268933400841</v>
      </c>
      <c r="CB88">
        <v>0.99443453612548893</v>
      </c>
      <c r="CC88">
        <v>-7.2253230255839816E-3</v>
      </c>
      <c r="CD88">
        <v>289.99999999999989</v>
      </c>
      <c r="CE88">
        <v>869.89</v>
      </c>
      <c r="CF88">
        <v>735</v>
      </c>
      <c r="CG88">
        <v>7325.96</v>
      </c>
      <c r="CH88">
        <v>870.59</v>
      </c>
      <c r="CI88">
        <v>-0.7</v>
      </c>
      <c r="CW88">
        <f t="shared" si="134"/>
        <v>1800.06</v>
      </c>
      <c r="CX88">
        <f t="shared" si="135"/>
        <v>1513.2387000066017</v>
      </c>
      <c r="CY88">
        <f t="shared" si="136"/>
        <v>0.84066014466551209</v>
      </c>
      <c r="CZ88">
        <f t="shared" si="137"/>
        <v>0.16087407920443808</v>
      </c>
      <c r="DA88">
        <v>6</v>
      </c>
      <c r="DB88">
        <v>0.5</v>
      </c>
      <c r="DC88" t="s">
        <v>415</v>
      </c>
      <c r="DD88">
        <v>2</v>
      </c>
      <c r="DE88">
        <v>1691182236.5</v>
      </c>
      <c r="DF88">
        <v>261.755</v>
      </c>
      <c r="DG88">
        <v>300.14100000000002</v>
      </c>
      <c r="DH88">
        <v>25.7182</v>
      </c>
      <c r="DI88">
        <v>20.351099999999999</v>
      </c>
      <c r="DJ88">
        <v>262.24900000000002</v>
      </c>
      <c r="DK88">
        <v>25.41</v>
      </c>
      <c r="DL88">
        <v>500.08499999999998</v>
      </c>
      <c r="DM88">
        <v>98.998000000000005</v>
      </c>
      <c r="DN88">
        <v>9.9988999999999995E-2</v>
      </c>
      <c r="DO88">
        <v>29.8233</v>
      </c>
      <c r="DP88">
        <v>29.988499999999998</v>
      </c>
      <c r="DQ88">
        <v>999.9</v>
      </c>
      <c r="DR88">
        <v>0</v>
      </c>
      <c r="DS88">
        <v>0</v>
      </c>
      <c r="DT88">
        <v>9997.5</v>
      </c>
      <c r="DU88">
        <v>0</v>
      </c>
      <c r="DV88">
        <v>1179.75</v>
      </c>
      <c r="DW88">
        <v>-38.386299999999999</v>
      </c>
      <c r="DX88">
        <v>268.66500000000002</v>
      </c>
      <c r="DY88">
        <v>306.37599999999998</v>
      </c>
      <c r="DZ88">
        <v>5.3671100000000003</v>
      </c>
      <c r="EA88">
        <v>300.14100000000002</v>
      </c>
      <c r="EB88">
        <v>20.351099999999999</v>
      </c>
      <c r="EC88">
        <v>2.5460500000000001</v>
      </c>
      <c r="ED88">
        <v>2.0147200000000001</v>
      </c>
      <c r="EE88">
        <v>21.323899999999998</v>
      </c>
      <c r="EF88">
        <v>17.560500000000001</v>
      </c>
      <c r="EG88">
        <v>1800.06</v>
      </c>
      <c r="EH88">
        <v>0.97799499999999995</v>
      </c>
      <c r="EI88">
        <v>2.2005299999999998E-2</v>
      </c>
      <c r="EJ88">
        <v>0</v>
      </c>
      <c r="EK88">
        <v>713.4</v>
      </c>
      <c r="EL88">
        <v>9.9989999999999996E-2</v>
      </c>
      <c r="EM88">
        <v>13687.1</v>
      </c>
      <c r="EN88">
        <v>16705.8</v>
      </c>
      <c r="EO88">
        <v>49.375</v>
      </c>
      <c r="EP88">
        <v>51.125</v>
      </c>
      <c r="EQ88">
        <v>50.375</v>
      </c>
      <c r="ER88">
        <v>50.25</v>
      </c>
      <c r="ES88">
        <v>50.311999999999998</v>
      </c>
      <c r="ET88">
        <v>1760.35</v>
      </c>
      <c r="EU88">
        <v>39.61</v>
      </c>
      <c r="EV88">
        <v>0</v>
      </c>
      <c r="EW88">
        <v>100.7999999523163</v>
      </c>
      <c r="EX88">
        <v>0</v>
      </c>
      <c r="EY88">
        <v>713.98360000000002</v>
      </c>
      <c r="EZ88">
        <v>-3.4119231250630442</v>
      </c>
      <c r="FA88">
        <v>-27.80769234193555</v>
      </c>
      <c r="FB88">
        <v>13694.3</v>
      </c>
      <c r="FC88">
        <v>15</v>
      </c>
      <c r="FD88">
        <v>1691182201.5</v>
      </c>
      <c r="FE88" t="s">
        <v>789</v>
      </c>
      <c r="FF88">
        <v>1691182199.5</v>
      </c>
      <c r="FG88">
        <v>1691182201.5</v>
      </c>
      <c r="FH88">
        <v>97</v>
      </c>
      <c r="FI88">
        <v>0.11799999999999999</v>
      </c>
      <c r="FJ88">
        <v>2E-3</v>
      </c>
      <c r="FK88">
        <v>-0.52900000000000003</v>
      </c>
      <c r="FL88">
        <v>0.11700000000000001</v>
      </c>
      <c r="FM88">
        <v>300</v>
      </c>
      <c r="FN88">
        <v>20</v>
      </c>
      <c r="FO88">
        <v>0.37</v>
      </c>
      <c r="FP88">
        <v>0.05</v>
      </c>
      <c r="FQ88">
        <v>30.66097744438089</v>
      </c>
      <c r="FR88">
        <v>-0.43123451348107222</v>
      </c>
      <c r="FS88">
        <v>7.5968863956593108E-2</v>
      </c>
      <c r="FT88">
        <v>1</v>
      </c>
      <c r="FU88">
        <v>0.26497326776355962</v>
      </c>
      <c r="FV88">
        <v>3.8151487553626573E-2</v>
      </c>
      <c r="FW88">
        <v>2.8319253136730158E-3</v>
      </c>
      <c r="FX88">
        <v>1</v>
      </c>
      <c r="FY88">
        <v>2</v>
      </c>
      <c r="FZ88">
        <v>2</v>
      </c>
      <c r="GA88" t="s">
        <v>416</v>
      </c>
      <c r="GB88">
        <v>2.9653900000000002</v>
      </c>
      <c r="GC88">
        <v>2.8116599999999998</v>
      </c>
      <c r="GD88">
        <v>6.7658599999999999E-2</v>
      </c>
      <c r="GE88">
        <v>7.4914400000000006E-2</v>
      </c>
      <c r="GF88">
        <v>0.123377</v>
      </c>
      <c r="GG88">
        <v>0.104105</v>
      </c>
      <c r="GH88">
        <v>27364.2</v>
      </c>
      <c r="GI88">
        <v>24976.2</v>
      </c>
      <c r="GJ88">
        <v>26398.2</v>
      </c>
      <c r="GK88">
        <v>25496.2</v>
      </c>
      <c r="GL88">
        <v>31499.1</v>
      </c>
      <c r="GM88">
        <v>32258.3</v>
      </c>
      <c r="GN88">
        <v>37350</v>
      </c>
      <c r="GO88">
        <v>37811.199999999997</v>
      </c>
      <c r="GP88">
        <v>1.8969</v>
      </c>
      <c r="GQ88">
        <v>1.8495999999999999</v>
      </c>
      <c r="GR88">
        <v>-3.5017699999999999E-2</v>
      </c>
      <c r="GS88">
        <v>0</v>
      </c>
      <c r="GT88">
        <v>30.5581</v>
      </c>
      <c r="GU88">
        <v>999.9</v>
      </c>
      <c r="GV88">
        <v>25.1</v>
      </c>
      <c r="GW88">
        <v>44.5</v>
      </c>
      <c r="GX88">
        <v>23.8155</v>
      </c>
      <c r="GY88">
        <v>61.774999999999999</v>
      </c>
      <c r="GZ88">
        <v>12.007199999999999</v>
      </c>
      <c r="HA88">
        <v>1</v>
      </c>
      <c r="HB88">
        <v>0.79156499999999996</v>
      </c>
      <c r="HC88">
        <v>5.9785700000000004</v>
      </c>
      <c r="HD88">
        <v>20.1998</v>
      </c>
      <c r="HE88">
        <v>5.2095000000000002</v>
      </c>
      <c r="HF88">
        <v>11.944100000000001</v>
      </c>
      <c r="HG88">
        <v>4.9866000000000001</v>
      </c>
      <c r="HH88">
        <v>3.2904</v>
      </c>
      <c r="HI88">
        <v>9999</v>
      </c>
      <c r="HJ88">
        <v>9999</v>
      </c>
      <c r="HK88">
        <v>9999</v>
      </c>
      <c r="HL88">
        <v>999.9</v>
      </c>
      <c r="HM88">
        <v>1.8705700000000001</v>
      </c>
      <c r="HN88">
        <v>1.8766799999999999</v>
      </c>
      <c r="HO88">
        <v>1.87442</v>
      </c>
      <c r="HP88">
        <v>1.8727100000000001</v>
      </c>
      <c r="HQ88">
        <v>1.87317</v>
      </c>
      <c r="HR88">
        <v>1.8705700000000001</v>
      </c>
      <c r="HS88">
        <v>1.87643</v>
      </c>
      <c r="HT88">
        <v>1.87561</v>
      </c>
      <c r="HU88">
        <v>5</v>
      </c>
      <c r="HV88">
        <v>0</v>
      </c>
      <c r="HW88">
        <v>0</v>
      </c>
      <c r="HX88">
        <v>0</v>
      </c>
      <c r="HY88" t="s">
        <v>417</v>
      </c>
      <c r="HZ88" t="s">
        <v>418</v>
      </c>
      <c r="IA88" t="s">
        <v>419</v>
      </c>
      <c r="IB88" t="s">
        <v>420</v>
      </c>
      <c r="IC88" t="s">
        <v>420</v>
      </c>
      <c r="ID88" t="s">
        <v>419</v>
      </c>
      <c r="IE88">
        <v>0</v>
      </c>
      <c r="IF88">
        <v>100</v>
      </c>
      <c r="IG88">
        <v>100</v>
      </c>
      <c r="IH88">
        <v>-0.49399999999999999</v>
      </c>
      <c r="II88">
        <v>0.30819999999999997</v>
      </c>
      <c r="IJ88">
        <v>-0.1647099568620784</v>
      </c>
      <c r="IK88">
        <v>-1.615681629159814E-3</v>
      </c>
      <c r="IL88">
        <v>1.5005605225991581E-6</v>
      </c>
      <c r="IM88">
        <v>-5.1143626075267638E-10</v>
      </c>
      <c r="IN88">
        <v>-0.19892095423418221</v>
      </c>
      <c r="IO88">
        <v>-1.7182111142928099E-3</v>
      </c>
      <c r="IP88">
        <v>9.9985895407488957E-4</v>
      </c>
      <c r="IQ88">
        <v>-5.7750407166627208E-6</v>
      </c>
      <c r="IR88">
        <v>3</v>
      </c>
      <c r="IS88">
        <v>2181</v>
      </c>
      <c r="IT88">
        <v>2</v>
      </c>
      <c r="IU88">
        <v>42</v>
      </c>
      <c r="IV88">
        <v>0.6</v>
      </c>
      <c r="IW88">
        <v>0.6</v>
      </c>
      <c r="IX88">
        <v>0.76415999999999995</v>
      </c>
      <c r="IY88">
        <v>2.5390600000000001</v>
      </c>
      <c r="IZ88">
        <v>1.5991200000000001</v>
      </c>
      <c r="JA88">
        <v>2.2668499999999998</v>
      </c>
      <c r="JB88">
        <v>1.5502899999999999</v>
      </c>
      <c r="JC88">
        <v>2.3278799999999999</v>
      </c>
      <c r="JD88">
        <v>45.575800000000001</v>
      </c>
      <c r="JE88">
        <v>15.235300000000001</v>
      </c>
      <c r="JF88">
        <v>18</v>
      </c>
      <c r="JG88">
        <v>499.47399999999999</v>
      </c>
      <c r="JH88">
        <v>437.86200000000002</v>
      </c>
      <c r="JI88">
        <v>22.651299999999999</v>
      </c>
      <c r="JJ88">
        <v>36.792900000000003</v>
      </c>
      <c r="JK88">
        <v>30</v>
      </c>
      <c r="JL88">
        <v>36.753100000000003</v>
      </c>
      <c r="JM88">
        <v>36.716299999999997</v>
      </c>
      <c r="JN88">
        <v>15.3339</v>
      </c>
      <c r="JO88">
        <v>19.501999999999999</v>
      </c>
      <c r="JP88">
        <v>3.2949799999999998</v>
      </c>
      <c r="JQ88">
        <v>22.853100000000001</v>
      </c>
      <c r="JR88">
        <v>300</v>
      </c>
      <c r="JS88">
        <v>20.253499999999999</v>
      </c>
      <c r="JT88">
        <v>98.528899999999993</v>
      </c>
      <c r="JU88">
        <v>98.128600000000006</v>
      </c>
    </row>
    <row r="89" spans="1:281" x14ac:dyDescent="0.25">
      <c r="A89">
        <v>73</v>
      </c>
      <c r="B89">
        <v>1691182353.5</v>
      </c>
      <c r="C89">
        <v>22622.900000095371</v>
      </c>
      <c r="D89" t="s">
        <v>790</v>
      </c>
      <c r="E89" t="s">
        <v>791</v>
      </c>
      <c r="F89" t="s">
        <v>411</v>
      </c>
      <c r="G89" t="s">
        <v>31</v>
      </c>
      <c r="H89" t="s">
        <v>412</v>
      </c>
      <c r="I89" t="s">
        <v>781</v>
      </c>
      <c r="J89">
        <v>1691182353.5</v>
      </c>
      <c r="K89">
        <f t="shared" si="92"/>
        <v>5.1710075918539582E-3</v>
      </c>
      <c r="L89">
        <f t="shared" si="93"/>
        <v>5.1710075918539582</v>
      </c>
      <c r="M89">
        <f t="shared" si="94"/>
        <v>21.854197275877826</v>
      </c>
      <c r="N89">
        <f t="shared" si="95"/>
        <v>172.78899999999999</v>
      </c>
      <c r="O89">
        <f t="shared" si="96"/>
        <v>50.762465022079148</v>
      </c>
      <c r="P89">
        <f t="shared" si="97"/>
        <v>5.0305735326914149</v>
      </c>
      <c r="Q89">
        <f t="shared" si="98"/>
        <v>17.123434997928999</v>
      </c>
      <c r="R89">
        <f t="shared" si="99"/>
        <v>0.30891169545549829</v>
      </c>
      <c r="S89">
        <f t="shared" si="100"/>
        <v>2.9123847629585384</v>
      </c>
      <c r="T89">
        <f t="shared" si="101"/>
        <v>0.29179457391529146</v>
      </c>
      <c r="U89">
        <f t="shared" si="102"/>
        <v>0.18383043033497815</v>
      </c>
      <c r="V89">
        <f t="shared" si="103"/>
        <v>289.60214701273992</v>
      </c>
      <c r="W89">
        <f t="shared" si="104"/>
        <v>30.1649158235582</v>
      </c>
      <c r="X89">
        <f t="shared" si="105"/>
        <v>29.969000000000001</v>
      </c>
      <c r="Y89">
        <f t="shared" si="106"/>
        <v>4.2528694369958311</v>
      </c>
      <c r="Z89">
        <f t="shared" si="107"/>
        <v>60.709347983138827</v>
      </c>
      <c r="AA89">
        <f t="shared" si="108"/>
        <v>2.5570146644002998</v>
      </c>
      <c r="AB89">
        <f t="shared" si="109"/>
        <v>4.2118961071867789</v>
      </c>
      <c r="AC89">
        <f t="shared" si="110"/>
        <v>1.6958547725955313</v>
      </c>
      <c r="AD89">
        <f t="shared" si="111"/>
        <v>-228.04143480075956</v>
      </c>
      <c r="AE89">
        <f t="shared" si="112"/>
        <v>-26.440902868160826</v>
      </c>
      <c r="AF89">
        <f t="shared" si="113"/>
        <v>-2.0163745603460397</v>
      </c>
      <c r="AG89">
        <f t="shared" si="114"/>
        <v>33.103434783473496</v>
      </c>
      <c r="AH89">
        <v>1</v>
      </c>
      <c r="AI89">
        <v>0</v>
      </c>
      <c r="AJ89">
        <f t="shared" si="115"/>
        <v>1</v>
      </c>
      <c r="AK89">
        <f t="shared" si="116"/>
        <v>0</v>
      </c>
      <c r="AL89">
        <f t="shared" si="117"/>
        <v>51876.665464778991</v>
      </c>
      <c r="AM89" t="s">
        <v>414</v>
      </c>
      <c r="AN89">
        <v>7361.72</v>
      </c>
      <c r="AO89">
        <v>541.39076923076925</v>
      </c>
      <c r="AP89">
        <v>2141.9899999999998</v>
      </c>
      <c r="AQ89">
        <f t="shared" si="118"/>
        <v>0.74724869433061347</v>
      </c>
      <c r="AR89">
        <v>-0.96077199609010144</v>
      </c>
      <c r="AS89" t="s">
        <v>792</v>
      </c>
      <c r="AT89">
        <v>7333.52</v>
      </c>
      <c r="AU89">
        <v>715.75403846153847</v>
      </c>
      <c r="AV89">
        <v>879.40396223064795</v>
      </c>
      <c r="AW89">
        <f t="shared" si="119"/>
        <v>0.18609186539710831</v>
      </c>
      <c r="AX89">
        <v>0.5</v>
      </c>
      <c r="AY89">
        <f t="shared" si="120"/>
        <v>1513.3395000066012</v>
      </c>
      <c r="AZ89">
        <f t="shared" si="121"/>
        <v>21.854197275877826</v>
      </c>
      <c r="BA89">
        <f t="shared" si="122"/>
        <v>140.81008526767781</v>
      </c>
      <c r="BB89">
        <f t="shared" si="123"/>
        <v>1.507590945182387E-2</v>
      </c>
      <c r="BC89">
        <f t="shared" si="124"/>
        <v>1.4357293030233174</v>
      </c>
      <c r="BD89">
        <f t="shared" si="125"/>
        <v>397.2395175213781</v>
      </c>
      <c r="BE89" t="s">
        <v>793</v>
      </c>
      <c r="BF89">
        <v>565.03</v>
      </c>
      <c r="BG89">
        <f t="shared" si="126"/>
        <v>565.03</v>
      </c>
      <c r="BH89">
        <f t="shared" si="127"/>
        <v>0.35748526926490554</v>
      </c>
      <c r="BI89">
        <f t="shared" si="128"/>
        <v>0.52055813594716149</v>
      </c>
      <c r="BJ89">
        <f t="shared" si="129"/>
        <v>0.80064556981112522</v>
      </c>
      <c r="BK89">
        <f t="shared" si="130"/>
        <v>0.48415247439518788</v>
      </c>
      <c r="BL89">
        <f t="shared" si="131"/>
        <v>0.78882084502974981</v>
      </c>
      <c r="BM89">
        <f t="shared" si="132"/>
        <v>0.41093860145929162</v>
      </c>
      <c r="BN89">
        <f t="shared" si="133"/>
        <v>0.58906139854070838</v>
      </c>
      <c r="BO89">
        <v>1575</v>
      </c>
      <c r="BP89">
        <v>290.00000000000011</v>
      </c>
      <c r="BQ89">
        <v>832.53</v>
      </c>
      <c r="BR89">
        <v>285</v>
      </c>
      <c r="BS89">
        <v>7333.52</v>
      </c>
      <c r="BT89">
        <v>833.31</v>
      </c>
      <c r="BU89">
        <v>-0.78</v>
      </c>
      <c r="BV89">
        <v>300.00000000000011</v>
      </c>
      <c r="BW89">
        <v>37.9</v>
      </c>
      <c r="BX89">
        <v>879.40396223064795</v>
      </c>
      <c r="BY89">
        <v>1.106441373111217</v>
      </c>
      <c r="BZ89">
        <v>-33.800140456097523</v>
      </c>
      <c r="CA89">
        <v>0.6802265484820651</v>
      </c>
      <c r="CB89">
        <v>0.98878676760224293</v>
      </c>
      <c r="CC89">
        <v>-7.2253110122358216E-3</v>
      </c>
      <c r="CD89">
        <v>289.99999999999989</v>
      </c>
      <c r="CE89">
        <v>834.31</v>
      </c>
      <c r="CF89">
        <v>705</v>
      </c>
      <c r="CG89">
        <v>7327.06</v>
      </c>
      <c r="CH89">
        <v>833.27</v>
      </c>
      <c r="CI89">
        <v>1.04</v>
      </c>
      <c r="CW89">
        <f t="shared" si="134"/>
        <v>1800.18</v>
      </c>
      <c r="CX89">
        <f t="shared" si="135"/>
        <v>1513.3395000066012</v>
      </c>
      <c r="CY89">
        <f t="shared" si="136"/>
        <v>0.84066010066026786</v>
      </c>
      <c r="CZ89">
        <f t="shared" si="137"/>
        <v>0.16087399427431698</v>
      </c>
      <c r="DA89">
        <v>6</v>
      </c>
      <c r="DB89">
        <v>0.5</v>
      </c>
      <c r="DC89" t="s">
        <v>415</v>
      </c>
      <c r="DD89">
        <v>2</v>
      </c>
      <c r="DE89">
        <v>1691182353.5</v>
      </c>
      <c r="DF89">
        <v>172.78899999999999</v>
      </c>
      <c r="DG89">
        <v>200.09299999999999</v>
      </c>
      <c r="DH89">
        <v>25.802299999999999</v>
      </c>
      <c r="DI89">
        <v>19.755700000000001</v>
      </c>
      <c r="DJ89">
        <v>173.161</v>
      </c>
      <c r="DK89">
        <v>25.484000000000002</v>
      </c>
      <c r="DL89">
        <v>499.87599999999998</v>
      </c>
      <c r="DM89">
        <v>99</v>
      </c>
      <c r="DN89">
        <v>0.100261</v>
      </c>
      <c r="DO89">
        <v>29.800599999999999</v>
      </c>
      <c r="DP89">
        <v>29.969000000000001</v>
      </c>
      <c r="DQ89">
        <v>999.9</v>
      </c>
      <c r="DR89">
        <v>0</v>
      </c>
      <c r="DS89">
        <v>0</v>
      </c>
      <c r="DT89">
        <v>10002.5</v>
      </c>
      <c r="DU89">
        <v>0</v>
      </c>
      <c r="DV89">
        <v>1176.6199999999999</v>
      </c>
      <c r="DW89">
        <v>-27.303799999999999</v>
      </c>
      <c r="DX89">
        <v>177.36500000000001</v>
      </c>
      <c r="DY89">
        <v>204.125</v>
      </c>
      <c r="DZ89">
        <v>6.04664</v>
      </c>
      <c r="EA89">
        <v>200.09299999999999</v>
      </c>
      <c r="EB89">
        <v>19.755700000000001</v>
      </c>
      <c r="EC89">
        <v>2.55443</v>
      </c>
      <c r="ED89">
        <v>1.95581</v>
      </c>
      <c r="EE89">
        <v>21.377500000000001</v>
      </c>
      <c r="EF89">
        <v>17.091100000000001</v>
      </c>
      <c r="EG89">
        <v>1800.18</v>
      </c>
      <c r="EH89">
        <v>0.97799499999999995</v>
      </c>
      <c r="EI89">
        <v>2.2005299999999998E-2</v>
      </c>
      <c r="EJ89">
        <v>0</v>
      </c>
      <c r="EK89">
        <v>714.45500000000004</v>
      </c>
      <c r="EL89">
        <v>9.9989999999999996E-2</v>
      </c>
      <c r="EM89">
        <v>13732.8</v>
      </c>
      <c r="EN89">
        <v>16706.900000000001</v>
      </c>
      <c r="EO89">
        <v>49.311999999999998</v>
      </c>
      <c r="EP89">
        <v>51.061999999999998</v>
      </c>
      <c r="EQ89">
        <v>50.311999999999998</v>
      </c>
      <c r="ER89">
        <v>50.125</v>
      </c>
      <c r="ES89">
        <v>50.25</v>
      </c>
      <c r="ET89">
        <v>1760.47</v>
      </c>
      <c r="EU89">
        <v>39.61</v>
      </c>
      <c r="EV89">
        <v>0</v>
      </c>
      <c r="EW89">
        <v>114.7999999523163</v>
      </c>
      <c r="EX89">
        <v>0</v>
      </c>
      <c r="EY89">
        <v>715.75403846153847</v>
      </c>
      <c r="EZ89">
        <v>-0.53999997220346707</v>
      </c>
      <c r="FA89">
        <v>-44.376068426633474</v>
      </c>
      <c r="FB89">
        <v>13739.823076923079</v>
      </c>
      <c r="FC89">
        <v>15</v>
      </c>
      <c r="FD89">
        <v>1691182318.5</v>
      </c>
      <c r="FE89" t="s">
        <v>794</v>
      </c>
      <c r="FF89">
        <v>1691182309.5</v>
      </c>
      <c r="FG89">
        <v>1691182318.5</v>
      </c>
      <c r="FH89">
        <v>98</v>
      </c>
      <c r="FI89">
        <v>0.03</v>
      </c>
      <c r="FJ89">
        <v>7.0000000000000001E-3</v>
      </c>
      <c r="FK89">
        <v>-0.40200000000000002</v>
      </c>
      <c r="FL89">
        <v>0.12</v>
      </c>
      <c r="FM89">
        <v>200</v>
      </c>
      <c r="FN89">
        <v>20</v>
      </c>
      <c r="FO89">
        <v>0.43</v>
      </c>
      <c r="FP89">
        <v>0.04</v>
      </c>
      <c r="FQ89">
        <v>21.729791406139729</v>
      </c>
      <c r="FR89">
        <v>0.22744059637084951</v>
      </c>
      <c r="FS89">
        <v>4.368342798421062E-2</v>
      </c>
      <c r="FT89">
        <v>1</v>
      </c>
      <c r="FU89">
        <v>0.30348869197887779</v>
      </c>
      <c r="FV89">
        <v>4.45726132913698E-2</v>
      </c>
      <c r="FW89">
        <v>3.365336931580541E-3</v>
      </c>
      <c r="FX89">
        <v>1</v>
      </c>
      <c r="FY89">
        <v>2</v>
      </c>
      <c r="FZ89">
        <v>2</v>
      </c>
      <c r="GA89" t="s">
        <v>416</v>
      </c>
      <c r="GB89">
        <v>2.96489</v>
      </c>
      <c r="GC89">
        <v>2.8119700000000001</v>
      </c>
      <c r="GD89">
        <v>4.6942400000000002E-2</v>
      </c>
      <c r="GE89">
        <v>5.2876800000000002E-2</v>
      </c>
      <c r="GF89">
        <v>0.123639</v>
      </c>
      <c r="GG89">
        <v>0.10193099999999999</v>
      </c>
      <c r="GH89">
        <v>27973.4</v>
      </c>
      <c r="GI89">
        <v>25572.3</v>
      </c>
      <c r="GJ89">
        <v>26399.200000000001</v>
      </c>
      <c r="GK89">
        <v>25497</v>
      </c>
      <c r="GL89">
        <v>31488.799999999999</v>
      </c>
      <c r="GM89">
        <v>32335.4</v>
      </c>
      <c r="GN89">
        <v>37350.699999999997</v>
      </c>
      <c r="GO89">
        <v>37811.699999999997</v>
      </c>
      <c r="GP89">
        <v>1.8971</v>
      </c>
      <c r="GQ89">
        <v>1.8496999999999999</v>
      </c>
      <c r="GR89">
        <v>-3.6701600000000001E-2</v>
      </c>
      <c r="GS89">
        <v>0</v>
      </c>
      <c r="GT89">
        <v>30.565999999999999</v>
      </c>
      <c r="GU89">
        <v>999.9</v>
      </c>
      <c r="GV89">
        <v>25.2</v>
      </c>
      <c r="GW89">
        <v>44.3</v>
      </c>
      <c r="GX89">
        <v>23.662400000000002</v>
      </c>
      <c r="GY89">
        <v>62.104999999999997</v>
      </c>
      <c r="GZ89">
        <v>12.664300000000001</v>
      </c>
      <c r="HA89">
        <v>1</v>
      </c>
      <c r="HB89">
        <v>0.78851599999999999</v>
      </c>
      <c r="HC89">
        <v>6.11165</v>
      </c>
      <c r="HD89">
        <v>20.196000000000002</v>
      </c>
      <c r="HE89">
        <v>5.2071100000000001</v>
      </c>
      <c r="HF89">
        <v>11.944100000000001</v>
      </c>
      <c r="HG89">
        <v>4.9867999999999997</v>
      </c>
      <c r="HH89">
        <v>3.29</v>
      </c>
      <c r="HI89">
        <v>9999</v>
      </c>
      <c r="HJ89">
        <v>9999</v>
      </c>
      <c r="HK89">
        <v>9999</v>
      </c>
      <c r="HL89">
        <v>999.9</v>
      </c>
      <c r="HM89">
        <v>1.8705700000000001</v>
      </c>
      <c r="HN89">
        <v>1.8766799999999999</v>
      </c>
      <c r="HO89">
        <v>1.8744799999999999</v>
      </c>
      <c r="HP89">
        <v>1.87269</v>
      </c>
      <c r="HQ89">
        <v>1.87317</v>
      </c>
      <c r="HR89">
        <v>1.8705700000000001</v>
      </c>
      <c r="HS89">
        <v>1.87642</v>
      </c>
      <c r="HT89">
        <v>1.87558</v>
      </c>
      <c r="HU89">
        <v>5</v>
      </c>
      <c r="HV89">
        <v>0</v>
      </c>
      <c r="HW89">
        <v>0</v>
      </c>
      <c r="HX89">
        <v>0</v>
      </c>
      <c r="HY89" t="s">
        <v>417</v>
      </c>
      <c r="HZ89" t="s">
        <v>418</v>
      </c>
      <c r="IA89" t="s">
        <v>419</v>
      </c>
      <c r="IB89" t="s">
        <v>420</v>
      </c>
      <c r="IC89" t="s">
        <v>420</v>
      </c>
      <c r="ID89" t="s">
        <v>419</v>
      </c>
      <c r="IE89">
        <v>0</v>
      </c>
      <c r="IF89">
        <v>100</v>
      </c>
      <c r="IG89">
        <v>100</v>
      </c>
      <c r="IH89">
        <v>-0.372</v>
      </c>
      <c r="II89">
        <v>0.31830000000000003</v>
      </c>
      <c r="IJ89">
        <v>-0.13503026050877659</v>
      </c>
      <c r="IK89">
        <v>-1.615681629159814E-3</v>
      </c>
      <c r="IL89">
        <v>1.5005605225991581E-6</v>
      </c>
      <c r="IM89">
        <v>-5.1143626075267638E-10</v>
      </c>
      <c r="IN89">
        <v>-0.19163312743371469</v>
      </c>
      <c r="IO89">
        <v>-1.7182111142928099E-3</v>
      </c>
      <c r="IP89">
        <v>9.9985895407488957E-4</v>
      </c>
      <c r="IQ89">
        <v>-5.7750407166627208E-6</v>
      </c>
      <c r="IR89">
        <v>3</v>
      </c>
      <c r="IS89">
        <v>2181</v>
      </c>
      <c r="IT89">
        <v>2</v>
      </c>
      <c r="IU89">
        <v>42</v>
      </c>
      <c r="IV89">
        <v>0.7</v>
      </c>
      <c r="IW89">
        <v>0.6</v>
      </c>
      <c r="IX89">
        <v>0.560303</v>
      </c>
      <c r="IY89">
        <v>2.5439500000000002</v>
      </c>
      <c r="IZ89">
        <v>1.5991200000000001</v>
      </c>
      <c r="JA89">
        <v>2.2668499999999998</v>
      </c>
      <c r="JB89">
        <v>1.5502899999999999</v>
      </c>
      <c r="JC89">
        <v>2.4157700000000002</v>
      </c>
      <c r="JD89">
        <v>45.461399999999998</v>
      </c>
      <c r="JE89">
        <v>15.2265</v>
      </c>
      <c r="JF89">
        <v>18</v>
      </c>
      <c r="JG89">
        <v>499.45499999999998</v>
      </c>
      <c r="JH89">
        <v>437.74299999999999</v>
      </c>
      <c r="JI89">
        <v>22.8553</v>
      </c>
      <c r="JJ89">
        <v>36.788400000000003</v>
      </c>
      <c r="JK89">
        <v>30</v>
      </c>
      <c r="JL89">
        <v>36.732500000000002</v>
      </c>
      <c r="JM89">
        <v>36.689</v>
      </c>
      <c r="JN89">
        <v>11.242800000000001</v>
      </c>
      <c r="JO89">
        <v>22.414899999999999</v>
      </c>
      <c r="JP89">
        <v>3.4336199999999999</v>
      </c>
      <c r="JQ89">
        <v>22.856000000000002</v>
      </c>
      <c r="JR89">
        <v>200</v>
      </c>
      <c r="JS89">
        <v>19.625299999999999</v>
      </c>
      <c r="JT89">
        <v>98.531599999999997</v>
      </c>
      <c r="JU89">
        <v>98.130499999999998</v>
      </c>
    </row>
    <row r="90" spans="1:281" x14ac:dyDescent="0.25">
      <c r="A90">
        <v>74</v>
      </c>
      <c r="B90">
        <v>1691182488.5</v>
      </c>
      <c r="C90">
        <v>22757.900000095371</v>
      </c>
      <c r="D90" t="s">
        <v>795</v>
      </c>
      <c r="E90" t="s">
        <v>796</v>
      </c>
      <c r="F90" t="s">
        <v>411</v>
      </c>
      <c r="G90" t="s">
        <v>31</v>
      </c>
      <c r="H90" t="s">
        <v>412</v>
      </c>
      <c r="I90" t="s">
        <v>781</v>
      </c>
      <c r="J90">
        <v>1691182488.5</v>
      </c>
      <c r="K90">
        <f t="shared" si="92"/>
        <v>5.6815178765632184E-3</v>
      </c>
      <c r="L90">
        <f t="shared" si="93"/>
        <v>5.6815178765632179</v>
      </c>
      <c r="M90">
        <f t="shared" si="94"/>
        <v>14.177162815152816</v>
      </c>
      <c r="N90">
        <f t="shared" si="95"/>
        <v>102.47199999999999</v>
      </c>
      <c r="O90">
        <f t="shared" si="96"/>
        <v>30.106620558502478</v>
      </c>
      <c r="P90">
        <f t="shared" si="97"/>
        <v>2.9834928118118325</v>
      </c>
      <c r="Q90">
        <f t="shared" si="98"/>
        <v>10.154725762657602</v>
      </c>
      <c r="R90">
        <f t="shared" si="99"/>
        <v>0.33954994713224845</v>
      </c>
      <c r="S90">
        <f t="shared" si="100"/>
        <v>2.9132163291410804</v>
      </c>
      <c r="T90">
        <f t="shared" si="101"/>
        <v>0.31899581308366437</v>
      </c>
      <c r="U90">
        <f t="shared" si="102"/>
        <v>0.20111532377571756</v>
      </c>
      <c r="V90">
        <f t="shared" si="103"/>
        <v>289.54469101274242</v>
      </c>
      <c r="W90">
        <f t="shared" si="104"/>
        <v>30.079172105822511</v>
      </c>
      <c r="X90">
        <f t="shared" si="105"/>
        <v>29.9955</v>
      </c>
      <c r="Y90">
        <f t="shared" si="106"/>
        <v>4.2593486711021713</v>
      </c>
      <c r="Z90">
        <f t="shared" si="107"/>
        <v>60.495633707328466</v>
      </c>
      <c r="AA90">
        <f t="shared" si="108"/>
        <v>2.5550424487779804</v>
      </c>
      <c r="AB90">
        <f t="shared" si="109"/>
        <v>4.2235154707842355</v>
      </c>
      <c r="AC90">
        <f t="shared" si="110"/>
        <v>1.7043062223241909</v>
      </c>
      <c r="AD90">
        <f t="shared" si="111"/>
        <v>-250.55493835643793</v>
      </c>
      <c r="AE90">
        <f t="shared" si="112"/>
        <v>-23.087425854287883</v>
      </c>
      <c r="AF90">
        <f t="shared" si="113"/>
        <v>-1.7607855199442646</v>
      </c>
      <c r="AG90">
        <f t="shared" si="114"/>
        <v>14.141541282072357</v>
      </c>
      <c r="AH90">
        <v>1</v>
      </c>
      <c r="AI90">
        <v>0</v>
      </c>
      <c r="AJ90">
        <f t="shared" si="115"/>
        <v>1</v>
      </c>
      <c r="AK90">
        <f t="shared" si="116"/>
        <v>0</v>
      </c>
      <c r="AL90">
        <f t="shared" si="117"/>
        <v>51892.067013359563</v>
      </c>
      <c r="AM90" t="s">
        <v>414</v>
      </c>
      <c r="AN90">
        <v>7361.72</v>
      </c>
      <c r="AO90">
        <v>541.39076923076925</v>
      </c>
      <c r="AP90">
        <v>2141.9899999999998</v>
      </c>
      <c r="AQ90">
        <f t="shared" si="118"/>
        <v>0.74724869433061347</v>
      </c>
      <c r="AR90">
        <v>-0.96077199609010144</v>
      </c>
      <c r="AS90" t="s">
        <v>797</v>
      </c>
      <c r="AT90">
        <v>7333.02</v>
      </c>
      <c r="AU90">
        <v>725.70440000000008</v>
      </c>
      <c r="AV90">
        <v>833.57920219089726</v>
      </c>
      <c r="AW90">
        <f t="shared" si="119"/>
        <v>0.12941158069607506</v>
      </c>
      <c r="AX90">
        <v>0.5</v>
      </c>
      <c r="AY90">
        <f t="shared" si="120"/>
        <v>1513.037100006602</v>
      </c>
      <c r="AZ90">
        <f t="shared" si="121"/>
        <v>14.177162815152816</v>
      </c>
      <c r="BA90">
        <f t="shared" si="122"/>
        <v>97.902261381829888</v>
      </c>
      <c r="BB90">
        <f t="shared" si="123"/>
        <v>1.0004999091679156E-2</v>
      </c>
      <c r="BC90">
        <f t="shared" si="124"/>
        <v>1.5696298496534038</v>
      </c>
      <c r="BD90">
        <f t="shared" si="125"/>
        <v>387.61415738549766</v>
      </c>
      <c r="BE90" t="s">
        <v>798</v>
      </c>
      <c r="BF90">
        <v>576.51</v>
      </c>
      <c r="BG90">
        <f t="shared" si="126"/>
        <v>576.51</v>
      </c>
      <c r="BH90">
        <f t="shared" si="127"/>
        <v>0.3083920538267293</v>
      </c>
      <c r="BI90">
        <f t="shared" si="128"/>
        <v>0.41963331768848111</v>
      </c>
      <c r="BJ90">
        <f t="shared" si="129"/>
        <v>0.83578889401915235</v>
      </c>
      <c r="BK90">
        <f t="shared" si="130"/>
        <v>0.36919600511912726</v>
      </c>
      <c r="BL90">
        <f t="shared" si="131"/>
        <v>0.81745059766166106</v>
      </c>
      <c r="BM90">
        <f t="shared" si="132"/>
        <v>0.33336273554437074</v>
      </c>
      <c r="BN90">
        <f t="shared" si="133"/>
        <v>0.66663726445562932</v>
      </c>
      <c r="BO90">
        <v>1577</v>
      </c>
      <c r="BP90">
        <v>290.00000000000011</v>
      </c>
      <c r="BQ90">
        <v>802.79</v>
      </c>
      <c r="BR90">
        <v>285</v>
      </c>
      <c r="BS90">
        <v>7333.02</v>
      </c>
      <c r="BT90">
        <v>803.54</v>
      </c>
      <c r="BU90">
        <v>-0.75</v>
      </c>
      <c r="BV90">
        <v>300.00000000000011</v>
      </c>
      <c r="BW90">
        <v>37.9</v>
      </c>
      <c r="BX90">
        <v>833.57920219089726</v>
      </c>
      <c r="BY90">
        <v>1.0498534003466899</v>
      </c>
      <c r="BZ90">
        <v>-22.03002981029022</v>
      </c>
      <c r="CA90">
        <v>0.64539270251352221</v>
      </c>
      <c r="CB90">
        <v>0.97653271962871979</v>
      </c>
      <c r="CC90">
        <v>-7.2247038932146913E-3</v>
      </c>
      <c r="CD90">
        <v>289.99999999999989</v>
      </c>
      <c r="CE90">
        <v>802.85</v>
      </c>
      <c r="CF90">
        <v>705</v>
      </c>
      <c r="CG90">
        <v>7326.53</v>
      </c>
      <c r="CH90">
        <v>803.51</v>
      </c>
      <c r="CI90">
        <v>-0.66</v>
      </c>
      <c r="CW90">
        <f t="shared" si="134"/>
        <v>1799.82</v>
      </c>
      <c r="CX90">
        <f t="shared" si="135"/>
        <v>1513.037100006602</v>
      </c>
      <c r="CY90">
        <f t="shared" si="136"/>
        <v>0.8406602326936039</v>
      </c>
      <c r="CZ90">
        <f t="shared" si="137"/>
        <v>0.16087424909865566</v>
      </c>
      <c r="DA90">
        <v>6</v>
      </c>
      <c r="DB90">
        <v>0.5</v>
      </c>
      <c r="DC90" t="s">
        <v>415</v>
      </c>
      <c r="DD90">
        <v>2</v>
      </c>
      <c r="DE90">
        <v>1691182488.5</v>
      </c>
      <c r="DF90">
        <v>102.47199999999999</v>
      </c>
      <c r="DG90">
        <v>120.173</v>
      </c>
      <c r="DH90">
        <v>25.783100000000001</v>
      </c>
      <c r="DI90">
        <v>19.1449</v>
      </c>
      <c r="DJ90">
        <v>102.774</v>
      </c>
      <c r="DK90">
        <v>25.464500000000001</v>
      </c>
      <c r="DL90">
        <v>500.28899999999999</v>
      </c>
      <c r="DM90">
        <v>98.997600000000006</v>
      </c>
      <c r="DN90">
        <v>9.9965799999999994E-2</v>
      </c>
      <c r="DO90">
        <v>29.848500000000001</v>
      </c>
      <c r="DP90">
        <v>29.9955</v>
      </c>
      <c r="DQ90">
        <v>999.9</v>
      </c>
      <c r="DR90">
        <v>0</v>
      </c>
      <c r="DS90">
        <v>0</v>
      </c>
      <c r="DT90">
        <v>10007.5</v>
      </c>
      <c r="DU90">
        <v>0</v>
      </c>
      <c r="DV90">
        <v>1147.56</v>
      </c>
      <c r="DW90">
        <v>-17.700600000000001</v>
      </c>
      <c r="DX90">
        <v>105.184</v>
      </c>
      <c r="DY90">
        <v>122.51900000000001</v>
      </c>
      <c r="DZ90">
        <v>6.6382500000000002</v>
      </c>
      <c r="EA90">
        <v>120.173</v>
      </c>
      <c r="EB90">
        <v>19.1449</v>
      </c>
      <c r="EC90">
        <v>2.55247</v>
      </c>
      <c r="ED90">
        <v>1.8953</v>
      </c>
      <c r="EE90">
        <v>21.364999999999998</v>
      </c>
      <c r="EF90">
        <v>16.595700000000001</v>
      </c>
      <c r="EG90">
        <v>1799.82</v>
      </c>
      <c r="EH90">
        <v>0.97799199999999997</v>
      </c>
      <c r="EI90">
        <v>2.2008199999999999E-2</v>
      </c>
      <c r="EJ90">
        <v>0</v>
      </c>
      <c r="EK90">
        <v>726.14</v>
      </c>
      <c r="EL90">
        <v>9.9989999999999996E-2</v>
      </c>
      <c r="EM90">
        <v>13863.8</v>
      </c>
      <c r="EN90">
        <v>16703.599999999999</v>
      </c>
      <c r="EO90">
        <v>49.375</v>
      </c>
      <c r="EP90">
        <v>51.186999999999998</v>
      </c>
      <c r="EQ90">
        <v>50.311999999999998</v>
      </c>
      <c r="ER90">
        <v>50.25</v>
      </c>
      <c r="ES90">
        <v>50.311999999999998</v>
      </c>
      <c r="ET90">
        <v>1760.11</v>
      </c>
      <c r="EU90">
        <v>39.61</v>
      </c>
      <c r="EV90">
        <v>0</v>
      </c>
      <c r="EW90">
        <v>132.79999995231631</v>
      </c>
      <c r="EX90">
        <v>0</v>
      </c>
      <c r="EY90">
        <v>725.70440000000008</v>
      </c>
      <c r="EZ90">
        <v>5.035769268010112</v>
      </c>
      <c r="FA90">
        <v>-104.3230767338865</v>
      </c>
      <c r="FB90">
        <v>13899.084000000001</v>
      </c>
      <c r="FC90">
        <v>15</v>
      </c>
      <c r="FD90">
        <v>1691182439.5</v>
      </c>
      <c r="FE90" t="s">
        <v>799</v>
      </c>
      <c r="FF90">
        <v>1691182427</v>
      </c>
      <c r="FG90">
        <v>1691182439.5</v>
      </c>
      <c r="FH90">
        <v>99</v>
      </c>
      <c r="FI90">
        <v>-1.6E-2</v>
      </c>
      <c r="FJ90">
        <v>1E-3</v>
      </c>
      <c r="FK90">
        <v>-0.32400000000000001</v>
      </c>
      <c r="FL90">
        <v>0.10199999999999999</v>
      </c>
      <c r="FM90">
        <v>120</v>
      </c>
      <c r="FN90">
        <v>19</v>
      </c>
      <c r="FO90">
        <v>0.24</v>
      </c>
      <c r="FP90">
        <v>0.03</v>
      </c>
      <c r="FQ90">
        <v>13.97008384484295</v>
      </c>
      <c r="FR90">
        <v>0.2599066132498582</v>
      </c>
      <c r="FS90">
        <v>6.707969983849954E-2</v>
      </c>
      <c r="FT90">
        <v>1</v>
      </c>
      <c r="FU90">
        <v>0.33671884433937171</v>
      </c>
      <c r="FV90">
        <v>4.1794465643396533E-2</v>
      </c>
      <c r="FW90">
        <v>3.2916904699131079E-3</v>
      </c>
      <c r="FX90">
        <v>1</v>
      </c>
      <c r="FY90">
        <v>2</v>
      </c>
      <c r="FZ90">
        <v>2</v>
      </c>
      <c r="GA90" t="s">
        <v>416</v>
      </c>
      <c r="GB90">
        <v>2.9659800000000001</v>
      </c>
      <c r="GC90">
        <v>2.8117299999999998</v>
      </c>
      <c r="GD90">
        <v>2.8753999999999998E-2</v>
      </c>
      <c r="GE90">
        <v>3.3009400000000001E-2</v>
      </c>
      <c r="GF90">
        <v>0.123572</v>
      </c>
      <c r="GG90">
        <v>9.9663799999999997E-2</v>
      </c>
      <c r="GH90">
        <v>28506.6</v>
      </c>
      <c r="GI90">
        <v>26107.9</v>
      </c>
      <c r="GJ90">
        <v>26398.7</v>
      </c>
      <c r="GK90">
        <v>25496.2</v>
      </c>
      <c r="GL90">
        <v>31489.3</v>
      </c>
      <c r="GM90">
        <v>32413.4</v>
      </c>
      <c r="GN90">
        <v>37350.1</v>
      </c>
      <c r="GO90">
        <v>37809.199999999997</v>
      </c>
      <c r="GP90">
        <v>1.8986000000000001</v>
      </c>
      <c r="GQ90">
        <v>1.8498000000000001</v>
      </c>
      <c r="GR90">
        <v>-3.80278E-2</v>
      </c>
      <c r="GS90">
        <v>0</v>
      </c>
      <c r="GT90">
        <v>30.614000000000001</v>
      </c>
      <c r="GU90">
        <v>999.9</v>
      </c>
      <c r="GV90">
        <v>25.4</v>
      </c>
      <c r="GW90">
        <v>44.1</v>
      </c>
      <c r="GX90">
        <v>23.606100000000001</v>
      </c>
      <c r="GY90">
        <v>62.075000000000003</v>
      </c>
      <c r="GZ90">
        <v>11.774800000000001</v>
      </c>
      <c r="HA90">
        <v>1</v>
      </c>
      <c r="HB90">
        <v>0.78870899999999999</v>
      </c>
      <c r="HC90">
        <v>6.0883099999999999</v>
      </c>
      <c r="HD90">
        <v>20.196899999999999</v>
      </c>
      <c r="HE90">
        <v>5.2100999999999997</v>
      </c>
      <c r="HF90">
        <v>11.944100000000001</v>
      </c>
      <c r="HG90">
        <v>4.9871999999999996</v>
      </c>
      <c r="HH90">
        <v>3.2905000000000002</v>
      </c>
      <c r="HI90">
        <v>9999</v>
      </c>
      <c r="HJ90">
        <v>9999</v>
      </c>
      <c r="HK90">
        <v>9999</v>
      </c>
      <c r="HL90">
        <v>999.9</v>
      </c>
      <c r="HM90">
        <v>1.8705700000000001</v>
      </c>
      <c r="HN90">
        <v>1.8766799999999999</v>
      </c>
      <c r="HO90">
        <v>1.87439</v>
      </c>
      <c r="HP90">
        <v>1.8727100000000001</v>
      </c>
      <c r="HQ90">
        <v>1.87317</v>
      </c>
      <c r="HR90">
        <v>1.8705700000000001</v>
      </c>
      <c r="HS90">
        <v>1.87639</v>
      </c>
      <c r="HT90">
        <v>1.87558</v>
      </c>
      <c r="HU90">
        <v>5</v>
      </c>
      <c r="HV90">
        <v>0</v>
      </c>
      <c r="HW90">
        <v>0</v>
      </c>
      <c r="HX90">
        <v>0</v>
      </c>
      <c r="HY90" t="s">
        <v>417</v>
      </c>
      <c r="HZ90" t="s">
        <v>418</v>
      </c>
      <c r="IA90" t="s">
        <v>419</v>
      </c>
      <c r="IB90" t="s">
        <v>420</v>
      </c>
      <c r="IC90" t="s">
        <v>420</v>
      </c>
      <c r="ID90" t="s">
        <v>419</v>
      </c>
      <c r="IE90">
        <v>0</v>
      </c>
      <c r="IF90">
        <v>100</v>
      </c>
      <c r="IG90">
        <v>100</v>
      </c>
      <c r="IH90">
        <v>-0.30199999999999999</v>
      </c>
      <c r="II90">
        <v>0.31859999999999999</v>
      </c>
      <c r="IJ90">
        <v>-0.15099265792115879</v>
      </c>
      <c r="IK90">
        <v>-1.615681629159814E-3</v>
      </c>
      <c r="IL90">
        <v>1.5005605225991581E-6</v>
      </c>
      <c r="IM90">
        <v>-5.1143626075267638E-10</v>
      </c>
      <c r="IN90">
        <v>-0.19058571158083831</v>
      </c>
      <c r="IO90">
        <v>-1.7182111142928099E-3</v>
      </c>
      <c r="IP90">
        <v>9.9985895407488957E-4</v>
      </c>
      <c r="IQ90">
        <v>-5.7750407166627208E-6</v>
      </c>
      <c r="IR90">
        <v>3</v>
      </c>
      <c r="IS90">
        <v>2181</v>
      </c>
      <c r="IT90">
        <v>2</v>
      </c>
      <c r="IU90">
        <v>42</v>
      </c>
      <c r="IV90">
        <v>1</v>
      </c>
      <c r="IW90">
        <v>0.8</v>
      </c>
      <c r="IX90">
        <v>0.39184600000000003</v>
      </c>
      <c r="IY90">
        <v>2.5647000000000002</v>
      </c>
      <c r="IZ90">
        <v>1.6003400000000001</v>
      </c>
      <c r="JA90">
        <v>2.2668499999999998</v>
      </c>
      <c r="JB90">
        <v>1.5502899999999999</v>
      </c>
      <c r="JC90">
        <v>2.3083499999999999</v>
      </c>
      <c r="JD90">
        <v>45.318800000000003</v>
      </c>
      <c r="JE90">
        <v>15.182700000000001</v>
      </c>
      <c r="JF90">
        <v>18</v>
      </c>
      <c r="JG90">
        <v>500.39100000000002</v>
      </c>
      <c r="JH90">
        <v>437.76</v>
      </c>
      <c r="JI90">
        <v>22.971499999999999</v>
      </c>
      <c r="JJ90">
        <v>36.786000000000001</v>
      </c>
      <c r="JK90">
        <v>30.000699999999998</v>
      </c>
      <c r="JL90">
        <v>36.7256</v>
      </c>
      <c r="JM90">
        <v>36.682200000000002</v>
      </c>
      <c r="JN90">
        <v>7.8951599999999997</v>
      </c>
      <c r="JO90">
        <v>24.961600000000001</v>
      </c>
      <c r="JP90">
        <v>3.3376000000000001</v>
      </c>
      <c r="JQ90">
        <v>22.962599999999998</v>
      </c>
      <c r="JR90">
        <v>120</v>
      </c>
      <c r="JS90">
        <v>19.053999999999998</v>
      </c>
      <c r="JT90">
        <v>98.529799999999994</v>
      </c>
      <c r="JU90">
        <v>98.125500000000002</v>
      </c>
    </row>
    <row r="91" spans="1:281" x14ac:dyDescent="0.25">
      <c r="A91">
        <v>75</v>
      </c>
      <c r="B91">
        <v>1691182611.5</v>
      </c>
      <c r="C91">
        <v>22880.900000095371</v>
      </c>
      <c r="D91" t="s">
        <v>800</v>
      </c>
      <c r="E91" t="s">
        <v>801</v>
      </c>
      <c r="F91" t="s">
        <v>411</v>
      </c>
      <c r="G91" t="s">
        <v>31</v>
      </c>
      <c r="H91" t="s">
        <v>412</v>
      </c>
      <c r="I91" t="s">
        <v>781</v>
      </c>
      <c r="J91">
        <v>1691182611.5</v>
      </c>
      <c r="K91">
        <f t="shared" si="92"/>
        <v>5.9121117570131087E-3</v>
      </c>
      <c r="L91">
        <f t="shared" si="93"/>
        <v>5.9121117570131085</v>
      </c>
      <c r="M91">
        <f t="shared" si="94"/>
        <v>8.5231797202132658</v>
      </c>
      <c r="N91">
        <f t="shared" si="95"/>
        <v>59.379600000000003</v>
      </c>
      <c r="O91">
        <f t="shared" si="96"/>
        <v>17.628133207238818</v>
      </c>
      <c r="P91">
        <f t="shared" si="97"/>
        <v>1.7469056862664163</v>
      </c>
      <c r="Q91">
        <f t="shared" si="98"/>
        <v>5.8843758252081608</v>
      </c>
      <c r="R91">
        <f t="shared" si="99"/>
        <v>0.354687933046411</v>
      </c>
      <c r="S91">
        <f t="shared" si="100"/>
        <v>2.9127952850154175</v>
      </c>
      <c r="T91">
        <f t="shared" si="101"/>
        <v>0.33232197276857195</v>
      </c>
      <c r="U91">
        <f t="shared" si="102"/>
        <v>0.20959308869522625</v>
      </c>
      <c r="V91">
        <f t="shared" si="103"/>
        <v>289.58778301274054</v>
      </c>
      <c r="W91">
        <f t="shared" si="104"/>
        <v>30.055382452066517</v>
      </c>
      <c r="X91">
        <f t="shared" si="105"/>
        <v>30.003900000000002</v>
      </c>
      <c r="Y91">
        <f t="shared" si="106"/>
        <v>4.2614042608873808</v>
      </c>
      <c r="Z91">
        <f t="shared" si="107"/>
        <v>60.46598579045348</v>
      </c>
      <c r="AA91">
        <f t="shared" si="108"/>
        <v>2.5590964120704003</v>
      </c>
      <c r="AB91">
        <f t="shared" si="109"/>
        <v>4.232290896470321</v>
      </c>
      <c r="AC91">
        <f t="shared" si="110"/>
        <v>1.7023078488169805</v>
      </c>
      <c r="AD91">
        <f t="shared" si="111"/>
        <v>-260.72412848427808</v>
      </c>
      <c r="AE91">
        <f t="shared" si="112"/>
        <v>-18.734230095106529</v>
      </c>
      <c r="AF91">
        <f t="shared" si="113"/>
        <v>-1.4293061196784376</v>
      </c>
      <c r="AG91">
        <f t="shared" si="114"/>
        <v>8.7001183136775175</v>
      </c>
      <c r="AH91">
        <v>1</v>
      </c>
      <c r="AI91">
        <v>0</v>
      </c>
      <c r="AJ91">
        <f t="shared" si="115"/>
        <v>1</v>
      </c>
      <c r="AK91">
        <f t="shared" si="116"/>
        <v>0</v>
      </c>
      <c r="AL91">
        <f t="shared" si="117"/>
        <v>51873.923644686009</v>
      </c>
      <c r="AM91" t="s">
        <v>414</v>
      </c>
      <c r="AN91">
        <v>7361.72</v>
      </c>
      <c r="AO91">
        <v>541.39076923076925</v>
      </c>
      <c r="AP91">
        <v>2141.9899999999998</v>
      </c>
      <c r="AQ91">
        <f t="shared" si="118"/>
        <v>0.74724869433061347</v>
      </c>
      <c r="AR91">
        <v>-0.96077199609010144</v>
      </c>
      <c r="AS91" t="s">
        <v>802</v>
      </c>
      <c r="AT91">
        <v>7336.2</v>
      </c>
      <c r="AU91">
        <v>735.11339999999996</v>
      </c>
      <c r="AV91">
        <v>810.01996570228846</v>
      </c>
      <c r="AW91">
        <f t="shared" si="119"/>
        <v>9.2474962191017585E-2</v>
      </c>
      <c r="AX91">
        <v>0.5</v>
      </c>
      <c r="AY91">
        <f t="shared" si="120"/>
        <v>1513.2639000066013</v>
      </c>
      <c r="AZ91">
        <f t="shared" si="121"/>
        <v>8.5231797202132658</v>
      </c>
      <c r="BA91">
        <f t="shared" si="122"/>
        <v>69.969510969071138</v>
      </c>
      <c r="BB91">
        <f t="shared" si="123"/>
        <v>6.2672159933650677E-3</v>
      </c>
      <c r="BC91">
        <f t="shared" si="124"/>
        <v>1.6443669177251592</v>
      </c>
      <c r="BD91">
        <f t="shared" si="125"/>
        <v>382.44185784685459</v>
      </c>
      <c r="BE91" t="s">
        <v>803</v>
      </c>
      <c r="BF91">
        <v>594.39</v>
      </c>
      <c r="BG91">
        <f t="shared" si="126"/>
        <v>594.39</v>
      </c>
      <c r="BH91">
        <f t="shared" si="127"/>
        <v>0.2662032725518525</v>
      </c>
      <c r="BI91">
        <f t="shared" si="128"/>
        <v>0.34738476843106747</v>
      </c>
      <c r="BJ91">
        <f t="shared" si="129"/>
        <v>0.86066815346194836</v>
      </c>
      <c r="BK91">
        <f t="shared" si="130"/>
        <v>0.27884744728494282</v>
      </c>
      <c r="BL91">
        <f t="shared" si="131"/>
        <v>0.83216960791464401</v>
      </c>
      <c r="BM91">
        <f t="shared" si="132"/>
        <v>0.28088459890370954</v>
      </c>
      <c r="BN91">
        <f t="shared" si="133"/>
        <v>0.71911540109629046</v>
      </c>
      <c r="BO91">
        <v>1579</v>
      </c>
      <c r="BP91">
        <v>290.00000000000011</v>
      </c>
      <c r="BQ91">
        <v>788.52</v>
      </c>
      <c r="BR91">
        <v>225</v>
      </c>
      <c r="BS91">
        <v>7336.2</v>
      </c>
      <c r="BT91">
        <v>788.32</v>
      </c>
      <c r="BU91">
        <v>0.2</v>
      </c>
      <c r="BV91">
        <v>300.00000000000011</v>
      </c>
      <c r="BW91">
        <v>37.9</v>
      </c>
      <c r="BX91">
        <v>810.01996570228846</v>
      </c>
      <c r="BY91">
        <v>1.3514536146618881</v>
      </c>
      <c r="BZ91">
        <v>-15.921095809770151</v>
      </c>
      <c r="CA91">
        <v>0.83077304693930021</v>
      </c>
      <c r="CB91">
        <v>0.92916168704558744</v>
      </c>
      <c r="CC91">
        <v>-7.2244718576195827E-3</v>
      </c>
      <c r="CD91">
        <v>289.99999999999989</v>
      </c>
      <c r="CE91">
        <v>787.28</v>
      </c>
      <c r="CF91">
        <v>735</v>
      </c>
      <c r="CG91">
        <v>7325.34</v>
      </c>
      <c r="CH91">
        <v>788.29</v>
      </c>
      <c r="CI91">
        <v>-1.01</v>
      </c>
      <c r="CW91">
        <f t="shared" si="134"/>
        <v>1800.09</v>
      </c>
      <c r="CX91">
        <f t="shared" si="135"/>
        <v>1513.2639000066013</v>
      </c>
      <c r="CY91">
        <f t="shared" si="136"/>
        <v>0.84066013366365089</v>
      </c>
      <c r="CZ91">
        <f t="shared" si="137"/>
        <v>0.16087405797084622</v>
      </c>
      <c r="DA91">
        <v>6</v>
      </c>
      <c r="DB91">
        <v>0.5</v>
      </c>
      <c r="DC91" t="s">
        <v>415</v>
      </c>
      <c r="DD91">
        <v>2</v>
      </c>
      <c r="DE91">
        <v>1691182611.5</v>
      </c>
      <c r="DF91">
        <v>59.379600000000003</v>
      </c>
      <c r="DG91">
        <v>70.032499999999999</v>
      </c>
      <c r="DH91">
        <v>25.824000000000002</v>
      </c>
      <c r="DI91">
        <v>18.9102</v>
      </c>
      <c r="DJ91">
        <v>59.671300000000002</v>
      </c>
      <c r="DK91">
        <v>25.498200000000001</v>
      </c>
      <c r="DL91">
        <v>499.82100000000003</v>
      </c>
      <c r="DM91">
        <v>98.998500000000007</v>
      </c>
      <c r="DN91">
        <v>9.9099599999999996E-2</v>
      </c>
      <c r="DO91">
        <v>29.884599999999999</v>
      </c>
      <c r="DP91">
        <v>30.003900000000002</v>
      </c>
      <c r="DQ91">
        <v>999.9</v>
      </c>
      <c r="DR91">
        <v>0</v>
      </c>
      <c r="DS91">
        <v>0</v>
      </c>
      <c r="DT91">
        <v>10005</v>
      </c>
      <c r="DU91">
        <v>0</v>
      </c>
      <c r="DV91">
        <v>1141.6400000000001</v>
      </c>
      <c r="DW91">
        <v>-10.652900000000001</v>
      </c>
      <c r="DX91">
        <v>60.953600000000002</v>
      </c>
      <c r="DY91">
        <v>71.382300000000001</v>
      </c>
      <c r="DZ91">
        <v>6.9138000000000002</v>
      </c>
      <c r="EA91">
        <v>70.032499999999999</v>
      </c>
      <c r="EB91">
        <v>18.9102</v>
      </c>
      <c r="EC91">
        <v>2.55654</v>
      </c>
      <c r="ED91">
        <v>1.87208</v>
      </c>
      <c r="EE91">
        <v>21.390999999999998</v>
      </c>
      <c r="EF91">
        <v>16.402000000000001</v>
      </c>
      <c r="EG91">
        <v>1800.09</v>
      </c>
      <c r="EH91">
        <v>0.97799499999999995</v>
      </c>
      <c r="EI91">
        <v>2.2005299999999998E-2</v>
      </c>
      <c r="EJ91">
        <v>0</v>
      </c>
      <c r="EK91">
        <v>730.79499999999996</v>
      </c>
      <c r="EL91">
        <v>9.9989999999999996E-2</v>
      </c>
      <c r="EM91">
        <v>14073.8</v>
      </c>
      <c r="EN91">
        <v>16706.099999999999</v>
      </c>
      <c r="EO91">
        <v>49.436999999999998</v>
      </c>
      <c r="EP91">
        <v>51.186999999999998</v>
      </c>
      <c r="EQ91">
        <v>50.436999999999998</v>
      </c>
      <c r="ER91">
        <v>50.311999999999998</v>
      </c>
      <c r="ES91">
        <v>50.436999999999998</v>
      </c>
      <c r="ET91">
        <v>1760.38</v>
      </c>
      <c r="EU91">
        <v>39.61</v>
      </c>
      <c r="EV91">
        <v>0</v>
      </c>
      <c r="EW91">
        <v>120.5999999046326</v>
      </c>
      <c r="EX91">
        <v>0</v>
      </c>
      <c r="EY91">
        <v>735.11339999999996</v>
      </c>
      <c r="EZ91">
        <v>-7.8011537906177288</v>
      </c>
      <c r="FA91">
        <v>39.53076930755001</v>
      </c>
      <c r="FB91">
        <v>14078.248</v>
      </c>
      <c r="FC91">
        <v>15</v>
      </c>
      <c r="FD91">
        <v>1691182579</v>
      </c>
      <c r="FE91" t="s">
        <v>804</v>
      </c>
      <c r="FF91">
        <v>1691182564</v>
      </c>
      <c r="FG91">
        <v>1691182579</v>
      </c>
      <c r="FH91">
        <v>100</v>
      </c>
      <c r="FI91">
        <v>-0.05</v>
      </c>
      <c r="FJ91">
        <v>6.0000000000000001E-3</v>
      </c>
      <c r="FK91">
        <v>-0.307</v>
      </c>
      <c r="FL91">
        <v>9.7000000000000003E-2</v>
      </c>
      <c r="FM91">
        <v>70</v>
      </c>
      <c r="FN91">
        <v>19</v>
      </c>
      <c r="FO91">
        <v>0.44</v>
      </c>
      <c r="FP91">
        <v>0.03</v>
      </c>
      <c r="FQ91">
        <v>8.5637064649080834</v>
      </c>
      <c r="FR91">
        <v>-0.18321927792692211</v>
      </c>
      <c r="FS91">
        <v>5.900813136906486E-2</v>
      </c>
      <c r="FT91">
        <v>1</v>
      </c>
      <c r="FU91">
        <v>0.35402291663133229</v>
      </c>
      <c r="FV91">
        <v>4.029880270459274E-2</v>
      </c>
      <c r="FW91">
        <v>3.794080049491699E-3</v>
      </c>
      <c r="FX91">
        <v>1</v>
      </c>
      <c r="FY91">
        <v>2</v>
      </c>
      <c r="FZ91">
        <v>2</v>
      </c>
      <c r="GA91" t="s">
        <v>416</v>
      </c>
      <c r="GB91">
        <v>2.9647299999999999</v>
      </c>
      <c r="GC91">
        <v>2.8108399999999998</v>
      </c>
      <c r="GD91">
        <v>1.69038E-2</v>
      </c>
      <c r="GE91">
        <v>1.9553899999999999E-2</v>
      </c>
      <c r="GF91">
        <v>0.123685</v>
      </c>
      <c r="GG91">
        <v>9.8783700000000002E-2</v>
      </c>
      <c r="GH91">
        <v>28852.3</v>
      </c>
      <c r="GI91">
        <v>26469.8</v>
      </c>
      <c r="GJ91">
        <v>26397.1</v>
      </c>
      <c r="GK91">
        <v>25495.1</v>
      </c>
      <c r="GL91">
        <v>31482.1</v>
      </c>
      <c r="GM91">
        <v>32443.4</v>
      </c>
      <c r="GN91">
        <v>37347.199999999997</v>
      </c>
      <c r="GO91">
        <v>37808.400000000001</v>
      </c>
      <c r="GP91">
        <v>1.8976999999999999</v>
      </c>
      <c r="GQ91">
        <v>1.8509</v>
      </c>
      <c r="GR91">
        <v>-3.7342300000000002E-2</v>
      </c>
      <c r="GS91">
        <v>0</v>
      </c>
      <c r="GT91">
        <v>30.6113</v>
      </c>
      <c r="GU91">
        <v>999.9</v>
      </c>
      <c r="GV91">
        <v>25.5</v>
      </c>
      <c r="GW91">
        <v>44</v>
      </c>
      <c r="GX91">
        <v>23.573799999999999</v>
      </c>
      <c r="GY91">
        <v>62.045000000000002</v>
      </c>
      <c r="GZ91">
        <v>12.007199999999999</v>
      </c>
      <c r="HA91">
        <v>1</v>
      </c>
      <c r="HB91">
        <v>0.79054899999999995</v>
      </c>
      <c r="HC91">
        <v>6.0364500000000003</v>
      </c>
      <c r="HD91">
        <v>20.196200000000001</v>
      </c>
      <c r="HE91">
        <v>5.1981200000000003</v>
      </c>
      <c r="HF91">
        <v>11.9435</v>
      </c>
      <c r="HG91">
        <v>4.9833999999999996</v>
      </c>
      <c r="HH91">
        <v>3.2879</v>
      </c>
      <c r="HI91">
        <v>9999</v>
      </c>
      <c r="HJ91">
        <v>9999</v>
      </c>
      <c r="HK91">
        <v>9999</v>
      </c>
      <c r="HL91">
        <v>999.9</v>
      </c>
      <c r="HM91">
        <v>1.8705400000000001</v>
      </c>
      <c r="HN91">
        <v>1.8766700000000001</v>
      </c>
      <c r="HO91">
        <v>1.87439</v>
      </c>
      <c r="HP91">
        <v>1.8727100000000001</v>
      </c>
      <c r="HQ91">
        <v>1.87317</v>
      </c>
      <c r="HR91">
        <v>1.8705700000000001</v>
      </c>
      <c r="HS91">
        <v>1.8763700000000001</v>
      </c>
      <c r="HT91">
        <v>1.87554</v>
      </c>
      <c r="HU91">
        <v>5</v>
      </c>
      <c r="HV91">
        <v>0</v>
      </c>
      <c r="HW91">
        <v>0</v>
      </c>
      <c r="HX91">
        <v>0</v>
      </c>
      <c r="HY91" t="s">
        <v>417</v>
      </c>
      <c r="HZ91" t="s">
        <v>418</v>
      </c>
      <c r="IA91" t="s">
        <v>419</v>
      </c>
      <c r="IB91" t="s">
        <v>420</v>
      </c>
      <c r="IC91" t="s">
        <v>420</v>
      </c>
      <c r="ID91" t="s">
        <v>419</v>
      </c>
      <c r="IE91">
        <v>0</v>
      </c>
      <c r="IF91">
        <v>100</v>
      </c>
      <c r="IG91">
        <v>100</v>
      </c>
      <c r="IH91">
        <v>-0.29199999999999998</v>
      </c>
      <c r="II91">
        <v>0.32579999999999998</v>
      </c>
      <c r="IJ91">
        <v>-0.20057715818122529</v>
      </c>
      <c r="IK91">
        <v>-1.615681629159814E-3</v>
      </c>
      <c r="IL91">
        <v>1.5005605225991581E-6</v>
      </c>
      <c r="IM91">
        <v>-5.1143626075267638E-10</v>
      </c>
      <c r="IN91">
        <v>-0.18478973796210629</v>
      </c>
      <c r="IO91">
        <v>-1.7182111142928099E-3</v>
      </c>
      <c r="IP91">
        <v>9.9985895407488957E-4</v>
      </c>
      <c r="IQ91">
        <v>-5.7750407166627208E-6</v>
      </c>
      <c r="IR91">
        <v>3</v>
      </c>
      <c r="IS91">
        <v>2181</v>
      </c>
      <c r="IT91">
        <v>2</v>
      </c>
      <c r="IU91">
        <v>42</v>
      </c>
      <c r="IV91">
        <v>0.8</v>
      </c>
      <c r="IW91">
        <v>0.5</v>
      </c>
      <c r="IX91">
        <v>0.28808600000000001</v>
      </c>
      <c r="IY91">
        <v>2.5830099999999998</v>
      </c>
      <c r="IZ91">
        <v>1.5991200000000001</v>
      </c>
      <c r="JA91">
        <v>2.2668499999999998</v>
      </c>
      <c r="JB91">
        <v>1.5502899999999999</v>
      </c>
      <c r="JC91">
        <v>2.2705099999999998</v>
      </c>
      <c r="JD91">
        <v>45.261899999999997</v>
      </c>
      <c r="JE91">
        <v>15.138999999999999</v>
      </c>
      <c r="JF91">
        <v>18</v>
      </c>
      <c r="JG91">
        <v>499.90100000000001</v>
      </c>
      <c r="JH91">
        <v>438.505</v>
      </c>
      <c r="JI91">
        <v>23.076899999999998</v>
      </c>
      <c r="JJ91">
        <v>36.799799999999998</v>
      </c>
      <c r="JK91">
        <v>30.0001</v>
      </c>
      <c r="JL91">
        <v>36.739400000000003</v>
      </c>
      <c r="JM91">
        <v>36.692399999999999</v>
      </c>
      <c r="JN91">
        <v>5.8086500000000001</v>
      </c>
      <c r="JO91">
        <v>26.5776</v>
      </c>
      <c r="JP91">
        <v>3.2622800000000001</v>
      </c>
      <c r="JQ91">
        <v>23.0733</v>
      </c>
      <c r="JR91">
        <v>70</v>
      </c>
      <c r="JS91">
        <v>18.7806</v>
      </c>
      <c r="JT91">
        <v>98.522800000000004</v>
      </c>
      <c r="JU91">
        <v>98.122399999999999</v>
      </c>
    </row>
    <row r="92" spans="1:281" x14ac:dyDescent="0.25">
      <c r="A92">
        <v>76</v>
      </c>
      <c r="B92">
        <v>1691182718.5</v>
      </c>
      <c r="C92">
        <v>22987.900000095371</v>
      </c>
      <c r="D92" t="s">
        <v>805</v>
      </c>
      <c r="E92" t="s">
        <v>806</v>
      </c>
      <c r="F92" t="s">
        <v>411</v>
      </c>
      <c r="G92" t="s">
        <v>31</v>
      </c>
      <c r="H92" t="s">
        <v>412</v>
      </c>
      <c r="I92" t="s">
        <v>781</v>
      </c>
      <c r="J92">
        <v>1691182718.5</v>
      </c>
      <c r="K92">
        <f t="shared" si="92"/>
        <v>6.1719170442913448E-3</v>
      </c>
      <c r="L92">
        <f t="shared" si="93"/>
        <v>6.1719170442913445</v>
      </c>
      <c r="M92">
        <f t="shared" si="94"/>
        <v>3.7677834953778939</v>
      </c>
      <c r="N92">
        <f t="shared" si="95"/>
        <v>25.348199999999999</v>
      </c>
      <c r="O92">
        <f t="shared" si="96"/>
        <v>7.6983278798318935</v>
      </c>
      <c r="P92">
        <f t="shared" si="97"/>
        <v>0.76289440977800849</v>
      </c>
      <c r="Q92">
        <f t="shared" si="98"/>
        <v>2.5119740779808399</v>
      </c>
      <c r="R92">
        <f t="shared" si="99"/>
        <v>0.37204367016341178</v>
      </c>
      <c r="S92">
        <f t="shared" si="100"/>
        <v>2.909305926281549</v>
      </c>
      <c r="T92">
        <f t="shared" si="101"/>
        <v>0.34748915446101808</v>
      </c>
      <c r="U92">
        <f t="shared" si="102"/>
        <v>0.21925165708674427</v>
      </c>
      <c r="V92">
        <f t="shared" si="103"/>
        <v>289.55267101274211</v>
      </c>
      <c r="W92">
        <f t="shared" si="104"/>
        <v>30.029294200480965</v>
      </c>
      <c r="X92">
        <f t="shared" si="105"/>
        <v>30.0258</v>
      </c>
      <c r="Y92">
        <f t="shared" si="106"/>
        <v>4.2667675429518424</v>
      </c>
      <c r="Z92">
        <f t="shared" si="107"/>
        <v>60.514738887725429</v>
      </c>
      <c r="AA92">
        <f t="shared" si="108"/>
        <v>2.5673207109785396</v>
      </c>
      <c r="AB92">
        <f t="shared" si="109"/>
        <v>4.2424717650054751</v>
      </c>
      <c r="AC92">
        <f t="shared" si="110"/>
        <v>1.6994468319733027</v>
      </c>
      <c r="AD92">
        <f t="shared" si="111"/>
        <v>-272.1815416532483</v>
      </c>
      <c r="AE92">
        <f t="shared" si="112"/>
        <v>-15.59054220911036</v>
      </c>
      <c r="AF92">
        <f t="shared" si="113"/>
        <v>-1.191264390642425</v>
      </c>
      <c r="AG92">
        <f t="shared" si="114"/>
        <v>0.58932275974104442</v>
      </c>
      <c r="AH92">
        <v>1</v>
      </c>
      <c r="AI92">
        <v>0</v>
      </c>
      <c r="AJ92">
        <f t="shared" si="115"/>
        <v>1</v>
      </c>
      <c r="AK92">
        <f t="shared" si="116"/>
        <v>0</v>
      </c>
      <c r="AL92">
        <f t="shared" si="117"/>
        <v>51767.566665112165</v>
      </c>
      <c r="AM92" t="s">
        <v>414</v>
      </c>
      <c r="AN92">
        <v>7361.72</v>
      </c>
      <c r="AO92">
        <v>541.39076923076925</v>
      </c>
      <c r="AP92">
        <v>2141.9899999999998</v>
      </c>
      <c r="AQ92">
        <f t="shared" si="118"/>
        <v>0.74724869433061347</v>
      </c>
      <c r="AR92">
        <v>-0.96077199609010144</v>
      </c>
      <c r="AS92" t="s">
        <v>807</v>
      </c>
      <c r="AT92">
        <v>7341.15</v>
      </c>
      <c r="AU92">
        <v>746.56519230769243</v>
      </c>
      <c r="AV92">
        <v>802.61768698745232</v>
      </c>
      <c r="AW92">
        <f t="shared" si="119"/>
        <v>6.9837103752531937E-2</v>
      </c>
      <c r="AX92">
        <v>0.5</v>
      </c>
      <c r="AY92">
        <f t="shared" si="120"/>
        <v>1513.0791000066019</v>
      </c>
      <c r="AZ92">
        <f t="shared" si="121"/>
        <v>3.7677834953778939</v>
      </c>
      <c r="BA92">
        <f t="shared" si="122"/>
        <v>52.834531046474353</v>
      </c>
      <c r="BB92">
        <f t="shared" si="123"/>
        <v>3.1251211463084534E-3</v>
      </c>
      <c r="BC92">
        <f t="shared" si="124"/>
        <v>1.6687550433130269</v>
      </c>
      <c r="BD92">
        <f t="shared" si="125"/>
        <v>380.78378027760692</v>
      </c>
      <c r="BE92" t="s">
        <v>808</v>
      </c>
      <c r="BF92">
        <v>614.75</v>
      </c>
      <c r="BG92">
        <f t="shared" si="126"/>
        <v>614.75</v>
      </c>
      <c r="BH92">
        <f t="shared" si="127"/>
        <v>0.23406871046238154</v>
      </c>
      <c r="BI92">
        <f t="shared" si="128"/>
        <v>0.2983615521039743</v>
      </c>
      <c r="BJ92">
        <f t="shared" si="129"/>
        <v>0.87698875946972821</v>
      </c>
      <c r="BK92">
        <f t="shared" si="130"/>
        <v>0.21457396183026348</v>
      </c>
      <c r="BL92">
        <f t="shared" si="131"/>
        <v>0.83679430007526612</v>
      </c>
      <c r="BM92">
        <f t="shared" si="132"/>
        <v>0.24568218026473923</v>
      </c>
      <c r="BN92">
        <f t="shared" si="133"/>
        <v>0.7543178197352608</v>
      </c>
      <c r="BO92">
        <v>1581</v>
      </c>
      <c r="BP92">
        <v>290.00000000000011</v>
      </c>
      <c r="BQ92">
        <v>785.71</v>
      </c>
      <c r="BR92">
        <v>155</v>
      </c>
      <c r="BS92">
        <v>7341.15</v>
      </c>
      <c r="BT92">
        <v>784.77</v>
      </c>
      <c r="BU92">
        <v>0.94</v>
      </c>
      <c r="BV92">
        <v>300.00000000000011</v>
      </c>
      <c r="BW92">
        <v>37.9</v>
      </c>
      <c r="BX92">
        <v>802.61768698745232</v>
      </c>
      <c r="BY92">
        <v>1.255438022386298</v>
      </c>
      <c r="BZ92">
        <v>-13.098858951958061</v>
      </c>
      <c r="CA92">
        <v>0.77173560985376921</v>
      </c>
      <c r="CB92">
        <v>0.9114179441987762</v>
      </c>
      <c r="CC92">
        <v>-7.2242700778642841E-3</v>
      </c>
      <c r="CD92">
        <v>289.99999999999989</v>
      </c>
      <c r="CE92">
        <v>783.51</v>
      </c>
      <c r="CF92">
        <v>745</v>
      </c>
      <c r="CG92">
        <v>7324.94</v>
      </c>
      <c r="CH92">
        <v>784.74</v>
      </c>
      <c r="CI92">
        <v>-1.23</v>
      </c>
      <c r="CW92">
        <f t="shared" si="134"/>
        <v>1799.87</v>
      </c>
      <c r="CX92">
        <f t="shared" si="135"/>
        <v>1513.0791000066019</v>
      </c>
      <c r="CY92">
        <f t="shared" si="136"/>
        <v>0.84066021435248217</v>
      </c>
      <c r="CZ92">
        <f t="shared" si="137"/>
        <v>0.16087421370029065</v>
      </c>
      <c r="DA92">
        <v>6</v>
      </c>
      <c r="DB92">
        <v>0.5</v>
      </c>
      <c r="DC92" t="s">
        <v>415</v>
      </c>
      <c r="DD92">
        <v>2</v>
      </c>
      <c r="DE92">
        <v>1691182718.5</v>
      </c>
      <c r="DF92">
        <v>25.348199999999999</v>
      </c>
      <c r="DG92">
        <v>30.06</v>
      </c>
      <c r="DH92">
        <v>25.906700000000001</v>
      </c>
      <c r="DI92">
        <v>18.688099999999999</v>
      </c>
      <c r="DJ92">
        <v>25.730599999999999</v>
      </c>
      <c r="DK92">
        <v>25.5791</v>
      </c>
      <c r="DL92">
        <v>499.71100000000001</v>
      </c>
      <c r="DM92">
        <v>98.998999999999995</v>
      </c>
      <c r="DN92">
        <v>9.9716200000000005E-2</v>
      </c>
      <c r="DO92">
        <v>29.926400000000001</v>
      </c>
      <c r="DP92">
        <v>30.0258</v>
      </c>
      <c r="DQ92">
        <v>999.9</v>
      </c>
      <c r="DR92">
        <v>0</v>
      </c>
      <c r="DS92">
        <v>0</v>
      </c>
      <c r="DT92">
        <v>9985</v>
      </c>
      <c r="DU92">
        <v>0</v>
      </c>
      <c r="DV92">
        <v>1140.33</v>
      </c>
      <c r="DW92">
        <v>-4.7118000000000002</v>
      </c>
      <c r="DX92">
        <v>26.022400000000001</v>
      </c>
      <c r="DY92">
        <v>30.6325</v>
      </c>
      <c r="DZ92">
        <v>7.2185699999999997</v>
      </c>
      <c r="EA92">
        <v>30.06</v>
      </c>
      <c r="EB92">
        <v>18.688099999999999</v>
      </c>
      <c r="EC92">
        <v>2.56474</v>
      </c>
      <c r="ED92">
        <v>1.8501099999999999</v>
      </c>
      <c r="EE92">
        <v>21.443300000000001</v>
      </c>
      <c r="EF92">
        <v>16.216699999999999</v>
      </c>
      <c r="EG92">
        <v>1799.87</v>
      </c>
      <c r="EH92">
        <v>0.97799100000000005</v>
      </c>
      <c r="EI92">
        <v>2.2008799999999999E-2</v>
      </c>
      <c r="EJ92">
        <v>0</v>
      </c>
      <c r="EK92">
        <v>748.18499999999995</v>
      </c>
      <c r="EL92">
        <v>9.9989999999999996E-2</v>
      </c>
      <c r="EM92">
        <v>14288.5</v>
      </c>
      <c r="EN92">
        <v>16704</v>
      </c>
      <c r="EO92">
        <v>49.5</v>
      </c>
      <c r="EP92">
        <v>51.25</v>
      </c>
      <c r="EQ92">
        <v>50.5</v>
      </c>
      <c r="ER92">
        <v>50.375</v>
      </c>
      <c r="ES92">
        <v>50.5</v>
      </c>
      <c r="ET92">
        <v>1760.16</v>
      </c>
      <c r="EU92">
        <v>39.61</v>
      </c>
      <c r="EV92">
        <v>0</v>
      </c>
      <c r="EW92">
        <v>105</v>
      </c>
      <c r="EX92">
        <v>0</v>
      </c>
      <c r="EY92">
        <v>746.56519230769243</v>
      </c>
      <c r="EZ92">
        <v>4.9126495668790771</v>
      </c>
      <c r="FA92">
        <v>-134.94358948925219</v>
      </c>
      <c r="FB92">
        <v>14304.357692307691</v>
      </c>
      <c r="FC92">
        <v>15</v>
      </c>
      <c r="FD92">
        <v>1691182686</v>
      </c>
      <c r="FE92" t="s">
        <v>809</v>
      </c>
      <c r="FF92">
        <v>1691182673</v>
      </c>
      <c r="FG92">
        <v>1691182686</v>
      </c>
      <c r="FH92">
        <v>101</v>
      </c>
      <c r="FI92">
        <v>-0.14099999999999999</v>
      </c>
      <c r="FJ92">
        <v>-1E-3</v>
      </c>
      <c r="FK92">
        <v>-0.39</v>
      </c>
      <c r="FL92">
        <v>8.7999999999999995E-2</v>
      </c>
      <c r="FM92">
        <v>30</v>
      </c>
      <c r="FN92">
        <v>19</v>
      </c>
      <c r="FO92">
        <v>0.82</v>
      </c>
      <c r="FP92">
        <v>0.03</v>
      </c>
      <c r="FQ92">
        <v>3.778120244830339</v>
      </c>
      <c r="FR92">
        <v>-0.41803021306722338</v>
      </c>
      <c r="FS92">
        <v>6.6548563972399333E-2</v>
      </c>
      <c r="FT92">
        <v>1</v>
      </c>
      <c r="FU92">
        <v>0.37000723575491251</v>
      </c>
      <c r="FV92">
        <v>1.6035131687476251E-2</v>
      </c>
      <c r="FW92">
        <v>1.7298980197775541E-3</v>
      </c>
      <c r="FX92">
        <v>1</v>
      </c>
      <c r="FY92">
        <v>2</v>
      </c>
      <c r="FZ92">
        <v>2</v>
      </c>
      <c r="GA92" t="s">
        <v>416</v>
      </c>
      <c r="GB92">
        <v>2.9644499999999998</v>
      </c>
      <c r="GC92">
        <v>2.81128</v>
      </c>
      <c r="GD92">
        <v>7.3213899999999997E-3</v>
      </c>
      <c r="GE92">
        <v>8.4435299999999994E-3</v>
      </c>
      <c r="GF92">
        <v>0.123961</v>
      </c>
      <c r="GG92">
        <v>9.7947300000000001E-2</v>
      </c>
      <c r="GH92">
        <v>29132.3</v>
      </c>
      <c r="GI92">
        <v>26767.4</v>
      </c>
      <c r="GJ92">
        <v>26396.3</v>
      </c>
      <c r="GK92">
        <v>25493.1</v>
      </c>
      <c r="GL92">
        <v>31471.4</v>
      </c>
      <c r="GM92">
        <v>32470.2</v>
      </c>
      <c r="GN92">
        <v>37347</v>
      </c>
      <c r="GO92">
        <v>37805.5</v>
      </c>
      <c r="GP92">
        <v>1.8976999999999999</v>
      </c>
      <c r="GQ92">
        <v>1.851</v>
      </c>
      <c r="GR92">
        <v>-3.5345599999999998E-2</v>
      </c>
      <c r="GS92">
        <v>0</v>
      </c>
      <c r="GT92">
        <v>30.6006</v>
      </c>
      <c r="GU92">
        <v>999.9</v>
      </c>
      <c r="GV92">
        <v>25.7</v>
      </c>
      <c r="GW92">
        <v>43.8</v>
      </c>
      <c r="GX92">
        <v>23.5139</v>
      </c>
      <c r="GY92">
        <v>62.055</v>
      </c>
      <c r="GZ92">
        <v>12.1995</v>
      </c>
      <c r="HA92">
        <v>1</v>
      </c>
      <c r="HB92">
        <v>0.79329300000000003</v>
      </c>
      <c r="HC92">
        <v>6.1841999999999997</v>
      </c>
      <c r="HD92">
        <v>20.1906</v>
      </c>
      <c r="HE92">
        <v>5.2011200000000004</v>
      </c>
      <c r="HF92">
        <v>11.9435</v>
      </c>
      <c r="HG92">
        <v>4.9846000000000004</v>
      </c>
      <c r="HH92">
        <v>3.2883</v>
      </c>
      <c r="HI92">
        <v>9999</v>
      </c>
      <c r="HJ92">
        <v>9999</v>
      </c>
      <c r="HK92">
        <v>9999</v>
      </c>
      <c r="HL92">
        <v>999.9</v>
      </c>
      <c r="HM92">
        <v>1.8705499999999999</v>
      </c>
      <c r="HN92">
        <v>1.8766799999999999</v>
      </c>
      <c r="HO92">
        <v>1.8744000000000001</v>
      </c>
      <c r="HP92">
        <v>1.8727100000000001</v>
      </c>
      <c r="HQ92">
        <v>1.87314</v>
      </c>
      <c r="HR92">
        <v>1.8705700000000001</v>
      </c>
      <c r="HS92">
        <v>1.8763700000000001</v>
      </c>
      <c r="HT92">
        <v>1.8755500000000001</v>
      </c>
      <c r="HU92">
        <v>5</v>
      </c>
      <c r="HV92">
        <v>0</v>
      </c>
      <c r="HW92">
        <v>0</v>
      </c>
      <c r="HX92">
        <v>0</v>
      </c>
      <c r="HY92" t="s">
        <v>417</v>
      </c>
      <c r="HZ92" t="s">
        <v>418</v>
      </c>
      <c r="IA92" t="s">
        <v>419</v>
      </c>
      <c r="IB92" t="s">
        <v>420</v>
      </c>
      <c r="IC92" t="s">
        <v>420</v>
      </c>
      <c r="ID92" t="s">
        <v>419</v>
      </c>
      <c r="IE92">
        <v>0</v>
      </c>
      <c r="IF92">
        <v>100</v>
      </c>
      <c r="IG92">
        <v>100</v>
      </c>
      <c r="IH92">
        <v>-0.38200000000000001</v>
      </c>
      <c r="II92">
        <v>0.3276</v>
      </c>
      <c r="IJ92">
        <v>-0.34182818288132988</v>
      </c>
      <c r="IK92">
        <v>-1.615681629159814E-3</v>
      </c>
      <c r="IL92">
        <v>1.5005605225991581E-6</v>
      </c>
      <c r="IM92">
        <v>-5.1143626075267638E-10</v>
      </c>
      <c r="IN92">
        <v>-0.18598299607193169</v>
      </c>
      <c r="IO92">
        <v>-1.7182111142928099E-3</v>
      </c>
      <c r="IP92">
        <v>9.9985895407488957E-4</v>
      </c>
      <c r="IQ92">
        <v>-5.7750407166627208E-6</v>
      </c>
      <c r="IR92">
        <v>3</v>
      </c>
      <c r="IS92">
        <v>2181</v>
      </c>
      <c r="IT92">
        <v>2</v>
      </c>
      <c r="IU92">
        <v>42</v>
      </c>
      <c r="IV92">
        <v>0.8</v>
      </c>
      <c r="IW92">
        <v>0.5</v>
      </c>
      <c r="IX92">
        <v>0.20629900000000001</v>
      </c>
      <c r="IY92">
        <v>2.5903299999999998</v>
      </c>
      <c r="IZ92">
        <v>1.5991200000000001</v>
      </c>
      <c r="JA92">
        <v>2.2668499999999998</v>
      </c>
      <c r="JB92">
        <v>1.5502899999999999</v>
      </c>
      <c r="JC92">
        <v>2.4194300000000002</v>
      </c>
      <c r="JD92">
        <v>45.205100000000002</v>
      </c>
      <c r="JE92">
        <v>15.138999999999999</v>
      </c>
      <c r="JF92">
        <v>18</v>
      </c>
      <c r="JG92">
        <v>499.952</v>
      </c>
      <c r="JH92">
        <v>438.61099999999999</v>
      </c>
      <c r="JI92">
        <v>23.036000000000001</v>
      </c>
      <c r="JJ92">
        <v>36.806699999999999</v>
      </c>
      <c r="JK92">
        <v>30.000399999999999</v>
      </c>
      <c r="JL92">
        <v>36.746299999999998</v>
      </c>
      <c r="JM92">
        <v>36.699199999999998</v>
      </c>
      <c r="JN92">
        <v>4.1640899999999998</v>
      </c>
      <c r="JO92">
        <v>27.4892</v>
      </c>
      <c r="JP92">
        <v>2.9662700000000002</v>
      </c>
      <c r="JQ92">
        <v>23.035599999999999</v>
      </c>
      <c r="JR92">
        <v>30</v>
      </c>
      <c r="JS92">
        <v>18.601299999999998</v>
      </c>
      <c r="JT92">
        <v>98.521199999999993</v>
      </c>
      <c r="JU92">
        <v>98.114900000000006</v>
      </c>
    </row>
    <row r="93" spans="1:281" x14ac:dyDescent="0.25">
      <c r="A93">
        <v>77</v>
      </c>
      <c r="B93">
        <v>1691182836.5</v>
      </c>
      <c r="C93">
        <v>23105.900000095371</v>
      </c>
      <c r="D93" t="s">
        <v>810</v>
      </c>
      <c r="E93" t="s">
        <v>811</v>
      </c>
      <c r="F93" t="s">
        <v>411</v>
      </c>
      <c r="G93" t="s">
        <v>31</v>
      </c>
      <c r="H93" t="s">
        <v>412</v>
      </c>
      <c r="I93" t="s">
        <v>781</v>
      </c>
      <c r="J93">
        <v>1691182836.5</v>
      </c>
      <c r="K93">
        <f t="shared" si="92"/>
        <v>6.3848998998675298E-3</v>
      </c>
      <c r="L93">
        <f t="shared" si="93"/>
        <v>6.3848998998675297</v>
      </c>
      <c r="M93">
        <f t="shared" si="94"/>
        <v>1.1848819700465223</v>
      </c>
      <c r="N93">
        <f t="shared" si="95"/>
        <v>8.52393</v>
      </c>
      <c r="O93">
        <f t="shared" si="96"/>
        <v>3.1538978186102185</v>
      </c>
      <c r="P93">
        <f t="shared" si="97"/>
        <v>0.31254456863751029</v>
      </c>
      <c r="Q93">
        <f t="shared" si="98"/>
        <v>0.84470334112482004</v>
      </c>
      <c r="R93">
        <f t="shared" si="99"/>
        <v>0.38704996201834219</v>
      </c>
      <c r="S93">
        <f t="shared" si="100"/>
        <v>2.9127793865825842</v>
      </c>
      <c r="T93">
        <f t="shared" si="101"/>
        <v>0.36057962231207658</v>
      </c>
      <c r="U93">
        <f t="shared" si="102"/>
        <v>0.22758948356340758</v>
      </c>
      <c r="V93">
        <f t="shared" si="103"/>
        <v>289.55905501274185</v>
      </c>
      <c r="W93">
        <f t="shared" si="104"/>
        <v>29.986544440968473</v>
      </c>
      <c r="X93">
        <f t="shared" si="105"/>
        <v>29.998200000000001</v>
      </c>
      <c r="Y93">
        <f t="shared" si="106"/>
        <v>4.2600093021289194</v>
      </c>
      <c r="Z93">
        <f t="shared" si="107"/>
        <v>60.431333864794631</v>
      </c>
      <c r="AA93">
        <f t="shared" si="108"/>
        <v>2.5656835970095999</v>
      </c>
      <c r="AB93">
        <f t="shared" si="109"/>
        <v>4.2456180145715523</v>
      </c>
      <c r="AC93">
        <f t="shared" si="110"/>
        <v>1.6943257051193195</v>
      </c>
      <c r="AD93">
        <f t="shared" si="111"/>
        <v>-281.57408558415807</v>
      </c>
      <c r="AE93">
        <f t="shared" si="112"/>
        <v>-9.249288598848235</v>
      </c>
      <c r="AF93">
        <f t="shared" si="113"/>
        <v>-0.70583868212931733</v>
      </c>
      <c r="AG93">
        <f t="shared" si="114"/>
        <v>-1.9701578523937506</v>
      </c>
      <c r="AH93">
        <v>1</v>
      </c>
      <c r="AI93">
        <v>0</v>
      </c>
      <c r="AJ93">
        <f t="shared" si="115"/>
        <v>1</v>
      </c>
      <c r="AK93">
        <f t="shared" si="116"/>
        <v>0</v>
      </c>
      <c r="AL93">
        <f t="shared" si="117"/>
        <v>51864.085566735455</v>
      </c>
      <c r="AM93" t="s">
        <v>414</v>
      </c>
      <c r="AN93">
        <v>7361.72</v>
      </c>
      <c r="AO93">
        <v>541.39076923076925</v>
      </c>
      <c r="AP93">
        <v>2141.9899999999998</v>
      </c>
      <c r="AQ93">
        <f t="shared" si="118"/>
        <v>0.74724869433061347</v>
      </c>
      <c r="AR93">
        <v>-0.96077199609010144</v>
      </c>
      <c r="AS93" t="s">
        <v>812</v>
      </c>
      <c r="AT93">
        <v>7341.57</v>
      </c>
      <c r="AU93">
        <v>756.65980000000013</v>
      </c>
      <c r="AV93">
        <v>805.49763897764535</v>
      </c>
      <c r="AW93">
        <f t="shared" si="119"/>
        <v>6.0630641996209045E-2</v>
      </c>
      <c r="AX93">
        <v>0.5</v>
      </c>
      <c r="AY93">
        <f t="shared" si="120"/>
        <v>1513.1127000066022</v>
      </c>
      <c r="AZ93">
        <f t="shared" si="121"/>
        <v>1.1848819700465223</v>
      </c>
      <c r="BA93">
        <f t="shared" si="122"/>
        <v>45.870497207008775</v>
      </c>
      <c r="BB93">
        <f t="shared" si="123"/>
        <v>1.4180397574663551E-3</v>
      </c>
      <c r="BC93">
        <f t="shared" si="124"/>
        <v>1.6592132569359967</v>
      </c>
      <c r="BD93">
        <f t="shared" si="125"/>
        <v>381.43078348165062</v>
      </c>
      <c r="BE93" t="s">
        <v>813</v>
      </c>
      <c r="BF93">
        <v>631.08000000000004</v>
      </c>
      <c r="BG93">
        <f t="shared" si="126"/>
        <v>631.08000000000004</v>
      </c>
      <c r="BH93">
        <f t="shared" si="127"/>
        <v>0.21653401641129555</v>
      </c>
      <c r="BI93">
        <f t="shared" si="128"/>
        <v>0.28000516039495665</v>
      </c>
      <c r="BJ93">
        <f t="shared" si="129"/>
        <v>0.88456119889494056</v>
      </c>
      <c r="BK93">
        <f t="shared" si="130"/>
        <v>0.18491695814066525</v>
      </c>
      <c r="BL93">
        <f t="shared" si="131"/>
        <v>0.83499500395239534</v>
      </c>
      <c r="BM93">
        <f t="shared" si="132"/>
        <v>0.23353382408058312</v>
      </c>
      <c r="BN93">
        <f t="shared" si="133"/>
        <v>0.7664661759194169</v>
      </c>
      <c r="BO93">
        <v>1583</v>
      </c>
      <c r="BP93">
        <v>290.00000000000011</v>
      </c>
      <c r="BQ93">
        <v>791.19</v>
      </c>
      <c r="BR93">
        <v>155</v>
      </c>
      <c r="BS93">
        <v>7341.57</v>
      </c>
      <c r="BT93">
        <v>789.83</v>
      </c>
      <c r="BU93">
        <v>1.36</v>
      </c>
      <c r="BV93">
        <v>300.00000000000011</v>
      </c>
      <c r="BW93">
        <v>37.9</v>
      </c>
      <c r="BX93">
        <v>805.49763897764535</v>
      </c>
      <c r="BY93">
        <v>1.071986888569161</v>
      </c>
      <c r="BZ93">
        <v>-11.50496243319594</v>
      </c>
      <c r="CA93">
        <v>0.65900711481277785</v>
      </c>
      <c r="CB93">
        <v>0.91586099146266142</v>
      </c>
      <c r="CC93">
        <v>-7.2247666295884271E-3</v>
      </c>
      <c r="CD93">
        <v>289.99999999999989</v>
      </c>
      <c r="CE93">
        <v>789.53</v>
      </c>
      <c r="CF93">
        <v>675</v>
      </c>
      <c r="CG93">
        <v>7327.58</v>
      </c>
      <c r="CH93">
        <v>789.8</v>
      </c>
      <c r="CI93">
        <v>-0.27</v>
      </c>
      <c r="CW93">
        <f t="shared" si="134"/>
        <v>1799.91</v>
      </c>
      <c r="CX93">
        <f t="shared" si="135"/>
        <v>1513.1127000066022</v>
      </c>
      <c r="CY93">
        <f t="shared" si="136"/>
        <v>0.84066019968031847</v>
      </c>
      <c r="CZ93">
        <f t="shared" si="137"/>
        <v>0.16087418538301462</v>
      </c>
      <c r="DA93">
        <v>6</v>
      </c>
      <c r="DB93">
        <v>0.5</v>
      </c>
      <c r="DC93" t="s">
        <v>415</v>
      </c>
      <c r="DD93">
        <v>2</v>
      </c>
      <c r="DE93">
        <v>1691182836.5</v>
      </c>
      <c r="DF93">
        <v>8.52393</v>
      </c>
      <c r="DG93">
        <v>10.0099</v>
      </c>
      <c r="DH93">
        <v>25.8904</v>
      </c>
      <c r="DI93">
        <v>18.4329</v>
      </c>
      <c r="DJ93">
        <v>8.8933599999999995</v>
      </c>
      <c r="DK93">
        <v>25.561800000000002</v>
      </c>
      <c r="DL93">
        <v>500.40300000000002</v>
      </c>
      <c r="DM93">
        <v>98.997600000000006</v>
      </c>
      <c r="DN93">
        <v>0.100274</v>
      </c>
      <c r="DO93">
        <v>29.939299999999999</v>
      </c>
      <c r="DP93">
        <v>29.998200000000001</v>
      </c>
      <c r="DQ93">
        <v>999.9</v>
      </c>
      <c r="DR93">
        <v>0</v>
      </c>
      <c r="DS93">
        <v>0</v>
      </c>
      <c r="DT93">
        <v>10005</v>
      </c>
      <c r="DU93">
        <v>0</v>
      </c>
      <c r="DV93">
        <v>1127.26</v>
      </c>
      <c r="DW93">
        <v>-1.48593</v>
      </c>
      <c r="DX93">
        <v>8.7504899999999992</v>
      </c>
      <c r="DY93">
        <v>10.197800000000001</v>
      </c>
      <c r="DZ93">
        <v>7.4574199999999999</v>
      </c>
      <c r="EA93">
        <v>10.0099</v>
      </c>
      <c r="EB93">
        <v>18.4329</v>
      </c>
      <c r="EC93">
        <v>2.5630799999999998</v>
      </c>
      <c r="ED93">
        <v>1.8248200000000001</v>
      </c>
      <c r="EE93">
        <v>21.432700000000001</v>
      </c>
      <c r="EF93">
        <v>16.001000000000001</v>
      </c>
      <c r="EG93">
        <v>1799.91</v>
      </c>
      <c r="EH93">
        <v>0.97799100000000005</v>
      </c>
      <c r="EI93">
        <v>2.2008799999999999E-2</v>
      </c>
      <c r="EJ93">
        <v>0</v>
      </c>
      <c r="EK93">
        <v>757.36</v>
      </c>
      <c r="EL93">
        <v>9.9989999999999996E-2</v>
      </c>
      <c r="EM93">
        <v>14479.5</v>
      </c>
      <c r="EN93">
        <v>16704.400000000001</v>
      </c>
      <c r="EO93">
        <v>49.5</v>
      </c>
      <c r="EP93">
        <v>51.125</v>
      </c>
      <c r="EQ93">
        <v>50.436999999999998</v>
      </c>
      <c r="ER93">
        <v>50.311999999999998</v>
      </c>
      <c r="ES93">
        <v>50.436999999999998</v>
      </c>
      <c r="ET93">
        <v>1760.2</v>
      </c>
      <c r="EU93">
        <v>39.61</v>
      </c>
      <c r="EV93">
        <v>0</v>
      </c>
      <c r="EW93">
        <v>115.7999999523163</v>
      </c>
      <c r="EX93">
        <v>0</v>
      </c>
      <c r="EY93">
        <v>756.65980000000013</v>
      </c>
      <c r="EZ93">
        <v>2.06461533122796</v>
      </c>
      <c r="FA93">
        <v>48.684615042552352</v>
      </c>
      <c r="FB93">
        <v>14471.312</v>
      </c>
      <c r="FC93">
        <v>15</v>
      </c>
      <c r="FD93">
        <v>1691182802.5</v>
      </c>
      <c r="FE93" t="s">
        <v>814</v>
      </c>
      <c r="FF93">
        <v>1691182798</v>
      </c>
      <c r="FG93">
        <v>1691182802.5</v>
      </c>
      <c r="FH93">
        <v>102</v>
      </c>
      <c r="FI93">
        <v>-1.2999999999999999E-2</v>
      </c>
      <c r="FJ93">
        <v>2E-3</v>
      </c>
      <c r="FK93">
        <v>-0.372</v>
      </c>
      <c r="FL93">
        <v>8.4000000000000005E-2</v>
      </c>
      <c r="FM93">
        <v>10</v>
      </c>
      <c r="FN93">
        <v>18</v>
      </c>
      <c r="FO93">
        <v>0.89</v>
      </c>
      <c r="FP93">
        <v>0.03</v>
      </c>
      <c r="FQ93">
        <v>1.2386129571926889</v>
      </c>
      <c r="FR93">
        <v>-0.43979386088600908</v>
      </c>
      <c r="FS93">
        <v>7.0649271988219228E-2</v>
      </c>
      <c r="FT93">
        <v>1</v>
      </c>
      <c r="FU93">
        <v>0.38616421034645337</v>
      </c>
      <c r="FV93">
        <v>3.565925386886417E-2</v>
      </c>
      <c r="FW93">
        <v>3.141818283554389E-3</v>
      </c>
      <c r="FX93">
        <v>1</v>
      </c>
      <c r="FY93">
        <v>2</v>
      </c>
      <c r="FZ93">
        <v>2</v>
      </c>
      <c r="GA93" t="s">
        <v>416</v>
      </c>
      <c r="GB93">
        <v>2.96631</v>
      </c>
      <c r="GC93">
        <v>2.8120099999999999</v>
      </c>
      <c r="GD93">
        <v>2.5308800000000001E-3</v>
      </c>
      <c r="GE93">
        <v>2.81197E-3</v>
      </c>
      <c r="GF93">
        <v>0.123903</v>
      </c>
      <c r="GG93">
        <v>9.69835E-2</v>
      </c>
      <c r="GH93">
        <v>29273.200000000001</v>
      </c>
      <c r="GI93">
        <v>26920.6</v>
      </c>
      <c r="GJ93">
        <v>26396.6</v>
      </c>
      <c r="GK93">
        <v>25494.3</v>
      </c>
      <c r="GL93">
        <v>31473.200000000001</v>
      </c>
      <c r="GM93">
        <v>32506.1</v>
      </c>
      <c r="GN93">
        <v>37347.199999999997</v>
      </c>
      <c r="GO93">
        <v>37807.4</v>
      </c>
      <c r="GP93">
        <v>1.8986000000000001</v>
      </c>
      <c r="GQ93">
        <v>1.851</v>
      </c>
      <c r="GR93">
        <v>-3.4749500000000003E-2</v>
      </c>
      <c r="GS93">
        <v>0</v>
      </c>
      <c r="GT93">
        <v>30.563400000000001</v>
      </c>
      <c r="GU93">
        <v>999.9</v>
      </c>
      <c r="GV93">
        <v>25.8</v>
      </c>
      <c r="GW93">
        <v>43.7</v>
      </c>
      <c r="GX93">
        <v>23.483599999999999</v>
      </c>
      <c r="GY93">
        <v>61.985100000000003</v>
      </c>
      <c r="GZ93">
        <v>11.822900000000001</v>
      </c>
      <c r="HA93">
        <v>1</v>
      </c>
      <c r="HB93">
        <v>0.79036600000000001</v>
      </c>
      <c r="HC93">
        <v>5.9344200000000003</v>
      </c>
      <c r="HD93">
        <v>20.201499999999999</v>
      </c>
      <c r="HE93">
        <v>5.2095000000000002</v>
      </c>
      <c r="HF93">
        <v>11.944100000000001</v>
      </c>
      <c r="HG93">
        <v>4.9870000000000001</v>
      </c>
      <c r="HH93">
        <v>3.2902999999999998</v>
      </c>
      <c r="HI93">
        <v>9999</v>
      </c>
      <c r="HJ93">
        <v>9999</v>
      </c>
      <c r="HK93">
        <v>9999</v>
      </c>
      <c r="HL93">
        <v>999.9</v>
      </c>
      <c r="HM93">
        <v>1.8705499999999999</v>
      </c>
      <c r="HN93">
        <v>1.8766700000000001</v>
      </c>
      <c r="HO93">
        <v>1.87439</v>
      </c>
      <c r="HP93">
        <v>1.87269</v>
      </c>
      <c r="HQ93">
        <v>1.87317</v>
      </c>
      <c r="HR93">
        <v>1.8705099999999999</v>
      </c>
      <c r="HS93">
        <v>1.87639</v>
      </c>
      <c r="HT93">
        <v>1.87551</v>
      </c>
      <c r="HU93">
        <v>5</v>
      </c>
      <c r="HV93">
        <v>0</v>
      </c>
      <c r="HW93">
        <v>0</v>
      </c>
      <c r="HX93">
        <v>0</v>
      </c>
      <c r="HY93" t="s">
        <v>417</v>
      </c>
      <c r="HZ93" t="s">
        <v>418</v>
      </c>
      <c r="IA93" t="s">
        <v>419</v>
      </c>
      <c r="IB93" t="s">
        <v>420</v>
      </c>
      <c r="IC93" t="s">
        <v>420</v>
      </c>
      <c r="ID93" t="s">
        <v>419</v>
      </c>
      <c r="IE93">
        <v>0</v>
      </c>
      <c r="IF93">
        <v>100</v>
      </c>
      <c r="IG93">
        <v>100</v>
      </c>
      <c r="IH93">
        <v>-0.36899999999999999</v>
      </c>
      <c r="II93">
        <v>0.3286</v>
      </c>
      <c r="IJ93">
        <v>-0.35517881479376678</v>
      </c>
      <c r="IK93">
        <v>-1.615681629159814E-3</v>
      </c>
      <c r="IL93">
        <v>1.5005605225991581E-6</v>
      </c>
      <c r="IM93">
        <v>-5.1143626075267638E-10</v>
      </c>
      <c r="IN93">
        <v>-0.1844128765067444</v>
      </c>
      <c r="IO93">
        <v>-1.7182111142928099E-3</v>
      </c>
      <c r="IP93">
        <v>9.9985895407488957E-4</v>
      </c>
      <c r="IQ93">
        <v>-5.7750407166627208E-6</v>
      </c>
      <c r="IR93">
        <v>3</v>
      </c>
      <c r="IS93">
        <v>2181</v>
      </c>
      <c r="IT93">
        <v>2</v>
      </c>
      <c r="IU93">
        <v>42</v>
      </c>
      <c r="IV93">
        <v>0.6</v>
      </c>
      <c r="IW93">
        <v>0.6</v>
      </c>
      <c r="IX93">
        <v>0.166016</v>
      </c>
      <c r="IY93">
        <v>2.6147499999999999</v>
      </c>
      <c r="IZ93">
        <v>1.6003400000000001</v>
      </c>
      <c r="JA93">
        <v>2.2680699999999998</v>
      </c>
      <c r="JB93">
        <v>1.5502899999999999</v>
      </c>
      <c r="JC93">
        <v>2.2949199999999998</v>
      </c>
      <c r="JD93">
        <v>45.120100000000001</v>
      </c>
      <c r="JE93">
        <v>15.103899999999999</v>
      </c>
      <c r="JF93">
        <v>18</v>
      </c>
      <c r="JG93">
        <v>500.46699999999998</v>
      </c>
      <c r="JH93">
        <v>438.54300000000001</v>
      </c>
      <c r="JI93">
        <v>23.162299999999998</v>
      </c>
      <c r="JJ93">
        <v>36.789499999999997</v>
      </c>
      <c r="JK93">
        <v>30</v>
      </c>
      <c r="JL93">
        <v>36.735999999999997</v>
      </c>
      <c r="JM93">
        <v>36.689</v>
      </c>
      <c r="JN93">
        <v>3.36843</v>
      </c>
      <c r="JO93">
        <v>28.292200000000001</v>
      </c>
      <c r="JP93">
        <v>2.1028799999999999</v>
      </c>
      <c r="JQ93">
        <v>23.162299999999998</v>
      </c>
      <c r="JR93">
        <v>10</v>
      </c>
      <c r="JS93">
        <v>18.389600000000002</v>
      </c>
      <c r="JT93">
        <v>98.522000000000006</v>
      </c>
      <c r="JU93">
        <v>98.119699999999995</v>
      </c>
    </row>
    <row r="94" spans="1:281" x14ac:dyDescent="0.25">
      <c r="A94">
        <v>78</v>
      </c>
      <c r="B94">
        <v>1691182994.5999999</v>
      </c>
      <c r="C94">
        <v>23264</v>
      </c>
      <c r="D94" t="s">
        <v>815</v>
      </c>
      <c r="E94" t="s">
        <v>816</v>
      </c>
      <c r="F94" t="s">
        <v>411</v>
      </c>
      <c r="G94" t="s">
        <v>31</v>
      </c>
      <c r="H94" t="s">
        <v>412</v>
      </c>
      <c r="I94" t="s">
        <v>781</v>
      </c>
      <c r="J94">
        <v>1691182994.5999999</v>
      </c>
      <c r="K94">
        <f t="shared" si="92"/>
        <v>6.0014333668637456E-3</v>
      </c>
      <c r="L94">
        <f t="shared" si="93"/>
        <v>6.0014333668637452</v>
      </c>
      <c r="M94">
        <f t="shared" si="94"/>
        <v>38.517978717055925</v>
      </c>
      <c r="N94">
        <f t="shared" si="95"/>
        <v>351.245</v>
      </c>
      <c r="O94">
        <f t="shared" si="96"/>
        <v>160.40575877054894</v>
      </c>
      <c r="P94">
        <f t="shared" si="97"/>
        <v>15.896405587158306</v>
      </c>
      <c r="Q94">
        <f t="shared" si="98"/>
        <v>34.808806262674999</v>
      </c>
      <c r="R94">
        <f t="shared" si="99"/>
        <v>0.35521905520625274</v>
      </c>
      <c r="S94">
        <f t="shared" si="100"/>
        <v>2.9102197561570824</v>
      </c>
      <c r="T94">
        <f t="shared" si="101"/>
        <v>0.33276982844446301</v>
      </c>
      <c r="U94">
        <f t="shared" si="102"/>
        <v>0.20987977853481482</v>
      </c>
      <c r="V94">
        <f t="shared" si="103"/>
        <v>289.56384301274164</v>
      </c>
      <c r="W94">
        <f t="shared" si="104"/>
        <v>30.099747897879926</v>
      </c>
      <c r="X94">
        <f t="shared" si="105"/>
        <v>30.034300000000002</v>
      </c>
      <c r="Y94">
        <f t="shared" si="106"/>
        <v>4.2688507662455688</v>
      </c>
      <c r="Z94">
        <f t="shared" si="107"/>
        <v>59.852478526223393</v>
      </c>
      <c r="AA94">
        <f t="shared" si="108"/>
        <v>2.5430065477505002</v>
      </c>
      <c r="AB94">
        <f t="shared" si="109"/>
        <v>4.2487907107076994</v>
      </c>
      <c r="AC94">
        <f t="shared" si="110"/>
        <v>1.7258442184950686</v>
      </c>
      <c r="AD94">
        <f t="shared" si="111"/>
        <v>-264.66321147869115</v>
      </c>
      <c r="AE94">
        <f t="shared" si="112"/>
        <v>-12.865452934503248</v>
      </c>
      <c r="AF94">
        <f t="shared" si="113"/>
        <v>-0.98290057032161982</v>
      </c>
      <c r="AG94">
        <f t="shared" si="114"/>
        <v>11.052278029225596</v>
      </c>
      <c r="AH94">
        <v>1</v>
      </c>
      <c r="AI94">
        <v>0</v>
      </c>
      <c r="AJ94">
        <f t="shared" si="115"/>
        <v>1</v>
      </c>
      <c r="AK94">
        <f t="shared" si="116"/>
        <v>0</v>
      </c>
      <c r="AL94">
        <f t="shared" si="117"/>
        <v>51789.160375039042</v>
      </c>
      <c r="AM94" t="s">
        <v>414</v>
      </c>
      <c r="AN94">
        <v>7361.72</v>
      </c>
      <c r="AO94">
        <v>541.39076923076925</v>
      </c>
      <c r="AP94">
        <v>2141.9899999999998</v>
      </c>
      <c r="AQ94">
        <f t="shared" si="118"/>
        <v>0.74724869433061347</v>
      </c>
      <c r="AR94">
        <v>-0.96077199609010144</v>
      </c>
      <c r="AS94" t="s">
        <v>817</v>
      </c>
      <c r="AT94">
        <v>7334.14</v>
      </c>
      <c r="AU94">
        <v>713.68653846153836</v>
      </c>
      <c r="AV94">
        <v>976.26793143652981</v>
      </c>
      <c r="AW94">
        <f t="shared" si="119"/>
        <v>0.26896447636932619</v>
      </c>
      <c r="AX94">
        <v>0.5</v>
      </c>
      <c r="AY94">
        <f t="shared" si="120"/>
        <v>1513.137900006602</v>
      </c>
      <c r="AZ94">
        <f t="shared" si="121"/>
        <v>38.517978717055925</v>
      </c>
      <c r="BA94">
        <f t="shared" si="122"/>
        <v>203.49017147492879</v>
      </c>
      <c r="BB94">
        <f t="shared" si="123"/>
        <v>2.6090649578583536E-2</v>
      </c>
      <c r="BC94">
        <f t="shared" si="124"/>
        <v>1.1940595721997831</v>
      </c>
      <c r="BD94">
        <f t="shared" si="125"/>
        <v>415.87856892142224</v>
      </c>
      <c r="BE94" t="s">
        <v>818</v>
      </c>
      <c r="BF94">
        <v>575.37</v>
      </c>
      <c r="BG94">
        <f t="shared" si="126"/>
        <v>575.37</v>
      </c>
      <c r="BH94">
        <f t="shared" si="127"/>
        <v>0.41064334751488596</v>
      </c>
      <c r="BI94">
        <f t="shared" si="128"/>
        <v>0.65498315751864478</v>
      </c>
      <c r="BJ94">
        <f t="shared" si="129"/>
        <v>0.74410008078760004</v>
      </c>
      <c r="BK94">
        <f t="shared" si="130"/>
        <v>0.6038058923194316</v>
      </c>
      <c r="BL94">
        <f t="shared" si="131"/>
        <v>0.72830352917465591</v>
      </c>
      <c r="BM94">
        <f t="shared" si="132"/>
        <v>0.52804367048014889</v>
      </c>
      <c r="BN94">
        <f t="shared" si="133"/>
        <v>0.47195632951985111</v>
      </c>
      <c r="BO94">
        <v>1585</v>
      </c>
      <c r="BP94">
        <v>290.00000000000011</v>
      </c>
      <c r="BQ94">
        <v>881.24</v>
      </c>
      <c r="BR94">
        <v>285</v>
      </c>
      <c r="BS94">
        <v>7334.14</v>
      </c>
      <c r="BT94">
        <v>883.23</v>
      </c>
      <c r="BU94">
        <v>-1.99</v>
      </c>
      <c r="BV94">
        <v>300.00000000000011</v>
      </c>
      <c r="BW94">
        <v>37.9</v>
      </c>
      <c r="BX94">
        <v>976.26793143652981</v>
      </c>
      <c r="BY94">
        <v>1.6343603840439189</v>
      </c>
      <c r="BZ94">
        <v>-68.238811611062232</v>
      </c>
      <c r="CA94">
        <v>1.0048611733221919</v>
      </c>
      <c r="CB94">
        <v>0.9939649852077248</v>
      </c>
      <c r="CC94">
        <v>-7.2262698553948812E-3</v>
      </c>
      <c r="CD94">
        <v>289.99999999999989</v>
      </c>
      <c r="CE94">
        <v>872.16</v>
      </c>
      <c r="CF94">
        <v>645</v>
      </c>
      <c r="CG94">
        <v>7329.7</v>
      </c>
      <c r="CH94">
        <v>883.17</v>
      </c>
      <c r="CI94">
        <v>-11.01</v>
      </c>
      <c r="CW94">
        <f t="shared" si="134"/>
        <v>1799.94</v>
      </c>
      <c r="CX94">
        <f t="shared" si="135"/>
        <v>1513.137900006602</v>
      </c>
      <c r="CY94">
        <f t="shared" si="136"/>
        <v>0.84066018867662362</v>
      </c>
      <c r="CZ94">
        <f t="shared" si="137"/>
        <v>0.16087416414588354</v>
      </c>
      <c r="DA94">
        <v>6</v>
      </c>
      <c r="DB94">
        <v>0.5</v>
      </c>
      <c r="DC94" t="s">
        <v>415</v>
      </c>
      <c r="DD94">
        <v>2</v>
      </c>
      <c r="DE94">
        <v>1691182994.5999999</v>
      </c>
      <c r="DF94">
        <v>351.245</v>
      </c>
      <c r="DG94">
        <v>399.971</v>
      </c>
      <c r="DH94">
        <v>25.660699999999999</v>
      </c>
      <c r="DI94">
        <v>18.647400000000001</v>
      </c>
      <c r="DJ94">
        <v>351.8</v>
      </c>
      <c r="DK94">
        <v>25.343800000000002</v>
      </c>
      <c r="DL94">
        <v>500.25799999999998</v>
      </c>
      <c r="DM94">
        <v>99.001199999999997</v>
      </c>
      <c r="DN94">
        <v>0.10001500000000001</v>
      </c>
      <c r="DO94">
        <v>29.952300000000001</v>
      </c>
      <c r="DP94">
        <v>30.034300000000002</v>
      </c>
      <c r="DQ94">
        <v>999.9</v>
      </c>
      <c r="DR94">
        <v>0</v>
      </c>
      <c r="DS94">
        <v>0</v>
      </c>
      <c r="DT94">
        <v>9990</v>
      </c>
      <c r="DU94">
        <v>0</v>
      </c>
      <c r="DV94">
        <v>1100.21</v>
      </c>
      <c r="DW94">
        <v>-48.726100000000002</v>
      </c>
      <c r="DX94">
        <v>360.49599999999998</v>
      </c>
      <c r="DY94">
        <v>407.57100000000003</v>
      </c>
      <c r="DZ94">
        <v>7.0132899999999996</v>
      </c>
      <c r="EA94">
        <v>399.971</v>
      </c>
      <c r="EB94">
        <v>18.647400000000001</v>
      </c>
      <c r="EC94">
        <v>2.5404399999999998</v>
      </c>
      <c r="ED94">
        <v>1.84612</v>
      </c>
      <c r="EE94">
        <v>21.2879</v>
      </c>
      <c r="EF94">
        <v>16.1828</v>
      </c>
      <c r="EG94">
        <v>1799.94</v>
      </c>
      <c r="EH94">
        <v>0.97799100000000005</v>
      </c>
      <c r="EI94">
        <v>2.2008799999999999E-2</v>
      </c>
      <c r="EJ94">
        <v>0</v>
      </c>
      <c r="EK94">
        <v>711.38499999999999</v>
      </c>
      <c r="EL94">
        <v>9.9989999999999996E-2</v>
      </c>
      <c r="EM94">
        <v>13690.8</v>
      </c>
      <c r="EN94">
        <v>16704.7</v>
      </c>
      <c r="EO94">
        <v>49.375</v>
      </c>
      <c r="EP94">
        <v>51.125</v>
      </c>
      <c r="EQ94">
        <v>50.436999999999998</v>
      </c>
      <c r="ER94">
        <v>50.25</v>
      </c>
      <c r="ES94">
        <v>50.375</v>
      </c>
      <c r="ET94">
        <v>1760.23</v>
      </c>
      <c r="EU94">
        <v>39.61</v>
      </c>
      <c r="EV94">
        <v>0</v>
      </c>
      <c r="EW94">
        <v>155.5999999046326</v>
      </c>
      <c r="EX94">
        <v>0</v>
      </c>
      <c r="EY94">
        <v>713.68653846153836</v>
      </c>
      <c r="EZ94">
        <v>-19.325470161547429</v>
      </c>
      <c r="FA94">
        <v>-272.08888901476308</v>
      </c>
      <c r="FB94">
        <v>13725.869230769231</v>
      </c>
      <c r="FC94">
        <v>15</v>
      </c>
      <c r="FD94">
        <v>1691182919.5</v>
      </c>
      <c r="FE94" t="s">
        <v>819</v>
      </c>
      <c r="FF94">
        <v>1691182910.5</v>
      </c>
      <c r="FG94">
        <v>1691182919.5</v>
      </c>
      <c r="FH94">
        <v>103</v>
      </c>
      <c r="FI94">
        <v>0.20599999999999999</v>
      </c>
      <c r="FJ94">
        <v>-3.0000000000000001E-3</v>
      </c>
      <c r="FK94">
        <v>-0.58899999999999997</v>
      </c>
      <c r="FL94">
        <v>7.8E-2</v>
      </c>
      <c r="FM94">
        <v>400</v>
      </c>
      <c r="FN94">
        <v>18</v>
      </c>
      <c r="FO94">
        <v>0.21</v>
      </c>
      <c r="FP94">
        <v>0.03</v>
      </c>
      <c r="FQ94">
        <v>38.45288197567843</v>
      </c>
      <c r="FR94">
        <v>0.50869887168275307</v>
      </c>
      <c r="FS94">
        <v>9.0004828455807373E-2</v>
      </c>
      <c r="FT94">
        <v>1</v>
      </c>
      <c r="FU94">
        <v>0.36228026057148288</v>
      </c>
      <c r="FV94">
        <v>-1.6605180501390759E-2</v>
      </c>
      <c r="FW94">
        <v>1.4746637269970569E-3</v>
      </c>
      <c r="FX94">
        <v>1</v>
      </c>
      <c r="FY94">
        <v>2</v>
      </c>
      <c r="FZ94">
        <v>2</v>
      </c>
      <c r="GA94" t="s">
        <v>416</v>
      </c>
      <c r="GB94">
        <v>2.9659900000000001</v>
      </c>
      <c r="GC94">
        <v>2.81162</v>
      </c>
      <c r="GD94">
        <v>8.6181599999999997E-2</v>
      </c>
      <c r="GE94">
        <v>9.4274899999999995E-2</v>
      </c>
      <c r="GF94">
        <v>0.12317400000000001</v>
      </c>
      <c r="GG94">
        <v>9.7809900000000005E-2</v>
      </c>
      <c r="GH94">
        <v>26821.8</v>
      </c>
      <c r="GI94">
        <v>24453.5</v>
      </c>
      <c r="GJ94">
        <v>26399.5</v>
      </c>
      <c r="GK94">
        <v>25496.7</v>
      </c>
      <c r="GL94">
        <v>31508.6</v>
      </c>
      <c r="GM94">
        <v>32486.5</v>
      </c>
      <c r="GN94">
        <v>37351.599999999999</v>
      </c>
      <c r="GO94">
        <v>37811.699999999997</v>
      </c>
      <c r="GP94">
        <v>1.9</v>
      </c>
      <c r="GQ94">
        <v>1.8549</v>
      </c>
      <c r="GR94">
        <v>-3.3676600000000001E-2</v>
      </c>
      <c r="GS94">
        <v>0</v>
      </c>
      <c r="GT94">
        <v>30.582000000000001</v>
      </c>
      <c r="GU94">
        <v>999.9</v>
      </c>
      <c r="GV94">
        <v>26</v>
      </c>
      <c r="GW94">
        <v>43.5</v>
      </c>
      <c r="GX94">
        <v>23.420500000000001</v>
      </c>
      <c r="GY94">
        <v>62.014200000000002</v>
      </c>
      <c r="GZ94">
        <v>12.415900000000001</v>
      </c>
      <c r="HA94">
        <v>1</v>
      </c>
      <c r="HB94">
        <v>0.78459400000000001</v>
      </c>
      <c r="HC94">
        <v>6.1631799999999997</v>
      </c>
      <c r="HD94">
        <v>20.194199999999999</v>
      </c>
      <c r="HE94">
        <v>5.2112999999999996</v>
      </c>
      <c r="HF94">
        <v>11.944100000000001</v>
      </c>
      <c r="HG94">
        <v>4.9875999999999996</v>
      </c>
      <c r="HH94">
        <v>3.2907000000000002</v>
      </c>
      <c r="HI94">
        <v>9999</v>
      </c>
      <c r="HJ94">
        <v>9999</v>
      </c>
      <c r="HK94">
        <v>9999</v>
      </c>
      <c r="HL94">
        <v>999.9</v>
      </c>
      <c r="HM94">
        <v>1.8705700000000001</v>
      </c>
      <c r="HN94">
        <v>1.87662</v>
      </c>
      <c r="HO94">
        <v>1.8744000000000001</v>
      </c>
      <c r="HP94">
        <v>1.8726499999999999</v>
      </c>
      <c r="HQ94">
        <v>1.87317</v>
      </c>
      <c r="HR94">
        <v>1.8705700000000001</v>
      </c>
      <c r="HS94">
        <v>1.8763700000000001</v>
      </c>
      <c r="HT94">
        <v>1.8754599999999999</v>
      </c>
      <c r="HU94">
        <v>5</v>
      </c>
      <c r="HV94">
        <v>0</v>
      </c>
      <c r="HW94">
        <v>0</v>
      </c>
      <c r="HX94">
        <v>0</v>
      </c>
      <c r="HY94" t="s">
        <v>417</v>
      </c>
      <c r="HZ94" t="s">
        <v>418</v>
      </c>
      <c r="IA94" t="s">
        <v>419</v>
      </c>
      <c r="IB94" t="s">
        <v>420</v>
      </c>
      <c r="IC94" t="s">
        <v>420</v>
      </c>
      <c r="ID94" t="s">
        <v>419</v>
      </c>
      <c r="IE94">
        <v>0</v>
      </c>
      <c r="IF94">
        <v>100</v>
      </c>
      <c r="IG94">
        <v>100</v>
      </c>
      <c r="IH94">
        <v>-0.55500000000000005</v>
      </c>
      <c r="II94">
        <v>0.31690000000000002</v>
      </c>
      <c r="IJ94">
        <v>-0.1495540670396342</v>
      </c>
      <c r="IK94">
        <v>-1.615681629159814E-3</v>
      </c>
      <c r="IL94">
        <v>1.5005605225991581E-6</v>
      </c>
      <c r="IM94">
        <v>-5.1143626075267638E-10</v>
      </c>
      <c r="IN94">
        <v>-0.18774119104687381</v>
      </c>
      <c r="IO94">
        <v>-1.7182111142928099E-3</v>
      </c>
      <c r="IP94">
        <v>9.9985895407488957E-4</v>
      </c>
      <c r="IQ94">
        <v>-5.7750407166627208E-6</v>
      </c>
      <c r="IR94">
        <v>3</v>
      </c>
      <c r="IS94">
        <v>2181</v>
      </c>
      <c r="IT94">
        <v>2</v>
      </c>
      <c r="IU94">
        <v>42</v>
      </c>
      <c r="IV94">
        <v>1.4</v>
      </c>
      <c r="IW94">
        <v>1.3</v>
      </c>
      <c r="IX94">
        <v>0.95703099999999997</v>
      </c>
      <c r="IY94">
        <v>2.5500500000000001</v>
      </c>
      <c r="IZ94">
        <v>1.5991200000000001</v>
      </c>
      <c r="JA94">
        <v>2.2680699999999998</v>
      </c>
      <c r="JB94">
        <v>1.5502899999999999</v>
      </c>
      <c r="JC94">
        <v>2.36084</v>
      </c>
      <c r="JD94">
        <v>45.035200000000003</v>
      </c>
      <c r="JE94">
        <v>15.068899999999999</v>
      </c>
      <c r="JF94">
        <v>18</v>
      </c>
      <c r="JG94">
        <v>500.988</v>
      </c>
      <c r="JH94">
        <v>440.61099999999999</v>
      </c>
      <c r="JI94">
        <v>22.980399999999999</v>
      </c>
      <c r="JJ94">
        <v>36.717199999999998</v>
      </c>
      <c r="JK94">
        <v>29.999700000000001</v>
      </c>
      <c r="JL94">
        <v>36.681100000000001</v>
      </c>
      <c r="JM94">
        <v>36.637900000000002</v>
      </c>
      <c r="JN94">
        <v>19.186599999999999</v>
      </c>
      <c r="JO94">
        <v>27.520299999999999</v>
      </c>
      <c r="JP94">
        <v>1.47159</v>
      </c>
      <c r="JQ94">
        <v>22.960799999999999</v>
      </c>
      <c r="JR94">
        <v>400</v>
      </c>
      <c r="JS94">
        <v>18.721699999999998</v>
      </c>
      <c r="JT94">
        <v>98.533500000000004</v>
      </c>
      <c r="JU94">
        <v>98.13</v>
      </c>
    </row>
    <row r="95" spans="1:281" x14ac:dyDescent="0.25">
      <c r="A95">
        <v>79</v>
      </c>
      <c r="B95">
        <v>1691183184.0999999</v>
      </c>
      <c r="C95">
        <v>23453.5</v>
      </c>
      <c r="D95" t="s">
        <v>820</v>
      </c>
      <c r="E95" t="s">
        <v>821</v>
      </c>
      <c r="F95" t="s">
        <v>411</v>
      </c>
      <c r="G95" t="s">
        <v>31</v>
      </c>
      <c r="H95" t="s">
        <v>412</v>
      </c>
      <c r="I95" t="s">
        <v>781</v>
      </c>
      <c r="J95">
        <v>1691183184.0999999</v>
      </c>
      <c r="K95">
        <f t="shared" si="92"/>
        <v>5.3737106390542196E-3</v>
      </c>
      <c r="L95">
        <f t="shared" si="93"/>
        <v>5.3737106390542193</v>
      </c>
      <c r="M95">
        <f t="shared" si="94"/>
        <v>43.297011289066077</v>
      </c>
      <c r="N95">
        <f t="shared" si="95"/>
        <v>345.81400000000002</v>
      </c>
      <c r="O95">
        <f t="shared" si="96"/>
        <v>108.11212161329939</v>
      </c>
      <c r="P95">
        <f t="shared" si="97"/>
        <v>10.714928262605987</v>
      </c>
      <c r="Q95">
        <f t="shared" si="98"/>
        <v>34.273420472298007</v>
      </c>
      <c r="R95">
        <f t="shared" si="99"/>
        <v>0.31499013503628071</v>
      </c>
      <c r="S95">
        <f t="shared" si="100"/>
        <v>2.9147352247556073</v>
      </c>
      <c r="T95">
        <f t="shared" si="101"/>
        <v>0.29722703586333055</v>
      </c>
      <c r="U95">
        <f t="shared" si="102"/>
        <v>0.18727931561051467</v>
      </c>
      <c r="V95">
        <f t="shared" si="103"/>
        <v>289.58141175367456</v>
      </c>
      <c r="W95">
        <f t="shared" si="104"/>
        <v>30.121455565217364</v>
      </c>
      <c r="X95">
        <f t="shared" si="105"/>
        <v>30.0093</v>
      </c>
      <c r="Y95">
        <f t="shared" si="106"/>
        <v>4.262726167958145</v>
      </c>
      <c r="Z95">
        <f t="shared" si="107"/>
        <v>60.088797524460404</v>
      </c>
      <c r="AA95">
        <f t="shared" si="108"/>
        <v>2.5323048144942</v>
      </c>
      <c r="AB95">
        <f t="shared" si="109"/>
        <v>4.214271076839859</v>
      </c>
      <c r="AC95">
        <f t="shared" si="110"/>
        <v>1.730421353463945</v>
      </c>
      <c r="AD95">
        <f t="shared" si="111"/>
        <v>-236.98063918229107</v>
      </c>
      <c r="AE95">
        <f t="shared" si="112"/>
        <v>-31.254987961423868</v>
      </c>
      <c r="AF95">
        <f t="shared" si="113"/>
        <v>-2.3821640641802846</v>
      </c>
      <c r="AG95">
        <f t="shared" si="114"/>
        <v>18.963620545779317</v>
      </c>
      <c r="AH95">
        <v>1</v>
      </c>
      <c r="AI95">
        <v>0</v>
      </c>
      <c r="AJ95">
        <f t="shared" si="115"/>
        <v>1</v>
      </c>
      <c r="AK95">
        <f t="shared" si="116"/>
        <v>0</v>
      </c>
      <c r="AL95">
        <f t="shared" si="117"/>
        <v>51942.080567690609</v>
      </c>
      <c r="AM95" t="s">
        <v>414</v>
      </c>
      <c r="AN95">
        <v>7361.72</v>
      </c>
      <c r="AO95">
        <v>541.39076923076925</v>
      </c>
      <c r="AP95">
        <v>2141.9899999999998</v>
      </c>
      <c r="AQ95">
        <f t="shared" si="118"/>
        <v>0.74724869433061347</v>
      </c>
      <c r="AR95">
        <v>-0.96077199609010144</v>
      </c>
      <c r="AS95" t="s">
        <v>822</v>
      </c>
      <c r="AT95">
        <v>7334.35</v>
      </c>
      <c r="AU95">
        <v>725.15579999999989</v>
      </c>
      <c r="AV95">
        <v>1031.4287377314799</v>
      </c>
      <c r="AW95">
        <f t="shared" si="119"/>
        <v>0.29694047346896257</v>
      </c>
      <c r="AX95">
        <v>0.5</v>
      </c>
      <c r="AY95">
        <f t="shared" si="120"/>
        <v>1513.2303066081215</v>
      </c>
      <c r="AZ95">
        <f t="shared" si="121"/>
        <v>43.297011289066077</v>
      </c>
      <c r="BA95">
        <f t="shared" si="122"/>
        <v>224.66966185589951</v>
      </c>
      <c r="BB95">
        <f t="shared" si="123"/>
        <v>2.9247222377114031E-2</v>
      </c>
      <c r="BC95">
        <f t="shared" si="124"/>
        <v>1.0767212718069923</v>
      </c>
      <c r="BD95">
        <f t="shared" si="125"/>
        <v>425.5739282454839</v>
      </c>
      <c r="BE95" t="s">
        <v>823</v>
      </c>
      <c r="BF95">
        <v>581.74</v>
      </c>
      <c r="BG95">
        <f t="shared" si="126"/>
        <v>581.74</v>
      </c>
      <c r="BH95">
        <f t="shared" si="127"/>
        <v>0.43598624052353196</v>
      </c>
      <c r="BI95">
        <f t="shared" si="128"/>
        <v>0.68107762555166118</v>
      </c>
      <c r="BJ95">
        <f t="shared" si="129"/>
        <v>0.71178417706682906</v>
      </c>
      <c r="BK95">
        <f t="shared" si="130"/>
        <v>0.62499838261213403</v>
      </c>
      <c r="BL95">
        <f t="shared" si="131"/>
        <v>0.69384093214564169</v>
      </c>
      <c r="BM95">
        <f t="shared" si="132"/>
        <v>0.54637927172122658</v>
      </c>
      <c r="BN95">
        <f t="shared" si="133"/>
        <v>0.45362072827877342</v>
      </c>
      <c r="BO95">
        <v>1587</v>
      </c>
      <c r="BP95">
        <v>290.00000000000011</v>
      </c>
      <c r="BQ95">
        <v>926.56</v>
      </c>
      <c r="BR95">
        <v>295</v>
      </c>
      <c r="BS95">
        <v>7334.35</v>
      </c>
      <c r="BT95">
        <v>928.71</v>
      </c>
      <c r="BU95">
        <v>-2.15</v>
      </c>
      <c r="BV95">
        <v>300.00000000000011</v>
      </c>
      <c r="BW95">
        <v>37.9</v>
      </c>
      <c r="BX95">
        <v>1031.4287377314799</v>
      </c>
      <c r="BY95">
        <v>1.9153874287188291</v>
      </c>
      <c r="BZ95">
        <v>-75.336999488684739</v>
      </c>
      <c r="CA95">
        <v>1.177672157987806</v>
      </c>
      <c r="CB95">
        <v>0.99320438390423793</v>
      </c>
      <c r="CC95">
        <v>-7.226590433815354E-3</v>
      </c>
      <c r="CD95">
        <v>289.99999999999989</v>
      </c>
      <c r="CE95">
        <v>920.08</v>
      </c>
      <c r="CF95">
        <v>655</v>
      </c>
      <c r="CG95">
        <v>7329.45</v>
      </c>
      <c r="CH95">
        <v>928.64</v>
      </c>
      <c r="CI95">
        <v>-8.56</v>
      </c>
      <c r="CW95">
        <f t="shared" si="134"/>
        <v>1800.05</v>
      </c>
      <c r="CX95">
        <f t="shared" si="135"/>
        <v>1513.2303066081215</v>
      </c>
      <c r="CY95">
        <f t="shared" si="136"/>
        <v>0.84066015200028976</v>
      </c>
      <c r="CZ95">
        <f t="shared" si="137"/>
        <v>0.16087409336055919</v>
      </c>
      <c r="DA95">
        <v>6</v>
      </c>
      <c r="DB95">
        <v>0.5</v>
      </c>
      <c r="DC95" t="s">
        <v>415</v>
      </c>
      <c r="DD95">
        <v>2</v>
      </c>
      <c r="DE95">
        <v>1691183184.0999999</v>
      </c>
      <c r="DF95">
        <v>345.81400000000002</v>
      </c>
      <c r="DG95">
        <v>399.97199999999998</v>
      </c>
      <c r="DH95">
        <v>25.550599999999999</v>
      </c>
      <c r="DI95">
        <v>19.270199999999999</v>
      </c>
      <c r="DJ95">
        <v>346.37200000000001</v>
      </c>
      <c r="DK95">
        <v>25.234100000000002</v>
      </c>
      <c r="DL95">
        <v>500.262</v>
      </c>
      <c r="DM95">
        <v>99.009399999999999</v>
      </c>
      <c r="DN95">
        <v>0.100007</v>
      </c>
      <c r="DO95">
        <v>29.810400000000001</v>
      </c>
      <c r="DP95">
        <v>30.0093</v>
      </c>
      <c r="DQ95">
        <v>999.9</v>
      </c>
      <c r="DR95">
        <v>0</v>
      </c>
      <c r="DS95">
        <v>0</v>
      </c>
      <c r="DT95">
        <v>10015</v>
      </c>
      <c r="DU95">
        <v>0</v>
      </c>
      <c r="DV95">
        <v>1085.4100000000001</v>
      </c>
      <c r="DW95">
        <v>-54.158700000000003</v>
      </c>
      <c r="DX95">
        <v>354.88099999999997</v>
      </c>
      <c r="DY95">
        <v>407.83100000000002</v>
      </c>
      <c r="DZ95">
        <v>6.2804599999999997</v>
      </c>
      <c r="EA95">
        <v>399.97199999999998</v>
      </c>
      <c r="EB95">
        <v>19.270199999999999</v>
      </c>
      <c r="EC95">
        <v>2.5297499999999999</v>
      </c>
      <c r="ED95">
        <v>1.9079299999999999</v>
      </c>
      <c r="EE95">
        <v>21.219200000000001</v>
      </c>
      <c r="EF95">
        <v>16.700199999999999</v>
      </c>
      <c r="EG95">
        <v>1800.05</v>
      </c>
      <c r="EH95">
        <v>0.97799100000000005</v>
      </c>
      <c r="EI95">
        <v>2.2008799999999999E-2</v>
      </c>
      <c r="EJ95">
        <v>0</v>
      </c>
      <c r="EK95">
        <v>728.26</v>
      </c>
      <c r="EL95">
        <v>9.9989999999999996E-2</v>
      </c>
      <c r="EM95">
        <v>14002.1</v>
      </c>
      <c r="EN95">
        <v>16705.7</v>
      </c>
      <c r="EO95">
        <v>49.5</v>
      </c>
      <c r="EP95">
        <v>51.311999999999998</v>
      </c>
      <c r="EQ95">
        <v>50.5</v>
      </c>
      <c r="ER95">
        <v>50.311999999999998</v>
      </c>
      <c r="ES95">
        <v>50.5</v>
      </c>
      <c r="ET95">
        <v>1760.33</v>
      </c>
      <c r="EU95">
        <v>39.61</v>
      </c>
      <c r="EV95">
        <v>0</v>
      </c>
      <c r="EW95">
        <v>187.20000004768369</v>
      </c>
      <c r="EX95">
        <v>0</v>
      </c>
      <c r="EY95">
        <v>725.15579999999989</v>
      </c>
      <c r="EZ95">
        <v>9.3953847432598749</v>
      </c>
      <c r="FA95">
        <v>173.09230819519919</v>
      </c>
      <c r="FB95">
        <v>13996.828</v>
      </c>
      <c r="FC95">
        <v>15</v>
      </c>
      <c r="FD95">
        <v>1691183068.0999999</v>
      </c>
      <c r="FE95" t="s">
        <v>824</v>
      </c>
      <c r="FF95">
        <v>1691183053.0999999</v>
      </c>
      <c r="FG95">
        <v>1691183068.0999999</v>
      </c>
      <c r="FH95">
        <v>104</v>
      </c>
      <c r="FI95">
        <v>-8.0000000000000002E-3</v>
      </c>
      <c r="FJ95">
        <v>4.0000000000000001E-3</v>
      </c>
      <c r="FK95">
        <v>-0.59699999999999998</v>
      </c>
      <c r="FL95">
        <v>9.5000000000000001E-2</v>
      </c>
      <c r="FM95">
        <v>400</v>
      </c>
      <c r="FN95">
        <v>19</v>
      </c>
      <c r="FO95">
        <v>0.11</v>
      </c>
      <c r="FP95">
        <v>0.03</v>
      </c>
      <c r="FQ95">
        <v>43.25963213554023</v>
      </c>
      <c r="FR95">
        <v>0.85859941146907948</v>
      </c>
      <c r="FS95">
        <v>9.0014375823549195E-2</v>
      </c>
      <c r="FT95">
        <v>0</v>
      </c>
      <c r="FU95">
        <v>0.31170809218457568</v>
      </c>
      <c r="FV95">
        <v>-1.6324650374033311E-2</v>
      </c>
      <c r="FW95">
        <v>1.525934781781796E-3</v>
      </c>
      <c r="FX95">
        <v>1</v>
      </c>
      <c r="FY95">
        <v>1</v>
      </c>
      <c r="FZ95">
        <v>2</v>
      </c>
      <c r="GA95" t="s">
        <v>421</v>
      </c>
      <c r="GB95">
        <v>2.96591</v>
      </c>
      <c r="GC95">
        <v>2.8118300000000001</v>
      </c>
      <c r="GD95">
        <v>8.5117799999999993E-2</v>
      </c>
      <c r="GE95">
        <v>9.4282500000000005E-2</v>
      </c>
      <c r="GF95">
        <v>0.122798</v>
      </c>
      <c r="GG95">
        <v>0.100147</v>
      </c>
      <c r="GH95">
        <v>26849.599999999999</v>
      </c>
      <c r="GI95">
        <v>24450.7</v>
      </c>
      <c r="GJ95">
        <v>26396.400000000001</v>
      </c>
      <c r="GK95">
        <v>25494.2</v>
      </c>
      <c r="GL95">
        <v>31518.2</v>
      </c>
      <c r="GM95">
        <v>32399.4</v>
      </c>
      <c r="GN95">
        <v>37346.699999999997</v>
      </c>
      <c r="GO95">
        <v>37808.1</v>
      </c>
      <c r="GP95">
        <v>1.8980999999999999</v>
      </c>
      <c r="GQ95">
        <v>1.8567</v>
      </c>
      <c r="GR95">
        <v>-3.7699900000000001E-2</v>
      </c>
      <c r="GS95">
        <v>0</v>
      </c>
      <c r="GT95">
        <v>30.622499999999999</v>
      </c>
      <c r="GU95">
        <v>999.9</v>
      </c>
      <c r="GV95">
        <v>26.3</v>
      </c>
      <c r="GW95">
        <v>43.3</v>
      </c>
      <c r="GX95">
        <v>23.441800000000001</v>
      </c>
      <c r="GY95">
        <v>61.974299999999999</v>
      </c>
      <c r="GZ95">
        <v>11.662699999999999</v>
      </c>
      <c r="HA95">
        <v>1</v>
      </c>
      <c r="HB95">
        <v>0.79114799999999996</v>
      </c>
      <c r="HC95">
        <v>6.2476500000000001</v>
      </c>
      <c r="HD95">
        <v>20.192599999999999</v>
      </c>
      <c r="HE95">
        <v>5.2100999999999997</v>
      </c>
      <c r="HF95">
        <v>11.944100000000001</v>
      </c>
      <c r="HG95">
        <v>4.9871999999999996</v>
      </c>
      <c r="HH95">
        <v>3.2902</v>
      </c>
      <c r="HI95">
        <v>9999</v>
      </c>
      <c r="HJ95">
        <v>9999</v>
      </c>
      <c r="HK95">
        <v>9999</v>
      </c>
      <c r="HL95">
        <v>999.9</v>
      </c>
      <c r="HM95">
        <v>1.8705499999999999</v>
      </c>
      <c r="HN95">
        <v>1.8766700000000001</v>
      </c>
      <c r="HO95">
        <v>1.87439</v>
      </c>
      <c r="HP95">
        <v>1.8726700000000001</v>
      </c>
      <c r="HQ95">
        <v>1.87317</v>
      </c>
      <c r="HR95">
        <v>1.8705400000000001</v>
      </c>
      <c r="HS95">
        <v>1.8763700000000001</v>
      </c>
      <c r="HT95">
        <v>1.8755200000000001</v>
      </c>
      <c r="HU95">
        <v>5</v>
      </c>
      <c r="HV95">
        <v>0</v>
      </c>
      <c r="HW95">
        <v>0</v>
      </c>
      <c r="HX95">
        <v>0</v>
      </c>
      <c r="HY95" t="s">
        <v>417</v>
      </c>
      <c r="HZ95" t="s">
        <v>418</v>
      </c>
      <c r="IA95" t="s">
        <v>419</v>
      </c>
      <c r="IB95" t="s">
        <v>420</v>
      </c>
      <c r="IC95" t="s">
        <v>420</v>
      </c>
      <c r="ID95" t="s">
        <v>419</v>
      </c>
      <c r="IE95">
        <v>0</v>
      </c>
      <c r="IF95">
        <v>100</v>
      </c>
      <c r="IG95">
        <v>100</v>
      </c>
      <c r="IH95">
        <v>-0.55800000000000005</v>
      </c>
      <c r="II95">
        <v>0.3165</v>
      </c>
      <c r="IJ95">
        <v>-0.15769329897971651</v>
      </c>
      <c r="IK95">
        <v>-1.615681629159814E-3</v>
      </c>
      <c r="IL95">
        <v>1.5005605225991581E-6</v>
      </c>
      <c r="IM95">
        <v>-5.1143626075267638E-10</v>
      </c>
      <c r="IN95">
        <v>-0.18398579448312649</v>
      </c>
      <c r="IO95">
        <v>-1.7182111142928099E-3</v>
      </c>
      <c r="IP95">
        <v>9.9985895407488957E-4</v>
      </c>
      <c r="IQ95">
        <v>-5.7750407166627208E-6</v>
      </c>
      <c r="IR95">
        <v>3</v>
      </c>
      <c r="IS95">
        <v>2181</v>
      </c>
      <c r="IT95">
        <v>2</v>
      </c>
      <c r="IU95">
        <v>42</v>
      </c>
      <c r="IV95">
        <v>2.2000000000000002</v>
      </c>
      <c r="IW95">
        <v>1.9</v>
      </c>
      <c r="IX95">
        <v>0.95703099999999997</v>
      </c>
      <c r="IY95">
        <v>2.5488300000000002</v>
      </c>
      <c r="IZ95">
        <v>1.5991200000000001</v>
      </c>
      <c r="JA95">
        <v>2.2668499999999998</v>
      </c>
      <c r="JB95">
        <v>1.5502899999999999</v>
      </c>
      <c r="JC95">
        <v>2.4206500000000002</v>
      </c>
      <c r="JD95">
        <v>44.893999999999998</v>
      </c>
      <c r="JE95">
        <v>15.0251</v>
      </c>
      <c r="JF95">
        <v>18</v>
      </c>
      <c r="JG95">
        <v>499.93799999999999</v>
      </c>
      <c r="JH95">
        <v>441.88299999999998</v>
      </c>
      <c r="JI95">
        <v>22.583600000000001</v>
      </c>
      <c r="JJ95">
        <v>36.786000000000001</v>
      </c>
      <c r="JK95">
        <v>29.998200000000001</v>
      </c>
      <c r="JL95">
        <v>36.708500000000001</v>
      </c>
      <c r="JM95">
        <v>36.661700000000003</v>
      </c>
      <c r="JN95">
        <v>19.188700000000001</v>
      </c>
      <c r="JO95">
        <v>24.7454</v>
      </c>
      <c r="JP95">
        <v>1.39483</v>
      </c>
      <c r="JQ95">
        <v>22.591699999999999</v>
      </c>
      <c r="JR95">
        <v>400</v>
      </c>
      <c r="JS95">
        <v>19.228200000000001</v>
      </c>
      <c r="JT95">
        <v>98.521199999999993</v>
      </c>
      <c r="JU95">
        <v>98.120699999999999</v>
      </c>
    </row>
    <row r="96" spans="1:281" x14ac:dyDescent="0.25">
      <c r="A96">
        <v>80</v>
      </c>
      <c r="B96">
        <v>1691183332.0999999</v>
      </c>
      <c r="C96">
        <v>23601.5</v>
      </c>
      <c r="D96" t="s">
        <v>825</v>
      </c>
      <c r="E96" t="s">
        <v>826</v>
      </c>
      <c r="F96" t="s">
        <v>411</v>
      </c>
      <c r="G96" t="s">
        <v>31</v>
      </c>
      <c r="H96" t="s">
        <v>412</v>
      </c>
      <c r="I96" t="s">
        <v>781</v>
      </c>
      <c r="J96">
        <v>1691183332.0999999</v>
      </c>
      <c r="K96">
        <f t="shared" si="92"/>
        <v>5.0845294209098035E-3</v>
      </c>
      <c r="L96">
        <f t="shared" si="93"/>
        <v>5.0845294209098038</v>
      </c>
      <c r="M96">
        <f t="shared" si="94"/>
        <v>47.389035857618502</v>
      </c>
      <c r="N96">
        <f t="shared" si="95"/>
        <v>440.51600000000002</v>
      </c>
      <c r="O96">
        <f t="shared" si="96"/>
        <v>164.35484315448807</v>
      </c>
      <c r="P96">
        <f t="shared" si="97"/>
        <v>16.290848930730839</v>
      </c>
      <c r="Q96">
        <f t="shared" si="98"/>
        <v>43.66393755019601</v>
      </c>
      <c r="R96">
        <f t="shared" si="99"/>
        <v>0.29716555792151439</v>
      </c>
      <c r="S96">
        <f t="shared" si="100"/>
        <v>2.914482224573431</v>
      </c>
      <c r="T96">
        <f t="shared" si="101"/>
        <v>0.2813002730720065</v>
      </c>
      <c r="U96">
        <f t="shared" si="102"/>
        <v>0.1771674851576738</v>
      </c>
      <c r="V96">
        <f t="shared" si="103"/>
        <v>289.54455001273271</v>
      </c>
      <c r="W96">
        <f t="shared" si="104"/>
        <v>30.155594311043881</v>
      </c>
      <c r="X96">
        <f t="shared" si="105"/>
        <v>29.995100000000001</v>
      </c>
      <c r="Y96">
        <f t="shared" si="106"/>
        <v>4.2592508074328181</v>
      </c>
      <c r="Z96">
        <f t="shared" si="107"/>
        <v>60.152358141226934</v>
      </c>
      <c r="AA96">
        <f t="shared" si="108"/>
        <v>2.5289967552245001</v>
      </c>
      <c r="AB96">
        <f t="shared" si="109"/>
        <v>4.2043185560354424</v>
      </c>
      <c r="AC96">
        <f t="shared" si="110"/>
        <v>1.7302540522083181</v>
      </c>
      <c r="AD96">
        <f t="shared" si="111"/>
        <v>-224.22774746212232</v>
      </c>
      <c r="AE96">
        <f t="shared" si="112"/>
        <v>-35.478952733073534</v>
      </c>
      <c r="AF96">
        <f t="shared" si="113"/>
        <v>-2.7035966681535246</v>
      </c>
      <c r="AG96">
        <f t="shared" si="114"/>
        <v>27.134253149383333</v>
      </c>
      <c r="AH96">
        <v>1</v>
      </c>
      <c r="AI96">
        <v>0</v>
      </c>
      <c r="AJ96">
        <f t="shared" si="115"/>
        <v>1</v>
      </c>
      <c r="AK96">
        <f t="shared" si="116"/>
        <v>0</v>
      </c>
      <c r="AL96">
        <f t="shared" si="117"/>
        <v>51942.153428598001</v>
      </c>
      <c r="AM96" t="s">
        <v>414</v>
      </c>
      <c r="AN96">
        <v>7361.72</v>
      </c>
      <c r="AO96">
        <v>541.39076923076925</v>
      </c>
      <c r="AP96">
        <v>2141.9899999999998</v>
      </c>
      <c r="AQ96">
        <f t="shared" si="118"/>
        <v>0.74724869433061347</v>
      </c>
      <c r="AR96">
        <v>-0.96077199609010144</v>
      </c>
      <c r="AS96" t="s">
        <v>827</v>
      </c>
      <c r="AT96">
        <v>7335.03</v>
      </c>
      <c r="AU96">
        <v>741.51653846153852</v>
      </c>
      <c r="AV96">
        <v>1093.2870913792231</v>
      </c>
      <c r="AW96">
        <f t="shared" si="119"/>
        <v>0.32175496783183699</v>
      </c>
      <c r="AX96">
        <v>0.5</v>
      </c>
      <c r="AY96">
        <f t="shared" si="120"/>
        <v>1513.0446000065972</v>
      </c>
      <c r="AZ96">
        <f t="shared" si="121"/>
        <v>47.389035857618502</v>
      </c>
      <c r="BA96">
        <f t="shared" si="122"/>
        <v>243.41480830162868</v>
      </c>
      <c r="BB96">
        <f t="shared" si="123"/>
        <v>3.1955309085732034E-2</v>
      </c>
      <c r="BC96">
        <f t="shared" si="124"/>
        <v>0.95922005929640886</v>
      </c>
      <c r="BD96">
        <f t="shared" si="125"/>
        <v>435.74657360042499</v>
      </c>
      <c r="BE96" t="s">
        <v>828</v>
      </c>
      <c r="BF96">
        <v>587.64</v>
      </c>
      <c r="BG96">
        <f t="shared" si="126"/>
        <v>587.64</v>
      </c>
      <c r="BH96">
        <f t="shared" si="127"/>
        <v>0.46250165703624113</v>
      </c>
      <c r="BI96">
        <f t="shared" si="128"/>
        <v>0.69568392445051197</v>
      </c>
      <c r="BJ96">
        <f t="shared" si="129"/>
        <v>0.67468903954757731</v>
      </c>
      <c r="BK96">
        <f t="shared" si="130"/>
        <v>0.63738520950509669</v>
      </c>
      <c r="BL96">
        <f t="shared" si="131"/>
        <v>0.65519393515938507</v>
      </c>
      <c r="BM96">
        <f t="shared" si="132"/>
        <v>0.55131838625242391</v>
      </c>
      <c r="BN96">
        <f t="shared" si="133"/>
        <v>0.44868161374757609</v>
      </c>
      <c r="BO96">
        <v>1589</v>
      </c>
      <c r="BP96">
        <v>290.00000000000011</v>
      </c>
      <c r="BQ96">
        <v>975.41</v>
      </c>
      <c r="BR96">
        <v>285</v>
      </c>
      <c r="BS96">
        <v>7335.03</v>
      </c>
      <c r="BT96">
        <v>977.4</v>
      </c>
      <c r="BU96">
        <v>-1.99</v>
      </c>
      <c r="BV96">
        <v>300.00000000000011</v>
      </c>
      <c r="BW96">
        <v>37.9</v>
      </c>
      <c r="BX96">
        <v>1093.2870913792231</v>
      </c>
      <c r="BY96">
        <v>1.607522311801227</v>
      </c>
      <c r="BZ96">
        <v>-85.002816216171041</v>
      </c>
      <c r="CA96">
        <v>0.98847766100715029</v>
      </c>
      <c r="CB96">
        <v>0.99622789460938821</v>
      </c>
      <c r="CC96">
        <v>-7.2272820912124636E-3</v>
      </c>
      <c r="CD96">
        <v>289.99999999999989</v>
      </c>
      <c r="CE96">
        <v>967.94</v>
      </c>
      <c r="CF96">
        <v>645</v>
      </c>
      <c r="CG96">
        <v>7330.61</v>
      </c>
      <c r="CH96">
        <v>977.33</v>
      </c>
      <c r="CI96">
        <v>-9.39</v>
      </c>
      <c r="CW96">
        <f t="shared" si="134"/>
        <v>1799.83</v>
      </c>
      <c r="CX96">
        <f t="shared" si="135"/>
        <v>1513.0446000065972</v>
      </c>
      <c r="CY96">
        <f t="shared" si="136"/>
        <v>0.84065972897806862</v>
      </c>
      <c r="CZ96">
        <f t="shared" si="137"/>
        <v>0.16087327692767248</v>
      </c>
      <c r="DA96">
        <v>6</v>
      </c>
      <c r="DB96">
        <v>0.5</v>
      </c>
      <c r="DC96" t="s">
        <v>415</v>
      </c>
      <c r="DD96">
        <v>2</v>
      </c>
      <c r="DE96">
        <v>1691183332.0999999</v>
      </c>
      <c r="DF96">
        <v>440.51600000000002</v>
      </c>
      <c r="DG96">
        <v>500.05799999999999</v>
      </c>
      <c r="DH96">
        <v>25.514500000000002</v>
      </c>
      <c r="DI96">
        <v>19.57</v>
      </c>
      <c r="DJ96">
        <v>441.21</v>
      </c>
      <c r="DK96">
        <v>25.2074</v>
      </c>
      <c r="DL96">
        <v>500.10599999999999</v>
      </c>
      <c r="DM96">
        <v>99.019800000000004</v>
      </c>
      <c r="DN96">
        <v>0.10018100000000001</v>
      </c>
      <c r="DO96">
        <v>29.769300000000001</v>
      </c>
      <c r="DP96">
        <v>29.995100000000001</v>
      </c>
      <c r="DQ96">
        <v>999.9</v>
      </c>
      <c r="DR96">
        <v>0</v>
      </c>
      <c r="DS96">
        <v>0</v>
      </c>
      <c r="DT96">
        <v>10012.5</v>
      </c>
      <c r="DU96">
        <v>0</v>
      </c>
      <c r="DV96">
        <v>1064.54</v>
      </c>
      <c r="DW96">
        <v>-59.5413</v>
      </c>
      <c r="DX96">
        <v>452.05</v>
      </c>
      <c r="DY96">
        <v>510.03899999999999</v>
      </c>
      <c r="DZ96">
        <v>5.94442</v>
      </c>
      <c r="EA96">
        <v>500.05799999999999</v>
      </c>
      <c r="EB96">
        <v>19.57</v>
      </c>
      <c r="EC96">
        <v>2.52644</v>
      </c>
      <c r="ED96">
        <v>1.9378200000000001</v>
      </c>
      <c r="EE96">
        <v>21.197800000000001</v>
      </c>
      <c r="EF96">
        <v>16.9452</v>
      </c>
      <c r="EG96">
        <v>1799.83</v>
      </c>
      <c r="EH96">
        <v>0.97800600000000004</v>
      </c>
      <c r="EI96">
        <v>2.19939E-2</v>
      </c>
      <c r="EJ96">
        <v>0</v>
      </c>
      <c r="EK96">
        <v>740.36500000000001</v>
      </c>
      <c r="EL96">
        <v>9.9989999999999996E-2</v>
      </c>
      <c r="EM96">
        <v>14313.3</v>
      </c>
      <c r="EN96">
        <v>16703.7</v>
      </c>
      <c r="EO96">
        <v>49.375</v>
      </c>
      <c r="EP96">
        <v>51.125</v>
      </c>
      <c r="EQ96">
        <v>50.375</v>
      </c>
      <c r="ER96">
        <v>50.061999999999998</v>
      </c>
      <c r="ES96">
        <v>50.311999999999998</v>
      </c>
      <c r="ET96">
        <v>1760.15</v>
      </c>
      <c r="EU96">
        <v>39.58</v>
      </c>
      <c r="EV96">
        <v>0</v>
      </c>
      <c r="EW96">
        <v>145.79999995231631</v>
      </c>
      <c r="EX96">
        <v>0</v>
      </c>
      <c r="EY96">
        <v>741.51653846153852</v>
      </c>
      <c r="EZ96">
        <v>0.29094020881460192</v>
      </c>
      <c r="FA96">
        <v>66.711110876610093</v>
      </c>
      <c r="FB96">
        <v>14310.94230769231</v>
      </c>
      <c r="FC96">
        <v>15</v>
      </c>
      <c r="FD96">
        <v>1691183295.0999999</v>
      </c>
      <c r="FE96" t="s">
        <v>829</v>
      </c>
      <c r="FF96">
        <v>1691183295.0999999</v>
      </c>
      <c r="FG96">
        <v>1691183292.0999999</v>
      </c>
      <c r="FH96">
        <v>105</v>
      </c>
      <c r="FI96">
        <v>-7.1999999999999995E-2</v>
      </c>
      <c r="FJ96">
        <v>-8.9999999999999993E-3</v>
      </c>
      <c r="FK96">
        <v>-0.72599999999999998</v>
      </c>
      <c r="FL96">
        <v>0.10100000000000001</v>
      </c>
      <c r="FM96">
        <v>500</v>
      </c>
      <c r="FN96">
        <v>19</v>
      </c>
      <c r="FO96">
        <v>0.12</v>
      </c>
      <c r="FP96">
        <v>0.03</v>
      </c>
      <c r="FQ96">
        <v>47.398124219566583</v>
      </c>
      <c r="FR96">
        <v>-0.59067659533837491</v>
      </c>
      <c r="FS96">
        <v>8.7914765229317904E-2</v>
      </c>
      <c r="FT96">
        <v>1</v>
      </c>
      <c r="FU96">
        <v>0.2997370620992123</v>
      </c>
      <c r="FV96">
        <v>-1.0188337360155781E-2</v>
      </c>
      <c r="FW96">
        <v>1.8887942849799271E-3</v>
      </c>
      <c r="FX96">
        <v>1</v>
      </c>
      <c r="FY96">
        <v>2</v>
      </c>
      <c r="FZ96">
        <v>2</v>
      </c>
      <c r="GA96" t="s">
        <v>416</v>
      </c>
      <c r="GB96">
        <v>2.9655900000000002</v>
      </c>
      <c r="GC96">
        <v>2.8119800000000001</v>
      </c>
      <c r="GD96">
        <v>0.10281700000000001</v>
      </c>
      <c r="GE96">
        <v>0.111678</v>
      </c>
      <c r="GF96">
        <v>0.12274</v>
      </c>
      <c r="GG96">
        <v>0.101289</v>
      </c>
      <c r="GH96">
        <v>26334.9</v>
      </c>
      <c r="GI96">
        <v>23986.2</v>
      </c>
      <c r="GJ96">
        <v>26401.4</v>
      </c>
      <c r="GK96">
        <v>25500</v>
      </c>
      <c r="GL96">
        <v>31527</v>
      </c>
      <c r="GM96">
        <v>32366.1</v>
      </c>
      <c r="GN96">
        <v>37354</v>
      </c>
      <c r="GO96">
        <v>37815.9</v>
      </c>
      <c r="GP96">
        <v>1.8991</v>
      </c>
      <c r="GQ96">
        <v>1.861</v>
      </c>
      <c r="GR96">
        <v>-3.0696399999999999E-2</v>
      </c>
      <c r="GS96">
        <v>0</v>
      </c>
      <c r="GT96">
        <v>30.494399999999999</v>
      </c>
      <c r="GU96">
        <v>999.9</v>
      </c>
      <c r="GV96">
        <v>26.4</v>
      </c>
      <c r="GW96">
        <v>43.1</v>
      </c>
      <c r="GX96">
        <v>23.2836</v>
      </c>
      <c r="GY96">
        <v>61.9343</v>
      </c>
      <c r="GZ96">
        <v>12.383800000000001</v>
      </c>
      <c r="HA96">
        <v>1</v>
      </c>
      <c r="HB96">
        <v>0.78034499999999996</v>
      </c>
      <c r="HC96">
        <v>6.0809300000000004</v>
      </c>
      <c r="HD96">
        <v>20.197700000000001</v>
      </c>
      <c r="HE96">
        <v>5.2053099999999999</v>
      </c>
      <c r="HF96">
        <v>11.9435</v>
      </c>
      <c r="HG96">
        <v>4.9867999999999997</v>
      </c>
      <c r="HH96">
        <v>3.2902</v>
      </c>
      <c r="HI96">
        <v>9999</v>
      </c>
      <c r="HJ96">
        <v>9999</v>
      </c>
      <c r="HK96">
        <v>9999</v>
      </c>
      <c r="HL96">
        <v>999.9</v>
      </c>
      <c r="HM96">
        <v>1.8705099999999999</v>
      </c>
      <c r="HN96">
        <v>1.8765799999999999</v>
      </c>
      <c r="HO96">
        <v>1.87439</v>
      </c>
      <c r="HP96">
        <v>1.8726499999999999</v>
      </c>
      <c r="HQ96">
        <v>1.8730800000000001</v>
      </c>
      <c r="HR96">
        <v>1.8704499999999999</v>
      </c>
      <c r="HS96">
        <v>1.87635</v>
      </c>
      <c r="HT96">
        <v>1.87547</v>
      </c>
      <c r="HU96">
        <v>5</v>
      </c>
      <c r="HV96">
        <v>0</v>
      </c>
      <c r="HW96">
        <v>0</v>
      </c>
      <c r="HX96">
        <v>0</v>
      </c>
      <c r="HY96" t="s">
        <v>417</v>
      </c>
      <c r="HZ96" t="s">
        <v>418</v>
      </c>
      <c r="IA96" t="s">
        <v>419</v>
      </c>
      <c r="IB96" t="s">
        <v>420</v>
      </c>
      <c r="IC96" t="s">
        <v>420</v>
      </c>
      <c r="ID96" t="s">
        <v>419</v>
      </c>
      <c r="IE96">
        <v>0</v>
      </c>
      <c r="IF96">
        <v>100</v>
      </c>
      <c r="IG96">
        <v>100</v>
      </c>
      <c r="IH96">
        <v>-0.69399999999999995</v>
      </c>
      <c r="II96">
        <v>0.30709999999999998</v>
      </c>
      <c r="IJ96">
        <v>-0.22918048762695739</v>
      </c>
      <c r="IK96">
        <v>-1.615681629159814E-3</v>
      </c>
      <c r="IL96">
        <v>1.5005605225991581E-6</v>
      </c>
      <c r="IM96">
        <v>-5.1143626075267638E-10</v>
      </c>
      <c r="IN96">
        <v>-0.19249206549355791</v>
      </c>
      <c r="IO96">
        <v>-1.7182111142928099E-3</v>
      </c>
      <c r="IP96">
        <v>9.9985895407488957E-4</v>
      </c>
      <c r="IQ96">
        <v>-5.7750407166627208E-6</v>
      </c>
      <c r="IR96">
        <v>3</v>
      </c>
      <c r="IS96">
        <v>2181</v>
      </c>
      <c r="IT96">
        <v>2</v>
      </c>
      <c r="IU96">
        <v>42</v>
      </c>
      <c r="IV96">
        <v>0.6</v>
      </c>
      <c r="IW96">
        <v>0.7</v>
      </c>
      <c r="IX96">
        <v>1.1462399999999999</v>
      </c>
      <c r="IY96">
        <v>2.5427200000000001</v>
      </c>
      <c r="IZ96">
        <v>1.5991200000000001</v>
      </c>
      <c r="JA96">
        <v>2.2680699999999998</v>
      </c>
      <c r="JB96">
        <v>1.5502899999999999</v>
      </c>
      <c r="JC96">
        <v>2.2912599999999999</v>
      </c>
      <c r="JD96">
        <v>44.641199999999998</v>
      </c>
      <c r="JE96">
        <v>14.981400000000001</v>
      </c>
      <c r="JF96">
        <v>18</v>
      </c>
      <c r="JG96">
        <v>500.04500000000002</v>
      </c>
      <c r="JH96">
        <v>444.05099999999999</v>
      </c>
      <c r="JI96">
        <v>22.826000000000001</v>
      </c>
      <c r="JJ96">
        <v>36.6828</v>
      </c>
      <c r="JK96">
        <v>29.999700000000001</v>
      </c>
      <c r="JL96">
        <v>36.633200000000002</v>
      </c>
      <c r="JM96">
        <v>36.5869</v>
      </c>
      <c r="JN96">
        <v>22.959599999999998</v>
      </c>
      <c r="JO96">
        <v>22.444900000000001</v>
      </c>
      <c r="JP96">
        <v>1.39872</v>
      </c>
      <c r="JQ96">
        <v>22.813500000000001</v>
      </c>
      <c r="JR96">
        <v>500</v>
      </c>
      <c r="JS96">
        <v>19.5091</v>
      </c>
      <c r="JT96">
        <v>98.540099999999995</v>
      </c>
      <c r="JU96">
        <v>98.141599999999997</v>
      </c>
    </row>
    <row r="97" spans="1:281" x14ac:dyDescent="0.25">
      <c r="A97">
        <v>81</v>
      </c>
      <c r="B97">
        <v>1691183431.5999999</v>
      </c>
      <c r="C97">
        <v>23701</v>
      </c>
      <c r="D97" t="s">
        <v>830</v>
      </c>
      <c r="E97" t="s">
        <v>831</v>
      </c>
      <c r="F97" t="s">
        <v>411</v>
      </c>
      <c r="G97" t="s">
        <v>31</v>
      </c>
      <c r="H97" t="s">
        <v>412</v>
      </c>
      <c r="I97" t="s">
        <v>781</v>
      </c>
      <c r="J97">
        <v>1691183431.5999999</v>
      </c>
      <c r="K97">
        <f t="shared" si="92"/>
        <v>4.2290213589462351E-3</v>
      </c>
      <c r="L97">
        <f t="shared" si="93"/>
        <v>4.2290213589462349</v>
      </c>
      <c r="M97">
        <f t="shared" si="94"/>
        <v>50.381508910904515</v>
      </c>
      <c r="N97">
        <f t="shared" si="95"/>
        <v>636.22499999999991</v>
      </c>
      <c r="O97">
        <f t="shared" si="96"/>
        <v>271.8056993620886</v>
      </c>
      <c r="P97">
        <f t="shared" si="97"/>
        <v>26.941356730062978</v>
      </c>
      <c r="Q97">
        <f t="shared" si="98"/>
        <v>63.062565375974984</v>
      </c>
      <c r="R97">
        <f t="shared" si="99"/>
        <v>0.23858372198852298</v>
      </c>
      <c r="S97">
        <f t="shared" si="100"/>
        <v>2.9026568727174871</v>
      </c>
      <c r="T97">
        <f t="shared" si="101"/>
        <v>0.22819995703900972</v>
      </c>
      <c r="U97">
        <f t="shared" si="102"/>
        <v>0.14352025106914459</v>
      </c>
      <c r="V97">
        <f t="shared" si="103"/>
        <v>289.54512901273597</v>
      </c>
      <c r="W97">
        <f t="shared" si="104"/>
        <v>30.384831645561235</v>
      </c>
      <c r="X97">
        <f t="shared" si="105"/>
        <v>30.0304</v>
      </c>
      <c r="Y97">
        <f t="shared" si="106"/>
        <v>4.2678948243582431</v>
      </c>
      <c r="Z97">
        <f t="shared" si="107"/>
        <v>59.298638508044846</v>
      </c>
      <c r="AA97">
        <f t="shared" si="108"/>
        <v>2.4936488089469</v>
      </c>
      <c r="AB97">
        <f t="shared" si="109"/>
        <v>4.2052378801388421</v>
      </c>
      <c r="AC97">
        <f t="shared" si="110"/>
        <v>1.7742460154113431</v>
      </c>
      <c r="AD97">
        <f t="shared" si="111"/>
        <v>-186.49984192952897</v>
      </c>
      <c r="AE97">
        <f t="shared" si="112"/>
        <v>-40.264372002936611</v>
      </c>
      <c r="AF97">
        <f t="shared" si="113"/>
        <v>-3.0813559027497437</v>
      </c>
      <c r="AG97">
        <f t="shared" si="114"/>
        <v>59.699559177520641</v>
      </c>
      <c r="AH97">
        <v>2</v>
      </c>
      <c r="AI97">
        <v>0</v>
      </c>
      <c r="AJ97">
        <f t="shared" si="115"/>
        <v>1</v>
      </c>
      <c r="AK97">
        <f t="shared" si="116"/>
        <v>0</v>
      </c>
      <c r="AL97">
        <f t="shared" si="117"/>
        <v>51605.264303899021</v>
      </c>
      <c r="AM97" t="s">
        <v>414</v>
      </c>
      <c r="AN97">
        <v>7361.72</v>
      </c>
      <c r="AO97">
        <v>541.39076923076925</v>
      </c>
      <c r="AP97">
        <v>2141.9899999999998</v>
      </c>
      <c r="AQ97">
        <f t="shared" si="118"/>
        <v>0.74724869433061347</v>
      </c>
      <c r="AR97">
        <v>-0.96077199609010144</v>
      </c>
      <c r="AS97" t="s">
        <v>832</v>
      </c>
      <c r="AT97">
        <v>7335.51</v>
      </c>
      <c r="AU97">
        <v>752.75720000000001</v>
      </c>
      <c r="AV97">
        <v>1139.716008110001</v>
      </c>
      <c r="AW97">
        <f t="shared" si="119"/>
        <v>0.33952213126469766</v>
      </c>
      <c r="AX97">
        <v>0.5</v>
      </c>
      <c r="AY97">
        <f t="shared" si="120"/>
        <v>1513.0449000065989</v>
      </c>
      <c r="AZ97">
        <f t="shared" si="121"/>
        <v>50.381508910904515</v>
      </c>
      <c r="BA97">
        <f t="shared" si="122"/>
        <v>256.85611457471089</v>
      </c>
      <c r="BB97">
        <f t="shared" si="123"/>
        <v>3.3933084805857841E-2</v>
      </c>
      <c r="BC97">
        <f t="shared" si="124"/>
        <v>0.87940678621517021</v>
      </c>
      <c r="BD97">
        <f t="shared" si="125"/>
        <v>442.93832930198209</v>
      </c>
      <c r="BE97" t="s">
        <v>833</v>
      </c>
      <c r="BF97">
        <v>592.88</v>
      </c>
      <c r="BG97">
        <f t="shared" si="126"/>
        <v>592.88</v>
      </c>
      <c r="BH97">
        <f t="shared" si="127"/>
        <v>0.47980023463636612</v>
      </c>
      <c r="BI97">
        <f t="shared" si="128"/>
        <v>0.70763227434020903</v>
      </c>
      <c r="BJ97">
        <f t="shared" si="129"/>
        <v>0.64699988502430361</v>
      </c>
      <c r="BK97">
        <f t="shared" si="130"/>
        <v>0.64673656226644027</v>
      </c>
      <c r="BL97">
        <f t="shared" si="131"/>
        <v>0.62618672596032487</v>
      </c>
      <c r="BM97">
        <f t="shared" si="132"/>
        <v>0.55733910324713343</v>
      </c>
      <c r="BN97">
        <f t="shared" si="133"/>
        <v>0.44266089675286657</v>
      </c>
      <c r="BO97">
        <v>1591</v>
      </c>
      <c r="BP97">
        <v>290.00000000000011</v>
      </c>
      <c r="BQ97">
        <v>1007.08</v>
      </c>
      <c r="BR97">
        <v>285</v>
      </c>
      <c r="BS97">
        <v>7335.51</v>
      </c>
      <c r="BT97">
        <v>1009.54</v>
      </c>
      <c r="BU97">
        <v>-2.46</v>
      </c>
      <c r="BV97">
        <v>300.00000000000011</v>
      </c>
      <c r="BW97">
        <v>37.9</v>
      </c>
      <c r="BX97">
        <v>1139.716008110001</v>
      </c>
      <c r="BY97">
        <v>1.954472225744367</v>
      </c>
      <c r="BZ97">
        <v>-95.491968645622535</v>
      </c>
      <c r="CA97">
        <v>1.20188379295209</v>
      </c>
      <c r="CB97">
        <v>0.99558401883640835</v>
      </c>
      <c r="CC97">
        <v>-7.2279101223581754E-3</v>
      </c>
      <c r="CD97">
        <v>289.99999999999989</v>
      </c>
      <c r="CE97">
        <v>997.88</v>
      </c>
      <c r="CF97">
        <v>635</v>
      </c>
      <c r="CG97">
        <v>7331.37</v>
      </c>
      <c r="CH97">
        <v>1009.46</v>
      </c>
      <c r="CI97">
        <v>-11.58</v>
      </c>
      <c r="CW97">
        <f t="shared" si="134"/>
        <v>1799.83</v>
      </c>
      <c r="CX97">
        <f t="shared" si="135"/>
        <v>1513.0449000065989</v>
      </c>
      <c r="CY97">
        <f t="shared" si="136"/>
        <v>0.8406598956604785</v>
      </c>
      <c r="CZ97">
        <f t="shared" si="137"/>
        <v>0.16087359862472345</v>
      </c>
      <c r="DA97">
        <v>6</v>
      </c>
      <c r="DB97">
        <v>0.5</v>
      </c>
      <c r="DC97" t="s">
        <v>415</v>
      </c>
      <c r="DD97">
        <v>2</v>
      </c>
      <c r="DE97">
        <v>1691183431.5999999</v>
      </c>
      <c r="DF97">
        <v>636.22499999999991</v>
      </c>
      <c r="DG97">
        <v>699.91600000000005</v>
      </c>
      <c r="DH97">
        <v>25.157900000000001</v>
      </c>
      <c r="DI97">
        <v>20.2104</v>
      </c>
      <c r="DJ97">
        <v>636.79999999999995</v>
      </c>
      <c r="DK97">
        <v>25.030899999999999</v>
      </c>
      <c r="DL97">
        <v>499.96499999999997</v>
      </c>
      <c r="DM97">
        <v>99.019499999999994</v>
      </c>
      <c r="DN97">
        <v>0.100411</v>
      </c>
      <c r="DO97">
        <v>29.773099999999999</v>
      </c>
      <c r="DP97">
        <v>30.0304</v>
      </c>
      <c r="DQ97">
        <v>999.9</v>
      </c>
      <c r="DR97">
        <v>0</v>
      </c>
      <c r="DS97">
        <v>0</v>
      </c>
      <c r="DT97">
        <v>9945</v>
      </c>
      <c r="DU97">
        <v>0</v>
      </c>
      <c r="DV97">
        <v>1045.5999999999999</v>
      </c>
      <c r="DW97">
        <v>-63.897799999999997</v>
      </c>
      <c r="DX97">
        <v>652.548</v>
      </c>
      <c r="DY97">
        <v>714.35400000000004</v>
      </c>
      <c r="DZ97">
        <v>5.1208900000000002</v>
      </c>
      <c r="EA97">
        <v>699.91600000000005</v>
      </c>
      <c r="EB97">
        <v>20.2104</v>
      </c>
      <c r="EC97">
        <v>2.5082900000000001</v>
      </c>
      <c r="ED97">
        <v>2.0012300000000001</v>
      </c>
      <c r="EE97">
        <v>21.080400000000001</v>
      </c>
      <c r="EF97">
        <v>17.454000000000001</v>
      </c>
      <c r="EG97">
        <v>1799.83</v>
      </c>
      <c r="EH97">
        <v>0.97800500000000001</v>
      </c>
      <c r="EI97">
        <v>2.1995000000000001E-2</v>
      </c>
      <c r="EJ97">
        <v>0</v>
      </c>
      <c r="EK97">
        <v>752.91499999999996</v>
      </c>
      <c r="EL97">
        <v>9.9989999999999996E-2</v>
      </c>
      <c r="EM97">
        <v>14528.8</v>
      </c>
      <c r="EN97">
        <v>16703.7</v>
      </c>
      <c r="EO97">
        <v>49.311999999999998</v>
      </c>
      <c r="EP97">
        <v>51.125</v>
      </c>
      <c r="EQ97">
        <v>50.375</v>
      </c>
      <c r="ER97">
        <v>50.061999999999998</v>
      </c>
      <c r="ES97">
        <v>50.311999999999998</v>
      </c>
      <c r="ET97">
        <v>1760.14</v>
      </c>
      <c r="EU97">
        <v>39.590000000000003</v>
      </c>
      <c r="EV97">
        <v>0</v>
      </c>
      <c r="EW97">
        <v>97.200000047683716</v>
      </c>
      <c r="EX97">
        <v>0</v>
      </c>
      <c r="EY97">
        <v>752.75720000000001</v>
      </c>
      <c r="EZ97">
        <v>3.1519229667594368</v>
      </c>
      <c r="FA97">
        <v>53.184615246565883</v>
      </c>
      <c r="FB97">
        <v>14529.652</v>
      </c>
      <c r="FC97">
        <v>15</v>
      </c>
      <c r="FD97">
        <v>1691183457.5999999</v>
      </c>
      <c r="FE97" t="s">
        <v>834</v>
      </c>
      <c r="FF97">
        <v>1691183456.0999999</v>
      </c>
      <c r="FG97">
        <v>1691183457.5999999</v>
      </c>
      <c r="FH97">
        <v>106</v>
      </c>
      <c r="FI97">
        <v>0.22500000000000001</v>
      </c>
      <c r="FJ97">
        <v>-6.0000000000000001E-3</v>
      </c>
      <c r="FK97">
        <v>-0.57499999999999996</v>
      </c>
      <c r="FL97">
        <v>0.127</v>
      </c>
      <c r="FM97">
        <v>700</v>
      </c>
      <c r="FN97">
        <v>20</v>
      </c>
      <c r="FO97">
        <v>0.2</v>
      </c>
      <c r="FP97">
        <v>0.03</v>
      </c>
      <c r="FQ97">
        <v>50.56462054954082</v>
      </c>
      <c r="FR97">
        <v>0.23522194047889089</v>
      </c>
      <c r="FS97">
        <v>0.14079565960680601</v>
      </c>
      <c r="FT97">
        <v>1</v>
      </c>
      <c r="FU97">
        <v>0.25410373243169748</v>
      </c>
      <c r="FV97">
        <v>-3.9853209110990162E-2</v>
      </c>
      <c r="FW97">
        <v>2.938691175875534E-3</v>
      </c>
      <c r="FX97">
        <v>1</v>
      </c>
      <c r="FY97">
        <v>2</v>
      </c>
      <c r="FZ97">
        <v>2</v>
      </c>
      <c r="GA97" t="s">
        <v>416</v>
      </c>
      <c r="GB97">
        <v>2.9652699999999999</v>
      </c>
      <c r="GC97">
        <v>2.8116300000000001</v>
      </c>
      <c r="GD97">
        <v>0.13442999999999999</v>
      </c>
      <c r="GE97">
        <v>0.14200699999999999</v>
      </c>
      <c r="GF97">
        <v>0.12214700000000001</v>
      </c>
      <c r="GG97">
        <v>0.103659</v>
      </c>
      <c r="GH97">
        <v>25407.8</v>
      </c>
      <c r="GI97">
        <v>23169.4</v>
      </c>
      <c r="GJ97">
        <v>26403.9</v>
      </c>
      <c r="GK97">
        <v>25504</v>
      </c>
      <c r="GL97">
        <v>31553.1</v>
      </c>
      <c r="GM97">
        <v>32288</v>
      </c>
      <c r="GN97">
        <v>37357.599999999999</v>
      </c>
      <c r="GO97">
        <v>37821.9</v>
      </c>
      <c r="GP97">
        <v>1.8980999999999999</v>
      </c>
      <c r="GQ97">
        <v>1.8642000000000001</v>
      </c>
      <c r="GR97">
        <v>-2.86847E-2</v>
      </c>
      <c r="GS97">
        <v>0</v>
      </c>
      <c r="GT97">
        <v>30.497</v>
      </c>
      <c r="GU97">
        <v>999.9</v>
      </c>
      <c r="GV97">
        <v>26.5</v>
      </c>
      <c r="GW97">
        <v>43</v>
      </c>
      <c r="GX97">
        <v>23.250900000000001</v>
      </c>
      <c r="GY97">
        <v>61.994399999999999</v>
      </c>
      <c r="GZ97">
        <v>12.4519</v>
      </c>
      <c r="HA97">
        <v>1</v>
      </c>
      <c r="HB97">
        <v>0.77680899999999997</v>
      </c>
      <c r="HC97">
        <v>6.5569699999999997</v>
      </c>
      <c r="HD97">
        <v>20.1797</v>
      </c>
      <c r="HE97">
        <v>5.2100999999999997</v>
      </c>
      <c r="HF97">
        <v>11.942299999999999</v>
      </c>
      <c r="HG97">
        <v>4.9867999999999997</v>
      </c>
      <c r="HH97">
        <v>3.2905000000000002</v>
      </c>
      <c r="HI97">
        <v>9999</v>
      </c>
      <c r="HJ97">
        <v>9999</v>
      </c>
      <c r="HK97">
        <v>9999</v>
      </c>
      <c r="HL97">
        <v>999.9</v>
      </c>
      <c r="HM97">
        <v>1.87046</v>
      </c>
      <c r="HN97">
        <v>1.87653</v>
      </c>
      <c r="HO97">
        <v>1.8743700000000001</v>
      </c>
      <c r="HP97">
        <v>1.8725799999999999</v>
      </c>
      <c r="HQ97">
        <v>1.8730500000000001</v>
      </c>
      <c r="HR97">
        <v>1.87042</v>
      </c>
      <c r="HS97">
        <v>1.8763300000000001</v>
      </c>
      <c r="HT97">
        <v>1.8754599999999999</v>
      </c>
      <c r="HU97">
        <v>5</v>
      </c>
      <c r="HV97">
        <v>0</v>
      </c>
      <c r="HW97">
        <v>0</v>
      </c>
      <c r="HX97">
        <v>0</v>
      </c>
      <c r="HY97" t="s">
        <v>417</v>
      </c>
      <c r="HZ97" t="s">
        <v>418</v>
      </c>
      <c r="IA97" t="s">
        <v>419</v>
      </c>
      <c r="IB97" t="s">
        <v>420</v>
      </c>
      <c r="IC97" t="s">
        <v>420</v>
      </c>
      <c r="ID97" t="s">
        <v>419</v>
      </c>
      <c r="IE97">
        <v>0</v>
      </c>
      <c r="IF97">
        <v>100</v>
      </c>
      <c r="IG97">
        <v>100</v>
      </c>
      <c r="IH97">
        <v>-0.57499999999999996</v>
      </c>
      <c r="II97">
        <v>0.127</v>
      </c>
      <c r="IJ97">
        <v>-0.22918048762695739</v>
      </c>
      <c r="IK97">
        <v>-1.615681629159814E-3</v>
      </c>
      <c r="IL97">
        <v>1.5005605225991581E-6</v>
      </c>
      <c r="IM97">
        <v>-5.1143626075267638E-10</v>
      </c>
      <c r="IN97">
        <v>-0.19249206549355791</v>
      </c>
      <c r="IO97">
        <v>-1.7182111142928099E-3</v>
      </c>
      <c r="IP97">
        <v>9.9985895407488957E-4</v>
      </c>
      <c r="IQ97">
        <v>-5.7750407166627208E-6</v>
      </c>
      <c r="IR97">
        <v>3</v>
      </c>
      <c r="IS97">
        <v>2181</v>
      </c>
      <c r="IT97">
        <v>2</v>
      </c>
      <c r="IU97">
        <v>42</v>
      </c>
      <c r="IV97">
        <v>2.2999999999999998</v>
      </c>
      <c r="IW97">
        <v>2.2999999999999998</v>
      </c>
      <c r="IX97">
        <v>1.5075700000000001</v>
      </c>
      <c r="IY97">
        <v>2.5390600000000001</v>
      </c>
      <c r="IZ97">
        <v>1.5991200000000001</v>
      </c>
      <c r="JA97">
        <v>2.2668499999999998</v>
      </c>
      <c r="JB97">
        <v>1.5502899999999999</v>
      </c>
      <c r="JC97">
        <v>2.3584000000000001</v>
      </c>
      <c r="JD97">
        <v>44.501399999999997</v>
      </c>
      <c r="JE97">
        <v>14.946300000000001</v>
      </c>
      <c r="JF97">
        <v>18</v>
      </c>
      <c r="JG97">
        <v>498.91399999999999</v>
      </c>
      <c r="JH97">
        <v>445.63099999999997</v>
      </c>
      <c r="JI97">
        <v>22.659500000000001</v>
      </c>
      <c r="JJ97">
        <v>36.610799999999998</v>
      </c>
      <c r="JK97">
        <v>30.000800000000002</v>
      </c>
      <c r="JL97">
        <v>36.568399999999997</v>
      </c>
      <c r="JM97">
        <v>36.525799999999997</v>
      </c>
      <c r="JN97">
        <v>30.181899999999999</v>
      </c>
      <c r="JO97">
        <v>19.088100000000001</v>
      </c>
      <c r="JP97">
        <v>3.7050200000000002</v>
      </c>
      <c r="JQ97">
        <v>22.630500000000001</v>
      </c>
      <c r="JR97">
        <v>700</v>
      </c>
      <c r="JS97">
        <v>20.330500000000001</v>
      </c>
      <c r="JT97">
        <v>98.549499999999995</v>
      </c>
      <c r="JU97">
        <v>98.1571</v>
      </c>
    </row>
    <row r="98" spans="1:281" x14ac:dyDescent="0.25">
      <c r="A98">
        <v>82</v>
      </c>
      <c r="B98">
        <v>1691183549.5999999</v>
      </c>
      <c r="C98">
        <v>23819</v>
      </c>
      <c r="D98" t="s">
        <v>835</v>
      </c>
      <c r="E98" t="s">
        <v>836</v>
      </c>
      <c r="F98" t="s">
        <v>411</v>
      </c>
      <c r="G98" t="s">
        <v>31</v>
      </c>
      <c r="H98" t="s">
        <v>412</v>
      </c>
      <c r="I98" t="s">
        <v>781</v>
      </c>
      <c r="J98">
        <v>1691183549.5999999</v>
      </c>
      <c r="K98">
        <f t="shared" si="92"/>
        <v>3.5525813380623064E-3</v>
      </c>
      <c r="L98">
        <f t="shared" si="93"/>
        <v>3.5525813380623066</v>
      </c>
      <c r="M98">
        <f t="shared" si="94"/>
        <v>50.022225999335767</v>
      </c>
      <c r="N98">
        <f t="shared" si="95"/>
        <v>836.31200000000001</v>
      </c>
      <c r="O98">
        <f t="shared" si="96"/>
        <v>404.55056646888789</v>
      </c>
      <c r="P98">
        <f t="shared" si="97"/>
        <v>40.098514986154008</v>
      </c>
      <c r="Q98">
        <f t="shared" si="98"/>
        <v>82.894134984926396</v>
      </c>
      <c r="R98">
        <f t="shared" si="99"/>
        <v>0.19983337306653581</v>
      </c>
      <c r="S98">
        <f t="shared" si="100"/>
        <v>2.914899544780682</v>
      </c>
      <c r="T98">
        <f t="shared" si="101"/>
        <v>0.1925225302985209</v>
      </c>
      <c r="U98">
        <f t="shared" si="102"/>
        <v>0.12096114785097206</v>
      </c>
      <c r="V98">
        <f t="shared" si="103"/>
        <v>289.54832101273581</v>
      </c>
      <c r="W98">
        <f t="shared" si="104"/>
        <v>30.467414845397549</v>
      </c>
      <c r="X98">
        <f t="shared" si="105"/>
        <v>30.055700000000002</v>
      </c>
      <c r="Y98">
        <f t="shared" si="106"/>
        <v>4.274099512797032</v>
      </c>
      <c r="Z98">
        <f t="shared" si="107"/>
        <v>59.946517884326958</v>
      </c>
      <c r="AA98">
        <f t="shared" si="108"/>
        <v>2.5076528473238997</v>
      </c>
      <c r="AB98">
        <f t="shared" si="109"/>
        <v>4.18315014086836</v>
      </c>
      <c r="AC98">
        <f t="shared" si="110"/>
        <v>1.7664466654731323</v>
      </c>
      <c r="AD98">
        <f t="shared" si="111"/>
        <v>-156.66883700854771</v>
      </c>
      <c r="AE98">
        <f t="shared" si="112"/>
        <v>-58.78909083899898</v>
      </c>
      <c r="AF98">
        <f t="shared" si="113"/>
        <v>-4.4786537739847398</v>
      </c>
      <c r="AG98">
        <f t="shared" si="114"/>
        <v>69.611739391204395</v>
      </c>
      <c r="AH98">
        <v>1</v>
      </c>
      <c r="AI98">
        <v>0</v>
      </c>
      <c r="AJ98">
        <f t="shared" si="115"/>
        <v>1</v>
      </c>
      <c r="AK98">
        <f t="shared" si="116"/>
        <v>0</v>
      </c>
      <c r="AL98">
        <f t="shared" si="117"/>
        <v>51969.064484310511</v>
      </c>
      <c r="AM98" t="s">
        <v>414</v>
      </c>
      <c r="AN98">
        <v>7361.72</v>
      </c>
      <c r="AO98">
        <v>541.39076923076925</v>
      </c>
      <c r="AP98">
        <v>2141.9899999999998</v>
      </c>
      <c r="AQ98">
        <f t="shared" si="118"/>
        <v>0.74724869433061347</v>
      </c>
      <c r="AR98">
        <v>-0.96077199609010144</v>
      </c>
      <c r="AS98" t="s">
        <v>837</v>
      </c>
      <c r="AT98">
        <v>7335.64</v>
      </c>
      <c r="AU98">
        <v>751.80326923076916</v>
      </c>
      <c r="AV98">
        <v>1143.969877560867</v>
      </c>
      <c r="AW98">
        <f t="shared" si="119"/>
        <v>0.34281200582506766</v>
      </c>
      <c r="AX98">
        <v>0.5</v>
      </c>
      <c r="AY98">
        <f t="shared" si="120"/>
        <v>1513.0617000065988</v>
      </c>
      <c r="AZ98">
        <f t="shared" si="121"/>
        <v>50.022225999335767</v>
      </c>
      <c r="BA98">
        <f t="shared" si="122"/>
        <v>259.34785815817446</v>
      </c>
      <c r="BB98">
        <f t="shared" si="123"/>
        <v>3.3695253799103847E-2</v>
      </c>
      <c r="BC98">
        <f t="shared" si="124"/>
        <v>0.87241818339402155</v>
      </c>
      <c r="BD98">
        <f t="shared" si="125"/>
        <v>443.57937283898707</v>
      </c>
      <c r="BE98" t="s">
        <v>838</v>
      </c>
      <c r="BF98">
        <v>592.04999999999995</v>
      </c>
      <c r="BG98">
        <f t="shared" si="126"/>
        <v>592.04999999999995</v>
      </c>
      <c r="BH98">
        <f t="shared" si="127"/>
        <v>0.48246014898368783</v>
      </c>
      <c r="BI98">
        <f t="shared" si="128"/>
        <v>0.71054989007321767</v>
      </c>
      <c r="BJ98">
        <f t="shared" si="129"/>
        <v>0.64390887546558762</v>
      </c>
      <c r="BK98">
        <f t="shared" si="130"/>
        <v>0.65081348309086373</v>
      </c>
      <c r="BL98">
        <f t="shared" si="131"/>
        <v>0.6235290529032026</v>
      </c>
      <c r="BM98">
        <f t="shared" si="132"/>
        <v>0.55956269363962907</v>
      </c>
      <c r="BN98">
        <f t="shared" si="133"/>
        <v>0.44043730636037093</v>
      </c>
      <c r="BO98">
        <v>1593</v>
      </c>
      <c r="BP98">
        <v>290.00000000000011</v>
      </c>
      <c r="BQ98">
        <v>1011.69</v>
      </c>
      <c r="BR98">
        <v>285</v>
      </c>
      <c r="BS98">
        <v>7335.64</v>
      </c>
      <c r="BT98">
        <v>1013.53</v>
      </c>
      <c r="BU98">
        <v>-1.84</v>
      </c>
      <c r="BV98">
        <v>300.00000000000011</v>
      </c>
      <c r="BW98">
        <v>37.9</v>
      </c>
      <c r="BX98">
        <v>1143.969877560867</v>
      </c>
      <c r="BY98">
        <v>1.928457773401673</v>
      </c>
      <c r="BZ98">
        <v>-95.683394205245932</v>
      </c>
      <c r="CA98">
        <v>1.1859196967408709</v>
      </c>
      <c r="CB98">
        <v>0.99571716400756283</v>
      </c>
      <c r="CC98">
        <v>-7.2279432703003426E-3</v>
      </c>
      <c r="CD98">
        <v>289.99999999999989</v>
      </c>
      <c r="CE98">
        <v>1002.56</v>
      </c>
      <c r="CF98">
        <v>675</v>
      </c>
      <c r="CG98">
        <v>7330.1</v>
      </c>
      <c r="CH98">
        <v>1013.43</v>
      </c>
      <c r="CI98">
        <v>-10.87</v>
      </c>
      <c r="CW98">
        <f t="shared" si="134"/>
        <v>1799.85</v>
      </c>
      <c r="CX98">
        <f t="shared" si="135"/>
        <v>1513.0617000065988</v>
      </c>
      <c r="CY98">
        <f t="shared" si="136"/>
        <v>0.84065988832769334</v>
      </c>
      <c r="CZ98">
        <f t="shared" si="137"/>
        <v>0.16087358447244818</v>
      </c>
      <c r="DA98">
        <v>6</v>
      </c>
      <c r="DB98">
        <v>0.5</v>
      </c>
      <c r="DC98" t="s">
        <v>415</v>
      </c>
      <c r="DD98">
        <v>2</v>
      </c>
      <c r="DE98">
        <v>1691183549.5999999</v>
      </c>
      <c r="DF98">
        <v>836.31200000000001</v>
      </c>
      <c r="DG98">
        <v>899.91399999999999</v>
      </c>
      <c r="DH98">
        <v>25.299499999999998</v>
      </c>
      <c r="DI98">
        <v>21.143599999999999</v>
      </c>
      <c r="DJ98">
        <v>836.80700000000002</v>
      </c>
      <c r="DK98">
        <v>25.006799999999998</v>
      </c>
      <c r="DL98">
        <v>499.92099999999999</v>
      </c>
      <c r="DM98">
        <v>99.018699999999995</v>
      </c>
      <c r="DN98">
        <v>9.9972199999999997E-2</v>
      </c>
      <c r="DO98">
        <v>29.6816</v>
      </c>
      <c r="DP98">
        <v>30.055700000000002</v>
      </c>
      <c r="DQ98">
        <v>999.9</v>
      </c>
      <c r="DR98">
        <v>0</v>
      </c>
      <c r="DS98">
        <v>0</v>
      </c>
      <c r="DT98">
        <v>10015</v>
      </c>
      <c r="DU98">
        <v>0</v>
      </c>
      <c r="DV98">
        <v>1022.79</v>
      </c>
      <c r="DW98">
        <v>-63.6023</v>
      </c>
      <c r="DX98">
        <v>858.01900000000001</v>
      </c>
      <c r="DY98">
        <v>919.35199999999998</v>
      </c>
      <c r="DZ98">
        <v>4.1559299999999997</v>
      </c>
      <c r="EA98">
        <v>899.91399999999999</v>
      </c>
      <c r="EB98">
        <v>21.143599999999999</v>
      </c>
      <c r="EC98">
        <v>2.5051199999999998</v>
      </c>
      <c r="ED98">
        <v>2.09361</v>
      </c>
      <c r="EE98">
        <v>21.059799999999999</v>
      </c>
      <c r="EF98">
        <v>18.1706</v>
      </c>
      <c r="EG98">
        <v>1799.85</v>
      </c>
      <c r="EH98">
        <v>0.97800500000000001</v>
      </c>
      <c r="EI98">
        <v>2.1995000000000001E-2</v>
      </c>
      <c r="EJ98">
        <v>0</v>
      </c>
      <c r="EK98">
        <v>751.6</v>
      </c>
      <c r="EL98">
        <v>9.9989999999999996E-2</v>
      </c>
      <c r="EM98">
        <v>14525.5</v>
      </c>
      <c r="EN98">
        <v>16703.900000000001</v>
      </c>
      <c r="EO98">
        <v>49.25</v>
      </c>
      <c r="EP98">
        <v>51.125</v>
      </c>
      <c r="EQ98">
        <v>50.375</v>
      </c>
      <c r="ER98">
        <v>50.061999999999998</v>
      </c>
      <c r="ES98">
        <v>50.25</v>
      </c>
      <c r="ET98">
        <v>1760.16</v>
      </c>
      <c r="EU98">
        <v>39.590000000000003</v>
      </c>
      <c r="EV98">
        <v>0</v>
      </c>
      <c r="EW98">
        <v>115.7999999523163</v>
      </c>
      <c r="EX98">
        <v>0</v>
      </c>
      <c r="EY98">
        <v>751.80326923076916</v>
      </c>
      <c r="EZ98">
        <v>-6.7061538743641993</v>
      </c>
      <c r="FA98">
        <v>-78.632478114501993</v>
      </c>
      <c r="FB98">
        <v>14539.58461538462</v>
      </c>
      <c r="FC98">
        <v>15</v>
      </c>
      <c r="FD98">
        <v>1691183518.5999999</v>
      </c>
      <c r="FE98" t="s">
        <v>839</v>
      </c>
      <c r="FF98">
        <v>1691183516.0999999</v>
      </c>
      <c r="FG98">
        <v>1691183518.5999999</v>
      </c>
      <c r="FH98">
        <v>107</v>
      </c>
      <c r="FI98">
        <v>0.109</v>
      </c>
      <c r="FJ98">
        <v>-1E-3</v>
      </c>
      <c r="FK98">
        <v>-0.50700000000000001</v>
      </c>
      <c r="FL98">
        <v>0.14099999999999999</v>
      </c>
      <c r="FM98">
        <v>900</v>
      </c>
      <c r="FN98">
        <v>21</v>
      </c>
      <c r="FO98">
        <v>7.0000000000000007E-2</v>
      </c>
      <c r="FP98">
        <v>0.05</v>
      </c>
      <c r="FQ98">
        <v>50.357797068770807</v>
      </c>
      <c r="FR98">
        <v>-0.65499278002858985</v>
      </c>
      <c r="FS98">
        <v>0.13320277691255619</v>
      </c>
      <c r="FT98">
        <v>1</v>
      </c>
      <c r="FU98">
        <v>0.20799353447096461</v>
      </c>
      <c r="FV98">
        <v>-2.51030026802588E-2</v>
      </c>
      <c r="FW98">
        <v>2.7361959263583571E-3</v>
      </c>
      <c r="FX98">
        <v>1</v>
      </c>
      <c r="FY98">
        <v>2</v>
      </c>
      <c r="FZ98">
        <v>2</v>
      </c>
      <c r="GA98" t="s">
        <v>416</v>
      </c>
      <c r="GB98">
        <v>2.96523</v>
      </c>
      <c r="GC98">
        <v>2.8117899999999998</v>
      </c>
      <c r="GD98">
        <v>0.16215199999999999</v>
      </c>
      <c r="GE98">
        <v>0.16834399999999999</v>
      </c>
      <c r="GF98">
        <v>0.12209</v>
      </c>
      <c r="GG98">
        <v>0.107062</v>
      </c>
      <c r="GH98">
        <v>24598.1</v>
      </c>
      <c r="GI98">
        <v>22460.2</v>
      </c>
      <c r="GJ98">
        <v>26410</v>
      </c>
      <c r="GK98">
        <v>25508.2</v>
      </c>
      <c r="GL98">
        <v>31563.7</v>
      </c>
      <c r="GM98">
        <v>32172.9</v>
      </c>
      <c r="GN98">
        <v>37366.199999999997</v>
      </c>
      <c r="GO98">
        <v>37828.5</v>
      </c>
      <c r="GP98">
        <v>1.9001999999999999</v>
      </c>
      <c r="GQ98">
        <v>1.8694</v>
      </c>
      <c r="GR98">
        <v>-2.0623200000000001E-2</v>
      </c>
      <c r="GS98">
        <v>0</v>
      </c>
      <c r="GT98">
        <v>30.391200000000001</v>
      </c>
      <c r="GU98">
        <v>999.9</v>
      </c>
      <c r="GV98">
        <v>27.2</v>
      </c>
      <c r="GW98">
        <v>42.8</v>
      </c>
      <c r="GX98">
        <v>23.6157</v>
      </c>
      <c r="GY98">
        <v>62.074399999999997</v>
      </c>
      <c r="GZ98">
        <v>12.476000000000001</v>
      </c>
      <c r="HA98">
        <v>1</v>
      </c>
      <c r="HB98">
        <v>0.76443099999999997</v>
      </c>
      <c r="HC98">
        <v>6.3139099999999999</v>
      </c>
      <c r="HD98">
        <v>20.189299999999999</v>
      </c>
      <c r="HE98">
        <v>5.2065099999999997</v>
      </c>
      <c r="HF98">
        <v>11.9435</v>
      </c>
      <c r="HG98">
        <v>4.9878</v>
      </c>
      <c r="HH98">
        <v>3.2906</v>
      </c>
      <c r="HI98">
        <v>9999</v>
      </c>
      <c r="HJ98">
        <v>9999</v>
      </c>
      <c r="HK98">
        <v>9999</v>
      </c>
      <c r="HL98">
        <v>999.9</v>
      </c>
      <c r="HM98">
        <v>1.8704799999999999</v>
      </c>
      <c r="HN98">
        <v>1.87659</v>
      </c>
      <c r="HO98">
        <v>1.8743700000000001</v>
      </c>
      <c r="HP98">
        <v>1.87259</v>
      </c>
      <c r="HQ98">
        <v>1.8731100000000001</v>
      </c>
      <c r="HR98">
        <v>1.87042</v>
      </c>
      <c r="HS98">
        <v>1.8763700000000001</v>
      </c>
      <c r="HT98">
        <v>1.8754599999999999</v>
      </c>
      <c r="HU98">
        <v>5</v>
      </c>
      <c r="HV98">
        <v>0</v>
      </c>
      <c r="HW98">
        <v>0</v>
      </c>
      <c r="HX98">
        <v>0</v>
      </c>
      <c r="HY98" t="s">
        <v>417</v>
      </c>
      <c r="HZ98" t="s">
        <v>418</v>
      </c>
      <c r="IA98" t="s">
        <v>419</v>
      </c>
      <c r="IB98" t="s">
        <v>420</v>
      </c>
      <c r="IC98" t="s">
        <v>420</v>
      </c>
      <c r="ID98" t="s">
        <v>419</v>
      </c>
      <c r="IE98">
        <v>0</v>
      </c>
      <c r="IF98">
        <v>100</v>
      </c>
      <c r="IG98">
        <v>100</v>
      </c>
      <c r="IH98">
        <v>-0.495</v>
      </c>
      <c r="II98">
        <v>0.29270000000000002</v>
      </c>
      <c r="IJ98">
        <v>0.1050910689357881</v>
      </c>
      <c r="IK98">
        <v>-1.615681629159814E-3</v>
      </c>
      <c r="IL98">
        <v>1.5005605225991581E-6</v>
      </c>
      <c r="IM98">
        <v>-5.1143626075267638E-10</v>
      </c>
      <c r="IN98">
        <v>-0.1993299035841859</v>
      </c>
      <c r="IO98">
        <v>-1.7182111142928099E-3</v>
      </c>
      <c r="IP98">
        <v>9.9985895407488957E-4</v>
      </c>
      <c r="IQ98">
        <v>-5.7750407166627208E-6</v>
      </c>
      <c r="IR98">
        <v>3</v>
      </c>
      <c r="IS98">
        <v>2181</v>
      </c>
      <c r="IT98">
        <v>2</v>
      </c>
      <c r="IU98">
        <v>42</v>
      </c>
      <c r="IV98">
        <v>0.6</v>
      </c>
      <c r="IW98">
        <v>0.5</v>
      </c>
      <c r="IX98">
        <v>1.85425</v>
      </c>
      <c r="IY98">
        <v>2.5305200000000001</v>
      </c>
      <c r="IZ98">
        <v>1.5991200000000001</v>
      </c>
      <c r="JA98">
        <v>2.2656200000000002</v>
      </c>
      <c r="JB98">
        <v>1.5502899999999999</v>
      </c>
      <c r="JC98">
        <v>2.33521</v>
      </c>
      <c r="JD98">
        <v>44.389899999999997</v>
      </c>
      <c r="JE98">
        <v>14.911300000000001</v>
      </c>
      <c r="JF98">
        <v>18</v>
      </c>
      <c r="JG98">
        <v>499.596</v>
      </c>
      <c r="JH98">
        <v>448.23500000000001</v>
      </c>
      <c r="JI98">
        <v>22.594200000000001</v>
      </c>
      <c r="JJ98">
        <v>36.498100000000001</v>
      </c>
      <c r="JK98">
        <v>30.000399999999999</v>
      </c>
      <c r="JL98">
        <v>36.473199999999999</v>
      </c>
      <c r="JM98">
        <v>36.431100000000001</v>
      </c>
      <c r="JN98">
        <v>37.117899999999999</v>
      </c>
      <c r="JO98">
        <v>17.629300000000001</v>
      </c>
      <c r="JP98">
        <v>7.7624700000000004</v>
      </c>
      <c r="JQ98">
        <v>22.518799999999999</v>
      </c>
      <c r="JR98">
        <v>900</v>
      </c>
      <c r="JS98">
        <v>21.014500000000002</v>
      </c>
      <c r="JT98">
        <v>98.572299999999998</v>
      </c>
      <c r="JU98">
        <v>98.173900000000003</v>
      </c>
    </row>
    <row r="99" spans="1:281" x14ac:dyDescent="0.25">
      <c r="A99">
        <v>83</v>
      </c>
      <c r="B99">
        <v>1691183735.5999999</v>
      </c>
      <c r="C99">
        <v>24005</v>
      </c>
      <c r="D99" t="s">
        <v>840</v>
      </c>
      <c r="E99" t="s">
        <v>841</v>
      </c>
      <c r="F99" t="s">
        <v>411</v>
      </c>
      <c r="G99" t="s">
        <v>31</v>
      </c>
      <c r="H99" t="s">
        <v>412</v>
      </c>
      <c r="I99" t="s">
        <v>781</v>
      </c>
      <c r="J99">
        <v>1691183735.5999999</v>
      </c>
      <c r="K99">
        <f t="shared" ref="K99:K114" si="138">(L99)/1000</f>
        <v>2.345952826103614E-3</v>
      </c>
      <c r="L99">
        <f t="shared" ref="L99:L114" si="139">1000*DL99*AJ99*(DH99-DI99)/(100*DA99*(1000-AJ99*DH99))</f>
        <v>2.345952826103614</v>
      </c>
      <c r="M99">
        <f t="shared" ref="M99:M114" si="140">DL99*AJ99*(DG99-DF99*(1000-AJ99*DI99)/(1000-AJ99*DH99))/(100*DA99)</f>
        <v>48.254314614401352</v>
      </c>
      <c r="N99">
        <f t="shared" ref="N99:N114" si="141">DF99 - IF(AJ99&gt;1, M99*DA99*100/(AL99*DT99), 0)</f>
        <v>1139</v>
      </c>
      <c r="O99">
        <f t="shared" ref="O99:O114" si="142">((U99-K99/2)*N99-M99)/(U99+K99/2)</f>
        <v>510.48183952847455</v>
      </c>
      <c r="P99">
        <f t="shared" ref="P99:P114" si="143">O99*(DM99+DN99)/1000</f>
        <v>50.597227869180877</v>
      </c>
      <c r="Q99">
        <f t="shared" ref="Q99:Q114" si="144">(DF99 - IF(AJ99&gt;1, M99*DA99*100/(AL99*DT99), 0))*(DM99+DN99)/1000</f>
        <v>112.89381537300001</v>
      </c>
      <c r="R99">
        <f t="shared" ref="R99:R114" si="145">2/((1/T99-1/S99)+SIGN(T99)*SQRT((1/T99-1/S99)*(1/T99-1/S99) + 4*DB99/((DB99+1)*(DB99+1))*(2*1/T99*1/S99-1/S99*1/S99)))</f>
        <v>0.1304806012621032</v>
      </c>
      <c r="S99">
        <f t="shared" ref="S99:S114" si="146">IF(LEFT(DC99,1)&lt;&gt;"0",IF(LEFT(DC99,1)="1",3,DD99),$D$5+$E$5*(DT99*DM99/($K$5*1000))+$F$5*(DT99*DM99/($K$5*1000))*MAX(MIN(DA99,$J$5),$I$5)*MAX(MIN(DA99,$J$5),$I$5)+$G$5*MAX(MIN(DA99,$J$5),$I$5)*(DT99*DM99/($K$5*1000))+$H$5*(DT99*DM99/($K$5*1000))*(DT99*DM99/($K$5*1000)))</f>
        <v>2.9152991185466051</v>
      </c>
      <c r="T99">
        <f t="shared" ref="T99:T114" si="147">K99*(1000-(1000*0.61365*EXP(17.502*X99/(240.97+X99))/(DM99+DN99)+DH99)/2)/(1000*0.61365*EXP(17.502*X99/(240.97+X99))/(DM99+DN99)-DH99)</f>
        <v>0.12732092754982932</v>
      </c>
      <c r="U99">
        <f t="shared" ref="U99:U114" si="148">1/((DB99+1)/(R99/1.6)+1/(S99/1.37)) + DB99/((DB99+1)/(R99/1.6) + DB99/(S99/1.37))</f>
        <v>7.9853091067842497E-2</v>
      </c>
      <c r="V99">
        <f t="shared" ref="V99:V114" si="149">(CW99*CZ99)</f>
        <v>289.53018601273345</v>
      </c>
      <c r="W99">
        <f t="shared" ref="W99:W114" si="150">(DO99+(V99+2*0.95*0.0000000567*(((DO99+$B$7)+273)^4-(DO99+273)^4)-44100*K99)/(1.84*29.3*S99+8*0.95*0.0000000567*(DO99+273)^3))</f>
        <v>30.619476453695878</v>
      </c>
      <c r="X99">
        <f t="shared" ref="X99:X114" si="151">($C$7*DP99+$D$7*DQ99+$E$7*W99)</f>
        <v>30.009599999999999</v>
      </c>
      <c r="Y99">
        <f t="shared" ref="Y99:Y114" si="152">0.61365*EXP(17.502*X99/(240.97+X99))</f>
        <v>4.2627996177170457</v>
      </c>
      <c r="Z99">
        <f t="shared" ref="Z99:Z114" si="153">(AA99/AB99*100)</f>
        <v>60.297173564901904</v>
      </c>
      <c r="AA99">
        <f t="shared" ref="AA99:AA114" si="154">DH99*(DM99+DN99)/1000</f>
        <v>2.4988188674162997</v>
      </c>
      <c r="AB99">
        <f t="shared" ref="AB99:AB114" si="155">0.61365*EXP(17.502*DO99/(240.97+DO99))</f>
        <v>4.1441724705829746</v>
      </c>
      <c r="AC99">
        <f t="shared" ref="AC99:AC114" si="156">(Y99-DH99*(DM99+DN99)/1000)</f>
        <v>1.7639807503007461</v>
      </c>
      <c r="AD99">
        <f t="shared" ref="AD99:AD114" si="157">(-K99*44100)</f>
        <v>-103.45651963116937</v>
      </c>
      <c r="AE99">
        <f t="shared" ref="AE99:AE114" si="158">2*29.3*S99*0.92*(DO99-X99)</f>
        <v>-77.091691781790558</v>
      </c>
      <c r="AF99">
        <f t="shared" ref="AF99:AF114" si="159">2*0.95*0.0000000567*(((DO99+$B$7)+273)^4-(X99+273)^4)</f>
        <v>-5.8661093853020398</v>
      </c>
      <c r="AG99">
        <f t="shared" ref="AG99:AG114" si="160">V99+AF99+AD99+AE99</f>
        <v>103.11586521447148</v>
      </c>
      <c r="AH99">
        <v>2</v>
      </c>
      <c r="AI99">
        <v>0</v>
      </c>
      <c r="AJ99">
        <f t="shared" ref="AJ99:AJ114" si="161">IF(AH99*$H$13&gt;=AL99,1,(AL99/(AL99-AH99*$H$13)))</f>
        <v>1</v>
      </c>
      <c r="AK99">
        <f t="shared" ref="AK99:AK114" si="162">(AJ99-1)*100</f>
        <v>0</v>
      </c>
      <c r="AL99">
        <f t="shared" ref="AL99:AL114" si="163">MAX(0,($B$13+$C$13*DT99)/(1+$D$13*DT99)*DM99/(DO99+273)*$E$13)</f>
        <v>52008.321084942749</v>
      </c>
      <c r="AM99" t="s">
        <v>414</v>
      </c>
      <c r="AN99">
        <v>7361.72</v>
      </c>
      <c r="AO99">
        <v>541.39076923076925</v>
      </c>
      <c r="AP99">
        <v>2141.9899999999998</v>
      </c>
      <c r="AQ99">
        <f t="shared" ref="AQ99:AQ114" si="164">1-AO99/AP99</f>
        <v>0.74724869433061347</v>
      </c>
      <c r="AR99">
        <v>-0.96077199609010144</v>
      </c>
      <c r="AS99" t="s">
        <v>842</v>
      </c>
      <c r="AT99">
        <v>7335.09</v>
      </c>
      <c r="AU99">
        <v>743.34220000000005</v>
      </c>
      <c r="AV99">
        <v>1122.896378409758</v>
      </c>
      <c r="AW99">
        <f t="shared" ref="AW99:AW114" si="165">1-AU99/AV99</f>
        <v>0.33801353865552697</v>
      </c>
      <c r="AX99">
        <v>0.5</v>
      </c>
      <c r="AY99">
        <f t="shared" ref="AY99:AY114" si="166">CX99</f>
        <v>1512.9690000065978</v>
      </c>
      <c r="AZ99">
        <f t="shared" ref="AZ99:AZ114" si="167">M99</f>
        <v>48.254314614401352</v>
      </c>
      <c r="BA99">
        <f t="shared" ref="BA99:BA114" si="168">AW99*AX99*AY99</f>
        <v>255.70200278417207</v>
      </c>
      <c r="BB99">
        <f t="shared" ref="BB99:BB114" si="169">(AZ99-AR99)/AY99</f>
        <v>3.2528813617646389E-2</v>
      </c>
      <c r="BC99">
        <f t="shared" ref="BC99:BC114" si="170">(AP99-AV99)/AV99</f>
        <v>0.90755802688889131</v>
      </c>
      <c r="BD99">
        <f t="shared" ref="BD99:BD114" si="171">AO99/(AQ99+AO99/AV99)</f>
        <v>440.37475576820435</v>
      </c>
      <c r="BE99" t="s">
        <v>843</v>
      </c>
      <c r="BF99">
        <v>593.97</v>
      </c>
      <c r="BG99">
        <f t="shared" ref="BG99:BG114" si="172">IF(BF99&lt;&gt;0, BF99, BD99)</f>
        <v>593.97</v>
      </c>
      <c r="BH99">
        <f t="shared" ref="BH99:BH114" si="173">1-BG99/AV99</f>
        <v>0.47103756729434076</v>
      </c>
      <c r="BI99">
        <f t="shared" ref="BI99:BI114" si="174">(AV99-AU99)/(AV99-BG99)</f>
        <v>0.71759358939689377</v>
      </c>
      <c r="BJ99">
        <f t="shared" ref="BJ99:BJ114" si="175">(AP99-AV99)/(AP99-BG99)</f>
        <v>0.6583207074780959</v>
      </c>
      <c r="BK99">
        <f t="shared" ref="BK99:BK114" si="176">(AV99-AU99)/(AV99-AO99)</f>
        <v>0.65270940197058414</v>
      </c>
      <c r="BL99">
        <f t="shared" ref="BL99:BL114" si="177">(AP99-AV99)/(AP99-AO99)</f>
        <v>0.63669505895018863</v>
      </c>
      <c r="BM99">
        <f t="shared" ref="BM99:BM114" si="178">(BI99*BG99/AU99)</f>
        <v>0.57339548904134996</v>
      </c>
      <c r="BN99">
        <f t="shared" ref="BN99:BN114" si="179">(1-BM99)</f>
        <v>0.42660451095865004</v>
      </c>
      <c r="BO99">
        <v>1595</v>
      </c>
      <c r="BP99">
        <v>290.00000000000011</v>
      </c>
      <c r="BQ99">
        <v>996.1</v>
      </c>
      <c r="BR99">
        <v>295</v>
      </c>
      <c r="BS99">
        <v>7335.09</v>
      </c>
      <c r="BT99">
        <v>998.33</v>
      </c>
      <c r="BU99">
        <v>-2.23</v>
      </c>
      <c r="BV99">
        <v>300.00000000000011</v>
      </c>
      <c r="BW99">
        <v>37.9</v>
      </c>
      <c r="BX99">
        <v>1122.896378409758</v>
      </c>
      <c r="BY99">
        <v>1.7866516025039261</v>
      </c>
      <c r="BZ99">
        <v>-91.370405425853818</v>
      </c>
      <c r="CA99">
        <v>1.098631432003254</v>
      </c>
      <c r="CB99">
        <v>0.99596822349184255</v>
      </c>
      <c r="CC99">
        <v>-7.2274609566184631E-3</v>
      </c>
      <c r="CD99">
        <v>289.99999999999989</v>
      </c>
      <c r="CE99">
        <v>990.27</v>
      </c>
      <c r="CF99">
        <v>665</v>
      </c>
      <c r="CG99">
        <v>7329.92</v>
      </c>
      <c r="CH99">
        <v>998.24</v>
      </c>
      <c r="CI99">
        <v>-7.97</v>
      </c>
      <c r="CW99">
        <f t="shared" ref="CW99:CW114" si="180">$B$11*DU99+$C$11*DV99+$F$11*EG99*(1-EJ99)</f>
        <v>1799.74</v>
      </c>
      <c r="CX99">
        <f t="shared" ref="CX99:CX114" si="181">CW99*CY99</f>
        <v>1512.9690000065978</v>
      </c>
      <c r="CY99">
        <f t="shared" ref="CY99:CY114" si="182">($B$11*$D$9+$C$11*$D$9+$F$11*((ET99+EL99)/MAX(ET99+EL99+EU99, 0.1)*$I$9+EU99/MAX(ET99+EL99+EU99, 0.1)*$J$9))/($B$11+$C$11+$F$11)</f>
        <v>0.84065976196928316</v>
      </c>
      <c r="CZ99">
        <f t="shared" ref="CZ99:CZ114" si="183">($B$11*$K$9+$C$11*$K$9+$F$11*((ET99+EL99)/MAX(ET99+EL99+EU99, 0.1)*$P$9+EU99/MAX(ET99+EL99+EU99, 0.1)*$Q$9))/($B$11+$C$11+$F$11)</f>
        <v>0.16087334060071645</v>
      </c>
      <c r="DA99">
        <v>6</v>
      </c>
      <c r="DB99">
        <v>0.5</v>
      </c>
      <c r="DC99" t="s">
        <v>415</v>
      </c>
      <c r="DD99">
        <v>2</v>
      </c>
      <c r="DE99">
        <v>1691183735.5999999</v>
      </c>
      <c r="DF99">
        <v>1139</v>
      </c>
      <c r="DG99">
        <v>1200.0899999999999</v>
      </c>
      <c r="DH99">
        <v>25.210899999999999</v>
      </c>
      <c r="DI99">
        <v>22.467700000000001</v>
      </c>
      <c r="DJ99">
        <v>1139.73</v>
      </c>
      <c r="DK99">
        <v>24.934200000000001</v>
      </c>
      <c r="DL99">
        <v>500.17700000000002</v>
      </c>
      <c r="DM99">
        <v>99.016599999999997</v>
      </c>
      <c r="DN99">
        <v>0.100007</v>
      </c>
      <c r="DO99">
        <v>29.519100000000002</v>
      </c>
      <c r="DP99">
        <v>30.009599999999999</v>
      </c>
      <c r="DQ99">
        <v>999.9</v>
      </c>
      <c r="DR99">
        <v>0</v>
      </c>
      <c r="DS99">
        <v>0</v>
      </c>
      <c r="DT99">
        <v>10017.5</v>
      </c>
      <c r="DU99">
        <v>0</v>
      </c>
      <c r="DV99">
        <v>1006.02</v>
      </c>
      <c r="DW99">
        <v>-61.087499999999999</v>
      </c>
      <c r="DX99">
        <v>1168.46</v>
      </c>
      <c r="DY99">
        <v>1227.67</v>
      </c>
      <c r="DZ99">
        <v>2.7431299999999998</v>
      </c>
      <c r="EA99">
        <v>1200.0899999999999</v>
      </c>
      <c r="EB99">
        <v>22.467700000000001</v>
      </c>
      <c r="EC99">
        <v>2.4962900000000001</v>
      </c>
      <c r="ED99">
        <v>2.2246800000000002</v>
      </c>
      <c r="EE99">
        <v>21.002400000000002</v>
      </c>
      <c r="EF99">
        <v>19.141100000000002</v>
      </c>
      <c r="EG99">
        <v>1799.74</v>
      </c>
      <c r="EH99">
        <v>0.97800500000000001</v>
      </c>
      <c r="EI99">
        <v>2.1994699999999999E-2</v>
      </c>
      <c r="EJ99">
        <v>0</v>
      </c>
      <c r="EK99">
        <v>743.06</v>
      </c>
      <c r="EL99">
        <v>9.9989999999999996E-2</v>
      </c>
      <c r="EM99">
        <v>14390.1</v>
      </c>
      <c r="EN99">
        <v>16702.900000000001</v>
      </c>
      <c r="EO99">
        <v>49.375</v>
      </c>
      <c r="EP99">
        <v>51.186999999999998</v>
      </c>
      <c r="EQ99">
        <v>50.436999999999998</v>
      </c>
      <c r="ER99">
        <v>50.186999999999998</v>
      </c>
      <c r="ES99">
        <v>50.311999999999998</v>
      </c>
      <c r="ET99">
        <v>1760.06</v>
      </c>
      <c r="EU99">
        <v>39.58</v>
      </c>
      <c r="EV99">
        <v>0</v>
      </c>
      <c r="EW99">
        <v>183.5999999046326</v>
      </c>
      <c r="EX99">
        <v>0</v>
      </c>
      <c r="EY99">
        <v>743.34220000000005</v>
      </c>
      <c r="EZ99">
        <v>-10.88807691597885</v>
      </c>
      <c r="FA99">
        <v>236.83077182474611</v>
      </c>
      <c r="FB99">
        <v>14385.34</v>
      </c>
      <c r="FC99">
        <v>15</v>
      </c>
      <c r="FD99">
        <v>1691183695.5999999</v>
      </c>
      <c r="FE99" t="s">
        <v>844</v>
      </c>
      <c r="FF99">
        <v>1691183695.5999999</v>
      </c>
      <c r="FG99">
        <v>1691183683.0999999</v>
      </c>
      <c r="FH99">
        <v>108</v>
      </c>
      <c r="FI99">
        <v>-0.19</v>
      </c>
      <c r="FJ99">
        <v>-1.2999999999999999E-2</v>
      </c>
      <c r="FK99">
        <v>-0.748</v>
      </c>
      <c r="FL99">
        <v>0.17199999999999999</v>
      </c>
      <c r="FM99">
        <v>1200</v>
      </c>
      <c r="FN99">
        <v>22</v>
      </c>
      <c r="FO99">
        <v>0.09</v>
      </c>
      <c r="FP99">
        <v>7.0000000000000007E-2</v>
      </c>
      <c r="FQ99">
        <v>48.579949077792051</v>
      </c>
      <c r="FR99">
        <v>-0.58046566813256362</v>
      </c>
      <c r="FS99">
        <v>0.1253231269745837</v>
      </c>
      <c r="FT99">
        <v>1</v>
      </c>
      <c r="FU99">
        <v>0.1277981604601775</v>
      </c>
      <c r="FV99">
        <v>6.2506554414258524E-3</v>
      </c>
      <c r="FW99">
        <v>1.1068919492198341E-3</v>
      </c>
      <c r="FX99">
        <v>1</v>
      </c>
      <c r="FY99">
        <v>2</v>
      </c>
      <c r="FZ99">
        <v>2</v>
      </c>
      <c r="GA99" t="s">
        <v>416</v>
      </c>
      <c r="GB99">
        <v>2.9659499999999999</v>
      </c>
      <c r="GC99">
        <v>2.8118500000000002</v>
      </c>
      <c r="GD99">
        <v>0.198384</v>
      </c>
      <c r="GE99">
        <v>0.20283399999999999</v>
      </c>
      <c r="GF99">
        <v>0.121851</v>
      </c>
      <c r="GG99">
        <v>0.11176700000000001</v>
      </c>
      <c r="GH99">
        <v>23529.599999999999</v>
      </c>
      <c r="GI99">
        <v>21525.4</v>
      </c>
      <c r="GJ99">
        <v>26408.799999999999</v>
      </c>
      <c r="GK99">
        <v>25508.3</v>
      </c>
      <c r="GL99">
        <v>31573.599999999999</v>
      </c>
      <c r="GM99">
        <v>32005.599999999999</v>
      </c>
      <c r="GN99">
        <v>37364.800000000003</v>
      </c>
      <c r="GO99">
        <v>37828.1</v>
      </c>
      <c r="GP99">
        <v>1.8992</v>
      </c>
      <c r="GQ99">
        <v>1.8736999999999999</v>
      </c>
      <c r="GR99">
        <v>-2.34544E-2</v>
      </c>
      <c r="GS99">
        <v>0</v>
      </c>
      <c r="GT99">
        <v>30.391200000000001</v>
      </c>
      <c r="GU99">
        <v>999.9</v>
      </c>
      <c r="GV99">
        <v>29.4</v>
      </c>
      <c r="GW99">
        <v>42.6</v>
      </c>
      <c r="GX99">
        <v>25.260400000000001</v>
      </c>
      <c r="GY99">
        <v>62.014400000000002</v>
      </c>
      <c r="GZ99">
        <v>12.2155</v>
      </c>
      <c r="HA99">
        <v>1</v>
      </c>
      <c r="HB99">
        <v>0.76627999999999996</v>
      </c>
      <c r="HC99">
        <v>6.5037700000000003</v>
      </c>
      <c r="HD99">
        <v>20.183700000000002</v>
      </c>
      <c r="HE99">
        <v>5.2059100000000003</v>
      </c>
      <c r="HF99">
        <v>11.944100000000001</v>
      </c>
      <c r="HG99">
        <v>4.9875999999999996</v>
      </c>
      <c r="HH99">
        <v>3.2904</v>
      </c>
      <c r="HI99">
        <v>9999</v>
      </c>
      <c r="HJ99">
        <v>9999</v>
      </c>
      <c r="HK99">
        <v>9999</v>
      </c>
      <c r="HL99">
        <v>999.9</v>
      </c>
      <c r="HM99">
        <v>1.87042</v>
      </c>
      <c r="HN99">
        <v>1.87653</v>
      </c>
      <c r="HO99">
        <v>1.8743700000000001</v>
      </c>
      <c r="HP99">
        <v>1.87256</v>
      </c>
      <c r="HQ99">
        <v>1.8730500000000001</v>
      </c>
      <c r="HR99">
        <v>1.87042</v>
      </c>
      <c r="HS99">
        <v>1.8763399999999999</v>
      </c>
      <c r="HT99">
        <v>1.8754599999999999</v>
      </c>
      <c r="HU99">
        <v>5</v>
      </c>
      <c r="HV99">
        <v>0</v>
      </c>
      <c r="HW99">
        <v>0</v>
      </c>
      <c r="HX99">
        <v>0</v>
      </c>
      <c r="HY99" t="s">
        <v>417</v>
      </c>
      <c r="HZ99" t="s">
        <v>418</v>
      </c>
      <c r="IA99" t="s">
        <v>419</v>
      </c>
      <c r="IB99" t="s">
        <v>420</v>
      </c>
      <c r="IC99" t="s">
        <v>420</v>
      </c>
      <c r="ID99" t="s">
        <v>419</v>
      </c>
      <c r="IE99">
        <v>0</v>
      </c>
      <c r="IF99">
        <v>100</v>
      </c>
      <c r="IG99">
        <v>100</v>
      </c>
      <c r="IH99">
        <v>-0.73</v>
      </c>
      <c r="II99">
        <v>0.2767</v>
      </c>
      <c r="IJ99">
        <v>-8.5992034783396842E-2</v>
      </c>
      <c r="IK99">
        <v>-1.615681629159814E-3</v>
      </c>
      <c r="IL99">
        <v>1.5005605225991581E-6</v>
      </c>
      <c r="IM99">
        <v>-5.1143626075267638E-10</v>
      </c>
      <c r="IN99">
        <v>-0.21258445705174239</v>
      </c>
      <c r="IO99">
        <v>-1.7182111142928099E-3</v>
      </c>
      <c r="IP99">
        <v>9.9985895407488957E-4</v>
      </c>
      <c r="IQ99">
        <v>-5.7750407166627208E-6</v>
      </c>
      <c r="IR99">
        <v>3</v>
      </c>
      <c r="IS99">
        <v>2181</v>
      </c>
      <c r="IT99">
        <v>2</v>
      </c>
      <c r="IU99">
        <v>42</v>
      </c>
      <c r="IV99">
        <v>0.7</v>
      </c>
      <c r="IW99">
        <v>0.9</v>
      </c>
      <c r="IX99">
        <v>2.35229</v>
      </c>
      <c r="IY99">
        <v>2.51831</v>
      </c>
      <c r="IZ99">
        <v>1.5991200000000001</v>
      </c>
      <c r="JA99">
        <v>2.2644000000000002</v>
      </c>
      <c r="JB99">
        <v>1.5502899999999999</v>
      </c>
      <c r="JC99">
        <v>2.4096700000000002</v>
      </c>
      <c r="JD99">
        <v>44.223199999999999</v>
      </c>
      <c r="JE99">
        <v>14.8675</v>
      </c>
      <c r="JF99">
        <v>18</v>
      </c>
      <c r="JG99">
        <v>498.56599999999997</v>
      </c>
      <c r="JH99">
        <v>450.584</v>
      </c>
      <c r="JI99">
        <v>22.1723</v>
      </c>
      <c r="JJ99">
        <v>36.477699999999999</v>
      </c>
      <c r="JK99">
        <v>30.000699999999998</v>
      </c>
      <c r="JL99">
        <v>36.4223</v>
      </c>
      <c r="JM99">
        <v>36.380499999999998</v>
      </c>
      <c r="JN99">
        <v>47.095500000000001</v>
      </c>
      <c r="JO99">
        <v>21.186399999999999</v>
      </c>
      <c r="JP99">
        <v>17.6617</v>
      </c>
      <c r="JQ99">
        <v>22.157800000000002</v>
      </c>
      <c r="JR99">
        <v>1200</v>
      </c>
      <c r="JS99">
        <v>22.383700000000001</v>
      </c>
      <c r="JT99">
        <v>98.568200000000004</v>
      </c>
      <c r="JU99">
        <v>98.173400000000001</v>
      </c>
    </row>
    <row r="100" spans="1:281" x14ac:dyDescent="0.25">
      <c r="A100">
        <v>84</v>
      </c>
      <c r="B100">
        <v>1691183837.5999999</v>
      </c>
      <c r="C100">
        <v>24107</v>
      </c>
      <c r="D100" t="s">
        <v>845</v>
      </c>
      <c r="E100" t="s">
        <v>846</v>
      </c>
      <c r="F100" t="s">
        <v>411</v>
      </c>
      <c r="G100" t="s">
        <v>31</v>
      </c>
      <c r="H100" t="s">
        <v>412</v>
      </c>
      <c r="I100" t="s">
        <v>781</v>
      </c>
      <c r="J100">
        <v>1691183837.5999999</v>
      </c>
      <c r="K100">
        <f t="shared" si="138"/>
        <v>1.7716944519804774E-3</v>
      </c>
      <c r="L100">
        <f t="shared" si="139"/>
        <v>1.7716944519804774</v>
      </c>
      <c r="M100">
        <f t="shared" si="140"/>
        <v>48.725534246548968</v>
      </c>
      <c r="N100">
        <f t="shared" si="141"/>
        <v>1438.414</v>
      </c>
      <c r="O100">
        <f t="shared" si="142"/>
        <v>588.67514669818434</v>
      </c>
      <c r="P100">
        <f t="shared" si="143"/>
        <v>58.347397808055014</v>
      </c>
      <c r="Q100">
        <f t="shared" si="144"/>
        <v>142.570506571268</v>
      </c>
      <c r="R100">
        <f t="shared" si="145"/>
        <v>9.6628038319094153E-2</v>
      </c>
      <c r="S100">
        <f t="shared" si="146"/>
        <v>2.9113628554061632</v>
      </c>
      <c r="T100">
        <f t="shared" si="147"/>
        <v>9.4881081506405354E-2</v>
      </c>
      <c r="U100">
        <f t="shared" si="148"/>
        <v>5.9455002378291877E-2</v>
      </c>
      <c r="V100">
        <f t="shared" si="149"/>
        <v>289.57647001273136</v>
      </c>
      <c r="W100">
        <f t="shared" si="150"/>
        <v>30.745605930488065</v>
      </c>
      <c r="X100">
        <f t="shared" si="151"/>
        <v>30.043199999999999</v>
      </c>
      <c r="Y100">
        <f t="shared" si="152"/>
        <v>4.2710329734789214</v>
      </c>
      <c r="Z100">
        <f t="shared" si="153"/>
        <v>60.011177031041761</v>
      </c>
      <c r="AA100">
        <f t="shared" si="154"/>
        <v>2.4833133971790002</v>
      </c>
      <c r="AB100">
        <f t="shared" si="155"/>
        <v>4.13808480359328</v>
      </c>
      <c r="AC100">
        <f t="shared" si="156"/>
        <v>1.7877195762999212</v>
      </c>
      <c r="AD100">
        <f t="shared" si="157"/>
        <v>-78.131725332339059</v>
      </c>
      <c r="AE100">
        <f t="shared" si="158"/>
        <v>-86.263783885656835</v>
      </c>
      <c r="AF100">
        <f t="shared" si="159"/>
        <v>-6.5731776569132592</v>
      </c>
      <c r="AG100">
        <f t="shared" si="160"/>
        <v>118.6077831378222</v>
      </c>
      <c r="AH100">
        <v>3</v>
      </c>
      <c r="AI100">
        <v>1</v>
      </c>
      <c r="AJ100">
        <f t="shared" si="161"/>
        <v>1</v>
      </c>
      <c r="AK100">
        <f t="shared" si="162"/>
        <v>0</v>
      </c>
      <c r="AL100">
        <f t="shared" si="163"/>
        <v>51900.563682966625</v>
      </c>
      <c r="AM100" t="s">
        <v>414</v>
      </c>
      <c r="AN100">
        <v>7361.72</v>
      </c>
      <c r="AO100">
        <v>541.39076923076925</v>
      </c>
      <c r="AP100">
        <v>2141.9899999999998</v>
      </c>
      <c r="AQ100">
        <f t="shared" si="164"/>
        <v>0.74724869433061347</v>
      </c>
      <c r="AR100">
        <v>-0.96077199609010144</v>
      </c>
      <c r="AS100" t="s">
        <v>847</v>
      </c>
      <c r="AT100">
        <v>7335.69</v>
      </c>
      <c r="AU100">
        <v>745.30900000000008</v>
      </c>
      <c r="AV100">
        <v>1133.336057960913</v>
      </c>
      <c r="AW100">
        <f t="shared" si="165"/>
        <v>0.3423759927475063</v>
      </c>
      <c r="AX100">
        <v>0.5</v>
      </c>
      <c r="AY100">
        <f t="shared" si="166"/>
        <v>1513.2126000065966</v>
      </c>
      <c r="AZ100">
        <f t="shared" si="167"/>
        <v>48.725534246548968</v>
      </c>
      <c r="BA100">
        <f t="shared" si="168"/>
        <v>259.04383308264681</v>
      </c>
      <c r="BB100">
        <f t="shared" si="169"/>
        <v>3.2834980519209571E-2</v>
      </c>
      <c r="BC100">
        <f t="shared" si="170"/>
        <v>0.88998663278555434</v>
      </c>
      <c r="BD100">
        <f t="shared" si="171"/>
        <v>441.97138969293781</v>
      </c>
      <c r="BE100" t="s">
        <v>848</v>
      </c>
      <c r="BF100">
        <v>594.86</v>
      </c>
      <c r="BG100">
        <f t="shared" si="172"/>
        <v>594.86</v>
      </c>
      <c r="BH100">
        <f t="shared" si="173"/>
        <v>0.4751247912554144</v>
      </c>
      <c r="BI100">
        <f t="shared" si="174"/>
        <v>0.72060224818589635</v>
      </c>
      <c r="BJ100">
        <f t="shared" si="175"/>
        <v>0.65195164080528922</v>
      </c>
      <c r="BK100">
        <f t="shared" si="176"/>
        <v>0.65551169229392559</v>
      </c>
      <c r="BL100">
        <f t="shared" si="177"/>
        <v>0.63017270197883257</v>
      </c>
      <c r="BM100">
        <f t="shared" si="178"/>
        <v>0.57514058377916033</v>
      </c>
      <c r="BN100">
        <f t="shared" si="179"/>
        <v>0.42485941622083967</v>
      </c>
      <c r="BO100">
        <v>1597</v>
      </c>
      <c r="BP100">
        <v>290.00000000000011</v>
      </c>
      <c r="BQ100">
        <v>1004.44</v>
      </c>
      <c r="BR100">
        <v>275</v>
      </c>
      <c r="BS100">
        <v>7335.69</v>
      </c>
      <c r="BT100">
        <v>1006.78</v>
      </c>
      <c r="BU100">
        <v>-2.34</v>
      </c>
      <c r="BV100">
        <v>300.00000000000011</v>
      </c>
      <c r="BW100">
        <v>37.9</v>
      </c>
      <c r="BX100">
        <v>1133.336057960913</v>
      </c>
      <c r="BY100">
        <v>1.74505427450883</v>
      </c>
      <c r="BZ100">
        <v>-92.840222913226683</v>
      </c>
      <c r="CA100">
        <v>1.0730607736783431</v>
      </c>
      <c r="CB100">
        <v>0.99627339934834713</v>
      </c>
      <c r="CC100">
        <v>-7.2276367074527248E-3</v>
      </c>
      <c r="CD100">
        <v>289.99999999999989</v>
      </c>
      <c r="CE100">
        <v>998.9</v>
      </c>
      <c r="CF100">
        <v>665</v>
      </c>
      <c r="CG100">
        <v>7329.96</v>
      </c>
      <c r="CH100">
        <v>1006.68</v>
      </c>
      <c r="CI100">
        <v>-7.78</v>
      </c>
      <c r="CW100">
        <f t="shared" si="180"/>
        <v>1800.03</v>
      </c>
      <c r="CX100">
        <f t="shared" si="181"/>
        <v>1513.2126000065966</v>
      </c>
      <c r="CY100">
        <f t="shared" si="182"/>
        <v>0.84065965567607015</v>
      </c>
      <c r="CZ100">
        <f t="shared" si="183"/>
        <v>0.16087313545481541</v>
      </c>
      <c r="DA100">
        <v>6</v>
      </c>
      <c r="DB100">
        <v>0.5</v>
      </c>
      <c r="DC100" t="s">
        <v>415</v>
      </c>
      <c r="DD100">
        <v>2</v>
      </c>
      <c r="DE100">
        <v>1691183837.5999999</v>
      </c>
      <c r="DF100">
        <v>1438.414</v>
      </c>
      <c r="DG100">
        <v>1499.92</v>
      </c>
      <c r="DH100">
        <v>25.054500000000001</v>
      </c>
      <c r="DI100">
        <v>22.982500000000002</v>
      </c>
      <c r="DJ100">
        <v>1439.27</v>
      </c>
      <c r="DK100">
        <v>24.8645</v>
      </c>
      <c r="DL100">
        <v>500.185</v>
      </c>
      <c r="DM100">
        <v>99.016400000000004</v>
      </c>
      <c r="DN100">
        <v>0.100062</v>
      </c>
      <c r="DO100">
        <v>29.493600000000001</v>
      </c>
      <c r="DP100">
        <v>30.043199999999999</v>
      </c>
      <c r="DQ100">
        <v>999.9</v>
      </c>
      <c r="DR100">
        <v>0</v>
      </c>
      <c r="DS100">
        <v>0</v>
      </c>
      <c r="DT100">
        <v>9995</v>
      </c>
      <c r="DU100">
        <v>0</v>
      </c>
      <c r="DV100">
        <v>1002.49</v>
      </c>
      <c r="DW100">
        <v>-61.485399999999998</v>
      </c>
      <c r="DX100">
        <v>1475.53</v>
      </c>
      <c r="DY100">
        <v>1535.21</v>
      </c>
      <c r="DZ100">
        <v>2.1560899999999998</v>
      </c>
      <c r="EA100">
        <v>1499.92</v>
      </c>
      <c r="EB100">
        <v>22.982500000000002</v>
      </c>
      <c r="EC100">
        <v>2.4891299999999998</v>
      </c>
      <c r="ED100">
        <v>2.2756400000000001</v>
      </c>
      <c r="EE100">
        <v>20.9556</v>
      </c>
      <c r="EF100">
        <v>19.504999999999999</v>
      </c>
      <c r="EG100">
        <v>1800.03</v>
      </c>
      <c r="EH100">
        <v>0.97800900000000002</v>
      </c>
      <c r="EI100">
        <v>2.1991500000000001E-2</v>
      </c>
      <c r="EJ100">
        <v>0</v>
      </c>
      <c r="EK100">
        <v>744.38</v>
      </c>
      <c r="EL100">
        <v>9.9989999999999996E-2</v>
      </c>
      <c r="EM100">
        <v>14489.9</v>
      </c>
      <c r="EN100">
        <v>16705.599999999999</v>
      </c>
      <c r="EO100">
        <v>49.375</v>
      </c>
      <c r="EP100">
        <v>51.125</v>
      </c>
      <c r="EQ100">
        <v>50.436999999999998</v>
      </c>
      <c r="ER100">
        <v>50.125</v>
      </c>
      <c r="ES100">
        <v>50.311999999999998</v>
      </c>
      <c r="ET100">
        <v>1760.35</v>
      </c>
      <c r="EU100">
        <v>39.58</v>
      </c>
      <c r="EV100">
        <v>0</v>
      </c>
      <c r="EW100">
        <v>99.599999904632568</v>
      </c>
      <c r="EX100">
        <v>0</v>
      </c>
      <c r="EY100">
        <v>745.30900000000008</v>
      </c>
      <c r="EZ100">
        <v>-8.6261538440640972</v>
      </c>
      <c r="FA100">
        <v>-98.507692661321968</v>
      </c>
      <c r="FB100">
        <v>14506.755999999999</v>
      </c>
      <c r="FC100">
        <v>15</v>
      </c>
      <c r="FD100">
        <v>1691183870.5999999</v>
      </c>
      <c r="FE100" t="s">
        <v>849</v>
      </c>
      <c r="FF100">
        <v>1691183870.5999999</v>
      </c>
      <c r="FG100">
        <v>1691183857.0999999</v>
      </c>
      <c r="FH100">
        <v>109</v>
      </c>
      <c r="FI100">
        <v>5.0000000000000001E-3</v>
      </c>
      <c r="FJ100">
        <v>-8.9999999999999993E-3</v>
      </c>
      <c r="FK100">
        <v>-0.85599999999999998</v>
      </c>
      <c r="FL100">
        <v>0.19</v>
      </c>
      <c r="FM100">
        <v>1500</v>
      </c>
      <c r="FN100">
        <v>23</v>
      </c>
      <c r="FO100">
        <v>0.15</v>
      </c>
      <c r="FP100">
        <v>0.13</v>
      </c>
      <c r="FQ100">
        <v>49.159644356131153</v>
      </c>
      <c r="FR100">
        <v>-0.61859525568926677</v>
      </c>
      <c r="FS100">
        <v>0.1483275863879665</v>
      </c>
      <c r="FT100">
        <v>1</v>
      </c>
      <c r="FU100">
        <v>9.1445170325959543E-2</v>
      </c>
      <c r="FV100">
        <v>4.0262966979118249E-2</v>
      </c>
      <c r="FW100">
        <v>3.5159706131712601E-3</v>
      </c>
      <c r="FX100">
        <v>1</v>
      </c>
      <c r="FY100">
        <v>2</v>
      </c>
      <c r="FZ100">
        <v>2</v>
      </c>
      <c r="GA100" t="s">
        <v>416</v>
      </c>
      <c r="GB100">
        <v>2.9659599999999999</v>
      </c>
      <c r="GC100">
        <v>2.8117200000000002</v>
      </c>
      <c r="GD100">
        <v>0.22950300000000001</v>
      </c>
      <c r="GE100">
        <v>0.23296700000000001</v>
      </c>
      <c r="GF100">
        <v>0.12160799999999999</v>
      </c>
      <c r="GG100">
        <v>0.113562</v>
      </c>
      <c r="GH100">
        <v>22612.1</v>
      </c>
      <c r="GI100">
        <v>20706.599999999999</v>
      </c>
      <c r="GJ100">
        <v>26409</v>
      </c>
      <c r="GK100">
        <v>25507.1</v>
      </c>
      <c r="GL100">
        <v>31584.3</v>
      </c>
      <c r="GM100">
        <v>31941.1</v>
      </c>
      <c r="GN100">
        <v>37364.400000000001</v>
      </c>
      <c r="GO100">
        <v>37825.699999999997</v>
      </c>
      <c r="GP100">
        <v>1.8986000000000001</v>
      </c>
      <c r="GQ100">
        <v>1.8764000000000001</v>
      </c>
      <c r="GR100">
        <v>-1.96099E-2</v>
      </c>
      <c r="GS100">
        <v>0</v>
      </c>
      <c r="GT100">
        <v>30.362200000000001</v>
      </c>
      <c r="GU100">
        <v>999.9</v>
      </c>
      <c r="GV100">
        <v>30.7</v>
      </c>
      <c r="GW100">
        <v>42.5</v>
      </c>
      <c r="GX100">
        <v>26.2392</v>
      </c>
      <c r="GY100">
        <v>61.924500000000002</v>
      </c>
      <c r="GZ100">
        <v>11.4543</v>
      </c>
      <c r="HA100">
        <v>1</v>
      </c>
      <c r="HB100">
        <v>0.76593500000000003</v>
      </c>
      <c r="HC100">
        <v>6.3095600000000003</v>
      </c>
      <c r="HD100">
        <v>20.191099999999999</v>
      </c>
      <c r="HE100">
        <v>5.2107000000000001</v>
      </c>
      <c r="HF100">
        <v>11.944100000000001</v>
      </c>
      <c r="HG100">
        <v>4.9874000000000001</v>
      </c>
      <c r="HH100">
        <v>3.2902999999999998</v>
      </c>
      <c r="HI100">
        <v>9999</v>
      </c>
      <c r="HJ100">
        <v>9999</v>
      </c>
      <c r="HK100">
        <v>9999</v>
      </c>
      <c r="HL100">
        <v>999.9</v>
      </c>
      <c r="HM100">
        <v>1.87042</v>
      </c>
      <c r="HN100">
        <v>1.8765400000000001</v>
      </c>
      <c r="HO100">
        <v>1.87439</v>
      </c>
      <c r="HP100">
        <v>1.87259</v>
      </c>
      <c r="HQ100">
        <v>1.87304</v>
      </c>
      <c r="HR100">
        <v>1.87042</v>
      </c>
      <c r="HS100">
        <v>1.87635</v>
      </c>
      <c r="HT100">
        <v>1.8754599999999999</v>
      </c>
      <c r="HU100">
        <v>5</v>
      </c>
      <c r="HV100">
        <v>0</v>
      </c>
      <c r="HW100">
        <v>0</v>
      </c>
      <c r="HX100">
        <v>0</v>
      </c>
      <c r="HY100" t="s">
        <v>417</v>
      </c>
      <c r="HZ100" t="s">
        <v>418</v>
      </c>
      <c r="IA100" t="s">
        <v>419</v>
      </c>
      <c r="IB100" t="s">
        <v>420</v>
      </c>
      <c r="IC100" t="s">
        <v>420</v>
      </c>
      <c r="ID100" t="s">
        <v>419</v>
      </c>
      <c r="IE100">
        <v>0</v>
      </c>
      <c r="IF100">
        <v>100</v>
      </c>
      <c r="IG100">
        <v>100</v>
      </c>
      <c r="IH100">
        <v>-0.85599999999999998</v>
      </c>
      <c r="II100">
        <v>0.19</v>
      </c>
      <c r="IJ100">
        <v>-8.5992034783396842E-2</v>
      </c>
      <c r="IK100">
        <v>-1.615681629159814E-3</v>
      </c>
      <c r="IL100">
        <v>1.5005605225991581E-6</v>
      </c>
      <c r="IM100">
        <v>-5.1143626075267638E-10</v>
      </c>
      <c r="IN100">
        <v>-0.21258445705174239</v>
      </c>
      <c r="IO100">
        <v>-1.7182111142928099E-3</v>
      </c>
      <c r="IP100">
        <v>9.9985895407488957E-4</v>
      </c>
      <c r="IQ100">
        <v>-5.7750407166627208E-6</v>
      </c>
      <c r="IR100">
        <v>3</v>
      </c>
      <c r="IS100">
        <v>2181</v>
      </c>
      <c r="IT100">
        <v>2</v>
      </c>
      <c r="IU100">
        <v>42</v>
      </c>
      <c r="IV100">
        <v>2.4</v>
      </c>
      <c r="IW100">
        <v>2.6</v>
      </c>
      <c r="IX100">
        <v>2.83081</v>
      </c>
      <c r="IY100">
        <v>2.5134300000000001</v>
      </c>
      <c r="IZ100">
        <v>1.5991200000000001</v>
      </c>
      <c r="JA100">
        <v>2.2644000000000002</v>
      </c>
      <c r="JB100">
        <v>1.5502899999999999</v>
      </c>
      <c r="JC100">
        <v>2.3950200000000001</v>
      </c>
      <c r="JD100">
        <v>44.14</v>
      </c>
      <c r="JE100">
        <v>14.8413</v>
      </c>
      <c r="JF100">
        <v>18</v>
      </c>
      <c r="JG100">
        <v>498.173</v>
      </c>
      <c r="JH100">
        <v>452.23500000000001</v>
      </c>
      <c r="JI100">
        <v>22.216699999999999</v>
      </c>
      <c r="JJ100">
        <v>36.491300000000003</v>
      </c>
      <c r="JK100">
        <v>30</v>
      </c>
      <c r="JL100">
        <v>36.4223</v>
      </c>
      <c r="JM100">
        <v>36.373800000000003</v>
      </c>
      <c r="JN100">
        <v>56.653199999999998</v>
      </c>
      <c r="JO100">
        <v>24.489699999999999</v>
      </c>
      <c r="JP100">
        <v>22.271000000000001</v>
      </c>
      <c r="JQ100">
        <v>22.200199999999999</v>
      </c>
      <c r="JR100">
        <v>1500</v>
      </c>
      <c r="JS100">
        <v>22.897099999999998</v>
      </c>
      <c r="JT100">
        <v>98.567899999999995</v>
      </c>
      <c r="JU100">
        <v>98.167699999999996</v>
      </c>
    </row>
    <row r="101" spans="1:281" x14ac:dyDescent="0.25">
      <c r="A101">
        <v>85</v>
      </c>
      <c r="B101">
        <v>1691186350.0999999</v>
      </c>
      <c r="C101">
        <v>26619.5</v>
      </c>
      <c r="D101" t="s">
        <v>850</v>
      </c>
      <c r="E101" t="s">
        <v>851</v>
      </c>
      <c r="F101" t="s">
        <v>411</v>
      </c>
      <c r="G101" t="s">
        <v>639</v>
      </c>
      <c r="H101" t="s">
        <v>422</v>
      </c>
      <c r="I101" t="s">
        <v>413</v>
      </c>
      <c r="J101">
        <v>1691186350.0999999</v>
      </c>
      <c r="K101">
        <f t="shared" si="138"/>
        <v>4.5719671718882958E-3</v>
      </c>
      <c r="L101">
        <f t="shared" si="139"/>
        <v>4.5719671718882955</v>
      </c>
      <c r="M101">
        <f t="shared" si="140"/>
        <v>38.405000353906928</v>
      </c>
      <c r="N101">
        <f t="shared" si="141"/>
        <v>351.911</v>
      </c>
      <c r="O101">
        <f t="shared" si="142"/>
        <v>111.95938663332016</v>
      </c>
      <c r="P101">
        <f t="shared" si="143"/>
        <v>11.093471865253788</v>
      </c>
      <c r="Q101">
        <f t="shared" si="144"/>
        <v>34.869026126045995</v>
      </c>
      <c r="R101">
        <f t="shared" si="145"/>
        <v>0.27495523060196708</v>
      </c>
      <c r="S101">
        <f t="shared" si="146"/>
        <v>2.9068824794103314</v>
      </c>
      <c r="T101">
        <f t="shared" si="147"/>
        <v>0.26128066132451072</v>
      </c>
      <c r="U101">
        <f t="shared" si="148"/>
        <v>0.16447232794158204</v>
      </c>
      <c r="V101">
        <f t="shared" si="149"/>
        <v>289.55209201273891</v>
      </c>
      <c r="W101">
        <f t="shared" si="150"/>
        <v>30.591475482640721</v>
      </c>
      <c r="X101">
        <f t="shared" si="151"/>
        <v>29.973600000000001</v>
      </c>
      <c r="Y101">
        <f t="shared" si="152"/>
        <v>4.2539935177355392</v>
      </c>
      <c r="Z101">
        <f t="shared" si="153"/>
        <v>60.31230598091345</v>
      </c>
      <c r="AA101">
        <f t="shared" si="154"/>
        <v>2.5799696578679998</v>
      </c>
      <c r="AB101">
        <f t="shared" si="155"/>
        <v>4.2776836599225074</v>
      </c>
      <c r="AC101">
        <f t="shared" si="156"/>
        <v>1.6740238598675394</v>
      </c>
      <c r="AD101">
        <f t="shared" si="157"/>
        <v>-201.62375228027383</v>
      </c>
      <c r="AE101">
        <f t="shared" si="158"/>
        <v>15.154422523837837</v>
      </c>
      <c r="AF101">
        <f t="shared" si="159"/>
        <v>1.1594323192839393</v>
      </c>
      <c r="AG101">
        <f t="shared" si="160"/>
        <v>104.24219457558686</v>
      </c>
      <c r="AH101">
        <v>1</v>
      </c>
      <c r="AI101">
        <v>0</v>
      </c>
      <c r="AJ101">
        <f t="shared" si="161"/>
        <v>1</v>
      </c>
      <c r="AK101">
        <f t="shared" si="162"/>
        <v>0</v>
      </c>
      <c r="AL101">
        <f t="shared" si="163"/>
        <v>51673.880904645666</v>
      </c>
      <c r="AM101" t="s">
        <v>414</v>
      </c>
      <c r="AN101">
        <v>7361.72</v>
      </c>
      <c r="AO101">
        <v>541.39076923076925</v>
      </c>
      <c r="AP101">
        <v>2141.9899999999998</v>
      </c>
      <c r="AQ101">
        <f t="shared" si="164"/>
        <v>0.74724869433061347</v>
      </c>
      <c r="AR101">
        <v>-0.96077199609010144</v>
      </c>
      <c r="AS101" t="s">
        <v>852</v>
      </c>
      <c r="AT101">
        <v>7349.86</v>
      </c>
      <c r="AU101">
        <v>761.66639999999995</v>
      </c>
      <c r="AV101">
        <v>1045.701909484063</v>
      </c>
      <c r="AW101">
        <f t="shared" si="165"/>
        <v>0.27162187130766813</v>
      </c>
      <c r="AX101">
        <v>0.5</v>
      </c>
      <c r="AY101">
        <f t="shared" si="166"/>
        <v>1513.0788000066004</v>
      </c>
      <c r="AZ101">
        <f t="shared" si="167"/>
        <v>38.405000353906928</v>
      </c>
      <c r="BA101">
        <f t="shared" si="168"/>
        <v>205.49264754687687</v>
      </c>
      <c r="BB101">
        <f t="shared" si="169"/>
        <v>2.6017000799842881E-2</v>
      </c>
      <c r="BC101">
        <f t="shared" si="170"/>
        <v>1.0483753358132744</v>
      </c>
      <c r="BD101">
        <f t="shared" si="171"/>
        <v>427.9842563841259</v>
      </c>
      <c r="BE101" t="s">
        <v>853</v>
      </c>
      <c r="BF101">
        <v>578.08000000000004</v>
      </c>
      <c r="BG101">
        <f t="shared" si="172"/>
        <v>578.08000000000004</v>
      </c>
      <c r="BH101">
        <f t="shared" si="173"/>
        <v>0.44718471415509042</v>
      </c>
      <c r="BI101">
        <f t="shared" si="174"/>
        <v>0.60740419497761633</v>
      </c>
      <c r="BJ101">
        <f t="shared" si="175"/>
        <v>0.70099180292723806</v>
      </c>
      <c r="BK101">
        <f t="shared" si="176"/>
        <v>0.56321482278064339</v>
      </c>
      <c r="BL101">
        <f t="shared" si="177"/>
        <v>0.68492353953529816</v>
      </c>
      <c r="BM101">
        <f t="shared" si="178"/>
        <v>0.46100000870809121</v>
      </c>
      <c r="BN101">
        <f t="shared" si="179"/>
        <v>0.53899999129190879</v>
      </c>
      <c r="BO101">
        <v>1599</v>
      </c>
      <c r="BP101">
        <v>290.00000000000011</v>
      </c>
      <c r="BQ101">
        <v>952.2</v>
      </c>
      <c r="BR101">
        <v>285</v>
      </c>
      <c r="BS101">
        <v>7349.86</v>
      </c>
      <c r="BT101">
        <v>952.62</v>
      </c>
      <c r="BU101">
        <v>-0.42</v>
      </c>
      <c r="BV101">
        <v>300.00000000000011</v>
      </c>
      <c r="BW101">
        <v>37.9</v>
      </c>
      <c r="BX101">
        <v>1045.701909484063</v>
      </c>
      <c r="BY101">
        <v>1.1541197417534399</v>
      </c>
      <c r="BZ101">
        <v>-68.411789965711762</v>
      </c>
      <c r="CA101">
        <v>0.71113614074017917</v>
      </c>
      <c r="CB101">
        <v>0.99698359510239531</v>
      </c>
      <c r="CC101">
        <v>-7.2411644048943347E-3</v>
      </c>
      <c r="CD101">
        <v>289.99999999999989</v>
      </c>
      <c r="CE101">
        <v>950.63</v>
      </c>
      <c r="CF101">
        <v>695</v>
      </c>
      <c r="CG101">
        <v>7344.05</v>
      </c>
      <c r="CH101">
        <v>952.55</v>
      </c>
      <c r="CI101">
        <v>-1.92</v>
      </c>
      <c r="CW101">
        <f t="shared" si="180"/>
        <v>1799.87</v>
      </c>
      <c r="CX101">
        <f t="shared" si="181"/>
        <v>1513.0788000066004</v>
      </c>
      <c r="CY101">
        <f t="shared" si="182"/>
        <v>0.84066004767377678</v>
      </c>
      <c r="CZ101">
        <f t="shared" si="183"/>
        <v>0.16087389201038904</v>
      </c>
      <c r="DA101">
        <v>6</v>
      </c>
      <c r="DB101">
        <v>0.5</v>
      </c>
      <c r="DC101" t="s">
        <v>415</v>
      </c>
      <c r="DD101">
        <v>2</v>
      </c>
      <c r="DE101">
        <v>1691186350.0999999</v>
      </c>
      <c r="DF101">
        <v>351.911</v>
      </c>
      <c r="DG101">
        <v>399.96</v>
      </c>
      <c r="DH101">
        <v>26.038</v>
      </c>
      <c r="DI101">
        <v>20.690899999999999</v>
      </c>
      <c r="DJ101">
        <v>352.53100000000001</v>
      </c>
      <c r="DK101">
        <v>25.694600000000001</v>
      </c>
      <c r="DL101">
        <v>499.66399999999999</v>
      </c>
      <c r="DM101">
        <v>98.985699999999994</v>
      </c>
      <c r="DN101">
        <v>9.9085999999999994E-2</v>
      </c>
      <c r="DO101">
        <v>30.0703</v>
      </c>
      <c r="DP101">
        <v>29.973600000000001</v>
      </c>
      <c r="DQ101">
        <v>999.9</v>
      </c>
      <c r="DR101">
        <v>0</v>
      </c>
      <c r="DS101">
        <v>0</v>
      </c>
      <c r="DT101">
        <v>9972.5</v>
      </c>
      <c r="DU101">
        <v>0</v>
      </c>
      <c r="DV101">
        <v>1226.79</v>
      </c>
      <c r="DW101">
        <v>-48.048999999999999</v>
      </c>
      <c r="DX101">
        <v>361.31900000000002</v>
      </c>
      <c r="DY101">
        <v>408.41</v>
      </c>
      <c r="DZ101">
        <v>5.3471399999999996</v>
      </c>
      <c r="EA101">
        <v>399.96</v>
      </c>
      <c r="EB101">
        <v>20.690899999999999</v>
      </c>
      <c r="EC101">
        <v>2.5773899999999998</v>
      </c>
      <c r="ED101">
        <v>2.0480999999999998</v>
      </c>
      <c r="EE101">
        <v>21.523599999999998</v>
      </c>
      <c r="EF101">
        <v>17.821200000000001</v>
      </c>
      <c r="EG101">
        <v>1799.87</v>
      </c>
      <c r="EH101">
        <v>0.97799700000000001</v>
      </c>
      <c r="EI101">
        <v>2.20027E-2</v>
      </c>
      <c r="EJ101">
        <v>0</v>
      </c>
      <c r="EK101">
        <v>762.55</v>
      </c>
      <c r="EL101">
        <v>9.9989999999999996E-2</v>
      </c>
      <c r="EM101">
        <v>14788.3</v>
      </c>
      <c r="EN101">
        <v>16704.099999999999</v>
      </c>
      <c r="EO101">
        <v>47.561999999999998</v>
      </c>
      <c r="EP101">
        <v>49.25</v>
      </c>
      <c r="EQ101">
        <v>48.5</v>
      </c>
      <c r="ER101">
        <v>47.686999999999998</v>
      </c>
      <c r="ES101">
        <v>48.561999999999998</v>
      </c>
      <c r="ET101">
        <v>1760.17</v>
      </c>
      <c r="EU101">
        <v>39.6</v>
      </c>
      <c r="EV101">
        <v>0</v>
      </c>
      <c r="EW101">
        <v>2510.3999998569489</v>
      </c>
      <c r="EX101">
        <v>0</v>
      </c>
      <c r="EY101">
        <v>761.66639999999995</v>
      </c>
      <c r="EZ101">
        <v>-2.597307583176061</v>
      </c>
      <c r="FA101">
        <v>-17.284615618424549</v>
      </c>
      <c r="FB101">
        <v>14792.64</v>
      </c>
      <c r="FC101">
        <v>15</v>
      </c>
      <c r="FD101">
        <v>1691186317.5999999</v>
      </c>
      <c r="FE101" t="s">
        <v>854</v>
      </c>
      <c r="FF101">
        <v>1691186317.5999999</v>
      </c>
      <c r="FG101">
        <v>1691186317.0999999</v>
      </c>
      <c r="FH101">
        <v>114</v>
      </c>
      <c r="FI101">
        <v>0.13200000000000001</v>
      </c>
      <c r="FJ101">
        <v>2.4E-2</v>
      </c>
      <c r="FK101">
        <v>-0.65400000000000003</v>
      </c>
      <c r="FL101">
        <v>0.161</v>
      </c>
      <c r="FM101">
        <v>400</v>
      </c>
      <c r="FN101">
        <v>21</v>
      </c>
      <c r="FO101">
        <v>0.12</v>
      </c>
      <c r="FP101">
        <v>0.05</v>
      </c>
      <c r="FQ101">
        <v>38.510219017060898</v>
      </c>
      <c r="FR101">
        <v>-0.47044365140777622</v>
      </c>
      <c r="FS101">
        <v>8.7864220958963124E-2</v>
      </c>
      <c r="FT101">
        <v>1</v>
      </c>
      <c r="FU101">
        <v>0.27800308290261178</v>
      </c>
      <c r="FV101">
        <v>8.8807456969922285E-3</v>
      </c>
      <c r="FW101">
        <v>2.2811624919202278E-3</v>
      </c>
      <c r="FX101">
        <v>1</v>
      </c>
      <c r="FY101">
        <v>2</v>
      </c>
      <c r="FZ101">
        <v>2</v>
      </c>
      <c r="GA101" t="s">
        <v>416</v>
      </c>
      <c r="GB101">
        <v>2.9657200000000001</v>
      </c>
      <c r="GC101">
        <v>2.81054</v>
      </c>
      <c r="GD101">
        <v>8.6598900000000006E-2</v>
      </c>
      <c r="GE101">
        <v>9.4572799999999999E-2</v>
      </c>
      <c r="GF101">
        <v>0.124723</v>
      </c>
      <c r="GG101">
        <v>0.10564900000000001</v>
      </c>
      <c r="GH101">
        <v>26870.3</v>
      </c>
      <c r="GI101">
        <v>24518.2</v>
      </c>
      <c r="GJ101">
        <v>26454.3</v>
      </c>
      <c r="GK101">
        <v>25565.8</v>
      </c>
      <c r="GL101">
        <v>31510</v>
      </c>
      <c r="GM101">
        <v>32283</v>
      </c>
      <c r="GN101">
        <v>37430.699999999997</v>
      </c>
      <c r="GO101">
        <v>37906</v>
      </c>
      <c r="GP101">
        <v>1.913</v>
      </c>
      <c r="GQ101">
        <v>1.8833</v>
      </c>
      <c r="GR101">
        <v>-1.3873E-2</v>
      </c>
      <c r="GS101">
        <v>0</v>
      </c>
      <c r="GT101">
        <v>30.199300000000001</v>
      </c>
      <c r="GU101">
        <v>999.9</v>
      </c>
      <c r="GV101">
        <v>30.4</v>
      </c>
      <c r="GW101">
        <v>42.1</v>
      </c>
      <c r="GX101">
        <v>25.450500000000002</v>
      </c>
      <c r="GY101">
        <v>61.618699999999997</v>
      </c>
      <c r="GZ101">
        <v>12.7925</v>
      </c>
      <c r="HA101">
        <v>1</v>
      </c>
      <c r="HB101">
        <v>0.65579299999999996</v>
      </c>
      <c r="HC101">
        <v>4.0829000000000004</v>
      </c>
      <c r="HD101">
        <v>20.1995</v>
      </c>
      <c r="HE101">
        <v>5.1945300000000003</v>
      </c>
      <c r="HF101">
        <v>11.9381</v>
      </c>
      <c r="HG101">
        <v>4.9832000000000001</v>
      </c>
      <c r="HH101">
        <v>3.2877999999999998</v>
      </c>
      <c r="HI101">
        <v>9999</v>
      </c>
      <c r="HJ101">
        <v>9999</v>
      </c>
      <c r="HK101">
        <v>9999</v>
      </c>
      <c r="HL101">
        <v>999.9</v>
      </c>
      <c r="HM101">
        <v>1.8711899999999999</v>
      </c>
      <c r="HN101">
        <v>1.8772599999999999</v>
      </c>
      <c r="HO101">
        <v>1.875</v>
      </c>
      <c r="HP101">
        <v>1.8732800000000001</v>
      </c>
      <c r="HQ101">
        <v>1.87378</v>
      </c>
      <c r="HR101">
        <v>1.87117</v>
      </c>
      <c r="HS101">
        <v>1.8769800000000001</v>
      </c>
      <c r="HT101">
        <v>1.87615</v>
      </c>
      <c r="HU101">
        <v>5</v>
      </c>
      <c r="HV101">
        <v>0</v>
      </c>
      <c r="HW101">
        <v>0</v>
      </c>
      <c r="HX101">
        <v>0</v>
      </c>
      <c r="HY101" t="s">
        <v>417</v>
      </c>
      <c r="HZ101" t="s">
        <v>418</v>
      </c>
      <c r="IA101" t="s">
        <v>419</v>
      </c>
      <c r="IB101" t="s">
        <v>420</v>
      </c>
      <c r="IC101" t="s">
        <v>420</v>
      </c>
      <c r="ID101" t="s">
        <v>419</v>
      </c>
      <c r="IE101">
        <v>0</v>
      </c>
      <c r="IF101">
        <v>100</v>
      </c>
      <c r="IG101">
        <v>100</v>
      </c>
      <c r="IH101">
        <v>-0.62</v>
      </c>
      <c r="II101">
        <v>0.34339999999999998</v>
      </c>
      <c r="IJ101">
        <v>-0.2147833073092221</v>
      </c>
      <c r="IK101">
        <v>-1.615681629159814E-3</v>
      </c>
      <c r="IL101">
        <v>1.5005605225991581E-6</v>
      </c>
      <c r="IM101">
        <v>-5.1143626075267638E-10</v>
      </c>
      <c r="IN101">
        <v>-0.17461318538176299</v>
      </c>
      <c r="IO101">
        <v>-1.7182111142928099E-3</v>
      </c>
      <c r="IP101">
        <v>9.9985895407488957E-4</v>
      </c>
      <c r="IQ101">
        <v>-5.7750407166627208E-6</v>
      </c>
      <c r="IR101">
        <v>3</v>
      </c>
      <c r="IS101">
        <v>2181</v>
      </c>
      <c r="IT101">
        <v>2</v>
      </c>
      <c r="IU101">
        <v>42</v>
      </c>
      <c r="IV101">
        <v>0.5</v>
      </c>
      <c r="IW101">
        <v>0.6</v>
      </c>
      <c r="IX101">
        <v>0.950928</v>
      </c>
      <c r="IY101">
        <v>2.52075</v>
      </c>
      <c r="IZ101">
        <v>1.5991200000000001</v>
      </c>
      <c r="JA101">
        <v>2.2692899999999998</v>
      </c>
      <c r="JB101">
        <v>1.5502899999999999</v>
      </c>
      <c r="JC101">
        <v>2.3645</v>
      </c>
      <c r="JD101">
        <v>46.385800000000003</v>
      </c>
      <c r="JE101">
        <v>23.710999999999999</v>
      </c>
      <c r="JF101">
        <v>18</v>
      </c>
      <c r="JG101">
        <v>500.04500000000002</v>
      </c>
      <c r="JH101">
        <v>449.72899999999998</v>
      </c>
      <c r="JI101">
        <v>24.600300000000001</v>
      </c>
      <c r="JJ101">
        <v>35.296199999999999</v>
      </c>
      <c r="JK101">
        <v>29.999199999999998</v>
      </c>
      <c r="JL101">
        <v>35.401699999999998</v>
      </c>
      <c r="JM101">
        <v>35.3857</v>
      </c>
      <c r="JN101">
        <v>19.072399999999998</v>
      </c>
      <c r="JO101">
        <v>27.5441</v>
      </c>
      <c r="JP101">
        <v>10.5749</v>
      </c>
      <c r="JQ101">
        <v>24.603000000000002</v>
      </c>
      <c r="JR101">
        <v>400</v>
      </c>
      <c r="JS101">
        <v>20.643699999999999</v>
      </c>
      <c r="JT101">
        <v>98.740200000000002</v>
      </c>
      <c r="JU101">
        <v>98.383399999999995</v>
      </c>
    </row>
    <row r="102" spans="1:281" x14ac:dyDescent="0.25">
      <c r="A102">
        <v>86</v>
      </c>
      <c r="B102">
        <v>1691186450.0999999</v>
      </c>
      <c r="C102">
        <v>26719.5</v>
      </c>
      <c r="D102" t="s">
        <v>855</v>
      </c>
      <c r="E102" t="s">
        <v>856</v>
      </c>
      <c r="F102" t="s">
        <v>411</v>
      </c>
      <c r="G102" t="s">
        <v>639</v>
      </c>
      <c r="H102" t="s">
        <v>422</v>
      </c>
      <c r="I102" t="s">
        <v>413</v>
      </c>
      <c r="J102">
        <v>1691186450.0999999</v>
      </c>
      <c r="K102">
        <f t="shared" si="138"/>
        <v>4.434010579934756E-3</v>
      </c>
      <c r="L102">
        <f t="shared" si="139"/>
        <v>4.434010579934756</v>
      </c>
      <c r="M102">
        <f t="shared" si="140"/>
        <v>29.224756798060341</v>
      </c>
      <c r="N102">
        <f t="shared" si="141"/>
        <v>263.57499999999999</v>
      </c>
      <c r="O102">
        <f t="shared" si="142"/>
        <v>74.800000536521523</v>
      </c>
      <c r="P102">
        <f t="shared" si="143"/>
        <v>7.4114120884401888</v>
      </c>
      <c r="Q102">
        <f t="shared" si="144"/>
        <v>26.115814534745002</v>
      </c>
      <c r="R102">
        <f t="shared" si="145"/>
        <v>0.26498105256839677</v>
      </c>
      <c r="S102">
        <f t="shared" si="146"/>
        <v>2.9221486923079003</v>
      </c>
      <c r="T102">
        <f t="shared" si="147"/>
        <v>0.25231899774986705</v>
      </c>
      <c r="U102">
        <f t="shared" si="148"/>
        <v>0.15878657687424153</v>
      </c>
      <c r="V102">
        <f t="shared" si="149"/>
        <v>289.61274001273625</v>
      </c>
      <c r="W102">
        <f t="shared" si="150"/>
        <v>30.634785159464375</v>
      </c>
      <c r="X102">
        <f t="shared" si="151"/>
        <v>30.0181</v>
      </c>
      <c r="Y102">
        <f t="shared" si="152"/>
        <v>4.2648811526111494</v>
      </c>
      <c r="Z102">
        <f t="shared" si="153"/>
        <v>60.370156500220752</v>
      </c>
      <c r="AA102">
        <f t="shared" si="154"/>
        <v>2.5838679247810803</v>
      </c>
      <c r="AB102">
        <f t="shared" si="155"/>
        <v>4.2800417864936824</v>
      </c>
      <c r="AC102">
        <f t="shared" si="156"/>
        <v>1.6810132278300691</v>
      </c>
      <c r="AD102">
        <f t="shared" si="157"/>
        <v>-195.53986657512274</v>
      </c>
      <c r="AE102">
        <f t="shared" si="158"/>
        <v>9.735902802521375</v>
      </c>
      <c r="AF102">
        <f t="shared" si="159"/>
        <v>0.7411800081398433</v>
      </c>
      <c r="AG102">
        <f t="shared" si="160"/>
        <v>104.54995624827474</v>
      </c>
      <c r="AH102">
        <v>0</v>
      </c>
      <c r="AI102">
        <v>0</v>
      </c>
      <c r="AJ102">
        <f t="shared" si="161"/>
        <v>1</v>
      </c>
      <c r="AK102">
        <f t="shared" si="162"/>
        <v>0</v>
      </c>
      <c r="AL102">
        <f t="shared" si="163"/>
        <v>52106.363931658176</v>
      </c>
      <c r="AM102" t="s">
        <v>414</v>
      </c>
      <c r="AN102">
        <v>7361.72</v>
      </c>
      <c r="AO102">
        <v>541.39076923076925</v>
      </c>
      <c r="AP102">
        <v>2141.9899999999998</v>
      </c>
      <c r="AQ102">
        <f t="shared" si="164"/>
        <v>0.74724869433061347</v>
      </c>
      <c r="AR102">
        <v>-0.96077199609010144</v>
      </c>
      <c r="AS102" t="s">
        <v>857</v>
      </c>
      <c r="AT102">
        <v>7351.83</v>
      </c>
      <c r="AU102">
        <v>752.38653846153841</v>
      </c>
      <c r="AV102">
        <v>968.06122755058641</v>
      </c>
      <c r="AW102">
        <f t="shared" si="165"/>
        <v>0.2227903390312963</v>
      </c>
      <c r="AX102">
        <v>0.5</v>
      </c>
      <c r="AY102">
        <f t="shared" si="166"/>
        <v>1513.3980000065992</v>
      </c>
      <c r="AZ102">
        <f t="shared" si="167"/>
        <v>29.224756798060341</v>
      </c>
      <c r="BA102">
        <f t="shared" si="168"/>
        <v>168.58522675537799</v>
      </c>
      <c r="BB102">
        <f t="shared" si="169"/>
        <v>1.9945532367572058E-2</v>
      </c>
      <c r="BC102">
        <f t="shared" si="170"/>
        <v>1.2126596325107641</v>
      </c>
      <c r="BD102">
        <f t="shared" si="171"/>
        <v>414.38211119463108</v>
      </c>
      <c r="BE102" t="s">
        <v>858</v>
      </c>
      <c r="BF102">
        <v>565.69000000000005</v>
      </c>
      <c r="BG102">
        <f t="shared" si="172"/>
        <v>565.69000000000005</v>
      </c>
      <c r="BH102">
        <f t="shared" si="173"/>
        <v>0.41564646542933703</v>
      </c>
      <c r="BI102">
        <f t="shared" si="174"/>
        <v>0.5360092231294874</v>
      </c>
      <c r="BJ102">
        <f t="shared" si="175"/>
        <v>0.74473689808374899</v>
      </c>
      <c r="BK102">
        <f t="shared" si="176"/>
        <v>0.50548306048267777</v>
      </c>
      <c r="BL102">
        <f t="shared" si="177"/>
        <v>0.73343079884227869</v>
      </c>
      <c r="BM102">
        <f t="shared" si="178"/>
        <v>0.40300436269384415</v>
      </c>
      <c r="BN102">
        <f t="shared" si="179"/>
        <v>0.59699563730615579</v>
      </c>
      <c r="BO102">
        <v>1601</v>
      </c>
      <c r="BP102">
        <v>290.00000000000011</v>
      </c>
      <c r="BQ102">
        <v>899.54</v>
      </c>
      <c r="BR102">
        <v>245</v>
      </c>
      <c r="BS102">
        <v>7351.83</v>
      </c>
      <c r="BT102">
        <v>900.29</v>
      </c>
      <c r="BU102">
        <v>-0.75</v>
      </c>
      <c r="BV102">
        <v>300.00000000000011</v>
      </c>
      <c r="BW102">
        <v>37.9</v>
      </c>
      <c r="BX102">
        <v>968.06122755058641</v>
      </c>
      <c r="BY102">
        <v>0.96915548419265474</v>
      </c>
      <c r="BZ102">
        <v>-49.825009371496542</v>
      </c>
      <c r="CA102">
        <v>0.59716356838361084</v>
      </c>
      <c r="CB102">
        <v>0.99599404006061099</v>
      </c>
      <c r="CC102">
        <v>-7.2408553948832121E-3</v>
      </c>
      <c r="CD102">
        <v>289.99999999999989</v>
      </c>
      <c r="CE102">
        <v>901.34</v>
      </c>
      <c r="CF102">
        <v>775</v>
      </c>
      <c r="CG102">
        <v>7341.79</v>
      </c>
      <c r="CH102">
        <v>900.2</v>
      </c>
      <c r="CI102">
        <v>1.1399999999999999</v>
      </c>
      <c r="CW102">
        <f t="shared" si="180"/>
        <v>1800.25</v>
      </c>
      <c r="CX102">
        <f t="shared" si="181"/>
        <v>1513.3980000065992</v>
      </c>
      <c r="CY102">
        <f t="shared" si="182"/>
        <v>0.8406599083497287</v>
      </c>
      <c r="CZ102">
        <f t="shared" si="183"/>
        <v>0.16087362311497638</v>
      </c>
      <c r="DA102">
        <v>6</v>
      </c>
      <c r="DB102">
        <v>0.5</v>
      </c>
      <c r="DC102" t="s">
        <v>415</v>
      </c>
      <c r="DD102">
        <v>2</v>
      </c>
      <c r="DE102">
        <v>1691186450.0999999</v>
      </c>
      <c r="DF102">
        <v>263.57499999999999</v>
      </c>
      <c r="DG102">
        <v>300.077</v>
      </c>
      <c r="DH102">
        <v>26.0778</v>
      </c>
      <c r="DI102">
        <v>20.891500000000001</v>
      </c>
      <c r="DJ102">
        <v>264.07400000000001</v>
      </c>
      <c r="DK102">
        <v>25.731300000000001</v>
      </c>
      <c r="DL102">
        <v>499.59100000000001</v>
      </c>
      <c r="DM102">
        <v>98.984800000000007</v>
      </c>
      <c r="DN102">
        <v>9.8248600000000005E-2</v>
      </c>
      <c r="DO102">
        <v>30.079899999999999</v>
      </c>
      <c r="DP102">
        <v>30.0181</v>
      </c>
      <c r="DQ102">
        <v>999.9</v>
      </c>
      <c r="DR102">
        <v>0</v>
      </c>
      <c r="DS102">
        <v>0</v>
      </c>
      <c r="DT102">
        <v>10060</v>
      </c>
      <c r="DU102">
        <v>0</v>
      </c>
      <c r="DV102">
        <v>1216.5</v>
      </c>
      <c r="DW102">
        <v>-36.502400000000002</v>
      </c>
      <c r="DX102">
        <v>270.63200000000001</v>
      </c>
      <c r="DY102">
        <v>306.48</v>
      </c>
      <c r="DZ102">
        <v>5.1862700000000004</v>
      </c>
      <c r="EA102">
        <v>300.077</v>
      </c>
      <c r="EB102">
        <v>20.891500000000001</v>
      </c>
      <c r="EC102">
        <v>2.5813000000000001</v>
      </c>
      <c r="ED102">
        <v>2.0679400000000001</v>
      </c>
      <c r="EE102">
        <v>21.548400000000001</v>
      </c>
      <c r="EF102">
        <v>17.974299999999999</v>
      </c>
      <c r="EG102">
        <v>1800.25</v>
      </c>
      <c r="EH102">
        <v>0.97800100000000001</v>
      </c>
      <c r="EI102">
        <v>2.1999299999999999E-2</v>
      </c>
      <c r="EJ102">
        <v>0</v>
      </c>
      <c r="EK102">
        <v>750.77499999999998</v>
      </c>
      <c r="EL102">
        <v>9.9989999999999996E-2</v>
      </c>
      <c r="EM102">
        <v>14646.5</v>
      </c>
      <c r="EN102">
        <v>16707.599999999999</v>
      </c>
      <c r="EO102">
        <v>47.436999999999998</v>
      </c>
      <c r="EP102">
        <v>49.186999999999998</v>
      </c>
      <c r="EQ102">
        <v>48.436999999999998</v>
      </c>
      <c r="ER102">
        <v>47.625</v>
      </c>
      <c r="ES102">
        <v>48.5</v>
      </c>
      <c r="ET102">
        <v>1760.55</v>
      </c>
      <c r="EU102">
        <v>39.6</v>
      </c>
      <c r="EV102">
        <v>0</v>
      </c>
      <c r="EW102">
        <v>97.799999952316284</v>
      </c>
      <c r="EX102">
        <v>0</v>
      </c>
      <c r="EY102">
        <v>752.38653846153841</v>
      </c>
      <c r="EZ102">
        <v>-6.2547009086487702</v>
      </c>
      <c r="FA102">
        <v>-96.912820620143947</v>
      </c>
      <c r="FB102">
        <v>14650.88846153846</v>
      </c>
      <c r="FC102">
        <v>15</v>
      </c>
      <c r="FD102">
        <v>1691186417.5999999</v>
      </c>
      <c r="FE102" t="s">
        <v>859</v>
      </c>
      <c r="FF102">
        <v>1691186417.0999999</v>
      </c>
      <c r="FG102">
        <v>1691186417.5999999</v>
      </c>
      <c r="FH102">
        <v>115</v>
      </c>
      <c r="FI102">
        <v>4.7E-2</v>
      </c>
      <c r="FJ102">
        <v>2E-3</v>
      </c>
      <c r="FK102">
        <v>-0.53200000000000003</v>
      </c>
      <c r="FL102">
        <v>0.16200000000000001</v>
      </c>
      <c r="FM102">
        <v>300</v>
      </c>
      <c r="FN102">
        <v>21</v>
      </c>
      <c r="FO102">
        <v>0.12</v>
      </c>
      <c r="FP102">
        <v>0.04</v>
      </c>
      <c r="FQ102">
        <v>29.184549512944042</v>
      </c>
      <c r="FR102">
        <v>-0.42876013803087898</v>
      </c>
      <c r="FS102">
        <v>7.2565549568321883E-2</v>
      </c>
      <c r="FT102">
        <v>1</v>
      </c>
      <c r="FU102">
        <v>0.26575856894819577</v>
      </c>
      <c r="FV102">
        <v>5.9659092954026122E-3</v>
      </c>
      <c r="FW102">
        <v>1.035688913860351E-3</v>
      </c>
      <c r="FX102">
        <v>1</v>
      </c>
      <c r="FY102">
        <v>2</v>
      </c>
      <c r="FZ102">
        <v>2</v>
      </c>
      <c r="GA102" t="s">
        <v>416</v>
      </c>
      <c r="GB102">
        <v>2.9656400000000001</v>
      </c>
      <c r="GC102">
        <v>2.81046</v>
      </c>
      <c r="GD102">
        <v>6.8326499999999998E-2</v>
      </c>
      <c r="GE102">
        <v>7.5186600000000006E-2</v>
      </c>
      <c r="GF102">
        <v>0.124885</v>
      </c>
      <c r="GG102">
        <v>0.106406</v>
      </c>
      <c r="GH102">
        <v>27413.9</v>
      </c>
      <c r="GI102">
        <v>25048.5</v>
      </c>
      <c r="GJ102">
        <v>26459.4</v>
      </c>
      <c r="GK102">
        <v>25570.1</v>
      </c>
      <c r="GL102">
        <v>31507.4</v>
      </c>
      <c r="GM102">
        <v>32259.1</v>
      </c>
      <c r="GN102">
        <v>37437.300000000003</v>
      </c>
      <c r="GO102">
        <v>37912</v>
      </c>
      <c r="GP102">
        <v>1.9151</v>
      </c>
      <c r="GQ102">
        <v>1.8854</v>
      </c>
      <c r="GR102">
        <v>-1.1459E-2</v>
      </c>
      <c r="GS102">
        <v>0</v>
      </c>
      <c r="GT102">
        <v>30.204499999999999</v>
      </c>
      <c r="GU102">
        <v>999.9</v>
      </c>
      <c r="GV102">
        <v>30.4</v>
      </c>
      <c r="GW102">
        <v>42.1</v>
      </c>
      <c r="GX102">
        <v>25.452200000000001</v>
      </c>
      <c r="GY102">
        <v>61.488700000000001</v>
      </c>
      <c r="GZ102">
        <v>12.9968</v>
      </c>
      <c r="HA102">
        <v>1</v>
      </c>
      <c r="HB102">
        <v>0.64786600000000005</v>
      </c>
      <c r="HC102">
        <v>4.3768399999999996</v>
      </c>
      <c r="HD102">
        <v>20.191600000000001</v>
      </c>
      <c r="HE102">
        <v>5.1951299999999998</v>
      </c>
      <c r="HF102">
        <v>11.9381</v>
      </c>
      <c r="HG102">
        <v>4.9833999999999996</v>
      </c>
      <c r="HH102">
        <v>3.2877000000000001</v>
      </c>
      <c r="HI102">
        <v>9999</v>
      </c>
      <c r="HJ102">
        <v>9999</v>
      </c>
      <c r="HK102">
        <v>9999</v>
      </c>
      <c r="HL102">
        <v>999.9</v>
      </c>
      <c r="HM102">
        <v>1.8712</v>
      </c>
      <c r="HN102">
        <v>1.87723</v>
      </c>
      <c r="HO102">
        <v>1.8750199999999999</v>
      </c>
      <c r="HP102">
        <v>1.8732800000000001</v>
      </c>
      <c r="HQ102">
        <v>1.87378</v>
      </c>
      <c r="HR102">
        <v>1.87117</v>
      </c>
      <c r="HS102">
        <v>1.8769800000000001</v>
      </c>
      <c r="HT102">
        <v>1.8760699999999999</v>
      </c>
      <c r="HU102">
        <v>5</v>
      </c>
      <c r="HV102">
        <v>0</v>
      </c>
      <c r="HW102">
        <v>0</v>
      </c>
      <c r="HX102">
        <v>0</v>
      </c>
      <c r="HY102" t="s">
        <v>417</v>
      </c>
      <c r="HZ102" t="s">
        <v>418</v>
      </c>
      <c r="IA102" t="s">
        <v>419</v>
      </c>
      <c r="IB102" t="s">
        <v>420</v>
      </c>
      <c r="IC102" t="s">
        <v>420</v>
      </c>
      <c r="ID102" t="s">
        <v>419</v>
      </c>
      <c r="IE102">
        <v>0</v>
      </c>
      <c r="IF102">
        <v>100</v>
      </c>
      <c r="IG102">
        <v>100</v>
      </c>
      <c r="IH102">
        <v>-0.499</v>
      </c>
      <c r="II102">
        <v>0.34649999999999997</v>
      </c>
      <c r="IJ102">
        <v>-0.16787776985294431</v>
      </c>
      <c r="IK102">
        <v>-1.615681629159814E-3</v>
      </c>
      <c r="IL102">
        <v>1.5005605225991581E-6</v>
      </c>
      <c r="IM102">
        <v>-5.1143626075267638E-10</v>
      </c>
      <c r="IN102">
        <v>-0.1729068144665388</v>
      </c>
      <c r="IO102">
        <v>-1.7182111142928099E-3</v>
      </c>
      <c r="IP102">
        <v>9.9985895407488957E-4</v>
      </c>
      <c r="IQ102">
        <v>-5.7750407166627208E-6</v>
      </c>
      <c r="IR102">
        <v>3</v>
      </c>
      <c r="IS102">
        <v>2181</v>
      </c>
      <c r="IT102">
        <v>2</v>
      </c>
      <c r="IU102">
        <v>42</v>
      </c>
      <c r="IV102">
        <v>0.6</v>
      </c>
      <c r="IW102">
        <v>0.5</v>
      </c>
      <c r="IX102">
        <v>0.75805699999999998</v>
      </c>
      <c r="IY102">
        <v>2.5354000000000001</v>
      </c>
      <c r="IZ102">
        <v>1.5991200000000001</v>
      </c>
      <c r="JA102">
        <v>2.2692899999999998</v>
      </c>
      <c r="JB102">
        <v>1.5502899999999999</v>
      </c>
      <c r="JC102">
        <v>2.2802699999999998</v>
      </c>
      <c r="JD102">
        <v>46.385800000000003</v>
      </c>
      <c r="JE102">
        <v>23.710999999999999</v>
      </c>
      <c r="JF102">
        <v>18</v>
      </c>
      <c r="JG102">
        <v>500.44799999999998</v>
      </c>
      <c r="JH102">
        <v>450.14100000000002</v>
      </c>
      <c r="JI102">
        <v>24.428999999999998</v>
      </c>
      <c r="JJ102">
        <v>35.163400000000003</v>
      </c>
      <c r="JK102">
        <v>29.999500000000001</v>
      </c>
      <c r="JL102">
        <v>35.272300000000001</v>
      </c>
      <c r="JM102">
        <v>35.256799999999998</v>
      </c>
      <c r="JN102">
        <v>15.201000000000001</v>
      </c>
      <c r="JO102">
        <v>26.639399999999998</v>
      </c>
      <c r="JP102">
        <v>10.894600000000001</v>
      </c>
      <c r="JQ102">
        <v>24.437100000000001</v>
      </c>
      <c r="JR102">
        <v>300</v>
      </c>
      <c r="JS102">
        <v>20.813300000000002</v>
      </c>
      <c r="JT102">
        <v>98.758399999999995</v>
      </c>
      <c r="JU102">
        <v>98.399199999999993</v>
      </c>
    </row>
    <row r="103" spans="1:281" x14ac:dyDescent="0.25">
      <c r="A103">
        <v>87</v>
      </c>
      <c r="B103">
        <v>1691186554.0999999</v>
      </c>
      <c r="C103">
        <v>26823.5</v>
      </c>
      <c r="D103" t="s">
        <v>860</v>
      </c>
      <c r="E103" t="s">
        <v>861</v>
      </c>
      <c r="F103" t="s">
        <v>411</v>
      </c>
      <c r="G103" t="s">
        <v>639</v>
      </c>
      <c r="H103" t="s">
        <v>422</v>
      </c>
      <c r="I103" t="s">
        <v>413</v>
      </c>
      <c r="J103">
        <v>1691186554.0999999</v>
      </c>
      <c r="K103">
        <f t="shared" si="138"/>
        <v>4.8135076939222372E-3</v>
      </c>
      <c r="L103">
        <f t="shared" si="139"/>
        <v>4.8135076939222374</v>
      </c>
      <c r="M103">
        <f t="shared" si="140"/>
        <v>20.432188927841221</v>
      </c>
      <c r="N103">
        <f t="shared" si="141"/>
        <v>174.57400000000001</v>
      </c>
      <c r="O103">
        <f t="shared" si="142"/>
        <v>54.228365874325945</v>
      </c>
      <c r="P103">
        <f t="shared" si="143"/>
        <v>5.373413017459832</v>
      </c>
      <c r="Q103">
        <f t="shared" si="144"/>
        <v>17.298293780122002</v>
      </c>
      <c r="R103">
        <f t="shared" si="145"/>
        <v>0.29225446904326463</v>
      </c>
      <c r="S103">
        <f t="shared" si="146"/>
        <v>2.9082382526917092</v>
      </c>
      <c r="T103">
        <f t="shared" si="147"/>
        <v>0.27686357826259955</v>
      </c>
      <c r="U103">
        <f t="shared" si="148"/>
        <v>0.17435497394272867</v>
      </c>
      <c r="V103">
        <f t="shared" si="149"/>
        <v>289.57922401273771</v>
      </c>
      <c r="W103">
        <f t="shared" si="150"/>
        <v>30.537098078100307</v>
      </c>
      <c r="X103">
        <f t="shared" si="151"/>
        <v>29.979199999999999</v>
      </c>
      <c r="Y103">
        <f t="shared" si="152"/>
        <v>4.2553623133322658</v>
      </c>
      <c r="Z103">
        <f t="shared" si="153"/>
        <v>60.566394453298287</v>
      </c>
      <c r="AA103">
        <f t="shared" si="154"/>
        <v>2.5921479456197001</v>
      </c>
      <c r="AB103">
        <f t="shared" si="155"/>
        <v>4.2798452326866858</v>
      </c>
      <c r="AC103">
        <f t="shared" si="156"/>
        <v>1.6632143677125657</v>
      </c>
      <c r="AD103">
        <f t="shared" si="157"/>
        <v>-212.27568930197066</v>
      </c>
      <c r="AE103">
        <f t="shared" si="158"/>
        <v>15.663215173843893</v>
      </c>
      <c r="AF103">
        <f t="shared" si="159"/>
        <v>1.1978856823953379</v>
      </c>
      <c r="AG103">
        <f t="shared" si="160"/>
        <v>94.164635567006286</v>
      </c>
      <c r="AH103">
        <v>1</v>
      </c>
      <c r="AI103">
        <v>0</v>
      </c>
      <c r="AJ103">
        <f t="shared" si="161"/>
        <v>1</v>
      </c>
      <c r="AK103">
        <f t="shared" si="162"/>
        <v>0</v>
      </c>
      <c r="AL103">
        <f t="shared" si="163"/>
        <v>51710.928768919272</v>
      </c>
      <c r="AM103" t="s">
        <v>414</v>
      </c>
      <c r="AN103">
        <v>7361.72</v>
      </c>
      <c r="AO103">
        <v>541.39076923076925</v>
      </c>
      <c r="AP103">
        <v>2141.9899999999998</v>
      </c>
      <c r="AQ103">
        <f t="shared" si="164"/>
        <v>0.74724869433061347</v>
      </c>
      <c r="AR103">
        <v>-0.96077199609010144</v>
      </c>
      <c r="AS103" t="s">
        <v>862</v>
      </c>
      <c r="AT103">
        <v>7349.97</v>
      </c>
      <c r="AU103">
        <v>758.93139999999994</v>
      </c>
      <c r="AV103">
        <v>918.79184199858832</v>
      </c>
      <c r="AW103">
        <f t="shared" si="165"/>
        <v>0.17398983609916951</v>
      </c>
      <c r="AX103">
        <v>0.5</v>
      </c>
      <c r="AY103">
        <f t="shared" si="166"/>
        <v>1513.2216000065996</v>
      </c>
      <c r="AZ103">
        <f t="shared" si="167"/>
        <v>20.432188927841221</v>
      </c>
      <c r="BA103">
        <f t="shared" si="168"/>
        <v>131.64258908343567</v>
      </c>
      <c r="BB103">
        <f t="shared" si="169"/>
        <v>1.413736158923321E-2</v>
      </c>
      <c r="BC103">
        <f t="shared" si="170"/>
        <v>1.3313115137599261</v>
      </c>
      <c r="BD103">
        <f t="shared" si="171"/>
        <v>405.08382121164817</v>
      </c>
      <c r="BE103" t="s">
        <v>863</v>
      </c>
      <c r="BF103">
        <v>565.85</v>
      </c>
      <c r="BG103">
        <f t="shared" si="172"/>
        <v>565.85</v>
      </c>
      <c r="BH103">
        <f t="shared" si="173"/>
        <v>0.38413689136688112</v>
      </c>
      <c r="BI103">
        <f t="shared" si="174"/>
        <v>0.45293706490948671</v>
      </c>
      <c r="BJ103">
        <f t="shared" si="175"/>
        <v>0.77607202279074927</v>
      </c>
      <c r="BK103">
        <f t="shared" si="176"/>
        <v>0.42358237306054541</v>
      </c>
      <c r="BL103">
        <f t="shared" si="177"/>
        <v>0.76421263642214543</v>
      </c>
      <c r="BM103">
        <f t="shared" si="178"/>
        <v>0.33770435401543947</v>
      </c>
      <c r="BN103">
        <f t="shared" si="179"/>
        <v>0.66229564598456059</v>
      </c>
      <c r="BO103">
        <v>1603</v>
      </c>
      <c r="BP103">
        <v>290.00000000000011</v>
      </c>
      <c r="BQ103">
        <v>869.94</v>
      </c>
      <c r="BR103">
        <v>295</v>
      </c>
      <c r="BS103">
        <v>7349.97</v>
      </c>
      <c r="BT103">
        <v>870.93</v>
      </c>
      <c r="BU103">
        <v>-0.99</v>
      </c>
      <c r="BV103">
        <v>300.00000000000011</v>
      </c>
      <c r="BW103">
        <v>37.9</v>
      </c>
      <c r="BX103">
        <v>918.79184199858832</v>
      </c>
      <c r="BY103">
        <v>0.85490193972316486</v>
      </c>
      <c r="BZ103">
        <v>-35.180107984250043</v>
      </c>
      <c r="CA103">
        <v>0.52678178655821117</v>
      </c>
      <c r="CB103">
        <v>0.99376111192465832</v>
      </c>
      <c r="CC103">
        <v>-7.2409308120133494E-3</v>
      </c>
      <c r="CD103">
        <v>289.99999999999989</v>
      </c>
      <c r="CE103">
        <v>872.38</v>
      </c>
      <c r="CF103">
        <v>775</v>
      </c>
      <c r="CG103">
        <v>7342.02</v>
      </c>
      <c r="CH103">
        <v>870.88</v>
      </c>
      <c r="CI103">
        <v>1.5</v>
      </c>
      <c r="CW103">
        <f t="shared" si="180"/>
        <v>1800.04</v>
      </c>
      <c r="CX103">
        <f t="shared" si="181"/>
        <v>1513.2216000065996</v>
      </c>
      <c r="CY103">
        <f t="shared" si="182"/>
        <v>0.84065998533732567</v>
      </c>
      <c r="CZ103">
        <f t="shared" si="183"/>
        <v>0.1608737717010387</v>
      </c>
      <c r="DA103">
        <v>6</v>
      </c>
      <c r="DB103">
        <v>0.5</v>
      </c>
      <c r="DC103" t="s">
        <v>415</v>
      </c>
      <c r="DD103">
        <v>2</v>
      </c>
      <c r="DE103">
        <v>1691186554.0999999</v>
      </c>
      <c r="DF103">
        <v>174.57400000000001</v>
      </c>
      <c r="DG103">
        <v>200.09100000000001</v>
      </c>
      <c r="DH103">
        <v>26.1599</v>
      </c>
      <c r="DI103">
        <v>20.536999999999999</v>
      </c>
      <c r="DJ103">
        <v>174.934</v>
      </c>
      <c r="DK103">
        <v>25.805199999999999</v>
      </c>
      <c r="DL103">
        <v>500.19600000000003</v>
      </c>
      <c r="DM103">
        <v>98.988100000000003</v>
      </c>
      <c r="DN103">
        <v>0.100503</v>
      </c>
      <c r="DO103">
        <v>30.0791</v>
      </c>
      <c r="DP103">
        <v>29.979199999999999</v>
      </c>
      <c r="DQ103">
        <v>999.9</v>
      </c>
      <c r="DR103">
        <v>0</v>
      </c>
      <c r="DS103">
        <v>0</v>
      </c>
      <c r="DT103">
        <v>9980</v>
      </c>
      <c r="DU103">
        <v>0</v>
      </c>
      <c r="DV103">
        <v>1202.3900000000001</v>
      </c>
      <c r="DW103">
        <v>-25.516999999999999</v>
      </c>
      <c r="DX103">
        <v>179.26400000000001</v>
      </c>
      <c r="DY103">
        <v>204.28700000000001</v>
      </c>
      <c r="DZ103">
        <v>5.6229399999999998</v>
      </c>
      <c r="EA103">
        <v>200.09100000000001</v>
      </c>
      <c r="EB103">
        <v>20.536999999999999</v>
      </c>
      <c r="EC103">
        <v>2.5895199999999998</v>
      </c>
      <c r="ED103">
        <v>2.0329199999999998</v>
      </c>
      <c r="EE103">
        <v>21.6004</v>
      </c>
      <c r="EF103">
        <v>17.703099999999999</v>
      </c>
      <c r="EG103">
        <v>1800.04</v>
      </c>
      <c r="EH103">
        <v>0.97799700000000001</v>
      </c>
      <c r="EI103">
        <v>2.2002799999999999E-2</v>
      </c>
      <c r="EJ103">
        <v>0</v>
      </c>
      <c r="EK103">
        <v>756.69</v>
      </c>
      <c r="EL103">
        <v>9.9989999999999996E-2</v>
      </c>
      <c r="EM103">
        <v>14793.8</v>
      </c>
      <c r="EN103">
        <v>16705.7</v>
      </c>
      <c r="EO103">
        <v>47.375</v>
      </c>
      <c r="EP103">
        <v>49</v>
      </c>
      <c r="EQ103">
        <v>48.375</v>
      </c>
      <c r="ER103">
        <v>47.5</v>
      </c>
      <c r="ES103">
        <v>48.436999999999998</v>
      </c>
      <c r="ET103">
        <v>1760.34</v>
      </c>
      <c r="EU103">
        <v>39.6</v>
      </c>
      <c r="EV103">
        <v>0</v>
      </c>
      <c r="EW103">
        <v>102</v>
      </c>
      <c r="EX103">
        <v>0</v>
      </c>
      <c r="EY103">
        <v>758.93139999999994</v>
      </c>
      <c r="EZ103">
        <v>-7.546538541023601</v>
      </c>
      <c r="FA103">
        <v>-33.815384469894653</v>
      </c>
      <c r="FB103">
        <v>14797.012000000001</v>
      </c>
      <c r="FC103">
        <v>15</v>
      </c>
      <c r="FD103">
        <v>1691186524.5999999</v>
      </c>
      <c r="FE103" t="s">
        <v>864</v>
      </c>
      <c r="FF103">
        <v>1691186513.5999999</v>
      </c>
      <c r="FG103">
        <v>1691186524.5999999</v>
      </c>
      <c r="FH103">
        <v>116</v>
      </c>
      <c r="FI103">
        <v>4.8000000000000001E-2</v>
      </c>
      <c r="FJ103">
        <v>5.0000000000000001E-3</v>
      </c>
      <c r="FK103">
        <v>-0.38800000000000001</v>
      </c>
      <c r="FL103">
        <v>0.16500000000000001</v>
      </c>
      <c r="FM103">
        <v>200</v>
      </c>
      <c r="FN103">
        <v>21</v>
      </c>
      <c r="FO103">
        <v>0.2</v>
      </c>
      <c r="FP103">
        <v>0.04</v>
      </c>
      <c r="FQ103">
        <v>20.348283925515041</v>
      </c>
      <c r="FR103">
        <v>-0.10786851706236179</v>
      </c>
      <c r="FS103">
        <v>4.6931732322553009E-2</v>
      </c>
      <c r="FT103">
        <v>1</v>
      </c>
      <c r="FU103">
        <v>0.28898882395152192</v>
      </c>
      <c r="FV103">
        <v>4.4773602389245458E-2</v>
      </c>
      <c r="FW103">
        <v>3.744801306684102E-3</v>
      </c>
      <c r="FX103">
        <v>1</v>
      </c>
      <c r="FY103">
        <v>2</v>
      </c>
      <c r="FZ103">
        <v>2</v>
      </c>
      <c r="GA103" t="s">
        <v>416</v>
      </c>
      <c r="GB103">
        <v>2.9673600000000002</v>
      </c>
      <c r="GC103">
        <v>2.81203</v>
      </c>
      <c r="GD103">
        <v>4.7596300000000001E-2</v>
      </c>
      <c r="GE103">
        <v>5.3110299999999999E-2</v>
      </c>
      <c r="GF103">
        <v>0.12517800000000001</v>
      </c>
      <c r="GG103">
        <v>0.105154</v>
      </c>
      <c r="GH103">
        <v>28029.4</v>
      </c>
      <c r="GI103">
        <v>25654.400000000001</v>
      </c>
      <c r="GJ103">
        <v>26464</v>
      </c>
      <c r="GK103">
        <v>25577.200000000001</v>
      </c>
      <c r="GL103">
        <v>31500.1</v>
      </c>
      <c r="GM103">
        <v>32310.6</v>
      </c>
      <c r="GN103">
        <v>37444</v>
      </c>
      <c r="GO103">
        <v>37921.4</v>
      </c>
      <c r="GP103">
        <v>1.9171</v>
      </c>
      <c r="GQ103">
        <v>1.8852</v>
      </c>
      <c r="GR103">
        <v>-1.15931E-2</v>
      </c>
      <c r="GS103">
        <v>0</v>
      </c>
      <c r="GT103">
        <v>30.167899999999999</v>
      </c>
      <c r="GU103">
        <v>999.9</v>
      </c>
      <c r="GV103">
        <v>30.3</v>
      </c>
      <c r="GW103">
        <v>42.1</v>
      </c>
      <c r="GX103">
        <v>25.3642</v>
      </c>
      <c r="GY103">
        <v>61.678699999999999</v>
      </c>
      <c r="GZ103">
        <v>13.1851</v>
      </c>
      <c r="HA103">
        <v>1</v>
      </c>
      <c r="HB103">
        <v>0.63568100000000005</v>
      </c>
      <c r="HC103">
        <v>3.9733399999999999</v>
      </c>
      <c r="HD103">
        <v>20.203600000000002</v>
      </c>
      <c r="HE103">
        <v>5.2100999999999997</v>
      </c>
      <c r="HF103">
        <v>11.9381</v>
      </c>
      <c r="HG103">
        <v>4.9871999999999996</v>
      </c>
      <c r="HH103">
        <v>3.2909999999999999</v>
      </c>
      <c r="HI103">
        <v>9999</v>
      </c>
      <c r="HJ103">
        <v>9999</v>
      </c>
      <c r="HK103">
        <v>9999</v>
      </c>
      <c r="HL103">
        <v>999.9</v>
      </c>
      <c r="HM103">
        <v>1.8711899999999999</v>
      </c>
      <c r="HN103">
        <v>1.8772599999999999</v>
      </c>
      <c r="HO103">
        <v>1.875</v>
      </c>
      <c r="HP103">
        <v>1.8733200000000001</v>
      </c>
      <c r="HQ103">
        <v>1.87378</v>
      </c>
      <c r="HR103">
        <v>1.8711899999999999</v>
      </c>
      <c r="HS103">
        <v>1.8769800000000001</v>
      </c>
      <c r="HT103">
        <v>1.87619</v>
      </c>
      <c r="HU103">
        <v>5</v>
      </c>
      <c r="HV103">
        <v>0</v>
      </c>
      <c r="HW103">
        <v>0</v>
      </c>
      <c r="HX103">
        <v>0</v>
      </c>
      <c r="HY103" t="s">
        <v>417</v>
      </c>
      <c r="HZ103" t="s">
        <v>418</v>
      </c>
      <c r="IA103" t="s">
        <v>419</v>
      </c>
      <c r="IB103" t="s">
        <v>420</v>
      </c>
      <c r="IC103" t="s">
        <v>420</v>
      </c>
      <c r="ID103" t="s">
        <v>419</v>
      </c>
      <c r="IE103">
        <v>0</v>
      </c>
      <c r="IF103">
        <v>100</v>
      </c>
      <c r="IG103">
        <v>100</v>
      </c>
      <c r="IH103">
        <v>-0.36</v>
      </c>
      <c r="II103">
        <v>0.35470000000000002</v>
      </c>
      <c r="IJ103">
        <v>-0.1203005207382558</v>
      </c>
      <c r="IK103">
        <v>-1.615681629159814E-3</v>
      </c>
      <c r="IL103">
        <v>1.5005605225991581E-6</v>
      </c>
      <c r="IM103">
        <v>-5.1143626075267638E-10</v>
      </c>
      <c r="IN103">
        <v>-0.16753407360178621</v>
      </c>
      <c r="IO103">
        <v>-1.7182111142928099E-3</v>
      </c>
      <c r="IP103">
        <v>9.9985895407488957E-4</v>
      </c>
      <c r="IQ103">
        <v>-5.7750407166627208E-6</v>
      </c>
      <c r="IR103">
        <v>3</v>
      </c>
      <c r="IS103">
        <v>2181</v>
      </c>
      <c r="IT103">
        <v>2</v>
      </c>
      <c r="IU103">
        <v>42</v>
      </c>
      <c r="IV103">
        <v>0.7</v>
      </c>
      <c r="IW103">
        <v>0.5</v>
      </c>
      <c r="IX103">
        <v>0.55542000000000002</v>
      </c>
      <c r="IY103">
        <v>2.5463900000000002</v>
      </c>
      <c r="IZ103">
        <v>1.5991200000000001</v>
      </c>
      <c r="JA103">
        <v>2.2705099999999998</v>
      </c>
      <c r="JB103">
        <v>1.5502899999999999</v>
      </c>
      <c r="JC103">
        <v>2.33765</v>
      </c>
      <c r="JD103">
        <v>46.414999999999999</v>
      </c>
      <c r="JE103">
        <v>23.719799999999999</v>
      </c>
      <c r="JF103">
        <v>18</v>
      </c>
      <c r="JG103">
        <v>500.81</v>
      </c>
      <c r="JH103">
        <v>449.137</v>
      </c>
      <c r="JI103">
        <v>24.662099999999999</v>
      </c>
      <c r="JJ103">
        <v>35.038499999999999</v>
      </c>
      <c r="JK103">
        <v>29.999600000000001</v>
      </c>
      <c r="JL103">
        <v>35.146799999999999</v>
      </c>
      <c r="JM103">
        <v>35.130899999999997</v>
      </c>
      <c r="JN103">
        <v>11.1569</v>
      </c>
      <c r="JO103">
        <v>28.3292</v>
      </c>
      <c r="JP103">
        <v>10.791399999999999</v>
      </c>
      <c r="JQ103">
        <v>24.670400000000001</v>
      </c>
      <c r="JR103">
        <v>200</v>
      </c>
      <c r="JS103">
        <v>20.4375</v>
      </c>
      <c r="JT103">
        <v>98.775999999999996</v>
      </c>
      <c r="JU103">
        <v>98.424899999999994</v>
      </c>
    </row>
    <row r="104" spans="1:281" x14ac:dyDescent="0.25">
      <c r="A104">
        <v>88</v>
      </c>
      <c r="B104">
        <v>1691186693.0999999</v>
      </c>
      <c r="C104">
        <v>26962.5</v>
      </c>
      <c r="D104" t="s">
        <v>865</v>
      </c>
      <c r="E104" t="s">
        <v>866</v>
      </c>
      <c r="F104" t="s">
        <v>411</v>
      </c>
      <c r="G104" t="s">
        <v>639</v>
      </c>
      <c r="H104" t="s">
        <v>422</v>
      </c>
      <c r="I104" t="s">
        <v>413</v>
      </c>
      <c r="J104">
        <v>1691186693.0999999</v>
      </c>
      <c r="K104">
        <f t="shared" si="138"/>
        <v>5.5060702852137242E-3</v>
      </c>
      <c r="L104">
        <f t="shared" si="139"/>
        <v>5.506070285213724</v>
      </c>
      <c r="M104">
        <f t="shared" si="140"/>
        <v>13.510806281592382</v>
      </c>
      <c r="N104">
        <f t="shared" si="141"/>
        <v>103.119</v>
      </c>
      <c r="O104">
        <f t="shared" si="142"/>
        <v>33.865308055571987</v>
      </c>
      <c r="P104">
        <f t="shared" si="143"/>
        <v>3.3557174390635947</v>
      </c>
      <c r="Q104">
        <f t="shared" si="144"/>
        <v>10.218074084280001</v>
      </c>
      <c r="R104">
        <f t="shared" si="145"/>
        <v>0.33860222917012844</v>
      </c>
      <c r="S104">
        <f t="shared" si="146"/>
        <v>2.9003742928796106</v>
      </c>
      <c r="T104">
        <f t="shared" si="147"/>
        <v>0.3180743374633625</v>
      </c>
      <c r="U104">
        <f t="shared" si="148"/>
        <v>0.20053701839895113</v>
      </c>
      <c r="V104">
        <f t="shared" si="149"/>
        <v>289.53932401273948</v>
      </c>
      <c r="W104">
        <f t="shared" si="150"/>
        <v>30.409696952106788</v>
      </c>
      <c r="X104">
        <f t="shared" si="151"/>
        <v>29.9818</v>
      </c>
      <c r="Y104">
        <f t="shared" si="152"/>
        <v>4.2559979560397858</v>
      </c>
      <c r="Z104">
        <f t="shared" si="153"/>
        <v>60.565595923010342</v>
      </c>
      <c r="AA104">
        <f t="shared" si="154"/>
        <v>2.6000256586799999</v>
      </c>
      <c r="AB104">
        <f t="shared" si="155"/>
        <v>4.2929085713696198</v>
      </c>
      <c r="AC104">
        <f t="shared" si="156"/>
        <v>1.6559722973597859</v>
      </c>
      <c r="AD104">
        <f t="shared" si="157"/>
        <v>-242.81769957792523</v>
      </c>
      <c r="AE104">
        <f t="shared" si="158"/>
        <v>23.517292823210113</v>
      </c>
      <c r="AF104">
        <f t="shared" si="159"/>
        <v>1.8039208303696299</v>
      </c>
      <c r="AG104">
        <f t="shared" si="160"/>
        <v>72.042838088394006</v>
      </c>
      <c r="AH104">
        <v>0</v>
      </c>
      <c r="AI104">
        <v>0</v>
      </c>
      <c r="AJ104">
        <f t="shared" si="161"/>
        <v>1</v>
      </c>
      <c r="AK104">
        <f t="shared" si="162"/>
        <v>0</v>
      </c>
      <c r="AL104">
        <f t="shared" si="163"/>
        <v>51478.794872985745</v>
      </c>
      <c r="AM104" t="s">
        <v>414</v>
      </c>
      <c r="AN104">
        <v>7361.72</v>
      </c>
      <c r="AO104">
        <v>541.39076923076925</v>
      </c>
      <c r="AP104">
        <v>2141.9899999999998</v>
      </c>
      <c r="AQ104">
        <f t="shared" si="164"/>
        <v>0.74724869433061347</v>
      </c>
      <c r="AR104">
        <v>-0.96077199609010144</v>
      </c>
      <c r="AS104" t="s">
        <v>867</v>
      </c>
      <c r="AT104">
        <v>7350.45</v>
      </c>
      <c r="AU104">
        <v>769.26580000000001</v>
      </c>
      <c r="AV104">
        <v>881.03181184857078</v>
      </c>
      <c r="AW104">
        <f t="shared" si="165"/>
        <v>0.12685808882889782</v>
      </c>
      <c r="AX104">
        <v>0.5</v>
      </c>
      <c r="AY104">
        <f t="shared" si="166"/>
        <v>1513.0116000066007</v>
      </c>
      <c r="AZ104">
        <f t="shared" si="167"/>
        <v>13.510806281592382</v>
      </c>
      <c r="BA104">
        <f t="shared" si="168"/>
        <v>95.968879976395087</v>
      </c>
      <c r="BB104">
        <f t="shared" si="169"/>
        <v>9.5647503810409318E-3</v>
      </c>
      <c r="BC104">
        <f t="shared" si="170"/>
        <v>1.4312288968382438</v>
      </c>
      <c r="BD104">
        <f t="shared" si="171"/>
        <v>397.57133693067306</v>
      </c>
      <c r="BE104" t="s">
        <v>868</v>
      </c>
      <c r="BF104">
        <v>576.94000000000005</v>
      </c>
      <c r="BG104">
        <f t="shared" si="172"/>
        <v>576.94000000000005</v>
      </c>
      <c r="BH104">
        <f t="shared" si="173"/>
        <v>0.34515417917830771</v>
      </c>
      <c r="BI104">
        <f t="shared" si="174"/>
        <v>0.36754035292547482</v>
      </c>
      <c r="BJ104">
        <f t="shared" si="175"/>
        <v>0.8056983407248518</v>
      </c>
      <c r="BK104">
        <f t="shared" si="176"/>
        <v>0.3290709832567002</v>
      </c>
      <c r="BL104">
        <f t="shared" si="177"/>
        <v>0.78780381991401216</v>
      </c>
      <c r="BM104">
        <f t="shared" si="178"/>
        <v>0.27565079744455484</v>
      </c>
      <c r="BN104">
        <f t="shared" si="179"/>
        <v>0.72434920255544522</v>
      </c>
      <c r="BO104">
        <v>1605</v>
      </c>
      <c r="BP104">
        <v>290.00000000000011</v>
      </c>
      <c r="BQ104">
        <v>848.84</v>
      </c>
      <c r="BR104">
        <v>295</v>
      </c>
      <c r="BS104">
        <v>7350.45</v>
      </c>
      <c r="BT104">
        <v>849.64</v>
      </c>
      <c r="BU104">
        <v>-0.8</v>
      </c>
      <c r="BV104">
        <v>300.00000000000011</v>
      </c>
      <c r="BW104">
        <v>37.9</v>
      </c>
      <c r="BX104">
        <v>881.03181184857078</v>
      </c>
      <c r="BY104">
        <v>1.0771241678703209</v>
      </c>
      <c r="BZ104">
        <v>-23.072172504335001</v>
      </c>
      <c r="CA104">
        <v>0.66375888459049104</v>
      </c>
      <c r="CB104">
        <v>0.97735083304809134</v>
      </c>
      <c r="CC104">
        <v>-7.2412238042269244E-3</v>
      </c>
      <c r="CD104">
        <v>289.99999999999989</v>
      </c>
      <c r="CE104">
        <v>850.87</v>
      </c>
      <c r="CF104">
        <v>685</v>
      </c>
      <c r="CG104">
        <v>7345.06</v>
      </c>
      <c r="CH104">
        <v>849.62</v>
      </c>
      <c r="CI104">
        <v>1.25</v>
      </c>
      <c r="CW104">
        <f t="shared" si="180"/>
        <v>1799.79</v>
      </c>
      <c r="CX104">
        <f t="shared" si="181"/>
        <v>1513.0116000066007</v>
      </c>
      <c r="CY104">
        <f t="shared" si="182"/>
        <v>0.84066007701265189</v>
      </c>
      <c r="CZ104">
        <f t="shared" si="183"/>
        <v>0.16087394863441817</v>
      </c>
      <c r="DA104">
        <v>6</v>
      </c>
      <c r="DB104">
        <v>0.5</v>
      </c>
      <c r="DC104" t="s">
        <v>415</v>
      </c>
      <c r="DD104">
        <v>2</v>
      </c>
      <c r="DE104">
        <v>1691186693.0999999</v>
      </c>
      <c r="DF104">
        <v>103.119</v>
      </c>
      <c r="DG104">
        <v>120.01300000000001</v>
      </c>
      <c r="DH104">
        <v>26.239000000000001</v>
      </c>
      <c r="DI104">
        <v>19.805199999999999</v>
      </c>
      <c r="DJ104">
        <v>103.387</v>
      </c>
      <c r="DK104">
        <v>25.877199999999998</v>
      </c>
      <c r="DL104">
        <v>500.00900000000001</v>
      </c>
      <c r="DM104">
        <v>98.989599999999996</v>
      </c>
      <c r="DN104">
        <v>0.10052</v>
      </c>
      <c r="DO104">
        <v>30.132200000000001</v>
      </c>
      <c r="DP104">
        <v>29.9818</v>
      </c>
      <c r="DQ104">
        <v>999.9</v>
      </c>
      <c r="DR104">
        <v>0</v>
      </c>
      <c r="DS104">
        <v>0</v>
      </c>
      <c r="DT104">
        <v>9935</v>
      </c>
      <c r="DU104">
        <v>0</v>
      </c>
      <c r="DV104">
        <v>1182.71</v>
      </c>
      <c r="DW104">
        <v>-16.8948</v>
      </c>
      <c r="DX104">
        <v>105.89700000000001</v>
      </c>
      <c r="DY104">
        <v>122.438</v>
      </c>
      <c r="DZ104">
        <v>6.4338699999999998</v>
      </c>
      <c r="EA104">
        <v>120.01300000000001</v>
      </c>
      <c r="EB104">
        <v>19.805199999999999</v>
      </c>
      <c r="EC104">
        <v>2.5973899999999999</v>
      </c>
      <c r="ED104">
        <v>1.96051</v>
      </c>
      <c r="EE104">
        <v>21.65</v>
      </c>
      <c r="EF104">
        <v>17.128900000000002</v>
      </c>
      <c r="EG104">
        <v>1799.79</v>
      </c>
      <c r="EH104">
        <v>0.97799400000000003</v>
      </c>
      <c r="EI104">
        <v>2.2006399999999999E-2</v>
      </c>
      <c r="EJ104">
        <v>0</v>
      </c>
      <c r="EK104">
        <v>770.98</v>
      </c>
      <c r="EL104">
        <v>9.9989999999999996E-2</v>
      </c>
      <c r="EM104">
        <v>14985</v>
      </c>
      <c r="EN104">
        <v>16703.3</v>
      </c>
      <c r="EO104">
        <v>47.311999999999998</v>
      </c>
      <c r="EP104">
        <v>48.875</v>
      </c>
      <c r="EQ104">
        <v>48.25</v>
      </c>
      <c r="ER104">
        <v>47.436999999999998</v>
      </c>
      <c r="ES104">
        <v>48.311999999999998</v>
      </c>
      <c r="ET104">
        <v>1760.09</v>
      </c>
      <c r="EU104">
        <v>39.6</v>
      </c>
      <c r="EV104">
        <v>0</v>
      </c>
      <c r="EW104">
        <v>137</v>
      </c>
      <c r="EX104">
        <v>0</v>
      </c>
      <c r="EY104">
        <v>769.26580000000001</v>
      </c>
      <c r="EZ104">
        <v>-6.0242306786225477</v>
      </c>
      <c r="FA104">
        <v>-27.023076786739349</v>
      </c>
      <c r="FB104">
        <v>14991.832</v>
      </c>
      <c r="FC104">
        <v>15</v>
      </c>
      <c r="FD104">
        <v>1691186664.0999999</v>
      </c>
      <c r="FE104" t="s">
        <v>869</v>
      </c>
      <c r="FF104">
        <v>1691186661.5999999</v>
      </c>
      <c r="FG104">
        <v>1691186664.0999999</v>
      </c>
      <c r="FH104">
        <v>117</v>
      </c>
      <c r="FI104">
        <v>4.0000000000000001E-3</v>
      </c>
      <c r="FJ104">
        <v>4.0000000000000001E-3</v>
      </c>
      <c r="FK104">
        <v>-0.28999999999999998</v>
      </c>
      <c r="FL104">
        <v>0.155</v>
      </c>
      <c r="FM104">
        <v>120</v>
      </c>
      <c r="FN104">
        <v>20</v>
      </c>
      <c r="FO104">
        <v>0.34</v>
      </c>
      <c r="FP104">
        <v>0.05</v>
      </c>
      <c r="FQ104">
        <v>13.52752353042635</v>
      </c>
      <c r="FR104">
        <v>-0.21555396753594819</v>
      </c>
      <c r="FS104">
        <v>5.5732535366799979E-2</v>
      </c>
      <c r="FT104">
        <v>1</v>
      </c>
      <c r="FU104">
        <v>0.33876978099405092</v>
      </c>
      <c r="FV104">
        <v>4.0617585049959069E-2</v>
      </c>
      <c r="FW104">
        <v>3.3743864110035659E-3</v>
      </c>
      <c r="FX104">
        <v>1</v>
      </c>
      <c r="FY104">
        <v>2</v>
      </c>
      <c r="FZ104">
        <v>2</v>
      </c>
      <c r="GA104" t="s">
        <v>416</v>
      </c>
      <c r="GB104">
        <v>2.9670200000000002</v>
      </c>
      <c r="GC104">
        <v>2.8116500000000002</v>
      </c>
      <c r="GD104">
        <v>2.9073600000000002E-2</v>
      </c>
      <c r="GE104">
        <v>3.3139799999999997E-2</v>
      </c>
      <c r="GF104">
        <v>0.125472</v>
      </c>
      <c r="GG104">
        <v>0.10251</v>
      </c>
      <c r="GH104">
        <v>28582</v>
      </c>
      <c r="GI104">
        <v>26204.9</v>
      </c>
      <c r="GJ104">
        <v>26470.6</v>
      </c>
      <c r="GK104">
        <v>25585.7</v>
      </c>
      <c r="GL104">
        <v>31494.799999999999</v>
      </c>
      <c r="GM104">
        <v>32413.8</v>
      </c>
      <c r="GN104">
        <v>37453.199999999997</v>
      </c>
      <c r="GO104">
        <v>37932.400000000001</v>
      </c>
      <c r="GP104">
        <v>1.9201999999999999</v>
      </c>
      <c r="GQ104">
        <v>1.8855999999999999</v>
      </c>
      <c r="GR104">
        <v>-1.04755E-2</v>
      </c>
      <c r="GS104">
        <v>0</v>
      </c>
      <c r="GT104">
        <v>30.1523</v>
      </c>
      <c r="GU104">
        <v>999.9</v>
      </c>
      <c r="GV104">
        <v>30.1</v>
      </c>
      <c r="GW104">
        <v>42.1</v>
      </c>
      <c r="GX104">
        <v>25.197299999999998</v>
      </c>
      <c r="GY104">
        <v>61.908700000000003</v>
      </c>
      <c r="GZ104">
        <v>12.7043</v>
      </c>
      <c r="HA104">
        <v>1</v>
      </c>
      <c r="HB104">
        <v>0.62159600000000004</v>
      </c>
      <c r="HC104">
        <v>3.7498399999999998</v>
      </c>
      <c r="HD104">
        <v>20.208600000000001</v>
      </c>
      <c r="HE104">
        <v>5.2053099999999999</v>
      </c>
      <c r="HF104">
        <v>11.9381</v>
      </c>
      <c r="HG104">
        <v>4.9858000000000002</v>
      </c>
      <c r="HH104">
        <v>3.2909999999999999</v>
      </c>
      <c r="HI104">
        <v>9999</v>
      </c>
      <c r="HJ104">
        <v>9999</v>
      </c>
      <c r="HK104">
        <v>9999</v>
      </c>
      <c r="HL104">
        <v>999.9</v>
      </c>
      <c r="HM104">
        <v>1.8711899999999999</v>
      </c>
      <c r="HN104">
        <v>1.8772800000000001</v>
      </c>
      <c r="HO104">
        <v>1.875</v>
      </c>
      <c r="HP104">
        <v>1.8733</v>
      </c>
      <c r="HQ104">
        <v>1.87378</v>
      </c>
      <c r="HR104">
        <v>1.8711899999999999</v>
      </c>
      <c r="HS104">
        <v>1.8769800000000001</v>
      </c>
      <c r="HT104">
        <v>1.87615</v>
      </c>
      <c r="HU104">
        <v>5</v>
      </c>
      <c r="HV104">
        <v>0</v>
      </c>
      <c r="HW104">
        <v>0</v>
      </c>
      <c r="HX104">
        <v>0</v>
      </c>
      <c r="HY104" t="s">
        <v>417</v>
      </c>
      <c r="HZ104" t="s">
        <v>418</v>
      </c>
      <c r="IA104" t="s">
        <v>419</v>
      </c>
      <c r="IB104" t="s">
        <v>420</v>
      </c>
      <c r="IC104" t="s">
        <v>420</v>
      </c>
      <c r="ID104" t="s">
        <v>419</v>
      </c>
      <c r="IE104">
        <v>0</v>
      </c>
      <c r="IF104">
        <v>100</v>
      </c>
      <c r="IG104">
        <v>100</v>
      </c>
      <c r="IH104">
        <v>-0.26800000000000002</v>
      </c>
      <c r="II104">
        <v>0.36180000000000001</v>
      </c>
      <c r="IJ104">
        <v>-0.1163981462168124</v>
      </c>
      <c r="IK104">
        <v>-1.615681629159814E-3</v>
      </c>
      <c r="IL104">
        <v>1.5005605225991581E-6</v>
      </c>
      <c r="IM104">
        <v>-5.1143626075267638E-10</v>
      </c>
      <c r="IN104">
        <v>-0.16318096944535401</v>
      </c>
      <c r="IO104">
        <v>-1.7182111142928099E-3</v>
      </c>
      <c r="IP104">
        <v>9.9985895407488957E-4</v>
      </c>
      <c r="IQ104">
        <v>-5.7750407166627208E-6</v>
      </c>
      <c r="IR104">
        <v>3</v>
      </c>
      <c r="IS104">
        <v>2181</v>
      </c>
      <c r="IT104">
        <v>2</v>
      </c>
      <c r="IU104">
        <v>42</v>
      </c>
      <c r="IV104">
        <v>0.5</v>
      </c>
      <c r="IW104">
        <v>0.5</v>
      </c>
      <c r="IX104">
        <v>0.38940399999999997</v>
      </c>
      <c r="IY104">
        <v>2.5537100000000001</v>
      </c>
      <c r="IZ104">
        <v>1.5991200000000001</v>
      </c>
      <c r="JA104">
        <v>2.2692899999999998</v>
      </c>
      <c r="JB104">
        <v>1.5502899999999999</v>
      </c>
      <c r="JC104">
        <v>2.3730500000000001</v>
      </c>
      <c r="JD104">
        <v>46.414999999999999</v>
      </c>
      <c r="JE104">
        <v>23.719799999999999</v>
      </c>
      <c r="JF104">
        <v>18</v>
      </c>
      <c r="JG104">
        <v>501.64800000000002</v>
      </c>
      <c r="JH104">
        <v>448.262</v>
      </c>
      <c r="JI104">
        <v>24.948899999999998</v>
      </c>
      <c r="JJ104">
        <v>34.881700000000002</v>
      </c>
      <c r="JK104">
        <v>29.999600000000001</v>
      </c>
      <c r="JL104">
        <v>34.989699999999999</v>
      </c>
      <c r="JM104">
        <v>34.969499999999996</v>
      </c>
      <c r="JN104">
        <v>7.8385699999999998</v>
      </c>
      <c r="JO104">
        <v>29.9239</v>
      </c>
      <c r="JP104">
        <v>9.8805899999999998</v>
      </c>
      <c r="JQ104">
        <v>24.958200000000001</v>
      </c>
      <c r="JR104">
        <v>120</v>
      </c>
      <c r="JS104">
        <v>19.751300000000001</v>
      </c>
      <c r="JT104">
        <v>98.800299999999993</v>
      </c>
      <c r="JU104">
        <v>98.455100000000002</v>
      </c>
    </row>
    <row r="105" spans="1:281" x14ac:dyDescent="0.25">
      <c r="A105">
        <v>89</v>
      </c>
      <c r="B105">
        <v>1691186807.5999999</v>
      </c>
      <c r="C105">
        <v>27077</v>
      </c>
      <c r="D105" t="s">
        <v>870</v>
      </c>
      <c r="E105" t="s">
        <v>871</v>
      </c>
      <c r="F105" t="s">
        <v>411</v>
      </c>
      <c r="G105" t="s">
        <v>639</v>
      </c>
      <c r="H105" t="s">
        <v>422</v>
      </c>
      <c r="I105" t="s">
        <v>413</v>
      </c>
      <c r="J105">
        <v>1691186807.5999999</v>
      </c>
      <c r="K105">
        <f t="shared" si="138"/>
        <v>5.8898078313880014E-3</v>
      </c>
      <c r="L105">
        <f t="shared" si="139"/>
        <v>5.8898078313880013</v>
      </c>
      <c r="M105">
        <f t="shared" si="140"/>
        <v>8.5257538115709295</v>
      </c>
      <c r="N105">
        <f t="shared" si="141"/>
        <v>59.407400000000003</v>
      </c>
      <c r="O105">
        <f t="shared" si="142"/>
        <v>18.504735200639029</v>
      </c>
      <c r="P105">
        <f t="shared" si="143"/>
        <v>1.8335935820347147</v>
      </c>
      <c r="Q105">
        <f t="shared" si="144"/>
        <v>5.8865488311125604</v>
      </c>
      <c r="R105">
        <f t="shared" si="145"/>
        <v>0.36264798889933497</v>
      </c>
      <c r="S105">
        <f t="shared" si="146"/>
        <v>2.9161049452196073</v>
      </c>
      <c r="T105">
        <f t="shared" si="147"/>
        <v>0.33932697894584257</v>
      </c>
      <c r="U105">
        <f t="shared" si="148"/>
        <v>0.21404956392328145</v>
      </c>
      <c r="V105">
        <f t="shared" si="149"/>
        <v>289.57182301274128</v>
      </c>
      <c r="W105">
        <f t="shared" si="150"/>
        <v>30.353585513072581</v>
      </c>
      <c r="X105">
        <f t="shared" si="151"/>
        <v>30.058700000000002</v>
      </c>
      <c r="Y105">
        <f t="shared" si="152"/>
        <v>4.274835767679205</v>
      </c>
      <c r="Z105">
        <f t="shared" si="153"/>
        <v>60.750699463369251</v>
      </c>
      <c r="AA105">
        <f t="shared" si="154"/>
        <v>2.6147289825072004</v>
      </c>
      <c r="AB105">
        <f t="shared" si="155"/>
        <v>4.3040310738871401</v>
      </c>
      <c r="AC105">
        <f t="shared" si="156"/>
        <v>1.6601067851720046</v>
      </c>
      <c r="AD105">
        <f t="shared" si="157"/>
        <v>-259.74052536421084</v>
      </c>
      <c r="AE105">
        <f t="shared" si="158"/>
        <v>18.645467707071742</v>
      </c>
      <c r="AF105">
        <f t="shared" si="159"/>
        <v>1.4233658345045987</v>
      </c>
      <c r="AG105">
        <f t="shared" si="160"/>
        <v>49.900131190106762</v>
      </c>
      <c r="AH105">
        <v>0</v>
      </c>
      <c r="AI105">
        <v>0</v>
      </c>
      <c r="AJ105">
        <f t="shared" si="161"/>
        <v>1</v>
      </c>
      <c r="AK105">
        <f t="shared" si="162"/>
        <v>0</v>
      </c>
      <c r="AL105">
        <f t="shared" si="163"/>
        <v>51917.707942520843</v>
      </c>
      <c r="AM105" t="s">
        <v>414</v>
      </c>
      <c r="AN105">
        <v>7361.72</v>
      </c>
      <c r="AO105">
        <v>541.39076923076925</v>
      </c>
      <c r="AP105">
        <v>2141.9899999999998</v>
      </c>
      <c r="AQ105">
        <f t="shared" si="164"/>
        <v>0.74724869433061347</v>
      </c>
      <c r="AR105">
        <v>-0.96077199609010144</v>
      </c>
      <c r="AS105" t="s">
        <v>872</v>
      </c>
      <c r="AT105">
        <v>7351.66</v>
      </c>
      <c r="AU105">
        <v>776.80939999999998</v>
      </c>
      <c r="AV105">
        <v>859.51195651523653</v>
      </c>
      <c r="AW105">
        <f t="shared" si="165"/>
        <v>9.6220367719539124E-2</v>
      </c>
      <c r="AX105">
        <v>0.5</v>
      </c>
      <c r="AY105">
        <f t="shared" si="166"/>
        <v>1513.1799000066017</v>
      </c>
      <c r="AZ105">
        <f t="shared" si="167"/>
        <v>8.5257538115709295</v>
      </c>
      <c r="BA105">
        <f t="shared" si="168"/>
        <v>72.799363202225322</v>
      </c>
      <c r="BB105">
        <f t="shared" si="169"/>
        <v>6.2692650144372418E-3</v>
      </c>
      <c r="BC105">
        <f t="shared" si="170"/>
        <v>1.4921002945489901</v>
      </c>
      <c r="BD105">
        <f t="shared" si="171"/>
        <v>393.12966257423921</v>
      </c>
      <c r="BE105" t="s">
        <v>873</v>
      </c>
      <c r="BF105">
        <v>594.13</v>
      </c>
      <c r="BG105">
        <f t="shared" si="172"/>
        <v>594.13</v>
      </c>
      <c r="BH105">
        <f t="shared" si="173"/>
        <v>0.30875888869677648</v>
      </c>
      <c r="BI105">
        <f t="shared" si="174"/>
        <v>0.3116359439097296</v>
      </c>
      <c r="BJ105">
        <f t="shared" si="175"/>
        <v>0.82854912168074857</v>
      </c>
      <c r="BK105">
        <f t="shared" si="176"/>
        <v>0.25997185921880478</v>
      </c>
      <c r="BL105">
        <f t="shared" si="177"/>
        <v>0.8012486941333955</v>
      </c>
      <c r="BM105">
        <f t="shared" si="178"/>
        <v>0.23834966898583831</v>
      </c>
      <c r="BN105">
        <f t="shared" si="179"/>
        <v>0.76165033101416169</v>
      </c>
      <c r="BO105">
        <v>1607</v>
      </c>
      <c r="BP105">
        <v>290.00000000000011</v>
      </c>
      <c r="BQ105">
        <v>835.61</v>
      </c>
      <c r="BR105">
        <v>265</v>
      </c>
      <c r="BS105">
        <v>7351.66</v>
      </c>
      <c r="BT105">
        <v>836.24</v>
      </c>
      <c r="BU105">
        <v>-0.63</v>
      </c>
      <c r="BV105">
        <v>300.00000000000011</v>
      </c>
      <c r="BW105">
        <v>37.9</v>
      </c>
      <c r="BX105">
        <v>859.51195651523653</v>
      </c>
      <c r="BY105">
        <v>1.1867840708267361</v>
      </c>
      <c r="BZ105">
        <v>-17.11079613496004</v>
      </c>
      <c r="CA105">
        <v>0.73135941116345204</v>
      </c>
      <c r="CB105">
        <v>0.95133542073881472</v>
      </c>
      <c r="CC105">
        <v>-7.2415085650723056E-3</v>
      </c>
      <c r="CD105">
        <v>289.99999999999989</v>
      </c>
      <c r="CE105">
        <v>837.14</v>
      </c>
      <c r="CF105">
        <v>705</v>
      </c>
      <c r="CG105">
        <v>7344.68</v>
      </c>
      <c r="CH105">
        <v>836.22</v>
      </c>
      <c r="CI105">
        <v>0.92</v>
      </c>
      <c r="CW105">
        <f t="shared" si="180"/>
        <v>1799.99</v>
      </c>
      <c r="CX105">
        <f t="shared" si="181"/>
        <v>1513.1799000066017</v>
      </c>
      <c r="CY105">
        <f t="shared" si="182"/>
        <v>0.84066017033794727</v>
      </c>
      <c r="CZ105">
        <f t="shared" si="183"/>
        <v>0.16087412875223822</v>
      </c>
      <c r="DA105">
        <v>6</v>
      </c>
      <c r="DB105">
        <v>0.5</v>
      </c>
      <c r="DC105" t="s">
        <v>415</v>
      </c>
      <c r="DD105">
        <v>2</v>
      </c>
      <c r="DE105">
        <v>1691186807.5999999</v>
      </c>
      <c r="DF105">
        <v>59.407400000000003</v>
      </c>
      <c r="DG105">
        <v>70.052199999999999</v>
      </c>
      <c r="DH105">
        <v>26.388000000000002</v>
      </c>
      <c r="DI105">
        <v>19.5106</v>
      </c>
      <c r="DJ105">
        <v>59.7012</v>
      </c>
      <c r="DK105">
        <v>26.018599999999999</v>
      </c>
      <c r="DL105">
        <v>500.28100000000001</v>
      </c>
      <c r="DM105">
        <v>98.988100000000003</v>
      </c>
      <c r="DN105">
        <v>9.9704399999999999E-2</v>
      </c>
      <c r="DO105">
        <v>30.177299999999999</v>
      </c>
      <c r="DP105">
        <v>30.058700000000002</v>
      </c>
      <c r="DQ105">
        <v>999.9</v>
      </c>
      <c r="DR105">
        <v>0</v>
      </c>
      <c r="DS105">
        <v>0</v>
      </c>
      <c r="DT105">
        <v>10025</v>
      </c>
      <c r="DU105">
        <v>0</v>
      </c>
      <c r="DV105">
        <v>1170.6600000000001</v>
      </c>
      <c r="DW105">
        <v>-10.6449</v>
      </c>
      <c r="DX105">
        <v>61.017499999999998</v>
      </c>
      <c r="DY105">
        <v>71.446200000000005</v>
      </c>
      <c r="DZ105">
        <v>6.8774100000000002</v>
      </c>
      <c r="EA105">
        <v>70.052199999999999</v>
      </c>
      <c r="EB105">
        <v>19.5106</v>
      </c>
      <c r="EC105">
        <v>2.6120899999999998</v>
      </c>
      <c r="ED105">
        <v>1.9313100000000001</v>
      </c>
      <c r="EE105">
        <v>21.7423</v>
      </c>
      <c r="EF105">
        <v>16.892199999999999</v>
      </c>
      <c r="EG105">
        <v>1799.99</v>
      </c>
      <c r="EH105">
        <v>0.97799400000000003</v>
      </c>
      <c r="EI105">
        <v>2.2006399999999999E-2</v>
      </c>
      <c r="EJ105">
        <v>0</v>
      </c>
      <c r="EK105">
        <v>775.61</v>
      </c>
      <c r="EL105">
        <v>9.9989999999999996E-2</v>
      </c>
      <c r="EM105">
        <v>15130.6</v>
      </c>
      <c r="EN105">
        <v>16705.099999999999</v>
      </c>
      <c r="EO105">
        <v>47.25</v>
      </c>
      <c r="EP105">
        <v>48.875</v>
      </c>
      <c r="EQ105">
        <v>48.25</v>
      </c>
      <c r="ER105">
        <v>47.436999999999998</v>
      </c>
      <c r="ES105">
        <v>48.375</v>
      </c>
      <c r="ET105">
        <v>1760.28</v>
      </c>
      <c r="EU105">
        <v>39.61</v>
      </c>
      <c r="EV105">
        <v>0</v>
      </c>
      <c r="EW105">
        <v>112.3999998569489</v>
      </c>
      <c r="EX105">
        <v>0</v>
      </c>
      <c r="EY105">
        <v>776.80939999999998</v>
      </c>
      <c r="EZ105">
        <v>-6.6365384205085061</v>
      </c>
      <c r="FA105">
        <v>-47.269230825017367</v>
      </c>
      <c r="FB105">
        <v>15139.08</v>
      </c>
      <c r="FC105">
        <v>15</v>
      </c>
      <c r="FD105">
        <v>1691186778.0999999</v>
      </c>
      <c r="FE105" t="s">
        <v>874</v>
      </c>
      <c r="FF105">
        <v>1691186765.0999999</v>
      </c>
      <c r="FG105">
        <v>1691186778.0999999</v>
      </c>
      <c r="FH105">
        <v>118</v>
      </c>
      <c r="FI105">
        <v>-8.5999999999999993E-2</v>
      </c>
      <c r="FJ105">
        <v>2E-3</v>
      </c>
      <c r="FK105">
        <v>-0.309</v>
      </c>
      <c r="FL105">
        <v>0.13900000000000001</v>
      </c>
      <c r="FM105">
        <v>70</v>
      </c>
      <c r="FN105">
        <v>20</v>
      </c>
      <c r="FO105">
        <v>0.4</v>
      </c>
      <c r="FP105">
        <v>0.03</v>
      </c>
      <c r="FQ105">
        <v>8.5134219869086358</v>
      </c>
      <c r="FR105">
        <v>-0.62384067660405962</v>
      </c>
      <c r="FS105">
        <v>6.9035219701704564E-2</v>
      </c>
      <c r="FT105">
        <v>1</v>
      </c>
      <c r="FU105">
        <v>0.36211622622560929</v>
      </c>
      <c r="FV105">
        <v>3.8931348106202968E-2</v>
      </c>
      <c r="FW105">
        <v>4.5082560919624771E-3</v>
      </c>
      <c r="FX105">
        <v>1</v>
      </c>
      <c r="FY105">
        <v>2</v>
      </c>
      <c r="FZ105">
        <v>2</v>
      </c>
      <c r="GA105" t="s">
        <v>416</v>
      </c>
      <c r="GB105">
        <v>2.9678399999999998</v>
      </c>
      <c r="GC105">
        <v>2.81162</v>
      </c>
      <c r="GD105">
        <v>1.7011100000000001E-2</v>
      </c>
      <c r="GE105">
        <v>1.9671600000000001E-2</v>
      </c>
      <c r="GF105">
        <v>0.12598400000000001</v>
      </c>
      <c r="GG105">
        <v>0.101441</v>
      </c>
      <c r="GH105">
        <v>28941</v>
      </c>
      <c r="GI105">
        <v>26573.8</v>
      </c>
      <c r="GJ105">
        <v>26473.9</v>
      </c>
      <c r="GK105">
        <v>25589.200000000001</v>
      </c>
      <c r="GL105">
        <v>31478.1</v>
      </c>
      <c r="GM105">
        <v>32455.3</v>
      </c>
      <c r="GN105">
        <v>37457.199999999997</v>
      </c>
      <c r="GO105">
        <v>37937</v>
      </c>
      <c r="GP105">
        <v>1.921</v>
      </c>
      <c r="GQ105">
        <v>1.8866000000000001</v>
      </c>
      <c r="GR105">
        <v>-1.0252000000000001E-2</v>
      </c>
      <c r="GS105">
        <v>0</v>
      </c>
      <c r="GT105">
        <v>30.2255</v>
      </c>
      <c r="GU105">
        <v>999.9</v>
      </c>
      <c r="GV105">
        <v>29.9</v>
      </c>
      <c r="GW105">
        <v>42.1</v>
      </c>
      <c r="GX105">
        <v>25.03</v>
      </c>
      <c r="GY105">
        <v>61.788699999999999</v>
      </c>
      <c r="GZ105">
        <v>13.229200000000001</v>
      </c>
      <c r="HA105">
        <v>1</v>
      </c>
      <c r="HB105">
        <v>0.620224</v>
      </c>
      <c r="HC105">
        <v>4.7733800000000004</v>
      </c>
      <c r="HD105">
        <v>20.182600000000001</v>
      </c>
      <c r="HE105">
        <v>5.2107000000000001</v>
      </c>
      <c r="HF105">
        <v>11.9381</v>
      </c>
      <c r="HG105">
        <v>4.9870000000000001</v>
      </c>
      <c r="HH105">
        <v>3.2909999999999999</v>
      </c>
      <c r="HI105">
        <v>9999</v>
      </c>
      <c r="HJ105">
        <v>9999</v>
      </c>
      <c r="HK105">
        <v>9999</v>
      </c>
      <c r="HL105">
        <v>999.9</v>
      </c>
      <c r="HM105">
        <v>1.8711899999999999</v>
      </c>
      <c r="HN105">
        <v>1.8772800000000001</v>
      </c>
      <c r="HO105">
        <v>1.875</v>
      </c>
      <c r="HP105">
        <v>1.8732599999999999</v>
      </c>
      <c r="HQ105">
        <v>1.87378</v>
      </c>
      <c r="HR105">
        <v>1.8711899999999999</v>
      </c>
      <c r="HS105">
        <v>1.8769800000000001</v>
      </c>
      <c r="HT105">
        <v>1.8761300000000001</v>
      </c>
      <c r="HU105">
        <v>5</v>
      </c>
      <c r="HV105">
        <v>0</v>
      </c>
      <c r="HW105">
        <v>0</v>
      </c>
      <c r="HX105">
        <v>0</v>
      </c>
      <c r="HY105" t="s">
        <v>417</v>
      </c>
      <c r="HZ105" t="s">
        <v>418</v>
      </c>
      <c r="IA105" t="s">
        <v>419</v>
      </c>
      <c r="IB105" t="s">
        <v>420</v>
      </c>
      <c r="IC105" t="s">
        <v>420</v>
      </c>
      <c r="ID105" t="s">
        <v>419</v>
      </c>
      <c r="IE105">
        <v>0</v>
      </c>
      <c r="IF105">
        <v>100</v>
      </c>
      <c r="IG105">
        <v>100</v>
      </c>
      <c r="IH105">
        <v>-0.29399999999999998</v>
      </c>
      <c r="II105">
        <v>0.36940000000000001</v>
      </c>
      <c r="IJ105">
        <v>-0.20261196797354961</v>
      </c>
      <c r="IK105">
        <v>-1.615681629159814E-3</v>
      </c>
      <c r="IL105">
        <v>1.5005605225991581E-6</v>
      </c>
      <c r="IM105">
        <v>-5.1143626075267638E-10</v>
      </c>
      <c r="IN105">
        <v>-0.16108568684541491</v>
      </c>
      <c r="IO105">
        <v>-1.7182111142928099E-3</v>
      </c>
      <c r="IP105">
        <v>9.9985895407488957E-4</v>
      </c>
      <c r="IQ105">
        <v>-5.7750407166627208E-6</v>
      </c>
      <c r="IR105">
        <v>3</v>
      </c>
      <c r="IS105">
        <v>2181</v>
      </c>
      <c r="IT105">
        <v>2</v>
      </c>
      <c r="IU105">
        <v>42</v>
      </c>
      <c r="IV105">
        <v>0.7</v>
      </c>
      <c r="IW105">
        <v>0.5</v>
      </c>
      <c r="IX105">
        <v>0.28564499999999998</v>
      </c>
      <c r="IY105">
        <v>2.5756800000000002</v>
      </c>
      <c r="IZ105">
        <v>1.5991200000000001</v>
      </c>
      <c r="JA105">
        <v>2.2692899999999998</v>
      </c>
      <c r="JB105">
        <v>1.5502899999999999</v>
      </c>
      <c r="JC105">
        <v>2.36206</v>
      </c>
      <c r="JD105">
        <v>46.414999999999999</v>
      </c>
      <c r="JE105">
        <v>23.702200000000001</v>
      </c>
      <c r="JF105">
        <v>18</v>
      </c>
      <c r="JG105">
        <v>501.36900000000003</v>
      </c>
      <c r="JH105">
        <v>448.14400000000001</v>
      </c>
      <c r="JI105">
        <v>24.388000000000002</v>
      </c>
      <c r="JJ105">
        <v>34.778799999999997</v>
      </c>
      <c r="JK105">
        <v>30</v>
      </c>
      <c r="JL105">
        <v>34.883400000000002</v>
      </c>
      <c r="JM105">
        <v>34.863999999999997</v>
      </c>
      <c r="JN105">
        <v>5.7717700000000001</v>
      </c>
      <c r="JO105">
        <v>30.839099999999998</v>
      </c>
      <c r="JP105">
        <v>9.2790400000000002</v>
      </c>
      <c r="JQ105">
        <v>24.384599999999999</v>
      </c>
      <c r="JR105">
        <v>70</v>
      </c>
      <c r="JS105">
        <v>19.389199999999999</v>
      </c>
      <c r="JT105">
        <v>98.811599999999999</v>
      </c>
      <c r="JU105">
        <v>98.467699999999994</v>
      </c>
    </row>
    <row r="106" spans="1:281" x14ac:dyDescent="0.25">
      <c r="A106">
        <v>90</v>
      </c>
      <c r="B106">
        <v>1691186917.5999999</v>
      </c>
      <c r="C106">
        <v>27187</v>
      </c>
      <c r="D106" t="s">
        <v>875</v>
      </c>
      <c r="E106" t="s">
        <v>876</v>
      </c>
      <c r="F106" t="s">
        <v>411</v>
      </c>
      <c r="G106" t="s">
        <v>639</v>
      </c>
      <c r="H106" t="s">
        <v>422</v>
      </c>
      <c r="I106" t="s">
        <v>413</v>
      </c>
      <c r="J106">
        <v>1691186917.5999999</v>
      </c>
      <c r="K106">
        <f t="shared" si="138"/>
        <v>6.5603873826038227E-3</v>
      </c>
      <c r="L106">
        <f t="shared" si="139"/>
        <v>6.5603873826038228</v>
      </c>
      <c r="M106">
        <f t="shared" si="140"/>
        <v>3.8768807902428413</v>
      </c>
      <c r="N106">
        <f t="shared" si="141"/>
        <v>25.152799999999999</v>
      </c>
      <c r="O106">
        <f t="shared" si="142"/>
        <v>8.5513217471927643</v>
      </c>
      <c r="P106">
        <f t="shared" si="143"/>
        <v>0.84730694570163778</v>
      </c>
      <c r="Q106">
        <f t="shared" si="144"/>
        <v>2.4922629242479997</v>
      </c>
      <c r="R106">
        <f t="shared" si="145"/>
        <v>0.40994254399948499</v>
      </c>
      <c r="S106">
        <f t="shared" si="146"/>
        <v>2.9072974121380293</v>
      </c>
      <c r="T106">
        <f t="shared" si="147"/>
        <v>0.38032511953122866</v>
      </c>
      <c r="U106">
        <f t="shared" si="148"/>
        <v>0.24018564955771921</v>
      </c>
      <c r="V106">
        <f t="shared" si="149"/>
        <v>289.55267101274211</v>
      </c>
      <c r="W106">
        <f t="shared" si="150"/>
        <v>30.097419886780905</v>
      </c>
      <c r="X106">
        <f t="shared" si="151"/>
        <v>29.989599999999999</v>
      </c>
      <c r="Y106">
        <f t="shared" si="152"/>
        <v>4.2579053806818408</v>
      </c>
      <c r="Z106">
        <f t="shared" si="153"/>
        <v>60.876865519777155</v>
      </c>
      <c r="AA106">
        <f t="shared" si="154"/>
        <v>2.6079643736549998</v>
      </c>
      <c r="AB106">
        <f t="shared" si="155"/>
        <v>4.2839991044015671</v>
      </c>
      <c r="AC106">
        <f t="shared" si="156"/>
        <v>1.649941007026841</v>
      </c>
      <c r="AD106">
        <f t="shared" si="157"/>
        <v>-289.31308357282859</v>
      </c>
      <c r="AE106">
        <f t="shared" si="158"/>
        <v>16.676946404051044</v>
      </c>
      <c r="AF106">
        <f t="shared" si="159"/>
        <v>1.2759986141108155</v>
      </c>
      <c r="AG106">
        <f t="shared" si="160"/>
        <v>18.192532458075355</v>
      </c>
      <c r="AH106">
        <v>0</v>
      </c>
      <c r="AI106">
        <v>0</v>
      </c>
      <c r="AJ106">
        <f t="shared" si="161"/>
        <v>1</v>
      </c>
      <c r="AK106">
        <f t="shared" si="162"/>
        <v>0</v>
      </c>
      <c r="AL106">
        <f t="shared" si="163"/>
        <v>51681.252351806557</v>
      </c>
      <c r="AM106" t="s">
        <v>414</v>
      </c>
      <c r="AN106">
        <v>7361.72</v>
      </c>
      <c r="AO106">
        <v>541.39076923076925</v>
      </c>
      <c r="AP106">
        <v>2141.9899999999998</v>
      </c>
      <c r="AQ106">
        <f t="shared" si="164"/>
        <v>0.74724869433061347</v>
      </c>
      <c r="AR106">
        <v>-0.96077199609010144</v>
      </c>
      <c r="AS106" t="s">
        <v>877</v>
      </c>
      <c r="AT106">
        <v>7350.31</v>
      </c>
      <c r="AU106">
        <v>785.42846153846153</v>
      </c>
      <c r="AV106">
        <v>844.44417053142104</v>
      </c>
      <c r="AW106">
        <f t="shared" si="165"/>
        <v>6.988704647676125E-2</v>
      </c>
      <c r="AX106">
        <v>0.5</v>
      </c>
      <c r="AY106">
        <f t="shared" si="166"/>
        <v>1513.0791000066019</v>
      </c>
      <c r="AZ106">
        <f t="shared" si="167"/>
        <v>3.8768807902428413</v>
      </c>
      <c r="BA106">
        <f t="shared" si="168"/>
        <v>52.872314692588738</v>
      </c>
      <c r="BB106">
        <f t="shared" si="169"/>
        <v>3.1972239827460672E-3</v>
      </c>
      <c r="BC106">
        <f t="shared" si="170"/>
        <v>1.5365679280514355</v>
      </c>
      <c r="BD106">
        <f t="shared" si="171"/>
        <v>389.9471644315002</v>
      </c>
      <c r="BE106" t="s">
        <v>878</v>
      </c>
      <c r="BF106">
        <v>616.12</v>
      </c>
      <c r="BG106">
        <f t="shared" si="172"/>
        <v>616.12</v>
      </c>
      <c r="BH106">
        <f t="shared" si="173"/>
        <v>0.27038397386026514</v>
      </c>
      <c r="BI106">
        <f t="shared" si="174"/>
        <v>0.25847333138493983</v>
      </c>
      <c r="BJ106">
        <f t="shared" si="175"/>
        <v>0.85036459820861454</v>
      </c>
      <c r="BK106">
        <f t="shared" si="176"/>
        <v>0.19473699598709165</v>
      </c>
      <c r="BL106">
        <f t="shared" si="177"/>
        <v>0.81066253470894922</v>
      </c>
      <c r="BM106">
        <f t="shared" si="178"/>
        <v>0.20275632566326449</v>
      </c>
      <c r="BN106">
        <f t="shared" si="179"/>
        <v>0.79724367433673549</v>
      </c>
      <c r="BO106">
        <v>1609</v>
      </c>
      <c r="BP106">
        <v>290.00000000000011</v>
      </c>
      <c r="BQ106">
        <v>826.44</v>
      </c>
      <c r="BR106">
        <v>295</v>
      </c>
      <c r="BS106">
        <v>7350.31</v>
      </c>
      <c r="BT106">
        <v>826.54</v>
      </c>
      <c r="BU106">
        <v>-0.1</v>
      </c>
      <c r="BV106">
        <v>300.00000000000011</v>
      </c>
      <c r="BW106">
        <v>37.9</v>
      </c>
      <c r="BX106">
        <v>844.44417053142104</v>
      </c>
      <c r="BY106">
        <v>0.96417518314718487</v>
      </c>
      <c r="BZ106">
        <v>-13.16005860578397</v>
      </c>
      <c r="CA106">
        <v>0.59414519867065452</v>
      </c>
      <c r="CB106">
        <v>0.94600882767315697</v>
      </c>
      <c r="CC106">
        <v>-7.2411632925472799E-3</v>
      </c>
      <c r="CD106">
        <v>289.99999999999989</v>
      </c>
      <c r="CE106">
        <v>826.35</v>
      </c>
      <c r="CF106">
        <v>695</v>
      </c>
      <c r="CG106">
        <v>7344.59</v>
      </c>
      <c r="CH106">
        <v>826.53</v>
      </c>
      <c r="CI106">
        <v>-0.18</v>
      </c>
      <c r="CW106">
        <f t="shared" si="180"/>
        <v>1799.87</v>
      </c>
      <c r="CX106">
        <f t="shared" si="181"/>
        <v>1513.0791000066019</v>
      </c>
      <c r="CY106">
        <f t="shared" si="182"/>
        <v>0.84066021435248217</v>
      </c>
      <c r="CZ106">
        <f t="shared" si="183"/>
        <v>0.16087421370029065</v>
      </c>
      <c r="DA106">
        <v>6</v>
      </c>
      <c r="DB106">
        <v>0.5</v>
      </c>
      <c r="DC106" t="s">
        <v>415</v>
      </c>
      <c r="DD106">
        <v>2</v>
      </c>
      <c r="DE106">
        <v>1691186917.5999999</v>
      </c>
      <c r="DF106">
        <v>25.152799999999999</v>
      </c>
      <c r="DG106">
        <v>30.001200000000001</v>
      </c>
      <c r="DH106">
        <v>26.320499999999999</v>
      </c>
      <c r="DI106">
        <v>18.658200000000001</v>
      </c>
      <c r="DJ106">
        <v>25.512</v>
      </c>
      <c r="DK106">
        <v>25.954999999999998</v>
      </c>
      <c r="DL106">
        <v>500.19299999999998</v>
      </c>
      <c r="DM106">
        <v>98.984399999999994</v>
      </c>
      <c r="DN106">
        <v>0.10051</v>
      </c>
      <c r="DO106">
        <v>30.096</v>
      </c>
      <c r="DP106">
        <v>29.989599999999999</v>
      </c>
      <c r="DQ106">
        <v>999.9</v>
      </c>
      <c r="DR106">
        <v>0</v>
      </c>
      <c r="DS106">
        <v>0</v>
      </c>
      <c r="DT106">
        <v>9975</v>
      </c>
      <c r="DU106">
        <v>0</v>
      </c>
      <c r="DV106">
        <v>1157.58</v>
      </c>
      <c r="DW106">
        <v>-4.84842</v>
      </c>
      <c r="DX106">
        <v>25.832699999999999</v>
      </c>
      <c r="DY106">
        <v>30.5716</v>
      </c>
      <c r="DZ106">
        <v>7.66228</v>
      </c>
      <c r="EA106">
        <v>30.001200000000001</v>
      </c>
      <c r="EB106">
        <v>18.658200000000001</v>
      </c>
      <c r="EC106">
        <v>2.6053199999999999</v>
      </c>
      <c r="ED106">
        <v>1.84687</v>
      </c>
      <c r="EE106">
        <v>21.6998</v>
      </c>
      <c r="EF106">
        <v>16.189299999999999</v>
      </c>
      <c r="EG106">
        <v>1799.87</v>
      </c>
      <c r="EH106">
        <v>0.97799400000000003</v>
      </c>
      <c r="EI106">
        <v>2.2006399999999999E-2</v>
      </c>
      <c r="EJ106">
        <v>0</v>
      </c>
      <c r="EK106">
        <v>783.48</v>
      </c>
      <c r="EL106">
        <v>9.9989999999999996E-2</v>
      </c>
      <c r="EM106">
        <v>15307.4</v>
      </c>
      <c r="EN106">
        <v>16704</v>
      </c>
      <c r="EO106">
        <v>47.375</v>
      </c>
      <c r="EP106">
        <v>49.061999999999998</v>
      </c>
      <c r="EQ106">
        <v>48.375</v>
      </c>
      <c r="ER106">
        <v>47.5</v>
      </c>
      <c r="ES106">
        <v>48.436999999999998</v>
      </c>
      <c r="ET106">
        <v>1760.16</v>
      </c>
      <c r="EU106">
        <v>39.61</v>
      </c>
      <c r="EV106">
        <v>0</v>
      </c>
      <c r="EW106">
        <v>108</v>
      </c>
      <c r="EX106">
        <v>0</v>
      </c>
      <c r="EY106">
        <v>785.42846153846153</v>
      </c>
      <c r="EZ106">
        <v>-5.4649572478513901</v>
      </c>
      <c r="FA106">
        <v>-9.2478630982309884</v>
      </c>
      <c r="FB106">
        <v>15313.98076923077</v>
      </c>
      <c r="FC106">
        <v>15</v>
      </c>
      <c r="FD106">
        <v>1691186886.5999999</v>
      </c>
      <c r="FE106" t="s">
        <v>879</v>
      </c>
      <c r="FF106">
        <v>1691186879.0999999</v>
      </c>
      <c r="FG106">
        <v>1691186886.5999999</v>
      </c>
      <c r="FH106">
        <v>119</v>
      </c>
      <c r="FI106">
        <v>-0.11600000000000001</v>
      </c>
      <c r="FJ106">
        <v>-1E-3</v>
      </c>
      <c r="FK106">
        <v>-0.36599999999999999</v>
      </c>
      <c r="FL106">
        <v>0.122</v>
      </c>
      <c r="FM106">
        <v>30</v>
      </c>
      <c r="FN106">
        <v>19</v>
      </c>
      <c r="FO106">
        <v>0.68</v>
      </c>
      <c r="FP106">
        <v>0.03</v>
      </c>
      <c r="FQ106">
        <v>3.9356384611439439</v>
      </c>
      <c r="FR106">
        <v>-0.49522821347246532</v>
      </c>
      <c r="FS106">
        <v>7.0423420893162947E-2</v>
      </c>
      <c r="FT106">
        <v>1</v>
      </c>
      <c r="FU106">
        <v>0.40682318642830378</v>
      </c>
      <c r="FV106">
        <v>2.2448035690192089E-2</v>
      </c>
      <c r="FW106">
        <v>2.5511768896744778E-3</v>
      </c>
      <c r="FX106">
        <v>1</v>
      </c>
      <c r="FY106">
        <v>2</v>
      </c>
      <c r="FZ106">
        <v>2</v>
      </c>
      <c r="GA106" t="s">
        <v>416</v>
      </c>
      <c r="GB106">
        <v>2.9676499999999999</v>
      </c>
      <c r="GC106">
        <v>2.8119900000000002</v>
      </c>
      <c r="GD106">
        <v>7.3039200000000002E-3</v>
      </c>
      <c r="GE106">
        <v>8.47819E-3</v>
      </c>
      <c r="GF106">
        <v>0.12578500000000001</v>
      </c>
      <c r="GG106">
        <v>9.8258100000000001E-2</v>
      </c>
      <c r="GH106">
        <v>29229.1</v>
      </c>
      <c r="GI106">
        <v>26881.4</v>
      </c>
      <c r="GJ106">
        <v>26476</v>
      </c>
      <c r="GK106">
        <v>25593.1</v>
      </c>
      <c r="GL106">
        <v>31488.400000000001</v>
      </c>
      <c r="GM106">
        <v>32573.8</v>
      </c>
      <c r="GN106">
        <v>37462.300000000003</v>
      </c>
      <c r="GO106">
        <v>37942.300000000003</v>
      </c>
      <c r="GP106">
        <v>1.923</v>
      </c>
      <c r="GQ106">
        <v>1.8857999999999999</v>
      </c>
      <c r="GR106">
        <v>-2.0146399999999998E-2</v>
      </c>
      <c r="GS106">
        <v>0</v>
      </c>
      <c r="GT106">
        <v>30.317399999999999</v>
      </c>
      <c r="GU106">
        <v>999.9</v>
      </c>
      <c r="GV106">
        <v>29.5</v>
      </c>
      <c r="GW106">
        <v>42.1</v>
      </c>
      <c r="GX106">
        <v>24.6966</v>
      </c>
      <c r="GY106">
        <v>61.588799999999999</v>
      </c>
      <c r="GZ106">
        <v>13.385400000000001</v>
      </c>
      <c r="HA106">
        <v>1</v>
      </c>
      <c r="HB106">
        <v>0.60892299999999999</v>
      </c>
      <c r="HC106">
        <v>3.9657</v>
      </c>
      <c r="HD106">
        <v>20.204799999999999</v>
      </c>
      <c r="HE106">
        <v>5.2059100000000003</v>
      </c>
      <c r="HF106">
        <v>11.9381</v>
      </c>
      <c r="HG106">
        <v>4.9862000000000002</v>
      </c>
      <c r="HH106">
        <v>3.2909000000000002</v>
      </c>
      <c r="HI106">
        <v>9999</v>
      </c>
      <c r="HJ106">
        <v>9999</v>
      </c>
      <c r="HK106">
        <v>9999</v>
      </c>
      <c r="HL106">
        <v>999.9</v>
      </c>
      <c r="HM106">
        <v>1.8711899999999999</v>
      </c>
      <c r="HN106">
        <v>1.8772599999999999</v>
      </c>
      <c r="HO106">
        <v>1.875</v>
      </c>
      <c r="HP106">
        <v>1.8732599999999999</v>
      </c>
      <c r="HQ106">
        <v>1.87378</v>
      </c>
      <c r="HR106">
        <v>1.87117</v>
      </c>
      <c r="HS106">
        <v>1.8769800000000001</v>
      </c>
      <c r="HT106">
        <v>1.8762099999999999</v>
      </c>
      <c r="HU106">
        <v>5</v>
      </c>
      <c r="HV106">
        <v>0</v>
      </c>
      <c r="HW106">
        <v>0</v>
      </c>
      <c r="HX106">
        <v>0</v>
      </c>
      <c r="HY106" t="s">
        <v>417</v>
      </c>
      <c r="HZ106" t="s">
        <v>418</v>
      </c>
      <c r="IA106" t="s">
        <v>419</v>
      </c>
      <c r="IB106" t="s">
        <v>420</v>
      </c>
      <c r="IC106" t="s">
        <v>420</v>
      </c>
      <c r="ID106" t="s">
        <v>419</v>
      </c>
      <c r="IE106">
        <v>0</v>
      </c>
      <c r="IF106">
        <v>100</v>
      </c>
      <c r="IG106">
        <v>100</v>
      </c>
      <c r="IH106">
        <v>-0.35899999999999999</v>
      </c>
      <c r="II106">
        <v>0.36549999999999999</v>
      </c>
      <c r="IJ106">
        <v>-0.31895462080009712</v>
      </c>
      <c r="IK106">
        <v>-1.615681629159814E-3</v>
      </c>
      <c r="IL106">
        <v>1.5005605225991581E-6</v>
      </c>
      <c r="IM106">
        <v>-5.1143626075267638E-10</v>
      </c>
      <c r="IN106">
        <v>-0.1625011413921196</v>
      </c>
      <c r="IO106">
        <v>-1.7182111142928099E-3</v>
      </c>
      <c r="IP106">
        <v>9.9985895407488957E-4</v>
      </c>
      <c r="IQ106">
        <v>-5.7750407166627208E-6</v>
      </c>
      <c r="IR106">
        <v>3</v>
      </c>
      <c r="IS106">
        <v>2181</v>
      </c>
      <c r="IT106">
        <v>2</v>
      </c>
      <c r="IU106">
        <v>42</v>
      </c>
      <c r="IV106">
        <v>0.6</v>
      </c>
      <c r="IW106">
        <v>0.5</v>
      </c>
      <c r="IX106">
        <v>0.20507800000000001</v>
      </c>
      <c r="IY106">
        <v>2.5927699999999998</v>
      </c>
      <c r="IZ106">
        <v>1.5991200000000001</v>
      </c>
      <c r="JA106">
        <v>2.2692899999999998</v>
      </c>
      <c r="JB106">
        <v>1.5502899999999999</v>
      </c>
      <c r="JC106">
        <v>2.3059099999999999</v>
      </c>
      <c r="JD106">
        <v>46.444200000000002</v>
      </c>
      <c r="JE106">
        <v>23.710999999999999</v>
      </c>
      <c r="JF106">
        <v>18</v>
      </c>
      <c r="JG106">
        <v>502.09699999999998</v>
      </c>
      <c r="JH106">
        <v>447.09800000000001</v>
      </c>
      <c r="JI106">
        <v>24.359400000000001</v>
      </c>
      <c r="JJ106">
        <v>34.723100000000002</v>
      </c>
      <c r="JK106">
        <v>29.9985</v>
      </c>
      <c r="JL106">
        <v>34.807400000000001</v>
      </c>
      <c r="JM106">
        <v>34.785200000000003</v>
      </c>
      <c r="JN106">
        <v>4.1326599999999996</v>
      </c>
      <c r="JO106">
        <v>33.2804</v>
      </c>
      <c r="JP106">
        <v>7.8928200000000004</v>
      </c>
      <c r="JQ106">
        <v>24.372900000000001</v>
      </c>
      <c r="JR106">
        <v>30</v>
      </c>
      <c r="JS106">
        <v>18.511399999999998</v>
      </c>
      <c r="JT106">
        <v>98.822699999999998</v>
      </c>
      <c r="JU106">
        <v>98.481899999999996</v>
      </c>
    </row>
    <row r="107" spans="1:281" x14ac:dyDescent="0.25">
      <c r="A107">
        <v>91</v>
      </c>
      <c r="B107">
        <v>1691187039.5999999</v>
      </c>
      <c r="C107">
        <v>27309</v>
      </c>
      <c r="D107" t="s">
        <v>880</v>
      </c>
      <c r="E107" t="s">
        <v>881</v>
      </c>
      <c r="F107" t="s">
        <v>411</v>
      </c>
      <c r="G107" t="s">
        <v>639</v>
      </c>
      <c r="H107" t="s">
        <v>422</v>
      </c>
      <c r="I107" t="s">
        <v>413</v>
      </c>
      <c r="J107">
        <v>1691187039.5999999</v>
      </c>
      <c r="K107">
        <f t="shared" si="138"/>
        <v>7.0451999732703257E-3</v>
      </c>
      <c r="L107">
        <f t="shared" si="139"/>
        <v>7.0451999732703259</v>
      </c>
      <c r="M107">
        <f t="shared" si="140"/>
        <v>1.4085547570954091</v>
      </c>
      <c r="N107">
        <f t="shared" si="141"/>
        <v>8.3581400000000006</v>
      </c>
      <c r="O107">
        <f t="shared" si="142"/>
        <v>2.7356727583793452</v>
      </c>
      <c r="P107">
        <f t="shared" si="143"/>
        <v>0.27104784159706857</v>
      </c>
      <c r="Q107">
        <f t="shared" si="144"/>
        <v>0.82811652081816012</v>
      </c>
      <c r="R107">
        <f t="shared" si="145"/>
        <v>0.44163481101820345</v>
      </c>
      <c r="S107">
        <f t="shared" si="146"/>
        <v>2.9001751276238377</v>
      </c>
      <c r="T107">
        <f t="shared" si="147"/>
        <v>0.40738851342450577</v>
      </c>
      <c r="U107">
        <f t="shared" si="148"/>
        <v>0.25747305578832225</v>
      </c>
      <c r="V107">
        <f t="shared" si="149"/>
        <v>289.56863101274143</v>
      </c>
      <c r="W107">
        <f t="shared" si="150"/>
        <v>30.00912490168993</v>
      </c>
      <c r="X107">
        <f t="shared" si="151"/>
        <v>29.997800000000002</v>
      </c>
      <c r="Y107">
        <f t="shared" si="152"/>
        <v>4.2599114252313237</v>
      </c>
      <c r="Z107">
        <f t="shared" si="153"/>
        <v>60.692868731701729</v>
      </c>
      <c r="AA107">
        <f t="shared" si="154"/>
        <v>2.6058482125308</v>
      </c>
      <c r="AB107">
        <f t="shared" si="155"/>
        <v>4.2934998245843108</v>
      </c>
      <c r="AC107">
        <f t="shared" si="156"/>
        <v>1.6540632127005237</v>
      </c>
      <c r="AD107">
        <f t="shared" si="157"/>
        <v>-310.69331882122134</v>
      </c>
      <c r="AE107">
        <f t="shared" si="158"/>
        <v>21.389260234526017</v>
      </c>
      <c r="AF107">
        <f t="shared" si="159"/>
        <v>1.6409497477651871</v>
      </c>
      <c r="AG107">
        <f t="shared" si="160"/>
        <v>1.9055221738113168</v>
      </c>
      <c r="AH107">
        <v>0</v>
      </c>
      <c r="AI107">
        <v>0</v>
      </c>
      <c r="AJ107">
        <f t="shared" si="161"/>
        <v>1</v>
      </c>
      <c r="AK107">
        <f t="shared" si="162"/>
        <v>0</v>
      </c>
      <c r="AL107">
        <f t="shared" si="163"/>
        <v>51472.510867961864</v>
      </c>
      <c r="AM107" t="s">
        <v>414</v>
      </c>
      <c r="AN107">
        <v>7361.72</v>
      </c>
      <c r="AO107">
        <v>541.39076923076925</v>
      </c>
      <c r="AP107">
        <v>2141.9899999999998</v>
      </c>
      <c r="AQ107">
        <f t="shared" si="164"/>
        <v>0.74724869433061347</v>
      </c>
      <c r="AR107">
        <v>-0.96077199609010144</v>
      </c>
      <c r="AS107" t="s">
        <v>882</v>
      </c>
      <c r="AT107">
        <v>7361.54</v>
      </c>
      <c r="AU107">
        <v>788.44119999999998</v>
      </c>
      <c r="AV107">
        <v>836.44106565667153</v>
      </c>
      <c r="AW107">
        <f t="shared" si="165"/>
        <v>5.7385831025629885E-2</v>
      </c>
      <c r="AX107">
        <v>0.5</v>
      </c>
      <c r="AY107">
        <f t="shared" si="166"/>
        <v>1513.1631000066018</v>
      </c>
      <c r="AZ107">
        <f t="shared" si="167"/>
        <v>1.4085547570954091</v>
      </c>
      <c r="BA107">
        <f t="shared" si="168"/>
        <v>43.417060985598575</v>
      </c>
      <c r="BB107">
        <f t="shared" si="169"/>
        <v>1.5658105548405016E-3</v>
      </c>
      <c r="BC107">
        <f t="shared" si="170"/>
        <v>1.5608379214599781</v>
      </c>
      <c r="BD107">
        <f t="shared" si="171"/>
        <v>388.23182874199421</v>
      </c>
      <c r="BE107" t="s">
        <v>883</v>
      </c>
      <c r="BF107">
        <v>627.80999999999995</v>
      </c>
      <c r="BG107">
        <f t="shared" si="172"/>
        <v>627.80999999999995</v>
      </c>
      <c r="BH107">
        <f t="shared" si="173"/>
        <v>0.24942709561118914</v>
      </c>
      <c r="BI107">
        <f t="shared" si="174"/>
        <v>0.23007055783179148</v>
      </c>
      <c r="BJ107">
        <f t="shared" si="175"/>
        <v>0.86221514902014851</v>
      </c>
      <c r="BK107">
        <f t="shared" si="176"/>
        <v>0.16268367203191755</v>
      </c>
      <c r="BL107">
        <f t="shared" si="177"/>
        <v>0.81566260263407464</v>
      </c>
      <c r="BM107">
        <f t="shared" si="178"/>
        <v>0.18319767778799104</v>
      </c>
      <c r="BN107">
        <f t="shared" si="179"/>
        <v>0.81680232221200899</v>
      </c>
      <c r="BO107">
        <v>1611</v>
      </c>
      <c r="BP107">
        <v>290.00000000000011</v>
      </c>
      <c r="BQ107">
        <v>822.11</v>
      </c>
      <c r="BR107">
        <v>115</v>
      </c>
      <c r="BS107">
        <v>7361.54</v>
      </c>
      <c r="BT107">
        <v>821.17</v>
      </c>
      <c r="BU107">
        <v>0.94</v>
      </c>
      <c r="BV107">
        <v>300.00000000000011</v>
      </c>
      <c r="BW107">
        <v>37.9</v>
      </c>
      <c r="BX107">
        <v>836.44106565667153</v>
      </c>
      <c r="BY107">
        <v>0.89746181081501253</v>
      </c>
      <c r="BZ107">
        <v>-11.23965473258794</v>
      </c>
      <c r="CA107">
        <v>0.55302914724817775</v>
      </c>
      <c r="CB107">
        <v>0.93651612985907495</v>
      </c>
      <c r="CC107">
        <v>-7.241073859844265E-3</v>
      </c>
      <c r="CD107">
        <v>289.99999999999989</v>
      </c>
      <c r="CE107">
        <v>820.61</v>
      </c>
      <c r="CF107">
        <v>655</v>
      </c>
      <c r="CG107">
        <v>7345.87</v>
      </c>
      <c r="CH107">
        <v>821.14</v>
      </c>
      <c r="CI107">
        <v>-0.53</v>
      </c>
      <c r="CW107">
        <f t="shared" si="180"/>
        <v>1799.97</v>
      </c>
      <c r="CX107">
        <f t="shared" si="181"/>
        <v>1513.1631000066018</v>
      </c>
      <c r="CY107">
        <f t="shared" si="182"/>
        <v>0.84066017767329559</v>
      </c>
      <c r="CZ107">
        <f t="shared" si="183"/>
        <v>0.16087414290946039</v>
      </c>
      <c r="DA107">
        <v>6</v>
      </c>
      <c r="DB107">
        <v>0.5</v>
      </c>
      <c r="DC107" t="s">
        <v>415</v>
      </c>
      <c r="DD107">
        <v>2</v>
      </c>
      <c r="DE107">
        <v>1691187039.5999999</v>
      </c>
      <c r="DF107">
        <v>8.3581400000000006</v>
      </c>
      <c r="DG107">
        <v>10.1183</v>
      </c>
      <c r="DH107">
        <v>26.300699999999999</v>
      </c>
      <c r="DI107">
        <v>18.072399999999998</v>
      </c>
      <c r="DJ107">
        <v>8.7561099999999996</v>
      </c>
      <c r="DK107">
        <v>25.933499999999999</v>
      </c>
      <c r="DL107">
        <v>500.21800000000002</v>
      </c>
      <c r="DM107">
        <v>98.978300000000004</v>
      </c>
      <c r="DN107">
        <v>0.100744</v>
      </c>
      <c r="DO107">
        <v>30.134599999999999</v>
      </c>
      <c r="DP107">
        <v>29.997800000000002</v>
      </c>
      <c r="DQ107">
        <v>999.9</v>
      </c>
      <c r="DR107">
        <v>0</v>
      </c>
      <c r="DS107">
        <v>0</v>
      </c>
      <c r="DT107">
        <v>9935</v>
      </c>
      <c r="DU107">
        <v>0</v>
      </c>
      <c r="DV107">
        <v>1146.27</v>
      </c>
      <c r="DW107">
        <v>-1.76013</v>
      </c>
      <c r="DX107">
        <v>8.5838999999999999</v>
      </c>
      <c r="DY107">
        <v>10.304500000000001</v>
      </c>
      <c r="DZ107">
        <v>8.2282899999999994</v>
      </c>
      <c r="EA107">
        <v>10.1183</v>
      </c>
      <c r="EB107">
        <v>18.072399999999998</v>
      </c>
      <c r="EC107">
        <v>2.6032000000000002</v>
      </c>
      <c r="ED107">
        <v>1.78878</v>
      </c>
      <c r="EE107">
        <v>21.686499999999999</v>
      </c>
      <c r="EF107">
        <v>15.689</v>
      </c>
      <c r="EG107">
        <v>1799.97</v>
      </c>
      <c r="EH107">
        <v>0.97799400000000003</v>
      </c>
      <c r="EI107">
        <v>2.2006299999999999E-2</v>
      </c>
      <c r="EJ107">
        <v>0</v>
      </c>
      <c r="EK107">
        <v>786.63499999999999</v>
      </c>
      <c r="EL107">
        <v>9.9989999999999996E-2</v>
      </c>
      <c r="EM107">
        <v>15336.4</v>
      </c>
      <c r="EN107">
        <v>16705</v>
      </c>
      <c r="EO107">
        <v>47.436999999999998</v>
      </c>
      <c r="EP107">
        <v>49.186999999999998</v>
      </c>
      <c r="EQ107">
        <v>48.5</v>
      </c>
      <c r="ER107">
        <v>47.625</v>
      </c>
      <c r="ES107">
        <v>48.5</v>
      </c>
      <c r="ET107">
        <v>1760.26</v>
      </c>
      <c r="EU107">
        <v>39.61</v>
      </c>
      <c r="EV107">
        <v>0</v>
      </c>
      <c r="EW107">
        <v>119.5999999046326</v>
      </c>
      <c r="EX107">
        <v>0</v>
      </c>
      <c r="EY107">
        <v>788.44119999999998</v>
      </c>
      <c r="EZ107">
        <v>3.4715384734508108</v>
      </c>
      <c r="FA107">
        <v>-213.76922941593199</v>
      </c>
      <c r="FB107">
        <v>15358.22</v>
      </c>
      <c r="FC107">
        <v>15</v>
      </c>
      <c r="FD107">
        <v>1691187008.5999999</v>
      </c>
      <c r="FE107" t="s">
        <v>884</v>
      </c>
      <c r="FF107">
        <v>1691187000.5999999</v>
      </c>
      <c r="FG107">
        <v>1691187008.5999999</v>
      </c>
      <c r="FH107">
        <v>120</v>
      </c>
      <c r="FI107">
        <v>-6.5000000000000002E-2</v>
      </c>
      <c r="FJ107">
        <v>3.0000000000000001E-3</v>
      </c>
      <c r="FK107">
        <v>-0.4</v>
      </c>
      <c r="FL107">
        <v>0.10100000000000001</v>
      </c>
      <c r="FM107">
        <v>10</v>
      </c>
      <c r="FN107">
        <v>18</v>
      </c>
      <c r="FO107">
        <v>0.86</v>
      </c>
      <c r="FP107">
        <v>0.02</v>
      </c>
      <c r="FQ107">
        <v>1.3465664259910031</v>
      </c>
      <c r="FR107">
        <v>-0.32541241380151559</v>
      </c>
      <c r="FS107">
        <v>4.7729000811767647E-2</v>
      </c>
      <c r="FT107">
        <v>1</v>
      </c>
      <c r="FU107">
        <v>0.43914296458179619</v>
      </c>
      <c r="FV107">
        <v>1.5385828394262979E-3</v>
      </c>
      <c r="FW107">
        <v>1.3885590650120939E-3</v>
      </c>
      <c r="FX107">
        <v>1</v>
      </c>
      <c r="FY107">
        <v>2</v>
      </c>
      <c r="FZ107">
        <v>2</v>
      </c>
      <c r="GA107" t="s">
        <v>416</v>
      </c>
      <c r="GB107">
        <v>2.9677899999999999</v>
      </c>
      <c r="GC107">
        <v>2.8118799999999999</v>
      </c>
      <c r="GD107">
        <v>2.50739E-3</v>
      </c>
      <c r="GE107">
        <v>2.8600399999999999E-3</v>
      </c>
      <c r="GF107">
        <v>0.125719</v>
      </c>
      <c r="GG107">
        <v>9.6032699999999999E-2</v>
      </c>
      <c r="GH107">
        <v>29371.8</v>
      </c>
      <c r="GI107">
        <v>27034.1</v>
      </c>
      <c r="GJ107">
        <v>26477.3</v>
      </c>
      <c r="GK107">
        <v>25593.5</v>
      </c>
      <c r="GL107">
        <v>31490.5</v>
      </c>
      <c r="GM107">
        <v>32654.2</v>
      </c>
      <c r="GN107">
        <v>37462.800000000003</v>
      </c>
      <c r="GO107">
        <v>37942.699999999997</v>
      </c>
      <c r="GP107">
        <v>1.9238999999999999</v>
      </c>
      <c r="GQ107">
        <v>1.8852</v>
      </c>
      <c r="GR107">
        <v>-2.4050499999999999E-2</v>
      </c>
      <c r="GS107">
        <v>0</v>
      </c>
      <c r="GT107">
        <v>30.389099999999999</v>
      </c>
      <c r="GU107">
        <v>999.9</v>
      </c>
      <c r="GV107">
        <v>29.2</v>
      </c>
      <c r="GW107">
        <v>42.1</v>
      </c>
      <c r="GX107">
        <v>24.448899999999998</v>
      </c>
      <c r="GY107">
        <v>61.538800000000002</v>
      </c>
      <c r="GZ107">
        <v>12.772399999999999</v>
      </c>
      <c r="HA107">
        <v>1</v>
      </c>
      <c r="HB107">
        <v>0.60911599999999999</v>
      </c>
      <c r="HC107">
        <v>4.3057600000000003</v>
      </c>
      <c r="HD107">
        <v>20.195900000000002</v>
      </c>
      <c r="HE107">
        <v>5.2100999999999997</v>
      </c>
      <c r="HF107">
        <v>11.9381</v>
      </c>
      <c r="HG107">
        <v>4.9871999999999996</v>
      </c>
      <c r="HH107">
        <v>3.2907999999999999</v>
      </c>
      <c r="HI107">
        <v>9999</v>
      </c>
      <c r="HJ107">
        <v>9999</v>
      </c>
      <c r="HK107">
        <v>9999</v>
      </c>
      <c r="HL107">
        <v>999.9</v>
      </c>
      <c r="HM107">
        <v>1.8711899999999999</v>
      </c>
      <c r="HN107">
        <v>1.8772599999999999</v>
      </c>
      <c r="HO107">
        <v>1.87503</v>
      </c>
      <c r="HP107">
        <v>1.8733</v>
      </c>
      <c r="HQ107">
        <v>1.87378</v>
      </c>
      <c r="HR107">
        <v>1.8711899999999999</v>
      </c>
      <c r="HS107">
        <v>1.8769800000000001</v>
      </c>
      <c r="HT107">
        <v>1.87622</v>
      </c>
      <c r="HU107">
        <v>5</v>
      </c>
      <c r="HV107">
        <v>0</v>
      </c>
      <c r="HW107">
        <v>0</v>
      </c>
      <c r="HX107">
        <v>0</v>
      </c>
      <c r="HY107" t="s">
        <v>417</v>
      </c>
      <c r="HZ107" t="s">
        <v>418</v>
      </c>
      <c r="IA107" t="s">
        <v>419</v>
      </c>
      <c r="IB107" t="s">
        <v>420</v>
      </c>
      <c r="IC107" t="s">
        <v>420</v>
      </c>
      <c r="ID107" t="s">
        <v>419</v>
      </c>
      <c r="IE107">
        <v>0</v>
      </c>
      <c r="IF107">
        <v>100</v>
      </c>
      <c r="IG107">
        <v>100</v>
      </c>
      <c r="IH107">
        <v>-0.39800000000000002</v>
      </c>
      <c r="II107">
        <v>0.36720000000000003</v>
      </c>
      <c r="IJ107">
        <v>-0.3839407123606346</v>
      </c>
      <c r="IK107">
        <v>-1.615681629159814E-3</v>
      </c>
      <c r="IL107">
        <v>1.5005605225991581E-6</v>
      </c>
      <c r="IM107">
        <v>-5.1143626075267638E-10</v>
      </c>
      <c r="IN107">
        <v>-0.15999222338803451</v>
      </c>
      <c r="IO107">
        <v>-1.7182111142928099E-3</v>
      </c>
      <c r="IP107">
        <v>9.9985895407488957E-4</v>
      </c>
      <c r="IQ107">
        <v>-5.7750407166627208E-6</v>
      </c>
      <c r="IR107">
        <v>3</v>
      </c>
      <c r="IS107">
        <v>2181</v>
      </c>
      <c r="IT107">
        <v>2</v>
      </c>
      <c r="IU107">
        <v>42</v>
      </c>
      <c r="IV107">
        <v>0.7</v>
      </c>
      <c r="IW107">
        <v>0.5</v>
      </c>
      <c r="IX107">
        <v>0.164795</v>
      </c>
      <c r="IY107">
        <v>2.5976599999999999</v>
      </c>
      <c r="IZ107">
        <v>1.5991200000000001</v>
      </c>
      <c r="JA107">
        <v>2.2705099999999998</v>
      </c>
      <c r="JB107">
        <v>1.5502899999999999</v>
      </c>
      <c r="JC107">
        <v>2.4255399999999998</v>
      </c>
      <c r="JD107">
        <v>46.502800000000001</v>
      </c>
      <c r="JE107">
        <v>23.710999999999999</v>
      </c>
      <c r="JF107">
        <v>18</v>
      </c>
      <c r="JG107">
        <v>502.26100000000002</v>
      </c>
      <c r="JH107">
        <v>446.31099999999998</v>
      </c>
      <c r="JI107">
        <v>24.3597</v>
      </c>
      <c r="JJ107">
        <v>34.683900000000001</v>
      </c>
      <c r="JK107">
        <v>29.9999</v>
      </c>
      <c r="JL107">
        <v>34.751800000000003</v>
      </c>
      <c r="JM107">
        <v>34.7254</v>
      </c>
      <c r="JN107">
        <v>3.34483</v>
      </c>
      <c r="JO107">
        <v>35.247900000000001</v>
      </c>
      <c r="JP107">
        <v>6.4499199999999997</v>
      </c>
      <c r="JQ107">
        <v>24.3658</v>
      </c>
      <c r="JR107">
        <v>10</v>
      </c>
      <c r="JS107">
        <v>17.957999999999998</v>
      </c>
      <c r="JT107">
        <v>98.825400000000002</v>
      </c>
      <c r="JU107">
        <v>98.483099999999993</v>
      </c>
    </row>
    <row r="108" spans="1:281" x14ac:dyDescent="0.25">
      <c r="A108">
        <v>92</v>
      </c>
      <c r="B108">
        <v>1691187196.5999999</v>
      </c>
      <c r="C108">
        <v>27466</v>
      </c>
      <c r="D108" t="s">
        <v>885</v>
      </c>
      <c r="E108" t="s">
        <v>886</v>
      </c>
      <c r="F108" t="s">
        <v>411</v>
      </c>
      <c r="G108" t="s">
        <v>639</v>
      </c>
      <c r="H108" t="s">
        <v>422</v>
      </c>
      <c r="I108" t="s">
        <v>413</v>
      </c>
      <c r="J108">
        <v>1691187196.5999999</v>
      </c>
      <c r="K108">
        <f t="shared" si="138"/>
        <v>6.9758854344303678E-3</v>
      </c>
      <c r="L108">
        <f t="shared" si="139"/>
        <v>6.975885434430368</v>
      </c>
      <c r="M108">
        <f t="shared" si="140"/>
        <v>39.665521536344201</v>
      </c>
      <c r="N108">
        <f t="shared" si="141"/>
        <v>349.471</v>
      </c>
      <c r="O108">
        <f t="shared" si="142"/>
        <v>182.91669975485158</v>
      </c>
      <c r="P108">
        <f t="shared" si="143"/>
        <v>18.122984451054613</v>
      </c>
      <c r="Q108">
        <f t="shared" si="144"/>
        <v>34.624818333059395</v>
      </c>
      <c r="R108">
        <f t="shared" si="145"/>
        <v>0.42647358964388399</v>
      </c>
      <c r="S108">
        <f t="shared" si="146"/>
        <v>2.9176695021944035</v>
      </c>
      <c r="T108">
        <f t="shared" si="147"/>
        <v>0.3946236043071204</v>
      </c>
      <c r="U108">
        <f t="shared" si="148"/>
        <v>0.24930283562371486</v>
      </c>
      <c r="V108">
        <f t="shared" si="149"/>
        <v>289.56703501274154</v>
      </c>
      <c r="W108">
        <f t="shared" si="150"/>
        <v>30.063272405049901</v>
      </c>
      <c r="X108">
        <f t="shared" si="151"/>
        <v>30.0213</v>
      </c>
      <c r="Y108">
        <f t="shared" si="152"/>
        <v>4.2656650187569234</v>
      </c>
      <c r="Z108">
        <f t="shared" si="153"/>
        <v>59.845609342829832</v>
      </c>
      <c r="AA108">
        <f t="shared" si="154"/>
        <v>2.5746951938612401</v>
      </c>
      <c r="AB108">
        <f t="shared" si="155"/>
        <v>4.3022290559561611</v>
      </c>
      <c r="AC108">
        <f t="shared" si="156"/>
        <v>1.6909698248956833</v>
      </c>
      <c r="AD108">
        <f t="shared" si="157"/>
        <v>-307.63654765837924</v>
      </c>
      <c r="AE108">
        <f t="shared" si="158"/>
        <v>23.390123112682961</v>
      </c>
      <c r="AF108">
        <f t="shared" si="159"/>
        <v>1.7842132335037408</v>
      </c>
      <c r="AG108">
        <f t="shared" si="160"/>
        <v>7.1048237005490087</v>
      </c>
      <c r="AH108">
        <v>0</v>
      </c>
      <c r="AI108">
        <v>0</v>
      </c>
      <c r="AJ108">
        <f t="shared" si="161"/>
        <v>1</v>
      </c>
      <c r="AK108">
        <f t="shared" si="162"/>
        <v>0</v>
      </c>
      <c r="AL108">
        <f t="shared" si="163"/>
        <v>51963.23741862092</v>
      </c>
      <c r="AM108" t="s">
        <v>414</v>
      </c>
      <c r="AN108">
        <v>7361.72</v>
      </c>
      <c r="AO108">
        <v>541.39076923076925</v>
      </c>
      <c r="AP108">
        <v>2141.9899999999998</v>
      </c>
      <c r="AQ108">
        <f t="shared" si="164"/>
        <v>0.74724869433061347</v>
      </c>
      <c r="AR108">
        <v>-0.96077199609010144</v>
      </c>
      <c r="AS108" t="s">
        <v>887</v>
      </c>
      <c r="AT108">
        <v>7351.05</v>
      </c>
      <c r="AU108">
        <v>750.5902000000001</v>
      </c>
      <c r="AV108">
        <v>1025.84820361675</v>
      </c>
      <c r="AW108">
        <f t="shared" si="165"/>
        <v>0.26832235280648253</v>
      </c>
      <c r="AX108">
        <v>0.5</v>
      </c>
      <c r="AY108">
        <f t="shared" si="166"/>
        <v>1513.1547000066021</v>
      </c>
      <c r="AZ108">
        <f t="shared" si="167"/>
        <v>39.665521536344201</v>
      </c>
      <c r="BA108">
        <f t="shared" si="168"/>
        <v>203.00661463297936</v>
      </c>
      <c r="BB108">
        <f t="shared" si="169"/>
        <v>2.6848737628913322E-2</v>
      </c>
      <c r="BC108">
        <f t="shared" si="170"/>
        <v>1.0880184733454317</v>
      </c>
      <c r="BD108">
        <f t="shared" si="171"/>
        <v>424.62084734983171</v>
      </c>
      <c r="BE108" t="s">
        <v>888</v>
      </c>
      <c r="BF108">
        <v>578.98</v>
      </c>
      <c r="BG108">
        <f t="shared" si="172"/>
        <v>578.98</v>
      </c>
      <c r="BH108">
        <f t="shared" si="173"/>
        <v>0.43560850625001135</v>
      </c>
      <c r="BI108">
        <f t="shared" si="174"/>
        <v>0.61597133425232675</v>
      </c>
      <c r="BJ108">
        <f t="shared" si="175"/>
        <v>0.71409766820637743</v>
      </c>
      <c r="BK108">
        <f t="shared" si="176"/>
        <v>0.56817789155330445</v>
      </c>
      <c r="BL108">
        <f t="shared" si="177"/>
        <v>0.69732746019554459</v>
      </c>
      <c r="BM108">
        <f t="shared" si="178"/>
        <v>0.47513954099775363</v>
      </c>
      <c r="BN108">
        <f t="shared" si="179"/>
        <v>0.52486045900224632</v>
      </c>
      <c r="BO108">
        <v>1613</v>
      </c>
      <c r="BP108">
        <v>290.00000000000011</v>
      </c>
      <c r="BQ108">
        <v>927.4</v>
      </c>
      <c r="BR108">
        <v>285</v>
      </c>
      <c r="BS108">
        <v>7351.05</v>
      </c>
      <c r="BT108">
        <v>928.83</v>
      </c>
      <c r="BU108">
        <v>-1.43</v>
      </c>
      <c r="BV108">
        <v>300.00000000000011</v>
      </c>
      <c r="BW108">
        <v>37.9</v>
      </c>
      <c r="BX108">
        <v>1025.84820361675</v>
      </c>
      <c r="BY108">
        <v>1.133679268360642</v>
      </c>
      <c r="BZ108">
        <v>-71.321879387399221</v>
      </c>
      <c r="CA108">
        <v>0.69865668265830239</v>
      </c>
      <c r="CB108">
        <v>0.99732037020262632</v>
      </c>
      <c r="CC108">
        <v>-7.2423052280311479E-3</v>
      </c>
      <c r="CD108">
        <v>289.99999999999989</v>
      </c>
      <c r="CE108">
        <v>917.47</v>
      </c>
      <c r="CF108">
        <v>665</v>
      </c>
      <c r="CG108">
        <v>7346.25</v>
      </c>
      <c r="CH108">
        <v>928.76</v>
      </c>
      <c r="CI108">
        <v>-11.29</v>
      </c>
      <c r="CW108">
        <f t="shared" si="180"/>
        <v>1799.96</v>
      </c>
      <c r="CX108">
        <f t="shared" si="181"/>
        <v>1513.1547000066021</v>
      </c>
      <c r="CY108">
        <f t="shared" si="182"/>
        <v>0.84066018134103093</v>
      </c>
      <c r="CZ108">
        <f t="shared" si="183"/>
        <v>0.16087414998818947</v>
      </c>
      <c r="DA108">
        <v>6</v>
      </c>
      <c r="DB108">
        <v>0.5</v>
      </c>
      <c r="DC108" t="s">
        <v>415</v>
      </c>
      <c r="DD108">
        <v>2</v>
      </c>
      <c r="DE108">
        <v>1691187196.5999999</v>
      </c>
      <c r="DF108">
        <v>349.471</v>
      </c>
      <c r="DG108">
        <v>399.99799999999999</v>
      </c>
      <c r="DH108">
        <v>25.986599999999999</v>
      </c>
      <c r="DI108">
        <v>17.832599999999999</v>
      </c>
      <c r="DJ108">
        <v>350.03100000000001</v>
      </c>
      <c r="DK108">
        <v>25.6342</v>
      </c>
      <c r="DL108">
        <v>499.971</v>
      </c>
      <c r="DM108">
        <v>98.977900000000005</v>
      </c>
      <c r="DN108">
        <v>9.9901400000000001E-2</v>
      </c>
      <c r="DO108">
        <v>30.17</v>
      </c>
      <c r="DP108">
        <v>30.0213</v>
      </c>
      <c r="DQ108">
        <v>999.9</v>
      </c>
      <c r="DR108">
        <v>0</v>
      </c>
      <c r="DS108">
        <v>0</v>
      </c>
      <c r="DT108">
        <v>10035</v>
      </c>
      <c r="DU108">
        <v>0</v>
      </c>
      <c r="DV108">
        <v>1130.6500000000001</v>
      </c>
      <c r="DW108">
        <v>-50.526899999999998</v>
      </c>
      <c r="DX108">
        <v>358.79500000000002</v>
      </c>
      <c r="DY108">
        <v>407.26</v>
      </c>
      <c r="DZ108">
        <v>8.1540400000000002</v>
      </c>
      <c r="EA108">
        <v>399.99799999999999</v>
      </c>
      <c r="EB108">
        <v>17.832599999999999</v>
      </c>
      <c r="EC108">
        <v>2.5720999999999998</v>
      </c>
      <c r="ED108">
        <v>1.7650300000000001</v>
      </c>
      <c r="EE108">
        <v>21.490100000000002</v>
      </c>
      <c r="EF108">
        <v>15.480499999999999</v>
      </c>
      <c r="EG108">
        <v>1799.96</v>
      </c>
      <c r="EH108">
        <v>0.97799400000000003</v>
      </c>
      <c r="EI108">
        <v>2.2005899999999998E-2</v>
      </c>
      <c r="EJ108">
        <v>0</v>
      </c>
      <c r="EK108">
        <v>748.57500000000005</v>
      </c>
      <c r="EL108">
        <v>9.9989999999999996E-2</v>
      </c>
      <c r="EM108">
        <v>14683</v>
      </c>
      <c r="EN108">
        <v>16704.900000000001</v>
      </c>
      <c r="EO108">
        <v>47.5</v>
      </c>
      <c r="EP108">
        <v>49.25</v>
      </c>
      <c r="EQ108">
        <v>48.561999999999998</v>
      </c>
      <c r="ER108">
        <v>47.686999999999998</v>
      </c>
      <c r="ES108">
        <v>48.561999999999998</v>
      </c>
      <c r="ET108">
        <v>1760.25</v>
      </c>
      <c r="EU108">
        <v>39.61</v>
      </c>
      <c r="EV108">
        <v>0</v>
      </c>
      <c r="EW108">
        <v>154.79999995231631</v>
      </c>
      <c r="EX108">
        <v>0</v>
      </c>
      <c r="EY108">
        <v>750.5902000000001</v>
      </c>
      <c r="EZ108">
        <v>-16.728077000832219</v>
      </c>
      <c r="FA108">
        <v>49.161539452379188</v>
      </c>
      <c r="FB108">
        <v>14745.636</v>
      </c>
      <c r="FC108">
        <v>15</v>
      </c>
      <c r="FD108">
        <v>1691187115.0999999</v>
      </c>
      <c r="FE108" t="s">
        <v>889</v>
      </c>
      <c r="FF108">
        <v>1691187110.0999999</v>
      </c>
      <c r="FG108">
        <v>1691187115.0999999</v>
      </c>
      <c r="FH108">
        <v>121</v>
      </c>
      <c r="FI108">
        <v>0.22700000000000001</v>
      </c>
      <c r="FJ108">
        <v>-3.0000000000000001E-3</v>
      </c>
      <c r="FK108">
        <v>-0.59599999999999997</v>
      </c>
      <c r="FL108">
        <v>8.7999999999999995E-2</v>
      </c>
      <c r="FM108">
        <v>400</v>
      </c>
      <c r="FN108">
        <v>18</v>
      </c>
      <c r="FO108">
        <v>0.13</v>
      </c>
      <c r="FP108">
        <v>0.03</v>
      </c>
      <c r="FQ108">
        <v>39.811676624330602</v>
      </c>
      <c r="FR108">
        <v>0.51797490003851221</v>
      </c>
      <c r="FS108">
        <v>7.9864901554778489E-2</v>
      </c>
      <c r="FT108">
        <v>1</v>
      </c>
      <c r="FU108">
        <v>0.42960668140142688</v>
      </c>
      <c r="FV108">
        <v>-2.371716315802215E-2</v>
      </c>
      <c r="FW108">
        <v>1.8096705985943329E-3</v>
      </c>
      <c r="FX108">
        <v>1</v>
      </c>
      <c r="FY108">
        <v>2</v>
      </c>
      <c r="FZ108">
        <v>2</v>
      </c>
      <c r="GA108" t="s">
        <v>416</v>
      </c>
      <c r="GB108">
        <v>2.96719</v>
      </c>
      <c r="GC108">
        <v>2.8119000000000001</v>
      </c>
      <c r="GD108">
        <v>8.6263400000000004E-2</v>
      </c>
      <c r="GE108">
        <v>9.47215E-2</v>
      </c>
      <c r="GF108">
        <v>0.124713</v>
      </c>
      <c r="GG108">
        <v>9.5126299999999997E-2</v>
      </c>
      <c r="GH108">
        <v>26907.1</v>
      </c>
      <c r="GI108">
        <v>24546.3</v>
      </c>
      <c r="GJ108">
        <v>26478.400000000001</v>
      </c>
      <c r="GK108">
        <v>25596.400000000001</v>
      </c>
      <c r="GL108">
        <v>31534.3</v>
      </c>
      <c r="GM108">
        <v>32697.599999999999</v>
      </c>
      <c r="GN108">
        <v>37464.9</v>
      </c>
      <c r="GO108">
        <v>37947.5</v>
      </c>
      <c r="GP108">
        <v>1.9253</v>
      </c>
      <c r="GQ108">
        <v>1.8873</v>
      </c>
      <c r="GR108">
        <v>-2.59876E-2</v>
      </c>
      <c r="GS108">
        <v>0</v>
      </c>
      <c r="GT108">
        <v>30.444099999999999</v>
      </c>
      <c r="GU108">
        <v>999.9</v>
      </c>
      <c r="GV108">
        <v>28.8</v>
      </c>
      <c r="GW108">
        <v>42.2</v>
      </c>
      <c r="GX108">
        <v>24.241</v>
      </c>
      <c r="GY108">
        <v>61.678800000000003</v>
      </c>
      <c r="GZ108">
        <v>13.213100000000001</v>
      </c>
      <c r="HA108">
        <v>1</v>
      </c>
      <c r="HB108">
        <v>0.60213399999999995</v>
      </c>
      <c r="HC108">
        <v>4.2110200000000004</v>
      </c>
      <c r="HD108">
        <v>20.1982</v>
      </c>
      <c r="HE108">
        <v>5.2100999999999997</v>
      </c>
      <c r="HF108">
        <v>11.9381</v>
      </c>
      <c r="HG108">
        <v>4.9862000000000002</v>
      </c>
      <c r="HH108">
        <v>3.2909999999999999</v>
      </c>
      <c r="HI108">
        <v>9999</v>
      </c>
      <c r="HJ108">
        <v>9999</v>
      </c>
      <c r="HK108">
        <v>9999</v>
      </c>
      <c r="HL108">
        <v>999.9</v>
      </c>
      <c r="HM108">
        <v>1.8712200000000001</v>
      </c>
      <c r="HN108">
        <v>1.8772899999999999</v>
      </c>
      <c r="HO108">
        <v>1.8750500000000001</v>
      </c>
      <c r="HP108">
        <v>1.8733200000000001</v>
      </c>
      <c r="HQ108">
        <v>1.8737600000000001</v>
      </c>
      <c r="HR108">
        <v>1.8711899999999999</v>
      </c>
      <c r="HS108">
        <v>1.8769800000000001</v>
      </c>
      <c r="HT108">
        <v>1.87619</v>
      </c>
      <c r="HU108">
        <v>5</v>
      </c>
      <c r="HV108">
        <v>0</v>
      </c>
      <c r="HW108">
        <v>0</v>
      </c>
      <c r="HX108">
        <v>0</v>
      </c>
      <c r="HY108" t="s">
        <v>417</v>
      </c>
      <c r="HZ108" t="s">
        <v>418</v>
      </c>
      <c r="IA108" t="s">
        <v>419</v>
      </c>
      <c r="IB108" t="s">
        <v>420</v>
      </c>
      <c r="IC108" t="s">
        <v>420</v>
      </c>
      <c r="ID108" t="s">
        <v>419</v>
      </c>
      <c r="IE108">
        <v>0</v>
      </c>
      <c r="IF108">
        <v>100</v>
      </c>
      <c r="IG108">
        <v>100</v>
      </c>
      <c r="IH108">
        <v>-0.56000000000000005</v>
      </c>
      <c r="II108">
        <v>0.35239999999999999</v>
      </c>
      <c r="IJ108">
        <v>-0.15667760215885421</v>
      </c>
      <c r="IK108">
        <v>-1.615681629159814E-3</v>
      </c>
      <c r="IL108">
        <v>1.5005605225991581E-6</v>
      </c>
      <c r="IM108">
        <v>-5.1143626075267638E-10</v>
      </c>
      <c r="IN108">
        <v>-0.16328625704728561</v>
      </c>
      <c r="IO108">
        <v>-1.7182111142928099E-3</v>
      </c>
      <c r="IP108">
        <v>9.9985895407488957E-4</v>
      </c>
      <c r="IQ108">
        <v>-5.7750407166627208E-6</v>
      </c>
      <c r="IR108">
        <v>3</v>
      </c>
      <c r="IS108">
        <v>2181</v>
      </c>
      <c r="IT108">
        <v>2</v>
      </c>
      <c r="IU108">
        <v>42</v>
      </c>
      <c r="IV108">
        <v>1.4</v>
      </c>
      <c r="IW108">
        <v>1.4</v>
      </c>
      <c r="IX108">
        <v>0.94970699999999997</v>
      </c>
      <c r="IY108">
        <v>2.5537100000000001</v>
      </c>
      <c r="IZ108">
        <v>1.6003400000000001</v>
      </c>
      <c r="JA108">
        <v>2.2717299999999998</v>
      </c>
      <c r="JB108">
        <v>1.5502899999999999</v>
      </c>
      <c r="JC108">
        <v>2.2656200000000002</v>
      </c>
      <c r="JD108">
        <v>46.5321</v>
      </c>
      <c r="JE108">
        <v>23.6935</v>
      </c>
      <c r="JF108">
        <v>18</v>
      </c>
      <c r="JG108">
        <v>502.61799999999999</v>
      </c>
      <c r="JH108">
        <v>447.10500000000002</v>
      </c>
      <c r="JI108">
        <v>24.505700000000001</v>
      </c>
      <c r="JJ108">
        <v>34.624299999999998</v>
      </c>
      <c r="JK108">
        <v>30.0001</v>
      </c>
      <c r="JL108">
        <v>34.6783</v>
      </c>
      <c r="JM108">
        <v>34.653300000000002</v>
      </c>
      <c r="JN108">
        <v>19.039300000000001</v>
      </c>
      <c r="JO108">
        <v>35.267400000000002</v>
      </c>
      <c r="JP108">
        <v>3.8528699999999998</v>
      </c>
      <c r="JQ108">
        <v>24.504200000000001</v>
      </c>
      <c r="JR108">
        <v>400</v>
      </c>
      <c r="JS108">
        <v>17.907599999999999</v>
      </c>
      <c r="JT108">
        <v>98.830399999999997</v>
      </c>
      <c r="JU108">
        <v>98.495099999999994</v>
      </c>
    </row>
    <row r="109" spans="1:281" x14ac:dyDescent="0.25">
      <c r="A109">
        <v>93</v>
      </c>
      <c r="B109">
        <v>1691187386.5999999</v>
      </c>
      <c r="C109">
        <v>27656</v>
      </c>
      <c r="D109" t="s">
        <v>890</v>
      </c>
      <c r="E109" t="s">
        <v>891</v>
      </c>
      <c r="F109" t="s">
        <v>411</v>
      </c>
      <c r="G109" t="s">
        <v>639</v>
      </c>
      <c r="H109" t="s">
        <v>422</v>
      </c>
      <c r="I109" t="s">
        <v>413</v>
      </c>
      <c r="J109">
        <v>1691187386.5999999</v>
      </c>
      <c r="K109">
        <f t="shared" si="138"/>
        <v>6.2387635436021204E-3</v>
      </c>
      <c r="L109">
        <f t="shared" si="139"/>
        <v>6.2387635436021203</v>
      </c>
      <c r="M109">
        <f t="shared" si="140"/>
        <v>43.413093649745335</v>
      </c>
      <c r="N109">
        <f t="shared" si="141"/>
        <v>345.23099999999999</v>
      </c>
      <c r="O109">
        <f t="shared" si="142"/>
        <v>140.94595493555266</v>
      </c>
      <c r="P109">
        <f t="shared" si="143"/>
        <v>13.965673609846075</v>
      </c>
      <c r="Q109">
        <f t="shared" si="144"/>
        <v>34.2073205875638</v>
      </c>
      <c r="R109">
        <f t="shared" si="145"/>
        <v>0.37324335889802829</v>
      </c>
      <c r="S109">
        <f t="shared" si="146"/>
        <v>2.9134411752491309</v>
      </c>
      <c r="T109">
        <f t="shared" si="147"/>
        <v>0.34856845306493983</v>
      </c>
      <c r="U109">
        <f t="shared" si="148"/>
        <v>0.21993614445280002</v>
      </c>
      <c r="V109">
        <f t="shared" si="149"/>
        <v>289.6085310127396</v>
      </c>
      <c r="W109">
        <f t="shared" si="150"/>
        <v>30.161841521759417</v>
      </c>
      <c r="X109">
        <f t="shared" si="151"/>
        <v>30.0123</v>
      </c>
      <c r="Y109">
        <f t="shared" si="152"/>
        <v>4.2634607151818038</v>
      </c>
      <c r="Z109">
        <f t="shared" si="153"/>
        <v>59.614670997012141</v>
      </c>
      <c r="AA109">
        <f t="shared" si="154"/>
        <v>2.5509909349249202</v>
      </c>
      <c r="AB109">
        <f t="shared" si="155"/>
        <v>4.2791327910754964</v>
      </c>
      <c r="AC109">
        <f t="shared" si="156"/>
        <v>1.7124697802568836</v>
      </c>
      <c r="AD109">
        <f t="shared" si="157"/>
        <v>-275.12947227285349</v>
      </c>
      <c r="AE109">
        <f t="shared" si="158"/>
        <v>10.036737256898038</v>
      </c>
      <c r="AF109">
        <f t="shared" si="159"/>
        <v>0.76632970156183255</v>
      </c>
      <c r="AG109">
        <f t="shared" si="160"/>
        <v>25.282125698346007</v>
      </c>
      <c r="AH109">
        <v>0</v>
      </c>
      <c r="AI109">
        <v>0</v>
      </c>
      <c r="AJ109">
        <f t="shared" si="161"/>
        <v>1</v>
      </c>
      <c r="AK109">
        <f t="shared" si="162"/>
        <v>0</v>
      </c>
      <c r="AL109">
        <f t="shared" si="163"/>
        <v>51859.215136894411</v>
      </c>
      <c r="AM109" t="s">
        <v>414</v>
      </c>
      <c r="AN109">
        <v>7361.72</v>
      </c>
      <c r="AO109">
        <v>541.39076923076925</v>
      </c>
      <c r="AP109">
        <v>2141.9899999999998</v>
      </c>
      <c r="AQ109">
        <f t="shared" si="164"/>
        <v>0.74724869433061347</v>
      </c>
      <c r="AR109">
        <v>-0.96077199609010144</v>
      </c>
      <c r="AS109" t="s">
        <v>892</v>
      </c>
      <c r="AT109">
        <v>7353.66</v>
      </c>
      <c r="AU109">
        <v>747.46865384615387</v>
      </c>
      <c r="AV109">
        <v>1062.5707413884929</v>
      </c>
      <c r="AW109">
        <f t="shared" si="165"/>
        <v>0.29654692649506398</v>
      </c>
      <c r="AX109">
        <v>0.5</v>
      </c>
      <c r="AY109">
        <f t="shared" si="166"/>
        <v>1513.3731000066007</v>
      </c>
      <c r="AZ109">
        <f t="shared" si="167"/>
        <v>43.413093649745335</v>
      </c>
      <c r="BA109">
        <f t="shared" si="168"/>
        <v>224.39307072363226</v>
      </c>
      <c r="BB109">
        <f t="shared" si="169"/>
        <v>2.9321167163366323E-2</v>
      </c>
      <c r="BC109">
        <f t="shared" si="170"/>
        <v>1.0158563722552698</v>
      </c>
      <c r="BD109">
        <f t="shared" si="171"/>
        <v>430.78327562704817</v>
      </c>
      <c r="BE109" t="s">
        <v>893</v>
      </c>
      <c r="BF109">
        <v>587.39</v>
      </c>
      <c r="BG109">
        <f t="shared" si="172"/>
        <v>587.39</v>
      </c>
      <c r="BH109">
        <f t="shared" si="173"/>
        <v>0.44719915849325953</v>
      </c>
      <c r="BI109">
        <f t="shared" si="174"/>
        <v>0.66312049310247911</v>
      </c>
      <c r="BJ109">
        <f t="shared" si="175"/>
        <v>0.69433890300495749</v>
      </c>
      <c r="BK109">
        <f t="shared" si="176"/>
        <v>0.60459362288576268</v>
      </c>
      <c r="BL109">
        <f t="shared" si="177"/>
        <v>0.67438446668048802</v>
      </c>
      <c r="BM109">
        <f t="shared" si="178"/>
        <v>0.52110592790642341</v>
      </c>
      <c r="BN109">
        <f t="shared" si="179"/>
        <v>0.47889407209357659</v>
      </c>
      <c r="BO109">
        <v>1615</v>
      </c>
      <c r="BP109">
        <v>290.00000000000011</v>
      </c>
      <c r="BQ109">
        <v>956.29</v>
      </c>
      <c r="BR109">
        <v>235</v>
      </c>
      <c r="BS109">
        <v>7353.66</v>
      </c>
      <c r="BT109">
        <v>956.48</v>
      </c>
      <c r="BU109">
        <v>-0.19</v>
      </c>
      <c r="BV109">
        <v>300.00000000000011</v>
      </c>
      <c r="BW109">
        <v>37.9</v>
      </c>
      <c r="BX109">
        <v>1062.5707413884929</v>
      </c>
      <c r="BY109">
        <v>0.78679852425348373</v>
      </c>
      <c r="BZ109">
        <v>-78.019065018849261</v>
      </c>
      <c r="CA109">
        <v>0.48488062594230352</v>
      </c>
      <c r="CB109">
        <v>0.9989196691538913</v>
      </c>
      <c r="CC109">
        <v>-7.2423523915461693E-3</v>
      </c>
      <c r="CD109">
        <v>289.99999999999989</v>
      </c>
      <c r="CE109">
        <v>949.68</v>
      </c>
      <c r="CF109">
        <v>675</v>
      </c>
      <c r="CG109">
        <v>7345.89</v>
      </c>
      <c r="CH109">
        <v>956.36</v>
      </c>
      <c r="CI109">
        <v>-6.68</v>
      </c>
      <c r="CW109">
        <f t="shared" si="180"/>
        <v>1800.22</v>
      </c>
      <c r="CX109">
        <f t="shared" si="181"/>
        <v>1513.3731000066007</v>
      </c>
      <c r="CY109">
        <f t="shared" si="182"/>
        <v>0.84066008599315678</v>
      </c>
      <c r="CZ109">
        <f t="shared" si="183"/>
        <v>0.16087396596679274</v>
      </c>
      <c r="DA109">
        <v>6</v>
      </c>
      <c r="DB109">
        <v>0.5</v>
      </c>
      <c r="DC109" t="s">
        <v>415</v>
      </c>
      <c r="DD109">
        <v>2</v>
      </c>
      <c r="DE109">
        <v>1691187386.5999999</v>
      </c>
      <c r="DF109">
        <v>345.23099999999999</v>
      </c>
      <c r="DG109">
        <v>399.89499999999998</v>
      </c>
      <c r="DH109">
        <v>25.7454</v>
      </c>
      <c r="DI109">
        <v>18.453800000000001</v>
      </c>
      <c r="DJ109">
        <v>345.79899999999998</v>
      </c>
      <c r="DK109">
        <v>25.401900000000001</v>
      </c>
      <c r="DL109">
        <v>500.149</v>
      </c>
      <c r="DM109">
        <v>98.985600000000005</v>
      </c>
      <c r="DN109">
        <v>9.9709800000000001E-2</v>
      </c>
      <c r="DO109">
        <v>30.0762</v>
      </c>
      <c r="DP109">
        <v>30.0123</v>
      </c>
      <c r="DQ109">
        <v>999.9</v>
      </c>
      <c r="DR109">
        <v>0</v>
      </c>
      <c r="DS109">
        <v>0</v>
      </c>
      <c r="DT109">
        <v>10010</v>
      </c>
      <c r="DU109">
        <v>0</v>
      </c>
      <c r="DV109">
        <v>1108.8399999999999</v>
      </c>
      <c r="DW109">
        <v>-54.6646</v>
      </c>
      <c r="DX109">
        <v>354.35399999999998</v>
      </c>
      <c r="DY109">
        <v>407.41399999999999</v>
      </c>
      <c r="DZ109">
        <v>7.29155</v>
      </c>
      <c r="EA109">
        <v>399.89499999999998</v>
      </c>
      <c r="EB109">
        <v>18.453800000000001</v>
      </c>
      <c r="EC109">
        <v>2.5484200000000001</v>
      </c>
      <c r="ED109">
        <v>1.82666</v>
      </c>
      <c r="EE109">
        <v>21.339099999999998</v>
      </c>
      <c r="EF109">
        <v>16.0168</v>
      </c>
      <c r="EG109">
        <v>1800.22</v>
      </c>
      <c r="EH109">
        <v>0.97799700000000001</v>
      </c>
      <c r="EI109">
        <v>2.2002799999999999E-2</v>
      </c>
      <c r="EJ109">
        <v>0</v>
      </c>
      <c r="EK109">
        <v>748.76499999999999</v>
      </c>
      <c r="EL109">
        <v>9.9989999999999996E-2</v>
      </c>
      <c r="EM109">
        <v>14835.7</v>
      </c>
      <c r="EN109">
        <v>16707.3</v>
      </c>
      <c r="EO109">
        <v>47.5</v>
      </c>
      <c r="EP109">
        <v>49.311999999999998</v>
      </c>
      <c r="EQ109">
        <v>48.561999999999998</v>
      </c>
      <c r="ER109">
        <v>47.686999999999998</v>
      </c>
      <c r="ES109">
        <v>48.561999999999998</v>
      </c>
      <c r="ET109">
        <v>1760.51</v>
      </c>
      <c r="EU109">
        <v>39.61</v>
      </c>
      <c r="EV109">
        <v>0</v>
      </c>
      <c r="EW109">
        <v>187.79999995231631</v>
      </c>
      <c r="EX109">
        <v>0</v>
      </c>
      <c r="EY109">
        <v>747.46865384615387</v>
      </c>
      <c r="EZ109">
        <v>9.1885470697621265</v>
      </c>
      <c r="FA109">
        <v>286.48888888436221</v>
      </c>
      <c r="FB109">
        <v>14788.64615384615</v>
      </c>
      <c r="FC109">
        <v>15</v>
      </c>
      <c r="FD109">
        <v>1691187264.0999999</v>
      </c>
      <c r="FE109" t="s">
        <v>894</v>
      </c>
      <c r="FF109">
        <v>1691187257.0999999</v>
      </c>
      <c r="FG109">
        <v>1691187264.0999999</v>
      </c>
      <c r="FH109">
        <v>122</v>
      </c>
      <c r="FI109">
        <v>-1.0999999999999999E-2</v>
      </c>
      <c r="FJ109">
        <v>0</v>
      </c>
      <c r="FK109">
        <v>-0.60699999999999998</v>
      </c>
      <c r="FL109">
        <v>9.5000000000000001E-2</v>
      </c>
      <c r="FM109">
        <v>400</v>
      </c>
      <c r="FN109">
        <v>18</v>
      </c>
      <c r="FO109">
        <v>0.08</v>
      </c>
      <c r="FP109">
        <v>0.03</v>
      </c>
      <c r="FQ109">
        <v>43.085458400422603</v>
      </c>
      <c r="FR109">
        <v>2.066157987105075</v>
      </c>
      <c r="FS109">
        <v>0.1717740839160857</v>
      </c>
      <c r="FT109">
        <v>0</v>
      </c>
      <c r="FU109">
        <v>0.3783744060632403</v>
      </c>
      <c r="FV109">
        <v>-2.2376136459854871E-2</v>
      </c>
      <c r="FW109">
        <v>1.8913928940550941E-3</v>
      </c>
      <c r="FX109">
        <v>1</v>
      </c>
      <c r="FY109">
        <v>1</v>
      </c>
      <c r="FZ109">
        <v>2</v>
      </c>
      <c r="GA109" t="s">
        <v>421</v>
      </c>
      <c r="GB109">
        <v>2.9676999999999998</v>
      </c>
      <c r="GC109">
        <v>2.81149</v>
      </c>
      <c r="GD109">
        <v>8.5451700000000005E-2</v>
      </c>
      <c r="GE109">
        <v>9.4734100000000002E-2</v>
      </c>
      <c r="GF109">
        <v>0.123944</v>
      </c>
      <c r="GG109">
        <v>9.7530800000000001E-2</v>
      </c>
      <c r="GH109">
        <v>26934.400000000001</v>
      </c>
      <c r="GI109">
        <v>24549.599999999999</v>
      </c>
      <c r="GJ109">
        <v>26481.5</v>
      </c>
      <c r="GK109">
        <v>25599.9</v>
      </c>
      <c r="GL109">
        <v>31565.9</v>
      </c>
      <c r="GM109">
        <v>32615.1</v>
      </c>
      <c r="GN109">
        <v>37470.199999999997</v>
      </c>
      <c r="GO109">
        <v>37952.800000000003</v>
      </c>
      <c r="GP109">
        <v>1.9257</v>
      </c>
      <c r="GQ109">
        <v>1.8889</v>
      </c>
      <c r="GR109">
        <v>-2.4914700000000001E-2</v>
      </c>
      <c r="GS109">
        <v>0</v>
      </c>
      <c r="GT109">
        <v>30.4176</v>
      </c>
      <c r="GU109">
        <v>999.9</v>
      </c>
      <c r="GV109">
        <v>28.5</v>
      </c>
      <c r="GW109">
        <v>42.2</v>
      </c>
      <c r="GX109">
        <v>23.986999999999998</v>
      </c>
      <c r="GY109">
        <v>61.908900000000003</v>
      </c>
      <c r="GZ109">
        <v>13.541700000000001</v>
      </c>
      <c r="HA109">
        <v>1</v>
      </c>
      <c r="HB109">
        <v>0.59649399999999997</v>
      </c>
      <c r="HC109">
        <v>4.5440800000000001</v>
      </c>
      <c r="HD109">
        <v>20.2424</v>
      </c>
      <c r="HE109">
        <v>5.2077099999999996</v>
      </c>
      <c r="HF109">
        <v>11.9381</v>
      </c>
      <c r="HG109">
        <v>4.9855999999999998</v>
      </c>
      <c r="HH109">
        <v>3.2909999999999999</v>
      </c>
      <c r="HI109">
        <v>9999</v>
      </c>
      <c r="HJ109">
        <v>9999</v>
      </c>
      <c r="HK109">
        <v>9999</v>
      </c>
      <c r="HL109">
        <v>999.9</v>
      </c>
      <c r="HM109">
        <v>1.8708800000000001</v>
      </c>
      <c r="HN109">
        <v>1.8769800000000001</v>
      </c>
      <c r="HO109">
        <v>1.87469</v>
      </c>
      <c r="HP109">
        <v>1.8729899999999999</v>
      </c>
      <c r="HQ109">
        <v>1.87347</v>
      </c>
      <c r="HR109">
        <v>1.8708499999999999</v>
      </c>
      <c r="HS109">
        <v>1.8767</v>
      </c>
      <c r="HT109">
        <v>1.8758900000000001</v>
      </c>
      <c r="HU109">
        <v>5</v>
      </c>
      <c r="HV109">
        <v>0</v>
      </c>
      <c r="HW109">
        <v>0</v>
      </c>
      <c r="HX109">
        <v>0</v>
      </c>
      <c r="HY109" t="s">
        <v>417</v>
      </c>
      <c r="HZ109" t="s">
        <v>418</v>
      </c>
      <c r="IA109" t="s">
        <v>419</v>
      </c>
      <c r="IB109" t="s">
        <v>420</v>
      </c>
      <c r="IC109" t="s">
        <v>420</v>
      </c>
      <c r="ID109" t="s">
        <v>419</v>
      </c>
      <c r="IE109">
        <v>0</v>
      </c>
      <c r="IF109">
        <v>100</v>
      </c>
      <c r="IG109">
        <v>100</v>
      </c>
      <c r="IH109">
        <v>-0.56799999999999995</v>
      </c>
      <c r="II109">
        <v>0.34350000000000003</v>
      </c>
      <c r="IJ109">
        <v>-0.16737433028185281</v>
      </c>
      <c r="IK109">
        <v>-1.615681629159814E-3</v>
      </c>
      <c r="IL109">
        <v>1.5005605225991581E-6</v>
      </c>
      <c r="IM109">
        <v>-5.1143626075267638E-10</v>
      </c>
      <c r="IN109">
        <v>-0.16341862751942901</v>
      </c>
      <c r="IO109">
        <v>-1.7182111142928099E-3</v>
      </c>
      <c r="IP109">
        <v>9.9985895407488957E-4</v>
      </c>
      <c r="IQ109">
        <v>-5.7750407166627208E-6</v>
      </c>
      <c r="IR109">
        <v>3</v>
      </c>
      <c r="IS109">
        <v>2181</v>
      </c>
      <c r="IT109">
        <v>2</v>
      </c>
      <c r="IU109">
        <v>42</v>
      </c>
      <c r="IV109">
        <v>2.2000000000000002</v>
      </c>
      <c r="IW109">
        <v>2</v>
      </c>
      <c r="IX109">
        <v>0.94970699999999997</v>
      </c>
      <c r="IY109">
        <v>2.5476100000000002</v>
      </c>
      <c r="IZ109">
        <v>1.5991200000000001</v>
      </c>
      <c r="JA109">
        <v>2.2717299999999998</v>
      </c>
      <c r="JB109">
        <v>1.5502899999999999</v>
      </c>
      <c r="JC109">
        <v>2.3718300000000001</v>
      </c>
      <c r="JD109">
        <v>46.5321</v>
      </c>
      <c r="JE109">
        <v>15.7431</v>
      </c>
      <c r="JF109">
        <v>18</v>
      </c>
      <c r="JG109">
        <v>502.286</v>
      </c>
      <c r="JH109">
        <v>447.54700000000003</v>
      </c>
      <c r="JI109">
        <v>24.107399999999998</v>
      </c>
      <c r="JJ109">
        <v>34.559199999999997</v>
      </c>
      <c r="JK109">
        <v>30</v>
      </c>
      <c r="JL109">
        <v>34.600700000000003</v>
      </c>
      <c r="JM109">
        <v>34.575099999999999</v>
      </c>
      <c r="JN109">
        <v>19.0517</v>
      </c>
      <c r="JO109">
        <v>31.828399999999998</v>
      </c>
      <c r="JP109">
        <v>1.75909</v>
      </c>
      <c r="JQ109">
        <v>24.106200000000001</v>
      </c>
      <c r="JR109">
        <v>400</v>
      </c>
      <c r="JS109">
        <v>18.554500000000001</v>
      </c>
      <c r="JT109">
        <v>98.843400000000003</v>
      </c>
      <c r="JU109">
        <v>98.508600000000001</v>
      </c>
    </row>
    <row r="110" spans="1:281" x14ac:dyDescent="0.25">
      <c r="A110">
        <v>94</v>
      </c>
      <c r="B110">
        <v>1691187486.5999999</v>
      </c>
      <c r="C110">
        <v>27756</v>
      </c>
      <c r="D110" t="s">
        <v>895</v>
      </c>
      <c r="E110" t="s">
        <v>896</v>
      </c>
      <c r="F110" t="s">
        <v>411</v>
      </c>
      <c r="G110" t="s">
        <v>639</v>
      </c>
      <c r="H110" t="s">
        <v>422</v>
      </c>
      <c r="I110" t="s">
        <v>413</v>
      </c>
      <c r="J110">
        <v>1691187486.5999999</v>
      </c>
      <c r="K110">
        <f t="shared" si="138"/>
        <v>5.798000396199739E-3</v>
      </c>
      <c r="L110">
        <f t="shared" si="139"/>
        <v>5.7980003961997388</v>
      </c>
      <c r="M110">
        <f t="shared" si="140"/>
        <v>47.705945315089402</v>
      </c>
      <c r="N110">
        <f t="shared" si="141"/>
        <v>439.78800000000001</v>
      </c>
      <c r="O110">
        <f t="shared" si="142"/>
        <v>199.90687396432173</v>
      </c>
      <c r="P110">
        <f t="shared" si="143"/>
        <v>19.808161625531554</v>
      </c>
      <c r="Q110">
        <f t="shared" si="144"/>
        <v>43.577249807448005</v>
      </c>
      <c r="R110">
        <f t="shared" si="145"/>
        <v>0.34938080588143705</v>
      </c>
      <c r="S110">
        <f t="shared" si="146"/>
        <v>2.9073362395864004</v>
      </c>
      <c r="T110">
        <f t="shared" si="147"/>
        <v>0.327619100136951</v>
      </c>
      <c r="U110">
        <f t="shared" si="148"/>
        <v>0.20660408636761268</v>
      </c>
      <c r="V110">
        <f t="shared" si="149"/>
        <v>289.54947901274227</v>
      </c>
      <c r="W110">
        <f t="shared" si="150"/>
        <v>30.216962212502896</v>
      </c>
      <c r="X110">
        <f t="shared" si="151"/>
        <v>30.001100000000001</v>
      </c>
      <c r="Y110">
        <f t="shared" si="152"/>
        <v>4.2607189682508402</v>
      </c>
      <c r="Z110">
        <f t="shared" si="153"/>
        <v>60.208622743126853</v>
      </c>
      <c r="AA110">
        <f t="shared" si="154"/>
        <v>2.5675607621411998</v>
      </c>
      <c r="AB110">
        <f t="shared" si="155"/>
        <v>4.2644402830727453</v>
      </c>
      <c r="AC110">
        <f t="shared" si="156"/>
        <v>1.6931582061096404</v>
      </c>
      <c r="AD110">
        <f t="shared" si="157"/>
        <v>-255.6918174724085</v>
      </c>
      <c r="AE110">
        <f t="shared" si="158"/>
        <v>2.382452732498463</v>
      </c>
      <c r="AF110">
        <f t="shared" si="159"/>
        <v>0.18222398249452734</v>
      </c>
      <c r="AG110">
        <f t="shared" si="160"/>
        <v>36.42233825532675</v>
      </c>
      <c r="AH110">
        <v>0</v>
      </c>
      <c r="AI110">
        <v>0</v>
      </c>
      <c r="AJ110">
        <f t="shared" si="161"/>
        <v>1</v>
      </c>
      <c r="AK110">
        <f t="shared" si="162"/>
        <v>0</v>
      </c>
      <c r="AL110">
        <f t="shared" si="163"/>
        <v>51695.994621530306</v>
      </c>
      <c r="AM110" t="s">
        <v>414</v>
      </c>
      <c r="AN110">
        <v>7361.72</v>
      </c>
      <c r="AO110">
        <v>541.39076923076925</v>
      </c>
      <c r="AP110">
        <v>2141.9899999999998</v>
      </c>
      <c r="AQ110">
        <f t="shared" si="164"/>
        <v>0.74724869433061347</v>
      </c>
      <c r="AR110">
        <v>-0.96077199609010144</v>
      </c>
      <c r="AS110" t="s">
        <v>897</v>
      </c>
      <c r="AT110">
        <v>7352.66</v>
      </c>
      <c r="AU110">
        <v>767.24480769230775</v>
      </c>
      <c r="AV110">
        <v>1130.8943250950961</v>
      </c>
      <c r="AW110">
        <f t="shared" si="165"/>
        <v>0.32155923797054098</v>
      </c>
      <c r="AX110">
        <v>0.5</v>
      </c>
      <c r="AY110">
        <f t="shared" si="166"/>
        <v>1513.0623000066023</v>
      </c>
      <c r="AZ110">
        <f t="shared" si="167"/>
        <v>47.705945315089402</v>
      </c>
      <c r="BA110">
        <f t="shared" si="168"/>
        <v>243.26958009603854</v>
      </c>
      <c r="BB110">
        <f t="shared" si="169"/>
        <v>3.2164384315812471E-2</v>
      </c>
      <c r="BC110">
        <f t="shared" si="170"/>
        <v>0.89406733455832088</v>
      </c>
      <c r="BD110">
        <f t="shared" si="171"/>
        <v>441.59956330317993</v>
      </c>
      <c r="BE110" t="s">
        <v>898</v>
      </c>
      <c r="BF110">
        <v>588.86</v>
      </c>
      <c r="BG110">
        <f t="shared" si="172"/>
        <v>588.86</v>
      </c>
      <c r="BH110">
        <f t="shared" si="173"/>
        <v>0.47929705991717375</v>
      </c>
      <c r="BI110">
        <f t="shared" si="174"/>
        <v>0.67089758077403794</v>
      </c>
      <c r="BJ110">
        <f t="shared" si="175"/>
        <v>0.6510051798013714</v>
      </c>
      <c r="BK110">
        <f t="shared" si="176"/>
        <v>0.61687417113134702</v>
      </c>
      <c r="BL110">
        <f t="shared" si="177"/>
        <v>0.63169821368649681</v>
      </c>
      <c r="BM110">
        <f t="shared" si="178"/>
        <v>0.51491355230263725</v>
      </c>
      <c r="BN110">
        <f t="shared" si="179"/>
        <v>0.48508644769736275</v>
      </c>
      <c r="BO110">
        <v>1617</v>
      </c>
      <c r="BP110">
        <v>290.00000000000011</v>
      </c>
      <c r="BQ110">
        <v>1007.64</v>
      </c>
      <c r="BR110">
        <v>255</v>
      </c>
      <c r="BS110">
        <v>7352.66</v>
      </c>
      <c r="BT110">
        <v>1008.69</v>
      </c>
      <c r="BU110">
        <v>-1.05</v>
      </c>
      <c r="BV110">
        <v>300.00000000000011</v>
      </c>
      <c r="BW110">
        <v>37.9</v>
      </c>
      <c r="BX110">
        <v>1130.8943250950961</v>
      </c>
      <c r="BY110">
        <v>1.150559853894328</v>
      </c>
      <c r="BZ110">
        <v>-89.84931357439055</v>
      </c>
      <c r="CA110">
        <v>0.70906428895119633</v>
      </c>
      <c r="CB110">
        <v>0.99825922331127037</v>
      </c>
      <c r="CC110">
        <v>-7.24255884315907E-3</v>
      </c>
      <c r="CD110">
        <v>289.99999999999989</v>
      </c>
      <c r="CE110">
        <v>998.95</v>
      </c>
      <c r="CF110">
        <v>695</v>
      </c>
      <c r="CG110">
        <v>7345.33</v>
      </c>
      <c r="CH110">
        <v>1008.57</v>
      </c>
      <c r="CI110">
        <v>-9.6199999999999992</v>
      </c>
      <c r="CW110">
        <f t="shared" si="180"/>
        <v>1799.85</v>
      </c>
      <c r="CX110">
        <f t="shared" si="181"/>
        <v>1513.0623000066023</v>
      </c>
      <c r="CY110">
        <f t="shared" si="182"/>
        <v>0.84066022168880872</v>
      </c>
      <c r="CZ110">
        <f t="shared" si="183"/>
        <v>0.16087422785940067</v>
      </c>
      <c r="DA110">
        <v>6</v>
      </c>
      <c r="DB110">
        <v>0.5</v>
      </c>
      <c r="DC110" t="s">
        <v>415</v>
      </c>
      <c r="DD110">
        <v>2</v>
      </c>
      <c r="DE110">
        <v>1691187486.5999999</v>
      </c>
      <c r="DF110">
        <v>439.78800000000001</v>
      </c>
      <c r="DG110">
        <v>500.10199999999998</v>
      </c>
      <c r="DH110">
        <v>25.912199999999999</v>
      </c>
      <c r="DI110">
        <v>19.1341</v>
      </c>
      <c r="DJ110">
        <v>440.38099999999997</v>
      </c>
      <c r="DK110">
        <v>25.5611</v>
      </c>
      <c r="DL110">
        <v>499.94200000000001</v>
      </c>
      <c r="DM110">
        <v>98.986599999999996</v>
      </c>
      <c r="DN110">
        <v>0.100346</v>
      </c>
      <c r="DO110">
        <v>30.016300000000001</v>
      </c>
      <c r="DP110">
        <v>30.001100000000001</v>
      </c>
      <c r="DQ110">
        <v>999.9</v>
      </c>
      <c r="DR110">
        <v>0</v>
      </c>
      <c r="DS110">
        <v>0</v>
      </c>
      <c r="DT110">
        <v>9975</v>
      </c>
      <c r="DU110">
        <v>0</v>
      </c>
      <c r="DV110">
        <v>1102.23</v>
      </c>
      <c r="DW110">
        <v>-60.313499999999998</v>
      </c>
      <c r="DX110">
        <v>451.48700000000002</v>
      </c>
      <c r="DY110">
        <v>509.85700000000003</v>
      </c>
      <c r="DZ110">
        <v>6.7781000000000002</v>
      </c>
      <c r="EA110">
        <v>500.10199999999998</v>
      </c>
      <c r="EB110">
        <v>19.1341</v>
      </c>
      <c r="EC110">
        <v>2.5649600000000001</v>
      </c>
      <c r="ED110">
        <v>1.89402</v>
      </c>
      <c r="EE110">
        <v>21.444700000000001</v>
      </c>
      <c r="EF110">
        <v>16.585100000000001</v>
      </c>
      <c r="EG110">
        <v>1799.85</v>
      </c>
      <c r="EH110">
        <v>0.97799400000000003</v>
      </c>
      <c r="EI110">
        <v>2.2006399999999999E-2</v>
      </c>
      <c r="EJ110">
        <v>0</v>
      </c>
      <c r="EK110">
        <v>767</v>
      </c>
      <c r="EL110">
        <v>9.9989999999999996E-2</v>
      </c>
      <c r="EM110">
        <v>15173.1</v>
      </c>
      <c r="EN110">
        <v>16703.900000000001</v>
      </c>
      <c r="EO110">
        <v>47.5</v>
      </c>
      <c r="EP110">
        <v>49.311999999999998</v>
      </c>
      <c r="EQ110">
        <v>48.625</v>
      </c>
      <c r="ER110">
        <v>47.625</v>
      </c>
      <c r="ES110">
        <v>48.561999999999998</v>
      </c>
      <c r="ET110">
        <v>1760.14</v>
      </c>
      <c r="EU110">
        <v>39.61</v>
      </c>
      <c r="EV110">
        <v>0</v>
      </c>
      <c r="EW110">
        <v>97.799999952316284</v>
      </c>
      <c r="EX110">
        <v>0</v>
      </c>
      <c r="EY110">
        <v>767.24480769230775</v>
      </c>
      <c r="EZ110">
        <v>2.170769110415621</v>
      </c>
      <c r="FA110">
        <v>109.11111112645121</v>
      </c>
      <c r="FB110">
        <v>15177.957692307689</v>
      </c>
      <c r="FC110">
        <v>15</v>
      </c>
      <c r="FD110">
        <v>1691187457.5999999</v>
      </c>
      <c r="FE110" t="s">
        <v>899</v>
      </c>
      <c r="FF110">
        <v>1691187452.5999999</v>
      </c>
      <c r="FG110">
        <v>1691187457.5999999</v>
      </c>
      <c r="FH110">
        <v>123</v>
      </c>
      <c r="FI110">
        <v>3.7999999999999999E-2</v>
      </c>
      <c r="FJ110">
        <v>2E-3</v>
      </c>
      <c r="FK110">
        <v>-0.626</v>
      </c>
      <c r="FL110">
        <v>0.11600000000000001</v>
      </c>
      <c r="FM110">
        <v>500</v>
      </c>
      <c r="FN110">
        <v>19</v>
      </c>
      <c r="FO110">
        <v>0.09</v>
      </c>
      <c r="FP110">
        <v>0.04</v>
      </c>
      <c r="FQ110">
        <v>47.772092238045651</v>
      </c>
      <c r="FR110">
        <v>-0.35072633376903928</v>
      </c>
      <c r="FS110">
        <v>0.100444359241683</v>
      </c>
      <c r="FT110">
        <v>1</v>
      </c>
      <c r="FU110">
        <v>0.34815190369161758</v>
      </c>
      <c r="FV110">
        <v>2.0979561613422449E-2</v>
      </c>
      <c r="FW110">
        <v>2.7973100885346921E-3</v>
      </c>
      <c r="FX110">
        <v>1</v>
      </c>
      <c r="FY110">
        <v>2</v>
      </c>
      <c r="FZ110">
        <v>2</v>
      </c>
      <c r="GA110" t="s">
        <v>416</v>
      </c>
      <c r="GB110">
        <v>2.9671500000000002</v>
      </c>
      <c r="GC110">
        <v>2.81182</v>
      </c>
      <c r="GD110">
        <v>0.103162</v>
      </c>
      <c r="GE110">
        <v>0.11219</v>
      </c>
      <c r="GF110">
        <v>0.124502</v>
      </c>
      <c r="GG110">
        <v>0.100109</v>
      </c>
      <c r="GH110">
        <v>26414.400000000001</v>
      </c>
      <c r="GI110">
        <v>24075.1</v>
      </c>
      <c r="GJ110">
        <v>26483.5</v>
      </c>
      <c r="GK110">
        <v>25599.200000000001</v>
      </c>
      <c r="GL110">
        <v>31548.400000000001</v>
      </c>
      <c r="GM110">
        <v>32522.3</v>
      </c>
      <c r="GN110">
        <v>37471.9</v>
      </c>
      <c r="GO110">
        <v>37951.699999999997</v>
      </c>
      <c r="GP110">
        <v>1.9246000000000001</v>
      </c>
      <c r="GQ110">
        <v>1.8903000000000001</v>
      </c>
      <c r="GR110">
        <v>-2.3171299999999999E-2</v>
      </c>
      <c r="GS110">
        <v>0</v>
      </c>
      <c r="GT110">
        <v>30.378</v>
      </c>
      <c r="GU110">
        <v>999.9</v>
      </c>
      <c r="GV110">
        <v>28.5</v>
      </c>
      <c r="GW110">
        <v>42.2</v>
      </c>
      <c r="GX110">
        <v>23.9846</v>
      </c>
      <c r="GY110">
        <v>61.5989</v>
      </c>
      <c r="GZ110">
        <v>12.7524</v>
      </c>
      <c r="HA110">
        <v>1</v>
      </c>
      <c r="HB110">
        <v>0.59517299999999995</v>
      </c>
      <c r="HC110">
        <v>4.6360000000000001</v>
      </c>
      <c r="HD110">
        <v>20.240400000000001</v>
      </c>
      <c r="HE110">
        <v>5.2100999999999997</v>
      </c>
      <c r="HF110">
        <v>11.9381</v>
      </c>
      <c r="HG110">
        <v>4.9871999999999996</v>
      </c>
      <c r="HH110">
        <v>3.2909999999999999</v>
      </c>
      <c r="HI110">
        <v>9999</v>
      </c>
      <c r="HJ110">
        <v>9999</v>
      </c>
      <c r="HK110">
        <v>9999</v>
      </c>
      <c r="HL110">
        <v>999.9</v>
      </c>
      <c r="HM110">
        <v>1.87073</v>
      </c>
      <c r="HN110">
        <v>1.8768</v>
      </c>
      <c r="HO110">
        <v>1.8745400000000001</v>
      </c>
      <c r="HP110">
        <v>1.8728100000000001</v>
      </c>
      <c r="HQ110">
        <v>1.8733</v>
      </c>
      <c r="HR110">
        <v>1.8707100000000001</v>
      </c>
      <c r="HS110">
        <v>1.8765400000000001</v>
      </c>
      <c r="HT110">
        <v>1.87575</v>
      </c>
      <c r="HU110">
        <v>5</v>
      </c>
      <c r="HV110">
        <v>0</v>
      </c>
      <c r="HW110">
        <v>0</v>
      </c>
      <c r="HX110">
        <v>0</v>
      </c>
      <c r="HY110" t="s">
        <v>417</v>
      </c>
      <c r="HZ110" t="s">
        <v>418</v>
      </c>
      <c r="IA110" t="s">
        <v>419</v>
      </c>
      <c r="IB110" t="s">
        <v>420</v>
      </c>
      <c r="IC110" t="s">
        <v>420</v>
      </c>
      <c r="ID110" t="s">
        <v>419</v>
      </c>
      <c r="IE110">
        <v>0</v>
      </c>
      <c r="IF110">
        <v>100</v>
      </c>
      <c r="IG110">
        <v>100</v>
      </c>
      <c r="IH110">
        <v>-0.59299999999999997</v>
      </c>
      <c r="II110">
        <v>0.35110000000000002</v>
      </c>
      <c r="IJ110">
        <v>-0.12904348454569831</v>
      </c>
      <c r="IK110">
        <v>-1.615681629159814E-3</v>
      </c>
      <c r="IL110">
        <v>1.5005605225991581E-6</v>
      </c>
      <c r="IM110">
        <v>-5.1143626075267638E-10</v>
      </c>
      <c r="IN110">
        <v>-0.1617621036881999</v>
      </c>
      <c r="IO110">
        <v>-1.7182111142928099E-3</v>
      </c>
      <c r="IP110">
        <v>9.9985895407488957E-4</v>
      </c>
      <c r="IQ110">
        <v>-5.7750407166627208E-6</v>
      </c>
      <c r="IR110">
        <v>3</v>
      </c>
      <c r="IS110">
        <v>2181</v>
      </c>
      <c r="IT110">
        <v>2</v>
      </c>
      <c r="IU110">
        <v>42</v>
      </c>
      <c r="IV110">
        <v>0.6</v>
      </c>
      <c r="IW110">
        <v>0.5</v>
      </c>
      <c r="IX110">
        <v>1.1376999999999999</v>
      </c>
      <c r="IY110">
        <v>2.5402800000000001</v>
      </c>
      <c r="IZ110">
        <v>1.5991200000000001</v>
      </c>
      <c r="JA110">
        <v>2.2717299999999998</v>
      </c>
      <c r="JB110">
        <v>1.5502899999999999</v>
      </c>
      <c r="JC110">
        <v>2.36572</v>
      </c>
      <c r="JD110">
        <v>46.181800000000003</v>
      </c>
      <c r="JE110">
        <v>15.664300000000001</v>
      </c>
      <c r="JF110">
        <v>18</v>
      </c>
      <c r="JG110">
        <v>501.35500000000002</v>
      </c>
      <c r="JH110">
        <v>448.19400000000002</v>
      </c>
      <c r="JI110">
        <v>23.940899999999999</v>
      </c>
      <c r="JJ110">
        <v>34.534100000000002</v>
      </c>
      <c r="JK110">
        <v>30</v>
      </c>
      <c r="JL110">
        <v>34.572499999999998</v>
      </c>
      <c r="JM110">
        <v>34.543900000000001</v>
      </c>
      <c r="JN110">
        <v>22.803599999999999</v>
      </c>
      <c r="JO110">
        <v>28.787500000000001</v>
      </c>
      <c r="JP110">
        <v>1.8163</v>
      </c>
      <c r="JQ110">
        <v>23.9419</v>
      </c>
      <c r="JR110">
        <v>500</v>
      </c>
      <c r="JS110">
        <v>19.1509</v>
      </c>
      <c r="JT110">
        <v>98.849000000000004</v>
      </c>
      <c r="JU110">
        <v>98.505899999999997</v>
      </c>
    </row>
    <row r="111" spans="1:281" x14ac:dyDescent="0.25">
      <c r="A111">
        <v>95</v>
      </c>
      <c r="B111">
        <v>1691187589.0999999</v>
      </c>
      <c r="C111">
        <v>27858.5</v>
      </c>
      <c r="D111" t="s">
        <v>900</v>
      </c>
      <c r="E111" t="s">
        <v>901</v>
      </c>
      <c r="F111" t="s">
        <v>411</v>
      </c>
      <c r="G111" t="s">
        <v>639</v>
      </c>
      <c r="H111" t="s">
        <v>422</v>
      </c>
      <c r="I111" t="s">
        <v>413</v>
      </c>
      <c r="J111">
        <v>1691187589.0999999</v>
      </c>
      <c r="K111">
        <f t="shared" si="138"/>
        <v>4.770400282045742E-3</v>
      </c>
      <c r="L111">
        <f t="shared" si="139"/>
        <v>4.7704002820457418</v>
      </c>
      <c r="M111">
        <f t="shared" si="140"/>
        <v>50.058668431983072</v>
      </c>
      <c r="N111">
        <f t="shared" si="141"/>
        <v>636.36300000000006</v>
      </c>
      <c r="O111">
        <f t="shared" si="142"/>
        <v>321.88019491787014</v>
      </c>
      <c r="P111">
        <f t="shared" si="143"/>
        <v>31.894681508145176</v>
      </c>
      <c r="Q111">
        <f t="shared" si="144"/>
        <v>63.056365470844213</v>
      </c>
      <c r="R111">
        <f t="shared" si="145"/>
        <v>0.27835953841166527</v>
      </c>
      <c r="S111">
        <f t="shared" si="146"/>
        <v>2.9170005436260906</v>
      </c>
      <c r="T111">
        <f t="shared" si="147"/>
        <v>0.26439948404203489</v>
      </c>
      <c r="U111">
        <f t="shared" si="148"/>
        <v>0.16644557155347561</v>
      </c>
      <c r="V111">
        <f t="shared" si="149"/>
        <v>289.56224701274175</v>
      </c>
      <c r="W111">
        <f t="shared" si="150"/>
        <v>30.410295960446419</v>
      </c>
      <c r="X111">
        <f t="shared" si="151"/>
        <v>30.0091</v>
      </c>
      <c r="Y111">
        <f t="shared" si="152"/>
        <v>4.2626772020649577</v>
      </c>
      <c r="Z111">
        <f t="shared" si="153"/>
        <v>59.726580758007216</v>
      </c>
      <c r="AA111">
        <f t="shared" si="154"/>
        <v>2.5362142311423606</v>
      </c>
      <c r="AB111">
        <f t="shared" si="155"/>
        <v>4.2463743930332791</v>
      </c>
      <c r="AC111">
        <f t="shared" si="156"/>
        <v>1.7264629709225972</v>
      </c>
      <c r="AD111">
        <f t="shared" si="157"/>
        <v>-210.37465243821723</v>
      </c>
      <c r="AE111">
        <f t="shared" si="158"/>
        <v>-10.489330931641723</v>
      </c>
      <c r="AF111">
        <f t="shared" si="159"/>
        <v>-0.79936678382125426</v>
      </c>
      <c r="AG111">
        <f t="shared" si="160"/>
        <v>67.898896859061551</v>
      </c>
      <c r="AH111">
        <v>1</v>
      </c>
      <c r="AI111">
        <v>0</v>
      </c>
      <c r="AJ111">
        <f t="shared" si="161"/>
        <v>1</v>
      </c>
      <c r="AK111">
        <f t="shared" si="162"/>
        <v>0</v>
      </c>
      <c r="AL111">
        <f t="shared" si="163"/>
        <v>51983.484980298948</v>
      </c>
      <c r="AM111" t="s">
        <v>414</v>
      </c>
      <c r="AN111">
        <v>7361.72</v>
      </c>
      <c r="AO111">
        <v>541.39076923076925</v>
      </c>
      <c r="AP111">
        <v>2141.9899999999998</v>
      </c>
      <c r="AQ111">
        <f t="shared" si="164"/>
        <v>0.74724869433061347</v>
      </c>
      <c r="AR111">
        <v>-0.96077199609010144</v>
      </c>
      <c r="AS111" t="s">
        <v>902</v>
      </c>
      <c r="AT111">
        <v>7351.27</v>
      </c>
      <c r="AU111">
        <v>776.22846153846149</v>
      </c>
      <c r="AV111">
        <v>1163.9313255727491</v>
      </c>
      <c r="AW111">
        <f t="shared" si="165"/>
        <v>0.33309771420019663</v>
      </c>
      <c r="AX111">
        <v>0.5</v>
      </c>
      <c r="AY111">
        <f t="shared" si="166"/>
        <v>1513.129500006602</v>
      </c>
      <c r="AZ111">
        <f t="shared" si="167"/>
        <v>50.058668431983072</v>
      </c>
      <c r="BA111">
        <f t="shared" si="168"/>
        <v>252.00998887054277</v>
      </c>
      <c r="BB111">
        <f t="shared" si="169"/>
        <v>3.3717828135563128E-2</v>
      </c>
      <c r="BC111">
        <f t="shared" si="170"/>
        <v>0.84030617007920649</v>
      </c>
      <c r="BD111">
        <f t="shared" si="171"/>
        <v>446.54892175662997</v>
      </c>
      <c r="BE111" t="s">
        <v>903</v>
      </c>
      <c r="BF111">
        <v>596.86</v>
      </c>
      <c r="BG111">
        <f t="shared" si="172"/>
        <v>596.86</v>
      </c>
      <c r="BH111">
        <f t="shared" si="173"/>
        <v>0.48720342267075234</v>
      </c>
      <c r="BI111">
        <f t="shared" si="174"/>
        <v>0.68369329668133527</v>
      </c>
      <c r="BJ111">
        <f t="shared" si="175"/>
        <v>0.63299442404668271</v>
      </c>
      <c r="BK111">
        <f t="shared" si="176"/>
        <v>0.62277527156208434</v>
      </c>
      <c r="BL111">
        <f t="shared" si="177"/>
        <v>0.61105781861284947</v>
      </c>
      <c r="BM111">
        <f t="shared" si="178"/>
        <v>0.52570757357755338</v>
      </c>
      <c r="BN111">
        <f t="shared" si="179"/>
        <v>0.47429242642244662</v>
      </c>
      <c r="BO111">
        <v>1619</v>
      </c>
      <c r="BP111">
        <v>290.00000000000011</v>
      </c>
      <c r="BQ111">
        <v>1034.9100000000001</v>
      </c>
      <c r="BR111">
        <v>285</v>
      </c>
      <c r="BS111">
        <v>7351.27</v>
      </c>
      <c r="BT111">
        <v>1034.7</v>
      </c>
      <c r="BU111">
        <v>0.21</v>
      </c>
      <c r="BV111">
        <v>300.00000000000011</v>
      </c>
      <c r="BW111">
        <v>37.9</v>
      </c>
      <c r="BX111">
        <v>1163.9313255727491</v>
      </c>
      <c r="BY111">
        <v>1.595753321506195</v>
      </c>
      <c r="BZ111">
        <v>-95.002630363596751</v>
      </c>
      <c r="CA111">
        <v>0.98344678367620508</v>
      </c>
      <c r="CB111">
        <v>0.99700851130433332</v>
      </c>
      <c r="CC111">
        <v>-7.2426860956618464E-3</v>
      </c>
      <c r="CD111">
        <v>289.99999999999989</v>
      </c>
      <c r="CE111">
        <v>1024.25</v>
      </c>
      <c r="CF111">
        <v>655</v>
      </c>
      <c r="CG111">
        <v>7346.82</v>
      </c>
      <c r="CH111">
        <v>1034.6199999999999</v>
      </c>
      <c r="CI111">
        <v>-10.37</v>
      </c>
      <c r="CW111">
        <f t="shared" si="180"/>
        <v>1799.93</v>
      </c>
      <c r="CX111">
        <f t="shared" si="181"/>
        <v>1513.129500006602</v>
      </c>
      <c r="CY111">
        <f t="shared" si="182"/>
        <v>0.84066019234448119</v>
      </c>
      <c r="CZ111">
        <f t="shared" si="183"/>
        <v>0.16087417122484859</v>
      </c>
      <c r="DA111">
        <v>6</v>
      </c>
      <c r="DB111">
        <v>0.5</v>
      </c>
      <c r="DC111" t="s">
        <v>415</v>
      </c>
      <c r="DD111">
        <v>2</v>
      </c>
      <c r="DE111">
        <v>1691187589.0999999</v>
      </c>
      <c r="DF111">
        <v>636.36300000000006</v>
      </c>
      <c r="DG111">
        <v>700.06299999999999</v>
      </c>
      <c r="DH111">
        <v>25.595400000000001</v>
      </c>
      <c r="DI111">
        <v>20.018599999999999</v>
      </c>
      <c r="DJ111">
        <v>636.82500000000005</v>
      </c>
      <c r="DK111">
        <v>25.256</v>
      </c>
      <c r="DL111">
        <v>500.10399999999998</v>
      </c>
      <c r="DM111">
        <v>98.989400000000003</v>
      </c>
      <c r="DN111">
        <v>9.9273399999999998E-2</v>
      </c>
      <c r="DO111">
        <v>29.942399999999999</v>
      </c>
      <c r="DP111">
        <v>30.0091</v>
      </c>
      <c r="DQ111">
        <v>999.9</v>
      </c>
      <c r="DR111">
        <v>0</v>
      </c>
      <c r="DS111">
        <v>0</v>
      </c>
      <c r="DT111">
        <v>10030</v>
      </c>
      <c r="DU111">
        <v>0</v>
      </c>
      <c r="DV111">
        <v>1089.74</v>
      </c>
      <c r="DW111">
        <v>-63.7</v>
      </c>
      <c r="DX111">
        <v>653.07899999999995</v>
      </c>
      <c r="DY111">
        <v>714.36300000000006</v>
      </c>
      <c r="DZ111">
        <v>5.5767699999999998</v>
      </c>
      <c r="EA111">
        <v>700.06299999999999</v>
      </c>
      <c r="EB111">
        <v>20.018599999999999</v>
      </c>
      <c r="EC111">
        <v>2.5336799999999999</v>
      </c>
      <c r="ED111">
        <v>1.98163</v>
      </c>
      <c r="EE111">
        <v>21.244499999999999</v>
      </c>
      <c r="EF111">
        <v>17.298300000000001</v>
      </c>
      <c r="EG111">
        <v>1799.93</v>
      </c>
      <c r="EH111">
        <v>0.97799400000000003</v>
      </c>
      <c r="EI111">
        <v>2.2006399999999999E-2</v>
      </c>
      <c r="EJ111">
        <v>0</v>
      </c>
      <c r="EK111">
        <v>776.83500000000004</v>
      </c>
      <c r="EL111">
        <v>9.9989999999999996E-2</v>
      </c>
      <c r="EM111">
        <v>15394.6</v>
      </c>
      <c r="EN111">
        <v>16704.599999999999</v>
      </c>
      <c r="EO111">
        <v>47.436999999999998</v>
      </c>
      <c r="EP111">
        <v>49.186999999999998</v>
      </c>
      <c r="EQ111">
        <v>48.561999999999998</v>
      </c>
      <c r="ER111">
        <v>47.5</v>
      </c>
      <c r="ES111">
        <v>48.5</v>
      </c>
      <c r="ET111">
        <v>1760.22</v>
      </c>
      <c r="EU111">
        <v>39.61</v>
      </c>
      <c r="EV111">
        <v>0</v>
      </c>
      <c r="EW111">
        <v>100.2000000476837</v>
      </c>
      <c r="EX111">
        <v>0</v>
      </c>
      <c r="EY111">
        <v>776.22846153846149</v>
      </c>
      <c r="EZ111">
        <v>-4.2399999888794593</v>
      </c>
      <c r="FA111">
        <v>-63.094017321323129</v>
      </c>
      <c r="FB111">
        <v>15380.15769230769</v>
      </c>
      <c r="FC111">
        <v>15</v>
      </c>
      <c r="FD111">
        <v>1691187556.5999999</v>
      </c>
      <c r="FE111" t="s">
        <v>904</v>
      </c>
      <c r="FF111">
        <v>1691187553.5999999</v>
      </c>
      <c r="FG111">
        <v>1691187556.5999999</v>
      </c>
      <c r="FH111">
        <v>124</v>
      </c>
      <c r="FI111">
        <v>0.22</v>
      </c>
      <c r="FJ111">
        <v>0</v>
      </c>
      <c r="FK111">
        <v>-0.48099999999999998</v>
      </c>
      <c r="FL111">
        <v>0.13200000000000001</v>
      </c>
      <c r="FM111">
        <v>700</v>
      </c>
      <c r="FN111">
        <v>19</v>
      </c>
      <c r="FO111">
        <v>0.1</v>
      </c>
      <c r="FP111">
        <v>0.04</v>
      </c>
      <c r="FQ111">
        <v>50.060710696416358</v>
      </c>
      <c r="FR111">
        <v>-0.5462547466359855</v>
      </c>
      <c r="FS111">
        <v>6.3674833878055698E-2</v>
      </c>
      <c r="FT111">
        <v>1</v>
      </c>
      <c r="FU111">
        <v>0.28240697889375083</v>
      </c>
      <c r="FV111">
        <v>-2.205313364836841E-2</v>
      </c>
      <c r="FW111">
        <v>1.7804575654375061E-3</v>
      </c>
      <c r="FX111">
        <v>1</v>
      </c>
      <c r="FY111">
        <v>2</v>
      </c>
      <c r="FZ111">
        <v>2</v>
      </c>
      <c r="GA111" t="s">
        <v>416</v>
      </c>
      <c r="GB111">
        <v>2.9676300000000002</v>
      </c>
      <c r="GC111">
        <v>2.8112300000000001</v>
      </c>
      <c r="GD111">
        <v>0.135021</v>
      </c>
      <c r="GE111">
        <v>0.142624</v>
      </c>
      <c r="GF111">
        <v>0.123463</v>
      </c>
      <c r="GG111">
        <v>0.103408</v>
      </c>
      <c r="GH111">
        <v>25476.1</v>
      </c>
      <c r="GI111">
        <v>23250.799999999999</v>
      </c>
      <c r="GJ111">
        <v>26484.7</v>
      </c>
      <c r="GK111">
        <v>25601.599999999999</v>
      </c>
      <c r="GL111">
        <v>31589.4</v>
      </c>
      <c r="GM111">
        <v>32408.1</v>
      </c>
      <c r="GN111">
        <v>37473.699999999997</v>
      </c>
      <c r="GO111">
        <v>37955.1</v>
      </c>
      <c r="GP111">
        <v>1.9236</v>
      </c>
      <c r="GQ111">
        <v>1.8936999999999999</v>
      </c>
      <c r="GR111">
        <v>-1.70767E-2</v>
      </c>
      <c r="GS111">
        <v>0</v>
      </c>
      <c r="GT111">
        <v>30.286899999999999</v>
      </c>
      <c r="GU111">
        <v>999.9</v>
      </c>
      <c r="GV111">
        <v>28.4</v>
      </c>
      <c r="GW111">
        <v>42.2</v>
      </c>
      <c r="GX111">
        <v>23.902799999999999</v>
      </c>
      <c r="GY111">
        <v>61.7089</v>
      </c>
      <c r="GZ111">
        <v>12.8886</v>
      </c>
      <c r="HA111">
        <v>1</v>
      </c>
      <c r="HB111">
        <v>0.59272400000000003</v>
      </c>
      <c r="HC111">
        <v>4.6896000000000004</v>
      </c>
      <c r="HD111">
        <v>20.237300000000001</v>
      </c>
      <c r="HE111">
        <v>5.1987199999999998</v>
      </c>
      <c r="HF111">
        <v>11.9381</v>
      </c>
      <c r="HG111">
        <v>4.9843999999999999</v>
      </c>
      <c r="HH111">
        <v>3.2884000000000002</v>
      </c>
      <c r="HI111">
        <v>9999</v>
      </c>
      <c r="HJ111">
        <v>9999</v>
      </c>
      <c r="HK111">
        <v>9999</v>
      </c>
      <c r="HL111">
        <v>999.9</v>
      </c>
      <c r="HM111">
        <v>1.87059</v>
      </c>
      <c r="HN111">
        <v>1.8766799999999999</v>
      </c>
      <c r="HO111">
        <v>1.8745099999999999</v>
      </c>
      <c r="HP111">
        <v>1.8727100000000001</v>
      </c>
      <c r="HQ111">
        <v>1.87317</v>
      </c>
      <c r="HR111">
        <v>1.8705700000000001</v>
      </c>
      <c r="HS111">
        <v>1.87653</v>
      </c>
      <c r="HT111">
        <v>1.87561</v>
      </c>
      <c r="HU111">
        <v>5</v>
      </c>
      <c r="HV111">
        <v>0</v>
      </c>
      <c r="HW111">
        <v>0</v>
      </c>
      <c r="HX111">
        <v>0</v>
      </c>
      <c r="HY111" t="s">
        <v>417</v>
      </c>
      <c r="HZ111" t="s">
        <v>418</v>
      </c>
      <c r="IA111" t="s">
        <v>419</v>
      </c>
      <c r="IB111" t="s">
        <v>420</v>
      </c>
      <c r="IC111" t="s">
        <v>420</v>
      </c>
      <c r="ID111" t="s">
        <v>419</v>
      </c>
      <c r="IE111">
        <v>0</v>
      </c>
      <c r="IF111">
        <v>100</v>
      </c>
      <c r="IG111">
        <v>100</v>
      </c>
      <c r="IH111">
        <v>-0.46200000000000002</v>
      </c>
      <c r="II111">
        <v>0.33939999999999998</v>
      </c>
      <c r="IJ111">
        <v>9.0611555463149751E-2</v>
      </c>
      <c r="IK111">
        <v>-1.615681629159814E-3</v>
      </c>
      <c r="IL111">
        <v>1.5005605225991581E-6</v>
      </c>
      <c r="IM111">
        <v>-5.1143626075267638E-10</v>
      </c>
      <c r="IN111">
        <v>-0.16196246346280921</v>
      </c>
      <c r="IO111">
        <v>-1.7182111142928099E-3</v>
      </c>
      <c r="IP111">
        <v>9.9985895407488957E-4</v>
      </c>
      <c r="IQ111">
        <v>-5.7750407166627208E-6</v>
      </c>
      <c r="IR111">
        <v>3</v>
      </c>
      <c r="IS111">
        <v>2181</v>
      </c>
      <c r="IT111">
        <v>2</v>
      </c>
      <c r="IU111">
        <v>42</v>
      </c>
      <c r="IV111">
        <v>0.6</v>
      </c>
      <c r="IW111">
        <v>0.5</v>
      </c>
      <c r="IX111">
        <v>1.4978</v>
      </c>
      <c r="IY111">
        <v>2.5317400000000001</v>
      </c>
      <c r="IZ111">
        <v>1.5991200000000001</v>
      </c>
      <c r="JA111">
        <v>2.2705099999999998</v>
      </c>
      <c r="JB111">
        <v>1.5502899999999999</v>
      </c>
      <c r="JC111">
        <v>2.4218799999999998</v>
      </c>
      <c r="JD111">
        <v>45.776800000000001</v>
      </c>
      <c r="JE111">
        <v>15.6381</v>
      </c>
      <c r="JF111">
        <v>18</v>
      </c>
      <c r="JG111">
        <v>500.41899999999998</v>
      </c>
      <c r="JH111">
        <v>450.03899999999999</v>
      </c>
      <c r="JI111">
        <v>23.823799999999999</v>
      </c>
      <c r="JJ111">
        <v>34.493400000000001</v>
      </c>
      <c r="JK111">
        <v>30</v>
      </c>
      <c r="JL111">
        <v>34.5349</v>
      </c>
      <c r="JM111">
        <v>34.506599999999999</v>
      </c>
      <c r="JN111">
        <v>29.999099999999999</v>
      </c>
      <c r="JO111">
        <v>24.122299999999999</v>
      </c>
      <c r="JP111">
        <v>1.6425799999999999</v>
      </c>
      <c r="JQ111">
        <v>23.8155</v>
      </c>
      <c r="JR111">
        <v>700</v>
      </c>
      <c r="JS111">
        <v>20.1251</v>
      </c>
      <c r="JT111">
        <v>98.853700000000003</v>
      </c>
      <c r="JU111">
        <v>98.514899999999997</v>
      </c>
    </row>
    <row r="112" spans="1:281" x14ac:dyDescent="0.25">
      <c r="A112">
        <v>96</v>
      </c>
      <c r="B112">
        <v>1691187779.0999999</v>
      </c>
      <c r="C112">
        <v>28048.5</v>
      </c>
      <c r="D112" t="s">
        <v>905</v>
      </c>
      <c r="E112" t="s">
        <v>906</v>
      </c>
      <c r="F112" t="s">
        <v>411</v>
      </c>
      <c r="G112" t="s">
        <v>639</v>
      </c>
      <c r="H112" t="s">
        <v>422</v>
      </c>
      <c r="I112" t="s">
        <v>413</v>
      </c>
      <c r="J112">
        <v>1691187779.0999999</v>
      </c>
      <c r="K112">
        <f t="shared" si="138"/>
        <v>2.3661261317915196E-3</v>
      </c>
      <c r="L112">
        <f t="shared" si="139"/>
        <v>2.3661261317915194</v>
      </c>
      <c r="M112">
        <f t="shared" si="140"/>
        <v>43.161965013946194</v>
      </c>
      <c r="N112">
        <f t="shared" si="141"/>
        <v>845.94100000000003</v>
      </c>
      <c r="O112">
        <f t="shared" si="142"/>
        <v>295.69961318307384</v>
      </c>
      <c r="P112">
        <f t="shared" si="143"/>
        <v>29.298813614436938</v>
      </c>
      <c r="Q112">
        <f t="shared" si="144"/>
        <v>83.818397396635902</v>
      </c>
      <c r="R112">
        <f t="shared" si="145"/>
        <v>0.13221722601700048</v>
      </c>
      <c r="S112">
        <f t="shared" si="146"/>
        <v>2.9203943180313798</v>
      </c>
      <c r="T112">
        <f t="shared" si="147"/>
        <v>0.12897952070353705</v>
      </c>
      <c r="U112">
        <f t="shared" si="148"/>
        <v>8.0896491838662266E-2</v>
      </c>
      <c r="V112">
        <f t="shared" si="149"/>
        <v>289.61012701273961</v>
      </c>
      <c r="W112">
        <f t="shared" si="150"/>
        <v>30.826947575036385</v>
      </c>
      <c r="X112">
        <f t="shared" si="151"/>
        <v>29.975300000000001</v>
      </c>
      <c r="Y112">
        <f t="shared" si="152"/>
        <v>4.2544090044021639</v>
      </c>
      <c r="Z112">
        <f t="shared" si="153"/>
        <v>59.554419236188217</v>
      </c>
      <c r="AA112">
        <f t="shared" si="154"/>
        <v>2.4986758480182001</v>
      </c>
      <c r="AB112">
        <f t="shared" si="155"/>
        <v>4.1956178568523104</v>
      </c>
      <c r="AC112">
        <f t="shared" si="156"/>
        <v>1.7557331563839638</v>
      </c>
      <c r="AD112">
        <f t="shared" si="157"/>
        <v>-104.34616241200601</v>
      </c>
      <c r="AE112">
        <f t="shared" si="158"/>
        <v>-38.101520230637419</v>
      </c>
      <c r="AF112">
        <f t="shared" si="159"/>
        <v>-2.8967653652943115</v>
      </c>
      <c r="AG112">
        <f t="shared" si="160"/>
        <v>144.26567900480188</v>
      </c>
      <c r="AH112">
        <v>1</v>
      </c>
      <c r="AI112">
        <v>0</v>
      </c>
      <c r="AJ112">
        <f t="shared" si="161"/>
        <v>1</v>
      </c>
      <c r="AK112">
        <f t="shared" si="162"/>
        <v>0</v>
      </c>
      <c r="AL112">
        <f t="shared" si="163"/>
        <v>52115.984020198011</v>
      </c>
      <c r="AM112" t="s">
        <v>414</v>
      </c>
      <c r="AN112">
        <v>7361.72</v>
      </c>
      <c r="AO112">
        <v>541.39076923076925</v>
      </c>
      <c r="AP112">
        <v>2141.9899999999998</v>
      </c>
      <c r="AQ112">
        <f t="shared" si="164"/>
        <v>0.74724869433061347</v>
      </c>
      <c r="AR112">
        <v>-0.96077199609010144</v>
      </c>
      <c r="AS112" t="s">
        <v>907</v>
      </c>
      <c r="AT112">
        <v>7351.49</v>
      </c>
      <c r="AU112">
        <v>757.04134615384623</v>
      </c>
      <c r="AV112">
        <v>1080.6565973969921</v>
      </c>
      <c r="AW112">
        <f t="shared" si="165"/>
        <v>0.29946169025631919</v>
      </c>
      <c r="AX112">
        <v>0.5</v>
      </c>
      <c r="AY112">
        <f t="shared" si="166"/>
        <v>1513.3815000066011</v>
      </c>
      <c r="AZ112">
        <f t="shared" si="167"/>
        <v>43.161965013946194</v>
      </c>
      <c r="BA112">
        <f t="shared" si="168"/>
        <v>226.59989099731024</v>
      </c>
      <c r="BB112">
        <f t="shared" si="169"/>
        <v>2.9155065665758331E-2</v>
      </c>
      <c r="BC112">
        <f t="shared" si="170"/>
        <v>0.98211902389664885</v>
      </c>
      <c r="BD112">
        <f t="shared" si="171"/>
        <v>433.72612424460044</v>
      </c>
      <c r="BE112" t="s">
        <v>908</v>
      </c>
      <c r="BF112">
        <v>582.91999999999996</v>
      </c>
      <c r="BG112">
        <f t="shared" si="172"/>
        <v>582.91999999999996</v>
      </c>
      <c r="BH112">
        <f t="shared" si="173"/>
        <v>0.46058720096273342</v>
      </c>
      <c r="BI112">
        <f t="shared" si="174"/>
        <v>0.65017371223163645</v>
      </c>
      <c r="BJ112">
        <f t="shared" si="175"/>
        <v>0.68074775513800401</v>
      </c>
      <c r="BK112">
        <f t="shared" si="176"/>
        <v>0.60010338934992735</v>
      </c>
      <c r="BL112">
        <f t="shared" si="177"/>
        <v>0.6630850385283158</v>
      </c>
      <c r="BM112">
        <f t="shared" si="178"/>
        <v>0.50063218113458907</v>
      </c>
      <c r="BN112">
        <f t="shared" si="179"/>
        <v>0.49936781886541093</v>
      </c>
      <c r="BO112">
        <v>1621</v>
      </c>
      <c r="BP112">
        <v>290.00000000000011</v>
      </c>
      <c r="BQ112">
        <v>973.54</v>
      </c>
      <c r="BR112">
        <v>285</v>
      </c>
      <c r="BS112">
        <v>7351.49</v>
      </c>
      <c r="BT112">
        <v>974.38</v>
      </c>
      <c r="BU112">
        <v>-0.84</v>
      </c>
      <c r="BV112">
        <v>300.00000000000011</v>
      </c>
      <c r="BW112">
        <v>37.9</v>
      </c>
      <c r="BX112">
        <v>1080.6565973969921</v>
      </c>
      <c r="BY112">
        <v>1.481352599055872</v>
      </c>
      <c r="BZ112">
        <v>-78.125696872144161</v>
      </c>
      <c r="CA112">
        <v>0.9129711029655535</v>
      </c>
      <c r="CB112">
        <v>0.99619086083855457</v>
      </c>
      <c r="CC112">
        <v>-7.2428137931034517E-3</v>
      </c>
      <c r="CD112">
        <v>289.99999999999989</v>
      </c>
      <c r="CE112">
        <v>967.98</v>
      </c>
      <c r="CF112">
        <v>645</v>
      </c>
      <c r="CG112">
        <v>7347.4</v>
      </c>
      <c r="CH112">
        <v>974.33</v>
      </c>
      <c r="CI112">
        <v>-6.35</v>
      </c>
      <c r="CW112">
        <f t="shared" si="180"/>
        <v>1800.23</v>
      </c>
      <c r="CX112">
        <f t="shared" si="181"/>
        <v>1513.3815000066011</v>
      </c>
      <c r="CY112">
        <f t="shared" si="182"/>
        <v>0.84066008232648104</v>
      </c>
      <c r="CZ112">
        <f t="shared" si="183"/>
        <v>0.16087395889010828</v>
      </c>
      <c r="DA112">
        <v>6</v>
      </c>
      <c r="DB112">
        <v>0.5</v>
      </c>
      <c r="DC112" t="s">
        <v>415</v>
      </c>
      <c r="DD112">
        <v>2</v>
      </c>
      <c r="DE112">
        <v>1691187779.0999999</v>
      </c>
      <c r="DF112">
        <v>845.94100000000003</v>
      </c>
      <c r="DG112">
        <v>900.10500000000002</v>
      </c>
      <c r="DH112">
        <v>25.218</v>
      </c>
      <c r="DI112">
        <v>22.451899999999998</v>
      </c>
      <c r="DJ112">
        <v>846.65800000000002</v>
      </c>
      <c r="DK112">
        <v>24.983000000000001</v>
      </c>
      <c r="DL112">
        <v>500.298</v>
      </c>
      <c r="DM112">
        <v>98.984099999999998</v>
      </c>
      <c r="DN112">
        <v>9.8929900000000001E-2</v>
      </c>
      <c r="DO112">
        <v>29.7333</v>
      </c>
      <c r="DP112">
        <v>29.975300000000001</v>
      </c>
      <c r="DQ112">
        <v>999.9</v>
      </c>
      <c r="DR112">
        <v>0</v>
      </c>
      <c r="DS112">
        <v>0</v>
      </c>
      <c r="DT112">
        <v>10050</v>
      </c>
      <c r="DU112">
        <v>0</v>
      </c>
      <c r="DV112">
        <v>1032.83</v>
      </c>
      <c r="DW112">
        <v>-53.959200000000003</v>
      </c>
      <c r="DX112">
        <v>868.11900000000003</v>
      </c>
      <c r="DY112">
        <v>920.77800000000002</v>
      </c>
      <c r="DZ112">
        <v>2.8601999999999999</v>
      </c>
      <c r="EA112">
        <v>900.10500000000002</v>
      </c>
      <c r="EB112">
        <v>22.451899999999998</v>
      </c>
      <c r="EC112">
        <v>2.5055000000000001</v>
      </c>
      <c r="ED112">
        <v>2.2223799999999998</v>
      </c>
      <c r="EE112">
        <v>21.062200000000001</v>
      </c>
      <c r="EF112">
        <v>19.124600000000001</v>
      </c>
      <c r="EG112">
        <v>1800.23</v>
      </c>
      <c r="EH112">
        <v>0.97799700000000001</v>
      </c>
      <c r="EI112">
        <v>2.2002799999999999E-2</v>
      </c>
      <c r="EJ112">
        <v>0</v>
      </c>
      <c r="EK112">
        <v>756.91</v>
      </c>
      <c r="EL112">
        <v>9.9989999999999996E-2</v>
      </c>
      <c r="EM112">
        <v>14892.7</v>
      </c>
      <c r="EN112">
        <v>16707.400000000001</v>
      </c>
      <c r="EO112">
        <v>47.186999999999998</v>
      </c>
      <c r="EP112">
        <v>48.75</v>
      </c>
      <c r="EQ112">
        <v>48.25</v>
      </c>
      <c r="ER112">
        <v>47.125</v>
      </c>
      <c r="ES112">
        <v>48.186999999999998</v>
      </c>
      <c r="ET112">
        <v>1760.52</v>
      </c>
      <c r="EU112">
        <v>39.61</v>
      </c>
      <c r="EV112">
        <v>0</v>
      </c>
      <c r="EW112">
        <v>187.79999995231631</v>
      </c>
      <c r="EX112">
        <v>0</v>
      </c>
      <c r="EY112">
        <v>757.04134615384623</v>
      </c>
      <c r="EZ112">
        <v>-11.644273501013981</v>
      </c>
      <c r="FA112">
        <v>-441.9179476816239</v>
      </c>
      <c r="FB112">
        <v>14951.99615384615</v>
      </c>
      <c r="FC112">
        <v>15</v>
      </c>
      <c r="FD112">
        <v>1691187811.0999999</v>
      </c>
      <c r="FE112" t="s">
        <v>909</v>
      </c>
      <c r="FF112">
        <v>1691187811.0999999</v>
      </c>
      <c r="FG112">
        <v>1691187804.0999999</v>
      </c>
      <c r="FH112">
        <v>125</v>
      </c>
      <c r="FI112">
        <v>-0.19700000000000001</v>
      </c>
      <c r="FJ112">
        <v>1E-3</v>
      </c>
      <c r="FK112">
        <v>-0.71699999999999997</v>
      </c>
      <c r="FL112">
        <v>0.23499999999999999</v>
      </c>
      <c r="FM112">
        <v>900</v>
      </c>
      <c r="FN112">
        <v>23</v>
      </c>
      <c r="FO112">
        <v>0.28000000000000003</v>
      </c>
      <c r="FP112">
        <v>0.06</v>
      </c>
      <c r="FQ112">
        <v>43.667230886993813</v>
      </c>
      <c r="FR112">
        <v>-5.5936340788123138</v>
      </c>
      <c r="FS112">
        <v>0.42458263722803558</v>
      </c>
      <c r="FT112">
        <v>0</v>
      </c>
      <c r="FU112">
        <v>0.14360350037709979</v>
      </c>
      <c r="FV112">
        <v>-4.1023987156399301E-2</v>
      </c>
      <c r="FW112">
        <v>3.5307785656701601E-3</v>
      </c>
      <c r="FX112">
        <v>1</v>
      </c>
      <c r="FY112">
        <v>1</v>
      </c>
      <c r="FZ112">
        <v>2</v>
      </c>
      <c r="GA112" t="s">
        <v>421</v>
      </c>
      <c r="GB112">
        <v>2.96821</v>
      </c>
      <c r="GC112">
        <v>2.8110599999999999</v>
      </c>
      <c r="GD112">
        <v>0.16409799999999999</v>
      </c>
      <c r="GE112">
        <v>0.16907800000000001</v>
      </c>
      <c r="GF112">
        <v>0.122543</v>
      </c>
      <c r="GG112">
        <v>0.112183</v>
      </c>
      <c r="GH112">
        <v>24623.3</v>
      </c>
      <c r="GI112">
        <v>22538.3</v>
      </c>
      <c r="GJ112">
        <v>26489.9</v>
      </c>
      <c r="GK112">
        <v>25608.2</v>
      </c>
      <c r="GL112">
        <v>31629.8</v>
      </c>
      <c r="GM112">
        <v>32100.1</v>
      </c>
      <c r="GN112">
        <v>37480.800000000003</v>
      </c>
      <c r="GO112">
        <v>37963.800000000003</v>
      </c>
      <c r="GP112">
        <v>1.9245000000000001</v>
      </c>
      <c r="GQ112">
        <v>1.8998999999999999</v>
      </c>
      <c r="GR112">
        <v>-5.90086E-3</v>
      </c>
      <c r="GS112">
        <v>0</v>
      </c>
      <c r="GT112">
        <v>30.071400000000001</v>
      </c>
      <c r="GU112">
        <v>999.9</v>
      </c>
      <c r="GV112">
        <v>29.7</v>
      </c>
      <c r="GW112">
        <v>42.1</v>
      </c>
      <c r="GX112">
        <v>24.865500000000001</v>
      </c>
      <c r="GY112">
        <v>61.578899999999997</v>
      </c>
      <c r="GZ112">
        <v>12.820499999999999</v>
      </c>
      <c r="HA112">
        <v>1</v>
      </c>
      <c r="HB112">
        <v>0.57780500000000001</v>
      </c>
      <c r="HC112">
        <v>4.3193599999999996</v>
      </c>
      <c r="HD112">
        <v>20.2485</v>
      </c>
      <c r="HE112">
        <v>5.2047100000000004</v>
      </c>
      <c r="HF112">
        <v>11.9381</v>
      </c>
      <c r="HG112">
        <v>4.9846000000000004</v>
      </c>
      <c r="HH112">
        <v>3.29</v>
      </c>
      <c r="HI112">
        <v>9999</v>
      </c>
      <c r="HJ112">
        <v>9999</v>
      </c>
      <c r="HK112">
        <v>9999</v>
      </c>
      <c r="HL112">
        <v>999.9</v>
      </c>
      <c r="HM112">
        <v>1.8705700000000001</v>
      </c>
      <c r="HN112">
        <v>1.8766700000000001</v>
      </c>
      <c r="HO112">
        <v>1.87439</v>
      </c>
      <c r="HP112">
        <v>1.8726499999999999</v>
      </c>
      <c r="HQ112">
        <v>1.87317</v>
      </c>
      <c r="HR112">
        <v>1.8705700000000001</v>
      </c>
      <c r="HS112">
        <v>1.87642</v>
      </c>
      <c r="HT112">
        <v>1.87561</v>
      </c>
      <c r="HU112">
        <v>5</v>
      </c>
      <c r="HV112">
        <v>0</v>
      </c>
      <c r="HW112">
        <v>0</v>
      </c>
      <c r="HX112">
        <v>0</v>
      </c>
      <c r="HY112" t="s">
        <v>417</v>
      </c>
      <c r="HZ112" t="s">
        <v>418</v>
      </c>
      <c r="IA112" t="s">
        <v>419</v>
      </c>
      <c r="IB112" t="s">
        <v>420</v>
      </c>
      <c r="IC112" t="s">
        <v>420</v>
      </c>
      <c r="ID112" t="s">
        <v>419</v>
      </c>
      <c r="IE112">
        <v>0</v>
      </c>
      <c r="IF112">
        <v>100</v>
      </c>
      <c r="IG112">
        <v>100</v>
      </c>
      <c r="IH112">
        <v>-0.71699999999999997</v>
      </c>
      <c r="II112">
        <v>0.23499999999999999</v>
      </c>
      <c r="IJ112">
        <v>9.0611555463149751E-2</v>
      </c>
      <c r="IK112">
        <v>-1.615681629159814E-3</v>
      </c>
      <c r="IL112">
        <v>1.5005605225991581E-6</v>
      </c>
      <c r="IM112">
        <v>-5.1143626075267638E-10</v>
      </c>
      <c r="IN112">
        <v>-0.16196246346280921</v>
      </c>
      <c r="IO112">
        <v>-1.7182111142928099E-3</v>
      </c>
      <c r="IP112">
        <v>9.9985895407488957E-4</v>
      </c>
      <c r="IQ112">
        <v>-5.7750407166627208E-6</v>
      </c>
      <c r="IR112">
        <v>3</v>
      </c>
      <c r="IS112">
        <v>2181</v>
      </c>
      <c r="IT112">
        <v>2</v>
      </c>
      <c r="IU112">
        <v>42</v>
      </c>
      <c r="IV112">
        <v>3.8</v>
      </c>
      <c r="IW112">
        <v>3.7</v>
      </c>
      <c r="IX112">
        <v>1.8456999999999999</v>
      </c>
      <c r="IY112">
        <v>2.5305200000000001</v>
      </c>
      <c r="IZ112">
        <v>1.5991200000000001</v>
      </c>
      <c r="JA112">
        <v>2.2680699999999998</v>
      </c>
      <c r="JB112">
        <v>1.5502899999999999</v>
      </c>
      <c r="JC112">
        <v>2.4304199999999998</v>
      </c>
      <c r="JD112">
        <v>45.233499999999999</v>
      </c>
      <c r="JE112">
        <v>15.5943</v>
      </c>
      <c r="JF112">
        <v>18</v>
      </c>
      <c r="JG112">
        <v>500.10199999999998</v>
      </c>
      <c r="JH112">
        <v>453.09300000000002</v>
      </c>
      <c r="JI112">
        <v>23.804300000000001</v>
      </c>
      <c r="JJ112">
        <v>34.371600000000001</v>
      </c>
      <c r="JK112">
        <v>29.999600000000001</v>
      </c>
      <c r="JL112">
        <v>34.4163</v>
      </c>
      <c r="JM112">
        <v>34.392899999999997</v>
      </c>
      <c r="JN112">
        <v>36.953400000000002</v>
      </c>
      <c r="JO112">
        <v>19.852599999999999</v>
      </c>
      <c r="JP112">
        <v>11.7903</v>
      </c>
      <c r="JQ112">
        <v>23.8062</v>
      </c>
      <c r="JR112">
        <v>900</v>
      </c>
      <c r="JS112">
        <v>22.332599999999999</v>
      </c>
      <c r="JT112">
        <v>98.872699999999995</v>
      </c>
      <c r="JU112">
        <v>98.538600000000002</v>
      </c>
    </row>
    <row r="113" spans="1:281" x14ac:dyDescent="0.25">
      <c r="A113">
        <v>97</v>
      </c>
      <c r="B113">
        <v>1691187989.5</v>
      </c>
      <c r="C113">
        <v>28258.900000095371</v>
      </c>
      <c r="D113" t="s">
        <v>910</v>
      </c>
      <c r="E113" t="s">
        <v>911</v>
      </c>
      <c r="F113" t="s">
        <v>411</v>
      </c>
      <c r="G113" t="s">
        <v>639</v>
      </c>
      <c r="H113" t="s">
        <v>422</v>
      </c>
      <c r="I113" t="s">
        <v>413</v>
      </c>
      <c r="J113">
        <v>1691187989.5</v>
      </c>
      <c r="K113">
        <f t="shared" si="138"/>
        <v>1.5204945792930474E-3</v>
      </c>
      <c r="L113">
        <f t="shared" si="139"/>
        <v>1.5204945792930473</v>
      </c>
      <c r="M113">
        <f t="shared" si="140"/>
        <v>38.907727331510259</v>
      </c>
      <c r="N113">
        <f t="shared" si="141"/>
        <v>1151.42</v>
      </c>
      <c r="O113">
        <f t="shared" si="142"/>
        <v>386.20459046112319</v>
      </c>
      <c r="P113">
        <f t="shared" si="143"/>
        <v>38.266170480247823</v>
      </c>
      <c r="Q113">
        <f t="shared" si="144"/>
        <v>114.08573357908401</v>
      </c>
      <c r="R113">
        <f t="shared" si="145"/>
        <v>8.495563840737333E-2</v>
      </c>
      <c r="S113">
        <f t="shared" si="146"/>
        <v>2.9195034275889533</v>
      </c>
      <c r="T113">
        <f t="shared" si="147"/>
        <v>8.3605767940360315E-2</v>
      </c>
      <c r="U113">
        <f t="shared" si="148"/>
        <v>5.2373098815472904E-2</v>
      </c>
      <c r="V113">
        <f t="shared" si="149"/>
        <v>289.57329074429833</v>
      </c>
      <c r="W113">
        <f t="shared" si="150"/>
        <v>31.051942017602432</v>
      </c>
      <c r="X113">
        <f t="shared" si="151"/>
        <v>29.9816</v>
      </c>
      <c r="Y113">
        <f t="shared" si="152"/>
        <v>4.2559490575092447</v>
      </c>
      <c r="Z113">
        <f t="shared" si="153"/>
        <v>59.940617822007923</v>
      </c>
      <c r="AA113">
        <f t="shared" si="154"/>
        <v>2.5155596107177001</v>
      </c>
      <c r="AB113">
        <f t="shared" si="155"/>
        <v>4.1967528899811937</v>
      </c>
      <c r="AC113">
        <f t="shared" si="156"/>
        <v>1.7403894467915446</v>
      </c>
      <c r="AD113">
        <f t="shared" si="157"/>
        <v>-67.05381094682339</v>
      </c>
      <c r="AE113">
        <f t="shared" si="158"/>
        <v>-38.341731076799704</v>
      </c>
      <c r="AF113">
        <f t="shared" si="159"/>
        <v>-2.9160764060215438</v>
      </c>
      <c r="AG113">
        <f t="shared" si="160"/>
        <v>181.26167231465371</v>
      </c>
      <c r="AH113">
        <v>1</v>
      </c>
      <c r="AI113">
        <v>0</v>
      </c>
      <c r="AJ113">
        <f t="shared" si="161"/>
        <v>1</v>
      </c>
      <c r="AK113">
        <f t="shared" si="162"/>
        <v>0</v>
      </c>
      <c r="AL113">
        <f t="shared" si="163"/>
        <v>52089.757152956197</v>
      </c>
      <c r="AM113" t="s">
        <v>414</v>
      </c>
      <c r="AN113">
        <v>7361.72</v>
      </c>
      <c r="AO113">
        <v>541.39076923076925</v>
      </c>
      <c r="AP113">
        <v>2141.9899999999998</v>
      </c>
      <c r="AQ113">
        <f t="shared" si="164"/>
        <v>0.74724869433061347</v>
      </c>
      <c r="AR113">
        <v>-0.96077199609010144</v>
      </c>
      <c r="AS113" t="s">
        <v>912</v>
      </c>
      <c r="AT113">
        <v>7352.42</v>
      </c>
      <c r="AU113">
        <v>738.1592307692307</v>
      </c>
      <c r="AV113">
        <v>1016.537801457416</v>
      </c>
      <c r="AW113">
        <f t="shared" si="165"/>
        <v>0.27384969874122966</v>
      </c>
      <c r="AX113">
        <v>0.5</v>
      </c>
      <c r="AY113">
        <f t="shared" si="166"/>
        <v>1513.1958066032635</v>
      </c>
      <c r="AZ113">
        <f t="shared" si="167"/>
        <v>38.907727331510259</v>
      </c>
      <c r="BA113">
        <f t="shared" si="168"/>
        <v>207.19410788739785</v>
      </c>
      <c r="BB113">
        <f t="shared" si="169"/>
        <v>2.6347217692266091E-2</v>
      </c>
      <c r="BC113">
        <f t="shared" si="170"/>
        <v>1.1071424957625939</v>
      </c>
      <c r="BD113">
        <f t="shared" si="171"/>
        <v>423.01715485147878</v>
      </c>
      <c r="BE113" t="s">
        <v>913</v>
      </c>
      <c r="BF113">
        <v>570.91999999999996</v>
      </c>
      <c r="BG113">
        <f t="shared" si="172"/>
        <v>570.91999999999996</v>
      </c>
      <c r="BH113">
        <f t="shared" si="173"/>
        <v>0.43836815592940204</v>
      </c>
      <c r="BI113">
        <f t="shared" si="174"/>
        <v>0.62470253606955062</v>
      </c>
      <c r="BJ113">
        <f t="shared" si="175"/>
        <v>0.71636031401693367</v>
      </c>
      <c r="BK113">
        <f t="shared" si="176"/>
        <v>0.58587879499876105</v>
      </c>
      <c r="BL113">
        <f t="shared" si="177"/>
        <v>0.70314428303311372</v>
      </c>
      <c r="BM113">
        <f t="shared" si="178"/>
        <v>0.48316834231167155</v>
      </c>
      <c r="BN113">
        <f t="shared" si="179"/>
        <v>0.51683165768832851</v>
      </c>
      <c r="BO113">
        <v>1623</v>
      </c>
      <c r="BP113">
        <v>290.00000000000011</v>
      </c>
      <c r="BQ113">
        <v>927.3</v>
      </c>
      <c r="BR113">
        <v>295</v>
      </c>
      <c r="BS113">
        <v>7352.42</v>
      </c>
      <c r="BT113">
        <v>927.71</v>
      </c>
      <c r="BU113">
        <v>-0.41</v>
      </c>
      <c r="BV113">
        <v>300.00000000000011</v>
      </c>
      <c r="BW113">
        <v>37.9</v>
      </c>
      <c r="BX113">
        <v>1016.537801457416</v>
      </c>
      <c r="BY113">
        <v>1.425299485936345</v>
      </c>
      <c r="BZ113">
        <v>-65.308105926929429</v>
      </c>
      <c r="CA113">
        <v>0.87855172682406768</v>
      </c>
      <c r="CB113">
        <v>0.99495845700124175</v>
      </c>
      <c r="CC113">
        <v>-7.2433145717463888E-3</v>
      </c>
      <c r="CD113">
        <v>289.99999999999989</v>
      </c>
      <c r="CE113">
        <v>924.28</v>
      </c>
      <c r="CF113">
        <v>725</v>
      </c>
      <c r="CG113">
        <v>7345.88</v>
      </c>
      <c r="CH113">
        <v>927.63</v>
      </c>
      <c r="CI113">
        <v>-3.35</v>
      </c>
      <c r="CW113">
        <f t="shared" si="180"/>
        <v>1800.01</v>
      </c>
      <c r="CX113">
        <f t="shared" si="181"/>
        <v>1513.1958066032635</v>
      </c>
      <c r="CY113">
        <f t="shared" si="182"/>
        <v>0.84065966667033154</v>
      </c>
      <c r="CZ113">
        <f t="shared" si="183"/>
        <v>0.16087315667373978</v>
      </c>
      <c r="DA113">
        <v>6</v>
      </c>
      <c r="DB113">
        <v>0.5</v>
      </c>
      <c r="DC113" t="s">
        <v>415</v>
      </c>
      <c r="DD113">
        <v>2</v>
      </c>
      <c r="DE113">
        <v>1691187989.5</v>
      </c>
      <c r="DF113">
        <v>1151.42</v>
      </c>
      <c r="DG113">
        <v>1200.2</v>
      </c>
      <c r="DH113">
        <v>25.388500000000001</v>
      </c>
      <c r="DI113">
        <v>23.610600000000002</v>
      </c>
      <c r="DJ113">
        <v>1152.22</v>
      </c>
      <c r="DK113">
        <v>25.058</v>
      </c>
      <c r="DL113">
        <v>500.10399999999998</v>
      </c>
      <c r="DM113">
        <v>98.983000000000004</v>
      </c>
      <c r="DN113">
        <v>9.9640199999999998E-2</v>
      </c>
      <c r="DO113">
        <v>29.738</v>
      </c>
      <c r="DP113">
        <v>29.9816</v>
      </c>
      <c r="DQ113">
        <v>999.9</v>
      </c>
      <c r="DR113">
        <v>0</v>
      </c>
      <c r="DS113">
        <v>0</v>
      </c>
      <c r="DT113">
        <v>10045</v>
      </c>
      <c r="DU113">
        <v>0</v>
      </c>
      <c r="DV113">
        <v>1037.74</v>
      </c>
      <c r="DW113">
        <v>-48.785299999999999</v>
      </c>
      <c r="DX113">
        <v>1181.4100000000001</v>
      </c>
      <c r="DY113">
        <v>1229.22</v>
      </c>
      <c r="DZ113">
        <v>1.7778099999999999</v>
      </c>
      <c r="EA113">
        <v>1200.2</v>
      </c>
      <c r="EB113">
        <v>23.610600000000002</v>
      </c>
      <c r="EC113">
        <v>2.5130300000000001</v>
      </c>
      <c r="ED113">
        <v>2.3370500000000001</v>
      </c>
      <c r="EE113">
        <v>21.1111</v>
      </c>
      <c r="EF113">
        <v>19.934100000000001</v>
      </c>
      <c r="EG113">
        <v>1800.01</v>
      </c>
      <c r="EH113">
        <v>0.97800699999999996</v>
      </c>
      <c r="EI113">
        <v>2.1992500000000002E-2</v>
      </c>
      <c r="EJ113">
        <v>0</v>
      </c>
      <c r="EK113">
        <v>736.8</v>
      </c>
      <c r="EL113">
        <v>9.9989999999999996E-2</v>
      </c>
      <c r="EM113">
        <v>14759.3</v>
      </c>
      <c r="EN113">
        <v>16705.400000000001</v>
      </c>
      <c r="EO113">
        <v>46.875</v>
      </c>
      <c r="EP113">
        <v>48.311999999999998</v>
      </c>
      <c r="EQ113">
        <v>47.875</v>
      </c>
      <c r="ER113">
        <v>46.875</v>
      </c>
      <c r="ES113">
        <v>47.936999999999998</v>
      </c>
      <c r="ET113">
        <v>1760.32</v>
      </c>
      <c r="EU113">
        <v>39.58</v>
      </c>
      <c r="EV113">
        <v>0</v>
      </c>
      <c r="EW113">
        <v>208.20000004768369</v>
      </c>
      <c r="EX113">
        <v>0</v>
      </c>
      <c r="EY113">
        <v>738.1592307692307</v>
      </c>
      <c r="EZ113">
        <v>-7.7490599187042992</v>
      </c>
      <c r="FA113">
        <v>-143.09401728894539</v>
      </c>
      <c r="FB113">
        <v>14767.59615384616</v>
      </c>
      <c r="FC113">
        <v>15</v>
      </c>
      <c r="FD113">
        <v>1691187885.0999999</v>
      </c>
      <c r="FE113" t="s">
        <v>914</v>
      </c>
      <c r="FF113">
        <v>1691187885.0999999</v>
      </c>
      <c r="FG113">
        <v>1691187878.5999999</v>
      </c>
      <c r="FH113">
        <v>126</v>
      </c>
      <c r="FI113">
        <v>-4.8000000000000001E-2</v>
      </c>
      <c r="FJ113">
        <v>-3.0000000000000001E-3</v>
      </c>
      <c r="FK113">
        <v>-0.81599999999999995</v>
      </c>
      <c r="FL113">
        <v>0.25</v>
      </c>
      <c r="FM113">
        <v>1200</v>
      </c>
      <c r="FN113">
        <v>23</v>
      </c>
      <c r="FO113">
        <v>0.19</v>
      </c>
      <c r="FP113">
        <v>0.08</v>
      </c>
      <c r="FQ113">
        <v>38.707510240926723</v>
      </c>
      <c r="FR113">
        <v>-0.59847115995516265</v>
      </c>
      <c r="FS113">
        <v>0.10915276149225039</v>
      </c>
      <c r="FT113">
        <v>1</v>
      </c>
      <c r="FU113">
        <v>8.3405785080713959E-2</v>
      </c>
      <c r="FV113">
        <v>-3.614647305429766E-3</v>
      </c>
      <c r="FW113">
        <v>1.303929807649228E-3</v>
      </c>
      <c r="FX113">
        <v>1</v>
      </c>
      <c r="FY113">
        <v>2</v>
      </c>
      <c r="FZ113">
        <v>2</v>
      </c>
      <c r="GA113" t="s">
        <v>416</v>
      </c>
      <c r="GB113">
        <v>2.9678399999999998</v>
      </c>
      <c r="GC113">
        <v>2.8117200000000002</v>
      </c>
      <c r="GD113">
        <v>0.20057700000000001</v>
      </c>
      <c r="GE113">
        <v>0.20369000000000001</v>
      </c>
      <c r="GF113">
        <v>0.122838</v>
      </c>
      <c r="GG113">
        <v>0.116244</v>
      </c>
      <c r="GH113">
        <v>23550.2</v>
      </c>
      <c r="GI113">
        <v>21600.6</v>
      </c>
      <c r="GJ113">
        <v>26494.1</v>
      </c>
      <c r="GK113">
        <v>25611.9</v>
      </c>
      <c r="GL113">
        <v>31626.1</v>
      </c>
      <c r="GM113">
        <v>31959.1</v>
      </c>
      <c r="GN113">
        <v>37486.9</v>
      </c>
      <c r="GO113">
        <v>37967.9</v>
      </c>
      <c r="GP113">
        <v>1.9263999999999999</v>
      </c>
      <c r="GQ113">
        <v>1.9059999999999999</v>
      </c>
      <c r="GR113">
        <v>3.0994400000000002E-3</v>
      </c>
      <c r="GS113">
        <v>0</v>
      </c>
      <c r="GT113">
        <v>29.9312</v>
      </c>
      <c r="GU113">
        <v>999.9</v>
      </c>
      <c r="GV113">
        <v>32.1</v>
      </c>
      <c r="GW113">
        <v>42.1</v>
      </c>
      <c r="GX113">
        <v>26.8749</v>
      </c>
      <c r="GY113">
        <v>61.459000000000003</v>
      </c>
      <c r="GZ113">
        <v>13.225199999999999</v>
      </c>
      <c r="HA113">
        <v>1</v>
      </c>
      <c r="HB113">
        <v>0.56308899999999995</v>
      </c>
      <c r="HC113">
        <v>3.91466</v>
      </c>
      <c r="HD113">
        <v>20.259699999999999</v>
      </c>
      <c r="HE113">
        <v>5.2100999999999997</v>
      </c>
      <c r="HF113">
        <v>11.9381</v>
      </c>
      <c r="HG113">
        <v>4.9863999999999997</v>
      </c>
      <c r="HH113">
        <v>3.2909999999999999</v>
      </c>
      <c r="HI113">
        <v>9999</v>
      </c>
      <c r="HJ113">
        <v>9999</v>
      </c>
      <c r="HK113">
        <v>9999</v>
      </c>
      <c r="HL113">
        <v>999.9</v>
      </c>
      <c r="HM113">
        <v>1.8704799999999999</v>
      </c>
      <c r="HN113">
        <v>1.8766700000000001</v>
      </c>
      <c r="HO113">
        <v>1.87439</v>
      </c>
      <c r="HP113">
        <v>1.8726499999999999</v>
      </c>
      <c r="HQ113">
        <v>1.87314</v>
      </c>
      <c r="HR113">
        <v>1.8705700000000001</v>
      </c>
      <c r="HS113">
        <v>1.8763700000000001</v>
      </c>
      <c r="HT113">
        <v>1.87554</v>
      </c>
      <c r="HU113">
        <v>5</v>
      </c>
      <c r="HV113">
        <v>0</v>
      </c>
      <c r="HW113">
        <v>0</v>
      </c>
      <c r="HX113">
        <v>0</v>
      </c>
      <c r="HY113" t="s">
        <v>417</v>
      </c>
      <c r="HZ113" t="s">
        <v>418</v>
      </c>
      <c r="IA113" t="s">
        <v>419</v>
      </c>
      <c r="IB113" t="s">
        <v>420</v>
      </c>
      <c r="IC113" t="s">
        <v>420</v>
      </c>
      <c r="ID113" t="s">
        <v>419</v>
      </c>
      <c r="IE113">
        <v>0</v>
      </c>
      <c r="IF113">
        <v>100</v>
      </c>
      <c r="IG113">
        <v>100</v>
      </c>
      <c r="IH113">
        <v>-0.8</v>
      </c>
      <c r="II113">
        <v>0.33050000000000002</v>
      </c>
      <c r="IJ113">
        <v>-0.15456012627597651</v>
      </c>
      <c r="IK113">
        <v>-1.615681629159814E-3</v>
      </c>
      <c r="IL113">
        <v>1.5005605225991581E-6</v>
      </c>
      <c r="IM113">
        <v>-5.1143626075267638E-10</v>
      </c>
      <c r="IN113">
        <v>-0.1634582285941335</v>
      </c>
      <c r="IO113">
        <v>-1.7182111142928099E-3</v>
      </c>
      <c r="IP113">
        <v>9.9985895407488957E-4</v>
      </c>
      <c r="IQ113">
        <v>-5.7750407166627208E-6</v>
      </c>
      <c r="IR113">
        <v>3</v>
      </c>
      <c r="IS113">
        <v>2181</v>
      </c>
      <c r="IT113">
        <v>2</v>
      </c>
      <c r="IU113">
        <v>42</v>
      </c>
      <c r="IV113">
        <v>1.7</v>
      </c>
      <c r="IW113">
        <v>1.8</v>
      </c>
      <c r="IX113">
        <v>2.34497</v>
      </c>
      <c r="IY113">
        <v>2.5305200000000001</v>
      </c>
      <c r="IZ113">
        <v>1.5991200000000001</v>
      </c>
      <c r="JA113">
        <v>2.2668499999999998</v>
      </c>
      <c r="JB113">
        <v>1.5502899999999999</v>
      </c>
      <c r="JC113">
        <v>2.3071299999999999</v>
      </c>
      <c r="JD113">
        <v>44.781500000000001</v>
      </c>
      <c r="JE113">
        <v>15.541700000000001</v>
      </c>
      <c r="JF113">
        <v>18</v>
      </c>
      <c r="JG113">
        <v>500.39</v>
      </c>
      <c r="JH113">
        <v>456.03199999999998</v>
      </c>
      <c r="JI113">
        <v>24.241099999999999</v>
      </c>
      <c r="JJ113">
        <v>34.2256</v>
      </c>
      <c r="JK113">
        <v>29.999500000000001</v>
      </c>
      <c r="JL113">
        <v>34.292099999999998</v>
      </c>
      <c r="JM113">
        <v>34.2712</v>
      </c>
      <c r="JN113">
        <v>46.931399999999996</v>
      </c>
      <c r="JO113">
        <v>24.52</v>
      </c>
      <c r="JP113">
        <v>20.898900000000001</v>
      </c>
      <c r="JQ113">
        <v>24.245100000000001</v>
      </c>
      <c r="JR113">
        <v>1200</v>
      </c>
      <c r="JS113">
        <v>23.548100000000002</v>
      </c>
      <c r="JT113">
        <v>98.888599999999997</v>
      </c>
      <c r="JU113">
        <v>98.550600000000003</v>
      </c>
    </row>
    <row r="114" spans="1:281" x14ac:dyDescent="0.25">
      <c r="A114">
        <v>98</v>
      </c>
      <c r="B114">
        <v>1691188128.5</v>
      </c>
      <c r="C114">
        <v>28397.900000095371</v>
      </c>
      <c r="D114" t="s">
        <v>915</v>
      </c>
      <c r="E114" t="s">
        <v>916</v>
      </c>
      <c r="F114" t="s">
        <v>411</v>
      </c>
      <c r="G114" t="s">
        <v>639</v>
      </c>
      <c r="H114" t="s">
        <v>422</v>
      </c>
      <c r="I114" t="s">
        <v>413</v>
      </c>
      <c r="J114">
        <v>1691188128.5</v>
      </c>
      <c r="K114">
        <f t="shared" si="138"/>
        <v>1.2504615575620764E-3</v>
      </c>
      <c r="L114">
        <f t="shared" si="139"/>
        <v>1.2504615575620763</v>
      </c>
      <c r="M114">
        <f t="shared" si="140"/>
        <v>41.738164173881415</v>
      </c>
      <c r="N114">
        <f t="shared" si="141"/>
        <v>1447.98</v>
      </c>
      <c r="O114">
        <f t="shared" si="142"/>
        <v>446.00563036380288</v>
      </c>
      <c r="P114">
        <f t="shared" si="143"/>
        <v>44.192063714295173</v>
      </c>
      <c r="Q114">
        <f t="shared" si="144"/>
        <v>143.47178614052399</v>
      </c>
      <c r="R114">
        <f t="shared" si="145"/>
        <v>6.9313803890777612E-2</v>
      </c>
      <c r="S114">
        <f t="shared" si="146"/>
        <v>2.9195264242847463</v>
      </c>
      <c r="T114">
        <f t="shared" si="147"/>
        <v>6.8412407155947208E-2</v>
      </c>
      <c r="U114">
        <f t="shared" si="148"/>
        <v>4.2837764702642417E-2</v>
      </c>
      <c r="V114">
        <f t="shared" si="149"/>
        <v>289.58981701273399</v>
      </c>
      <c r="W114">
        <f t="shared" si="150"/>
        <v>31.139730149099286</v>
      </c>
      <c r="X114">
        <f t="shared" si="151"/>
        <v>30.021999999999998</v>
      </c>
      <c r="Y114">
        <f t="shared" si="152"/>
        <v>4.265836506212124</v>
      </c>
      <c r="Z114">
        <f t="shared" si="153"/>
        <v>59.908631017357635</v>
      </c>
      <c r="AA114">
        <f t="shared" si="154"/>
        <v>2.5167359825200002</v>
      </c>
      <c r="AB114">
        <f t="shared" si="155"/>
        <v>4.2009572573788461</v>
      </c>
      <c r="AC114">
        <f t="shared" si="156"/>
        <v>1.7491005236921238</v>
      </c>
      <c r="AD114">
        <f t="shared" si="157"/>
        <v>-55.145354688487572</v>
      </c>
      <c r="AE114">
        <f t="shared" si="158"/>
        <v>-41.962175789037573</v>
      </c>
      <c r="AF114">
        <f t="shared" si="159"/>
        <v>-3.192317612860331</v>
      </c>
      <c r="AG114">
        <f t="shared" si="160"/>
        <v>189.28996892234852</v>
      </c>
      <c r="AH114">
        <v>1</v>
      </c>
      <c r="AI114">
        <v>0</v>
      </c>
      <c r="AJ114">
        <f t="shared" si="161"/>
        <v>1</v>
      </c>
      <c r="AK114">
        <f t="shared" si="162"/>
        <v>0</v>
      </c>
      <c r="AL114">
        <f t="shared" si="163"/>
        <v>52087.44752833683</v>
      </c>
      <c r="AM114" t="s">
        <v>414</v>
      </c>
      <c r="AN114">
        <v>7361.72</v>
      </c>
      <c r="AO114">
        <v>541.39076923076925</v>
      </c>
      <c r="AP114">
        <v>2141.9899999999998</v>
      </c>
      <c r="AQ114">
        <f t="shared" si="164"/>
        <v>0.74724869433061347</v>
      </c>
      <c r="AR114">
        <v>-0.96077199609010144</v>
      </c>
      <c r="AS114" t="s">
        <v>917</v>
      </c>
      <c r="AT114">
        <v>7353.17</v>
      </c>
      <c r="AU114">
        <v>740.52820000000008</v>
      </c>
      <c r="AV114">
        <v>1043.041179414314</v>
      </c>
      <c r="AW114">
        <f t="shared" si="165"/>
        <v>0.29002975662397168</v>
      </c>
      <c r="AX114">
        <v>0.5</v>
      </c>
      <c r="AY114">
        <f t="shared" si="166"/>
        <v>1513.2801000065976</v>
      </c>
      <c r="AZ114">
        <f t="shared" si="167"/>
        <v>41.738164173881415</v>
      </c>
      <c r="BA114">
        <f t="shared" si="168"/>
        <v>219.44812955440651</v>
      </c>
      <c r="BB114">
        <f t="shared" si="169"/>
        <v>2.8216148596538974E-2</v>
      </c>
      <c r="BC114">
        <f t="shared" si="170"/>
        <v>1.0536006077945694</v>
      </c>
      <c r="BD114">
        <f t="shared" si="171"/>
        <v>427.53788755164101</v>
      </c>
      <c r="BE114" t="s">
        <v>918</v>
      </c>
      <c r="BF114">
        <v>575.25</v>
      </c>
      <c r="BG114">
        <f t="shared" si="172"/>
        <v>575.25</v>
      </c>
      <c r="BH114">
        <f t="shared" si="173"/>
        <v>0.44848773820894294</v>
      </c>
      <c r="BI114">
        <f t="shared" si="174"/>
        <v>0.64668380407058457</v>
      </c>
      <c r="BJ114">
        <f t="shared" si="175"/>
        <v>0.70142386138458579</v>
      </c>
      <c r="BK114">
        <f t="shared" si="176"/>
        <v>0.60303544714262258</v>
      </c>
      <c r="BL114">
        <f t="shared" si="177"/>
        <v>0.68658587325294607</v>
      </c>
      <c r="BM114">
        <f t="shared" si="178"/>
        <v>0.50235069817949374</v>
      </c>
      <c r="BN114">
        <f t="shared" si="179"/>
        <v>0.49764930182050626</v>
      </c>
      <c r="BO114">
        <v>1625</v>
      </c>
      <c r="BP114">
        <v>290.00000000000011</v>
      </c>
      <c r="BQ114">
        <v>944.34</v>
      </c>
      <c r="BR114">
        <v>285</v>
      </c>
      <c r="BS114">
        <v>7353.17</v>
      </c>
      <c r="BT114">
        <v>945.53</v>
      </c>
      <c r="BU114">
        <v>-1.19</v>
      </c>
      <c r="BV114">
        <v>300.00000000000011</v>
      </c>
      <c r="BW114">
        <v>37.9</v>
      </c>
      <c r="BX114">
        <v>1043.041179414314</v>
      </c>
      <c r="BY114">
        <v>1.2107777636700789</v>
      </c>
      <c r="BZ114">
        <v>-71.698420018762249</v>
      </c>
      <c r="CA114">
        <v>0.746396419345149</v>
      </c>
      <c r="CB114">
        <v>0.99697474413359211</v>
      </c>
      <c r="CC114">
        <v>-7.2441121245828671E-3</v>
      </c>
      <c r="CD114">
        <v>289.99999999999989</v>
      </c>
      <c r="CE114">
        <v>942.05</v>
      </c>
      <c r="CF114">
        <v>695</v>
      </c>
      <c r="CG114">
        <v>7347.54</v>
      </c>
      <c r="CH114">
        <v>945.46</v>
      </c>
      <c r="CI114">
        <v>-3.41</v>
      </c>
      <c r="CW114">
        <f t="shared" si="180"/>
        <v>1800.11</v>
      </c>
      <c r="CX114">
        <f t="shared" si="181"/>
        <v>1513.2801000065976</v>
      </c>
      <c r="CY114">
        <f t="shared" si="182"/>
        <v>0.84065979301631444</v>
      </c>
      <c r="CZ114">
        <f t="shared" si="183"/>
        <v>0.16087340052148702</v>
      </c>
      <c r="DA114">
        <v>6</v>
      </c>
      <c r="DB114">
        <v>0.5</v>
      </c>
      <c r="DC114" t="s">
        <v>415</v>
      </c>
      <c r="DD114">
        <v>2</v>
      </c>
      <c r="DE114">
        <v>1691188128.5</v>
      </c>
      <c r="DF114">
        <v>1447.98</v>
      </c>
      <c r="DG114">
        <v>1500.23</v>
      </c>
      <c r="DH114">
        <v>25.4</v>
      </c>
      <c r="DI114">
        <v>23.937799999999999</v>
      </c>
      <c r="DJ114">
        <v>1448.71</v>
      </c>
      <c r="DK114">
        <v>25.069299999999998</v>
      </c>
      <c r="DL114">
        <v>500.08199999999999</v>
      </c>
      <c r="DM114">
        <v>98.984300000000005</v>
      </c>
      <c r="DN114">
        <v>9.9793800000000002E-2</v>
      </c>
      <c r="DO114">
        <v>29.755400000000002</v>
      </c>
      <c r="DP114">
        <v>30.021999999999998</v>
      </c>
      <c r="DQ114">
        <v>999.9</v>
      </c>
      <c r="DR114">
        <v>0</v>
      </c>
      <c r="DS114">
        <v>0</v>
      </c>
      <c r="DT114">
        <v>10045</v>
      </c>
      <c r="DU114">
        <v>0</v>
      </c>
      <c r="DV114">
        <v>997.93</v>
      </c>
      <c r="DW114">
        <v>-52.250599999999999</v>
      </c>
      <c r="DX114">
        <v>1485.71</v>
      </c>
      <c r="DY114">
        <v>1537.02</v>
      </c>
      <c r="DZ114">
        <v>1.4622599999999999</v>
      </c>
      <c r="EA114">
        <v>1500.23</v>
      </c>
      <c r="EB114">
        <v>23.937799999999999</v>
      </c>
      <c r="EC114">
        <v>2.5142000000000002</v>
      </c>
      <c r="ED114">
        <v>2.3694600000000001</v>
      </c>
      <c r="EE114">
        <v>21.1187</v>
      </c>
      <c r="EF114">
        <v>20.156600000000001</v>
      </c>
      <c r="EG114">
        <v>1800.11</v>
      </c>
      <c r="EH114">
        <v>0.97800699999999996</v>
      </c>
      <c r="EI114">
        <v>2.1992500000000002E-2</v>
      </c>
      <c r="EJ114">
        <v>0</v>
      </c>
      <c r="EK114">
        <v>739.11</v>
      </c>
      <c r="EL114">
        <v>9.9989999999999996E-2</v>
      </c>
      <c r="EM114">
        <v>14650</v>
      </c>
      <c r="EN114">
        <v>16706.3</v>
      </c>
      <c r="EO114">
        <v>46.75</v>
      </c>
      <c r="EP114">
        <v>48.186999999999998</v>
      </c>
      <c r="EQ114">
        <v>47.686999999999998</v>
      </c>
      <c r="ER114">
        <v>46.811999999999998</v>
      </c>
      <c r="ES114">
        <v>47.875</v>
      </c>
      <c r="ET114">
        <v>1760.42</v>
      </c>
      <c r="EU114">
        <v>39.590000000000003</v>
      </c>
      <c r="EV114">
        <v>0</v>
      </c>
      <c r="EW114">
        <v>136.79999995231631</v>
      </c>
      <c r="EX114">
        <v>0</v>
      </c>
      <c r="EY114">
        <v>740.52820000000008</v>
      </c>
      <c r="EZ114">
        <v>-7.3319231274850551</v>
      </c>
      <c r="FA114">
        <v>-206.6692299527152</v>
      </c>
      <c r="FB114">
        <v>14722.36</v>
      </c>
      <c r="FC114">
        <v>15</v>
      </c>
      <c r="FD114">
        <v>1691188075.5</v>
      </c>
      <c r="FE114" t="s">
        <v>919</v>
      </c>
      <c r="FF114">
        <v>1691188075.5</v>
      </c>
      <c r="FG114">
        <v>1691188071.5</v>
      </c>
      <c r="FH114">
        <v>127</v>
      </c>
      <c r="FI114">
        <v>0.16500000000000001</v>
      </c>
      <c r="FJ114">
        <v>0</v>
      </c>
      <c r="FK114">
        <v>-0.76300000000000001</v>
      </c>
      <c r="FL114">
        <v>0.27200000000000002</v>
      </c>
      <c r="FM114">
        <v>1500</v>
      </c>
      <c r="FN114">
        <v>24</v>
      </c>
      <c r="FO114">
        <v>0.22</v>
      </c>
      <c r="FP114">
        <v>0.18</v>
      </c>
      <c r="FQ114">
        <v>41.493478845705567</v>
      </c>
      <c r="FR114">
        <v>2.2676127816962498E-2</v>
      </c>
      <c r="FS114">
        <v>0.15817963812112559</v>
      </c>
      <c r="FT114">
        <v>1</v>
      </c>
      <c r="FU114">
        <v>7.1019365442615626E-2</v>
      </c>
      <c r="FV114">
        <v>-2.401305811992123E-2</v>
      </c>
      <c r="FW114">
        <v>2.0634088890821279E-3</v>
      </c>
      <c r="FX114">
        <v>1</v>
      </c>
      <c r="FY114">
        <v>2</v>
      </c>
      <c r="FZ114">
        <v>2</v>
      </c>
      <c r="GA114" t="s">
        <v>416</v>
      </c>
      <c r="GB114">
        <v>2.9678499999999999</v>
      </c>
      <c r="GC114">
        <v>2.8118799999999999</v>
      </c>
      <c r="GD114">
        <v>0.23136399999999999</v>
      </c>
      <c r="GE114">
        <v>0.233957</v>
      </c>
      <c r="GF114">
        <v>0.12289799999999999</v>
      </c>
      <c r="GG114">
        <v>0.11738700000000001</v>
      </c>
      <c r="GH114">
        <v>22642.7</v>
      </c>
      <c r="GI114">
        <v>20778.5</v>
      </c>
      <c r="GJ114">
        <v>26496.7</v>
      </c>
      <c r="GK114">
        <v>25613.7</v>
      </c>
      <c r="GL114">
        <v>31628.5</v>
      </c>
      <c r="GM114">
        <v>31921.4</v>
      </c>
      <c r="GN114">
        <v>37490.1</v>
      </c>
      <c r="GO114">
        <v>37969.699999999997</v>
      </c>
      <c r="GP114">
        <v>1.9260999999999999</v>
      </c>
      <c r="GQ114">
        <v>1.9087000000000001</v>
      </c>
      <c r="GR114">
        <v>9.7155599999999998E-3</v>
      </c>
      <c r="GS114">
        <v>0</v>
      </c>
      <c r="GT114">
        <v>29.863900000000001</v>
      </c>
      <c r="GU114">
        <v>999.9</v>
      </c>
      <c r="GV114">
        <v>33.5</v>
      </c>
      <c r="GW114">
        <v>42</v>
      </c>
      <c r="GX114">
        <v>27.898599999999998</v>
      </c>
      <c r="GY114">
        <v>61.5989</v>
      </c>
      <c r="GZ114">
        <v>12.516</v>
      </c>
      <c r="HA114">
        <v>1</v>
      </c>
      <c r="HB114">
        <v>0.557195</v>
      </c>
      <c r="HC114">
        <v>3.9007399999999999</v>
      </c>
      <c r="HD114">
        <v>20.259499999999999</v>
      </c>
      <c r="HE114">
        <v>5.2059100000000003</v>
      </c>
      <c r="HF114">
        <v>11.9381</v>
      </c>
      <c r="HG114">
        <v>4.9875999999999996</v>
      </c>
      <c r="HH114">
        <v>3.2909999999999999</v>
      </c>
      <c r="HI114">
        <v>9999</v>
      </c>
      <c r="HJ114">
        <v>9999</v>
      </c>
      <c r="HK114">
        <v>9999</v>
      </c>
      <c r="HL114">
        <v>999.9</v>
      </c>
      <c r="HM114">
        <v>1.8704499999999999</v>
      </c>
      <c r="HN114">
        <v>1.8766499999999999</v>
      </c>
      <c r="HO114">
        <v>1.87439</v>
      </c>
      <c r="HP114">
        <v>1.8726400000000001</v>
      </c>
      <c r="HQ114">
        <v>1.8731100000000001</v>
      </c>
      <c r="HR114">
        <v>1.87046</v>
      </c>
      <c r="HS114">
        <v>1.8763700000000001</v>
      </c>
      <c r="HT114">
        <v>1.87547</v>
      </c>
      <c r="HU114">
        <v>5</v>
      </c>
      <c r="HV114">
        <v>0</v>
      </c>
      <c r="HW114">
        <v>0</v>
      </c>
      <c r="HX114">
        <v>0</v>
      </c>
      <c r="HY114" t="s">
        <v>417</v>
      </c>
      <c r="HZ114" t="s">
        <v>418</v>
      </c>
      <c r="IA114" t="s">
        <v>419</v>
      </c>
      <c r="IB114" t="s">
        <v>420</v>
      </c>
      <c r="IC114" t="s">
        <v>420</v>
      </c>
      <c r="ID114" t="s">
        <v>419</v>
      </c>
      <c r="IE114">
        <v>0</v>
      </c>
      <c r="IF114">
        <v>100</v>
      </c>
      <c r="IG114">
        <v>100</v>
      </c>
      <c r="IH114">
        <v>-0.73</v>
      </c>
      <c r="II114">
        <v>0.33069999999999999</v>
      </c>
      <c r="IJ114">
        <v>1.057788530768217E-2</v>
      </c>
      <c r="IK114">
        <v>-1.615681629159814E-3</v>
      </c>
      <c r="IL114">
        <v>1.5005605225991581E-6</v>
      </c>
      <c r="IM114">
        <v>-5.1143626075267638E-10</v>
      </c>
      <c r="IN114">
        <v>-0.1636292534204756</v>
      </c>
      <c r="IO114">
        <v>-1.7182111142928099E-3</v>
      </c>
      <c r="IP114">
        <v>9.9985895407488957E-4</v>
      </c>
      <c r="IQ114">
        <v>-5.7750407166627208E-6</v>
      </c>
      <c r="IR114">
        <v>3</v>
      </c>
      <c r="IS114">
        <v>2181</v>
      </c>
      <c r="IT114">
        <v>2</v>
      </c>
      <c r="IU114">
        <v>42</v>
      </c>
      <c r="IV114">
        <v>0.9</v>
      </c>
      <c r="IW114">
        <v>0.9</v>
      </c>
      <c r="IX114">
        <v>2.82104</v>
      </c>
      <c r="IY114">
        <v>2.5146500000000001</v>
      </c>
      <c r="IZ114">
        <v>1.5991200000000001</v>
      </c>
      <c r="JA114">
        <v>2.2668499999999998</v>
      </c>
      <c r="JB114">
        <v>1.5502899999999999</v>
      </c>
      <c r="JC114">
        <v>2.3925800000000002</v>
      </c>
      <c r="JD114">
        <v>44.557299999999998</v>
      </c>
      <c r="JE114">
        <v>15.5067</v>
      </c>
      <c r="JF114">
        <v>18</v>
      </c>
      <c r="JG114">
        <v>499.67700000000002</v>
      </c>
      <c r="JH114">
        <v>457.23700000000002</v>
      </c>
      <c r="JI114">
        <v>24.371700000000001</v>
      </c>
      <c r="JJ114">
        <v>34.156999999999996</v>
      </c>
      <c r="JK114">
        <v>29.9998</v>
      </c>
      <c r="JL114">
        <v>34.2241</v>
      </c>
      <c r="JM114">
        <v>34.203499999999998</v>
      </c>
      <c r="JN114">
        <v>56.4771</v>
      </c>
      <c r="JO114">
        <v>27.725100000000001</v>
      </c>
      <c r="JP114">
        <v>24.358599999999999</v>
      </c>
      <c r="JQ114">
        <v>24.3657</v>
      </c>
      <c r="JR114">
        <v>1500</v>
      </c>
      <c r="JS114">
        <v>23.866900000000001</v>
      </c>
      <c r="JT114">
        <v>98.8977</v>
      </c>
      <c r="JU114">
        <v>98.556299999999993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IGB</dc:creator>
  <cp:lastModifiedBy>IGB</cp:lastModifiedBy>
  <dcterms:created xsi:type="dcterms:W3CDTF">2023-08-04T22:29:49Z</dcterms:created>
  <dcterms:modified xsi:type="dcterms:W3CDTF">2023-08-05T02:13:08Z</dcterms:modified>
</cp:coreProperties>
</file>