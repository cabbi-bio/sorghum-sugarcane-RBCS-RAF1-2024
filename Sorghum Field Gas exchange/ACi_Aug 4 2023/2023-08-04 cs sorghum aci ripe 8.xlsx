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Aug 4 2023 sorghum aci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 iterateCount="1"/>
</workbook>
</file>

<file path=xl/calcChain.xml><?xml version="1.0" encoding="utf-8"?>
<calcChain xmlns="http://schemas.openxmlformats.org/spreadsheetml/2006/main">
  <c r="CZ128" i="1" l="1"/>
  <c r="CY128" i="1"/>
  <c r="CW128" i="1"/>
  <c r="CX128" i="1" s="1"/>
  <c r="BL128" i="1"/>
  <c r="BK128" i="1"/>
  <c r="BJ128" i="1"/>
  <c r="BI128" i="1"/>
  <c r="BM128" i="1" s="1"/>
  <c r="BN128" i="1" s="1"/>
  <c r="BG128" i="1"/>
  <c r="BH128" i="1" s="1"/>
  <c r="BC128" i="1"/>
  <c r="AY128" i="1"/>
  <c r="AW128" i="1"/>
  <c r="AQ128" i="1"/>
  <c r="BD128" i="1" s="1"/>
  <c r="AL128" i="1"/>
  <c r="AJ128" i="1" s="1"/>
  <c r="AB128" i="1"/>
  <c r="AA128" i="1"/>
  <c r="Z128" i="1" s="1"/>
  <c r="S128" i="1"/>
  <c r="CZ127" i="1"/>
  <c r="CY127" i="1"/>
  <c r="CW127" i="1"/>
  <c r="CX127" i="1" s="1"/>
  <c r="AY127" i="1" s="1"/>
  <c r="BL127" i="1"/>
  <c r="BK127" i="1"/>
  <c r="BG127" i="1"/>
  <c r="BC127" i="1"/>
  <c r="AW127" i="1"/>
  <c r="AQ127" i="1"/>
  <c r="BD127" i="1" s="1"/>
  <c r="AL127" i="1"/>
  <c r="AJ127" i="1" s="1"/>
  <c r="M127" i="1" s="1"/>
  <c r="AZ127" i="1" s="1"/>
  <c r="BB127" i="1" s="1"/>
  <c r="AB127" i="1"/>
  <c r="AA127" i="1"/>
  <c r="Z127" i="1" s="1"/>
  <c r="V127" i="1"/>
  <c r="S127" i="1"/>
  <c r="N127" i="1"/>
  <c r="CZ126" i="1"/>
  <c r="CY126" i="1"/>
  <c r="CW126" i="1"/>
  <c r="CX126" i="1" s="1"/>
  <c r="AY126" i="1" s="1"/>
  <c r="BA126" i="1" s="1"/>
  <c r="BN126" i="1"/>
  <c r="BM126" i="1"/>
  <c r="BL126" i="1"/>
  <c r="BK126" i="1"/>
  <c r="BI126" i="1"/>
  <c r="BG126" i="1"/>
  <c r="BJ126" i="1" s="1"/>
  <c r="BD126" i="1"/>
  <c r="BC126" i="1"/>
  <c r="AW126" i="1"/>
  <c r="AQ126" i="1"/>
  <c r="AL126" i="1"/>
  <c r="AJ126" i="1" s="1"/>
  <c r="AB126" i="1"/>
  <c r="AA126" i="1"/>
  <c r="S126" i="1"/>
  <c r="CZ125" i="1"/>
  <c r="CY125" i="1"/>
  <c r="CW125" i="1"/>
  <c r="BL125" i="1"/>
  <c r="BK125" i="1"/>
  <c r="BI125" i="1"/>
  <c r="BM125" i="1" s="1"/>
  <c r="BN125" i="1" s="1"/>
  <c r="BG125" i="1"/>
  <c r="BC125" i="1"/>
  <c r="AW125" i="1"/>
  <c r="AQ125" i="1"/>
  <c r="BD125" i="1" s="1"/>
  <c r="AL125" i="1"/>
  <c r="AJ125" i="1"/>
  <c r="AB125" i="1"/>
  <c r="AA125" i="1"/>
  <c r="Z125" i="1"/>
  <c r="S125" i="1"/>
  <c r="Q125" i="1"/>
  <c r="M125" i="1"/>
  <c r="AZ125" i="1" s="1"/>
  <c r="CZ124" i="1"/>
  <c r="CY124" i="1"/>
  <c r="CW124" i="1"/>
  <c r="BL124" i="1"/>
  <c r="BK124" i="1"/>
  <c r="BI124" i="1"/>
  <c r="BM124" i="1" s="1"/>
  <c r="BN124" i="1" s="1"/>
  <c r="BG124" i="1"/>
  <c r="BH124" i="1" s="1"/>
  <c r="BC124" i="1"/>
  <c r="AW124" i="1"/>
  <c r="AQ124" i="1"/>
  <c r="BD124" i="1" s="1"/>
  <c r="AL124" i="1"/>
  <c r="AJ124" i="1" s="1"/>
  <c r="AB124" i="1"/>
  <c r="AA124" i="1"/>
  <c r="Z124" i="1" s="1"/>
  <c r="S124" i="1"/>
  <c r="Q124" i="1"/>
  <c r="CZ123" i="1"/>
  <c r="CY123" i="1"/>
  <c r="CW123" i="1"/>
  <c r="BL123" i="1"/>
  <c r="BK123" i="1"/>
  <c r="BI123" i="1"/>
  <c r="BM123" i="1" s="1"/>
  <c r="BN123" i="1" s="1"/>
  <c r="BG123" i="1"/>
  <c r="BJ123" i="1" s="1"/>
  <c r="BC123" i="1"/>
  <c r="AW123" i="1"/>
  <c r="AQ123" i="1"/>
  <c r="BD123" i="1" s="1"/>
  <c r="AL123" i="1"/>
  <c r="AJ123" i="1" s="1"/>
  <c r="L123" i="1" s="1"/>
  <c r="K123" i="1" s="1"/>
  <c r="AD123" i="1"/>
  <c r="AB123" i="1"/>
  <c r="AA123" i="1"/>
  <c r="Z123" i="1" s="1"/>
  <c r="S123" i="1"/>
  <c r="N123" i="1"/>
  <c r="M123" i="1"/>
  <c r="AZ123" i="1" s="1"/>
  <c r="CZ122" i="1"/>
  <c r="CY122" i="1"/>
  <c r="CW122" i="1"/>
  <c r="BL122" i="1"/>
  <c r="BK122" i="1"/>
  <c r="BG122" i="1"/>
  <c r="BD122" i="1"/>
  <c r="BC122" i="1"/>
  <c r="AW122" i="1"/>
  <c r="AQ122" i="1"/>
  <c r="AL122" i="1"/>
  <c r="AJ122" i="1" s="1"/>
  <c r="N122" i="1" s="1"/>
  <c r="AK122" i="1"/>
  <c r="AB122" i="1"/>
  <c r="AA122" i="1"/>
  <c r="Z122" i="1" s="1"/>
  <c r="S122" i="1"/>
  <c r="Q122" i="1"/>
  <c r="M122" i="1"/>
  <c r="AZ122" i="1" s="1"/>
  <c r="L122" i="1"/>
  <c r="K122" i="1" s="1"/>
  <c r="CZ121" i="1"/>
  <c r="CY121" i="1"/>
  <c r="CW121" i="1"/>
  <c r="BL121" i="1"/>
  <c r="BK121" i="1"/>
  <c r="BI121" i="1"/>
  <c r="BM121" i="1" s="1"/>
  <c r="BN121" i="1" s="1"/>
  <c r="BG121" i="1"/>
  <c r="BC121" i="1"/>
  <c r="AW121" i="1"/>
  <c r="AQ121" i="1"/>
  <c r="BD121" i="1" s="1"/>
  <c r="AL121" i="1"/>
  <c r="AJ121" i="1"/>
  <c r="AB121" i="1"/>
  <c r="AA121" i="1"/>
  <c r="Z121" i="1" s="1"/>
  <c r="S121" i="1"/>
  <c r="Q121" i="1"/>
  <c r="M121" i="1"/>
  <c r="AZ121" i="1" s="1"/>
  <c r="CZ120" i="1"/>
  <c r="CY120" i="1"/>
  <c r="CW120" i="1"/>
  <c r="BL120" i="1"/>
  <c r="BK120" i="1"/>
  <c r="BJ120" i="1"/>
  <c r="BG120" i="1"/>
  <c r="BH120" i="1" s="1"/>
  <c r="BC120" i="1"/>
  <c r="AZ120" i="1"/>
  <c r="AW120" i="1"/>
  <c r="AQ120" i="1"/>
  <c r="BD120" i="1" s="1"/>
  <c r="AL120" i="1"/>
  <c r="AJ120" i="1" s="1"/>
  <c r="AK120" i="1"/>
  <c r="AB120" i="1"/>
  <c r="AA120" i="1"/>
  <c r="Z120" i="1" s="1"/>
  <c r="S120" i="1"/>
  <c r="Q120" i="1"/>
  <c r="M120" i="1"/>
  <c r="CZ119" i="1"/>
  <c r="CY119" i="1"/>
  <c r="CX119" i="1" s="1"/>
  <c r="AY119" i="1" s="1"/>
  <c r="CW119" i="1"/>
  <c r="BL119" i="1"/>
  <c r="BK119" i="1"/>
  <c r="BG119" i="1"/>
  <c r="BC119" i="1"/>
  <c r="AW119" i="1"/>
  <c r="AQ119" i="1"/>
  <c r="BD119" i="1" s="1"/>
  <c r="AL119" i="1"/>
  <c r="AJ119" i="1" s="1"/>
  <c r="L119" i="1" s="1"/>
  <c r="AK119" i="1"/>
  <c r="AB119" i="1"/>
  <c r="AA119" i="1"/>
  <c r="Z119" i="1" s="1"/>
  <c r="V119" i="1"/>
  <c r="W119" i="1" s="1"/>
  <c r="X119" i="1" s="1"/>
  <c r="S119" i="1"/>
  <c r="AE119" i="1" s="1"/>
  <c r="Q119" i="1"/>
  <c r="M119" i="1"/>
  <c r="AZ119" i="1" s="1"/>
  <c r="K119" i="1"/>
  <c r="AD119" i="1" s="1"/>
  <c r="CZ118" i="1"/>
  <c r="CY118" i="1"/>
  <c r="CW118" i="1"/>
  <c r="BL118" i="1"/>
  <c r="BK118" i="1"/>
  <c r="BG118" i="1"/>
  <c r="BC118" i="1"/>
  <c r="AW118" i="1"/>
  <c r="AQ118" i="1"/>
  <c r="BD118" i="1" s="1"/>
  <c r="AL118" i="1"/>
  <c r="AJ118" i="1" s="1"/>
  <c r="N118" i="1" s="1"/>
  <c r="AK118" i="1"/>
  <c r="AB118" i="1"/>
  <c r="AA118" i="1"/>
  <c r="S118" i="1"/>
  <c r="Q118" i="1"/>
  <c r="CZ117" i="1"/>
  <c r="CY117" i="1"/>
  <c r="CW117" i="1"/>
  <c r="BL117" i="1"/>
  <c r="BK117" i="1"/>
  <c r="BG117" i="1"/>
  <c r="BC117" i="1"/>
  <c r="AW117" i="1"/>
  <c r="AQ117" i="1"/>
  <c r="BD117" i="1" s="1"/>
  <c r="AL117" i="1"/>
  <c r="AJ117" i="1"/>
  <c r="AB117" i="1"/>
  <c r="AA117" i="1"/>
  <c r="Z117" i="1" s="1"/>
  <c r="S117" i="1"/>
  <c r="Q117" i="1"/>
  <c r="M117" i="1"/>
  <c r="AZ117" i="1" s="1"/>
  <c r="CZ116" i="1"/>
  <c r="CY116" i="1"/>
  <c r="CW116" i="1"/>
  <c r="BL116" i="1"/>
  <c r="BK116" i="1"/>
  <c r="BH116" i="1"/>
  <c r="BG116" i="1"/>
  <c r="BJ116" i="1" s="1"/>
  <c r="BC116" i="1"/>
  <c r="AW116" i="1"/>
  <c r="AQ116" i="1"/>
  <c r="BD116" i="1" s="1"/>
  <c r="AL116" i="1"/>
  <c r="AJ116" i="1" s="1"/>
  <c r="L116" i="1" s="1"/>
  <c r="K116" i="1" s="1"/>
  <c r="AD116" i="1"/>
  <c r="AB116" i="1"/>
  <c r="AA116" i="1"/>
  <c r="Z116" i="1" s="1"/>
  <c r="S116" i="1"/>
  <c r="N116" i="1"/>
  <c r="CZ115" i="1"/>
  <c r="CY115" i="1"/>
  <c r="CW115" i="1"/>
  <c r="CX115" i="1" s="1"/>
  <c r="AY115" i="1" s="1"/>
  <c r="BL115" i="1"/>
  <c r="BK115" i="1"/>
  <c r="BI115" i="1"/>
  <c r="BM115" i="1" s="1"/>
  <c r="BN115" i="1" s="1"/>
  <c r="BH115" i="1"/>
  <c r="BG115" i="1"/>
  <c r="BJ115" i="1" s="1"/>
  <c r="BC115" i="1"/>
  <c r="BA115" i="1"/>
  <c r="AW115" i="1"/>
  <c r="AQ115" i="1"/>
  <c r="BD115" i="1" s="1"/>
  <c r="AL115" i="1"/>
  <c r="AJ115" i="1" s="1"/>
  <c r="AK115" i="1" s="1"/>
  <c r="AB115" i="1"/>
  <c r="AA115" i="1"/>
  <c r="Z115" i="1" s="1"/>
  <c r="V115" i="1"/>
  <c r="S115" i="1"/>
  <c r="N115" i="1"/>
  <c r="CZ114" i="1"/>
  <c r="CY114" i="1"/>
  <c r="CW114" i="1"/>
  <c r="BL114" i="1"/>
  <c r="BK114" i="1"/>
  <c r="BG114" i="1"/>
  <c r="BC114" i="1"/>
  <c r="AW114" i="1"/>
  <c r="AQ114" i="1"/>
  <c r="BD114" i="1" s="1"/>
  <c r="AL114" i="1"/>
  <c r="AJ114" i="1" s="1"/>
  <c r="AB114" i="1"/>
  <c r="AA114" i="1"/>
  <c r="Z114" i="1"/>
  <c r="S114" i="1"/>
  <c r="CZ113" i="1"/>
  <c r="CY113" i="1"/>
  <c r="CW113" i="1"/>
  <c r="BL113" i="1"/>
  <c r="BK113" i="1"/>
  <c r="BI113" i="1"/>
  <c r="BM113" i="1" s="1"/>
  <c r="BN113" i="1" s="1"/>
  <c r="BG113" i="1"/>
  <c r="BH113" i="1" s="1"/>
  <c r="BC113" i="1"/>
  <c r="AW113" i="1"/>
  <c r="AQ113" i="1"/>
  <c r="BD113" i="1" s="1"/>
  <c r="AL113" i="1"/>
  <c r="AJ113" i="1"/>
  <c r="M113" i="1" s="1"/>
  <c r="AZ113" i="1" s="1"/>
  <c r="AB113" i="1"/>
  <c r="AA113" i="1"/>
  <c r="Z113" i="1" s="1"/>
  <c r="S113" i="1"/>
  <c r="Q113" i="1"/>
  <c r="CZ112" i="1"/>
  <c r="CY112" i="1"/>
  <c r="CX112" i="1"/>
  <c r="AY112" i="1" s="1"/>
  <c r="CW112" i="1"/>
  <c r="V112" i="1" s="1"/>
  <c r="BL112" i="1"/>
  <c r="BK112" i="1"/>
  <c r="BG112" i="1"/>
  <c r="BC112" i="1"/>
  <c r="AW112" i="1"/>
  <c r="AQ112" i="1"/>
  <c r="BD112" i="1" s="1"/>
  <c r="AL112" i="1"/>
  <c r="AJ112" i="1" s="1"/>
  <c r="L112" i="1" s="1"/>
  <c r="K112" i="1" s="1"/>
  <c r="AK112" i="1"/>
  <c r="AB112" i="1"/>
  <c r="AA112" i="1"/>
  <c r="Z112" i="1" s="1"/>
  <c r="S112" i="1"/>
  <c r="N112" i="1"/>
  <c r="CZ111" i="1"/>
  <c r="CY111" i="1"/>
  <c r="CW111" i="1"/>
  <c r="BL111" i="1"/>
  <c r="BK111" i="1"/>
  <c r="BH111" i="1"/>
  <c r="BG111" i="1"/>
  <c r="BJ111" i="1" s="1"/>
  <c r="BD111" i="1"/>
  <c r="BC111" i="1"/>
  <c r="AW111" i="1"/>
  <c r="AQ111" i="1"/>
  <c r="AL111" i="1"/>
  <c r="AJ111" i="1" s="1"/>
  <c r="AB111" i="1"/>
  <c r="AA111" i="1"/>
  <c r="V111" i="1"/>
  <c r="S111" i="1"/>
  <c r="N111" i="1"/>
  <c r="CZ110" i="1"/>
  <c r="CY110" i="1"/>
  <c r="CW110" i="1"/>
  <c r="BM110" i="1"/>
  <c r="BN110" i="1" s="1"/>
  <c r="BL110" i="1"/>
  <c r="BK110" i="1"/>
  <c r="BI110" i="1"/>
  <c r="BG110" i="1"/>
  <c r="BC110" i="1"/>
  <c r="AW110" i="1"/>
  <c r="AQ110" i="1"/>
  <c r="BD110" i="1" s="1"/>
  <c r="AL110" i="1"/>
  <c r="AJ110" i="1" s="1"/>
  <c r="AB110" i="1"/>
  <c r="AA110" i="1"/>
  <c r="Z110" i="1" s="1"/>
  <c r="S110" i="1"/>
  <c r="CZ109" i="1"/>
  <c r="V109" i="1" s="1"/>
  <c r="CY109" i="1"/>
  <c r="CX109" i="1"/>
  <c r="AY109" i="1" s="1"/>
  <c r="CW109" i="1"/>
  <c r="BN109" i="1"/>
  <c r="BL109" i="1"/>
  <c r="BK109" i="1"/>
  <c r="BJ109" i="1"/>
  <c r="BI109" i="1"/>
  <c r="BM109" i="1" s="1"/>
  <c r="BH109" i="1"/>
  <c r="BG109" i="1"/>
  <c r="BD109" i="1"/>
  <c r="BC109" i="1"/>
  <c r="BA109" i="1"/>
  <c r="AW109" i="1"/>
  <c r="AQ109" i="1"/>
  <c r="AL109" i="1"/>
  <c r="AJ109" i="1" s="1"/>
  <c r="AB109" i="1"/>
  <c r="Z109" i="1" s="1"/>
  <c r="AA109" i="1"/>
  <c r="S109" i="1"/>
  <c r="Q109" i="1"/>
  <c r="L109" i="1"/>
  <c r="K109" i="1" s="1"/>
  <c r="AD109" i="1" s="1"/>
  <c r="CZ108" i="1"/>
  <c r="CY108" i="1"/>
  <c r="CX108" i="1" s="1"/>
  <c r="CW108" i="1"/>
  <c r="BL108" i="1"/>
  <c r="BK108" i="1"/>
  <c r="BJ108" i="1"/>
  <c r="BI108" i="1"/>
  <c r="BM108" i="1" s="1"/>
  <c r="BN108" i="1" s="1"/>
  <c r="BH108" i="1"/>
  <c r="BG108" i="1"/>
  <c r="BD108" i="1"/>
  <c r="BC108" i="1"/>
  <c r="AY108" i="1"/>
  <c r="AW108" i="1"/>
  <c r="AQ108" i="1"/>
  <c r="AL108" i="1"/>
  <c r="AJ108" i="1"/>
  <c r="AB108" i="1"/>
  <c r="AA108" i="1"/>
  <c r="Z108" i="1"/>
  <c r="V108" i="1"/>
  <c r="S108" i="1"/>
  <c r="CZ107" i="1"/>
  <c r="CY107" i="1"/>
  <c r="CW107" i="1"/>
  <c r="BL107" i="1"/>
  <c r="BK107" i="1"/>
  <c r="BG107" i="1"/>
  <c r="BC107" i="1"/>
  <c r="AW107" i="1"/>
  <c r="AQ107" i="1"/>
  <c r="BD107" i="1" s="1"/>
  <c r="AL107" i="1"/>
  <c r="AJ107" i="1" s="1"/>
  <c r="AB107" i="1"/>
  <c r="Z107" i="1" s="1"/>
  <c r="AA107" i="1"/>
  <c r="S107" i="1"/>
  <c r="M107" i="1"/>
  <c r="AZ107" i="1" s="1"/>
  <c r="CZ106" i="1"/>
  <c r="CY106" i="1"/>
  <c r="CX106" i="1"/>
  <c r="AY106" i="1" s="1"/>
  <c r="CW106" i="1"/>
  <c r="BL106" i="1"/>
  <c r="BK106" i="1"/>
  <c r="BH106" i="1"/>
  <c r="BG106" i="1"/>
  <c r="BJ106" i="1" s="1"/>
  <c r="BC106" i="1"/>
  <c r="AW106" i="1"/>
  <c r="BA106" i="1" s="1"/>
  <c r="AQ106" i="1"/>
  <c r="BD106" i="1" s="1"/>
  <c r="AL106" i="1"/>
  <c r="AK106" i="1"/>
  <c r="AJ106" i="1"/>
  <c r="Q106" i="1" s="1"/>
  <c r="AB106" i="1"/>
  <c r="AA106" i="1"/>
  <c r="Z106" i="1" s="1"/>
  <c r="V106" i="1"/>
  <c r="S106" i="1"/>
  <c r="N106" i="1"/>
  <c r="CZ105" i="1"/>
  <c r="V105" i="1" s="1"/>
  <c r="CY105" i="1"/>
  <c r="CX105" i="1" s="1"/>
  <c r="AY105" i="1" s="1"/>
  <c r="CW105" i="1"/>
  <c r="BN105" i="1"/>
  <c r="BM105" i="1"/>
  <c r="BL105" i="1"/>
  <c r="BK105" i="1"/>
  <c r="BJ105" i="1"/>
  <c r="BI105" i="1"/>
  <c r="BH105" i="1"/>
  <c r="BG105" i="1"/>
  <c r="BD105" i="1"/>
  <c r="BC105" i="1"/>
  <c r="BA105" i="1"/>
  <c r="AW105" i="1"/>
  <c r="AQ105" i="1"/>
  <c r="AL105" i="1"/>
  <c r="AJ105" i="1" s="1"/>
  <c r="Q105" i="1" s="1"/>
  <c r="AB105" i="1"/>
  <c r="AA105" i="1"/>
  <c r="Z105" i="1" s="1"/>
  <c r="S105" i="1"/>
  <c r="CZ104" i="1"/>
  <c r="CY104" i="1"/>
  <c r="CX104" i="1" s="1"/>
  <c r="AY104" i="1" s="1"/>
  <c r="BA104" i="1" s="1"/>
  <c r="CW104" i="1"/>
  <c r="BL104" i="1"/>
  <c r="BK104" i="1"/>
  <c r="BJ104" i="1"/>
  <c r="BI104" i="1"/>
  <c r="BM104" i="1" s="1"/>
  <c r="BN104" i="1" s="1"/>
  <c r="BH104" i="1"/>
  <c r="BG104" i="1"/>
  <c r="BC104" i="1"/>
  <c r="AW104" i="1"/>
  <c r="AQ104" i="1"/>
  <c r="BD104" i="1" s="1"/>
  <c r="AL104" i="1"/>
  <c r="AJ104" i="1"/>
  <c r="AB104" i="1"/>
  <c r="AA104" i="1"/>
  <c r="Z104" i="1"/>
  <c r="V104" i="1"/>
  <c r="S104" i="1"/>
  <c r="Q104" i="1"/>
  <c r="N104" i="1"/>
  <c r="CZ103" i="1"/>
  <c r="V103" i="1" s="1"/>
  <c r="CY103" i="1"/>
  <c r="CX103" i="1"/>
  <c r="CW103" i="1"/>
  <c r="BN103" i="1"/>
  <c r="BL103" i="1"/>
  <c r="BK103" i="1"/>
  <c r="BJ103" i="1"/>
  <c r="BI103" i="1"/>
  <c r="BM103" i="1" s="1"/>
  <c r="BG103" i="1"/>
  <c r="BH103" i="1" s="1"/>
  <c r="BC103" i="1"/>
  <c r="AZ103" i="1"/>
  <c r="AY103" i="1"/>
  <c r="AW103" i="1"/>
  <c r="BA103" i="1" s="1"/>
  <c r="AQ103" i="1"/>
  <c r="BD103" i="1" s="1"/>
  <c r="AL103" i="1"/>
  <c r="AJ103" i="1" s="1"/>
  <c r="AB103" i="1"/>
  <c r="AA103" i="1"/>
  <c r="Z103" i="1" s="1"/>
  <c r="S103" i="1"/>
  <c r="N103" i="1"/>
  <c r="M103" i="1"/>
  <c r="L103" i="1"/>
  <c r="K103" i="1" s="1"/>
  <c r="CZ102" i="1"/>
  <c r="CY102" i="1"/>
  <c r="CW102" i="1"/>
  <c r="BL102" i="1"/>
  <c r="BK102" i="1"/>
  <c r="BH102" i="1"/>
  <c r="BG102" i="1"/>
  <c r="BD102" i="1"/>
  <c r="BC102" i="1"/>
  <c r="AW102" i="1"/>
  <c r="AQ102" i="1"/>
  <c r="AL102" i="1"/>
  <c r="AJ102" i="1" s="1"/>
  <c r="AB102" i="1"/>
  <c r="AA102" i="1"/>
  <c r="Z102" i="1"/>
  <c r="S102" i="1"/>
  <c r="CZ101" i="1"/>
  <c r="V101" i="1" s="1"/>
  <c r="CY101" i="1"/>
  <c r="CX101" i="1"/>
  <c r="AY101" i="1" s="1"/>
  <c r="CW101" i="1"/>
  <c r="BN101" i="1"/>
  <c r="BL101" i="1"/>
  <c r="BK101" i="1"/>
  <c r="BJ101" i="1"/>
  <c r="BH101" i="1"/>
  <c r="BG101" i="1"/>
  <c r="BI101" i="1" s="1"/>
  <c r="BM101" i="1" s="1"/>
  <c r="BD101" i="1"/>
  <c r="BC101" i="1"/>
  <c r="BA101" i="1"/>
  <c r="AW101" i="1"/>
  <c r="AQ101" i="1"/>
  <c r="AL101" i="1"/>
  <c r="AJ101" i="1" s="1"/>
  <c r="AB101" i="1"/>
  <c r="Z101" i="1" s="1"/>
  <c r="AA101" i="1"/>
  <c r="S101" i="1"/>
  <c r="L101" i="1"/>
  <c r="K101" i="1" s="1"/>
  <c r="AD101" i="1" s="1"/>
  <c r="CZ100" i="1"/>
  <c r="CY100" i="1"/>
  <c r="CX100" i="1" s="1"/>
  <c r="AY100" i="1" s="1"/>
  <c r="CW100" i="1"/>
  <c r="BL100" i="1"/>
  <c r="BK100" i="1"/>
  <c r="BJ100" i="1"/>
  <c r="BI100" i="1"/>
  <c r="BM100" i="1" s="1"/>
  <c r="BN100" i="1" s="1"/>
  <c r="BH100" i="1"/>
  <c r="BG100" i="1"/>
  <c r="BD100" i="1"/>
  <c r="BC100" i="1"/>
  <c r="AW100" i="1"/>
  <c r="AQ100" i="1"/>
  <c r="AL100" i="1"/>
  <c r="AJ100" i="1"/>
  <c r="L100" i="1" s="1"/>
  <c r="K100" i="1" s="1"/>
  <c r="AB100" i="1"/>
  <c r="AA100" i="1"/>
  <c r="Z100" i="1"/>
  <c r="V100" i="1"/>
  <c r="S100" i="1"/>
  <c r="CZ99" i="1"/>
  <c r="CY99" i="1"/>
  <c r="CX99" i="1"/>
  <c r="AY99" i="1" s="1"/>
  <c r="CW99" i="1"/>
  <c r="V99" i="1" s="1"/>
  <c r="BL99" i="1"/>
  <c r="BK99" i="1"/>
  <c r="BJ99" i="1"/>
  <c r="BH99" i="1"/>
  <c r="BG99" i="1"/>
  <c r="BI99" i="1" s="1"/>
  <c r="BM99" i="1" s="1"/>
  <c r="BN99" i="1" s="1"/>
  <c r="BC99" i="1"/>
  <c r="AW99" i="1"/>
  <c r="AQ99" i="1"/>
  <c r="BD99" i="1" s="1"/>
  <c r="AL99" i="1"/>
  <c r="AJ99" i="1" s="1"/>
  <c r="AB99" i="1"/>
  <c r="Z99" i="1" s="1"/>
  <c r="AA99" i="1"/>
  <c r="S99" i="1"/>
  <c r="N99" i="1"/>
  <c r="CZ98" i="1"/>
  <c r="V98" i="1" s="1"/>
  <c r="CY98" i="1"/>
  <c r="CX98" i="1"/>
  <c r="AY98" i="1" s="1"/>
  <c r="CW98" i="1"/>
  <c r="BM98" i="1"/>
  <c r="BN98" i="1" s="1"/>
  <c r="BL98" i="1"/>
  <c r="BK98" i="1"/>
  <c r="BJ98" i="1"/>
  <c r="BI98" i="1"/>
  <c r="BH98" i="1"/>
  <c r="BG98" i="1"/>
  <c r="BD98" i="1"/>
  <c r="BC98" i="1"/>
  <c r="AW98" i="1"/>
  <c r="BA98" i="1" s="1"/>
  <c r="AQ98" i="1"/>
  <c r="AL98" i="1"/>
  <c r="AJ98" i="1" s="1"/>
  <c r="AK98" i="1" s="1"/>
  <c r="AB98" i="1"/>
  <c r="AA98" i="1"/>
  <c r="Z98" i="1" s="1"/>
  <c r="S98" i="1"/>
  <c r="N98" i="1"/>
  <c r="CZ97" i="1"/>
  <c r="V97" i="1" s="1"/>
  <c r="CY97" i="1"/>
  <c r="CX97" i="1"/>
  <c r="AY97" i="1" s="1"/>
  <c r="BA97" i="1" s="1"/>
  <c r="CW97" i="1"/>
  <c r="BN97" i="1"/>
  <c r="BL97" i="1"/>
  <c r="BK97" i="1"/>
  <c r="BJ97" i="1"/>
  <c r="BH97" i="1"/>
  <c r="BG97" i="1"/>
  <c r="BI97" i="1" s="1"/>
  <c r="BM97" i="1" s="1"/>
  <c r="BD97" i="1"/>
  <c r="BC97" i="1"/>
  <c r="AW97" i="1"/>
  <c r="AQ97" i="1"/>
  <c r="AL97" i="1"/>
  <c r="AJ97" i="1"/>
  <c r="L97" i="1" s="1"/>
  <c r="K97" i="1" s="1"/>
  <c r="AB97" i="1"/>
  <c r="AA97" i="1"/>
  <c r="Z97" i="1"/>
  <c r="S97" i="1"/>
  <c r="CZ96" i="1"/>
  <c r="V96" i="1" s="1"/>
  <c r="CY96" i="1"/>
  <c r="CX96" i="1"/>
  <c r="CW96" i="1"/>
  <c r="BL96" i="1"/>
  <c r="BK96" i="1"/>
  <c r="BJ96" i="1"/>
  <c r="BI96" i="1"/>
  <c r="BM96" i="1" s="1"/>
  <c r="BN96" i="1" s="1"/>
  <c r="BH96" i="1"/>
  <c r="BG96" i="1"/>
  <c r="BD96" i="1"/>
  <c r="BC96" i="1"/>
  <c r="AY96" i="1"/>
  <c r="AW96" i="1"/>
  <c r="AQ96" i="1"/>
  <c r="AL96" i="1"/>
  <c r="AJ96" i="1" s="1"/>
  <c r="AB96" i="1"/>
  <c r="Z96" i="1" s="1"/>
  <c r="AA96" i="1"/>
  <c r="S96" i="1"/>
  <c r="CZ95" i="1"/>
  <c r="CY95" i="1"/>
  <c r="CW95" i="1"/>
  <c r="CX95" i="1" s="1"/>
  <c r="AY95" i="1" s="1"/>
  <c r="BL95" i="1"/>
  <c r="BK95" i="1"/>
  <c r="BG95" i="1"/>
  <c r="BC95" i="1"/>
  <c r="AW95" i="1"/>
  <c r="BA95" i="1" s="1"/>
  <c r="AQ95" i="1"/>
  <c r="BD95" i="1" s="1"/>
  <c r="AL95" i="1"/>
  <c r="AJ95" i="1"/>
  <c r="AD95" i="1"/>
  <c r="AB95" i="1"/>
  <c r="AA95" i="1"/>
  <c r="Z95" i="1"/>
  <c r="V95" i="1"/>
  <c r="S95" i="1"/>
  <c r="N95" i="1"/>
  <c r="L95" i="1"/>
  <c r="K95" i="1" s="1"/>
  <c r="CZ94" i="1"/>
  <c r="CY94" i="1"/>
  <c r="CX94" i="1"/>
  <c r="AY94" i="1" s="1"/>
  <c r="CW94" i="1"/>
  <c r="BN94" i="1"/>
  <c r="BM94" i="1"/>
  <c r="BL94" i="1"/>
  <c r="BK94" i="1"/>
  <c r="BJ94" i="1"/>
  <c r="BI94" i="1"/>
  <c r="BH94" i="1"/>
  <c r="BG94" i="1"/>
  <c r="BD94" i="1"/>
  <c r="BC94" i="1"/>
  <c r="AW94" i="1"/>
  <c r="BA94" i="1" s="1"/>
  <c r="AQ94" i="1"/>
  <c r="AL94" i="1"/>
  <c r="AJ94" i="1"/>
  <c r="AB94" i="1"/>
  <c r="AA94" i="1"/>
  <c r="Z94" i="1"/>
  <c r="V94" i="1"/>
  <c r="S94" i="1"/>
  <c r="L94" i="1"/>
  <c r="K94" i="1" s="1"/>
  <c r="CZ93" i="1"/>
  <c r="V93" i="1" s="1"/>
  <c r="CY93" i="1"/>
  <c r="CX93" i="1"/>
  <c r="AY93" i="1" s="1"/>
  <c r="BA93" i="1" s="1"/>
  <c r="CW93" i="1"/>
  <c r="BN93" i="1"/>
  <c r="BL93" i="1"/>
  <c r="BK93" i="1"/>
  <c r="BJ93" i="1"/>
  <c r="BH93" i="1"/>
  <c r="BG93" i="1"/>
  <c r="BI93" i="1" s="1"/>
  <c r="BM93" i="1" s="1"/>
  <c r="BD93" i="1"/>
  <c r="BC93" i="1"/>
  <c r="AW93" i="1"/>
  <c r="AQ93" i="1"/>
  <c r="AL93" i="1"/>
  <c r="AJ93" i="1" s="1"/>
  <c r="AB93" i="1"/>
  <c r="Z93" i="1" s="1"/>
  <c r="AA93" i="1"/>
  <c r="S93" i="1"/>
  <c r="CZ92" i="1"/>
  <c r="CY92" i="1"/>
  <c r="CX92" i="1" s="1"/>
  <c r="CW92" i="1"/>
  <c r="BL92" i="1"/>
  <c r="BK92" i="1"/>
  <c r="BJ92" i="1"/>
  <c r="BI92" i="1"/>
  <c r="BM92" i="1" s="1"/>
  <c r="BN92" i="1" s="1"/>
  <c r="BH92" i="1"/>
  <c r="BG92" i="1"/>
  <c r="BD92" i="1"/>
  <c r="BC92" i="1"/>
  <c r="AY92" i="1"/>
  <c r="AW92" i="1"/>
  <c r="AQ92" i="1"/>
  <c r="AL92" i="1"/>
  <c r="AJ92" i="1"/>
  <c r="AB92" i="1"/>
  <c r="Z92" i="1" s="1"/>
  <c r="AA92" i="1"/>
  <c r="V92" i="1"/>
  <c r="S92" i="1"/>
  <c r="L92" i="1"/>
  <c r="K92" i="1" s="1"/>
  <c r="CZ91" i="1"/>
  <c r="CY91" i="1"/>
  <c r="CW91" i="1"/>
  <c r="BL91" i="1"/>
  <c r="BK91" i="1"/>
  <c r="BJ91" i="1"/>
  <c r="BG91" i="1"/>
  <c r="BI91" i="1" s="1"/>
  <c r="BM91" i="1" s="1"/>
  <c r="BN91" i="1" s="1"/>
  <c r="BD91" i="1"/>
  <c r="BC91" i="1"/>
  <c r="AW91" i="1"/>
  <c r="AQ91" i="1"/>
  <c r="AL91" i="1"/>
  <c r="AJ91" i="1"/>
  <c r="AD91" i="1"/>
  <c r="AB91" i="1"/>
  <c r="AA91" i="1"/>
  <c r="Z91" i="1"/>
  <c r="S91" i="1"/>
  <c r="N91" i="1"/>
  <c r="L91" i="1"/>
  <c r="K91" i="1" s="1"/>
  <c r="CZ90" i="1"/>
  <c r="CY90" i="1"/>
  <c r="CX90" i="1"/>
  <c r="AY90" i="1" s="1"/>
  <c r="CW90" i="1"/>
  <c r="BM90" i="1"/>
  <c r="BN90" i="1" s="1"/>
  <c r="BL90" i="1"/>
  <c r="BK90" i="1"/>
  <c r="BJ90" i="1"/>
  <c r="BI90" i="1"/>
  <c r="BH90" i="1"/>
  <c r="BG90" i="1"/>
  <c r="BD90" i="1"/>
  <c r="BC90" i="1"/>
  <c r="AW90" i="1"/>
  <c r="BA90" i="1" s="1"/>
  <c r="AQ90" i="1"/>
  <c r="AL90" i="1"/>
  <c r="AK90" i="1"/>
  <c r="AJ90" i="1"/>
  <c r="AB90" i="1"/>
  <c r="AA90" i="1"/>
  <c r="Z90" i="1"/>
  <c r="V90" i="1"/>
  <c r="S90" i="1"/>
  <c r="N90" i="1"/>
  <c r="L90" i="1"/>
  <c r="K90" i="1" s="1"/>
  <c r="CZ89" i="1"/>
  <c r="V89" i="1" s="1"/>
  <c r="CY89" i="1"/>
  <c r="CX89" i="1"/>
  <c r="AY89" i="1" s="1"/>
  <c r="CW89" i="1"/>
  <c r="BN89" i="1"/>
  <c r="BL89" i="1"/>
  <c r="BK89" i="1"/>
  <c r="BJ89" i="1"/>
  <c r="BH89" i="1"/>
  <c r="BG89" i="1"/>
  <c r="BI89" i="1" s="1"/>
  <c r="BM89" i="1" s="1"/>
  <c r="BD89" i="1"/>
  <c r="BC89" i="1"/>
  <c r="BA89" i="1"/>
  <c r="AW89" i="1"/>
  <c r="AQ89" i="1"/>
  <c r="AL89" i="1"/>
  <c r="AJ89" i="1"/>
  <c r="L89" i="1" s="1"/>
  <c r="K89" i="1" s="1"/>
  <c r="AB89" i="1"/>
  <c r="Z89" i="1" s="1"/>
  <c r="AA89" i="1"/>
  <c r="S89" i="1"/>
  <c r="CZ88" i="1"/>
  <c r="V88" i="1" s="1"/>
  <c r="CY88" i="1"/>
  <c r="CX88" i="1"/>
  <c r="CW88" i="1"/>
  <c r="BL88" i="1"/>
  <c r="BK88" i="1"/>
  <c r="BJ88" i="1"/>
  <c r="BI88" i="1"/>
  <c r="BM88" i="1" s="1"/>
  <c r="BN88" i="1" s="1"/>
  <c r="BH88" i="1"/>
  <c r="BG88" i="1"/>
  <c r="BD88" i="1"/>
  <c r="BC88" i="1"/>
  <c r="AY88" i="1"/>
  <c r="AW88" i="1"/>
  <c r="AQ88" i="1"/>
  <c r="AL88" i="1"/>
  <c r="AJ88" i="1"/>
  <c r="AB88" i="1"/>
  <c r="Z88" i="1" s="1"/>
  <c r="AA88" i="1"/>
  <c r="S88" i="1"/>
  <c r="CZ87" i="1"/>
  <c r="V87" i="1" s="1"/>
  <c r="CY87" i="1"/>
  <c r="CX87" i="1"/>
  <c r="AY87" i="1" s="1"/>
  <c r="BA87" i="1" s="1"/>
  <c r="CW87" i="1"/>
  <c r="BN87" i="1"/>
  <c r="BL87" i="1"/>
  <c r="BK87" i="1"/>
  <c r="BH87" i="1"/>
  <c r="BG87" i="1"/>
  <c r="BI87" i="1" s="1"/>
  <c r="BM87" i="1" s="1"/>
  <c r="BD87" i="1"/>
  <c r="BC87" i="1"/>
  <c r="AW87" i="1"/>
  <c r="AQ87" i="1"/>
  <c r="AL87" i="1"/>
  <c r="AJ87" i="1"/>
  <c r="AB87" i="1"/>
  <c r="AA87" i="1"/>
  <c r="Z87" i="1"/>
  <c r="S87" i="1"/>
  <c r="CZ86" i="1"/>
  <c r="V86" i="1" s="1"/>
  <c r="CY86" i="1"/>
  <c r="CX86" i="1"/>
  <c r="CW86" i="1"/>
  <c r="BL86" i="1"/>
  <c r="BK86" i="1"/>
  <c r="BJ86" i="1"/>
  <c r="BI86" i="1"/>
  <c r="BM86" i="1" s="1"/>
  <c r="BN86" i="1" s="1"/>
  <c r="BH86" i="1"/>
  <c r="BG86" i="1"/>
  <c r="BD86" i="1"/>
  <c r="BC86" i="1"/>
  <c r="AY86" i="1"/>
  <c r="AW86" i="1"/>
  <c r="AQ86" i="1"/>
  <c r="AL86" i="1"/>
  <c r="AJ86" i="1" s="1"/>
  <c r="AK86" i="1" s="1"/>
  <c r="AB86" i="1"/>
  <c r="AA86" i="1"/>
  <c r="Z86" i="1" s="1"/>
  <c r="S86" i="1"/>
  <c r="CZ85" i="1"/>
  <c r="CY85" i="1"/>
  <c r="CX85" i="1"/>
  <c r="AY85" i="1" s="1"/>
  <c r="BA85" i="1" s="1"/>
  <c r="CW85" i="1"/>
  <c r="V85" i="1" s="1"/>
  <c r="BL85" i="1"/>
  <c r="BK85" i="1"/>
  <c r="BJ85" i="1"/>
  <c r="BI85" i="1"/>
  <c r="BM85" i="1" s="1"/>
  <c r="BN85" i="1" s="1"/>
  <c r="BG85" i="1"/>
  <c r="BH85" i="1" s="1"/>
  <c r="BC85" i="1"/>
  <c r="AW85" i="1"/>
  <c r="AQ85" i="1"/>
  <c r="BD85" i="1" s="1"/>
  <c r="AL85" i="1"/>
  <c r="AJ85" i="1" s="1"/>
  <c r="AK85" i="1" s="1"/>
  <c r="AB85" i="1"/>
  <c r="AA85" i="1"/>
  <c r="Z85" i="1" s="1"/>
  <c r="S85" i="1"/>
  <c r="CZ84" i="1"/>
  <c r="CY84" i="1"/>
  <c r="CX84" i="1"/>
  <c r="AY84" i="1" s="1"/>
  <c r="CW84" i="1"/>
  <c r="BL84" i="1"/>
  <c r="BK84" i="1"/>
  <c r="BG84" i="1"/>
  <c r="BC84" i="1"/>
  <c r="BA84" i="1"/>
  <c r="AW84" i="1"/>
  <c r="AQ84" i="1"/>
  <c r="BD84" i="1" s="1"/>
  <c r="AL84" i="1"/>
  <c r="AK84" i="1"/>
  <c r="AJ84" i="1"/>
  <c r="L84" i="1" s="1"/>
  <c r="AB84" i="1"/>
  <c r="AA84" i="1"/>
  <c r="Z84" i="1" s="1"/>
  <c r="V84" i="1"/>
  <c r="S84" i="1"/>
  <c r="Q84" i="1"/>
  <c r="N84" i="1"/>
  <c r="M84" i="1"/>
  <c r="AZ84" i="1" s="1"/>
  <c r="K84" i="1"/>
  <c r="CZ83" i="1"/>
  <c r="CY83" i="1"/>
  <c r="CW83" i="1"/>
  <c r="BN83" i="1"/>
  <c r="BL83" i="1"/>
  <c r="BK83" i="1"/>
  <c r="BI83" i="1"/>
  <c r="BM83" i="1" s="1"/>
  <c r="BG83" i="1"/>
  <c r="BJ83" i="1" s="1"/>
  <c r="BD83" i="1"/>
  <c r="BC83" i="1"/>
  <c r="AW83" i="1"/>
  <c r="AQ83" i="1"/>
  <c r="AL83" i="1"/>
  <c r="AJ83" i="1" s="1"/>
  <c r="AB83" i="1"/>
  <c r="AA83" i="1"/>
  <c r="S83" i="1"/>
  <c r="CZ82" i="1"/>
  <c r="CY82" i="1"/>
  <c r="CW82" i="1"/>
  <c r="BL82" i="1"/>
  <c r="BK82" i="1"/>
  <c r="BG82" i="1"/>
  <c r="BC82" i="1"/>
  <c r="AW82" i="1"/>
  <c r="AQ82" i="1"/>
  <c r="BD82" i="1" s="1"/>
  <c r="AL82" i="1"/>
  <c r="AJ82" i="1"/>
  <c r="AB82" i="1"/>
  <c r="AA82" i="1"/>
  <c r="Z82" i="1"/>
  <c r="S82" i="1"/>
  <c r="Q82" i="1"/>
  <c r="CZ81" i="1"/>
  <c r="CY81" i="1"/>
  <c r="CW81" i="1"/>
  <c r="BL81" i="1"/>
  <c r="BK81" i="1"/>
  <c r="BG81" i="1"/>
  <c r="BC81" i="1"/>
  <c r="AZ81" i="1"/>
  <c r="AW81" i="1"/>
  <c r="AQ81" i="1"/>
  <c r="BD81" i="1" s="1"/>
  <c r="AL81" i="1"/>
  <c r="AJ81" i="1" s="1"/>
  <c r="AK81" i="1"/>
  <c r="AB81" i="1"/>
  <c r="AA81" i="1"/>
  <c r="Z81" i="1" s="1"/>
  <c r="S81" i="1"/>
  <c r="Q81" i="1"/>
  <c r="M81" i="1"/>
  <c r="CZ80" i="1"/>
  <c r="CY80" i="1"/>
  <c r="CW80" i="1"/>
  <c r="CX80" i="1" s="1"/>
  <c r="AY80" i="1" s="1"/>
  <c r="BM80" i="1"/>
  <c r="BN80" i="1" s="1"/>
  <c r="BL80" i="1"/>
  <c r="BK80" i="1"/>
  <c r="BI80" i="1"/>
  <c r="BG80" i="1"/>
  <c r="BJ80" i="1" s="1"/>
  <c r="BC80" i="1"/>
  <c r="BA80" i="1"/>
  <c r="AW80" i="1"/>
  <c r="AQ80" i="1"/>
  <c r="BD80" i="1" s="1"/>
  <c r="AL80" i="1"/>
  <c r="AK80" i="1"/>
  <c r="AJ80" i="1"/>
  <c r="L80" i="1" s="1"/>
  <c r="AB80" i="1"/>
  <c r="AA80" i="1"/>
  <c r="Z80" i="1"/>
  <c r="S80" i="1"/>
  <c r="Q80" i="1"/>
  <c r="N80" i="1"/>
  <c r="M80" i="1"/>
  <c r="AZ80" i="1" s="1"/>
  <c r="BB80" i="1" s="1"/>
  <c r="K80" i="1"/>
  <c r="CZ79" i="1"/>
  <c r="CY79" i="1"/>
  <c r="CW79" i="1"/>
  <c r="BM79" i="1"/>
  <c r="BN79" i="1" s="1"/>
  <c r="BL79" i="1"/>
  <c r="BK79" i="1"/>
  <c r="BJ79" i="1"/>
  <c r="BI79" i="1"/>
  <c r="BG79" i="1"/>
  <c r="BH79" i="1" s="1"/>
  <c r="BD79" i="1"/>
  <c r="BC79" i="1"/>
  <c r="AW79" i="1"/>
  <c r="AQ79" i="1"/>
  <c r="AL79" i="1"/>
  <c r="AJ79" i="1" s="1"/>
  <c r="N79" i="1" s="1"/>
  <c r="AK79" i="1"/>
  <c r="AB79" i="1"/>
  <c r="AA79" i="1"/>
  <c r="S79" i="1"/>
  <c r="Q79" i="1"/>
  <c r="M79" i="1"/>
  <c r="AZ79" i="1" s="1"/>
  <c r="L79" i="1"/>
  <c r="K79" i="1"/>
  <c r="AD79" i="1" s="1"/>
  <c r="CZ78" i="1"/>
  <c r="CY78" i="1"/>
  <c r="CX78" i="1"/>
  <c r="AY78" i="1" s="1"/>
  <c r="CW78" i="1"/>
  <c r="V78" i="1" s="1"/>
  <c r="BL78" i="1"/>
  <c r="BK78" i="1"/>
  <c r="BG78" i="1"/>
  <c r="BC78" i="1"/>
  <c r="AW78" i="1"/>
  <c r="AQ78" i="1"/>
  <c r="BD78" i="1" s="1"/>
  <c r="AL78" i="1"/>
  <c r="AJ78" i="1"/>
  <c r="AB78" i="1"/>
  <c r="AA78" i="1"/>
  <c r="Z78" i="1"/>
  <c r="S78" i="1"/>
  <c r="CZ77" i="1"/>
  <c r="CY77" i="1"/>
  <c r="CW77" i="1"/>
  <c r="BL77" i="1"/>
  <c r="BK77" i="1"/>
  <c r="BI77" i="1"/>
  <c r="BM77" i="1" s="1"/>
  <c r="BN77" i="1" s="1"/>
  <c r="BG77" i="1"/>
  <c r="BC77" i="1"/>
  <c r="AW77" i="1"/>
  <c r="AQ77" i="1"/>
  <c r="BD77" i="1" s="1"/>
  <c r="AL77" i="1"/>
  <c r="AJ77" i="1" s="1"/>
  <c r="AB77" i="1"/>
  <c r="AA77" i="1"/>
  <c r="Z77" i="1" s="1"/>
  <c r="S77" i="1"/>
  <c r="M77" i="1"/>
  <c r="AZ77" i="1" s="1"/>
  <c r="CZ76" i="1"/>
  <c r="CY76" i="1"/>
  <c r="CW76" i="1"/>
  <c r="BL76" i="1"/>
  <c r="BK76" i="1"/>
  <c r="BI76" i="1"/>
  <c r="BM76" i="1" s="1"/>
  <c r="BN76" i="1" s="1"/>
  <c r="BH76" i="1"/>
  <c r="BG76" i="1"/>
  <c r="BJ76" i="1" s="1"/>
  <c r="BC76" i="1"/>
  <c r="AW76" i="1"/>
  <c r="AQ76" i="1"/>
  <c r="BD76" i="1" s="1"/>
  <c r="AL76" i="1"/>
  <c r="AK76" i="1"/>
  <c r="AJ76" i="1"/>
  <c r="AB76" i="1"/>
  <c r="AA76" i="1"/>
  <c r="S76" i="1"/>
  <c r="Q76" i="1"/>
  <c r="N76" i="1"/>
  <c r="M76" i="1"/>
  <c r="AZ76" i="1" s="1"/>
  <c r="L76" i="1"/>
  <c r="K76" i="1" s="1"/>
  <c r="AD76" i="1" s="1"/>
  <c r="CZ75" i="1"/>
  <c r="CY75" i="1"/>
  <c r="CX75" i="1"/>
  <c r="AY75" i="1" s="1"/>
  <c r="CW75" i="1"/>
  <c r="BL75" i="1"/>
  <c r="BK75" i="1"/>
  <c r="BG75" i="1"/>
  <c r="BJ75" i="1" s="1"/>
  <c r="BC75" i="1"/>
  <c r="AW75" i="1"/>
  <c r="AQ75" i="1"/>
  <c r="BD75" i="1" s="1"/>
  <c r="AL75" i="1"/>
  <c r="AJ75" i="1"/>
  <c r="AB75" i="1"/>
  <c r="AA75" i="1"/>
  <c r="Z75" i="1"/>
  <c r="V75" i="1"/>
  <c r="S75" i="1"/>
  <c r="CZ74" i="1"/>
  <c r="CY74" i="1"/>
  <c r="CW74" i="1"/>
  <c r="BL74" i="1"/>
  <c r="BK74" i="1"/>
  <c r="BG74" i="1"/>
  <c r="BD74" i="1"/>
  <c r="BC74" i="1"/>
  <c r="AW74" i="1"/>
  <c r="AQ74" i="1"/>
  <c r="AL74" i="1"/>
  <c r="AJ74" i="1" s="1"/>
  <c r="N74" i="1" s="1"/>
  <c r="AK74" i="1"/>
  <c r="AB74" i="1"/>
  <c r="AA74" i="1"/>
  <c r="S74" i="1"/>
  <c r="Q74" i="1"/>
  <c r="CZ73" i="1"/>
  <c r="CY73" i="1"/>
  <c r="CX73" i="1" s="1"/>
  <c r="AY73" i="1" s="1"/>
  <c r="BA73" i="1" s="1"/>
  <c r="CW73" i="1"/>
  <c r="BM73" i="1"/>
  <c r="BN73" i="1" s="1"/>
  <c r="BL73" i="1"/>
  <c r="BK73" i="1"/>
  <c r="BI73" i="1"/>
  <c r="BH73" i="1"/>
  <c r="BG73" i="1"/>
  <c r="BJ73" i="1" s="1"/>
  <c r="BC73" i="1"/>
  <c r="AW73" i="1"/>
  <c r="AQ73" i="1"/>
  <c r="BD73" i="1" s="1"/>
  <c r="AL73" i="1"/>
  <c r="AK73" i="1"/>
  <c r="AJ73" i="1"/>
  <c r="AB73" i="1"/>
  <c r="AA73" i="1"/>
  <c r="Z73" i="1"/>
  <c r="V73" i="1"/>
  <c r="S73" i="1"/>
  <c r="N73" i="1"/>
  <c r="CZ72" i="1"/>
  <c r="CY72" i="1"/>
  <c r="CW72" i="1"/>
  <c r="BL72" i="1"/>
  <c r="BK72" i="1"/>
  <c r="BJ72" i="1"/>
  <c r="BI72" i="1"/>
  <c r="BM72" i="1" s="1"/>
  <c r="BN72" i="1" s="1"/>
  <c r="BG72" i="1"/>
  <c r="BH72" i="1" s="1"/>
  <c r="BC72" i="1"/>
  <c r="AW72" i="1"/>
  <c r="AQ72" i="1"/>
  <c r="BD72" i="1" s="1"/>
  <c r="AL72" i="1"/>
  <c r="AJ72" i="1" s="1"/>
  <c r="AB72" i="1"/>
  <c r="AA72" i="1"/>
  <c r="Z72" i="1" s="1"/>
  <c r="S72" i="1"/>
  <c r="M72" i="1"/>
  <c r="AZ72" i="1" s="1"/>
  <c r="L72" i="1"/>
  <c r="K72" i="1" s="1"/>
  <c r="AD72" i="1" s="1"/>
  <c r="CZ71" i="1"/>
  <c r="CY71" i="1"/>
  <c r="CW71" i="1"/>
  <c r="V71" i="1" s="1"/>
  <c r="BL71" i="1"/>
  <c r="BK71" i="1"/>
  <c r="BI71" i="1"/>
  <c r="BM71" i="1" s="1"/>
  <c r="BN71" i="1" s="1"/>
  <c r="BH71" i="1"/>
  <c r="BG71" i="1"/>
  <c r="BJ71" i="1" s="1"/>
  <c r="BC71" i="1"/>
  <c r="AW71" i="1"/>
  <c r="AQ71" i="1"/>
  <c r="BD71" i="1" s="1"/>
  <c r="AL71" i="1"/>
  <c r="AK71" i="1"/>
  <c r="AJ71" i="1"/>
  <c r="AB71" i="1"/>
  <c r="AA71" i="1"/>
  <c r="Z71" i="1"/>
  <c r="S71" i="1"/>
  <c r="N71" i="1"/>
  <c r="M71" i="1"/>
  <c r="AZ71" i="1" s="1"/>
  <c r="CZ70" i="1"/>
  <c r="CY70" i="1"/>
  <c r="CW70" i="1"/>
  <c r="BL70" i="1"/>
  <c r="BK70" i="1"/>
  <c r="BJ70" i="1"/>
  <c r="BG70" i="1"/>
  <c r="BC70" i="1"/>
  <c r="AW70" i="1"/>
  <c r="AQ70" i="1"/>
  <c r="BD70" i="1" s="1"/>
  <c r="AL70" i="1"/>
  <c r="AJ70" i="1" s="1"/>
  <c r="AB70" i="1"/>
  <c r="AA70" i="1"/>
  <c r="S70" i="1"/>
  <c r="CZ69" i="1"/>
  <c r="CY69" i="1"/>
  <c r="CX69" i="1"/>
  <c r="AY69" i="1" s="1"/>
  <c r="CW69" i="1"/>
  <c r="BL69" i="1"/>
  <c r="BK69" i="1"/>
  <c r="BI69" i="1"/>
  <c r="BM69" i="1" s="1"/>
  <c r="BN69" i="1" s="1"/>
  <c r="BH69" i="1"/>
  <c r="BG69" i="1"/>
  <c r="BJ69" i="1" s="1"/>
  <c r="BC69" i="1"/>
  <c r="BA69" i="1"/>
  <c r="AW69" i="1"/>
  <c r="AQ69" i="1"/>
  <c r="BD69" i="1" s="1"/>
  <c r="AL69" i="1"/>
  <c r="AJ69" i="1"/>
  <c r="AB69" i="1"/>
  <c r="AA69" i="1"/>
  <c r="Z69" i="1" s="1"/>
  <c r="V69" i="1"/>
  <c r="S69" i="1"/>
  <c r="Q69" i="1"/>
  <c r="CZ68" i="1"/>
  <c r="CY68" i="1"/>
  <c r="CW68" i="1"/>
  <c r="BL68" i="1"/>
  <c r="BK68" i="1"/>
  <c r="BG68" i="1"/>
  <c r="BH68" i="1" s="1"/>
  <c r="BD68" i="1"/>
  <c r="BC68" i="1"/>
  <c r="AW68" i="1"/>
  <c r="AQ68" i="1"/>
  <c r="AL68" i="1"/>
  <c r="AJ68" i="1" s="1"/>
  <c r="L68" i="1" s="1"/>
  <c r="K68" i="1" s="1"/>
  <c r="AB68" i="1"/>
  <c r="AA68" i="1"/>
  <c r="S68" i="1"/>
  <c r="Q68" i="1"/>
  <c r="M68" i="1"/>
  <c r="AZ68" i="1" s="1"/>
  <c r="CZ67" i="1"/>
  <c r="CY67" i="1"/>
  <c r="CW67" i="1"/>
  <c r="BL67" i="1"/>
  <c r="BK67" i="1"/>
  <c r="BH67" i="1"/>
  <c r="BG67" i="1"/>
  <c r="BJ67" i="1" s="1"/>
  <c r="BC67" i="1"/>
  <c r="AW67" i="1"/>
  <c r="AQ67" i="1"/>
  <c r="BD67" i="1" s="1"/>
  <c r="AL67" i="1"/>
  <c r="AK67" i="1"/>
  <c r="AJ67" i="1"/>
  <c r="L67" i="1" s="1"/>
  <c r="AD67" i="1"/>
  <c r="AB67" i="1"/>
  <c r="AA67" i="1"/>
  <c r="Z67" i="1" s="1"/>
  <c r="S67" i="1"/>
  <c r="M67" i="1"/>
  <c r="AZ67" i="1" s="1"/>
  <c r="K67" i="1"/>
  <c r="CZ66" i="1"/>
  <c r="CY66" i="1"/>
  <c r="CW66" i="1"/>
  <c r="BL66" i="1"/>
  <c r="BK66" i="1"/>
  <c r="BG66" i="1"/>
  <c r="BC66" i="1"/>
  <c r="AW66" i="1"/>
  <c r="AQ66" i="1"/>
  <c r="BD66" i="1" s="1"/>
  <c r="AL66" i="1"/>
  <c r="AJ66" i="1" s="1"/>
  <c r="AB66" i="1"/>
  <c r="AA66" i="1"/>
  <c r="Z66" i="1" s="1"/>
  <c r="S66" i="1"/>
  <c r="CZ65" i="1"/>
  <c r="CY65" i="1"/>
  <c r="CW65" i="1"/>
  <c r="V65" i="1" s="1"/>
  <c r="BL65" i="1"/>
  <c r="BK65" i="1"/>
  <c r="BG65" i="1"/>
  <c r="BC65" i="1"/>
  <c r="AW65" i="1"/>
  <c r="AQ65" i="1"/>
  <c r="BD65" i="1" s="1"/>
  <c r="AL65" i="1"/>
  <c r="AK65" i="1"/>
  <c r="AJ65" i="1"/>
  <c r="N65" i="1" s="1"/>
  <c r="AB65" i="1"/>
  <c r="AA65" i="1"/>
  <c r="Z65" i="1" s="1"/>
  <c r="S65" i="1"/>
  <c r="Q65" i="1"/>
  <c r="M65" i="1"/>
  <c r="AZ65" i="1" s="1"/>
  <c r="CZ64" i="1"/>
  <c r="CY64" i="1"/>
  <c r="CX64" i="1"/>
  <c r="AY64" i="1" s="1"/>
  <c r="BA64" i="1" s="1"/>
  <c r="CW64" i="1"/>
  <c r="BL64" i="1"/>
  <c r="BK64" i="1"/>
  <c r="BJ64" i="1"/>
  <c r="BI64" i="1"/>
  <c r="BM64" i="1" s="1"/>
  <c r="BN64" i="1" s="1"/>
  <c r="BH64" i="1"/>
  <c r="BG64" i="1"/>
  <c r="BD64" i="1"/>
  <c r="BC64" i="1"/>
  <c r="AW64" i="1"/>
  <c r="AQ64" i="1"/>
  <c r="AL64" i="1"/>
  <c r="AK64" i="1"/>
  <c r="AJ64" i="1"/>
  <c r="M64" i="1" s="1"/>
  <c r="AZ64" i="1" s="1"/>
  <c r="BB64" i="1" s="1"/>
  <c r="AB64" i="1"/>
  <c r="AA64" i="1"/>
  <c r="Z64" i="1" s="1"/>
  <c r="V64" i="1"/>
  <c r="S64" i="1"/>
  <c r="Q64" i="1"/>
  <c r="N64" i="1"/>
  <c r="CZ63" i="1"/>
  <c r="CY63" i="1"/>
  <c r="CW63" i="1"/>
  <c r="BL63" i="1"/>
  <c r="BK63" i="1"/>
  <c r="BI63" i="1"/>
  <c r="BM63" i="1" s="1"/>
  <c r="BN63" i="1" s="1"/>
  <c r="BG63" i="1"/>
  <c r="BJ63" i="1" s="1"/>
  <c r="BD63" i="1"/>
  <c r="BC63" i="1"/>
  <c r="AW63" i="1"/>
  <c r="AQ63" i="1"/>
  <c r="AL63" i="1"/>
  <c r="AJ63" i="1" s="1"/>
  <c r="AB63" i="1"/>
  <c r="Z63" i="1" s="1"/>
  <c r="AA63" i="1"/>
  <c r="S63" i="1"/>
  <c r="L63" i="1"/>
  <c r="K63" i="1" s="1"/>
  <c r="AD63" i="1" s="1"/>
  <c r="CZ62" i="1"/>
  <c r="CY62" i="1"/>
  <c r="CW62" i="1"/>
  <c r="BL62" i="1"/>
  <c r="BK62" i="1"/>
  <c r="BG62" i="1"/>
  <c r="BC62" i="1"/>
  <c r="AW62" i="1"/>
  <c r="AQ62" i="1"/>
  <c r="BD62" i="1" s="1"/>
  <c r="AL62" i="1"/>
  <c r="AJ62" i="1"/>
  <c r="AB62" i="1"/>
  <c r="AA62" i="1"/>
  <c r="Z62" i="1"/>
  <c r="S62" i="1"/>
  <c r="M62" i="1"/>
  <c r="AZ62" i="1" s="1"/>
  <c r="CZ61" i="1"/>
  <c r="CY61" i="1"/>
  <c r="CW61" i="1"/>
  <c r="CX61" i="1" s="1"/>
  <c r="AY61" i="1" s="1"/>
  <c r="BA61" i="1" s="1"/>
  <c r="BL61" i="1"/>
  <c r="BK61" i="1"/>
  <c r="BJ61" i="1"/>
  <c r="BG61" i="1"/>
  <c r="BI61" i="1" s="1"/>
  <c r="BM61" i="1" s="1"/>
  <c r="BN61" i="1" s="1"/>
  <c r="BC61" i="1"/>
  <c r="AZ61" i="1"/>
  <c r="AW61" i="1"/>
  <c r="AQ61" i="1"/>
  <c r="BD61" i="1" s="1"/>
  <c r="AL61" i="1"/>
  <c r="AK61" i="1"/>
  <c r="AJ61" i="1"/>
  <c r="N61" i="1" s="1"/>
  <c r="AB61" i="1"/>
  <c r="AA61" i="1"/>
  <c r="Z61" i="1" s="1"/>
  <c r="S61" i="1"/>
  <c r="Q61" i="1"/>
  <c r="M61" i="1"/>
  <c r="CZ60" i="1"/>
  <c r="CY60" i="1"/>
  <c r="CX60" i="1"/>
  <c r="CW60" i="1"/>
  <c r="BL60" i="1"/>
  <c r="BK60" i="1"/>
  <c r="BJ60" i="1"/>
  <c r="BI60" i="1"/>
  <c r="BM60" i="1" s="1"/>
  <c r="BN60" i="1" s="1"/>
  <c r="BH60" i="1"/>
  <c r="BG60" i="1"/>
  <c r="BC60" i="1"/>
  <c r="AY60" i="1"/>
  <c r="AW60" i="1"/>
  <c r="AQ60" i="1"/>
  <c r="BD60" i="1" s="1"/>
  <c r="AL60" i="1"/>
  <c r="AK60" i="1"/>
  <c r="AJ60" i="1"/>
  <c r="M60" i="1" s="1"/>
  <c r="AZ60" i="1" s="1"/>
  <c r="AB60" i="1"/>
  <c r="AA60" i="1"/>
  <c r="Z60" i="1" s="1"/>
  <c r="V60" i="1"/>
  <c r="S60" i="1"/>
  <c r="Q60" i="1"/>
  <c r="N60" i="1"/>
  <c r="CZ59" i="1"/>
  <c r="CY59" i="1"/>
  <c r="CW59" i="1"/>
  <c r="BL59" i="1"/>
  <c r="BK59" i="1"/>
  <c r="BI59" i="1"/>
  <c r="BM59" i="1" s="1"/>
  <c r="BN59" i="1" s="1"/>
  <c r="BG59" i="1"/>
  <c r="BC59" i="1"/>
  <c r="AW59" i="1"/>
  <c r="AQ59" i="1"/>
  <c r="BD59" i="1" s="1"/>
  <c r="AL59" i="1"/>
  <c r="AJ59" i="1" s="1"/>
  <c r="AB59" i="1"/>
  <c r="AA59" i="1"/>
  <c r="S59" i="1"/>
  <c r="Q59" i="1"/>
  <c r="CZ58" i="1"/>
  <c r="CY58" i="1"/>
  <c r="CW58" i="1"/>
  <c r="BL58" i="1"/>
  <c r="BK58" i="1"/>
  <c r="BG58" i="1"/>
  <c r="BC58" i="1"/>
  <c r="AW58" i="1"/>
  <c r="AQ58" i="1"/>
  <c r="BD58" i="1" s="1"/>
  <c r="AL58" i="1"/>
  <c r="AJ58" i="1"/>
  <c r="AB58" i="1"/>
  <c r="AA58" i="1"/>
  <c r="Z58" i="1"/>
  <c r="S58" i="1"/>
  <c r="M58" i="1"/>
  <c r="AZ58" i="1" s="1"/>
  <c r="CZ57" i="1"/>
  <c r="CY57" i="1"/>
  <c r="CW57" i="1"/>
  <c r="BL57" i="1"/>
  <c r="BK57" i="1"/>
  <c r="BJ57" i="1"/>
  <c r="BG57" i="1"/>
  <c r="BC57" i="1"/>
  <c r="AW57" i="1"/>
  <c r="AQ57" i="1"/>
  <c r="BD57" i="1" s="1"/>
  <c r="AL57" i="1"/>
  <c r="AK57" i="1"/>
  <c r="AJ57" i="1"/>
  <c r="N57" i="1" s="1"/>
  <c r="AB57" i="1"/>
  <c r="AA57" i="1"/>
  <c r="Z57" i="1" s="1"/>
  <c r="S57" i="1"/>
  <c r="Q57" i="1"/>
  <c r="M57" i="1"/>
  <c r="AZ57" i="1" s="1"/>
  <c r="CZ56" i="1"/>
  <c r="CY56" i="1"/>
  <c r="CX56" i="1" s="1"/>
  <c r="AY56" i="1" s="1"/>
  <c r="CW56" i="1"/>
  <c r="BL56" i="1"/>
  <c r="BK56" i="1"/>
  <c r="BJ56" i="1"/>
  <c r="BI56" i="1"/>
  <c r="BM56" i="1" s="1"/>
  <c r="BN56" i="1" s="1"/>
  <c r="BH56" i="1"/>
  <c r="BG56" i="1"/>
  <c r="BC56" i="1"/>
  <c r="AZ56" i="1"/>
  <c r="AW56" i="1"/>
  <c r="AQ56" i="1"/>
  <c r="BD56" i="1" s="1"/>
  <c r="AL56" i="1"/>
  <c r="AK56" i="1"/>
  <c r="AJ56" i="1"/>
  <c r="L56" i="1" s="1"/>
  <c r="AB56" i="1"/>
  <c r="AA56" i="1"/>
  <c r="Z56" i="1" s="1"/>
  <c r="V56" i="1"/>
  <c r="S56" i="1"/>
  <c r="Q56" i="1"/>
  <c r="N56" i="1"/>
  <c r="M56" i="1"/>
  <c r="K56" i="1"/>
  <c r="CZ55" i="1"/>
  <c r="CY55" i="1"/>
  <c r="CW55" i="1"/>
  <c r="BL55" i="1"/>
  <c r="BK55" i="1"/>
  <c r="BG55" i="1"/>
  <c r="BC55" i="1"/>
  <c r="AW55" i="1"/>
  <c r="AQ55" i="1"/>
  <c r="BD55" i="1" s="1"/>
  <c r="AL55" i="1"/>
  <c r="AJ55" i="1" s="1"/>
  <c r="AB55" i="1"/>
  <c r="AA55" i="1"/>
  <c r="S55" i="1"/>
  <c r="Q55" i="1"/>
  <c r="CZ54" i="1"/>
  <c r="CY54" i="1"/>
  <c r="CW54" i="1"/>
  <c r="BL54" i="1"/>
  <c r="BK54" i="1"/>
  <c r="BG54" i="1"/>
  <c r="BC54" i="1"/>
  <c r="AW54" i="1"/>
  <c r="AQ54" i="1"/>
  <c r="BD54" i="1" s="1"/>
  <c r="AL54" i="1"/>
  <c r="AJ54" i="1"/>
  <c r="N54" i="1" s="1"/>
  <c r="AB54" i="1"/>
  <c r="AA54" i="1"/>
  <c r="Z54" i="1"/>
  <c r="S54" i="1"/>
  <c r="Q54" i="1"/>
  <c r="M54" i="1"/>
  <c r="AZ54" i="1" s="1"/>
  <c r="L54" i="1"/>
  <c r="K54" i="1" s="1"/>
  <c r="CZ53" i="1"/>
  <c r="CY53" i="1"/>
  <c r="CW53" i="1"/>
  <c r="BL53" i="1"/>
  <c r="BK53" i="1"/>
  <c r="BJ53" i="1"/>
  <c r="BG53" i="1"/>
  <c r="BH53" i="1" s="1"/>
  <c r="BC53" i="1"/>
  <c r="AW53" i="1"/>
  <c r="AQ53" i="1"/>
  <c r="BD53" i="1" s="1"/>
  <c r="AL53" i="1"/>
  <c r="AJ53" i="1"/>
  <c r="M53" i="1" s="1"/>
  <c r="AZ53" i="1" s="1"/>
  <c r="AB53" i="1"/>
  <c r="AA53" i="1"/>
  <c r="Z53" i="1"/>
  <c r="S53" i="1"/>
  <c r="CZ52" i="1"/>
  <c r="CY52" i="1"/>
  <c r="CW52" i="1"/>
  <c r="V52" i="1" s="1"/>
  <c r="BM52" i="1"/>
  <c r="BN52" i="1" s="1"/>
  <c r="BL52" i="1"/>
  <c r="BK52" i="1"/>
  <c r="BJ52" i="1"/>
  <c r="BI52" i="1"/>
  <c r="BG52" i="1"/>
  <c r="BH52" i="1" s="1"/>
  <c r="BC52" i="1"/>
  <c r="AW52" i="1"/>
  <c r="AQ52" i="1"/>
  <c r="BD52" i="1" s="1"/>
  <c r="AL52" i="1"/>
  <c r="AJ52" i="1"/>
  <c r="AB52" i="1"/>
  <c r="AA52" i="1"/>
  <c r="Z52" i="1"/>
  <c r="S52" i="1"/>
  <c r="Q52" i="1"/>
  <c r="N52" i="1"/>
  <c r="CZ51" i="1"/>
  <c r="CY51" i="1"/>
  <c r="CX51" i="1" s="1"/>
  <c r="AY51" i="1" s="1"/>
  <c r="CW51" i="1"/>
  <c r="BL51" i="1"/>
  <c r="BK51" i="1"/>
  <c r="BJ51" i="1"/>
  <c r="BI51" i="1"/>
  <c r="BM51" i="1" s="1"/>
  <c r="BN51" i="1" s="1"/>
  <c r="BH51" i="1"/>
  <c r="BG51" i="1"/>
  <c r="BD51" i="1"/>
  <c r="BC51" i="1"/>
  <c r="AW51" i="1"/>
  <c r="AQ51" i="1"/>
  <c r="AL51" i="1"/>
  <c r="AJ51" i="1" s="1"/>
  <c r="N51" i="1" s="1"/>
  <c r="AB51" i="1"/>
  <c r="AA51" i="1"/>
  <c r="V51" i="1"/>
  <c r="S51" i="1"/>
  <c r="L51" i="1"/>
  <c r="K51" i="1" s="1"/>
  <c r="AD51" i="1" s="1"/>
  <c r="CZ50" i="1"/>
  <c r="CY50" i="1"/>
  <c r="CW50" i="1"/>
  <c r="BL50" i="1"/>
  <c r="BK50" i="1"/>
  <c r="BG50" i="1"/>
  <c r="BC50" i="1"/>
  <c r="AW50" i="1"/>
  <c r="AQ50" i="1"/>
  <c r="BD50" i="1" s="1"/>
  <c r="AL50" i="1"/>
  <c r="AJ50" i="1"/>
  <c r="M50" i="1" s="1"/>
  <c r="AZ50" i="1" s="1"/>
  <c r="AB50" i="1"/>
  <c r="Z50" i="1" s="1"/>
  <c r="AA50" i="1"/>
  <c r="S50" i="1"/>
  <c r="CZ49" i="1"/>
  <c r="CY49" i="1"/>
  <c r="CW49" i="1"/>
  <c r="CX49" i="1" s="1"/>
  <c r="AY49" i="1" s="1"/>
  <c r="BM49" i="1"/>
  <c r="BN49" i="1" s="1"/>
  <c r="BL49" i="1"/>
  <c r="BK49" i="1"/>
  <c r="BJ49" i="1"/>
  <c r="BI49" i="1"/>
  <c r="BG49" i="1"/>
  <c r="BH49" i="1" s="1"/>
  <c r="BD49" i="1"/>
  <c r="BC49" i="1"/>
  <c r="AW49" i="1"/>
  <c r="AQ49" i="1"/>
  <c r="AL49" i="1"/>
  <c r="AJ49" i="1"/>
  <c r="AB49" i="1"/>
  <c r="Z49" i="1" s="1"/>
  <c r="AA49" i="1"/>
  <c r="S49" i="1"/>
  <c r="L49" i="1"/>
  <c r="K49" i="1" s="1"/>
  <c r="CZ48" i="1"/>
  <c r="V48" i="1" s="1"/>
  <c r="CY48" i="1"/>
  <c r="CX48" i="1"/>
  <c r="AY48" i="1" s="1"/>
  <c r="CW48" i="1"/>
  <c r="BL48" i="1"/>
  <c r="BK48" i="1"/>
  <c r="BJ48" i="1"/>
  <c r="BH48" i="1"/>
  <c r="BG48" i="1"/>
  <c r="BI48" i="1" s="1"/>
  <c r="BM48" i="1" s="1"/>
  <c r="BN48" i="1" s="1"/>
  <c r="BC48" i="1"/>
  <c r="AW48" i="1"/>
  <c r="BA48" i="1" s="1"/>
  <c r="AQ48" i="1"/>
  <c r="BD48" i="1" s="1"/>
  <c r="AL48" i="1"/>
  <c r="AJ48" i="1"/>
  <c r="AB48" i="1"/>
  <c r="AA48" i="1"/>
  <c r="Z48" i="1"/>
  <c r="S48" i="1"/>
  <c r="CZ47" i="1"/>
  <c r="CY47" i="1"/>
  <c r="CX47" i="1" s="1"/>
  <c r="AY47" i="1" s="1"/>
  <c r="CW47" i="1"/>
  <c r="BN47" i="1"/>
  <c r="BL47" i="1"/>
  <c r="BK47" i="1"/>
  <c r="BJ47" i="1"/>
  <c r="BI47" i="1"/>
  <c r="BM47" i="1" s="1"/>
  <c r="BH47" i="1"/>
  <c r="BG47" i="1"/>
  <c r="BD47" i="1"/>
  <c r="BC47" i="1"/>
  <c r="AW47" i="1"/>
  <c r="AQ47" i="1"/>
  <c r="AL47" i="1"/>
  <c r="AJ47" i="1" s="1"/>
  <c r="AB47" i="1"/>
  <c r="AA47" i="1"/>
  <c r="Z47" i="1" s="1"/>
  <c r="V47" i="1"/>
  <c r="S47" i="1"/>
  <c r="CZ46" i="1"/>
  <c r="CY46" i="1"/>
  <c r="CW46" i="1"/>
  <c r="V46" i="1" s="1"/>
  <c r="BL46" i="1"/>
  <c r="BK46" i="1"/>
  <c r="BH46" i="1"/>
  <c r="BG46" i="1"/>
  <c r="BD46" i="1"/>
  <c r="BC46" i="1"/>
  <c r="AW46" i="1"/>
  <c r="AQ46" i="1"/>
  <c r="AL46" i="1"/>
  <c r="AJ46" i="1"/>
  <c r="N46" i="1" s="1"/>
  <c r="AB46" i="1"/>
  <c r="AA46" i="1"/>
  <c r="Z46" i="1"/>
  <c r="S46" i="1"/>
  <c r="CZ45" i="1"/>
  <c r="CY45" i="1"/>
  <c r="CW45" i="1"/>
  <c r="CX45" i="1" s="1"/>
  <c r="AY45" i="1" s="1"/>
  <c r="BA45" i="1" s="1"/>
  <c r="BM45" i="1"/>
  <c r="BN45" i="1" s="1"/>
  <c r="BL45" i="1"/>
  <c r="BK45" i="1"/>
  <c r="BJ45" i="1"/>
  <c r="BI45" i="1"/>
  <c r="BG45" i="1"/>
  <c r="BH45" i="1" s="1"/>
  <c r="BD45" i="1"/>
  <c r="BC45" i="1"/>
  <c r="AW45" i="1"/>
  <c r="AQ45" i="1"/>
  <c r="AL45" i="1"/>
  <c r="AJ45" i="1" s="1"/>
  <c r="AB45" i="1"/>
  <c r="AA45" i="1"/>
  <c r="Z45" i="1" s="1"/>
  <c r="S45" i="1"/>
  <c r="CZ44" i="1"/>
  <c r="CY44" i="1"/>
  <c r="CX44" i="1"/>
  <c r="AY44" i="1" s="1"/>
  <c r="CW44" i="1"/>
  <c r="BL44" i="1"/>
  <c r="BK44" i="1"/>
  <c r="BG44" i="1"/>
  <c r="BI44" i="1" s="1"/>
  <c r="BM44" i="1" s="1"/>
  <c r="BN44" i="1" s="1"/>
  <c r="BC44" i="1"/>
  <c r="AW44" i="1"/>
  <c r="BA44" i="1" s="1"/>
  <c r="AQ44" i="1"/>
  <c r="BD44" i="1" s="1"/>
  <c r="AL44" i="1"/>
  <c r="AJ44" i="1"/>
  <c r="M44" i="1" s="1"/>
  <c r="AZ44" i="1" s="1"/>
  <c r="BB44" i="1" s="1"/>
  <c r="AB44" i="1"/>
  <c r="AA44" i="1"/>
  <c r="Z44" i="1"/>
  <c r="V44" i="1"/>
  <c r="S44" i="1"/>
  <c r="N44" i="1"/>
  <c r="CZ43" i="1"/>
  <c r="V43" i="1" s="1"/>
  <c r="CY43" i="1"/>
  <c r="CX43" i="1"/>
  <c r="AY43" i="1" s="1"/>
  <c r="CW43" i="1"/>
  <c r="BM43" i="1"/>
  <c r="BN43" i="1" s="1"/>
  <c r="BL43" i="1"/>
  <c r="BK43" i="1"/>
  <c r="BJ43" i="1"/>
  <c r="BI43" i="1"/>
  <c r="BH43" i="1"/>
  <c r="BG43" i="1"/>
  <c r="BD43" i="1"/>
  <c r="BC43" i="1"/>
  <c r="AW43" i="1"/>
  <c r="AQ43" i="1"/>
  <c r="AL43" i="1"/>
  <c r="AJ43" i="1" s="1"/>
  <c r="AK43" i="1" s="1"/>
  <c r="AB43" i="1"/>
  <c r="AA43" i="1"/>
  <c r="Z43" i="1" s="1"/>
  <c r="S43" i="1"/>
  <c r="N43" i="1"/>
  <c r="CZ42" i="1"/>
  <c r="CY42" i="1"/>
  <c r="CX42" i="1"/>
  <c r="AY42" i="1" s="1"/>
  <c r="CW42" i="1"/>
  <c r="V42" i="1" s="1"/>
  <c r="BL42" i="1"/>
  <c r="BK42" i="1"/>
  <c r="BH42" i="1"/>
  <c r="BG42" i="1"/>
  <c r="BD42" i="1"/>
  <c r="BC42" i="1"/>
  <c r="AW42" i="1"/>
  <c r="BA42" i="1" s="1"/>
  <c r="AQ42" i="1"/>
  <c r="AL42" i="1"/>
  <c r="AJ42" i="1" s="1"/>
  <c r="AB42" i="1"/>
  <c r="AA42" i="1"/>
  <c r="Z42" i="1"/>
  <c r="S42" i="1"/>
  <c r="CZ41" i="1"/>
  <c r="CY41" i="1"/>
  <c r="CW41" i="1"/>
  <c r="BL41" i="1"/>
  <c r="BK41" i="1"/>
  <c r="BG41" i="1"/>
  <c r="BH41" i="1" s="1"/>
  <c r="BC41" i="1"/>
  <c r="AW41" i="1"/>
  <c r="AQ41" i="1"/>
  <c r="BD41" i="1" s="1"/>
  <c r="AL41" i="1"/>
  <c r="AJ41" i="1" s="1"/>
  <c r="AB41" i="1"/>
  <c r="Z41" i="1" s="1"/>
  <c r="AA41" i="1"/>
  <c r="S41" i="1"/>
  <c r="CZ40" i="1"/>
  <c r="CY40" i="1"/>
  <c r="CW40" i="1"/>
  <c r="CX40" i="1" s="1"/>
  <c r="AY40" i="1" s="1"/>
  <c r="BA40" i="1" s="1"/>
  <c r="BN40" i="1"/>
  <c r="BM40" i="1"/>
  <c r="BL40" i="1"/>
  <c r="BK40" i="1"/>
  <c r="BJ40" i="1"/>
  <c r="BI40" i="1"/>
  <c r="BG40" i="1"/>
  <c r="BH40" i="1" s="1"/>
  <c r="BD40" i="1"/>
  <c r="BC40" i="1"/>
  <c r="AW40" i="1"/>
  <c r="AQ40" i="1"/>
  <c r="AL40" i="1"/>
  <c r="AJ40" i="1" s="1"/>
  <c r="AB40" i="1"/>
  <c r="AA40" i="1"/>
  <c r="Z40" i="1" s="1"/>
  <c r="S40" i="1"/>
  <c r="CZ39" i="1"/>
  <c r="CY39" i="1"/>
  <c r="CW39" i="1"/>
  <c r="BL39" i="1"/>
  <c r="BK39" i="1"/>
  <c r="BI39" i="1"/>
  <c r="BM39" i="1" s="1"/>
  <c r="BN39" i="1" s="1"/>
  <c r="BG39" i="1"/>
  <c r="BJ39" i="1" s="1"/>
  <c r="BC39" i="1"/>
  <c r="AW39" i="1"/>
  <c r="AQ39" i="1"/>
  <c r="BD39" i="1" s="1"/>
  <c r="AL39" i="1"/>
  <c r="AJ39" i="1"/>
  <c r="M39" i="1" s="1"/>
  <c r="AZ39" i="1" s="1"/>
  <c r="AB39" i="1"/>
  <c r="AA39" i="1"/>
  <c r="Z39" i="1"/>
  <c r="V39" i="1"/>
  <c r="S39" i="1"/>
  <c r="Q39" i="1"/>
  <c r="CZ38" i="1"/>
  <c r="CY38" i="1"/>
  <c r="CW38" i="1"/>
  <c r="BL38" i="1"/>
  <c r="BK38" i="1"/>
  <c r="BG38" i="1"/>
  <c r="BC38" i="1"/>
  <c r="AW38" i="1"/>
  <c r="AQ38" i="1"/>
  <c r="BD38" i="1" s="1"/>
  <c r="AL38" i="1"/>
  <c r="AJ38" i="1" s="1"/>
  <c r="AB38" i="1"/>
  <c r="AA38" i="1"/>
  <c r="Z38" i="1" s="1"/>
  <c r="S38" i="1"/>
  <c r="M38" i="1"/>
  <c r="AZ38" i="1" s="1"/>
  <c r="CZ37" i="1"/>
  <c r="CY37" i="1"/>
  <c r="CW37" i="1"/>
  <c r="CX37" i="1" s="1"/>
  <c r="AY37" i="1" s="1"/>
  <c r="BL37" i="1"/>
  <c r="BK37" i="1"/>
  <c r="BG37" i="1"/>
  <c r="BJ37" i="1" s="1"/>
  <c r="BC37" i="1"/>
  <c r="AW37" i="1"/>
  <c r="AQ37" i="1"/>
  <c r="BD37" i="1" s="1"/>
  <c r="AL37" i="1"/>
  <c r="AK37" i="1"/>
  <c r="AJ37" i="1"/>
  <c r="L37" i="1" s="1"/>
  <c r="AB37" i="1"/>
  <c r="AA37" i="1"/>
  <c r="Z37" i="1" s="1"/>
  <c r="S37" i="1"/>
  <c r="Q37" i="1"/>
  <c r="N37" i="1"/>
  <c r="M37" i="1"/>
  <c r="AZ37" i="1" s="1"/>
  <c r="BB37" i="1" s="1"/>
  <c r="K37" i="1"/>
  <c r="CZ36" i="1"/>
  <c r="CY36" i="1"/>
  <c r="CW36" i="1"/>
  <c r="CX36" i="1" s="1"/>
  <c r="AY36" i="1" s="1"/>
  <c r="BA36" i="1" s="1"/>
  <c r="BL36" i="1"/>
  <c r="BK36" i="1"/>
  <c r="BG36" i="1"/>
  <c r="BI36" i="1" s="1"/>
  <c r="BM36" i="1" s="1"/>
  <c r="BN36" i="1" s="1"/>
  <c r="BD36" i="1"/>
  <c r="BC36" i="1"/>
  <c r="AW36" i="1"/>
  <c r="AQ36" i="1"/>
  <c r="AL36" i="1"/>
  <c r="AJ36" i="1" s="1"/>
  <c r="AB36" i="1"/>
  <c r="AA36" i="1"/>
  <c r="Z36" i="1" s="1"/>
  <c r="S36" i="1"/>
  <c r="CZ35" i="1"/>
  <c r="CY35" i="1"/>
  <c r="CW35" i="1"/>
  <c r="BL35" i="1"/>
  <c r="BK35" i="1"/>
  <c r="BI35" i="1"/>
  <c r="BM35" i="1" s="1"/>
  <c r="BN35" i="1" s="1"/>
  <c r="BG35" i="1"/>
  <c r="BJ35" i="1" s="1"/>
  <c r="BC35" i="1"/>
  <c r="AW35" i="1"/>
  <c r="AQ35" i="1"/>
  <c r="BD35" i="1" s="1"/>
  <c r="AL35" i="1"/>
  <c r="AJ35" i="1"/>
  <c r="M35" i="1" s="1"/>
  <c r="AZ35" i="1" s="1"/>
  <c r="AB35" i="1"/>
  <c r="AA35" i="1"/>
  <c r="Z35" i="1"/>
  <c r="S35" i="1"/>
  <c r="Q35" i="1"/>
  <c r="CZ34" i="1"/>
  <c r="CY34" i="1"/>
  <c r="CW34" i="1"/>
  <c r="BL34" i="1"/>
  <c r="BK34" i="1"/>
  <c r="BG34" i="1"/>
  <c r="BC34" i="1"/>
  <c r="AW34" i="1"/>
  <c r="AQ34" i="1"/>
  <c r="BD34" i="1" s="1"/>
  <c r="AL34" i="1"/>
  <c r="AK34" i="1"/>
  <c r="AJ34" i="1"/>
  <c r="N34" i="1" s="1"/>
  <c r="AB34" i="1"/>
  <c r="AA34" i="1"/>
  <c r="Z34" i="1" s="1"/>
  <c r="S34" i="1"/>
  <c r="Q34" i="1"/>
  <c r="M34" i="1"/>
  <c r="AZ34" i="1" s="1"/>
  <c r="L34" i="1"/>
  <c r="K34" i="1"/>
  <c r="AD34" i="1" s="1"/>
  <c r="CZ33" i="1"/>
  <c r="CY33" i="1"/>
  <c r="CW33" i="1"/>
  <c r="BL33" i="1"/>
  <c r="BK33" i="1"/>
  <c r="BG33" i="1"/>
  <c r="BC33" i="1"/>
  <c r="AW33" i="1"/>
  <c r="AQ33" i="1"/>
  <c r="BD33" i="1" s="1"/>
  <c r="AL33" i="1"/>
  <c r="AK33" i="1"/>
  <c r="AJ33" i="1"/>
  <c r="L33" i="1" s="1"/>
  <c r="K33" i="1" s="1"/>
  <c r="AB33" i="1"/>
  <c r="AA33" i="1"/>
  <c r="Z33" i="1" s="1"/>
  <c r="S33" i="1"/>
  <c r="Q33" i="1"/>
  <c r="N33" i="1"/>
  <c r="M33" i="1"/>
  <c r="AZ33" i="1" s="1"/>
  <c r="CZ32" i="1"/>
  <c r="CY32" i="1"/>
  <c r="CW32" i="1"/>
  <c r="CX32" i="1" s="1"/>
  <c r="AY32" i="1" s="1"/>
  <c r="BA32" i="1" s="1"/>
  <c r="BM32" i="1"/>
  <c r="BN32" i="1" s="1"/>
  <c r="BL32" i="1"/>
  <c r="BK32" i="1"/>
  <c r="BG32" i="1"/>
  <c r="BI32" i="1" s="1"/>
  <c r="BD32" i="1"/>
  <c r="BC32" i="1"/>
  <c r="AW32" i="1"/>
  <c r="AQ32" i="1"/>
  <c r="AL32" i="1"/>
  <c r="AJ32" i="1" s="1"/>
  <c r="AB32" i="1"/>
  <c r="AA32" i="1"/>
  <c r="S32" i="1"/>
  <c r="Q32" i="1"/>
  <c r="CZ31" i="1"/>
  <c r="CY31" i="1"/>
  <c r="CW31" i="1"/>
  <c r="CX31" i="1" s="1"/>
  <c r="BL31" i="1"/>
  <c r="BK31" i="1"/>
  <c r="BI31" i="1"/>
  <c r="BM31" i="1" s="1"/>
  <c r="BN31" i="1" s="1"/>
  <c r="BG31" i="1"/>
  <c r="BJ31" i="1" s="1"/>
  <c r="BC31" i="1"/>
  <c r="AY31" i="1"/>
  <c r="BA31" i="1" s="1"/>
  <c r="AW31" i="1"/>
  <c r="AQ31" i="1"/>
  <c r="BD31" i="1" s="1"/>
  <c r="AL31" i="1"/>
  <c r="AJ31" i="1"/>
  <c r="Q31" i="1" s="1"/>
  <c r="AB31" i="1"/>
  <c r="AA31" i="1"/>
  <c r="Z31" i="1"/>
  <c r="S31" i="1"/>
  <c r="CZ30" i="1"/>
  <c r="CY30" i="1"/>
  <c r="CW30" i="1"/>
  <c r="BL30" i="1"/>
  <c r="BK30" i="1"/>
  <c r="BG30" i="1"/>
  <c r="BH30" i="1" s="1"/>
  <c r="BC30" i="1"/>
  <c r="AW30" i="1"/>
  <c r="AQ30" i="1"/>
  <c r="BD30" i="1" s="1"/>
  <c r="AL30" i="1"/>
  <c r="AJ30" i="1" s="1"/>
  <c r="AB30" i="1"/>
  <c r="AA30" i="1"/>
  <c r="Z30" i="1" s="1"/>
  <c r="S30" i="1"/>
  <c r="CZ29" i="1"/>
  <c r="CY29" i="1"/>
  <c r="CX29" i="1" s="1"/>
  <c r="AY29" i="1" s="1"/>
  <c r="CW29" i="1"/>
  <c r="BL29" i="1"/>
  <c r="BK29" i="1"/>
  <c r="BG29" i="1"/>
  <c r="BJ29" i="1" s="1"/>
  <c r="BC29" i="1"/>
  <c r="AW29" i="1"/>
  <c r="AQ29" i="1"/>
  <c r="BD29" i="1" s="1"/>
  <c r="AL29" i="1"/>
  <c r="AJ29" i="1" s="1"/>
  <c r="L29" i="1" s="1"/>
  <c r="K29" i="1" s="1"/>
  <c r="AB29" i="1"/>
  <c r="AA29" i="1"/>
  <c r="Z29" i="1" s="1"/>
  <c r="V29" i="1"/>
  <c r="S29" i="1"/>
  <c r="Q29" i="1"/>
  <c r="M29" i="1"/>
  <c r="AZ29" i="1" s="1"/>
  <c r="CZ28" i="1"/>
  <c r="CY28" i="1"/>
  <c r="CW28" i="1"/>
  <c r="V28" i="1" s="1"/>
  <c r="BL28" i="1"/>
  <c r="BK28" i="1"/>
  <c r="BG28" i="1"/>
  <c r="BI28" i="1" s="1"/>
  <c r="BM28" i="1" s="1"/>
  <c r="BN28" i="1" s="1"/>
  <c r="BD28" i="1"/>
  <c r="BC28" i="1"/>
  <c r="AW28" i="1"/>
  <c r="AQ28" i="1"/>
  <c r="AL28" i="1"/>
  <c r="AJ28" i="1" s="1"/>
  <c r="M28" i="1" s="1"/>
  <c r="AZ28" i="1" s="1"/>
  <c r="AB28" i="1"/>
  <c r="AA28" i="1"/>
  <c r="Z28" i="1" s="1"/>
  <c r="S28" i="1"/>
  <c r="N28" i="1"/>
  <c r="CZ27" i="1"/>
  <c r="CY27" i="1"/>
  <c r="CX27" i="1" s="1"/>
  <c r="AY27" i="1" s="1"/>
  <c r="CW27" i="1"/>
  <c r="BL27" i="1"/>
  <c r="BK27" i="1"/>
  <c r="BJ27" i="1"/>
  <c r="BI27" i="1"/>
  <c r="BM27" i="1" s="1"/>
  <c r="BN27" i="1" s="1"/>
  <c r="BH27" i="1"/>
  <c r="BG27" i="1"/>
  <c r="BD27" i="1"/>
  <c r="BC27" i="1"/>
  <c r="AW27" i="1"/>
  <c r="BA27" i="1" s="1"/>
  <c r="AQ27" i="1"/>
  <c r="AL27" i="1"/>
  <c r="AJ27" i="1" s="1"/>
  <c r="AB27" i="1"/>
  <c r="AA27" i="1"/>
  <c r="Z27" i="1" s="1"/>
  <c r="V27" i="1"/>
  <c r="S27" i="1"/>
  <c r="CZ26" i="1"/>
  <c r="CY26" i="1"/>
  <c r="CW26" i="1"/>
  <c r="CX26" i="1" s="1"/>
  <c r="AY26" i="1" s="1"/>
  <c r="BL26" i="1"/>
  <c r="BK26" i="1"/>
  <c r="BG26" i="1"/>
  <c r="BJ26" i="1" s="1"/>
  <c r="BC26" i="1"/>
  <c r="AW26" i="1"/>
  <c r="BA26" i="1" s="1"/>
  <c r="AQ26" i="1"/>
  <c r="BD26" i="1" s="1"/>
  <c r="AL26" i="1"/>
  <c r="AJ26" i="1"/>
  <c r="AK26" i="1" s="1"/>
  <c r="AB26" i="1"/>
  <c r="AA26" i="1"/>
  <c r="Z26" i="1"/>
  <c r="S26" i="1"/>
  <c r="CZ25" i="1"/>
  <c r="V25" i="1" s="1"/>
  <c r="CY25" i="1"/>
  <c r="CW25" i="1"/>
  <c r="CX25" i="1" s="1"/>
  <c r="AY25" i="1" s="1"/>
  <c r="BL25" i="1"/>
  <c r="BK25" i="1"/>
  <c r="BJ25" i="1"/>
  <c r="BH25" i="1"/>
  <c r="BG25" i="1"/>
  <c r="BI25" i="1" s="1"/>
  <c r="BM25" i="1" s="1"/>
  <c r="BN25" i="1" s="1"/>
  <c r="BC25" i="1"/>
  <c r="AW25" i="1"/>
  <c r="AQ25" i="1"/>
  <c r="BD25" i="1" s="1"/>
  <c r="AL25" i="1"/>
  <c r="AK25" i="1"/>
  <c r="AJ25" i="1"/>
  <c r="Q25" i="1" s="1"/>
  <c r="AB25" i="1"/>
  <c r="AA25" i="1"/>
  <c r="Z25" i="1" s="1"/>
  <c r="S25" i="1"/>
  <c r="CZ24" i="1"/>
  <c r="CY24" i="1"/>
  <c r="CX24" i="1"/>
  <c r="AY24" i="1" s="1"/>
  <c r="CW24" i="1"/>
  <c r="BL24" i="1"/>
  <c r="BK24" i="1"/>
  <c r="BJ24" i="1"/>
  <c r="BI24" i="1"/>
  <c r="BM24" i="1" s="1"/>
  <c r="BN24" i="1" s="1"/>
  <c r="BH24" i="1"/>
  <c r="BG24" i="1"/>
  <c r="BD24" i="1"/>
  <c r="BC24" i="1"/>
  <c r="AW24" i="1"/>
  <c r="BA24" i="1" s="1"/>
  <c r="AQ24" i="1"/>
  <c r="AL24" i="1"/>
  <c r="AJ24" i="1" s="1"/>
  <c r="AB24" i="1"/>
  <c r="AA24" i="1"/>
  <c r="Z24" i="1" s="1"/>
  <c r="V24" i="1"/>
  <c r="S24" i="1"/>
  <c r="CZ23" i="1"/>
  <c r="CY23" i="1"/>
  <c r="CX23" i="1" s="1"/>
  <c r="AY23" i="1" s="1"/>
  <c r="CW23" i="1"/>
  <c r="BL23" i="1"/>
  <c r="BK23" i="1"/>
  <c r="BI23" i="1"/>
  <c r="BM23" i="1" s="1"/>
  <c r="BN23" i="1" s="1"/>
  <c r="BH23" i="1"/>
  <c r="BG23" i="1"/>
  <c r="BJ23" i="1" s="1"/>
  <c r="BD23" i="1"/>
  <c r="BC23" i="1"/>
  <c r="AW23" i="1"/>
  <c r="AQ23" i="1"/>
  <c r="AL23" i="1"/>
  <c r="AJ23" i="1" s="1"/>
  <c r="AB23" i="1"/>
  <c r="Z23" i="1" s="1"/>
  <c r="AA23" i="1"/>
  <c r="V23" i="1"/>
  <c r="S23" i="1"/>
  <c r="CZ22" i="1"/>
  <c r="CY22" i="1"/>
  <c r="CW22" i="1"/>
  <c r="CX22" i="1" s="1"/>
  <c r="AY22" i="1" s="1"/>
  <c r="BA22" i="1" s="1"/>
  <c r="BL22" i="1"/>
  <c r="BK22" i="1"/>
  <c r="BG22" i="1"/>
  <c r="BJ22" i="1" s="1"/>
  <c r="BC22" i="1"/>
  <c r="AW22" i="1"/>
  <c r="AQ22" i="1"/>
  <c r="BD22" i="1" s="1"/>
  <c r="AL22" i="1"/>
  <c r="AJ22" i="1"/>
  <c r="AK22" i="1" s="1"/>
  <c r="AB22" i="1"/>
  <c r="AA22" i="1"/>
  <c r="Z22" i="1"/>
  <c r="S22" i="1"/>
  <c r="CZ21" i="1"/>
  <c r="V21" i="1" s="1"/>
  <c r="CY21" i="1"/>
  <c r="CW21" i="1"/>
  <c r="CX21" i="1" s="1"/>
  <c r="AY21" i="1" s="1"/>
  <c r="BA21" i="1" s="1"/>
  <c r="BL21" i="1"/>
  <c r="BK21" i="1"/>
  <c r="BJ21" i="1"/>
  <c r="BG21" i="1"/>
  <c r="BI21" i="1" s="1"/>
  <c r="BM21" i="1" s="1"/>
  <c r="BN21" i="1" s="1"/>
  <c r="BC21" i="1"/>
  <c r="AW21" i="1"/>
  <c r="AQ21" i="1"/>
  <c r="BD21" i="1" s="1"/>
  <c r="AL21" i="1"/>
  <c r="AK21" i="1"/>
  <c r="AJ21" i="1"/>
  <c r="N21" i="1" s="1"/>
  <c r="AB21" i="1"/>
  <c r="AA21" i="1"/>
  <c r="Z21" i="1" s="1"/>
  <c r="S21" i="1"/>
  <c r="Q21" i="1"/>
  <c r="CZ20" i="1"/>
  <c r="CY20" i="1"/>
  <c r="CX20" i="1"/>
  <c r="AY20" i="1" s="1"/>
  <c r="CW20" i="1"/>
  <c r="BL20" i="1"/>
  <c r="BK20" i="1"/>
  <c r="BJ20" i="1"/>
  <c r="BI20" i="1"/>
  <c r="BM20" i="1" s="1"/>
  <c r="BN20" i="1" s="1"/>
  <c r="BH20" i="1"/>
  <c r="BG20" i="1"/>
  <c r="BD20" i="1"/>
  <c r="BC20" i="1"/>
  <c r="AW20" i="1"/>
  <c r="BA20" i="1" s="1"/>
  <c r="AQ20" i="1"/>
  <c r="AL20" i="1"/>
  <c r="AJ20" i="1" s="1"/>
  <c r="AB20" i="1"/>
  <c r="AA20" i="1"/>
  <c r="Z20" i="1" s="1"/>
  <c r="V20" i="1"/>
  <c r="S20" i="1"/>
  <c r="CZ19" i="1"/>
  <c r="CY19" i="1"/>
  <c r="CW19" i="1"/>
  <c r="CX19" i="1" s="1"/>
  <c r="AY19" i="1" s="1"/>
  <c r="BL19" i="1"/>
  <c r="BK19" i="1"/>
  <c r="BI19" i="1"/>
  <c r="BM19" i="1" s="1"/>
  <c r="BN19" i="1" s="1"/>
  <c r="BG19" i="1"/>
  <c r="BJ19" i="1" s="1"/>
  <c r="BD19" i="1"/>
  <c r="BC19" i="1"/>
  <c r="AW19" i="1"/>
  <c r="AQ19" i="1"/>
  <c r="AL19" i="1"/>
  <c r="AJ19" i="1" s="1"/>
  <c r="AB19" i="1"/>
  <c r="Z19" i="1" s="1"/>
  <c r="AA19" i="1"/>
  <c r="S19" i="1"/>
  <c r="CZ18" i="1"/>
  <c r="CY18" i="1"/>
  <c r="CW18" i="1"/>
  <c r="CX18" i="1" s="1"/>
  <c r="AY18" i="1" s="1"/>
  <c r="BA18" i="1" s="1"/>
  <c r="BL18" i="1"/>
  <c r="BK18" i="1"/>
  <c r="BG18" i="1"/>
  <c r="BJ18" i="1" s="1"/>
  <c r="BC18" i="1"/>
  <c r="AW18" i="1"/>
  <c r="AQ18" i="1"/>
  <c r="BD18" i="1" s="1"/>
  <c r="AL18" i="1"/>
  <c r="AJ18" i="1"/>
  <c r="AK18" i="1" s="1"/>
  <c r="AB18" i="1"/>
  <c r="AA18" i="1"/>
  <c r="Z18" i="1"/>
  <c r="S18" i="1"/>
  <c r="CZ17" i="1"/>
  <c r="CY17" i="1"/>
  <c r="CW17" i="1"/>
  <c r="CX17" i="1" s="1"/>
  <c r="AY17" i="1" s="1"/>
  <c r="BA17" i="1" s="1"/>
  <c r="BL17" i="1"/>
  <c r="BK17" i="1"/>
  <c r="BJ17" i="1"/>
  <c r="BG17" i="1"/>
  <c r="BI17" i="1" s="1"/>
  <c r="BM17" i="1" s="1"/>
  <c r="BN17" i="1" s="1"/>
  <c r="BC17" i="1"/>
  <c r="AW17" i="1"/>
  <c r="AQ17" i="1"/>
  <c r="BD17" i="1" s="1"/>
  <c r="AL17" i="1"/>
  <c r="AK17" i="1"/>
  <c r="AJ17" i="1"/>
  <c r="N17" i="1" s="1"/>
  <c r="AB17" i="1"/>
  <c r="AA17" i="1"/>
  <c r="Z17" i="1" s="1"/>
  <c r="S17" i="1"/>
  <c r="Q17" i="1"/>
  <c r="BA19" i="1" l="1"/>
  <c r="BA25" i="1"/>
  <c r="AD29" i="1"/>
  <c r="M23" i="1"/>
  <c r="AZ23" i="1" s="1"/>
  <c r="BB23" i="1" s="1"/>
  <c r="AK23" i="1"/>
  <c r="Q23" i="1"/>
  <c r="N23" i="1"/>
  <c r="L23" i="1"/>
  <c r="K23" i="1" s="1"/>
  <c r="M24" i="1"/>
  <c r="AZ24" i="1" s="1"/>
  <c r="BB24" i="1" s="1"/>
  <c r="Q24" i="1"/>
  <c r="L24" i="1"/>
  <c r="K24" i="1" s="1"/>
  <c r="AK24" i="1"/>
  <c r="N24" i="1"/>
  <c r="BA29" i="1"/>
  <c r="W24" i="1"/>
  <c r="X24" i="1" s="1"/>
  <c r="W20" i="1"/>
  <c r="X20" i="1" s="1"/>
  <c r="BA23" i="1"/>
  <c r="W21" i="1"/>
  <c r="X21" i="1" s="1"/>
  <c r="AE21" i="1" s="1"/>
  <c r="M27" i="1"/>
  <c r="AZ27" i="1" s="1"/>
  <c r="BB27" i="1" s="1"/>
  <c r="AK27" i="1"/>
  <c r="Q27" i="1"/>
  <c r="N27" i="1"/>
  <c r="L27" i="1"/>
  <c r="K27" i="1" s="1"/>
  <c r="AK19" i="1"/>
  <c r="Q19" i="1"/>
  <c r="L19" i="1"/>
  <c r="K19" i="1" s="1"/>
  <c r="N19" i="1"/>
  <c r="M19" i="1"/>
  <c r="AZ19" i="1" s="1"/>
  <c r="BB19" i="1" s="1"/>
  <c r="N20" i="1"/>
  <c r="M20" i="1"/>
  <c r="AZ20" i="1" s="1"/>
  <c r="BB20" i="1" s="1"/>
  <c r="L20" i="1"/>
  <c r="K20" i="1" s="1"/>
  <c r="Q20" i="1"/>
  <c r="AK20" i="1"/>
  <c r="AD33" i="1"/>
  <c r="L18" i="1"/>
  <c r="K18" i="1" s="1"/>
  <c r="V19" i="1"/>
  <c r="BH19" i="1"/>
  <c r="L22" i="1"/>
  <c r="K22" i="1" s="1"/>
  <c r="L26" i="1"/>
  <c r="K26" i="1" s="1"/>
  <c r="AK28" i="1"/>
  <c r="N32" i="1"/>
  <c r="M32" i="1"/>
  <c r="AZ32" i="1" s="1"/>
  <c r="BB32" i="1" s="1"/>
  <c r="CX33" i="1"/>
  <c r="AY33" i="1" s="1"/>
  <c r="BB33" i="1" s="1"/>
  <c r="V33" i="1"/>
  <c r="CX35" i="1"/>
  <c r="AY35" i="1" s="1"/>
  <c r="BA35" i="1" s="1"/>
  <c r="BA37" i="1"/>
  <c r="Q45" i="1"/>
  <c r="N45" i="1"/>
  <c r="M45" i="1"/>
  <c r="AZ45" i="1" s="1"/>
  <c r="BB45" i="1" s="1"/>
  <c r="L45" i="1"/>
  <c r="K45" i="1" s="1"/>
  <c r="AK45" i="1"/>
  <c r="M18" i="1"/>
  <c r="AZ18" i="1" s="1"/>
  <c r="BB18" i="1" s="1"/>
  <c r="M22" i="1"/>
  <c r="AZ22" i="1" s="1"/>
  <c r="BB22" i="1" s="1"/>
  <c r="N36" i="1"/>
  <c r="M36" i="1"/>
  <c r="AZ36" i="1" s="1"/>
  <c r="BB36" i="1" s="1"/>
  <c r="L36" i="1"/>
  <c r="K36" i="1" s="1"/>
  <c r="AK36" i="1"/>
  <c r="Q28" i="1"/>
  <c r="L17" i="1"/>
  <c r="K17" i="1" s="1"/>
  <c r="N18" i="1"/>
  <c r="V18" i="1"/>
  <c r="BH18" i="1"/>
  <c r="L21" i="1"/>
  <c r="K21" i="1" s="1"/>
  <c r="N22" i="1"/>
  <c r="V22" i="1"/>
  <c r="BH22" i="1"/>
  <c r="L25" i="1"/>
  <c r="K25" i="1" s="1"/>
  <c r="N26" i="1"/>
  <c r="V26" i="1"/>
  <c r="BH26" i="1"/>
  <c r="W29" i="1"/>
  <c r="X29" i="1" s="1"/>
  <c r="T29" i="1" s="1"/>
  <c r="R29" i="1" s="1"/>
  <c r="U29" i="1" s="1"/>
  <c r="O29" i="1" s="1"/>
  <c r="P29" i="1" s="1"/>
  <c r="AK29" i="1"/>
  <c r="BH29" i="1"/>
  <c r="CX34" i="1"/>
  <c r="AY34" i="1" s="1"/>
  <c r="BA34" i="1" s="1"/>
  <c r="V34" i="1"/>
  <c r="N40" i="1"/>
  <c r="M40" i="1"/>
  <c r="AZ40" i="1" s="1"/>
  <c r="BB40" i="1" s="1"/>
  <c r="L40" i="1"/>
  <c r="K40" i="1" s="1"/>
  <c r="AK40" i="1"/>
  <c r="Q40" i="1"/>
  <c r="AK42" i="1"/>
  <c r="N42" i="1"/>
  <c r="M42" i="1"/>
  <c r="AZ42" i="1" s="1"/>
  <c r="BB42" i="1" s="1"/>
  <c r="L42" i="1"/>
  <c r="K42" i="1" s="1"/>
  <c r="Q42" i="1"/>
  <c r="M26" i="1"/>
  <c r="AZ26" i="1" s="1"/>
  <c r="BB26" i="1" s="1"/>
  <c r="BH28" i="1"/>
  <c r="BJ28" i="1"/>
  <c r="BI18" i="1"/>
  <c r="BM18" i="1" s="1"/>
  <c r="BN18" i="1" s="1"/>
  <c r="M21" i="1"/>
  <c r="AZ21" i="1" s="1"/>
  <c r="BB21" i="1" s="1"/>
  <c r="BI22" i="1"/>
  <c r="BM22" i="1" s="1"/>
  <c r="BN22" i="1" s="1"/>
  <c r="M25" i="1"/>
  <c r="AZ25" i="1" s="1"/>
  <c r="BB25" i="1" s="1"/>
  <c r="BI26" i="1"/>
  <c r="BM26" i="1" s="1"/>
  <c r="BN26" i="1" s="1"/>
  <c r="BB29" i="1"/>
  <c r="BI29" i="1"/>
  <c r="BM29" i="1" s="1"/>
  <c r="BN29" i="1" s="1"/>
  <c r="AK30" i="1"/>
  <c r="N30" i="1"/>
  <c r="L30" i="1"/>
  <c r="K30" i="1" s="1"/>
  <c r="BI30" i="1"/>
  <c r="BM30" i="1" s="1"/>
  <c r="BN30" i="1" s="1"/>
  <c r="Q36" i="1"/>
  <c r="BJ38" i="1"/>
  <c r="BI38" i="1"/>
  <c r="BM38" i="1" s="1"/>
  <c r="BN38" i="1" s="1"/>
  <c r="BH38" i="1"/>
  <c r="M17" i="1"/>
  <c r="AZ17" i="1" s="1"/>
  <c r="BB17" i="1" s="1"/>
  <c r="BH17" i="1"/>
  <c r="BH21" i="1"/>
  <c r="N25" i="1"/>
  <c r="L28" i="1"/>
  <c r="K28" i="1" s="1"/>
  <c r="N29" i="1"/>
  <c r="M30" i="1"/>
  <c r="AZ30" i="1" s="1"/>
  <c r="BJ30" i="1"/>
  <c r="Z32" i="1"/>
  <c r="BJ33" i="1"/>
  <c r="BI33" i="1"/>
  <c r="BM33" i="1" s="1"/>
  <c r="BN33" i="1" s="1"/>
  <c r="BH33" i="1"/>
  <c r="CX39" i="1"/>
  <c r="AY39" i="1" s="1"/>
  <c r="BA39" i="1" s="1"/>
  <c r="AK41" i="1"/>
  <c r="Q41" i="1"/>
  <c r="N41" i="1"/>
  <c r="M41" i="1"/>
  <c r="AZ41" i="1" s="1"/>
  <c r="BB41" i="1" s="1"/>
  <c r="L41" i="1"/>
  <c r="K41" i="1" s="1"/>
  <c r="AD49" i="1"/>
  <c r="V17" i="1"/>
  <c r="Q18" i="1"/>
  <c r="Q22" i="1"/>
  <c r="Q26" i="1"/>
  <c r="AD37" i="1"/>
  <c r="M31" i="1"/>
  <c r="AZ31" i="1" s="1"/>
  <c r="BB31" i="1" s="1"/>
  <c r="L31" i="1"/>
  <c r="K31" i="1" s="1"/>
  <c r="N31" i="1"/>
  <c r="BJ34" i="1"/>
  <c r="BH34" i="1"/>
  <c r="BB35" i="1"/>
  <c r="CX38" i="1"/>
  <c r="AY38" i="1" s="1"/>
  <c r="BA38" i="1" s="1"/>
  <c r="V38" i="1"/>
  <c r="CX28" i="1"/>
  <c r="AY28" i="1" s="1"/>
  <c r="BA28" i="1" s="1"/>
  <c r="Q30" i="1"/>
  <c r="CX30" i="1"/>
  <c r="AY30" i="1" s="1"/>
  <c r="BA30" i="1" s="1"/>
  <c r="V30" i="1"/>
  <c r="AK31" i="1"/>
  <c r="L32" i="1"/>
  <c r="K32" i="1" s="1"/>
  <c r="AK32" i="1"/>
  <c r="BI34" i="1"/>
  <c r="BM34" i="1" s="1"/>
  <c r="BN34" i="1" s="1"/>
  <c r="AK38" i="1"/>
  <c r="Q38" i="1"/>
  <c r="N38" i="1"/>
  <c r="L38" i="1"/>
  <c r="K38" i="1" s="1"/>
  <c r="V31" i="1"/>
  <c r="BH31" i="1"/>
  <c r="BJ32" i="1"/>
  <c r="N35" i="1"/>
  <c r="V35" i="1"/>
  <c r="BH35" i="1"/>
  <c r="BJ36" i="1"/>
  <c r="N39" i="1"/>
  <c r="BH39" i="1"/>
  <c r="CX41" i="1"/>
  <c r="AY41" i="1" s="1"/>
  <c r="BA41" i="1" s="1"/>
  <c r="V41" i="1"/>
  <c r="L43" i="1"/>
  <c r="K43" i="1" s="1"/>
  <c r="W43" i="1" s="1"/>
  <c r="X43" i="1" s="1"/>
  <c r="CX46" i="1"/>
  <c r="AY46" i="1" s="1"/>
  <c r="BJ50" i="1"/>
  <c r="BI50" i="1"/>
  <c r="BM50" i="1" s="1"/>
  <c r="BN50" i="1" s="1"/>
  <c r="BH50" i="1"/>
  <c r="CX53" i="1"/>
  <c r="AY53" i="1" s="1"/>
  <c r="BA53" i="1" s="1"/>
  <c r="V53" i="1"/>
  <c r="AE56" i="1"/>
  <c r="L78" i="1"/>
  <c r="K78" i="1" s="1"/>
  <c r="Q78" i="1"/>
  <c r="M78" i="1"/>
  <c r="AZ78" i="1" s="1"/>
  <c r="BB78" i="1" s="1"/>
  <c r="N78" i="1"/>
  <c r="AK78" i="1"/>
  <c r="BA43" i="1"/>
  <c r="M47" i="1"/>
  <c r="AZ47" i="1" s="1"/>
  <c r="BB47" i="1" s="1"/>
  <c r="AK47" i="1"/>
  <c r="Q47" i="1"/>
  <c r="M48" i="1"/>
  <c r="AZ48" i="1" s="1"/>
  <c r="BB48" i="1" s="1"/>
  <c r="L48" i="1"/>
  <c r="K48" i="1" s="1"/>
  <c r="AK48" i="1"/>
  <c r="BA49" i="1"/>
  <c r="AK50" i="1"/>
  <c r="Q50" i="1"/>
  <c r="N50" i="1"/>
  <c r="AK55" i="1"/>
  <c r="N55" i="1"/>
  <c r="M55" i="1"/>
  <c r="AZ55" i="1" s="1"/>
  <c r="BB55" i="1" s="1"/>
  <c r="L55" i="1"/>
  <c r="K55" i="1" s="1"/>
  <c r="W56" i="1"/>
  <c r="X56" i="1" s="1"/>
  <c r="BA56" i="1"/>
  <c r="BI41" i="1"/>
  <c r="BM41" i="1" s="1"/>
  <c r="BN41" i="1" s="1"/>
  <c r="BJ46" i="1"/>
  <c r="BI46" i="1"/>
  <c r="BM46" i="1" s="1"/>
  <c r="BN46" i="1" s="1"/>
  <c r="M51" i="1"/>
  <c r="AZ51" i="1" s="1"/>
  <c r="BB51" i="1" s="1"/>
  <c r="AK51" i="1"/>
  <c r="Q51" i="1"/>
  <c r="BJ59" i="1"/>
  <c r="BH59" i="1"/>
  <c r="BJ41" i="1"/>
  <c r="L44" i="1"/>
  <c r="K44" i="1" s="1"/>
  <c r="AK44" i="1"/>
  <c r="AK46" i="1"/>
  <c r="Q46" i="1"/>
  <c r="L47" i="1"/>
  <c r="K47" i="1" s="1"/>
  <c r="W47" i="1" s="1"/>
  <c r="X47" i="1" s="1"/>
  <c r="BA47" i="1"/>
  <c r="N48" i="1"/>
  <c r="N53" i="1"/>
  <c r="L53" i="1"/>
  <c r="K53" i="1" s="1"/>
  <c r="Q53" i="1"/>
  <c r="AK53" i="1"/>
  <c r="AD54" i="1"/>
  <c r="CX58" i="1"/>
  <c r="AY58" i="1" s="1"/>
  <c r="BB58" i="1" s="1"/>
  <c r="V58" i="1"/>
  <c r="V37" i="1"/>
  <c r="BH37" i="1"/>
  <c r="BH44" i="1"/>
  <c r="N47" i="1"/>
  <c r="CX50" i="1"/>
  <c r="AY50" i="1" s="1"/>
  <c r="BA50" i="1" s="1"/>
  <c r="V50" i="1"/>
  <c r="BA51" i="1"/>
  <c r="T56" i="1"/>
  <c r="R56" i="1" s="1"/>
  <c r="U56" i="1" s="1"/>
  <c r="O56" i="1" s="1"/>
  <c r="P56" i="1" s="1"/>
  <c r="AD56" i="1"/>
  <c r="AK35" i="1"/>
  <c r="BI37" i="1"/>
  <c r="BM37" i="1" s="1"/>
  <c r="BN37" i="1" s="1"/>
  <c r="AK39" i="1"/>
  <c r="Q44" i="1"/>
  <c r="BJ44" i="1"/>
  <c r="Q48" i="1"/>
  <c r="Q49" i="1"/>
  <c r="N49" i="1"/>
  <c r="M49" i="1"/>
  <c r="AZ49" i="1" s="1"/>
  <c r="BB49" i="1" s="1"/>
  <c r="W51" i="1"/>
  <c r="X51" i="1" s="1"/>
  <c r="BJ55" i="1"/>
  <c r="BH55" i="1"/>
  <c r="V32" i="1"/>
  <c r="BH32" i="1"/>
  <c r="L35" i="1"/>
  <c r="K35" i="1" s="1"/>
  <c r="V36" i="1"/>
  <c r="BH36" i="1"/>
  <c r="L39" i="1"/>
  <c r="K39" i="1" s="1"/>
  <c r="V40" i="1"/>
  <c r="BJ42" i="1"/>
  <c r="BI42" i="1"/>
  <c r="BM42" i="1" s="1"/>
  <c r="BN42" i="1" s="1"/>
  <c r="L46" i="1"/>
  <c r="K46" i="1" s="1"/>
  <c r="BA46" i="1"/>
  <c r="AK49" i="1"/>
  <c r="Z51" i="1"/>
  <c r="M52" i="1"/>
  <c r="AZ52" i="1" s="1"/>
  <c r="L52" i="1"/>
  <c r="K52" i="1" s="1"/>
  <c r="AK52" i="1"/>
  <c r="CX54" i="1"/>
  <c r="AY54" i="1" s="1"/>
  <c r="BA54" i="1" s="1"/>
  <c r="V54" i="1"/>
  <c r="BI55" i="1"/>
  <c r="BM55" i="1" s="1"/>
  <c r="BN55" i="1" s="1"/>
  <c r="AK59" i="1"/>
  <c r="N59" i="1"/>
  <c r="M59" i="1"/>
  <c r="AZ59" i="1" s="1"/>
  <c r="L59" i="1"/>
  <c r="K59" i="1" s="1"/>
  <c r="BA60" i="1"/>
  <c r="M43" i="1"/>
  <c r="AZ43" i="1" s="1"/>
  <c r="BB43" i="1" s="1"/>
  <c r="Q43" i="1"/>
  <c r="M46" i="1"/>
  <c r="AZ46" i="1" s="1"/>
  <c r="BB46" i="1" s="1"/>
  <c r="L50" i="1"/>
  <c r="K50" i="1" s="1"/>
  <c r="AK63" i="1"/>
  <c r="Q63" i="1"/>
  <c r="N63" i="1"/>
  <c r="M63" i="1"/>
  <c r="AZ63" i="1" s="1"/>
  <c r="BB63" i="1" s="1"/>
  <c r="BA75" i="1"/>
  <c r="N83" i="1"/>
  <c r="M83" i="1"/>
  <c r="AZ83" i="1" s="1"/>
  <c r="BB83" i="1" s="1"/>
  <c r="Q83" i="1"/>
  <c r="L83" i="1"/>
  <c r="K83" i="1" s="1"/>
  <c r="AK83" i="1"/>
  <c r="CX52" i="1"/>
  <c r="AY52" i="1" s="1"/>
  <c r="BA52" i="1" s="1"/>
  <c r="BJ54" i="1"/>
  <c r="BH54" i="1"/>
  <c r="Q58" i="1"/>
  <c r="N58" i="1"/>
  <c r="L58" i="1"/>
  <c r="K58" i="1" s="1"/>
  <c r="BJ58" i="1"/>
  <c r="BH58" i="1"/>
  <c r="BJ65" i="1"/>
  <c r="BI65" i="1"/>
  <c r="BM65" i="1" s="1"/>
  <c r="BN65" i="1" s="1"/>
  <c r="BH65" i="1"/>
  <c r="V45" i="1"/>
  <c r="V49" i="1"/>
  <c r="BI53" i="1"/>
  <c r="BM53" i="1" s="1"/>
  <c r="BN53" i="1" s="1"/>
  <c r="AK54" i="1"/>
  <c r="BI54" i="1"/>
  <c r="BM54" i="1" s="1"/>
  <c r="BN54" i="1" s="1"/>
  <c r="Z55" i="1"/>
  <c r="BB56" i="1"/>
  <c r="CX57" i="1"/>
  <c r="AY57" i="1" s="1"/>
  <c r="BA57" i="1" s="1"/>
  <c r="V57" i="1"/>
  <c r="AK58" i="1"/>
  <c r="BI58" i="1"/>
  <c r="BM58" i="1" s="1"/>
  <c r="BN58" i="1" s="1"/>
  <c r="Z59" i="1"/>
  <c r="BB60" i="1"/>
  <c r="BB61" i="1"/>
  <c r="BJ62" i="1"/>
  <c r="BI62" i="1"/>
  <c r="BM62" i="1" s="1"/>
  <c r="BN62" i="1" s="1"/>
  <c r="BH62" i="1"/>
  <c r="W73" i="1"/>
  <c r="X73" i="1" s="1"/>
  <c r="CX55" i="1"/>
  <c r="AY55" i="1" s="1"/>
  <c r="BA55" i="1" s="1"/>
  <c r="V55" i="1"/>
  <c r="CX59" i="1"/>
  <c r="AY59" i="1" s="1"/>
  <c r="BA59" i="1" s="1"/>
  <c r="V59" i="1"/>
  <c r="CX63" i="1"/>
  <c r="AY63" i="1" s="1"/>
  <c r="BA63" i="1" s="1"/>
  <c r="BH66" i="1"/>
  <c r="BJ66" i="1"/>
  <c r="BI66" i="1"/>
  <c r="BM66" i="1" s="1"/>
  <c r="BN66" i="1" s="1"/>
  <c r="V67" i="1"/>
  <c r="CX67" i="1"/>
  <c r="AY67" i="1" s="1"/>
  <c r="BB67" i="1" s="1"/>
  <c r="Q62" i="1"/>
  <c r="N62" i="1"/>
  <c r="L62" i="1"/>
  <c r="K62" i="1" s="1"/>
  <c r="AK62" i="1"/>
  <c r="BB71" i="1"/>
  <c r="CX72" i="1"/>
  <c r="AY72" i="1" s="1"/>
  <c r="BA72" i="1" s="1"/>
  <c r="V72" i="1"/>
  <c r="N77" i="1"/>
  <c r="L77" i="1"/>
  <c r="K77" i="1" s="1"/>
  <c r="Q77" i="1"/>
  <c r="AK77" i="1"/>
  <c r="BI57" i="1"/>
  <c r="BM57" i="1" s="1"/>
  <c r="BN57" i="1" s="1"/>
  <c r="BH57" i="1"/>
  <c r="BA58" i="1"/>
  <c r="CX62" i="1"/>
  <c r="AY62" i="1" s="1"/>
  <c r="BA62" i="1" s="1"/>
  <c r="V62" i="1"/>
  <c r="W65" i="1"/>
  <c r="X65" i="1" s="1"/>
  <c r="AD68" i="1"/>
  <c r="N66" i="1"/>
  <c r="AK66" i="1"/>
  <c r="M66" i="1"/>
  <c r="AZ66" i="1" s="1"/>
  <c r="BB66" i="1" s="1"/>
  <c r="L66" i="1"/>
  <c r="K66" i="1" s="1"/>
  <c r="Q66" i="1"/>
  <c r="CX68" i="1"/>
  <c r="AY68" i="1" s="1"/>
  <c r="BA68" i="1" s="1"/>
  <c r="V68" i="1"/>
  <c r="N70" i="1"/>
  <c r="AK70" i="1"/>
  <c r="Q70" i="1"/>
  <c r="M70" i="1"/>
  <c r="AZ70" i="1" s="1"/>
  <c r="BB70" i="1" s="1"/>
  <c r="L70" i="1"/>
  <c r="K70" i="1" s="1"/>
  <c r="AE78" i="1"/>
  <c r="N82" i="1"/>
  <c r="L82" i="1"/>
  <c r="K82" i="1" s="1"/>
  <c r="AK82" i="1"/>
  <c r="M82" i="1"/>
  <c r="AZ82" i="1" s="1"/>
  <c r="BB82" i="1" s="1"/>
  <c r="AD84" i="1"/>
  <c r="M88" i="1"/>
  <c r="AZ88" i="1" s="1"/>
  <c r="BB88" i="1" s="1"/>
  <c r="AK88" i="1"/>
  <c r="Q88" i="1"/>
  <c r="N88" i="1"/>
  <c r="L88" i="1"/>
  <c r="K88" i="1" s="1"/>
  <c r="W95" i="1"/>
  <c r="X95" i="1" s="1"/>
  <c r="V63" i="1"/>
  <c r="BH63" i="1"/>
  <c r="CX65" i="1"/>
  <c r="AY65" i="1" s="1"/>
  <c r="BA65" i="1" s="1"/>
  <c r="Z70" i="1"/>
  <c r="N72" i="1"/>
  <c r="AK72" i="1"/>
  <c r="M73" i="1"/>
  <c r="AZ73" i="1" s="1"/>
  <c r="BB73" i="1" s="1"/>
  <c r="L73" i="1"/>
  <c r="K73" i="1" s="1"/>
  <c r="CX74" i="1"/>
  <c r="AY74" i="1" s="1"/>
  <c r="BA74" i="1" s="1"/>
  <c r="V74" i="1"/>
  <c r="Z76" i="1"/>
  <c r="W78" i="1"/>
  <c r="X78" i="1" s="1"/>
  <c r="CX82" i="1"/>
  <c r="AY82" i="1" s="1"/>
  <c r="BA82" i="1" s="1"/>
  <c r="V82" i="1"/>
  <c r="BJ84" i="1"/>
  <c r="BI84" i="1"/>
  <c r="BM84" i="1" s="1"/>
  <c r="BN84" i="1" s="1"/>
  <c r="BH84" i="1"/>
  <c r="W88" i="1"/>
  <c r="X88" i="1" s="1"/>
  <c r="W90" i="1"/>
  <c r="X90" i="1" s="1"/>
  <c r="AD94" i="1"/>
  <c r="T94" i="1"/>
  <c r="R94" i="1" s="1"/>
  <c r="U94" i="1" s="1"/>
  <c r="O94" i="1" s="1"/>
  <c r="P94" i="1" s="1"/>
  <c r="Q94" i="1"/>
  <c r="M94" i="1"/>
  <c r="AZ94" i="1" s="1"/>
  <c r="BB94" i="1" s="1"/>
  <c r="N94" i="1"/>
  <c r="AK94" i="1"/>
  <c r="V91" i="1"/>
  <c r="CX91" i="1"/>
  <c r="AY91" i="1" s="1"/>
  <c r="M93" i="1"/>
  <c r="AZ93" i="1" s="1"/>
  <c r="BB93" i="1" s="1"/>
  <c r="AK93" i="1"/>
  <c r="Q93" i="1"/>
  <c r="L93" i="1"/>
  <c r="K93" i="1" s="1"/>
  <c r="AD97" i="1"/>
  <c r="N126" i="1"/>
  <c r="M126" i="1"/>
  <c r="AZ126" i="1" s="1"/>
  <c r="BB126" i="1" s="1"/>
  <c r="L126" i="1"/>
  <c r="K126" i="1" s="1"/>
  <c r="AK126" i="1"/>
  <c r="Q126" i="1"/>
  <c r="L57" i="1"/>
  <c r="K57" i="1" s="1"/>
  <c r="L61" i="1"/>
  <c r="K61" i="1" s="1"/>
  <c r="L65" i="1"/>
  <c r="K65" i="1" s="1"/>
  <c r="N67" i="1"/>
  <c r="BI67" i="1"/>
  <c r="BM67" i="1" s="1"/>
  <c r="BN67" i="1" s="1"/>
  <c r="BI74" i="1"/>
  <c r="BM74" i="1" s="1"/>
  <c r="BN74" i="1" s="1"/>
  <c r="BH74" i="1"/>
  <c r="L75" i="1"/>
  <c r="K75" i="1" s="1"/>
  <c r="W75" i="1" s="1"/>
  <c r="X75" i="1" s="1"/>
  <c r="Q75" i="1"/>
  <c r="CX77" i="1"/>
  <c r="AY77" i="1" s="1"/>
  <c r="BA77" i="1" s="1"/>
  <c r="V77" i="1"/>
  <c r="BA78" i="1"/>
  <c r="CX79" i="1"/>
  <c r="AY79" i="1" s="1"/>
  <c r="BA79" i="1" s="1"/>
  <c r="V79" i="1"/>
  <c r="BH81" i="1"/>
  <c r="BJ81" i="1"/>
  <c r="BI81" i="1"/>
  <c r="BM81" i="1" s="1"/>
  <c r="BN81" i="1" s="1"/>
  <c r="W87" i="1"/>
  <c r="X87" i="1" s="1"/>
  <c r="N93" i="1"/>
  <c r="N68" i="1"/>
  <c r="AK68" i="1"/>
  <c r="M69" i="1"/>
  <c r="AZ69" i="1" s="1"/>
  <c r="BB69" i="1" s="1"/>
  <c r="L69" i="1"/>
  <c r="K69" i="1" s="1"/>
  <c r="CX70" i="1"/>
  <c r="AY70" i="1" s="1"/>
  <c r="BA70" i="1" s="1"/>
  <c r="V70" i="1"/>
  <c r="Q72" i="1"/>
  <c r="BJ74" i="1"/>
  <c r="AK75" i="1"/>
  <c r="BH75" i="1"/>
  <c r="V80" i="1"/>
  <c r="AK87" i="1"/>
  <c r="Q87" i="1"/>
  <c r="N87" i="1"/>
  <c r="M87" i="1"/>
  <c r="AZ87" i="1" s="1"/>
  <c r="BB87" i="1" s="1"/>
  <c r="M96" i="1"/>
  <c r="AZ96" i="1" s="1"/>
  <c r="BB96" i="1" s="1"/>
  <c r="AK96" i="1"/>
  <c r="Q96" i="1"/>
  <c r="N96" i="1"/>
  <c r="L96" i="1"/>
  <c r="K96" i="1" s="1"/>
  <c r="W96" i="1"/>
  <c r="X96" i="1" s="1"/>
  <c r="L60" i="1"/>
  <c r="K60" i="1" s="1"/>
  <c r="V61" i="1"/>
  <c r="BH61" i="1"/>
  <c r="L64" i="1"/>
  <c r="K64" i="1" s="1"/>
  <c r="Q67" i="1"/>
  <c r="BI68" i="1"/>
  <c r="BM68" i="1" s="1"/>
  <c r="BN68" i="1" s="1"/>
  <c r="AK69" i="1"/>
  <c r="CX71" i="1"/>
  <c r="AY71" i="1" s="1"/>
  <c r="BA71" i="1" s="1"/>
  <c r="Q73" i="1"/>
  <c r="L74" i="1"/>
  <c r="K74" i="1" s="1"/>
  <c r="M75" i="1"/>
  <c r="AZ75" i="1" s="1"/>
  <c r="BB75" i="1" s="1"/>
  <c r="BI75" i="1"/>
  <c r="BM75" i="1" s="1"/>
  <c r="BN75" i="1" s="1"/>
  <c r="AD89" i="1"/>
  <c r="T92" i="1"/>
  <c r="R92" i="1" s="1"/>
  <c r="U92" i="1" s="1"/>
  <c r="AD92" i="1"/>
  <c r="W92" i="1"/>
  <c r="X92" i="1" s="1"/>
  <c r="CX66" i="1"/>
  <c r="AY66" i="1" s="1"/>
  <c r="BA66" i="1" s="1"/>
  <c r="V66" i="1"/>
  <c r="Z68" i="1"/>
  <c r="BJ68" i="1"/>
  <c r="N69" i="1"/>
  <c r="BI70" i="1"/>
  <c r="BM70" i="1" s="1"/>
  <c r="BN70" i="1" s="1"/>
  <c r="BH70" i="1"/>
  <c r="L71" i="1"/>
  <c r="K71" i="1" s="1"/>
  <c r="Q71" i="1"/>
  <c r="M74" i="1"/>
  <c r="AZ74" i="1" s="1"/>
  <c r="Z74" i="1"/>
  <c r="N75" i="1"/>
  <c r="V76" i="1"/>
  <c r="CX76" i="1"/>
  <c r="AY76" i="1" s="1"/>
  <c r="BA76" i="1" s="1"/>
  <c r="BH77" i="1"/>
  <c r="BJ77" i="1"/>
  <c r="BJ78" i="1"/>
  <c r="BI78" i="1"/>
  <c r="BM78" i="1" s="1"/>
  <c r="BN78" i="1" s="1"/>
  <c r="BH78" i="1"/>
  <c r="AD80" i="1"/>
  <c r="BJ82" i="1"/>
  <c r="BH82" i="1"/>
  <c r="BI82" i="1"/>
  <c r="BM82" i="1" s="1"/>
  <c r="BN82" i="1" s="1"/>
  <c r="L87" i="1"/>
  <c r="K87" i="1" s="1"/>
  <c r="T90" i="1"/>
  <c r="R90" i="1" s="1"/>
  <c r="U90" i="1" s="1"/>
  <c r="O90" i="1" s="1"/>
  <c r="P90" i="1" s="1"/>
  <c r="AD90" i="1"/>
  <c r="W98" i="1"/>
  <c r="X98" i="1" s="1"/>
  <c r="T100" i="1"/>
  <c r="R100" i="1" s="1"/>
  <c r="U100" i="1" s="1"/>
  <c r="W100" i="1"/>
  <c r="X100" i="1" s="1"/>
  <c r="AD100" i="1"/>
  <c r="N81" i="1"/>
  <c r="L81" i="1"/>
  <c r="K81" i="1" s="1"/>
  <c r="CX83" i="1"/>
  <c r="AY83" i="1" s="1"/>
  <c r="BA83" i="1" s="1"/>
  <c r="Q86" i="1"/>
  <c r="AK95" i="1"/>
  <c r="Q95" i="1"/>
  <c r="M95" i="1"/>
  <c r="AZ95" i="1" s="1"/>
  <c r="BB95" i="1" s="1"/>
  <c r="Z79" i="1"/>
  <c r="W84" i="1"/>
  <c r="X84" i="1" s="1"/>
  <c r="T84" i="1" s="1"/>
  <c r="R84" i="1" s="1"/>
  <c r="U84" i="1" s="1"/>
  <c r="O84" i="1" s="1"/>
  <c r="P84" i="1" s="1"/>
  <c r="M85" i="1"/>
  <c r="AZ85" i="1" s="1"/>
  <c r="BB85" i="1" s="1"/>
  <c r="M86" i="1"/>
  <c r="AZ86" i="1" s="1"/>
  <c r="BB86" i="1" s="1"/>
  <c r="N86" i="1"/>
  <c r="L86" i="1"/>
  <c r="K86" i="1" s="1"/>
  <c r="AE90" i="1"/>
  <c r="M97" i="1"/>
  <c r="AZ97" i="1" s="1"/>
  <c r="BB97" i="1" s="1"/>
  <c r="AK97" i="1"/>
  <c r="Q97" i="1"/>
  <c r="N97" i="1"/>
  <c r="W97" i="1"/>
  <c r="X97" i="1" s="1"/>
  <c r="AE97" i="1" s="1"/>
  <c r="Q98" i="1"/>
  <c r="M98" i="1"/>
  <c r="AZ98" i="1" s="1"/>
  <c r="BB98" i="1" s="1"/>
  <c r="L98" i="1"/>
  <c r="K98" i="1" s="1"/>
  <c r="AK99" i="1"/>
  <c r="Q99" i="1"/>
  <c r="M99" i="1"/>
  <c r="AZ99" i="1" s="1"/>
  <c r="BB99" i="1" s="1"/>
  <c r="L99" i="1"/>
  <c r="K99" i="1" s="1"/>
  <c r="M100" i="1"/>
  <c r="AZ100" i="1" s="1"/>
  <c r="BB100" i="1" s="1"/>
  <c r="AK100" i="1"/>
  <c r="Q100" i="1"/>
  <c r="N100" i="1"/>
  <c r="BB84" i="1"/>
  <c r="AE94" i="1"/>
  <c r="CX81" i="1"/>
  <c r="AY81" i="1" s="1"/>
  <c r="BA81" i="1" s="1"/>
  <c r="V81" i="1"/>
  <c r="M89" i="1"/>
  <c r="AZ89" i="1" s="1"/>
  <c r="BB89" i="1" s="1"/>
  <c r="AK89" i="1"/>
  <c r="Q89" i="1"/>
  <c r="N89" i="1"/>
  <c r="M92" i="1"/>
  <c r="AZ92" i="1" s="1"/>
  <c r="BB92" i="1" s="1"/>
  <c r="AK92" i="1"/>
  <c r="Q92" i="1"/>
  <c r="N92" i="1"/>
  <c r="BI95" i="1"/>
  <c r="BM95" i="1" s="1"/>
  <c r="BN95" i="1" s="1"/>
  <c r="BH95" i="1"/>
  <c r="BI112" i="1"/>
  <c r="BM112" i="1" s="1"/>
  <c r="BN112" i="1" s="1"/>
  <c r="BH112" i="1"/>
  <c r="BJ112" i="1"/>
  <c r="BH80" i="1"/>
  <c r="Z83" i="1"/>
  <c r="N85" i="1"/>
  <c r="L85" i="1"/>
  <c r="K85" i="1" s="1"/>
  <c r="W85" i="1" s="1"/>
  <c r="X85" i="1" s="1"/>
  <c r="Q85" i="1"/>
  <c r="W89" i="1"/>
  <c r="X89" i="1" s="1"/>
  <c r="BJ95" i="1"/>
  <c r="AK91" i="1"/>
  <c r="Q91" i="1"/>
  <c r="W94" i="1"/>
  <c r="X94" i="1" s="1"/>
  <c r="AD103" i="1"/>
  <c r="W103" i="1"/>
  <c r="X103" i="1" s="1"/>
  <c r="V83" i="1"/>
  <c r="BH83" i="1"/>
  <c r="BA88" i="1"/>
  <c r="M91" i="1"/>
  <c r="AZ91" i="1" s="1"/>
  <c r="BB91" i="1" s="1"/>
  <c r="BH91" i="1"/>
  <c r="AE95" i="1"/>
  <c r="BA96" i="1"/>
  <c r="N108" i="1"/>
  <c r="M108" i="1"/>
  <c r="AZ108" i="1" s="1"/>
  <c r="BB108" i="1" s="1"/>
  <c r="L108" i="1"/>
  <c r="K108" i="1" s="1"/>
  <c r="AK108" i="1"/>
  <c r="Q108" i="1"/>
  <c r="CX116" i="1"/>
  <c r="AY116" i="1" s="1"/>
  <c r="BA116" i="1" s="1"/>
  <c r="V116" i="1"/>
  <c r="Q90" i="1"/>
  <c r="M90" i="1"/>
  <c r="AZ90" i="1" s="1"/>
  <c r="BB90" i="1" s="1"/>
  <c r="BA91" i="1"/>
  <c r="BA99" i="1"/>
  <c r="W101" i="1"/>
  <c r="X101" i="1" s="1"/>
  <c r="BB113" i="1"/>
  <c r="N101" i="1"/>
  <c r="M101" i="1"/>
  <c r="AZ101" i="1" s="1"/>
  <c r="BB101" i="1" s="1"/>
  <c r="AK101" i="1"/>
  <c r="Q102" i="1"/>
  <c r="AK102" i="1"/>
  <c r="M102" i="1"/>
  <c r="AZ102" i="1" s="1"/>
  <c r="L102" i="1"/>
  <c r="K102" i="1" s="1"/>
  <c r="BA86" i="1"/>
  <c r="AE87" i="1"/>
  <c r="BJ87" i="1"/>
  <c r="BA92" i="1"/>
  <c r="BA100" i="1"/>
  <c r="Q101" i="1"/>
  <c r="N102" i="1"/>
  <c r="CX102" i="1"/>
  <c r="AY102" i="1" s="1"/>
  <c r="BA102" i="1" s="1"/>
  <c r="V102" i="1"/>
  <c r="BI107" i="1"/>
  <c r="BM107" i="1" s="1"/>
  <c r="BN107" i="1" s="1"/>
  <c r="BH107" i="1"/>
  <c r="BJ107" i="1"/>
  <c r="N114" i="1"/>
  <c r="Q114" i="1"/>
  <c r="AK114" i="1"/>
  <c r="M114" i="1"/>
  <c r="AZ114" i="1" s="1"/>
  <c r="BB114" i="1" s="1"/>
  <c r="L114" i="1"/>
  <c r="K114" i="1" s="1"/>
  <c r="AE101" i="1"/>
  <c r="BH117" i="1"/>
  <c r="BJ117" i="1"/>
  <c r="BI117" i="1"/>
  <c r="BM117" i="1" s="1"/>
  <c r="BN117" i="1" s="1"/>
  <c r="AE112" i="1"/>
  <c r="BA112" i="1"/>
  <c r="AF119" i="1"/>
  <c r="AG119" i="1" s="1"/>
  <c r="Y119" i="1"/>
  <c r="AC119" i="1" s="1"/>
  <c r="BA119" i="1"/>
  <c r="N124" i="1"/>
  <c r="L124" i="1"/>
  <c r="K124" i="1" s="1"/>
  <c r="AK124" i="1"/>
  <c r="BJ102" i="1"/>
  <c r="BI102" i="1"/>
  <c r="BM102" i="1" s="1"/>
  <c r="BN102" i="1" s="1"/>
  <c r="BB103" i="1"/>
  <c r="L105" i="1"/>
  <c r="K105" i="1" s="1"/>
  <c r="Q111" i="1"/>
  <c r="AK111" i="1"/>
  <c r="M111" i="1"/>
  <c r="AZ111" i="1" s="1"/>
  <c r="L111" i="1"/>
  <c r="K111" i="1" s="1"/>
  <c r="CX121" i="1"/>
  <c r="AY121" i="1" s="1"/>
  <c r="V121" i="1"/>
  <c r="M124" i="1"/>
  <c r="AZ124" i="1" s="1"/>
  <c r="BB124" i="1" s="1"/>
  <c r="N109" i="1"/>
  <c r="M109" i="1"/>
  <c r="AZ109" i="1" s="1"/>
  <c r="BB109" i="1" s="1"/>
  <c r="AK109" i="1"/>
  <c r="W109" i="1"/>
  <c r="X109" i="1" s="1"/>
  <c r="AK110" i="1"/>
  <c r="Q110" i="1"/>
  <c r="M110" i="1"/>
  <c r="AZ110" i="1" s="1"/>
  <c r="L110" i="1"/>
  <c r="K110" i="1" s="1"/>
  <c r="CX111" i="1"/>
  <c r="AY111" i="1" s="1"/>
  <c r="BA111" i="1" s="1"/>
  <c r="BJ119" i="1"/>
  <c r="BI119" i="1"/>
  <c r="BM119" i="1" s="1"/>
  <c r="BN119" i="1" s="1"/>
  <c r="BH119" i="1"/>
  <c r="N105" i="1"/>
  <c r="M105" i="1"/>
  <c r="AZ105" i="1" s="1"/>
  <c r="BB105" i="1" s="1"/>
  <c r="AK105" i="1"/>
  <c r="W111" i="1"/>
  <c r="X111" i="1" s="1"/>
  <c r="BJ114" i="1"/>
  <c r="BH114" i="1"/>
  <c r="BI114" i="1"/>
  <c r="BM114" i="1" s="1"/>
  <c r="BN114" i="1" s="1"/>
  <c r="AD122" i="1"/>
  <c r="CX122" i="1"/>
  <c r="AY122" i="1" s="1"/>
  <c r="BA122" i="1" s="1"/>
  <c r="V122" i="1"/>
  <c r="AK103" i="1"/>
  <c r="Q103" i="1"/>
  <c r="L107" i="1"/>
  <c r="K107" i="1" s="1"/>
  <c r="AK107" i="1"/>
  <c r="Q107" i="1"/>
  <c r="N107" i="1"/>
  <c r="BA108" i="1"/>
  <c r="AE109" i="1"/>
  <c r="N110" i="1"/>
  <c r="BJ118" i="1"/>
  <c r="BH118" i="1"/>
  <c r="BI118" i="1"/>
  <c r="BM118" i="1" s="1"/>
  <c r="BN118" i="1" s="1"/>
  <c r="CX120" i="1"/>
  <c r="AY120" i="1" s="1"/>
  <c r="BA120" i="1" s="1"/>
  <c r="V120" i="1"/>
  <c r="BB125" i="1"/>
  <c r="M104" i="1"/>
  <c r="AZ104" i="1" s="1"/>
  <c r="BB104" i="1" s="1"/>
  <c r="L104" i="1"/>
  <c r="K104" i="1" s="1"/>
  <c r="AK104" i="1"/>
  <c r="CX107" i="1"/>
  <c r="AY107" i="1" s="1"/>
  <c r="BB107" i="1" s="1"/>
  <c r="V107" i="1"/>
  <c r="T112" i="1"/>
  <c r="R112" i="1" s="1"/>
  <c r="U112" i="1" s="1"/>
  <c r="O112" i="1" s="1"/>
  <c r="P112" i="1" s="1"/>
  <c r="AD112" i="1"/>
  <c r="W112" i="1"/>
  <c r="X112" i="1" s="1"/>
  <c r="V123" i="1"/>
  <c r="CX123" i="1"/>
  <c r="AY123" i="1" s="1"/>
  <c r="BA123" i="1" s="1"/>
  <c r="CX125" i="1"/>
  <c r="AY125" i="1" s="1"/>
  <c r="BA125" i="1" s="1"/>
  <c r="V125" i="1"/>
  <c r="L106" i="1"/>
  <c r="K106" i="1" s="1"/>
  <c r="BJ113" i="1"/>
  <c r="CX114" i="1"/>
  <c r="AY114" i="1" s="1"/>
  <c r="BA114" i="1" s="1"/>
  <c r="V114" i="1"/>
  <c r="Q115" i="1"/>
  <c r="N117" i="1"/>
  <c r="L117" i="1"/>
  <c r="K117" i="1" s="1"/>
  <c r="CX117" i="1"/>
  <c r="AY117" i="1" s="1"/>
  <c r="BA117" i="1" s="1"/>
  <c r="V117" i="1"/>
  <c r="CX118" i="1"/>
  <c r="AY118" i="1" s="1"/>
  <c r="BA118" i="1" s="1"/>
  <c r="V118" i="1"/>
  <c r="BJ124" i="1"/>
  <c r="BJ127" i="1"/>
  <c r="BI127" i="1"/>
  <c r="BM127" i="1" s="1"/>
  <c r="BN127" i="1" s="1"/>
  <c r="M106" i="1"/>
  <c r="AZ106" i="1" s="1"/>
  <c r="BB106" i="1" s="1"/>
  <c r="Q112" i="1"/>
  <c r="M116" i="1"/>
  <c r="AZ116" i="1" s="1"/>
  <c r="BB116" i="1" s="1"/>
  <c r="AK117" i="1"/>
  <c r="Q123" i="1"/>
  <c r="BH127" i="1"/>
  <c r="N128" i="1"/>
  <c r="M128" i="1"/>
  <c r="AZ128" i="1" s="1"/>
  <c r="BB128" i="1" s="1"/>
  <c r="L128" i="1"/>
  <c r="K128" i="1" s="1"/>
  <c r="AK128" i="1"/>
  <c r="Q128" i="1"/>
  <c r="BI106" i="1"/>
  <c r="BM106" i="1" s="1"/>
  <c r="BN106" i="1" s="1"/>
  <c r="Z111" i="1"/>
  <c r="BI111" i="1"/>
  <c r="BM111" i="1" s="1"/>
  <c r="BN111" i="1" s="1"/>
  <c r="AK116" i="1"/>
  <c r="T119" i="1"/>
  <c r="R119" i="1" s="1"/>
  <c r="U119" i="1" s="1"/>
  <c r="O119" i="1" s="1"/>
  <c r="P119" i="1" s="1"/>
  <c r="BA128" i="1"/>
  <c r="CX110" i="1"/>
  <c r="AY110" i="1" s="1"/>
  <c r="BA110" i="1" s="1"/>
  <c r="V110" i="1"/>
  <c r="N113" i="1"/>
  <c r="L113" i="1"/>
  <c r="K113" i="1" s="1"/>
  <c r="CX113" i="1"/>
  <c r="AY113" i="1" s="1"/>
  <c r="BA113" i="1" s="1"/>
  <c r="V113" i="1"/>
  <c r="L115" i="1"/>
  <c r="K115" i="1" s="1"/>
  <c r="W115" i="1" s="1"/>
  <c r="X115" i="1" s="1"/>
  <c r="L118" i="1"/>
  <c r="K118" i="1" s="1"/>
  <c r="BB119" i="1"/>
  <c r="N121" i="1"/>
  <c r="L121" i="1"/>
  <c r="K121" i="1" s="1"/>
  <c r="BJ122" i="1"/>
  <c r="BH122" i="1"/>
  <c r="CX124" i="1"/>
  <c r="AY124" i="1" s="1"/>
  <c r="BA124" i="1" s="1"/>
  <c r="V124" i="1"/>
  <c r="L127" i="1"/>
  <c r="K127" i="1" s="1"/>
  <c r="AK127" i="1"/>
  <c r="Q127" i="1"/>
  <c r="M112" i="1"/>
  <c r="AZ112" i="1" s="1"/>
  <c r="BB112" i="1" s="1"/>
  <c r="AK113" i="1"/>
  <c r="M115" i="1"/>
  <c r="AZ115" i="1" s="1"/>
  <c r="BB115" i="1" s="1"/>
  <c r="Q116" i="1"/>
  <c r="BI116" i="1"/>
  <c r="BM116" i="1" s="1"/>
  <c r="BN116" i="1" s="1"/>
  <c r="M118" i="1"/>
  <c r="AZ118" i="1" s="1"/>
  <c r="BB118" i="1" s="1"/>
  <c r="Z118" i="1"/>
  <c r="N119" i="1"/>
  <c r="N120" i="1"/>
  <c r="L120" i="1"/>
  <c r="K120" i="1" s="1"/>
  <c r="BI120" i="1"/>
  <c r="BM120" i="1" s="1"/>
  <c r="BN120" i="1" s="1"/>
  <c r="AK121" i="1"/>
  <c r="BJ121" i="1"/>
  <c r="BH121" i="1"/>
  <c r="BI122" i="1"/>
  <c r="BM122" i="1" s="1"/>
  <c r="BN122" i="1" s="1"/>
  <c r="AK123" i="1"/>
  <c r="BH123" i="1"/>
  <c r="Z126" i="1"/>
  <c r="BJ110" i="1"/>
  <c r="BH110" i="1"/>
  <c r="BB123" i="1"/>
  <c r="N125" i="1"/>
  <c r="L125" i="1"/>
  <c r="K125" i="1" s="1"/>
  <c r="AK125" i="1"/>
  <c r="BJ125" i="1"/>
  <c r="BH125" i="1"/>
  <c r="BA127" i="1"/>
  <c r="V126" i="1"/>
  <c r="BH126" i="1"/>
  <c r="V128" i="1"/>
  <c r="Y85" i="1" l="1"/>
  <c r="AC85" i="1" s="1"/>
  <c r="AF85" i="1"/>
  <c r="AE85" i="1"/>
  <c r="Y43" i="1"/>
  <c r="AC43" i="1" s="1"/>
  <c r="AF43" i="1"/>
  <c r="AE43" i="1"/>
  <c r="Y75" i="1"/>
  <c r="AC75" i="1" s="1"/>
  <c r="AF75" i="1"/>
  <c r="AE75" i="1"/>
  <c r="AF115" i="1"/>
  <c r="Y115" i="1"/>
  <c r="AC115" i="1" s="1"/>
  <c r="AE115" i="1"/>
  <c r="Y47" i="1"/>
  <c r="AC47" i="1" s="1"/>
  <c r="AE47" i="1"/>
  <c r="AF47" i="1"/>
  <c r="AG47" i="1" s="1"/>
  <c r="AD127" i="1"/>
  <c r="W117" i="1"/>
  <c r="X117" i="1" s="1"/>
  <c r="Y103" i="1"/>
  <c r="AC103" i="1" s="1"/>
  <c r="AF103" i="1"/>
  <c r="AE103" i="1"/>
  <c r="Y98" i="1"/>
  <c r="AC98" i="1" s="1"/>
  <c r="AF98" i="1"/>
  <c r="W80" i="1"/>
  <c r="X80" i="1" s="1"/>
  <c r="W68" i="1"/>
  <c r="X68" i="1" s="1"/>
  <c r="W17" i="1"/>
  <c r="X17" i="1" s="1"/>
  <c r="AD120" i="1"/>
  <c r="AD105" i="1"/>
  <c r="T98" i="1"/>
  <c r="R98" i="1" s="1"/>
  <c r="U98" i="1" s="1"/>
  <c r="O98" i="1" s="1"/>
  <c r="P98" i="1" s="1"/>
  <c r="AD98" i="1"/>
  <c r="AD121" i="1"/>
  <c r="AF109" i="1"/>
  <c r="AG109" i="1" s="1"/>
  <c r="T109" i="1"/>
  <c r="R109" i="1" s="1"/>
  <c r="U109" i="1" s="1"/>
  <c r="O109" i="1" s="1"/>
  <c r="P109" i="1" s="1"/>
  <c r="Y109" i="1"/>
  <c r="AC109" i="1" s="1"/>
  <c r="W128" i="1"/>
  <c r="X128" i="1" s="1"/>
  <c r="W110" i="1"/>
  <c r="X110" i="1" s="1"/>
  <c r="BB111" i="1"/>
  <c r="W83" i="1"/>
  <c r="X83" i="1" s="1"/>
  <c r="O100" i="1"/>
  <c r="P100" i="1" s="1"/>
  <c r="AD71" i="1"/>
  <c r="Y92" i="1"/>
  <c r="AC92" i="1" s="1"/>
  <c r="AF92" i="1"/>
  <c r="AE92" i="1"/>
  <c r="AE84" i="1"/>
  <c r="W79" i="1"/>
  <c r="X79" i="1" s="1"/>
  <c r="W74" i="1"/>
  <c r="X74" i="1" s="1"/>
  <c r="W72" i="1"/>
  <c r="X72" i="1" s="1"/>
  <c r="BB72" i="1"/>
  <c r="W57" i="1"/>
  <c r="X57" i="1" s="1"/>
  <c r="W45" i="1"/>
  <c r="X45" i="1" s="1"/>
  <c r="T45" i="1" s="1"/>
  <c r="R45" i="1" s="1"/>
  <c r="U45" i="1" s="1"/>
  <c r="O45" i="1" s="1"/>
  <c r="P45" i="1" s="1"/>
  <c r="AD58" i="1"/>
  <c r="T58" i="1"/>
  <c r="R58" i="1" s="1"/>
  <c r="U58" i="1" s="1"/>
  <c r="O58" i="1" s="1"/>
  <c r="P58" i="1" s="1"/>
  <c r="W54" i="1"/>
  <c r="X54" i="1" s="1"/>
  <c r="AD35" i="1"/>
  <c r="AD55" i="1"/>
  <c r="W38" i="1"/>
  <c r="X38" i="1" s="1"/>
  <c r="AD41" i="1"/>
  <c r="W34" i="1"/>
  <c r="X34" i="1" s="1"/>
  <c r="W33" i="1"/>
  <c r="X33" i="1" s="1"/>
  <c r="W19" i="1"/>
  <c r="X19" i="1" s="1"/>
  <c r="T19" i="1" s="1"/>
  <c r="R19" i="1" s="1"/>
  <c r="U19" i="1" s="1"/>
  <c r="O19" i="1" s="1"/>
  <c r="P19" i="1" s="1"/>
  <c r="AD19" i="1"/>
  <c r="AE20" i="1"/>
  <c r="Y20" i="1"/>
  <c r="AC20" i="1" s="1"/>
  <c r="AF20" i="1"/>
  <c r="AD24" i="1"/>
  <c r="T24" i="1"/>
  <c r="R24" i="1" s="1"/>
  <c r="U24" i="1" s="1"/>
  <c r="O24" i="1" s="1"/>
  <c r="P24" i="1" s="1"/>
  <c r="AD118" i="1"/>
  <c r="AD102" i="1"/>
  <c r="T102" i="1"/>
  <c r="R102" i="1" s="1"/>
  <c r="U102" i="1" s="1"/>
  <c r="O102" i="1" s="1"/>
  <c r="P102" i="1" s="1"/>
  <c r="W116" i="1"/>
  <c r="X116" i="1" s="1"/>
  <c r="AD126" i="1"/>
  <c r="W59" i="1"/>
  <c r="X59" i="1" s="1"/>
  <c r="AD46" i="1"/>
  <c r="AD48" i="1"/>
  <c r="AD36" i="1"/>
  <c r="AD45" i="1"/>
  <c r="Y89" i="1"/>
  <c r="AC89" i="1" s="1"/>
  <c r="AF89" i="1"/>
  <c r="O92" i="1"/>
  <c r="P92" i="1" s="1"/>
  <c r="T69" i="1"/>
  <c r="R69" i="1" s="1"/>
  <c r="U69" i="1" s="1"/>
  <c r="O69" i="1" s="1"/>
  <c r="P69" i="1" s="1"/>
  <c r="W69" i="1"/>
  <c r="X69" i="1" s="1"/>
  <c r="AD69" i="1"/>
  <c r="AF87" i="1"/>
  <c r="AG87" i="1" s="1"/>
  <c r="Y87" i="1"/>
  <c r="AC87" i="1" s="1"/>
  <c r="W82" i="1"/>
  <c r="X82" i="1" s="1"/>
  <c r="T82" i="1" s="1"/>
  <c r="R82" i="1" s="1"/>
  <c r="U82" i="1" s="1"/>
  <c r="O82" i="1" s="1"/>
  <c r="P82" i="1" s="1"/>
  <c r="W67" i="1"/>
  <c r="X67" i="1" s="1"/>
  <c r="W32" i="1"/>
  <c r="X32" i="1" s="1"/>
  <c r="AD53" i="1"/>
  <c r="AD44" i="1"/>
  <c r="W71" i="1"/>
  <c r="X71" i="1" s="1"/>
  <c r="BB50" i="1"/>
  <c r="BA33" i="1"/>
  <c r="BB28" i="1"/>
  <c r="Y24" i="1"/>
  <c r="AC24" i="1" s="1"/>
  <c r="AF24" i="1"/>
  <c r="AD99" i="1"/>
  <c r="AD25" i="1"/>
  <c r="AD128" i="1"/>
  <c r="T128" i="1"/>
  <c r="R128" i="1" s="1"/>
  <c r="U128" i="1" s="1"/>
  <c r="O128" i="1" s="1"/>
  <c r="P128" i="1" s="1"/>
  <c r="T106" i="1"/>
  <c r="R106" i="1" s="1"/>
  <c r="U106" i="1" s="1"/>
  <c r="O106" i="1" s="1"/>
  <c r="P106" i="1" s="1"/>
  <c r="AD106" i="1"/>
  <c r="AD107" i="1"/>
  <c r="AD110" i="1"/>
  <c r="T110" i="1"/>
  <c r="R110" i="1" s="1"/>
  <c r="U110" i="1" s="1"/>
  <c r="O110" i="1" s="1"/>
  <c r="P110" i="1" s="1"/>
  <c r="BA107" i="1"/>
  <c r="W76" i="1"/>
  <c r="X76" i="1" s="1"/>
  <c r="AD74" i="1"/>
  <c r="T74" i="1"/>
  <c r="R74" i="1" s="1"/>
  <c r="U74" i="1" s="1"/>
  <c r="O74" i="1" s="1"/>
  <c r="P74" i="1" s="1"/>
  <c r="AD117" i="1"/>
  <c r="T117" i="1"/>
  <c r="R117" i="1" s="1"/>
  <c r="U117" i="1" s="1"/>
  <c r="O117" i="1" s="1"/>
  <c r="P117" i="1" s="1"/>
  <c r="W125" i="1"/>
  <c r="X125" i="1" s="1"/>
  <c r="BB122" i="1"/>
  <c r="W105" i="1"/>
  <c r="X105" i="1" s="1"/>
  <c r="BB110" i="1"/>
  <c r="W106" i="1"/>
  <c r="X106" i="1" s="1"/>
  <c r="AF101" i="1"/>
  <c r="AG101" i="1" s="1"/>
  <c r="Y101" i="1"/>
  <c r="AC101" i="1" s="1"/>
  <c r="T101" i="1"/>
  <c r="R101" i="1" s="1"/>
  <c r="U101" i="1" s="1"/>
  <c r="O101" i="1" s="1"/>
  <c r="P101" i="1" s="1"/>
  <c r="BB81" i="1"/>
  <c r="W61" i="1"/>
  <c r="X61" i="1" s="1"/>
  <c r="W77" i="1"/>
  <c r="X77" i="1" s="1"/>
  <c r="W91" i="1"/>
  <c r="X91" i="1" s="1"/>
  <c r="Y90" i="1"/>
  <c r="AC90" i="1" s="1"/>
  <c r="AF90" i="1"/>
  <c r="AG90" i="1" s="1"/>
  <c r="T73" i="1"/>
  <c r="R73" i="1" s="1"/>
  <c r="U73" i="1" s="1"/>
  <c r="O73" i="1" s="1"/>
  <c r="P73" i="1" s="1"/>
  <c r="AD73" i="1"/>
  <c r="W63" i="1"/>
  <c r="X63" i="1" s="1"/>
  <c r="BB68" i="1"/>
  <c r="W55" i="1"/>
  <c r="X55" i="1" s="1"/>
  <c r="AD59" i="1"/>
  <c r="AD52" i="1"/>
  <c r="BB57" i="1"/>
  <c r="W37" i="1"/>
  <c r="X37" i="1" s="1"/>
  <c r="AD38" i="1"/>
  <c r="W30" i="1"/>
  <c r="X30" i="1" s="1"/>
  <c r="W22" i="1"/>
  <c r="X22" i="1" s="1"/>
  <c r="T20" i="1"/>
  <c r="R20" i="1" s="1"/>
  <c r="U20" i="1" s="1"/>
  <c r="O20" i="1" s="1"/>
  <c r="P20" i="1" s="1"/>
  <c r="AD20" i="1"/>
  <c r="W25" i="1"/>
  <c r="X25" i="1" s="1"/>
  <c r="Y97" i="1"/>
  <c r="AC97" i="1" s="1"/>
  <c r="AF97" i="1"/>
  <c r="AG97" i="1" s="1"/>
  <c r="AD64" i="1"/>
  <c r="W31" i="1"/>
  <c r="X31" i="1" s="1"/>
  <c r="BB54" i="1"/>
  <c r="AD18" i="1"/>
  <c r="BB117" i="1"/>
  <c r="BB102" i="1"/>
  <c r="T115" i="1"/>
  <c r="R115" i="1" s="1"/>
  <c r="U115" i="1" s="1"/>
  <c r="O115" i="1" s="1"/>
  <c r="P115" i="1" s="1"/>
  <c r="AD115" i="1"/>
  <c r="W113" i="1"/>
  <c r="X113" i="1" s="1"/>
  <c r="W107" i="1"/>
  <c r="X107" i="1" s="1"/>
  <c r="T107" i="1" s="1"/>
  <c r="R107" i="1" s="1"/>
  <c r="U107" i="1" s="1"/>
  <c r="O107" i="1" s="1"/>
  <c r="P107" i="1" s="1"/>
  <c r="W120" i="1"/>
  <c r="X120" i="1" s="1"/>
  <c r="T120" i="1" s="1"/>
  <c r="R120" i="1" s="1"/>
  <c r="U120" i="1" s="1"/>
  <c r="O120" i="1" s="1"/>
  <c r="P120" i="1" s="1"/>
  <c r="W121" i="1"/>
  <c r="X121" i="1" s="1"/>
  <c r="T121" i="1" s="1"/>
  <c r="R121" i="1" s="1"/>
  <c r="U121" i="1" s="1"/>
  <c r="O121" i="1" s="1"/>
  <c r="P121" i="1" s="1"/>
  <c r="AD124" i="1"/>
  <c r="AD114" i="1"/>
  <c r="W102" i="1"/>
  <c r="X102" i="1" s="1"/>
  <c r="Y94" i="1"/>
  <c r="AC94" i="1" s="1"/>
  <c r="AF94" i="1"/>
  <c r="AG94" i="1" s="1"/>
  <c r="AD85" i="1"/>
  <c r="T85" i="1"/>
  <c r="R85" i="1" s="1"/>
  <c r="U85" i="1" s="1"/>
  <c r="O85" i="1" s="1"/>
  <c r="P85" i="1" s="1"/>
  <c r="AD81" i="1"/>
  <c r="T89" i="1"/>
  <c r="R89" i="1" s="1"/>
  <c r="U89" i="1" s="1"/>
  <c r="O89" i="1" s="1"/>
  <c r="P89" i="1" s="1"/>
  <c r="T60" i="1"/>
  <c r="R60" i="1" s="1"/>
  <c r="U60" i="1" s="1"/>
  <c r="O60" i="1" s="1"/>
  <c r="P60" i="1" s="1"/>
  <c r="W60" i="1"/>
  <c r="X60" i="1" s="1"/>
  <c r="AD60" i="1"/>
  <c r="AD65" i="1"/>
  <c r="T65" i="1"/>
  <c r="R65" i="1" s="1"/>
  <c r="U65" i="1" s="1"/>
  <c r="O65" i="1" s="1"/>
  <c r="P65" i="1" s="1"/>
  <c r="AE89" i="1"/>
  <c r="Y95" i="1"/>
  <c r="AC95" i="1" s="1"/>
  <c r="AF95" i="1"/>
  <c r="AG95" i="1" s="1"/>
  <c r="T95" i="1"/>
  <c r="R95" i="1" s="1"/>
  <c r="U95" i="1" s="1"/>
  <c r="O95" i="1" s="1"/>
  <c r="P95" i="1" s="1"/>
  <c r="AD70" i="1"/>
  <c r="AD50" i="1"/>
  <c r="BB59" i="1"/>
  <c r="BB52" i="1"/>
  <c r="W40" i="1"/>
  <c r="X40" i="1" s="1"/>
  <c r="W58" i="1"/>
  <c r="X58" i="1" s="1"/>
  <c r="BB62" i="1"/>
  <c r="W35" i="1"/>
  <c r="X35" i="1" s="1"/>
  <c r="BB30" i="1"/>
  <c r="AD40" i="1"/>
  <c r="T40" i="1"/>
  <c r="R40" i="1" s="1"/>
  <c r="U40" i="1" s="1"/>
  <c r="O40" i="1" s="1"/>
  <c r="P40" i="1" s="1"/>
  <c r="BB77" i="1"/>
  <c r="W27" i="1"/>
  <c r="X27" i="1" s="1"/>
  <c r="AD27" i="1"/>
  <c r="W127" i="1"/>
  <c r="X127" i="1" s="1"/>
  <c r="AD86" i="1"/>
  <c r="AD32" i="1"/>
  <c r="T32" i="1"/>
  <c r="R32" i="1" s="1"/>
  <c r="U32" i="1" s="1"/>
  <c r="O32" i="1" s="1"/>
  <c r="P32" i="1" s="1"/>
  <c r="AD17" i="1"/>
  <c r="T17" i="1"/>
  <c r="R17" i="1" s="1"/>
  <c r="U17" i="1" s="1"/>
  <c r="O17" i="1" s="1"/>
  <c r="P17" i="1" s="1"/>
  <c r="Y21" i="1"/>
  <c r="AC21" i="1" s="1"/>
  <c r="AF21" i="1"/>
  <c r="AG21" i="1" s="1"/>
  <c r="W126" i="1"/>
  <c r="X126" i="1" s="1"/>
  <c r="T126" i="1" s="1"/>
  <c r="R126" i="1" s="1"/>
  <c r="U126" i="1" s="1"/>
  <c r="O126" i="1" s="1"/>
  <c r="P126" i="1" s="1"/>
  <c r="BB121" i="1"/>
  <c r="BA121" i="1"/>
  <c r="AF84" i="1"/>
  <c r="Y84" i="1"/>
  <c r="AC84" i="1" s="1"/>
  <c r="BB74" i="1"/>
  <c r="W86" i="1"/>
  <c r="X86" i="1" s="1"/>
  <c r="Y96" i="1"/>
  <c r="AC96" i="1" s="1"/>
  <c r="AF96" i="1"/>
  <c r="AE96" i="1"/>
  <c r="AD61" i="1"/>
  <c r="T61" i="1"/>
  <c r="R61" i="1" s="1"/>
  <c r="U61" i="1" s="1"/>
  <c r="O61" i="1" s="1"/>
  <c r="P61" i="1" s="1"/>
  <c r="T97" i="1"/>
  <c r="R97" i="1" s="1"/>
  <c r="U97" i="1" s="1"/>
  <c r="O97" i="1" s="1"/>
  <c r="P97" i="1" s="1"/>
  <c r="Y88" i="1"/>
  <c r="AC88" i="1" s="1"/>
  <c r="AF88" i="1"/>
  <c r="AG88" i="1" s="1"/>
  <c r="AE88" i="1"/>
  <c r="AF78" i="1"/>
  <c r="Y78" i="1"/>
  <c r="AC78" i="1" s="1"/>
  <c r="AD66" i="1"/>
  <c r="Y65" i="1"/>
  <c r="AC65" i="1" s="1"/>
  <c r="AF65" i="1"/>
  <c r="AD62" i="1"/>
  <c r="BB76" i="1"/>
  <c r="W64" i="1"/>
  <c r="X64" i="1" s="1"/>
  <c r="T64" i="1" s="1"/>
  <c r="R64" i="1" s="1"/>
  <c r="U64" i="1" s="1"/>
  <c r="O64" i="1" s="1"/>
  <c r="P64" i="1" s="1"/>
  <c r="AD39" i="1"/>
  <c r="W39" i="1"/>
  <c r="X39" i="1" s="1"/>
  <c r="W50" i="1"/>
  <c r="X50" i="1" s="1"/>
  <c r="T50" i="1" s="1"/>
  <c r="R50" i="1" s="1"/>
  <c r="U50" i="1" s="1"/>
  <c r="O50" i="1" s="1"/>
  <c r="P50" i="1" s="1"/>
  <c r="T78" i="1"/>
  <c r="R78" i="1" s="1"/>
  <c r="U78" i="1" s="1"/>
  <c r="O78" i="1" s="1"/>
  <c r="P78" i="1" s="1"/>
  <c r="AD78" i="1"/>
  <c r="T43" i="1"/>
  <c r="R43" i="1" s="1"/>
  <c r="U43" i="1" s="1"/>
  <c r="O43" i="1" s="1"/>
  <c r="P43" i="1" s="1"/>
  <c r="AD43" i="1"/>
  <c r="BB34" i="1"/>
  <c r="W48" i="1"/>
  <c r="X48" i="1" s="1"/>
  <c r="T48" i="1" s="1"/>
  <c r="R48" i="1" s="1"/>
  <c r="U48" i="1" s="1"/>
  <c r="O48" i="1" s="1"/>
  <c r="P48" i="1" s="1"/>
  <c r="AD30" i="1"/>
  <c r="T30" i="1"/>
  <c r="R30" i="1" s="1"/>
  <c r="U30" i="1" s="1"/>
  <c r="O30" i="1" s="1"/>
  <c r="P30" i="1" s="1"/>
  <c r="AF29" i="1"/>
  <c r="Y29" i="1"/>
  <c r="AC29" i="1" s="1"/>
  <c r="AE29" i="1"/>
  <c r="AD21" i="1"/>
  <c r="T21" i="1"/>
  <c r="R21" i="1" s="1"/>
  <c r="U21" i="1" s="1"/>
  <c r="O21" i="1" s="1"/>
  <c r="P21" i="1" s="1"/>
  <c r="W52" i="1"/>
  <c r="X52" i="1" s="1"/>
  <c r="AD26" i="1"/>
  <c r="T26" i="1"/>
  <c r="R26" i="1" s="1"/>
  <c r="U26" i="1" s="1"/>
  <c r="O26" i="1" s="1"/>
  <c r="P26" i="1" s="1"/>
  <c r="AE24" i="1"/>
  <c r="W23" i="1"/>
  <c r="X23" i="1" s="1"/>
  <c r="T23" i="1" s="1"/>
  <c r="R23" i="1" s="1"/>
  <c r="U23" i="1" s="1"/>
  <c r="O23" i="1" s="1"/>
  <c r="P23" i="1" s="1"/>
  <c r="AD23" i="1"/>
  <c r="W124" i="1"/>
  <c r="X124" i="1" s="1"/>
  <c r="T124" i="1" s="1"/>
  <c r="R124" i="1" s="1"/>
  <c r="U124" i="1" s="1"/>
  <c r="O124" i="1" s="1"/>
  <c r="P124" i="1" s="1"/>
  <c r="AF111" i="1"/>
  <c r="Y111" i="1"/>
  <c r="AC111" i="1" s="1"/>
  <c r="AE111" i="1"/>
  <c r="AD87" i="1"/>
  <c r="T87" i="1"/>
  <c r="R87" i="1" s="1"/>
  <c r="U87" i="1" s="1"/>
  <c r="O87" i="1" s="1"/>
  <c r="P87" i="1" s="1"/>
  <c r="W66" i="1"/>
  <c r="X66" i="1" s="1"/>
  <c r="T103" i="1"/>
  <c r="R103" i="1" s="1"/>
  <c r="U103" i="1" s="1"/>
  <c r="O103" i="1" s="1"/>
  <c r="P103" i="1" s="1"/>
  <c r="T75" i="1"/>
  <c r="R75" i="1" s="1"/>
  <c r="U75" i="1" s="1"/>
  <c r="O75" i="1" s="1"/>
  <c r="P75" i="1" s="1"/>
  <c r="AD75" i="1"/>
  <c r="AD57" i="1"/>
  <c r="AD93" i="1"/>
  <c r="AD88" i="1"/>
  <c r="T88" i="1"/>
  <c r="R88" i="1" s="1"/>
  <c r="U88" i="1" s="1"/>
  <c r="O88" i="1" s="1"/>
  <c r="P88" i="1" s="1"/>
  <c r="AE65" i="1"/>
  <c r="AD77" i="1"/>
  <c r="T77" i="1"/>
  <c r="R77" i="1" s="1"/>
  <c r="U77" i="1" s="1"/>
  <c r="O77" i="1" s="1"/>
  <c r="P77" i="1" s="1"/>
  <c r="AF73" i="1"/>
  <c r="Y73" i="1"/>
  <c r="AC73" i="1" s="1"/>
  <c r="AE73" i="1"/>
  <c r="AD47" i="1"/>
  <c r="T47" i="1"/>
  <c r="R47" i="1" s="1"/>
  <c r="U47" i="1" s="1"/>
  <c r="O47" i="1" s="1"/>
  <c r="P47" i="1" s="1"/>
  <c r="W41" i="1"/>
  <c r="X41" i="1" s="1"/>
  <c r="T41" i="1" s="1"/>
  <c r="R41" i="1" s="1"/>
  <c r="U41" i="1" s="1"/>
  <c r="O41" i="1" s="1"/>
  <c r="P41" i="1" s="1"/>
  <c r="W46" i="1"/>
  <c r="X46" i="1" s="1"/>
  <c r="T46" i="1" s="1"/>
  <c r="R46" i="1" s="1"/>
  <c r="U46" i="1" s="1"/>
  <c r="O46" i="1" s="1"/>
  <c r="P46" i="1" s="1"/>
  <c r="AD28" i="1"/>
  <c r="AD42" i="1"/>
  <c r="T42" i="1"/>
  <c r="R42" i="1" s="1"/>
  <c r="U42" i="1" s="1"/>
  <c r="O42" i="1" s="1"/>
  <c r="P42" i="1" s="1"/>
  <c r="AD22" i="1"/>
  <c r="T22" i="1"/>
  <c r="R22" i="1" s="1"/>
  <c r="U22" i="1" s="1"/>
  <c r="O22" i="1" s="1"/>
  <c r="P22" i="1" s="1"/>
  <c r="W28" i="1"/>
  <c r="X28" i="1" s="1"/>
  <c r="BB79" i="1"/>
  <c r="AD108" i="1"/>
  <c r="T108" i="1"/>
  <c r="R108" i="1" s="1"/>
  <c r="U108" i="1" s="1"/>
  <c r="O108" i="1" s="1"/>
  <c r="P108" i="1" s="1"/>
  <c r="W108" i="1"/>
  <c r="X108" i="1" s="1"/>
  <c r="W81" i="1"/>
  <c r="X81" i="1" s="1"/>
  <c r="AD113" i="1"/>
  <c r="T113" i="1"/>
  <c r="R113" i="1" s="1"/>
  <c r="U113" i="1" s="1"/>
  <c r="O113" i="1" s="1"/>
  <c r="P113" i="1" s="1"/>
  <c r="W114" i="1"/>
  <c r="X114" i="1" s="1"/>
  <c r="W123" i="1"/>
  <c r="X123" i="1" s="1"/>
  <c r="AD125" i="1"/>
  <c r="T125" i="1"/>
  <c r="R125" i="1" s="1"/>
  <c r="U125" i="1" s="1"/>
  <c r="O125" i="1" s="1"/>
  <c r="P125" i="1" s="1"/>
  <c r="BB120" i="1"/>
  <c r="W118" i="1"/>
  <c r="X118" i="1" s="1"/>
  <c r="AF112" i="1"/>
  <c r="AG112" i="1" s="1"/>
  <c r="Y112" i="1"/>
  <c r="AC112" i="1" s="1"/>
  <c r="W104" i="1"/>
  <c r="X104" i="1" s="1"/>
  <c r="AD104" i="1"/>
  <c r="W122" i="1"/>
  <c r="X122" i="1" s="1"/>
  <c r="AD111" i="1"/>
  <c r="T111" i="1"/>
  <c r="R111" i="1" s="1"/>
  <c r="U111" i="1" s="1"/>
  <c r="O111" i="1" s="1"/>
  <c r="P111" i="1" s="1"/>
  <c r="W99" i="1"/>
  <c r="X99" i="1" s="1"/>
  <c r="T99" i="1" s="1"/>
  <c r="R99" i="1" s="1"/>
  <c r="U99" i="1" s="1"/>
  <c r="O99" i="1" s="1"/>
  <c r="P99" i="1" s="1"/>
  <c r="W93" i="1"/>
  <c r="X93" i="1" s="1"/>
  <c r="Y100" i="1"/>
  <c r="AC100" i="1" s="1"/>
  <c r="AF100" i="1"/>
  <c r="AG100" i="1" s="1"/>
  <c r="AE100" i="1"/>
  <c r="BA67" i="1"/>
  <c r="AD96" i="1"/>
  <c r="T96" i="1"/>
  <c r="R96" i="1" s="1"/>
  <c r="U96" i="1" s="1"/>
  <c r="O96" i="1" s="1"/>
  <c r="P96" i="1" s="1"/>
  <c r="W70" i="1"/>
  <c r="X70" i="1" s="1"/>
  <c r="T70" i="1" s="1"/>
  <c r="R70" i="1" s="1"/>
  <c r="U70" i="1" s="1"/>
  <c r="O70" i="1" s="1"/>
  <c r="P70" i="1" s="1"/>
  <c r="AE98" i="1"/>
  <c r="AD82" i="1"/>
  <c r="W62" i="1"/>
  <c r="X62" i="1" s="1"/>
  <c r="BB65" i="1"/>
  <c r="W49" i="1"/>
  <c r="X49" i="1" s="1"/>
  <c r="AD83" i="1"/>
  <c r="T83" i="1"/>
  <c r="R83" i="1" s="1"/>
  <c r="U83" i="1" s="1"/>
  <c r="O83" i="1" s="1"/>
  <c r="P83" i="1" s="1"/>
  <c r="W36" i="1"/>
  <c r="X36" i="1" s="1"/>
  <c r="Y51" i="1"/>
  <c r="AC51" i="1" s="1"/>
  <c r="AF51" i="1"/>
  <c r="AG51" i="1" s="1"/>
  <c r="T51" i="1"/>
  <c r="R51" i="1" s="1"/>
  <c r="U51" i="1" s="1"/>
  <c r="O51" i="1" s="1"/>
  <c r="P51" i="1" s="1"/>
  <c r="AE51" i="1"/>
  <c r="AF56" i="1"/>
  <c r="AG56" i="1" s="1"/>
  <c r="Y56" i="1"/>
  <c r="AC56" i="1" s="1"/>
  <c r="W44" i="1"/>
  <c r="X44" i="1" s="1"/>
  <c r="W53" i="1"/>
  <c r="X53" i="1" s="1"/>
  <c r="T31" i="1"/>
  <c r="R31" i="1" s="1"/>
  <c r="U31" i="1" s="1"/>
  <c r="O31" i="1" s="1"/>
  <c r="P31" i="1" s="1"/>
  <c r="AD31" i="1"/>
  <c r="W42" i="1"/>
  <c r="X42" i="1" s="1"/>
  <c r="BB39" i="1"/>
  <c r="W26" i="1"/>
  <c r="X26" i="1" s="1"/>
  <c r="W18" i="1"/>
  <c r="X18" i="1" s="1"/>
  <c r="BB38" i="1"/>
  <c r="BB53" i="1"/>
  <c r="AF118" i="1" l="1"/>
  <c r="Y118" i="1"/>
  <c r="AC118" i="1" s="1"/>
  <c r="AE118" i="1"/>
  <c r="Y28" i="1"/>
  <c r="AC28" i="1" s="1"/>
  <c r="AF28" i="1"/>
  <c r="AE28" i="1"/>
  <c r="Y86" i="1"/>
  <c r="AC86" i="1" s="1"/>
  <c r="AF86" i="1"/>
  <c r="AG86" i="1" s="1"/>
  <c r="AE86" i="1"/>
  <c r="Y127" i="1"/>
  <c r="AC127" i="1" s="1"/>
  <c r="AF127" i="1"/>
  <c r="AE127" i="1"/>
  <c r="AF35" i="1"/>
  <c r="AE35" i="1"/>
  <c r="Y35" i="1"/>
  <c r="AC35" i="1" s="1"/>
  <c r="Y25" i="1"/>
  <c r="AC25" i="1" s="1"/>
  <c r="AF25" i="1"/>
  <c r="AE25" i="1"/>
  <c r="AF125" i="1"/>
  <c r="AG125" i="1" s="1"/>
  <c r="AE125" i="1"/>
  <c r="Y125" i="1"/>
  <c r="AC125" i="1" s="1"/>
  <c r="Y26" i="1"/>
  <c r="AC26" i="1" s="1"/>
  <c r="AF26" i="1"/>
  <c r="AG26" i="1" s="1"/>
  <c r="AE26" i="1"/>
  <c r="Y44" i="1"/>
  <c r="AC44" i="1" s="1"/>
  <c r="AF44" i="1"/>
  <c r="AE44" i="1"/>
  <c r="AF36" i="1"/>
  <c r="Y36" i="1"/>
  <c r="AC36" i="1" s="1"/>
  <c r="AE36" i="1"/>
  <c r="AF122" i="1"/>
  <c r="AG122" i="1" s="1"/>
  <c r="Y122" i="1"/>
  <c r="AC122" i="1" s="1"/>
  <c r="AE122" i="1"/>
  <c r="T122" i="1"/>
  <c r="R122" i="1" s="1"/>
  <c r="U122" i="1" s="1"/>
  <c r="O122" i="1" s="1"/>
  <c r="P122" i="1" s="1"/>
  <c r="AG111" i="1"/>
  <c r="AG65" i="1"/>
  <c r="Y113" i="1"/>
  <c r="AC113" i="1" s="1"/>
  <c r="AF113" i="1"/>
  <c r="AE113" i="1"/>
  <c r="Y37" i="1"/>
  <c r="AC37" i="1" s="1"/>
  <c r="AF37" i="1"/>
  <c r="AE37" i="1"/>
  <c r="T37" i="1"/>
  <c r="R37" i="1" s="1"/>
  <c r="U37" i="1" s="1"/>
  <c r="O37" i="1" s="1"/>
  <c r="P37" i="1" s="1"/>
  <c r="AF55" i="1"/>
  <c r="AG55" i="1" s="1"/>
  <c r="AE55" i="1"/>
  <c r="Y55" i="1"/>
  <c r="AC55" i="1" s="1"/>
  <c r="Y91" i="1"/>
  <c r="AC91" i="1" s="1"/>
  <c r="T91" i="1"/>
  <c r="R91" i="1" s="1"/>
  <c r="U91" i="1" s="1"/>
  <c r="O91" i="1" s="1"/>
  <c r="P91" i="1" s="1"/>
  <c r="AF91" i="1"/>
  <c r="AE91" i="1"/>
  <c r="Y71" i="1"/>
  <c r="AC71" i="1" s="1"/>
  <c r="AF71" i="1"/>
  <c r="AG71" i="1" s="1"/>
  <c r="AE71" i="1"/>
  <c r="Y116" i="1"/>
  <c r="AC116" i="1" s="1"/>
  <c r="AF116" i="1"/>
  <c r="AG116" i="1" s="1"/>
  <c r="T116" i="1"/>
  <c r="R116" i="1" s="1"/>
  <c r="U116" i="1" s="1"/>
  <c r="O116" i="1" s="1"/>
  <c r="P116" i="1" s="1"/>
  <c r="AE116" i="1"/>
  <c r="Y34" i="1"/>
  <c r="AC34" i="1" s="1"/>
  <c r="AF34" i="1"/>
  <c r="AG34" i="1" s="1"/>
  <c r="AE34" i="1"/>
  <c r="T34" i="1"/>
  <c r="R34" i="1" s="1"/>
  <c r="U34" i="1" s="1"/>
  <c r="O34" i="1" s="1"/>
  <c r="P34" i="1" s="1"/>
  <c r="AG98" i="1"/>
  <c r="T127" i="1"/>
  <c r="R127" i="1" s="1"/>
  <c r="U127" i="1" s="1"/>
  <c r="O127" i="1" s="1"/>
  <c r="P127" i="1" s="1"/>
  <c r="AG75" i="1"/>
  <c r="AF53" i="1"/>
  <c r="Y53" i="1"/>
  <c r="AC53" i="1" s="1"/>
  <c r="AE53" i="1"/>
  <c r="AF124" i="1"/>
  <c r="Y124" i="1"/>
  <c r="AC124" i="1" s="1"/>
  <c r="AE124" i="1"/>
  <c r="AF48" i="1"/>
  <c r="AG48" i="1" s="1"/>
  <c r="Y48" i="1"/>
  <c r="AC48" i="1" s="1"/>
  <c r="AE48" i="1"/>
  <c r="Y39" i="1"/>
  <c r="AC39" i="1" s="1"/>
  <c r="AF39" i="1"/>
  <c r="AG39" i="1" s="1"/>
  <c r="AE39" i="1"/>
  <c r="Y27" i="1"/>
  <c r="AC27" i="1" s="1"/>
  <c r="AF27" i="1"/>
  <c r="AE27" i="1"/>
  <c r="T35" i="1"/>
  <c r="R35" i="1" s="1"/>
  <c r="U35" i="1" s="1"/>
  <c r="O35" i="1" s="1"/>
  <c r="P35" i="1" s="1"/>
  <c r="AF83" i="1"/>
  <c r="Y83" i="1"/>
  <c r="AC83" i="1" s="1"/>
  <c r="AE83" i="1"/>
  <c r="AF104" i="1"/>
  <c r="AE104" i="1"/>
  <c r="Y104" i="1"/>
  <c r="AC104" i="1" s="1"/>
  <c r="AF66" i="1"/>
  <c r="AG66" i="1" s="1"/>
  <c r="Y66" i="1"/>
  <c r="AC66" i="1" s="1"/>
  <c r="AE66" i="1"/>
  <c r="T66" i="1"/>
  <c r="R66" i="1" s="1"/>
  <c r="U66" i="1" s="1"/>
  <c r="O66" i="1" s="1"/>
  <c r="P66" i="1" s="1"/>
  <c r="AG84" i="1"/>
  <c r="T27" i="1"/>
  <c r="R27" i="1" s="1"/>
  <c r="U27" i="1" s="1"/>
  <c r="O27" i="1" s="1"/>
  <c r="P27" i="1" s="1"/>
  <c r="Y58" i="1"/>
  <c r="AC58" i="1" s="1"/>
  <c r="AF58" i="1"/>
  <c r="AE58" i="1"/>
  <c r="AF31" i="1"/>
  <c r="AG31" i="1" s="1"/>
  <c r="Y31" i="1"/>
  <c r="AC31" i="1" s="1"/>
  <c r="AE31" i="1"/>
  <c r="Y22" i="1"/>
  <c r="AC22" i="1" s="1"/>
  <c r="AF22" i="1"/>
  <c r="AG22" i="1" s="1"/>
  <c r="AE22" i="1"/>
  <c r="Y63" i="1"/>
  <c r="AC63" i="1" s="1"/>
  <c r="AF63" i="1"/>
  <c r="AG63" i="1" s="1"/>
  <c r="AE63" i="1"/>
  <c r="T63" i="1"/>
  <c r="R63" i="1" s="1"/>
  <c r="U63" i="1" s="1"/>
  <c r="O63" i="1" s="1"/>
  <c r="P63" i="1" s="1"/>
  <c r="AF77" i="1"/>
  <c r="AG77" i="1" s="1"/>
  <c r="AE77" i="1"/>
  <c r="Y77" i="1"/>
  <c r="AC77" i="1" s="1"/>
  <c r="Y106" i="1"/>
  <c r="AC106" i="1" s="1"/>
  <c r="AF106" i="1"/>
  <c r="AE106" i="1"/>
  <c r="T44" i="1"/>
  <c r="R44" i="1" s="1"/>
  <c r="U44" i="1" s="1"/>
  <c r="O44" i="1" s="1"/>
  <c r="P44" i="1" s="1"/>
  <c r="Y54" i="1"/>
  <c r="AC54" i="1" s="1"/>
  <c r="AF54" i="1"/>
  <c r="AG54" i="1" s="1"/>
  <c r="T54" i="1"/>
  <c r="R54" i="1" s="1"/>
  <c r="U54" i="1" s="1"/>
  <c r="O54" i="1" s="1"/>
  <c r="P54" i="1" s="1"/>
  <c r="AE54" i="1"/>
  <c r="Y17" i="1"/>
  <c r="AC17" i="1" s="1"/>
  <c r="AF17" i="1"/>
  <c r="AE17" i="1"/>
  <c r="AF81" i="1"/>
  <c r="AG81" i="1" s="1"/>
  <c r="Y81" i="1"/>
  <c r="AC81" i="1" s="1"/>
  <c r="AE81" i="1"/>
  <c r="AF52" i="1"/>
  <c r="AG52" i="1" s="1"/>
  <c r="AE52" i="1"/>
  <c r="Y52" i="1"/>
  <c r="AC52" i="1" s="1"/>
  <c r="AF82" i="1"/>
  <c r="AE82" i="1"/>
  <c r="Y82" i="1"/>
  <c r="AC82" i="1" s="1"/>
  <c r="AG89" i="1"/>
  <c r="AF57" i="1"/>
  <c r="AG57" i="1" s="1"/>
  <c r="Y57" i="1"/>
  <c r="AC57" i="1" s="1"/>
  <c r="AE57" i="1"/>
  <c r="AF42" i="1"/>
  <c r="Y42" i="1"/>
  <c r="AC42" i="1" s="1"/>
  <c r="AE42" i="1"/>
  <c r="Y49" i="1"/>
  <c r="AC49" i="1" s="1"/>
  <c r="AF49" i="1"/>
  <c r="AE49" i="1"/>
  <c r="T49" i="1"/>
  <c r="R49" i="1" s="1"/>
  <c r="U49" i="1" s="1"/>
  <c r="O49" i="1" s="1"/>
  <c r="P49" i="1" s="1"/>
  <c r="Y93" i="1"/>
  <c r="AC93" i="1" s="1"/>
  <c r="AF93" i="1"/>
  <c r="AE93" i="1"/>
  <c r="T104" i="1"/>
  <c r="R104" i="1" s="1"/>
  <c r="U104" i="1" s="1"/>
  <c r="O104" i="1" s="1"/>
  <c r="P104" i="1" s="1"/>
  <c r="Y108" i="1"/>
  <c r="AC108" i="1" s="1"/>
  <c r="AF108" i="1"/>
  <c r="AE108" i="1"/>
  <c r="T93" i="1"/>
  <c r="R93" i="1" s="1"/>
  <c r="U93" i="1" s="1"/>
  <c r="O93" i="1" s="1"/>
  <c r="P93" i="1" s="1"/>
  <c r="T39" i="1"/>
  <c r="R39" i="1" s="1"/>
  <c r="U39" i="1" s="1"/>
  <c r="O39" i="1" s="1"/>
  <c r="P39" i="1" s="1"/>
  <c r="AF60" i="1"/>
  <c r="AE60" i="1"/>
  <c r="Y60" i="1"/>
  <c r="AC60" i="1" s="1"/>
  <c r="AF121" i="1"/>
  <c r="AG121" i="1" s="1"/>
  <c r="Y121" i="1"/>
  <c r="AC121" i="1" s="1"/>
  <c r="AE121" i="1"/>
  <c r="AG24" i="1"/>
  <c r="T53" i="1"/>
  <c r="R53" i="1" s="1"/>
  <c r="U53" i="1" s="1"/>
  <c r="O53" i="1" s="1"/>
  <c r="P53" i="1" s="1"/>
  <c r="T118" i="1"/>
  <c r="R118" i="1" s="1"/>
  <c r="U118" i="1" s="1"/>
  <c r="O118" i="1" s="1"/>
  <c r="P118" i="1" s="1"/>
  <c r="AE72" i="1"/>
  <c r="AF72" i="1"/>
  <c r="AG72" i="1" s="1"/>
  <c r="Y72" i="1"/>
  <c r="AC72" i="1" s="1"/>
  <c r="T72" i="1"/>
  <c r="R72" i="1" s="1"/>
  <c r="U72" i="1" s="1"/>
  <c r="O72" i="1" s="1"/>
  <c r="P72" i="1" s="1"/>
  <c r="AG92" i="1"/>
  <c r="Y110" i="1"/>
  <c r="AC110" i="1" s="1"/>
  <c r="AF110" i="1"/>
  <c r="AG110" i="1" s="1"/>
  <c r="AE110" i="1"/>
  <c r="AG103" i="1"/>
  <c r="AG43" i="1"/>
  <c r="AF70" i="1"/>
  <c r="AG70" i="1" s="1"/>
  <c r="Y70" i="1"/>
  <c r="AC70" i="1" s="1"/>
  <c r="AE70" i="1"/>
  <c r="AF123" i="1"/>
  <c r="AG123" i="1" s="1"/>
  <c r="Y123" i="1"/>
  <c r="AC123" i="1" s="1"/>
  <c r="AE123" i="1"/>
  <c r="T123" i="1"/>
  <c r="R123" i="1" s="1"/>
  <c r="U123" i="1" s="1"/>
  <c r="O123" i="1" s="1"/>
  <c r="P123" i="1" s="1"/>
  <c r="AF105" i="1"/>
  <c r="AG105" i="1" s="1"/>
  <c r="Y105" i="1"/>
  <c r="AC105" i="1" s="1"/>
  <c r="AE105" i="1"/>
  <c r="AF59" i="1"/>
  <c r="AG59" i="1" s="1"/>
  <c r="AE59" i="1"/>
  <c r="Y59" i="1"/>
  <c r="AC59" i="1" s="1"/>
  <c r="AE19" i="1"/>
  <c r="Y19" i="1"/>
  <c r="AC19" i="1" s="1"/>
  <c r="AF19" i="1"/>
  <c r="AG19" i="1" s="1"/>
  <c r="Y38" i="1"/>
  <c r="AC38" i="1" s="1"/>
  <c r="AF38" i="1"/>
  <c r="AE38" i="1"/>
  <c r="Y68" i="1"/>
  <c r="AC68" i="1" s="1"/>
  <c r="AE68" i="1"/>
  <c r="AF68" i="1"/>
  <c r="T68" i="1"/>
  <c r="R68" i="1" s="1"/>
  <c r="U68" i="1" s="1"/>
  <c r="O68" i="1" s="1"/>
  <c r="P68" i="1" s="1"/>
  <c r="Y99" i="1"/>
  <c r="AC99" i="1" s="1"/>
  <c r="AF99" i="1"/>
  <c r="AG99" i="1" s="1"/>
  <c r="AE99" i="1"/>
  <c r="AF64" i="1"/>
  <c r="AG64" i="1" s="1"/>
  <c r="AE64" i="1"/>
  <c r="Y64" i="1"/>
  <c r="AC64" i="1" s="1"/>
  <c r="Y120" i="1"/>
  <c r="AC120" i="1" s="1"/>
  <c r="AF120" i="1"/>
  <c r="AE120" i="1"/>
  <c r="Y30" i="1"/>
  <c r="AC30" i="1" s="1"/>
  <c r="AF30" i="1"/>
  <c r="AE30" i="1"/>
  <c r="T52" i="1"/>
  <c r="R52" i="1" s="1"/>
  <c r="U52" i="1" s="1"/>
  <c r="O52" i="1" s="1"/>
  <c r="P52" i="1" s="1"/>
  <c r="AF76" i="1"/>
  <c r="AG76" i="1" s="1"/>
  <c r="AE76" i="1"/>
  <c r="T76" i="1"/>
  <c r="R76" i="1" s="1"/>
  <c r="U76" i="1" s="1"/>
  <c r="O76" i="1" s="1"/>
  <c r="P76" i="1" s="1"/>
  <c r="Y76" i="1"/>
  <c r="AC76" i="1" s="1"/>
  <c r="AG73" i="1"/>
  <c r="T57" i="1"/>
  <c r="R57" i="1" s="1"/>
  <c r="U57" i="1" s="1"/>
  <c r="O57" i="1" s="1"/>
  <c r="P57" i="1" s="1"/>
  <c r="Y23" i="1"/>
  <c r="AC23" i="1" s="1"/>
  <c r="AF23" i="1"/>
  <c r="AG23" i="1" s="1"/>
  <c r="AE23" i="1"/>
  <c r="AG78" i="1"/>
  <c r="AG96" i="1"/>
  <c r="T86" i="1"/>
  <c r="R86" i="1" s="1"/>
  <c r="U86" i="1" s="1"/>
  <c r="O86" i="1" s="1"/>
  <c r="P86" i="1" s="1"/>
  <c r="Y40" i="1"/>
  <c r="AC40" i="1" s="1"/>
  <c r="AF40" i="1"/>
  <c r="AE40" i="1"/>
  <c r="AF102" i="1"/>
  <c r="AG102" i="1" s="1"/>
  <c r="Y102" i="1"/>
  <c r="AC102" i="1" s="1"/>
  <c r="AE102" i="1"/>
  <c r="T59" i="1"/>
  <c r="R59" i="1" s="1"/>
  <c r="U59" i="1" s="1"/>
  <c r="O59" i="1" s="1"/>
  <c r="P59" i="1" s="1"/>
  <c r="Y61" i="1"/>
  <c r="AC61" i="1" s="1"/>
  <c r="AF61" i="1"/>
  <c r="AG61" i="1" s="1"/>
  <c r="AE61" i="1"/>
  <c r="T36" i="1"/>
  <c r="R36" i="1" s="1"/>
  <c r="U36" i="1" s="1"/>
  <c r="O36" i="1" s="1"/>
  <c r="P36" i="1" s="1"/>
  <c r="Y128" i="1"/>
  <c r="AC128" i="1" s="1"/>
  <c r="AF128" i="1"/>
  <c r="AG128" i="1" s="1"/>
  <c r="AE128" i="1"/>
  <c r="T28" i="1"/>
  <c r="R28" i="1" s="1"/>
  <c r="U28" i="1" s="1"/>
  <c r="O28" i="1" s="1"/>
  <c r="P28" i="1" s="1"/>
  <c r="Y18" i="1"/>
  <c r="AC18" i="1" s="1"/>
  <c r="AF18" i="1"/>
  <c r="AG18" i="1" s="1"/>
  <c r="AE18" i="1"/>
  <c r="Y62" i="1"/>
  <c r="AC62" i="1" s="1"/>
  <c r="AF62" i="1"/>
  <c r="AG62" i="1" s="1"/>
  <c r="AE62" i="1"/>
  <c r="AF114" i="1"/>
  <c r="AE114" i="1"/>
  <c r="Y114" i="1"/>
  <c r="AC114" i="1" s="1"/>
  <c r="Y46" i="1"/>
  <c r="AC46" i="1" s="1"/>
  <c r="AF46" i="1"/>
  <c r="AE46" i="1"/>
  <c r="AG29" i="1"/>
  <c r="T62" i="1"/>
  <c r="R62" i="1" s="1"/>
  <c r="U62" i="1" s="1"/>
  <c r="O62" i="1" s="1"/>
  <c r="P62" i="1" s="1"/>
  <c r="AF126" i="1"/>
  <c r="Y126" i="1"/>
  <c r="AC126" i="1" s="1"/>
  <c r="AE126" i="1"/>
  <c r="T81" i="1"/>
  <c r="R81" i="1" s="1"/>
  <c r="U81" i="1" s="1"/>
  <c r="O81" i="1" s="1"/>
  <c r="P81" i="1" s="1"/>
  <c r="T114" i="1"/>
  <c r="R114" i="1" s="1"/>
  <c r="U114" i="1" s="1"/>
  <c r="O114" i="1" s="1"/>
  <c r="P114" i="1" s="1"/>
  <c r="Y107" i="1"/>
  <c r="AC107" i="1" s="1"/>
  <c r="AE107" i="1"/>
  <c r="AF107" i="1"/>
  <c r="AG107" i="1" s="1"/>
  <c r="T18" i="1"/>
  <c r="R18" i="1" s="1"/>
  <c r="U18" i="1" s="1"/>
  <c r="O18" i="1" s="1"/>
  <c r="P18" i="1" s="1"/>
  <c r="T38" i="1"/>
  <c r="R38" i="1" s="1"/>
  <c r="U38" i="1" s="1"/>
  <c r="O38" i="1" s="1"/>
  <c r="P38" i="1" s="1"/>
  <c r="AF32" i="1"/>
  <c r="AG32" i="1" s="1"/>
  <c r="Y32" i="1"/>
  <c r="AC32" i="1" s="1"/>
  <c r="AE32" i="1"/>
  <c r="AF69" i="1"/>
  <c r="AG69" i="1" s="1"/>
  <c r="Y69" i="1"/>
  <c r="AC69" i="1" s="1"/>
  <c r="AE69" i="1"/>
  <c r="Y33" i="1"/>
  <c r="AC33" i="1" s="1"/>
  <c r="AF33" i="1"/>
  <c r="T33" i="1"/>
  <c r="R33" i="1" s="1"/>
  <c r="U33" i="1" s="1"/>
  <c r="O33" i="1" s="1"/>
  <c r="P33" i="1" s="1"/>
  <c r="AE33" i="1"/>
  <c r="T55" i="1"/>
  <c r="R55" i="1" s="1"/>
  <c r="U55" i="1" s="1"/>
  <c r="O55" i="1" s="1"/>
  <c r="P55" i="1" s="1"/>
  <c r="Y45" i="1"/>
  <c r="AC45" i="1" s="1"/>
  <c r="AF45" i="1"/>
  <c r="AE45" i="1"/>
  <c r="Y74" i="1"/>
  <c r="AC74" i="1" s="1"/>
  <c r="AF74" i="1"/>
  <c r="AE74" i="1"/>
  <c r="T71" i="1"/>
  <c r="R71" i="1" s="1"/>
  <c r="U71" i="1" s="1"/>
  <c r="O71" i="1" s="1"/>
  <c r="P71" i="1" s="1"/>
  <c r="T105" i="1"/>
  <c r="R105" i="1" s="1"/>
  <c r="U105" i="1" s="1"/>
  <c r="O105" i="1" s="1"/>
  <c r="P105" i="1" s="1"/>
  <c r="AF117" i="1"/>
  <c r="AG117" i="1" s="1"/>
  <c r="Y117" i="1"/>
  <c r="AC117" i="1" s="1"/>
  <c r="AE117" i="1"/>
  <c r="AG115" i="1"/>
  <c r="AG85" i="1"/>
  <c r="Y41" i="1"/>
  <c r="AC41" i="1" s="1"/>
  <c r="AF41" i="1"/>
  <c r="AG41" i="1" s="1"/>
  <c r="AE41" i="1"/>
  <c r="Y50" i="1"/>
  <c r="AC50" i="1" s="1"/>
  <c r="AF50" i="1"/>
  <c r="AE50" i="1"/>
  <c r="T25" i="1"/>
  <c r="R25" i="1" s="1"/>
  <c r="U25" i="1" s="1"/>
  <c r="O25" i="1" s="1"/>
  <c r="P25" i="1" s="1"/>
  <c r="Y67" i="1"/>
  <c r="AC67" i="1" s="1"/>
  <c r="AF67" i="1"/>
  <c r="AG67" i="1" s="1"/>
  <c r="AE67" i="1"/>
  <c r="T67" i="1"/>
  <c r="R67" i="1" s="1"/>
  <c r="U67" i="1" s="1"/>
  <c r="O67" i="1" s="1"/>
  <c r="P67" i="1" s="1"/>
  <c r="AG20" i="1"/>
  <c r="AF79" i="1"/>
  <c r="AG79" i="1" s="1"/>
  <c r="Y79" i="1"/>
  <c r="AC79" i="1" s="1"/>
  <c r="AE79" i="1"/>
  <c r="T79" i="1"/>
  <c r="R79" i="1" s="1"/>
  <c r="U79" i="1" s="1"/>
  <c r="O79" i="1" s="1"/>
  <c r="P79" i="1" s="1"/>
  <c r="AF80" i="1"/>
  <c r="AG80" i="1" s="1"/>
  <c r="Y80" i="1"/>
  <c r="AC80" i="1" s="1"/>
  <c r="AE80" i="1"/>
  <c r="T80" i="1"/>
  <c r="R80" i="1" s="1"/>
  <c r="U80" i="1" s="1"/>
  <c r="O80" i="1" s="1"/>
  <c r="P80" i="1" s="1"/>
  <c r="AG74" i="1" l="1"/>
  <c r="AG33" i="1"/>
  <c r="AG120" i="1"/>
  <c r="AG82" i="1"/>
  <c r="AG17" i="1"/>
  <c r="AG106" i="1"/>
  <c r="AG58" i="1"/>
  <c r="AG27" i="1"/>
  <c r="AG113" i="1"/>
  <c r="AG126" i="1"/>
  <c r="AG114" i="1"/>
  <c r="AG68" i="1"/>
  <c r="AG60" i="1"/>
  <c r="AG93" i="1"/>
  <c r="AG42" i="1"/>
  <c r="AG35" i="1"/>
  <c r="AG28" i="1"/>
  <c r="AG104" i="1"/>
  <c r="AG124" i="1"/>
  <c r="AG36" i="1"/>
  <c r="AG50" i="1"/>
  <c r="AG45" i="1"/>
  <c r="AG127" i="1"/>
  <c r="AG44" i="1"/>
  <c r="AG46" i="1"/>
  <c r="AG40" i="1"/>
  <c r="AG30" i="1"/>
  <c r="AG38" i="1"/>
  <c r="AG108" i="1"/>
  <c r="AG49" i="1"/>
  <c r="AG83" i="1"/>
  <c r="AG53" i="1"/>
  <c r="AG91" i="1"/>
  <c r="AG37" i="1"/>
  <c r="AG25" i="1"/>
  <c r="AG118" i="1"/>
</calcChain>
</file>

<file path=xl/sharedStrings.xml><?xml version="1.0" encoding="utf-8"?>
<sst xmlns="http://schemas.openxmlformats.org/spreadsheetml/2006/main" count="2856" uniqueCount="988">
  <si>
    <t>File opened</t>
  </si>
  <si>
    <t>2023-08-04 08:54:45</t>
  </si>
  <si>
    <t>Console s/n</t>
  </si>
  <si>
    <t>68C-812068</t>
  </si>
  <si>
    <t>Console ver</t>
  </si>
  <si>
    <t>Bluestem v.2.1.08</t>
  </si>
  <si>
    <t>Scripts ver</t>
  </si>
  <si>
    <t>2022.05  2.1.08, Aug 2022</t>
  </si>
  <si>
    <t>Head s/n</t>
  </si>
  <si>
    <t>68H-712058</t>
  </si>
  <si>
    <t>Head ver</t>
  </si>
  <si>
    <t>1.4.22</t>
  </si>
  <si>
    <t>Head cal</t>
  </si>
  <si>
    <t>{"oxygen": "21", "co2azero": "0.896394", "co2aspan1": "0.992529", "co2aspan2": "0.000215804", "co2aspan2a": "0.284401", "co2aspan2b": "0.282294", "co2aspanconc1": "2504", "co2aspanconc2": "300.9", "co2bzero": "0.911536", "co2bspan1": "0.992113", "co2bspan2": "0.00187891", "co2bspan2a": "0.280611", "co2bspan2b": "0.278546", "co2bspanconc1": "2504", "co2bspanconc2": "300.9", "h2oazero": "1.0352", "h2oaspan1": "1.00429", "h2oaspan2": "0", "h2oaspan2a": "0.0694857", "h2oaspan2b": "0.0697839", "h2oaspanconc1": "11.74", "h2oaspanconc2": "0", "h2obzero": "1.04075", "h2obspan1": "1.03991", "h2obspan2": "0", "h2obspan2a": "0.0674267", "h2obspan2b": "0.0701179", "h2obspanconc1": "11.74", "h2obspanconc2": "0", "tazero": "0.207907", "tbzero": "0.213327", "flowmeterzero": "0.996244", "flowazero": "0.30552", "flowbzero": "0.30617", "chamberpressurezero": "2.68145", "ssa_ref": "28781.3", "ssb_ref": "37236.4"}</t>
  </si>
  <si>
    <t>CO2 rangematch</t>
  </si>
  <si>
    <t>Sat Jul 29 17:00</t>
  </si>
  <si>
    <t>H2O rangematch</t>
  </si>
  <si>
    <t>Sat Jul 29 16:55</t>
  </si>
  <si>
    <t>Chamber type</t>
  </si>
  <si>
    <t>6800-01A</t>
  </si>
  <si>
    <t>Chamber s/n</t>
  </si>
  <si>
    <t>MPF-281817</t>
  </si>
  <si>
    <t>Chamber rev</t>
  </si>
  <si>
    <t>0</t>
  </si>
  <si>
    <t>Chamber cal</t>
  </si>
  <si>
    <t>Fluorometer</t>
  </si>
  <si>
    <t>Flr. Version</t>
  </si>
  <si>
    <t>08:54:45</t>
  </si>
  <si>
    <t>Stability Definition:	A (GasEx): Slp&lt;0.7 Std&lt;0.2 Per=15	gsw (GasEx): Slp&lt;0.05 Std&lt;0.05 Per=15</t>
  </si>
  <si>
    <t>SysConst</t>
  </si>
  <si>
    <t>AvgTime</t>
  </si>
  <si>
    <t>1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</si>
  <si>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</si>
  <si>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</si>
  <si>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</si>
  <si>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</si>
  <si>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</si>
  <si>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</si>
  <si>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</si>
  <si>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</si>
  <si>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</si>
  <si>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</si>
  <si>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</si>
  <si>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</si>
  <si>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</si>
  <si>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</si>
  <si>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</si>
  <si>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</si>
  <si>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</si>
  <si>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</si>
  <si>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</si>
  <si>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</si>
  <si>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</si>
  <si>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</si>
  <si>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</si>
  <si>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</si>
  <si>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</si>
  <si>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</si>
  <si>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</si>
  <si>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</si>
  <si>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</si>
  <si>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</si>
  <si>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</si>
  <si>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</si>
  <si>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</si>
  <si>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</si>
  <si>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</si>
  <si>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</si>
  <si>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</si>
  <si>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</si>
  <si>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</si>
  <si>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</si>
  <si>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</si>
  <si>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</si>
  <si>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</si>
  <si>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</si>
  <si>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</si>
  <si>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</si>
  <si>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</si>
  <si>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</si>
  <si>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</si>
  <si>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3.09567 86.8101 379.037 623.56 865.428 1056.41 1227.44 1380.78</t>
  </si>
  <si>
    <t>Fs_true</t>
  </si>
  <si>
    <t>0.234474 101.785 400.921 601.001 800.46 1000.69 1200.41 1401.44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</si>
  <si>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</si>
  <si>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</si>
  <si>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</si>
  <si>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</si>
  <si>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</si>
  <si>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</si>
  <si>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</si>
  <si>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</si>
  <si>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</si>
  <si>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</si>
  <si>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</si>
  <si>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</si>
  <si>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</si>
  <si>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</si>
  <si>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</si>
  <si>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</si>
  <si>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</si>
  <si>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</si>
  <si>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</si>
  <si>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</si>
  <si>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</si>
  <si>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</si>
  <si>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</si>
  <si>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</si>
  <si>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</si>
  <si>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</si>
  <si>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</si>
  <si>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</si>
  <si>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plot</t>
  </si>
  <si>
    <t>event</t>
  </si>
  <si>
    <t>replicate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</si>
  <si>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</si>
  <si>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</si>
  <si>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</si>
  <si>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</si>
  <si>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</si>
  <si>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</si>
  <si>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</si>
  <si>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</si>
  <si>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</si>
  <si>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</si>
  <si>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</si>
  <si>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</si>
  <si>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</si>
  <si>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</si>
  <si>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</si>
  <si>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</si>
  <si>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</si>
  <si>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</si>
  <si>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</si>
  <si>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</si>
  <si>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</si>
  <si>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</si>
  <si>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</si>
  <si>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</si>
  <si>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</si>
  <si>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</si>
  <si>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</si>
  <si>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</si>
  <si>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</si>
  <si>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</si>
  <si>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</si>
  <si>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</si>
  <si>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</si>
  <si>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</si>
  <si>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</si>
  <si>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</si>
  <si>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</si>
  <si>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</si>
  <si>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</si>
  <si>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</si>
  <si>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</si>
  <si>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</si>
  <si>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</si>
  <si>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</si>
  <si>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</si>
  <si>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</si>
  <si>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</si>
  <si>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</si>
  <si>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</si>
  <si>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</si>
  <si>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</si>
  <si>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</si>
  <si>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</si>
  <si>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</si>
  <si>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</si>
  <si>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</si>
  <si>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</si>
  <si>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</si>
  <si>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</si>
  <si>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</si>
  <si>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</si>
  <si>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</si>
  <si>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</si>
  <si>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</si>
  <si>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</si>
  <si>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</si>
  <si>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</si>
  <si>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</si>
  <si>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</si>
  <si>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</si>
  <si>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</si>
  <si>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</si>
  <si>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</si>
  <si>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</si>
  <si>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</si>
  <si>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</si>
  <si>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</si>
  <si>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</si>
  <si>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</si>
  <si>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</si>
  <si>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</si>
  <si>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</si>
  <si>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</si>
  <si>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</si>
  <si>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</si>
  <si>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</si>
  <si>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</si>
  <si>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</si>
  <si>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</si>
  <si>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</si>
  <si>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</si>
  <si>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</si>
  <si>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</si>
  <si>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</si>
  <si>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</si>
  <si>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</si>
  <si>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</si>
  <si>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</si>
  <si>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</si>
  <si>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</si>
  <si>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</si>
  <si>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</si>
  <si>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</si>
  <si>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</si>
  <si>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</si>
  <si>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</si>
  <si>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</si>
  <si>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</si>
  <si>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</si>
  <si>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</si>
  <si>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</si>
  <si>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</si>
  <si>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</si>
  <si>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</si>
  <si>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</si>
  <si>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</si>
  <si>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</si>
  <si>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</si>
  <si>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</si>
  <si>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</si>
  <si>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</si>
  <si>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</si>
  <si>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</si>
  <si>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</si>
  <si>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</si>
  <si>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</si>
  <si>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</si>
  <si>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</si>
  <si>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</si>
  <si>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</si>
  <si>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</si>
  <si>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</si>
  <si>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</si>
  <si>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</si>
  <si>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</si>
  <si>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</si>
  <si>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</si>
  <si>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</si>
  <si>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</si>
  <si>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</si>
  <si>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</si>
  <si>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</si>
  <si>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</si>
  <si>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</si>
  <si>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</si>
  <si>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</si>
  <si>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</si>
  <si>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</si>
  <si>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</si>
  <si>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</si>
  <si>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</si>
  <si>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</si>
  <si>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</si>
  <si>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</si>
  <si>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</si>
  <si>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</si>
  <si>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</si>
  <si>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</si>
  <si>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</si>
  <si>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</si>
  <si>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</si>
  <si>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</si>
  <si>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</si>
  <si>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</si>
  <si>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</si>
  <si>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</si>
  <si>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</si>
  <si>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</si>
  <si>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</si>
  <si>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</si>
  <si>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</si>
  <si>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</si>
  <si>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</si>
  <si>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</si>
  <si>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</si>
  <si>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</si>
  <si>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</si>
  <si>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</si>
  <si>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</si>
  <si>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</si>
  <si>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</si>
  <si>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</si>
  <si>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</si>
  <si>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</si>
  <si>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</si>
  <si>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</si>
  <si>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</si>
  <si>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</si>
  <si>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</si>
  <si>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</si>
  <si>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</si>
  <si>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</si>
  <si>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</si>
  <si>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</si>
  <si>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</si>
  <si>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</si>
  <si>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</si>
  <si>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</si>
  <si>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</si>
  <si>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</si>
  <si>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</si>
  <si>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</si>
  <si>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</si>
  <si>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</si>
  <si>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</si>
  <si>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</si>
  <si>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</si>
  <si>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</si>
  <si>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</si>
  <si>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</si>
  <si>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</si>
  <si>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</si>
  <si>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</si>
  <si>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</si>
  <si>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</si>
  <si>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</si>
  <si>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</si>
  <si>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</si>
  <si>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</si>
  <si>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</si>
  <si>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</si>
  <si>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</si>
  <si>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</si>
  <si>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</si>
  <si>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</si>
  <si>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</si>
  <si>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</si>
  <si>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</si>
  <si>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</si>
  <si>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</si>
  <si>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</si>
  <si>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</si>
  <si>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</si>
  <si>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</si>
  <si>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</si>
  <si>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</si>
  <si>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</si>
  <si>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</si>
  <si>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</si>
  <si>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</si>
  <si>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</si>
  <si>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</si>
  <si>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</si>
  <si>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</si>
  <si>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</si>
  <si>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</si>
  <si>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</si>
  <si>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</si>
  <si>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</si>
  <si>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</si>
  <si>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</si>
  <si>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</si>
  <si>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</si>
  <si>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</si>
  <si>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</si>
  <si>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</si>
  <si>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</si>
  <si>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</si>
  <si>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</si>
  <si>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</si>
  <si>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</si>
  <si>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</si>
  <si>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</si>
  <si>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</si>
  <si>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</si>
  <si>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</si>
  <si>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</si>
  <si>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</si>
  <si>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</si>
  <si>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</si>
  <si>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</si>
  <si>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</si>
  <si>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</si>
  <si>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</si>
  <si>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</si>
  <si>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</si>
  <si>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</si>
  <si>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</si>
  <si>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</si>
  <si>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</si>
  <si>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</si>
  <si>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</si>
  <si>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</si>
  <si>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</si>
  <si>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</si>
  <si>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</si>
  <si>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</si>
  <si>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</si>
  <si>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</si>
  <si>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</si>
  <si>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</si>
  <si>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</si>
  <si>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</si>
  <si>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</si>
  <si>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</si>
  <si>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</si>
  <si>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20230804 09:27:25</t>
  </si>
  <si>
    <t>09:27:25</t>
  </si>
  <si>
    <t>none</t>
  </si>
  <si>
    <t>hn1a</t>
  </si>
  <si>
    <t>2</t>
  </si>
  <si>
    <t>RECT-12216-20230728-06_52_36</t>
  </si>
  <si>
    <t>MPF-12469-20230804-09_27_19</t>
  </si>
  <si>
    <t>DARK-12470-20230804-09_27_26</t>
  </si>
  <si>
    <t>0: Broadleaf</t>
  </si>
  <si>
    <t>09:26:57</t>
  </si>
  <si>
    <t>2/2</t>
  </si>
  <si>
    <t>11111111</t>
  </si>
  <si>
    <t>oooooooo</t>
  </si>
  <si>
    <t>off</t>
  </si>
  <si>
    <t>20230804 09:29:11</t>
  </si>
  <si>
    <t>09:29:11</t>
  </si>
  <si>
    <t>MPF-12471-20230804-09_29_04</t>
  </si>
  <si>
    <t>DARK-12472-20230804-09_29_12</t>
  </si>
  <si>
    <t>09:28:40</t>
  </si>
  <si>
    <t>20230804 09:31:01</t>
  </si>
  <si>
    <t>09:31:01</t>
  </si>
  <si>
    <t>MPF-12473-20230804-09_30_55</t>
  </si>
  <si>
    <t>DARK-12474-20230804-09_31_02</t>
  </si>
  <si>
    <t>09:30:31</t>
  </si>
  <si>
    <t>20230804 09:33:05</t>
  </si>
  <si>
    <t>09:33:05</t>
  </si>
  <si>
    <t>MPF-12475-20230804-09_32_59</t>
  </si>
  <si>
    <t>DARK-12476-20230804-09_33_06</t>
  </si>
  <si>
    <t>09:32:34</t>
  </si>
  <si>
    <t>20230804 09:35:22</t>
  </si>
  <si>
    <t>09:35:22</t>
  </si>
  <si>
    <t>MPF-12477-20230804-09_35_16</t>
  </si>
  <si>
    <t>DARK-12478-20230804-09_35_23</t>
  </si>
  <si>
    <t>09:34:53</t>
  </si>
  <si>
    <t>20230804 09:37:23</t>
  </si>
  <si>
    <t>09:37:23</t>
  </si>
  <si>
    <t>MPF-12479-20230804-09_37_17</t>
  </si>
  <si>
    <t>DARK-12480-20230804-09_37_24</t>
  </si>
  <si>
    <t>09:36:52</t>
  </si>
  <si>
    <t>20230804 09:39:10</t>
  </si>
  <si>
    <t>09:39:10</t>
  </si>
  <si>
    <t>MPF-12481-20230804-09_39_03</t>
  </si>
  <si>
    <t>DARK-12482-20230804-09_39_11</t>
  </si>
  <si>
    <t>09:38:38</t>
  </si>
  <si>
    <t>20230804 09:42:20</t>
  </si>
  <si>
    <t>09:42:20</t>
  </si>
  <si>
    <t>MPF-12483-20230804-09_42_13</t>
  </si>
  <si>
    <t>DARK-12484-20230804-09_42_21</t>
  </si>
  <si>
    <t>09:41:16</t>
  </si>
  <si>
    <t>1/2</t>
  </si>
  <si>
    <t>20230804 09:45:16</t>
  </si>
  <si>
    <t>09:45:16</t>
  </si>
  <si>
    <t>MPF-12485-20230804-09_45_10</t>
  </si>
  <si>
    <t>DARK-12486-20230804-09_45_17</t>
  </si>
  <si>
    <t>09:43:37</t>
  </si>
  <si>
    <t>20230804 09:47:28</t>
  </si>
  <si>
    <t>09:47:28</t>
  </si>
  <si>
    <t>MPF-12487-20230804-09_47_22</t>
  </si>
  <si>
    <t>DARK-12488-20230804-09_47_29</t>
  </si>
  <si>
    <t>09:46:59</t>
  </si>
  <si>
    <t>20230804 09:49:15</t>
  </si>
  <si>
    <t>09:49:15</t>
  </si>
  <si>
    <t>MPF-12489-20230804-09_49_08</t>
  </si>
  <si>
    <t>DARK-12490-20230804-09_49_16</t>
  </si>
  <si>
    <t>09:48:46</t>
  </si>
  <si>
    <t>20230804 09:51:53</t>
  </si>
  <si>
    <t>09:51:53</t>
  </si>
  <si>
    <t>MPF-12491-20230804-09_51_47</t>
  </si>
  <si>
    <t>DARK-12492-20230804-09_51_54</t>
  </si>
  <si>
    <t>09:51:18</t>
  </si>
  <si>
    <t>20230804 09:54:18</t>
  </si>
  <si>
    <t>09:54:18</t>
  </si>
  <si>
    <t>MPF-12493-20230804-09_54_11</t>
  </si>
  <si>
    <t>DARK-12494-20230804-09_54_19</t>
  </si>
  <si>
    <t>09:53:44</t>
  </si>
  <si>
    <t>20230804 09:57:01</t>
  </si>
  <si>
    <t>09:57:01</t>
  </si>
  <si>
    <t>MPF-12495-20230804-09_56_55</t>
  </si>
  <si>
    <t>DARK-12496-20230804-09_57_02</t>
  </si>
  <si>
    <t>09:56:13</t>
  </si>
  <si>
    <t>20230804 10:35:59</t>
  </si>
  <si>
    <t>10:35:59</t>
  </si>
  <si>
    <t>zg12a</t>
  </si>
  <si>
    <t>MPF-12497-20230804-10_35_53</t>
  </si>
  <si>
    <t>DARK-12498-20230804-10_36_00</t>
  </si>
  <si>
    <t>10:35:26</t>
  </si>
  <si>
    <t>20230804 10:37:46</t>
  </si>
  <si>
    <t>10:37:46</t>
  </si>
  <si>
    <t>MPF-12499-20230804-10_37_40</t>
  </si>
  <si>
    <t>DARK-12500-20230804-10_37_47</t>
  </si>
  <si>
    <t>10:37:14</t>
  </si>
  <si>
    <t>20230804 10:40:19</t>
  </si>
  <si>
    <t>10:40:19</t>
  </si>
  <si>
    <t>MPF-12501-20230804-10_40_13</t>
  </si>
  <si>
    <t>DARK-12502-20230804-10_40_20</t>
  </si>
  <si>
    <t>10:39:09</t>
  </si>
  <si>
    <t>20230804 10:41:59</t>
  </si>
  <si>
    <t>10:41:59</t>
  </si>
  <si>
    <t>MPF-12503-20230804-10_41_52</t>
  </si>
  <si>
    <t>DARK-12504-20230804-10_42_00</t>
  </si>
  <si>
    <t>10:41:28</t>
  </si>
  <si>
    <t>20230804 10:44:05</t>
  </si>
  <si>
    <t>10:44:05</t>
  </si>
  <si>
    <t>MPF-12505-20230804-10_43_58</t>
  </si>
  <si>
    <t>DARK-12506-20230804-10_44_06</t>
  </si>
  <si>
    <t>10:43:27</t>
  </si>
  <si>
    <t>20230804 10:46:00</t>
  </si>
  <si>
    <t>10:46:00</t>
  </si>
  <si>
    <t>MPF-12507-20230804-10_45_53</t>
  </si>
  <si>
    <t>DARK-12508-20230804-10_46_01</t>
  </si>
  <si>
    <t>10:45:23</t>
  </si>
  <si>
    <t>20230804 10:47:42</t>
  </si>
  <si>
    <t>10:47:42</t>
  </si>
  <si>
    <t>MPF-12509-20230804-10_47_36</t>
  </si>
  <si>
    <t>DARK-12510-20230804-10_47_43</t>
  </si>
  <si>
    <t>10:47:06</t>
  </si>
  <si>
    <t>20230804 10:50:52</t>
  </si>
  <si>
    <t>10:50:52</t>
  </si>
  <si>
    <t>MPF-12511-20230804-10_50_45</t>
  </si>
  <si>
    <t>DARK-12512-20230804-10_50_53</t>
  </si>
  <si>
    <t>10:49:19</t>
  </si>
  <si>
    <t>20230804 10:52:39</t>
  </si>
  <si>
    <t>10:52:39</t>
  </si>
  <si>
    <t>MPF-12513-20230804-10_52_32</t>
  </si>
  <si>
    <t>DARK-12514-20230804-10_52_40</t>
  </si>
  <si>
    <t>10:52:07</t>
  </si>
  <si>
    <t>20230804 10:54:27</t>
  </si>
  <si>
    <t>10:54:27</t>
  </si>
  <si>
    <t>MPF-12515-20230804-10_54_20</t>
  </si>
  <si>
    <t>DARK-12516-20230804-10_54_28</t>
  </si>
  <si>
    <t>10:53:52</t>
  </si>
  <si>
    <t>20230804 10:56:29</t>
  </si>
  <si>
    <t>10:56:29</t>
  </si>
  <si>
    <t>MPF-12517-20230804-10_56_22</t>
  </si>
  <si>
    <t>DARK-12518-20230804-10_56_30</t>
  </si>
  <si>
    <t>10:55:52</t>
  </si>
  <si>
    <t>20230804 10:58:16</t>
  </si>
  <si>
    <t>10:58:16</t>
  </si>
  <si>
    <t>MPF-12519-20230804-10_58_10</t>
  </si>
  <si>
    <t>DARK-12520-20230804-10_58_17</t>
  </si>
  <si>
    <t>10:57:42</t>
  </si>
  <si>
    <t>20230804 11:00:13</t>
  </si>
  <si>
    <t>11:00:13</t>
  </si>
  <si>
    <t>MPF-12521-20230804-11_00_07</t>
  </si>
  <si>
    <t>DARK-12522-20230804-11_00_14</t>
  </si>
  <si>
    <t>10:59:35</t>
  </si>
  <si>
    <t>20230804 11:02:59</t>
  </si>
  <si>
    <t>11:02:59</t>
  </si>
  <si>
    <t>MPF-12523-20230804-11_02_52</t>
  </si>
  <si>
    <t>DARK-12524-20230804-11_03_00</t>
  </si>
  <si>
    <t>11:01:41</t>
  </si>
  <si>
    <t>20230804 11:31:17</t>
  </si>
  <si>
    <t>11:31:17</t>
  </si>
  <si>
    <t>3</t>
  </si>
  <si>
    <t>wt</t>
  </si>
  <si>
    <t>MPF-12525-20230804-11_31_10</t>
  </si>
  <si>
    <t>DARK-12526-20230804-11_31_18</t>
  </si>
  <si>
    <t>11:30:34</t>
  </si>
  <si>
    <t>20230804 11:33:15</t>
  </si>
  <si>
    <t>11:33:15</t>
  </si>
  <si>
    <t>MPF-12527-20230804-11_33_09</t>
  </si>
  <si>
    <t>DARK-12528-20230804-11_33_16</t>
  </si>
  <si>
    <t>11:32:40</t>
  </si>
  <si>
    <t>20230804 11:35:03</t>
  </si>
  <si>
    <t>11:35:03</t>
  </si>
  <si>
    <t>MPF-12529-20230804-11_34_57</t>
  </si>
  <si>
    <t>DARK-12530-20230804-11_35_04</t>
  </si>
  <si>
    <t>11:34:31</t>
  </si>
  <si>
    <t>20230804 11:36:49</t>
  </si>
  <si>
    <t>11:36:49</t>
  </si>
  <si>
    <t>MPF-12531-20230804-11_36_42</t>
  </si>
  <si>
    <t>DARK-12532-20230804-11_36_50</t>
  </si>
  <si>
    <t>11:36:17</t>
  </si>
  <si>
    <t>20230804 11:38:38</t>
  </si>
  <si>
    <t>11:38:38</t>
  </si>
  <si>
    <t>MPF-12533-20230804-11_38_31</t>
  </si>
  <si>
    <t>DARK-12534-20230804-11_38_39</t>
  </si>
  <si>
    <t>11:38:02</t>
  </si>
  <si>
    <t>20230804 11:40:20</t>
  </si>
  <si>
    <t>11:40:20</t>
  </si>
  <si>
    <t>MPF-12535-20230804-11_40_13</t>
  </si>
  <si>
    <t>DARK-12536-20230804-11_40_21</t>
  </si>
  <si>
    <t>11:39:51</t>
  </si>
  <si>
    <t>20230804 11:42:44</t>
  </si>
  <si>
    <t>11:42:44</t>
  </si>
  <si>
    <t>MPF-12537-20230804-11_42_38</t>
  </si>
  <si>
    <t>DARK-12538-20230804-11_42_46</t>
  </si>
  <si>
    <t>11:41:53</t>
  </si>
  <si>
    <t>20230804 11:45:23</t>
  </si>
  <si>
    <t>11:45:23</t>
  </si>
  <si>
    <t>MPF-12539-20230804-11_45_17</t>
  </si>
  <si>
    <t>DARK-12540-20230804-11_45_24</t>
  </si>
  <si>
    <t>11:44:14</t>
  </si>
  <si>
    <t>20230804 11:47:03</t>
  </si>
  <si>
    <t>11:47:03</t>
  </si>
  <si>
    <t>MPF-12541-20230804-11_46_56</t>
  </si>
  <si>
    <t>DARK-12542-20230804-11_47_04</t>
  </si>
  <si>
    <t>11:46:30</t>
  </si>
  <si>
    <t>20230804 11:48:42</t>
  </si>
  <si>
    <t>11:48:42</t>
  </si>
  <si>
    <t>MPF-12543-20230804-11_48_36</t>
  </si>
  <si>
    <t>DARK-12544-20230804-11_48_43</t>
  </si>
  <si>
    <t>11:48:14</t>
  </si>
  <si>
    <t>20230804 11:51:03</t>
  </si>
  <si>
    <t>11:51:03</t>
  </si>
  <si>
    <t>MPF-12545-20230804-11_50_57</t>
  </si>
  <si>
    <t>DARK-12546-20230804-11_51_04</t>
  </si>
  <si>
    <t>11:50:24</t>
  </si>
  <si>
    <t>20230804 11:52:46</t>
  </si>
  <si>
    <t>11:52:46</t>
  </si>
  <si>
    <t>MPF-12547-20230804-11_52_40</t>
  </si>
  <si>
    <t>DARK-12548-20230804-11_52_47</t>
  </si>
  <si>
    <t>11:52:13</t>
  </si>
  <si>
    <t>20230804 11:55:02</t>
  </si>
  <si>
    <t>11:55:02</t>
  </si>
  <si>
    <t>MPF-12549-20230804-11_54_56</t>
  </si>
  <si>
    <t>DARK-12550-20230804-11_55_03</t>
  </si>
  <si>
    <t>11:54:33</t>
  </si>
  <si>
    <t>20230804 11:56:42</t>
  </si>
  <si>
    <t>11:56:42</t>
  </si>
  <si>
    <t>MPF-12551-20230804-11_56_35</t>
  </si>
  <si>
    <t>DARK-12552-20230804-11_56_43</t>
  </si>
  <si>
    <t>11:56:11</t>
  </si>
  <si>
    <t>20230804 12:08:53</t>
  </si>
  <si>
    <t>12:08:53</t>
  </si>
  <si>
    <t>6</t>
  </si>
  <si>
    <t>zg5b</t>
  </si>
  <si>
    <t>MPF-12553-20230804-12_08_47</t>
  </si>
  <si>
    <t>DARK-12554-20230804-12_08_54</t>
  </si>
  <si>
    <t>12:08:07</t>
  </si>
  <si>
    <t>20230804 12:10:42</t>
  </si>
  <si>
    <t>12:10:42</t>
  </si>
  <si>
    <t>MPF-12555-20230804-12_10_36</t>
  </si>
  <si>
    <t>DARK-12556-20230804-12_10_44</t>
  </si>
  <si>
    <t>12:10:08</t>
  </si>
  <si>
    <t>20230804 12:12:27</t>
  </si>
  <si>
    <t>12:12:27</t>
  </si>
  <si>
    <t>MPF-12557-20230804-12_12_21</t>
  </si>
  <si>
    <t>DARK-12558-20230804-12_12_29</t>
  </si>
  <si>
    <t>12:11:51</t>
  </si>
  <si>
    <t>20230804 12:14:51</t>
  </si>
  <si>
    <t>12:14:51</t>
  </si>
  <si>
    <t>MPF-12559-20230804-12_14_45</t>
  </si>
  <si>
    <t>DARK-12560-20230804-12_14_53</t>
  </si>
  <si>
    <t>12:13:57</t>
  </si>
  <si>
    <t>20230804 12:16:39</t>
  </si>
  <si>
    <t>12:16:39</t>
  </si>
  <si>
    <t>MPF-12561-20230804-12_16_33</t>
  </si>
  <si>
    <t>DARK-12562-20230804-12_16_41</t>
  </si>
  <si>
    <t>12:16:01</t>
  </si>
  <si>
    <t>20230804 12:18:30</t>
  </si>
  <si>
    <t>12:18:30</t>
  </si>
  <si>
    <t>MPF-12563-20230804-12_18_24</t>
  </si>
  <si>
    <t>DARK-12564-20230804-12_18_32</t>
  </si>
  <si>
    <t>12:17:55</t>
  </si>
  <si>
    <t>20230804 12:20:20</t>
  </si>
  <si>
    <t>12:20:20</t>
  </si>
  <si>
    <t>MPF-12565-20230804-12_20_14</t>
  </si>
  <si>
    <t>DARK-12566-20230804-12_20_21</t>
  </si>
  <si>
    <t>12:19:44</t>
  </si>
  <si>
    <t>20230804 12:23:07</t>
  </si>
  <si>
    <t>12:23:07</t>
  </si>
  <si>
    <t>MPF-12567-20230804-12_23_01</t>
  </si>
  <si>
    <t>DARK-12568-20230804-12_23_09</t>
  </si>
  <si>
    <t>12:22:01</t>
  </si>
  <si>
    <t>20230804 12:24:54</t>
  </si>
  <si>
    <t>12:24:54</t>
  </si>
  <si>
    <t>MPF-12569-20230804-12_24_48</t>
  </si>
  <si>
    <t>DARK-12570-20230804-12_24_56</t>
  </si>
  <si>
    <t>12:24:21</t>
  </si>
  <si>
    <t>20230804 12:26:39</t>
  </si>
  <si>
    <t>12:26:39</t>
  </si>
  <si>
    <t>MPF-12571-20230804-12_26_33</t>
  </si>
  <si>
    <t>DARK-12572-20230804-12_26_41</t>
  </si>
  <si>
    <t>12:26:03</t>
  </si>
  <si>
    <t>20230804 12:28:28</t>
  </si>
  <si>
    <t>12:28:28</t>
  </si>
  <si>
    <t>MPF-12573-20230804-12_28_22</t>
  </si>
  <si>
    <t>DARK-12574-20230804-12_28_29</t>
  </si>
  <si>
    <t>12:27:50</t>
  </si>
  <si>
    <t>20230804 12:30:08</t>
  </si>
  <si>
    <t>12:30:08</t>
  </si>
  <si>
    <t>MPF-12575-20230804-12_30_02</t>
  </si>
  <si>
    <t>DARK-12576-20230804-12_30_09</t>
  </si>
  <si>
    <t>12:30:43</t>
  </si>
  <si>
    <t>20230804 12:32:23</t>
  </si>
  <si>
    <t>12:32:23</t>
  </si>
  <si>
    <t>MPF-12577-20230804-12_32_17</t>
  </si>
  <si>
    <t>DARK-12578-20230804-12_32_24</t>
  </si>
  <si>
    <t>12:31:53</t>
  </si>
  <si>
    <t>20230804 12:34:11</t>
  </si>
  <si>
    <t>12:34:11</t>
  </si>
  <si>
    <t>MPF-12579-20230804-12_34_05</t>
  </si>
  <si>
    <t>DARK-12580-20230804-12_34_12</t>
  </si>
  <si>
    <t>12:33:42</t>
  </si>
  <si>
    <t>20230804 13:11:42</t>
  </si>
  <si>
    <t>13:11:42</t>
  </si>
  <si>
    <t>5</t>
  </si>
  <si>
    <t>MPF-12581-20230804-13_11_36</t>
  </si>
  <si>
    <t>DARK-12582-20230804-13_11_43</t>
  </si>
  <si>
    <t>13:11:00</t>
  </si>
  <si>
    <t>20230804 13:13:26</t>
  </si>
  <si>
    <t>13:13:26</t>
  </si>
  <si>
    <t>MPF-12583-20230804-13_13_20</t>
  </si>
  <si>
    <t>DARK-12584-20230804-13_13_28</t>
  </si>
  <si>
    <t>13:12:54</t>
  </si>
  <si>
    <t>20230804 13:16:01</t>
  </si>
  <si>
    <t>13:16:01</t>
  </si>
  <si>
    <t>MPF-12585-20230804-13_15_55</t>
  </si>
  <si>
    <t>DARK-12586-20230804-13_16_03</t>
  </si>
  <si>
    <t>13:14:58</t>
  </si>
  <si>
    <t>20230804 13:18:09</t>
  </si>
  <si>
    <t>13:18:09</t>
  </si>
  <si>
    <t>MPF-12587-20230804-13_18_03</t>
  </si>
  <si>
    <t>DARK-12588-20230804-13_18_10</t>
  </si>
  <si>
    <t>13:17:35</t>
  </si>
  <si>
    <t>20230804 13:19:49</t>
  </si>
  <si>
    <t>13:19:49</t>
  </si>
  <si>
    <t>MPF-12589-20230804-13_19_43</t>
  </si>
  <si>
    <t>DARK-12590-20230804-13_19_51</t>
  </si>
  <si>
    <t>13:19:15</t>
  </si>
  <si>
    <t>20230804 13:21:40</t>
  </si>
  <si>
    <t>13:21:40</t>
  </si>
  <si>
    <t>MPF-12591-20230804-13_21_34</t>
  </si>
  <si>
    <t>DARK-12592-20230804-13_21_42</t>
  </si>
  <si>
    <t>13:21:06</t>
  </si>
  <si>
    <t>20230804 13:23:25</t>
  </si>
  <si>
    <t>13:23:25</t>
  </si>
  <si>
    <t>MPF-12593-20230804-13_23_19</t>
  </si>
  <si>
    <t>DARK-12594-20230804-13_23_27</t>
  </si>
  <si>
    <t>13:22:49</t>
  </si>
  <si>
    <t>20230804 13:26:01</t>
  </si>
  <si>
    <t>13:26:01</t>
  </si>
  <si>
    <t>MPF-12595-20230804-13_25_55</t>
  </si>
  <si>
    <t>DARK-12596-20230804-13_26_03</t>
  </si>
  <si>
    <t>13:25:02</t>
  </si>
  <si>
    <t>20230804 13:27:47</t>
  </si>
  <si>
    <t>13:27:47</t>
  </si>
  <si>
    <t>MPF-12597-20230804-13_27_41</t>
  </si>
  <si>
    <t>DARK-12598-20230804-13_27_48</t>
  </si>
  <si>
    <t>13:27:14</t>
  </si>
  <si>
    <t>20230804 13:29:26</t>
  </si>
  <si>
    <t>13:29:26</t>
  </si>
  <si>
    <t>MPF-12599-20230804-13_29_20</t>
  </si>
  <si>
    <t>DARK-12600-20230804-13_29_28</t>
  </si>
  <si>
    <t>13:28:55</t>
  </si>
  <si>
    <t>20230804 13:31:25</t>
  </si>
  <si>
    <t>13:31:25</t>
  </si>
  <si>
    <t>MPF-12601-20230804-13_31_19</t>
  </si>
  <si>
    <t>DARK-12602-20230804-13_31_26</t>
  </si>
  <si>
    <t>13:30:45</t>
  </si>
  <si>
    <t>20230804 13:33:33</t>
  </si>
  <si>
    <t>13:33:33</t>
  </si>
  <si>
    <t>MPF-12603-20230804-13_33_27</t>
  </si>
  <si>
    <t>DARK-12604-20230804-13_33_34</t>
  </si>
  <si>
    <t>13:32:58</t>
  </si>
  <si>
    <t>20230804 13:35:37</t>
  </si>
  <si>
    <t>13:35:37</t>
  </si>
  <si>
    <t>MPF-12605-20230804-13_35_31</t>
  </si>
  <si>
    <t>DARK-12606-20230804-13_35_39</t>
  </si>
  <si>
    <t>13:35:01</t>
  </si>
  <si>
    <t>20230804 13:37:45</t>
  </si>
  <si>
    <t>13:37:45</t>
  </si>
  <si>
    <t>MPF-12607-20230804-13_37_39</t>
  </si>
  <si>
    <t>DARK-12608-20230804-13_37_46</t>
  </si>
  <si>
    <t>13:37:12</t>
  </si>
  <si>
    <t>20230804 14:13:41</t>
  </si>
  <si>
    <t>14:13:41</t>
  </si>
  <si>
    <t>4</t>
  </si>
  <si>
    <t>MPF-12609-20230804-14_13_35</t>
  </si>
  <si>
    <t>DARK-12610-20230804-14_13_43</t>
  </si>
  <si>
    <t>14:12:44</t>
  </si>
  <si>
    <t>20230804 14:15:46</t>
  </si>
  <si>
    <t>14:15:46</t>
  </si>
  <si>
    <t>MPF-12611-20230804-14_15_40</t>
  </si>
  <si>
    <t>DARK-12612-20230804-14_15_47</t>
  </si>
  <si>
    <t>14:15:14</t>
  </si>
  <si>
    <t>20230804 14:18:50</t>
  </si>
  <si>
    <t>14:18:50</t>
  </si>
  <si>
    <t>MPF-12613-20230804-14_18_44</t>
  </si>
  <si>
    <t>DARK-12614-20230804-14_18_52</t>
  </si>
  <si>
    <t>14:17:23</t>
  </si>
  <si>
    <t>20230804 14:21:15</t>
  </si>
  <si>
    <t>14:21:15</t>
  </si>
  <si>
    <t>MPF-12615-20230804-14_21_09</t>
  </si>
  <si>
    <t>DARK-12616-20230804-14_21_16</t>
  </si>
  <si>
    <t>14:20:09</t>
  </si>
  <si>
    <t>20230804 14:23:17</t>
  </si>
  <si>
    <t>14:23:17</t>
  </si>
  <si>
    <t>MPF-12617-20230804-14_23_11</t>
  </si>
  <si>
    <t>DARK-12618-20230804-14_23_19</t>
  </si>
  <si>
    <t>14:22:40</t>
  </si>
  <si>
    <t>20230804 14:25:49</t>
  </si>
  <si>
    <t>14:25:49</t>
  </si>
  <si>
    <t>MPF-12619-20230804-14_25_43</t>
  </si>
  <si>
    <t>DARK-12620-20230804-14_25_50</t>
  </si>
  <si>
    <t>14:25:15</t>
  </si>
  <si>
    <t>20230804 14:27:44</t>
  </si>
  <si>
    <t>14:27:44</t>
  </si>
  <si>
    <t>MPF-12621-20230804-14_27_38</t>
  </si>
  <si>
    <t>DARK-12622-20230804-14_27_45</t>
  </si>
  <si>
    <t>14:27:02</t>
  </si>
  <si>
    <t>20230804 14:30:37</t>
  </si>
  <si>
    <t>14:30:37</t>
  </si>
  <si>
    <t>MPF-12623-20230804-14_30_31</t>
  </si>
  <si>
    <t>DARK-12624-20230804-14_30_39</t>
  </si>
  <si>
    <t>14:30:07</t>
  </si>
  <si>
    <t>20230804 14:33:34</t>
  </si>
  <si>
    <t>14:33:34</t>
  </si>
  <si>
    <t>MPF-12625-20230804-14_33_28</t>
  </si>
  <si>
    <t>DARK-12626-20230804-14_33_35</t>
  </si>
  <si>
    <t>14:34:04</t>
  </si>
  <si>
    <t>20230804 14:35:35</t>
  </si>
  <si>
    <t>14:35:35</t>
  </si>
  <si>
    <t>MPF-12627-20230804-14_35_29</t>
  </si>
  <si>
    <t>DARK-12628-20230804-14_35_37</t>
  </si>
  <si>
    <t>14:36:07</t>
  </si>
  <si>
    <t>20230804 14:37:38</t>
  </si>
  <si>
    <t>14:37:38</t>
  </si>
  <si>
    <t>MPF-12629-20230804-14_37_32</t>
  </si>
  <si>
    <t>DARK-12630-20230804-14_37_39</t>
  </si>
  <si>
    <t>14:38:08</t>
  </si>
  <si>
    <t>20230804 14:39:59</t>
  </si>
  <si>
    <t>14:39:59</t>
  </si>
  <si>
    <t>MPF-12631-20230804-14_39_53</t>
  </si>
  <si>
    <t>DARK-12632-20230804-14_40_01</t>
  </si>
  <si>
    <t>14:40:39</t>
  </si>
  <si>
    <t>20230804 14:42:20</t>
  </si>
  <si>
    <t>14:42:20</t>
  </si>
  <si>
    <t>MPF-12633-20230804-14_42_14</t>
  </si>
  <si>
    <t>DARK-12634-20230804-14_42_22</t>
  </si>
  <si>
    <t>14:41:47</t>
  </si>
  <si>
    <t>20230804 14:44:23</t>
  </si>
  <si>
    <t>14:44:23</t>
  </si>
  <si>
    <t>MPF-12635-20230804-14_44_17</t>
  </si>
  <si>
    <t>DARK-12636-20230804-14_44_25</t>
  </si>
  <si>
    <t>14:45:00</t>
  </si>
  <si>
    <t>20230804 15:45:02</t>
  </si>
  <si>
    <t>15:45:02</t>
  </si>
  <si>
    <t>MPF-12637-20230804-15_44_56</t>
  </si>
  <si>
    <t>DARK-12638-20230804-15_45_03</t>
  </si>
  <si>
    <t>15:45:31</t>
  </si>
  <si>
    <t>20230804 15:48:28</t>
  </si>
  <si>
    <t>15:48:28</t>
  </si>
  <si>
    <t>MPF-12639-20230804-15_48_22</t>
  </si>
  <si>
    <t>DARK-12640-20230804-15_48_29</t>
  </si>
  <si>
    <t>15:47:53</t>
  </si>
  <si>
    <t>20230804 15:51:07</t>
  </si>
  <si>
    <t>15:51:07</t>
  </si>
  <si>
    <t>MPF-12641-20230804-15_51_01</t>
  </si>
  <si>
    <t>DARK-12642-20230804-15_51_09</t>
  </si>
  <si>
    <t>15:49:45</t>
  </si>
  <si>
    <t>20230804 15:53:28</t>
  </si>
  <si>
    <t>15:53:28</t>
  </si>
  <si>
    <t>MPF-12643-20230804-15_53_22</t>
  </si>
  <si>
    <t>DARK-12644-20230804-15_53_30</t>
  </si>
  <si>
    <t>15:52:29</t>
  </si>
  <si>
    <t>20230804 15:55:34</t>
  </si>
  <si>
    <t>15:55:34</t>
  </si>
  <si>
    <t>MPF-12645-20230804-15_55_28</t>
  </si>
  <si>
    <t>DARK-12646-20230804-15_55_36</t>
  </si>
  <si>
    <t>15:54:58</t>
  </si>
  <si>
    <t>20230804 15:57:30</t>
  </si>
  <si>
    <t>15:57:30</t>
  </si>
  <si>
    <t>MPF-12647-20230804-15_57_25</t>
  </si>
  <si>
    <t>DARK-12648-20230804-15_57_32</t>
  </si>
  <si>
    <t>15:56:56</t>
  </si>
  <si>
    <t>20230804 15:59:28</t>
  </si>
  <si>
    <t>15:59:28</t>
  </si>
  <si>
    <t>MPF-12649-20230804-15_59_22</t>
  </si>
  <si>
    <t>DARK-12650-20230804-15_59_30</t>
  </si>
  <si>
    <t>15:58:53</t>
  </si>
  <si>
    <t>20230804 16:01:58</t>
  </si>
  <si>
    <t>16:01:58</t>
  </si>
  <si>
    <t>MPF-12651-20230804-16_01_52</t>
  </si>
  <si>
    <t>DARK-12652-20230804-16_02_00</t>
  </si>
  <si>
    <t>16:01:17</t>
  </si>
  <si>
    <t>20230804 16:05:08</t>
  </si>
  <si>
    <t>16:05:08</t>
  </si>
  <si>
    <t>MPF-12653-20230804-16_05_02</t>
  </si>
  <si>
    <t>DARK-12654-20230804-16_05_10</t>
  </si>
  <si>
    <t>16:03:20</t>
  </si>
  <si>
    <t>20230804 16:06:58</t>
  </si>
  <si>
    <t>16:06:58</t>
  </si>
  <si>
    <t>MPF-12655-20230804-16_06_52</t>
  </si>
  <si>
    <t>DARK-12656-20230804-16_07_00</t>
  </si>
  <si>
    <t>16:06:26</t>
  </si>
  <si>
    <t>20230804 16:09:02</t>
  </si>
  <si>
    <t>16:09:02</t>
  </si>
  <si>
    <t>MPF-12657-20230804-16_08_57</t>
  </si>
  <si>
    <t>DARK-12658-20230804-16_09_04</t>
  </si>
  <si>
    <t>16:08:23</t>
  </si>
  <si>
    <t>20230804 16:10:45</t>
  </si>
  <si>
    <t>16:10:45</t>
  </si>
  <si>
    <t>MPF-12659-20230804-16_10_39</t>
  </si>
  <si>
    <t>DARK-12660-20230804-16_10_47</t>
  </si>
  <si>
    <t>16:10:17</t>
  </si>
  <si>
    <t>20230804 16:13:24</t>
  </si>
  <si>
    <t>16:13:24</t>
  </si>
  <si>
    <t>MPF-12661-20230804-16_13_18</t>
  </si>
  <si>
    <t>DARK-12662-20230804-16_13_26</t>
  </si>
  <si>
    <t>16:12:25</t>
  </si>
  <si>
    <t>20230804 16:15:25</t>
  </si>
  <si>
    <t>16:15:25</t>
  </si>
  <si>
    <t>MPF-12663-20230804-16_15_20</t>
  </si>
  <si>
    <t>DARK-12664-20230804-16_15_27</t>
  </si>
  <si>
    <t>16:15:56</t>
  </si>
  <si>
    <t>20230804 16:26:03</t>
  </si>
  <si>
    <t>16:26:03</t>
  </si>
  <si>
    <t>MPF-12665-20230804-16_25_57</t>
  </si>
  <si>
    <t>DARK-12666-20230804-16_26_05</t>
  </si>
  <si>
    <t>16:25:27</t>
  </si>
  <si>
    <t>20230804 16:28:02</t>
  </si>
  <si>
    <t>16:28:02</t>
  </si>
  <si>
    <t>MPF-12667-20230804-16_27_57</t>
  </si>
  <si>
    <t>DARK-12668-20230804-16_28_04</t>
  </si>
  <si>
    <t>16:27:30</t>
  </si>
  <si>
    <t>20230804 16:30:04</t>
  </si>
  <si>
    <t>16:30:04</t>
  </si>
  <si>
    <t>MPF-12669-20230804-16_29_59</t>
  </si>
  <si>
    <t>DARK-12670-20230804-16_30_06</t>
  </si>
  <si>
    <t>16:29:28</t>
  </si>
  <si>
    <t>20230804 16:32:18</t>
  </si>
  <si>
    <t>16:32:18</t>
  </si>
  <si>
    <t>MPF-12671-20230804-16_32_12</t>
  </si>
  <si>
    <t>DARK-12672-20230804-16_32_20</t>
  </si>
  <si>
    <t>16:31:43</t>
  </si>
  <si>
    <t>20230804 16:34:11</t>
  </si>
  <si>
    <t>16:34:11</t>
  </si>
  <si>
    <t>MPF-12673-20230804-16_34_06</t>
  </si>
  <si>
    <t>DARK-12674-20230804-16_34_13</t>
  </si>
  <si>
    <t>16:33:33</t>
  </si>
  <si>
    <t>20230804 16:36:28</t>
  </si>
  <si>
    <t>16:36:28</t>
  </si>
  <si>
    <t>MPF-12675-20230804-16_36_22</t>
  </si>
  <si>
    <t>DARK-12676-20230804-16_36_30</t>
  </si>
  <si>
    <t>16:35:51</t>
  </si>
  <si>
    <t>20230804 16:38:30</t>
  </si>
  <si>
    <t>16:38:30</t>
  </si>
  <si>
    <t>MPF-12677-20230804-16_38_24</t>
  </si>
  <si>
    <t>DARK-12678-20230804-16_38_32</t>
  </si>
  <si>
    <t>16:37:54</t>
  </si>
  <si>
    <t>20230804 16:41:07</t>
  </si>
  <si>
    <t>16:41:07</t>
  </si>
  <si>
    <t>MPF-12679-20230804-16_41_02</t>
  </si>
  <si>
    <t>DARK-12680-20230804-16_41_09</t>
  </si>
  <si>
    <t>16:40:16</t>
  </si>
  <si>
    <t>20230804 16:44:03</t>
  </si>
  <si>
    <t>16:44:03</t>
  </si>
  <si>
    <t>MPF-12681-20230804-16_43_57</t>
  </si>
  <si>
    <t>DARK-12682-20230804-16_44_05</t>
  </si>
  <si>
    <t>16:42:14</t>
  </si>
  <si>
    <t>20230804 16:45:54</t>
  </si>
  <si>
    <t>16:45:54</t>
  </si>
  <si>
    <t>MPF-12683-20230804-16_45_48</t>
  </si>
  <si>
    <t>DARK-12684-20230804-16_45_56</t>
  </si>
  <si>
    <t>16:45:25</t>
  </si>
  <si>
    <t>20230804 16:48:11</t>
  </si>
  <si>
    <t>16:48:11</t>
  </si>
  <si>
    <t>MPF-12685-20230804-16_48_06</t>
  </si>
  <si>
    <t>DARK-12686-20230804-16_48_13</t>
  </si>
  <si>
    <t>16:47:38</t>
  </si>
  <si>
    <t>20230804 16:50:19</t>
  </si>
  <si>
    <t>16:50:19</t>
  </si>
  <si>
    <t>MPF-12687-20230804-16_50_13</t>
  </si>
  <si>
    <t>DARK-12688-20230804-16_50_21</t>
  </si>
  <si>
    <t>16:49:44</t>
  </si>
  <si>
    <t>20230804 16:52:20</t>
  </si>
  <si>
    <t>16:52:20</t>
  </si>
  <si>
    <t>MPF-12689-20230804-16_52_14</t>
  </si>
  <si>
    <t>DARK-12690-20230804-16_52_22</t>
  </si>
  <si>
    <t>16:51:48</t>
  </si>
  <si>
    <t>20230804 16:54:48</t>
  </si>
  <si>
    <t>16:54:48</t>
  </si>
  <si>
    <t>MPF-12691-20230804-16_54_42</t>
  </si>
  <si>
    <t>DARK-12692-20230804-16_54_50</t>
  </si>
  <si>
    <t>16:53:42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</si>
</sst>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U128"/>
  <sheetViews>
    <sheetView tabSelected="1" topLeftCell="A94" workbookViewId="0">
      <selection activeCell="F131" sqref="F131"/>
    </sheetView>
  </sheetViews>
  <sheetFormatPr defaultRowHeight="15" x14ac:dyDescent="0.25"/>
  <sheetData>
    <row r="2" spans="1:281" x14ac:dyDescent="0.25">
      <c r="A2" t="s">
        <v>29</v>
      </c>
      <c r="B2" t="s">
        <v>30</v>
      </c>
      <c r="C2" t="s">
        <v>32</v>
      </c>
    </row>
    <row r="3" spans="1:281" x14ac:dyDescent="0.25">
      <c r="B3" t="s">
        <v>31</v>
      </c>
      <c r="C3">
        <v>21</v>
      </c>
    </row>
    <row r="4" spans="1:281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1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1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1" x14ac:dyDescent="0.25">
      <c r="B7">
        <v>0</v>
      </c>
      <c r="C7">
        <v>1</v>
      </c>
      <c r="D7">
        <v>0</v>
      </c>
      <c r="E7">
        <v>0</v>
      </c>
    </row>
    <row r="8" spans="1:281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1" x14ac:dyDescent="0.25">
      <c r="B9" t="s">
        <v>52</v>
      </c>
      <c r="C9" t="s">
        <v>54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1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1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1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1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1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86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90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91</v>
      </c>
      <c r="CW14" t="s">
        <v>92</v>
      </c>
      <c r="CX14" t="s">
        <v>92</v>
      </c>
      <c r="CY14" t="s">
        <v>92</v>
      </c>
      <c r="CZ14" t="s">
        <v>92</v>
      </c>
      <c r="DA14" t="s">
        <v>93</v>
      </c>
      <c r="DB14" t="s">
        <v>93</v>
      </c>
      <c r="DC14" t="s">
        <v>93</v>
      </c>
      <c r="DD14" t="s">
        <v>93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97</v>
      </c>
      <c r="EZ14" t="s">
        <v>97</v>
      </c>
      <c r="FA14" t="s">
        <v>97</v>
      </c>
      <c r="FB14" t="s">
        <v>97</v>
      </c>
      <c r="FC14" t="s">
        <v>97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98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</row>
    <row r="15" spans="1:281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88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191</v>
      </c>
      <c r="CJ15" t="s">
        <v>171</v>
      </c>
      <c r="CK15" t="s">
        <v>192</v>
      </c>
      <c r="CL15" t="s">
        <v>193</v>
      </c>
      <c r="CM15" t="s">
        <v>194</v>
      </c>
      <c r="CN15" t="s">
        <v>145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210</v>
      </c>
      <c r="DE15" t="s">
        <v>115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107</v>
      </c>
      <c r="FE15" t="s">
        <v>110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</row>
    <row r="16" spans="1:281" x14ac:dyDescent="0.25">
      <c r="B16" t="s">
        <v>381</v>
      </c>
      <c r="C16" t="s">
        <v>381</v>
      </c>
      <c r="F16" t="s">
        <v>381</v>
      </c>
      <c r="J16" t="s">
        <v>381</v>
      </c>
      <c r="K16" t="s">
        <v>382</v>
      </c>
      <c r="L16" t="s">
        <v>383</v>
      </c>
      <c r="M16" t="s">
        <v>384</v>
      </c>
      <c r="N16" t="s">
        <v>385</v>
      </c>
      <c r="O16" t="s">
        <v>385</v>
      </c>
      <c r="P16" t="s">
        <v>218</v>
      </c>
      <c r="Q16" t="s">
        <v>218</v>
      </c>
      <c r="R16" t="s">
        <v>382</v>
      </c>
      <c r="S16" t="s">
        <v>382</v>
      </c>
      <c r="T16" t="s">
        <v>382</v>
      </c>
      <c r="U16" t="s">
        <v>382</v>
      </c>
      <c r="V16" t="s">
        <v>386</v>
      </c>
      <c r="W16" t="s">
        <v>387</v>
      </c>
      <c r="X16" t="s">
        <v>387</v>
      </c>
      <c r="Y16" t="s">
        <v>388</v>
      </c>
      <c r="Z16" t="s">
        <v>389</v>
      </c>
      <c r="AA16" t="s">
        <v>388</v>
      </c>
      <c r="AB16" t="s">
        <v>388</v>
      </c>
      <c r="AC16" t="s">
        <v>388</v>
      </c>
      <c r="AD16" t="s">
        <v>386</v>
      </c>
      <c r="AE16" t="s">
        <v>386</v>
      </c>
      <c r="AF16" t="s">
        <v>386</v>
      </c>
      <c r="AG16" t="s">
        <v>386</v>
      </c>
      <c r="AH16" t="s">
        <v>390</v>
      </c>
      <c r="AI16" t="s">
        <v>389</v>
      </c>
      <c r="AK16" t="s">
        <v>389</v>
      </c>
      <c r="AL16" t="s">
        <v>390</v>
      </c>
      <c r="AR16" t="s">
        <v>384</v>
      </c>
      <c r="AY16" t="s">
        <v>384</v>
      </c>
      <c r="AZ16" t="s">
        <v>384</v>
      </c>
      <c r="BA16" t="s">
        <v>384</v>
      </c>
      <c r="BB16" t="s">
        <v>391</v>
      </c>
      <c r="BP16" t="s">
        <v>392</v>
      </c>
      <c r="BR16" t="s">
        <v>392</v>
      </c>
      <c r="BS16" t="s">
        <v>384</v>
      </c>
      <c r="BV16" t="s">
        <v>392</v>
      </c>
      <c r="BW16" t="s">
        <v>389</v>
      </c>
      <c r="BZ16" t="s">
        <v>393</v>
      </c>
      <c r="CA16" t="s">
        <v>393</v>
      </c>
      <c r="CC16" t="s">
        <v>394</v>
      </c>
      <c r="CD16" t="s">
        <v>392</v>
      </c>
      <c r="CF16" t="s">
        <v>392</v>
      </c>
      <c r="CG16" t="s">
        <v>384</v>
      </c>
      <c r="CK16" t="s">
        <v>392</v>
      </c>
      <c r="CM16" t="s">
        <v>395</v>
      </c>
      <c r="CP16" t="s">
        <v>392</v>
      </c>
      <c r="CQ16" t="s">
        <v>392</v>
      </c>
      <c r="CS16" t="s">
        <v>392</v>
      </c>
      <c r="CU16" t="s">
        <v>392</v>
      </c>
      <c r="CW16" t="s">
        <v>384</v>
      </c>
      <c r="CX16" t="s">
        <v>384</v>
      </c>
      <c r="CZ16" t="s">
        <v>396</v>
      </c>
      <c r="DA16" t="s">
        <v>397</v>
      </c>
      <c r="DD16" t="s">
        <v>382</v>
      </c>
      <c r="DE16" t="s">
        <v>381</v>
      </c>
      <c r="DF16" t="s">
        <v>385</v>
      </c>
      <c r="DG16" t="s">
        <v>385</v>
      </c>
      <c r="DH16" t="s">
        <v>398</v>
      </c>
      <c r="DI16" t="s">
        <v>398</v>
      </c>
      <c r="DJ16" t="s">
        <v>385</v>
      </c>
      <c r="DK16" t="s">
        <v>398</v>
      </c>
      <c r="DL16" t="s">
        <v>390</v>
      </c>
      <c r="DM16" t="s">
        <v>388</v>
      </c>
      <c r="DN16" t="s">
        <v>388</v>
      </c>
      <c r="DO16" t="s">
        <v>387</v>
      </c>
      <c r="DP16" t="s">
        <v>387</v>
      </c>
      <c r="DQ16" t="s">
        <v>387</v>
      </c>
      <c r="DR16" t="s">
        <v>387</v>
      </c>
      <c r="DS16" t="s">
        <v>387</v>
      </c>
      <c r="DT16" t="s">
        <v>399</v>
      </c>
      <c r="DU16" t="s">
        <v>384</v>
      </c>
      <c r="DV16" t="s">
        <v>384</v>
      </c>
      <c r="DW16" t="s">
        <v>385</v>
      </c>
      <c r="DX16" t="s">
        <v>385</v>
      </c>
      <c r="DY16" t="s">
        <v>385</v>
      </c>
      <c r="DZ16" t="s">
        <v>398</v>
      </c>
      <c r="EA16" t="s">
        <v>385</v>
      </c>
      <c r="EB16" t="s">
        <v>398</v>
      </c>
      <c r="EC16" t="s">
        <v>388</v>
      </c>
      <c r="ED16" t="s">
        <v>388</v>
      </c>
      <c r="EE16" t="s">
        <v>387</v>
      </c>
      <c r="EF16" t="s">
        <v>387</v>
      </c>
      <c r="EG16" t="s">
        <v>384</v>
      </c>
      <c r="EL16" t="s">
        <v>384</v>
      </c>
      <c r="EO16" t="s">
        <v>387</v>
      </c>
      <c r="EP16" t="s">
        <v>387</v>
      </c>
      <c r="EQ16" t="s">
        <v>387</v>
      </c>
      <c r="ER16" t="s">
        <v>387</v>
      </c>
      <c r="ES16" t="s">
        <v>387</v>
      </c>
      <c r="ET16" t="s">
        <v>384</v>
      </c>
      <c r="EU16" t="s">
        <v>384</v>
      </c>
      <c r="EV16" t="s">
        <v>384</v>
      </c>
      <c r="EW16" t="s">
        <v>381</v>
      </c>
      <c r="EZ16" t="s">
        <v>400</v>
      </c>
      <c r="FA16" t="s">
        <v>400</v>
      </c>
      <c r="FC16" t="s">
        <v>381</v>
      </c>
      <c r="FD16" t="s">
        <v>401</v>
      </c>
      <c r="FF16" t="s">
        <v>381</v>
      </c>
      <c r="FG16" t="s">
        <v>381</v>
      </c>
      <c r="FI16" t="s">
        <v>402</v>
      </c>
      <c r="FJ16" t="s">
        <v>403</v>
      </c>
      <c r="FK16" t="s">
        <v>402</v>
      </c>
      <c r="FL16" t="s">
        <v>403</v>
      </c>
      <c r="FM16" t="s">
        <v>402</v>
      </c>
      <c r="FN16" t="s">
        <v>403</v>
      </c>
      <c r="FO16" t="s">
        <v>389</v>
      </c>
      <c r="FP16" t="s">
        <v>389</v>
      </c>
      <c r="FQ16" t="s">
        <v>384</v>
      </c>
      <c r="FR16" t="s">
        <v>404</v>
      </c>
      <c r="FS16" t="s">
        <v>384</v>
      </c>
      <c r="FU16" t="s">
        <v>382</v>
      </c>
      <c r="FV16" t="s">
        <v>405</v>
      </c>
      <c r="FW16" t="s">
        <v>382</v>
      </c>
      <c r="GB16" t="s">
        <v>406</v>
      </c>
      <c r="GC16" t="s">
        <v>406</v>
      </c>
      <c r="GP16" t="s">
        <v>406</v>
      </c>
      <c r="GQ16" t="s">
        <v>406</v>
      </c>
      <c r="GR16" t="s">
        <v>407</v>
      </c>
      <c r="GS16" t="s">
        <v>407</v>
      </c>
      <c r="GT16" t="s">
        <v>387</v>
      </c>
      <c r="GU16" t="s">
        <v>387</v>
      </c>
      <c r="GV16" t="s">
        <v>389</v>
      </c>
      <c r="GW16" t="s">
        <v>387</v>
      </c>
      <c r="GX16" t="s">
        <v>398</v>
      </c>
      <c r="GY16" t="s">
        <v>389</v>
      </c>
      <c r="GZ16" t="s">
        <v>389</v>
      </c>
      <c r="HB16" t="s">
        <v>406</v>
      </c>
      <c r="HC16" t="s">
        <v>406</v>
      </c>
      <c r="HD16" t="s">
        <v>406</v>
      </c>
      <c r="HE16" t="s">
        <v>406</v>
      </c>
      <c r="HF16" t="s">
        <v>406</v>
      </c>
      <c r="HG16" t="s">
        <v>406</v>
      </c>
      <c r="HH16" t="s">
        <v>406</v>
      </c>
      <c r="HI16" t="s">
        <v>408</v>
      </c>
      <c r="HJ16" t="s">
        <v>408</v>
      </c>
      <c r="HK16" t="s">
        <v>408</v>
      </c>
      <c r="HL16" t="s">
        <v>409</v>
      </c>
      <c r="HM16" t="s">
        <v>406</v>
      </c>
      <c r="HN16" t="s">
        <v>406</v>
      </c>
      <c r="HO16" t="s">
        <v>406</v>
      </c>
      <c r="HP16" t="s">
        <v>406</v>
      </c>
      <c r="HQ16" t="s">
        <v>406</v>
      </c>
      <c r="HR16" t="s">
        <v>406</v>
      </c>
      <c r="HS16" t="s">
        <v>406</v>
      </c>
      <c r="HT16" t="s">
        <v>406</v>
      </c>
      <c r="HU16" t="s">
        <v>406</v>
      </c>
      <c r="HV16" t="s">
        <v>406</v>
      </c>
      <c r="HW16" t="s">
        <v>406</v>
      </c>
      <c r="HX16" t="s">
        <v>406</v>
      </c>
      <c r="IE16" t="s">
        <v>406</v>
      </c>
      <c r="IF16" t="s">
        <v>389</v>
      </c>
      <c r="IG16" t="s">
        <v>389</v>
      </c>
      <c r="IH16" t="s">
        <v>402</v>
      </c>
      <c r="II16" t="s">
        <v>403</v>
      </c>
      <c r="IJ16" t="s">
        <v>403</v>
      </c>
      <c r="IN16" t="s">
        <v>403</v>
      </c>
      <c r="IR16" t="s">
        <v>385</v>
      </c>
      <c r="IS16" t="s">
        <v>385</v>
      </c>
      <c r="IT16" t="s">
        <v>398</v>
      </c>
      <c r="IU16" t="s">
        <v>398</v>
      </c>
      <c r="IV16" t="s">
        <v>410</v>
      </c>
      <c r="IW16" t="s">
        <v>410</v>
      </c>
      <c r="IX16" t="s">
        <v>406</v>
      </c>
      <c r="IY16" t="s">
        <v>406</v>
      </c>
      <c r="IZ16" t="s">
        <v>406</v>
      </c>
      <c r="JA16" t="s">
        <v>406</v>
      </c>
      <c r="JB16" t="s">
        <v>406</v>
      </c>
      <c r="JC16" t="s">
        <v>406</v>
      </c>
      <c r="JD16" t="s">
        <v>387</v>
      </c>
      <c r="JE16" t="s">
        <v>406</v>
      </c>
      <c r="JG16" t="s">
        <v>390</v>
      </c>
      <c r="JH16" t="s">
        <v>390</v>
      </c>
      <c r="JI16" t="s">
        <v>387</v>
      </c>
      <c r="JJ16" t="s">
        <v>387</v>
      </c>
      <c r="JK16" t="s">
        <v>387</v>
      </c>
      <c r="JL16" t="s">
        <v>387</v>
      </c>
      <c r="JM16" t="s">
        <v>387</v>
      </c>
      <c r="JN16" t="s">
        <v>389</v>
      </c>
      <c r="JO16" t="s">
        <v>389</v>
      </c>
      <c r="JP16" t="s">
        <v>389</v>
      </c>
      <c r="JQ16" t="s">
        <v>387</v>
      </c>
      <c r="JR16" t="s">
        <v>385</v>
      </c>
      <c r="JS16" t="s">
        <v>398</v>
      </c>
      <c r="JT16" t="s">
        <v>389</v>
      </c>
      <c r="JU16" t="s">
        <v>389</v>
      </c>
    </row>
    <row r="17" spans="1:281" x14ac:dyDescent="0.25">
      <c r="A17">
        <v>1</v>
      </c>
      <c r="B17">
        <v>1691159245.5999999</v>
      </c>
      <c r="C17">
        <v>0</v>
      </c>
      <c r="D17" t="s">
        <v>411</v>
      </c>
      <c r="E17" t="s">
        <v>412</v>
      </c>
      <c r="F17" t="s">
        <v>413</v>
      </c>
      <c r="G17" t="s">
        <v>31</v>
      </c>
      <c r="H17" t="s">
        <v>414</v>
      </c>
      <c r="I17" t="s">
        <v>415</v>
      </c>
      <c r="J17">
        <v>1691159245.5999999</v>
      </c>
      <c r="K17">
        <f t="shared" ref="K17:K48" si="0">(L17)/1000</f>
        <v>4.3322132308578577E-3</v>
      </c>
      <c r="L17">
        <f t="shared" ref="L17:L48" si="1">1000*DL17*AJ17*(DH17-DI17)/(100*DA17*(1000-AJ17*DH17))</f>
        <v>4.3322132308578576</v>
      </c>
      <c r="M17">
        <f t="shared" ref="M17:M48" si="2">DL17*AJ17*(DG17-DF17*(1000-AJ17*DI17)/(1000-AJ17*DH17))/(100*DA17)</f>
        <v>44.725754577279027</v>
      </c>
      <c r="N17">
        <f t="shared" ref="N17:N48" si="3">DF17 - IF(AJ17&gt;1, M17*DA17*100/(AL17*DT17), 0)</f>
        <v>344.65800000000002</v>
      </c>
      <c r="O17">
        <f t="shared" ref="O17:O48" si="4">((U17-K17/2)*N17-M17)/(U17+K17/2)</f>
        <v>94.323077390531438</v>
      </c>
      <c r="P17">
        <f t="shared" ref="P17:P48" si="5">O17*(DM17+DN17)/1000</f>
        <v>9.361495443286822</v>
      </c>
      <c r="Q17">
        <f t="shared" ref="Q17:Q48" si="6">(DF17 - IF(AJ17&gt;1, M17*DA17*100/(AL17*DT17), 0))*(DM17+DN17)/1000</f>
        <v>34.207050763764002</v>
      </c>
      <c r="R17">
        <f t="shared" ref="R17:R48" si="7">2/((1/T17-1/S17)+SIGN(T17)*SQRT((1/T17-1/S17)*(1/T17-1/S17) + 4*DB17/((DB17+1)*(DB17+1))*(2*1/T17*1/S17-1/S17*1/S17)))</f>
        <v>0.30648891342380419</v>
      </c>
      <c r="S17">
        <f t="shared" ref="S17:S48" si="8">IF(LEFT(DC17,1)&lt;&gt;"0",IF(LEFT(DC17,1)="1",3,DD17),$D$5+$E$5*(DT17*DM17/($K$5*1000))+$F$5*(DT17*DM17/($K$5*1000))*MAX(MIN(DA17,$J$5),$I$5)*MAX(MIN(DA17,$J$5),$I$5)+$G$5*MAX(MIN(DA17,$J$5),$I$5)*(DT17*DM17/($K$5*1000))+$H$5*(DT17*DM17/($K$5*1000))*(DT17*DM17/($K$5*1000)))</f>
        <v>2.9141440954402533</v>
      </c>
      <c r="T17">
        <f t="shared" ref="T17:T48" si="9">K17*(1000-(1000*0.61365*EXP(17.502*X17/(240.97+X17))/(DM17+DN17)+DH17)/2)/(1000*0.61365*EXP(17.502*X17/(240.97+X17))/(DM17+DN17)-DH17)</f>
        <v>0.28964094778557187</v>
      </c>
      <c r="U17">
        <f t="shared" ref="U17:U48" si="10">1/((DB17+1)/(R17/1.6)+1/(S17/1.37)) + DB17/((DB17+1)/(R17/1.6) + DB17/(S17/1.37))</f>
        <v>0.18246209484850806</v>
      </c>
      <c r="V17">
        <f t="shared" ref="V17:V48" si="11">(CW17*CZ17)</f>
        <v>344.36779999340155</v>
      </c>
      <c r="W17">
        <f t="shared" ref="W17:W48" si="12">(DO17+(V17+2*0.95*0.0000000567*(((DO17+$B$7)+273)^4-(DO17+273)^4)-44100*K17)/(1.84*29.3*S17+8*0.95*0.0000000567*(DO17+273)^3))</f>
        <v>31.165429271907517</v>
      </c>
      <c r="X17">
        <f t="shared" ref="X17:X48" si="13">($C$7*DP17+$D$7*DQ17+$E$7*W17)</f>
        <v>29.9787</v>
      </c>
      <c r="Y17">
        <f t="shared" ref="Y17:Y48" si="14">0.61365*EXP(17.502*X17/(240.97+X17))</f>
        <v>4.2552400838358402</v>
      </c>
      <c r="Z17">
        <f t="shared" ref="Z17:Z48" si="15">(AA17/AB17*100)</f>
        <v>65.29944530723283</v>
      </c>
      <c r="AA17">
        <f t="shared" ref="AA17:AA48" si="16">DH17*(DM17+DN17)/1000</f>
        <v>2.823691014729</v>
      </c>
      <c r="AB17">
        <f t="shared" ref="AB17:AB48" si="17">0.61365*EXP(17.502*DO17/(240.97+DO17))</f>
        <v>4.3242189905956776</v>
      </c>
      <c r="AC17">
        <f t="shared" ref="AC17:AC48" si="18">(Y17-DH17*(DM17+DN17)/1000)</f>
        <v>1.4315490691068402</v>
      </c>
      <c r="AD17">
        <f t="shared" ref="AD17:AD48" si="19">(-K17*44100)</f>
        <v>-191.05060348083151</v>
      </c>
      <c r="AE17">
        <f t="shared" ref="AE17:AE48" si="20">2*29.3*S17*0.92*(DO17-X17)</f>
        <v>44.021475679839767</v>
      </c>
      <c r="AF17">
        <f t="shared" ref="AF17:AF48" si="21">2*0.95*0.0000000567*(((DO17+$B$7)+273)^4-(X17+273)^4)</f>
        <v>3.3628190098557806</v>
      </c>
      <c r="AG17">
        <f t="shared" ref="AG17:AG48" si="22">V17+AF17+AD17+AE17</f>
        <v>200.7014912022656</v>
      </c>
      <c r="AH17">
        <v>0</v>
      </c>
      <c r="AI17">
        <v>0</v>
      </c>
      <c r="AJ17">
        <f t="shared" ref="AJ17:AJ48" si="23">IF(AH17*$H$13&gt;=AL17,1,(AL17/(AL17-AH17*$H$13)))</f>
        <v>1</v>
      </c>
      <c r="AK17">
        <f t="shared" ref="AK17:AK48" si="24">(AJ17-1)*100</f>
        <v>0</v>
      </c>
      <c r="AL17">
        <f t="shared" ref="AL17:AL48" si="25">MAX(0,($B$13+$C$13*DT17)/(1+$D$13*DT17)*DM17/(DO17+273)*$E$13)</f>
        <v>51851.458468598423</v>
      </c>
      <c r="AM17" t="s">
        <v>416</v>
      </c>
      <c r="AN17">
        <v>10235.299999999999</v>
      </c>
      <c r="AO17">
        <v>594.051923076923</v>
      </c>
      <c r="AP17">
        <v>2007.77</v>
      </c>
      <c r="AQ17">
        <f t="shared" ref="AQ17:AQ48" si="26">1-AO17/AP17</f>
        <v>0.70412351859180933</v>
      </c>
      <c r="AR17">
        <v>-0.54275787784279261</v>
      </c>
      <c r="AS17" t="s">
        <v>417</v>
      </c>
      <c r="AT17">
        <v>10171.5</v>
      </c>
      <c r="AU17">
        <v>641.43040000000008</v>
      </c>
      <c r="AV17">
        <v>981.90246835926609</v>
      </c>
      <c r="AW17">
        <f t="shared" ref="AW17:AW48" si="27">1-AU17/AV17</f>
        <v>0.3467473393036542</v>
      </c>
      <c r="AX17">
        <v>0.5</v>
      </c>
      <c r="AY17">
        <f t="shared" ref="AY17:AY48" si="28">CX17</f>
        <v>1513.1540999967008</v>
      </c>
      <c r="AZ17">
        <f t="shared" ref="AZ17:AZ48" si="29">M17</f>
        <v>44.725754577279027</v>
      </c>
      <c r="BA17">
        <f t="shared" ref="BA17:BA48" si="30">AW17*AX17*AY17</f>
        <v>262.34107906513577</v>
      </c>
      <c r="BB17">
        <f t="shared" ref="BB17:BB48" si="31">(AZ17-AR17)/AY17</f>
        <v>2.9916657170092936E-2</v>
      </c>
      <c r="BC17">
        <f t="shared" ref="BC17:BC48" si="32">(AP17-AV17)/AV17</f>
        <v>1.0447753872693</v>
      </c>
      <c r="BD17">
        <f t="shared" ref="BD17:BD48" si="33">AO17/(AQ17+AO17/AV17)</f>
        <v>453.77803162056841</v>
      </c>
      <c r="BE17" t="s">
        <v>418</v>
      </c>
      <c r="BF17">
        <v>509.82</v>
      </c>
      <c r="BG17">
        <f t="shared" ref="BG17:BG48" si="34">IF(BF17&lt;&gt;0, BF17, BD17)</f>
        <v>509.82</v>
      </c>
      <c r="BH17">
        <f t="shared" ref="BH17:BH48" si="35">1-BG17/AV17</f>
        <v>0.48078346228022406</v>
      </c>
      <c r="BI17">
        <f t="shared" ref="BI17:BI48" si="36">(AV17-AU17)/(AV17-BG17)</f>
        <v>0.72121311673061028</v>
      </c>
      <c r="BJ17">
        <f t="shared" ref="BJ17:BJ48" si="37">(AP17-AV17)/(AP17-BG17)</f>
        <v>0.68484764621031002</v>
      </c>
      <c r="BK17">
        <f t="shared" ref="BK17:BK48" si="38">(AV17-AU17)/(AV17-AO17)</f>
        <v>0.87784346960609005</v>
      </c>
      <c r="BL17">
        <f t="shared" ref="BL17:BL48" si="39">(AP17-AV17)/(AP17-AO17)</f>
        <v>0.7256521285159695</v>
      </c>
      <c r="BM17">
        <f t="shared" ref="BM17:BM48" si="40">(BI17*BG17/AU17)</f>
        <v>0.57323268615207457</v>
      </c>
      <c r="BN17">
        <f t="shared" ref="BN17:BN48" si="41">(1-BM17)</f>
        <v>0.42676731384792543</v>
      </c>
      <c r="BO17">
        <v>12469</v>
      </c>
      <c r="BP17">
        <v>290.00000000000011</v>
      </c>
      <c r="BQ17">
        <v>872.54</v>
      </c>
      <c r="BR17">
        <v>265</v>
      </c>
      <c r="BS17">
        <v>10171.5</v>
      </c>
      <c r="BT17">
        <v>874.2</v>
      </c>
      <c r="BU17">
        <v>-1.66</v>
      </c>
      <c r="BV17">
        <v>300.00000000000011</v>
      </c>
      <c r="BW17">
        <v>24.2</v>
      </c>
      <c r="BX17">
        <v>981.90246835926609</v>
      </c>
      <c r="BY17">
        <v>2.1531299414509411</v>
      </c>
      <c r="BZ17">
        <v>-109.546794104573</v>
      </c>
      <c r="CA17">
        <v>1.9501391287493031</v>
      </c>
      <c r="CB17">
        <v>0.99120464832211352</v>
      </c>
      <c r="CC17">
        <v>-6.9495779755283623E-3</v>
      </c>
      <c r="CD17">
        <v>289.99999999999989</v>
      </c>
      <c r="CE17">
        <v>864.94</v>
      </c>
      <c r="CF17">
        <v>625</v>
      </c>
      <c r="CG17">
        <v>10153.799999999999</v>
      </c>
      <c r="CH17">
        <v>874.01</v>
      </c>
      <c r="CI17">
        <v>-9.07</v>
      </c>
      <c r="CW17">
        <f t="shared" ref="CW17:CW48" si="42">$B$11*DU17+$C$11*DV17+$F$11*EG17*(1-EJ17)</f>
        <v>1799.96</v>
      </c>
      <c r="CX17">
        <f t="shared" ref="CX17:CX48" si="43">CW17*CY17</f>
        <v>1513.1540999967008</v>
      </c>
      <c r="CY17">
        <f t="shared" ref="CY17:CY48" si="44">($B$11*$D$9+$C$11*$D$9+$F$11*((ET17+EL17)/MAX(ET17+EL17+EU17, 0.1)*$I$9+EU17/MAX(ET17+EL17+EU17, 0.1)*$J$9))/($B$11+$C$11+$F$11)</f>
        <v>0.84065984799478921</v>
      </c>
      <c r="CZ17">
        <f t="shared" ref="CZ17:CZ48" si="45">($B$11*$K$9+$C$11*$K$9+$F$11*((ET17+EL17)/MAX(ET17+EL17+EU17, 0.1)*$P$9+EU17/MAX(ET17+EL17+EU17, 0.1)*$Q$9))/($B$11+$C$11+$F$11)</f>
        <v>0.1913196959895784</v>
      </c>
      <c r="DA17">
        <v>6</v>
      </c>
      <c r="DB17">
        <v>0.5</v>
      </c>
      <c r="DC17" t="s">
        <v>419</v>
      </c>
      <c r="DD17">
        <v>2</v>
      </c>
      <c r="DE17">
        <v>1691159245.5999999</v>
      </c>
      <c r="DF17">
        <v>344.65800000000002</v>
      </c>
      <c r="DG17">
        <v>400.11900000000003</v>
      </c>
      <c r="DH17">
        <v>28.450500000000002</v>
      </c>
      <c r="DI17">
        <v>23.399899999999999</v>
      </c>
      <c r="DJ17">
        <v>346.13</v>
      </c>
      <c r="DK17">
        <v>28.2743</v>
      </c>
      <c r="DL17">
        <v>500.01499999999999</v>
      </c>
      <c r="DM17">
        <v>99.149199999999993</v>
      </c>
      <c r="DN17">
        <v>0.10005799999999999</v>
      </c>
      <c r="DO17">
        <v>30.258900000000001</v>
      </c>
      <c r="DP17">
        <v>29.9787</v>
      </c>
      <c r="DQ17">
        <v>999.9</v>
      </c>
      <c r="DR17">
        <v>0</v>
      </c>
      <c r="DS17">
        <v>0</v>
      </c>
      <c r="DT17">
        <v>9997.5</v>
      </c>
      <c r="DU17">
        <v>0</v>
      </c>
      <c r="DV17">
        <v>999.94100000000003</v>
      </c>
      <c r="DW17">
        <v>-55.461100000000002</v>
      </c>
      <c r="DX17">
        <v>354.75099999999998</v>
      </c>
      <c r="DY17">
        <v>409.70600000000002</v>
      </c>
      <c r="DZ17">
        <v>5.0506399999999996</v>
      </c>
      <c r="EA17">
        <v>400.11900000000003</v>
      </c>
      <c r="EB17">
        <v>23.399899999999999</v>
      </c>
      <c r="EC17">
        <v>2.8208500000000001</v>
      </c>
      <c r="ED17">
        <v>2.3200799999999999</v>
      </c>
      <c r="EE17">
        <v>23.006599999999999</v>
      </c>
      <c r="EF17">
        <v>19.816500000000001</v>
      </c>
      <c r="EG17">
        <v>1799.96</v>
      </c>
      <c r="EH17">
        <v>0.97800299999999996</v>
      </c>
      <c r="EI17">
        <v>2.1996700000000001E-2</v>
      </c>
      <c r="EJ17">
        <v>0</v>
      </c>
      <c r="EK17">
        <v>639.66499999999996</v>
      </c>
      <c r="EL17">
        <v>0.100005</v>
      </c>
      <c r="EM17">
        <v>15986.6</v>
      </c>
      <c r="EN17">
        <v>14862.2</v>
      </c>
      <c r="EO17">
        <v>49.625</v>
      </c>
      <c r="EP17">
        <v>50.625</v>
      </c>
      <c r="EQ17">
        <v>50.436999999999998</v>
      </c>
      <c r="ER17">
        <v>49.436999999999998</v>
      </c>
      <c r="ES17">
        <v>50.5</v>
      </c>
      <c r="ET17">
        <v>1760.27</v>
      </c>
      <c r="EU17">
        <v>39.590000000000003</v>
      </c>
      <c r="EV17">
        <v>0</v>
      </c>
      <c r="EW17">
        <v>1691159245.4000001</v>
      </c>
      <c r="EX17">
        <v>0</v>
      </c>
      <c r="EY17">
        <v>641.43040000000008</v>
      </c>
      <c r="EZ17">
        <v>-1.2719231540041529</v>
      </c>
      <c r="FA17">
        <v>392.98461511693569</v>
      </c>
      <c r="FB17">
        <v>16022.052</v>
      </c>
      <c r="FC17">
        <v>15</v>
      </c>
      <c r="FD17">
        <v>1691159217.0999999</v>
      </c>
      <c r="FE17" t="s">
        <v>420</v>
      </c>
      <c r="FF17">
        <v>1691159217.0999999</v>
      </c>
      <c r="FG17">
        <v>1691159210.0999999</v>
      </c>
      <c r="FH17">
        <v>6</v>
      </c>
      <c r="FI17">
        <v>-1.0999999999999999E-2</v>
      </c>
      <c r="FJ17">
        <v>0</v>
      </c>
      <c r="FK17">
        <v>-1.633</v>
      </c>
      <c r="FL17">
        <v>0.05</v>
      </c>
      <c r="FM17">
        <v>400</v>
      </c>
      <c r="FN17">
        <v>23</v>
      </c>
      <c r="FO17">
        <v>0.08</v>
      </c>
      <c r="FP17">
        <v>0.06</v>
      </c>
      <c r="FQ17">
        <v>44.67983053607616</v>
      </c>
      <c r="FR17">
        <v>-0.41714556375827988</v>
      </c>
      <c r="FS17">
        <v>7.5469009882957308E-2</v>
      </c>
      <c r="FT17">
        <v>1</v>
      </c>
      <c r="FU17">
        <v>0.30901198335719282</v>
      </c>
      <c r="FV17">
        <v>9.9041166925955375E-3</v>
      </c>
      <c r="FW17">
        <v>3.9079072524665246E-3</v>
      </c>
      <c r="FX17">
        <v>1</v>
      </c>
      <c r="FY17">
        <v>2</v>
      </c>
      <c r="FZ17">
        <v>2</v>
      </c>
      <c r="GA17" t="s">
        <v>421</v>
      </c>
      <c r="GB17">
        <v>2.9193600000000002</v>
      </c>
      <c r="GC17">
        <v>2.82992</v>
      </c>
      <c r="GD17">
        <v>8.0583399999999999E-2</v>
      </c>
      <c r="GE17">
        <v>8.8525599999999996E-2</v>
      </c>
      <c r="GF17">
        <v>0.133271</v>
      </c>
      <c r="GG17">
        <v>0.11239</v>
      </c>
      <c r="GH17">
        <v>23722.1</v>
      </c>
      <c r="GI17">
        <v>29382.799999999999</v>
      </c>
      <c r="GJ17">
        <v>23232.400000000001</v>
      </c>
      <c r="GK17">
        <v>29544.5</v>
      </c>
      <c r="GL17">
        <v>27453.8</v>
      </c>
      <c r="GM17">
        <v>37252.699999999997</v>
      </c>
      <c r="GN17">
        <v>32841.800000000003</v>
      </c>
      <c r="GO17">
        <v>43772.7</v>
      </c>
      <c r="GP17">
        <v>1.9701</v>
      </c>
      <c r="GQ17">
        <v>1.8458000000000001</v>
      </c>
      <c r="GR17">
        <v>2.5332E-2</v>
      </c>
      <c r="GS17">
        <v>0</v>
      </c>
      <c r="GT17">
        <v>29.566299999999998</v>
      </c>
      <c r="GU17">
        <v>999.9</v>
      </c>
      <c r="GV17">
        <v>54.2</v>
      </c>
      <c r="GW17">
        <v>35.6</v>
      </c>
      <c r="GX17">
        <v>31.9133</v>
      </c>
      <c r="GY17">
        <v>61.254800000000003</v>
      </c>
      <c r="GZ17">
        <v>38.645800000000001</v>
      </c>
      <c r="HA17">
        <v>1</v>
      </c>
      <c r="HB17">
        <v>0.37151400000000001</v>
      </c>
      <c r="HC17">
        <v>2.8806799999999999</v>
      </c>
      <c r="HD17">
        <v>20.295000000000002</v>
      </c>
      <c r="HE17">
        <v>5.2107000000000001</v>
      </c>
      <c r="HF17">
        <v>11.872199999999999</v>
      </c>
      <c r="HG17">
        <v>4.9850000000000003</v>
      </c>
      <c r="HH17">
        <v>3.2839999999999998</v>
      </c>
      <c r="HI17">
        <v>9999</v>
      </c>
      <c r="HJ17">
        <v>9999</v>
      </c>
      <c r="HK17">
        <v>9999</v>
      </c>
      <c r="HL17">
        <v>999.9</v>
      </c>
      <c r="HM17">
        <v>1.85453</v>
      </c>
      <c r="HN17">
        <v>1.8606</v>
      </c>
      <c r="HO17">
        <v>1.8579399999999999</v>
      </c>
      <c r="HP17">
        <v>1.85921</v>
      </c>
      <c r="HQ17">
        <v>1.8585199999999999</v>
      </c>
      <c r="HR17">
        <v>1.8591</v>
      </c>
      <c r="HS17">
        <v>1.85745</v>
      </c>
      <c r="HT17">
        <v>1.8608</v>
      </c>
      <c r="HU17">
        <v>5</v>
      </c>
      <c r="HV17">
        <v>0</v>
      </c>
      <c r="HW17">
        <v>0</v>
      </c>
      <c r="HX17">
        <v>0</v>
      </c>
      <c r="HY17" t="s">
        <v>422</v>
      </c>
      <c r="HZ17" t="s">
        <v>423</v>
      </c>
      <c r="IA17" t="s">
        <v>424</v>
      </c>
      <c r="IB17" t="s">
        <v>424</v>
      </c>
      <c r="IC17" t="s">
        <v>424</v>
      </c>
      <c r="ID17" t="s">
        <v>424</v>
      </c>
      <c r="IE17">
        <v>0</v>
      </c>
      <c r="IF17">
        <v>100</v>
      </c>
      <c r="IG17">
        <v>100</v>
      </c>
      <c r="IH17">
        <v>-1.472</v>
      </c>
      <c r="II17">
        <v>0.1762</v>
      </c>
      <c r="IJ17">
        <v>-0.25075782960760412</v>
      </c>
      <c r="IK17">
        <v>-4.1229525807901877E-3</v>
      </c>
      <c r="IL17">
        <v>1.8448211998558991E-6</v>
      </c>
      <c r="IM17">
        <v>-3.7020276670297668E-10</v>
      </c>
      <c r="IN17">
        <v>-0.12872462970913259</v>
      </c>
      <c r="IO17">
        <v>-1.3488639696665739E-2</v>
      </c>
      <c r="IP17">
        <v>1.1588640342490499E-3</v>
      </c>
      <c r="IQ17">
        <v>-1.0624341560077559E-5</v>
      </c>
      <c r="IR17">
        <v>2</v>
      </c>
      <c r="IS17">
        <v>1915</v>
      </c>
      <c r="IT17">
        <v>1</v>
      </c>
      <c r="IU17">
        <v>42</v>
      </c>
      <c r="IV17">
        <v>0.5</v>
      </c>
      <c r="IW17">
        <v>0.6</v>
      </c>
      <c r="IX17">
        <v>1.00098</v>
      </c>
      <c r="IY17">
        <v>2.4548299999999998</v>
      </c>
      <c r="IZ17">
        <v>1.49414</v>
      </c>
      <c r="JA17">
        <v>2.3034699999999999</v>
      </c>
      <c r="JB17">
        <v>1.54419</v>
      </c>
      <c r="JC17">
        <v>2.4169900000000002</v>
      </c>
      <c r="JD17">
        <v>40.4</v>
      </c>
      <c r="JE17">
        <v>15.0952</v>
      </c>
      <c r="JF17">
        <v>18</v>
      </c>
      <c r="JG17">
        <v>511.99299999999999</v>
      </c>
      <c r="JH17">
        <v>462.20400000000001</v>
      </c>
      <c r="JI17">
        <v>24.778099999999998</v>
      </c>
      <c r="JJ17">
        <v>32.077800000000003</v>
      </c>
      <c r="JK17">
        <v>30.0001</v>
      </c>
      <c r="JL17">
        <v>32.035200000000003</v>
      </c>
      <c r="JM17">
        <v>32.007100000000001</v>
      </c>
      <c r="JN17">
        <v>20.1142</v>
      </c>
      <c r="JO17">
        <v>31.4208</v>
      </c>
      <c r="JP17">
        <v>46.386600000000001</v>
      </c>
      <c r="JQ17">
        <v>24.790800000000001</v>
      </c>
      <c r="JR17">
        <v>400</v>
      </c>
      <c r="JS17">
        <v>23.4039</v>
      </c>
      <c r="JT17">
        <v>97.414400000000001</v>
      </c>
      <c r="JU17">
        <v>98.448300000000003</v>
      </c>
    </row>
    <row r="18" spans="1:281" x14ac:dyDescent="0.25">
      <c r="A18">
        <v>2</v>
      </c>
      <c r="B18">
        <v>1691159351.0999999</v>
      </c>
      <c r="C18">
        <v>105.5</v>
      </c>
      <c r="D18" t="s">
        <v>425</v>
      </c>
      <c r="E18" t="s">
        <v>426</v>
      </c>
      <c r="F18" t="s">
        <v>413</v>
      </c>
      <c r="G18" t="s">
        <v>31</v>
      </c>
      <c r="H18" t="s">
        <v>414</v>
      </c>
      <c r="I18" t="s">
        <v>415</v>
      </c>
      <c r="J18">
        <v>1691159351.0999999</v>
      </c>
      <c r="K18">
        <f t="shared" si="0"/>
        <v>4.3034845892264634E-3</v>
      </c>
      <c r="L18">
        <f t="shared" si="1"/>
        <v>4.3034845892264633</v>
      </c>
      <c r="M18">
        <f t="shared" si="2"/>
        <v>34.619413673947783</v>
      </c>
      <c r="N18">
        <f t="shared" si="3"/>
        <v>257.17599999999999</v>
      </c>
      <c r="O18">
        <f t="shared" si="4"/>
        <v>62.124958368674243</v>
      </c>
      <c r="P18">
        <f t="shared" si="5"/>
        <v>6.1657543228149594</v>
      </c>
      <c r="Q18">
        <f t="shared" si="6"/>
        <v>25.524106178296002</v>
      </c>
      <c r="R18">
        <f t="shared" si="7"/>
        <v>0.3039571378971212</v>
      </c>
      <c r="S18">
        <f t="shared" si="8"/>
        <v>2.9092963138450703</v>
      </c>
      <c r="T18">
        <f t="shared" si="9"/>
        <v>0.28735228228824972</v>
      </c>
      <c r="U18">
        <f t="shared" si="10"/>
        <v>0.18101142529407482</v>
      </c>
      <c r="V18">
        <f t="shared" si="11"/>
        <v>344.36019999340135</v>
      </c>
      <c r="W18">
        <f t="shared" si="12"/>
        <v>31.185582709357192</v>
      </c>
      <c r="X18">
        <f t="shared" si="13"/>
        <v>30.014700000000001</v>
      </c>
      <c r="Y18">
        <f t="shared" si="14"/>
        <v>4.264048432381867</v>
      </c>
      <c r="Z18">
        <f t="shared" si="15"/>
        <v>65.421684899594609</v>
      </c>
      <c r="AA18">
        <f t="shared" si="16"/>
        <v>2.8308101194967001</v>
      </c>
      <c r="AB18">
        <f t="shared" si="17"/>
        <v>4.3270211151566373</v>
      </c>
      <c r="AC18">
        <f t="shared" si="18"/>
        <v>1.4332383128851669</v>
      </c>
      <c r="AD18">
        <f t="shared" si="19"/>
        <v>-189.78367038488705</v>
      </c>
      <c r="AE18">
        <f t="shared" si="20"/>
        <v>40.074148623799609</v>
      </c>
      <c r="AF18">
        <f t="shared" si="21"/>
        <v>3.0670997568352636</v>
      </c>
      <c r="AG18">
        <f t="shared" si="22"/>
        <v>197.71777798914917</v>
      </c>
      <c r="AH18">
        <v>0</v>
      </c>
      <c r="AI18">
        <v>0</v>
      </c>
      <c r="AJ18">
        <f t="shared" si="23"/>
        <v>1</v>
      </c>
      <c r="AK18">
        <f t="shared" si="24"/>
        <v>0</v>
      </c>
      <c r="AL18">
        <f t="shared" si="25"/>
        <v>51711.731611781426</v>
      </c>
      <c r="AM18" t="s">
        <v>416</v>
      </c>
      <c r="AN18">
        <v>10235.299999999999</v>
      </c>
      <c r="AO18">
        <v>594.051923076923</v>
      </c>
      <c r="AP18">
        <v>2007.77</v>
      </c>
      <c r="AQ18">
        <f t="shared" si="26"/>
        <v>0.70412351859180933</v>
      </c>
      <c r="AR18">
        <v>-0.54275787784279261</v>
      </c>
      <c r="AS18" t="s">
        <v>427</v>
      </c>
      <c r="AT18">
        <v>10170.700000000001</v>
      </c>
      <c r="AU18">
        <v>627.96634615384619</v>
      </c>
      <c r="AV18">
        <v>893.23589034642725</v>
      </c>
      <c r="AW18">
        <f t="shared" si="27"/>
        <v>0.29697591314842997</v>
      </c>
      <c r="AX18">
        <v>0.5</v>
      </c>
      <c r="AY18">
        <f t="shared" si="28"/>
        <v>1513.1204999967006</v>
      </c>
      <c r="AZ18">
        <f t="shared" si="29"/>
        <v>34.619413673947783</v>
      </c>
      <c r="BA18">
        <f t="shared" si="30"/>
        <v>224.68017109506454</v>
      </c>
      <c r="BB18">
        <f t="shared" si="31"/>
        <v>2.3238183311816377E-2</v>
      </c>
      <c r="BC18">
        <f t="shared" si="32"/>
        <v>1.2477489112325282</v>
      </c>
      <c r="BD18">
        <f t="shared" si="33"/>
        <v>433.87437374965191</v>
      </c>
      <c r="BE18" t="s">
        <v>428</v>
      </c>
      <c r="BF18">
        <v>496.14</v>
      </c>
      <c r="BG18">
        <f t="shared" si="34"/>
        <v>496.14</v>
      </c>
      <c r="BH18">
        <f t="shared" si="35"/>
        <v>0.44455881658810192</v>
      </c>
      <c r="BI18">
        <f t="shared" si="36"/>
        <v>0.66802389710243382</v>
      </c>
      <c r="BJ18">
        <f t="shared" si="37"/>
        <v>0.73730615934691202</v>
      </c>
      <c r="BK18">
        <f t="shared" si="38"/>
        <v>0.88664358125055165</v>
      </c>
      <c r="BL18">
        <f t="shared" si="39"/>
        <v>0.78837084129201274</v>
      </c>
      <c r="BM18">
        <f t="shared" si="40"/>
        <v>0.52778843697334576</v>
      </c>
      <c r="BN18">
        <f t="shared" si="41"/>
        <v>0.47221156302665424</v>
      </c>
      <c r="BO18">
        <v>12471</v>
      </c>
      <c r="BP18">
        <v>290.00000000000011</v>
      </c>
      <c r="BQ18">
        <v>814.11</v>
      </c>
      <c r="BR18">
        <v>265</v>
      </c>
      <c r="BS18">
        <v>10170.700000000001</v>
      </c>
      <c r="BT18">
        <v>814.53</v>
      </c>
      <c r="BU18">
        <v>-0.42</v>
      </c>
      <c r="BV18">
        <v>300.00000000000011</v>
      </c>
      <c r="BW18">
        <v>24.2</v>
      </c>
      <c r="BX18">
        <v>893.23589034642725</v>
      </c>
      <c r="BY18">
        <v>2.39213037894873</v>
      </c>
      <c r="BZ18">
        <v>-80.053766245876133</v>
      </c>
      <c r="CA18">
        <v>2.166442103426331</v>
      </c>
      <c r="CB18">
        <v>0.97990569679956108</v>
      </c>
      <c r="CC18">
        <v>-6.9488578420467259E-3</v>
      </c>
      <c r="CD18">
        <v>289.99999999999989</v>
      </c>
      <c r="CE18">
        <v>809.51</v>
      </c>
      <c r="CF18">
        <v>635</v>
      </c>
      <c r="CG18">
        <v>10152.4</v>
      </c>
      <c r="CH18">
        <v>814.38</v>
      </c>
      <c r="CI18">
        <v>-4.87</v>
      </c>
      <c r="CW18">
        <f t="shared" si="42"/>
        <v>1799.92</v>
      </c>
      <c r="CX18">
        <f t="shared" si="43"/>
        <v>1513.1204999967006</v>
      </c>
      <c r="CY18">
        <f t="shared" si="44"/>
        <v>0.84065986265872961</v>
      </c>
      <c r="CZ18">
        <f t="shared" si="45"/>
        <v>0.1913197253174593</v>
      </c>
      <c r="DA18">
        <v>6</v>
      </c>
      <c r="DB18">
        <v>0.5</v>
      </c>
      <c r="DC18" t="s">
        <v>419</v>
      </c>
      <c r="DD18">
        <v>2</v>
      </c>
      <c r="DE18">
        <v>1691159351.0999999</v>
      </c>
      <c r="DF18">
        <v>257.17599999999999</v>
      </c>
      <c r="DG18">
        <v>300.03300000000002</v>
      </c>
      <c r="DH18">
        <v>28.5227</v>
      </c>
      <c r="DI18">
        <v>23.5075</v>
      </c>
      <c r="DJ18">
        <v>258.52</v>
      </c>
      <c r="DK18">
        <v>28.349599999999999</v>
      </c>
      <c r="DL18">
        <v>500.16800000000001</v>
      </c>
      <c r="DM18">
        <v>99.147400000000005</v>
      </c>
      <c r="DN18">
        <v>0.100221</v>
      </c>
      <c r="DO18">
        <v>30.270199999999999</v>
      </c>
      <c r="DP18">
        <v>30.014700000000001</v>
      </c>
      <c r="DQ18">
        <v>999.9</v>
      </c>
      <c r="DR18">
        <v>0</v>
      </c>
      <c r="DS18">
        <v>0</v>
      </c>
      <c r="DT18">
        <v>9970</v>
      </c>
      <c r="DU18">
        <v>0</v>
      </c>
      <c r="DV18">
        <v>1003.46</v>
      </c>
      <c r="DW18">
        <v>-42.8568</v>
      </c>
      <c r="DX18">
        <v>264.726</v>
      </c>
      <c r="DY18">
        <v>307.255</v>
      </c>
      <c r="DZ18">
        <v>5.0151399999999997</v>
      </c>
      <c r="EA18">
        <v>300.03300000000002</v>
      </c>
      <c r="EB18">
        <v>23.5075</v>
      </c>
      <c r="EC18">
        <v>2.82795</v>
      </c>
      <c r="ED18">
        <v>2.3307099999999998</v>
      </c>
      <c r="EE18">
        <v>23.048200000000001</v>
      </c>
      <c r="EF18">
        <v>19.8903</v>
      </c>
      <c r="EG18">
        <v>1799.92</v>
      </c>
      <c r="EH18">
        <v>0.97800299999999996</v>
      </c>
      <c r="EI18">
        <v>2.1996700000000001E-2</v>
      </c>
      <c r="EJ18">
        <v>0</v>
      </c>
      <c r="EK18">
        <v>627.59500000000003</v>
      </c>
      <c r="EL18">
        <v>0.100005</v>
      </c>
      <c r="EM18">
        <v>15720.5</v>
      </c>
      <c r="EN18">
        <v>14861.9</v>
      </c>
      <c r="EO18">
        <v>49.625</v>
      </c>
      <c r="EP18">
        <v>50.625</v>
      </c>
      <c r="EQ18">
        <v>50.436999999999998</v>
      </c>
      <c r="ER18">
        <v>49.436999999999998</v>
      </c>
      <c r="ES18">
        <v>50.5</v>
      </c>
      <c r="ET18">
        <v>1760.23</v>
      </c>
      <c r="EU18">
        <v>39.590000000000003</v>
      </c>
      <c r="EV18">
        <v>0</v>
      </c>
      <c r="EW18">
        <v>103.2000000476837</v>
      </c>
      <c r="EX18">
        <v>0</v>
      </c>
      <c r="EY18">
        <v>627.96634615384619</v>
      </c>
      <c r="EZ18">
        <v>-3.4367521022107002</v>
      </c>
      <c r="FA18">
        <v>-37.548717826287778</v>
      </c>
      <c r="FB18">
        <v>15728.03461538462</v>
      </c>
      <c r="FC18">
        <v>15</v>
      </c>
      <c r="FD18">
        <v>1691159320.5999999</v>
      </c>
      <c r="FE18" t="s">
        <v>429</v>
      </c>
      <c r="FF18">
        <v>1691159320.5999999</v>
      </c>
      <c r="FG18">
        <v>1691159315.0999999</v>
      </c>
      <c r="FH18">
        <v>7</v>
      </c>
      <c r="FI18">
        <v>-0.14399999999999999</v>
      </c>
      <c r="FJ18">
        <v>-5.0000000000000001E-3</v>
      </c>
      <c r="FK18">
        <v>-1.48</v>
      </c>
      <c r="FL18">
        <v>4.5999999999999999E-2</v>
      </c>
      <c r="FM18">
        <v>300</v>
      </c>
      <c r="FN18">
        <v>23</v>
      </c>
      <c r="FO18">
        <v>0.17</v>
      </c>
      <c r="FP18">
        <v>0.05</v>
      </c>
      <c r="FQ18">
        <v>34.618312856072968</v>
      </c>
      <c r="FR18">
        <v>0.41196296649090158</v>
      </c>
      <c r="FS18">
        <v>8.4261139461048795E-2</v>
      </c>
      <c r="FT18">
        <v>1</v>
      </c>
      <c r="FU18">
        <v>0.30010468720659089</v>
      </c>
      <c r="FV18">
        <v>3.73038212771016E-2</v>
      </c>
      <c r="FW18">
        <v>3.234215064224753E-3</v>
      </c>
      <c r="FX18">
        <v>1</v>
      </c>
      <c r="FY18">
        <v>2</v>
      </c>
      <c r="FZ18">
        <v>2</v>
      </c>
      <c r="GA18" t="s">
        <v>421</v>
      </c>
      <c r="GB18">
        <v>2.91974</v>
      </c>
      <c r="GC18">
        <v>2.8298399999999999</v>
      </c>
      <c r="GD18">
        <v>6.3576599999999997E-2</v>
      </c>
      <c r="GE18">
        <v>7.0528400000000005E-2</v>
      </c>
      <c r="GF18">
        <v>0.13351099999999999</v>
      </c>
      <c r="GG18">
        <v>0.112746</v>
      </c>
      <c r="GH18">
        <v>24164.400000000001</v>
      </c>
      <c r="GI18">
        <v>29960.7</v>
      </c>
      <c r="GJ18">
        <v>23236.1</v>
      </c>
      <c r="GK18">
        <v>29542.400000000001</v>
      </c>
      <c r="GL18">
        <v>27449.3</v>
      </c>
      <c r="GM18">
        <v>37232.5</v>
      </c>
      <c r="GN18">
        <v>32847.4</v>
      </c>
      <c r="GO18">
        <v>43769.2</v>
      </c>
      <c r="GP18">
        <v>1.9699</v>
      </c>
      <c r="GQ18">
        <v>1.8436999999999999</v>
      </c>
      <c r="GR18">
        <v>2.2992499999999999E-2</v>
      </c>
      <c r="GS18">
        <v>0</v>
      </c>
      <c r="GT18">
        <v>29.6404</v>
      </c>
      <c r="GU18">
        <v>999.9</v>
      </c>
      <c r="GV18">
        <v>53.1</v>
      </c>
      <c r="GW18">
        <v>35.799999999999997</v>
      </c>
      <c r="GX18">
        <v>31.614699999999999</v>
      </c>
      <c r="GY18">
        <v>61.514800000000001</v>
      </c>
      <c r="GZ18">
        <v>38.177100000000003</v>
      </c>
      <c r="HA18">
        <v>1</v>
      </c>
      <c r="HB18">
        <v>0.372724</v>
      </c>
      <c r="HC18">
        <v>3.27258</v>
      </c>
      <c r="HD18">
        <v>20.289100000000001</v>
      </c>
      <c r="HE18">
        <v>5.2119</v>
      </c>
      <c r="HF18">
        <v>11.872199999999999</v>
      </c>
      <c r="HG18">
        <v>4.9854000000000003</v>
      </c>
      <c r="HH18">
        <v>3.2839999999999998</v>
      </c>
      <c r="HI18">
        <v>9999</v>
      </c>
      <c r="HJ18">
        <v>9999</v>
      </c>
      <c r="HK18">
        <v>9999</v>
      </c>
      <c r="HL18">
        <v>999.9</v>
      </c>
      <c r="HM18">
        <v>1.8545700000000001</v>
      </c>
      <c r="HN18">
        <v>1.8606400000000001</v>
      </c>
      <c r="HO18">
        <v>1.8580000000000001</v>
      </c>
      <c r="HP18">
        <v>1.8592500000000001</v>
      </c>
      <c r="HQ18">
        <v>1.8585199999999999</v>
      </c>
      <c r="HR18">
        <v>1.8591299999999999</v>
      </c>
      <c r="HS18">
        <v>1.8574299999999999</v>
      </c>
      <c r="HT18">
        <v>1.8608100000000001</v>
      </c>
      <c r="HU18">
        <v>5</v>
      </c>
      <c r="HV18">
        <v>0</v>
      </c>
      <c r="HW18">
        <v>0</v>
      </c>
      <c r="HX18">
        <v>0</v>
      </c>
      <c r="HY18" t="s">
        <v>422</v>
      </c>
      <c r="HZ18" t="s">
        <v>423</v>
      </c>
      <c r="IA18" t="s">
        <v>424</v>
      </c>
      <c r="IB18" t="s">
        <v>424</v>
      </c>
      <c r="IC18" t="s">
        <v>424</v>
      </c>
      <c r="ID18" t="s">
        <v>424</v>
      </c>
      <c r="IE18">
        <v>0</v>
      </c>
      <c r="IF18">
        <v>100</v>
      </c>
      <c r="IG18">
        <v>100</v>
      </c>
      <c r="IH18">
        <v>-1.3440000000000001</v>
      </c>
      <c r="II18">
        <v>0.1731</v>
      </c>
      <c r="IJ18">
        <v>-0.39477639001542242</v>
      </c>
      <c r="IK18">
        <v>-4.1229525807901877E-3</v>
      </c>
      <c r="IL18">
        <v>1.8448211998558991E-6</v>
      </c>
      <c r="IM18">
        <v>-3.7020276670297668E-10</v>
      </c>
      <c r="IN18">
        <v>-0.13379728101286309</v>
      </c>
      <c r="IO18">
        <v>-1.3488639696665739E-2</v>
      </c>
      <c r="IP18">
        <v>1.1588640342490499E-3</v>
      </c>
      <c r="IQ18">
        <v>-1.0624341560077559E-5</v>
      </c>
      <c r="IR18">
        <v>2</v>
      </c>
      <c r="IS18">
        <v>1915</v>
      </c>
      <c r="IT18">
        <v>1</v>
      </c>
      <c r="IU18">
        <v>42</v>
      </c>
      <c r="IV18">
        <v>0.5</v>
      </c>
      <c r="IW18">
        <v>0.6</v>
      </c>
      <c r="IX18">
        <v>0.79834000000000005</v>
      </c>
      <c r="IY18">
        <v>2.4487299999999999</v>
      </c>
      <c r="IZ18">
        <v>1.49414</v>
      </c>
      <c r="JA18">
        <v>2.3034699999999999</v>
      </c>
      <c r="JB18">
        <v>1.54419</v>
      </c>
      <c r="JC18">
        <v>2.4658199999999999</v>
      </c>
      <c r="JD18">
        <v>40.502000000000002</v>
      </c>
      <c r="JE18">
        <v>15.068899999999999</v>
      </c>
      <c r="JF18">
        <v>18</v>
      </c>
      <c r="JG18">
        <v>511.95600000000002</v>
      </c>
      <c r="JH18">
        <v>460.858</v>
      </c>
      <c r="JI18">
        <v>24.369</v>
      </c>
      <c r="JJ18">
        <v>32.077800000000003</v>
      </c>
      <c r="JK18">
        <v>30.0001</v>
      </c>
      <c r="JL18">
        <v>32.046399999999998</v>
      </c>
      <c r="JM18">
        <v>32.021000000000001</v>
      </c>
      <c r="JN18">
        <v>16.052600000000002</v>
      </c>
      <c r="JO18">
        <v>30.359300000000001</v>
      </c>
      <c r="JP18">
        <v>44.348599999999998</v>
      </c>
      <c r="JQ18">
        <v>24.375299999999999</v>
      </c>
      <c r="JR18">
        <v>300</v>
      </c>
      <c r="JS18">
        <v>23.509799999999998</v>
      </c>
      <c r="JT18">
        <v>97.430400000000006</v>
      </c>
      <c r="JU18">
        <v>98.440799999999996</v>
      </c>
    </row>
    <row r="19" spans="1:281" x14ac:dyDescent="0.25">
      <c r="A19">
        <v>3</v>
      </c>
      <c r="B19">
        <v>1691159461.5999999</v>
      </c>
      <c r="C19">
        <v>216</v>
      </c>
      <c r="D19" t="s">
        <v>430</v>
      </c>
      <c r="E19" t="s">
        <v>431</v>
      </c>
      <c r="F19" t="s">
        <v>413</v>
      </c>
      <c r="G19" t="s">
        <v>31</v>
      </c>
      <c r="H19" t="s">
        <v>414</v>
      </c>
      <c r="I19" t="s">
        <v>415</v>
      </c>
      <c r="J19">
        <v>1691159461.5999999</v>
      </c>
      <c r="K19">
        <f t="shared" si="0"/>
        <v>4.7121035720833378E-3</v>
      </c>
      <c r="L19">
        <f t="shared" si="1"/>
        <v>4.712103572083338</v>
      </c>
      <c r="M19">
        <f t="shared" si="2"/>
        <v>23.961026129309804</v>
      </c>
      <c r="N19">
        <f t="shared" si="3"/>
        <v>170.458</v>
      </c>
      <c r="O19">
        <f t="shared" si="4"/>
        <v>47.373693738826631</v>
      </c>
      <c r="P19">
        <f t="shared" si="5"/>
        <v>4.7017456826544892</v>
      </c>
      <c r="Q19">
        <f t="shared" si="6"/>
        <v>16.917620356823999</v>
      </c>
      <c r="R19">
        <f t="shared" si="7"/>
        <v>0.33549923210262794</v>
      </c>
      <c r="S19">
        <f t="shared" si="8"/>
        <v>2.9136854700192711</v>
      </c>
      <c r="T19">
        <f t="shared" si="9"/>
        <v>0.31542004437183441</v>
      </c>
      <c r="U19">
        <f t="shared" si="10"/>
        <v>0.19884134398472852</v>
      </c>
      <c r="V19">
        <f t="shared" si="11"/>
        <v>344.39059999340191</v>
      </c>
      <c r="W19">
        <f t="shared" si="12"/>
        <v>31.078717696703748</v>
      </c>
      <c r="X19">
        <f t="shared" si="13"/>
        <v>30.0124</v>
      </c>
      <c r="Y19">
        <f t="shared" si="14"/>
        <v>4.2634852019889324</v>
      </c>
      <c r="Z19">
        <f t="shared" si="15"/>
        <v>65.488218988177465</v>
      </c>
      <c r="AA19">
        <f t="shared" si="16"/>
        <v>2.8338190186811998</v>
      </c>
      <c r="AB19">
        <f t="shared" si="17"/>
        <v>4.3272195556162352</v>
      </c>
      <c r="AC19">
        <f t="shared" si="18"/>
        <v>1.4296661833077327</v>
      </c>
      <c r="AD19">
        <f t="shared" si="19"/>
        <v>-207.8037675288752</v>
      </c>
      <c r="AE19">
        <f t="shared" si="20"/>
        <v>40.621563220033174</v>
      </c>
      <c r="AF19">
        <f t="shared" si="21"/>
        <v>3.104290072786227</v>
      </c>
      <c r="AG19">
        <f t="shared" si="22"/>
        <v>180.31268575734612</v>
      </c>
      <c r="AH19">
        <v>0</v>
      </c>
      <c r="AI19">
        <v>0</v>
      </c>
      <c r="AJ19">
        <f t="shared" si="23"/>
        <v>1</v>
      </c>
      <c r="AK19">
        <f t="shared" si="24"/>
        <v>0</v>
      </c>
      <c r="AL19">
        <f t="shared" si="25"/>
        <v>51836.325417545391</v>
      </c>
      <c r="AM19" t="s">
        <v>416</v>
      </c>
      <c r="AN19">
        <v>10235.299999999999</v>
      </c>
      <c r="AO19">
        <v>594.051923076923</v>
      </c>
      <c r="AP19">
        <v>2007.77</v>
      </c>
      <c r="AQ19">
        <f t="shared" si="26"/>
        <v>0.70412351859180933</v>
      </c>
      <c r="AR19">
        <v>-0.54275787784279261</v>
      </c>
      <c r="AS19" t="s">
        <v>432</v>
      </c>
      <c r="AT19">
        <v>10167.4</v>
      </c>
      <c r="AU19">
        <v>628.95038461538456</v>
      </c>
      <c r="AV19">
        <v>816.29821571623893</v>
      </c>
      <c r="AW19">
        <f t="shared" si="27"/>
        <v>0.22950905379165998</v>
      </c>
      <c r="AX19">
        <v>0.5</v>
      </c>
      <c r="AY19">
        <f t="shared" si="28"/>
        <v>1513.2548999967009</v>
      </c>
      <c r="AZ19">
        <f t="shared" si="29"/>
        <v>23.961026129309804</v>
      </c>
      <c r="BA19">
        <f t="shared" si="30"/>
        <v>173.65285012191794</v>
      </c>
      <c r="BB19">
        <f t="shared" si="31"/>
        <v>1.6192766999932409E-2</v>
      </c>
      <c r="BC19">
        <f t="shared" si="32"/>
        <v>1.4596035631884068</v>
      </c>
      <c r="BD19">
        <f t="shared" si="33"/>
        <v>414.88060372575143</v>
      </c>
      <c r="BE19" t="s">
        <v>433</v>
      </c>
      <c r="BF19">
        <v>491.94</v>
      </c>
      <c r="BG19">
        <f t="shared" si="34"/>
        <v>491.94</v>
      </c>
      <c r="BH19">
        <f t="shared" si="35"/>
        <v>0.39735259672427381</v>
      </c>
      <c r="BI19">
        <f t="shared" si="36"/>
        <v>0.57759545472636797</v>
      </c>
      <c r="BJ19">
        <f t="shared" si="37"/>
        <v>0.78601939814079491</v>
      </c>
      <c r="BK19">
        <f t="shared" si="38"/>
        <v>0.84297393165024193</v>
      </c>
      <c r="BL19">
        <f t="shared" si="39"/>
        <v>0.84279306018139799</v>
      </c>
      <c r="BM19">
        <f t="shared" si="40"/>
        <v>0.45177221438833848</v>
      </c>
      <c r="BN19">
        <f t="shared" si="41"/>
        <v>0.54822778561166152</v>
      </c>
      <c r="BO19">
        <v>12473</v>
      </c>
      <c r="BP19">
        <v>290.00000000000011</v>
      </c>
      <c r="BQ19">
        <v>764.67</v>
      </c>
      <c r="BR19">
        <v>285</v>
      </c>
      <c r="BS19">
        <v>10167.4</v>
      </c>
      <c r="BT19">
        <v>766.65</v>
      </c>
      <c r="BU19">
        <v>-1.98</v>
      </c>
      <c r="BV19">
        <v>300.00000000000011</v>
      </c>
      <c r="BW19">
        <v>24.2</v>
      </c>
      <c r="BX19">
        <v>816.29821571623893</v>
      </c>
      <c r="BY19">
        <v>1.8993557988338841</v>
      </c>
      <c r="BZ19">
        <v>-50.475862760775307</v>
      </c>
      <c r="CA19">
        <v>1.719989855276729</v>
      </c>
      <c r="CB19">
        <v>0.96851184342991248</v>
      </c>
      <c r="CC19">
        <v>-6.9481717463848727E-3</v>
      </c>
      <c r="CD19">
        <v>289.99999999999989</v>
      </c>
      <c r="CE19">
        <v>763.9</v>
      </c>
      <c r="CF19">
        <v>635</v>
      </c>
      <c r="CG19">
        <v>10151.4</v>
      </c>
      <c r="CH19">
        <v>766.58</v>
      </c>
      <c r="CI19">
        <v>-2.68</v>
      </c>
      <c r="CW19">
        <f t="shared" si="42"/>
        <v>1800.08</v>
      </c>
      <c r="CX19">
        <f t="shared" si="43"/>
        <v>1513.2548999967009</v>
      </c>
      <c r="CY19">
        <f t="shared" si="44"/>
        <v>0.84065980400687801</v>
      </c>
      <c r="CZ19">
        <f t="shared" si="45"/>
        <v>0.19131960801375603</v>
      </c>
      <c r="DA19">
        <v>6</v>
      </c>
      <c r="DB19">
        <v>0.5</v>
      </c>
      <c r="DC19" t="s">
        <v>419</v>
      </c>
      <c r="DD19">
        <v>2</v>
      </c>
      <c r="DE19">
        <v>1691159461.5999999</v>
      </c>
      <c r="DF19">
        <v>170.458</v>
      </c>
      <c r="DG19">
        <v>200.172</v>
      </c>
      <c r="DH19">
        <v>28.552900000000001</v>
      </c>
      <c r="DI19">
        <v>23.060400000000001</v>
      </c>
      <c r="DJ19">
        <v>171.535</v>
      </c>
      <c r="DK19">
        <v>28.376899999999999</v>
      </c>
      <c r="DL19">
        <v>500.05200000000002</v>
      </c>
      <c r="DM19">
        <v>99.147999999999996</v>
      </c>
      <c r="DN19">
        <v>0.10002800000000001</v>
      </c>
      <c r="DO19">
        <v>30.271000000000001</v>
      </c>
      <c r="DP19">
        <v>30.0124</v>
      </c>
      <c r="DQ19">
        <v>999.9</v>
      </c>
      <c r="DR19">
        <v>0</v>
      </c>
      <c r="DS19">
        <v>0</v>
      </c>
      <c r="DT19">
        <v>9995</v>
      </c>
      <c r="DU19">
        <v>0</v>
      </c>
      <c r="DV19">
        <v>1004.09</v>
      </c>
      <c r="DW19">
        <v>-29.713699999999999</v>
      </c>
      <c r="DX19">
        <v>175.46899999999999</v>
      </c>
      <c r="DY19">
        <v>204.89699999999999</v>
      </c>
      <c r="DZ19">
        <v>5.4924999999999997</v>
      </c>
      <c r="EA19">
        <v>200.172</v>
      </c>
      <c r="EB19">
        <v>23.060400000000001</v>
      </c>
      <c r="EC19">
        <v>2.8309700000000002</v>
      </c>
      <c r="ED19">
        <v>2.2864</v>
      </c>
      <c r="EE19">
        <v>23.065799999999999</v>
      </c>
      <c r="EF19">
        <v>19.5809</v>
      </c>
      <c r="EG19">
        <v>1800.08</v>
      </c>
      <c r="EH19">
        <v>0.97800699999999996</v>
      </c>
      <c r="EI19">
        <v>2.1992999999999999E-2</v>
      </c>
      <c r="EJ19">
        <v>0</v>
      </c>
      <c r="EK19">
        <v>630.08500000000004</v>
      </c>
      <c r="EL19">
        <v>0.100005</v>
      </c>
      <c r="EM19">
        <v>15694.3</v>
      </c>
      <c r="EN19">
        <v>14863.2</v>
      </c>
      <c r="EO19">
        <v>49.75</v>
      </c>
      <c r="EP19">
        <v>50.75</v>
      </c>
      <c r="EQ19">
        <v>50.561999999999998</v>
      </c>
      <c r="ER19">
        <v>49.561999999999998</v>
      </c>
      <c r="ES19">
        <v>50.561999999999998</v>
      </c>
      <c r="ET19">
        <v>1760.39</v>
      </c>
      <c r="EU19">
        <v>39.590000000000003</v>
      </c>
      <c r="EV19">
        <v>0</v>
      </c>
      <c r="EW19">
        <v>108</v>
      </c>
      <c r="EX19">
        <v>0</v>
      </c>
      <c r="EY19">
        <v>628.95038461538456</v>
      </c>
      <c r="EZ19">
        <v>0.67452993504591607</v>
      </c>
      <c r="FA19">
        <v>966.82051270887757</v>
      </c>
      <c r="FB19">
        <v>15619.58076923077</v>
      </c>
      <c r="FC19">
        <v>15</v>
      </c>
      <c r="FD19">
        <v>1691159431.0999999</v>
      </c>
      <c r="FE19" t="s">
        <v>434</v>
      </c>
      <c r="FF19">
        <v>1691159418.0999999</v>
      </c>
      <c r="FG19">
        <v>1691159431.0999999</v>
      </c>
      <c r="FH19">
        <v>8</v>
      </c>
      <c r="FI19">
        <v>-2.8000000000000001E-2</v>
      </c>
      <c r="FJ19">
        <v>2E-3</v>
      </c>
      <c r="FK19">
        <v>-1.18</v>
      </c>
      <c r="FL19">
        <v>4.1000000000000002E-2</v>
      </c>
      <c r="FM19">
        <v>200</v>
      </c>
      <c r="FN19">
        <v>23</v>
      </c>
      <c r="FO19">
        <v>0.22</v>
      </c>
      <c r="FP19">
        <v>0.05</v>
      </c>
      <c r="FQ19">
        <v>23.866508163983081</v>
      </c>
      <c r="FR19">
        <v>0.3979390555470097</v>
      </c>
      <c r="FS19">
        <v>5.965713324034827E-2</v>
      </c>
      <c r="FT19">
        <v>1</v>
      </c>
      <c r="FU19">
        <v>0.33083911254596893</v>
      </c>
      <c r="FV19">
        <v>4.467684500591431E-2</v>
      </c>
      <c r="FW19">
        <v>3.817484522096366E-3</v>
      </c>
      <c r="FX19">
        <v>1</v>
      </c>
      <c r="FY19">
        <v>2</v>
      </c>
      <c r="FZ19">
        <v>2</v>
      </c>
      <c r="GA19" t="s">
        <v>421</v>
      </c>
      <c r="GB19">
        <v>2.9194</v>
      </c>
      <c r="GC19">
        <v>2.8298700000000001</v>
      </c>
      <c r="GD19">
        <v>4.4546500000000003E-2</v>
      </c>
      <c r="GE19">
        <v>5.0077900000000002E-2</v>
      </c>
      <c r="GF19">
        <v>0.13358900000000001</v>
      </c>
      <c r="GG19">
        <v>0.11122899999999999</v>
      </c>
      <c r="GH19">
        <v>24657.5</v>
      </c>
      <c r="GI19">
        <v>30617.3</v>
      </c>
      <c r="GJ19">
        <v>23238.5</v>
      </c>
      <c r="GK19">
        <v>29540.5</v>
      </c>
      <c r="GL19">
        <v>27448.400000000001</v>
      </c>
      <c r="GM19">
        <v>37293.1</v>
      </c>
      <c r="GN19">
        <v>32851.1</v>
      </c>
      <c r="GO19">
        <v>43767.1</v>
      </c>
      <c r="GP19">
        <v>1.9704999999999999</v>
      </c>
      <c r="GQ19">
        <v>1.8404</v>
      </c>
      <c r="GR19">
        <v>1.8388000000000002E-2</v>
      </c>
      <c r="GS19">
        <v>0</v>
      </c>
      <c r="GT19">
        <v>29.713100000000001</v>
      </c>
      <c r="GU19">
        <v>999.9</v>
      </c>
      <c r="GV19">
        <v>52.1</v>
      </c>
      <c r="GW19">
        <v>35.9</v>
      </c>
      <c r="GX19">
        <v>31.193200000000001</v>
      </c>
      <c r="GY19">
        <v>61.1648</v>
      </c>
      <c r="GZ19">
        <v>38.661900000000003</v>
      </c>
      <c r="HA19">
        <v>1</v>
      </c>
      <c r="HB19">
        <v>0.375915</v>
      </c>
      <c r="HC19">
        <v>3.1331899999999999</v>
      </c>
      <c r="HD19">
        <v>20.2912</v>
      </c>
      <c r="HE19">
        <v>5.2130999999999998</v>
      </c>
      <c r="HF19">
        <v>11.872199999999999</v>
      </c>
      <c r="HG19">
        <v>4.9850000000000003</v>
      </c>
      <c r="HH19">
        <v>3.2839999999999998</v>
      </c>
      <c r="HI19">
        <v>9999</v>
      </c>
      <c r="HJ19">
        <v>9999</v>
      </c>
      <c r="HK19">
        <v>9999</v>
      </c>
      <c r="HL19">
        <v>999.9</v>
      </c>
      <c r="HM19">
        <v>1.8545499999999999</v>
      </c>
      <c r="HN19">
        <v>1.86066</v>
      </c>
      <c r="HO19">
        <v>1.8580000000000001</v>
      </c>
      <c r="HP19">
        <v>1.85924</v>
      </c>
      <c r="HQ19">
        <v>1.8585199999999999</v>
      </c>
      <c r="HR19">
        <v>1.8591</v>
      </c>
      <c r="HS19">
        <v>1.85745</v>
      </c>
      <c r="HT19">
        <v>1.8608100000000001</v>
      </c>
      <c r="HU19">
        <v>5</v>
      </c>
      <c r="HV19">
        <v>0</v>
      </c>
      <c r="HW19">
        <v>0</v>
      </c>
      <c r="HX19">
        <v>0</v>
      </c>
      <c r="HY19" t="s">
        <v>422</v>
      </c>
      <c r="HZ19" t="s">
        <v>423</v>
      </c>
      <c r="IA19" t="s">
        <v>424</v>
      </c>
      <c r="IB19" t="s">
        <v>424</v>
      </c>
      <c r="IC19" t="s">
        <v>424</v>
      </c>
      <c r="ID19" t="s">
        <v>424</v>
      </c>
      <c r="IE19">
        <v>0</v>
      </c>
      <c r="IF19">
        <v>100</v>
      </c>
      <c r="IG19">
        <v>100</v>
      </c>
      <c r="IH19">
        <v>-1.077</v>
      </c>
      <c r="II19">
        <v>0.17599999999999999</v>
      </c>
      <c r="IJ19">
        <v>-0.42211380712819452</v>
      </c>
      <c r="IK19">
        <v>-4.1229525807901877E-3</v>
      </c>
      <c r="IL19">
        <v>1.8448211998558991E-6</v>
      </c>
      <c r="IM19">
        <v>-3.7020276670297668E-10</v>
      </c>
      <c r="IN19">
        <v>-0.13160932418098489</v>
      </c>
      <c r="IO19">
        <v>-1.3488639696665739E-2</v>
      </c>
      <c r="IP19">
        <v>1.1588640342490499E-3</v>
      </c>
      <c r="IQ19">
        <v>-1.0624341560077559E-5</v>
      </c>
      <c r="IR19">
        <v>2</v>
      </c>
      <c r="IS19">
        <v>1915</v>
      </c>
      <c r="IT19">
        <v>1</v>
      </c>
      <c r="IU19">
        <v>42</v>
      </c>
      <c r="IV19">
        <v>0.7</v>
      </c>
      <c r="IW19">
        <v>0.5</v>
      </c>
      <c r="IX19">
        <v>0.58593799999999996</v>
      </c>
      <c r="IY19">
        <v>2.4633799999999999</v>
      </c>
      <c r="IZ19">
        <v>1.49414</v>
      </c>
      <c r="JA19">
        <v>2.3022499999999999</v>
      </c>
      <c r="JB19">
        <v>1.54419</v>
      </c>
      <c r="JC19">
        <v>2.3571800000000001</v>
      </c>
      <c r="JD19">
        <v>40.604199999999999</v>
      </c>
      <c r="JE19">
        <v>15.0426</v>
      </c>
      <c r="JF19">
        <v>18</v>
      </c>
      <c r="JG19">
        <v>512.68700000000001</v>
      </c>
      <c r="JH19">
        <v>458.89499999999998</v>
      </c>
      <c r="JI19">
        <v>24.4605</v>
      </c>
      <c r="JJ19">
        <v>32.125900000000001</v>
      </c>
      <c r="JK19">
        <v>30.000599999999999</v>
      </c>
      <c r="JL19">
        <v>32.087299999999999</v>
      </c>
      <c r="JM19">
        <v>32.061399999999999</v>
      </c>
      <c r="JN19">
        <v>11.7904</v>
      </c>
      <c r="JO19">
        <v>30.994199999999999</v>
      </c>
      <c r="JP19">
        <v>42.218000000000004</v>
      </c>
      <c r="JQ19">
        <v>24.4558</v>
      </c>
      <c r="JR19">
        <v>200</v>
      </c>
      <c r="JS19">
        <v>23.011500000000002</v>
      </c>
      <c r="JT19">
        <v>97.441000000000003</v>
      </c>
      <c r="JU19">
        <v>98.435500000000005</v>
      </c>
    </row>
    <row r="20" spans="1:281" x14ac:dyDescent="0.25">
      <c r="A20">
        <v>4</v>
      </c>
      <c r="B20">
        <v>1691159585.5999999</v>
      </c>
      <c r="C20">
        <v>340</v>
      </c>
      <c r="D20" t="s">
        <v>435</v>
      </c>
      <c r="E20" t="s">
        <v>436</v>
      </c>
      <c r="F20" t="s">
        <v>413</v>
      </c>
      <c r="G20" t="s">
        <v>31</v>
      </c>
      <c r="H20" t="s">
        <v>414</v>
      </c>
      <c r="I20" t="s">
        <v>415</v>
      </c>
      <c r="J20">
        <v>1691159585.5999999</v>
      </c>
      <c r="K20">
        <f t="shared" si="0"/>
        <v>5.1324848546491046E-3</v>
      </c>
      <c r="L20">
        <f t="shared" si="1"/>
        <v>5.1324848546491042</v>
      </c>
      <c r="M20">
        <f t="shared" si="2"/>
        <v>15.345247400589153</v>
      </c>
      <c r="N20">
        <f t="shared" si="3"/>
        <v>101.06</v>
      </c>
      <c r="O20">
        <f t="shared" si="4"/>
        <v>29.088121932613234</v>
      </c>
      <c r="P20">
        <f t="shared" si="5"/>
        <v>2.8871002809205653</v>
      </c>
      <c r="Q20">
        <f t="shared" si="6"/>
        <v>10.030566946390001</v>
      </c>
      <c r="R20">
        <f t="shared" si="7"/>
        <v>0.36951947791259249</v>
      </c>
      <c r="S20">
        <f t="shared" si="8"/>
        <v>2.9102942566884704</v>
      </c>
      <c r="T20">
        <f t="shared" si="9"/>
        <v>0.34529303399686995</v>
      </c>
      <c r="U20">
        <f t="shared" si="10"/>
        <v>0.21785229806354189</v>
      </c>
      <c r="V20">
        <f t="shared" si="11"/>
        <v>344.34049999339766</v>
      </c>
      <c r="W20">
        <f t="shared" si="12"/>
        <v>30.988936293198559</v>
      </c>
      <c r="X20">
        <f t="shared" si="13"/>
        <v>30.008199999999999</v>
      </c>
      <c r="Y20">
        <f t="shared" si="14"/>
        <v>4.2624568616116782</v>
      </c>
      <c r="Z20">
        <f t="shared" si="15"/>
        <v>65.556336086872122</v>
      </c>
      <c r="AA20">
        <f t="shared" si="16"/>
        <v>2.8399228767432003</v>
      </c>
      <c r="AB20">
        <f t="shared" si="17"/>
        <v>4.3320341652100112</v>
      </c>
      <c r="AC20">
        <f t="shared" si="18"/>
        <v>1.4225339848684779</v>
      </c>
      <c r="AD20">
        <f t="shared" si="19"/>
        <v>-226.3425820900255</v>
      </c>
      <c r="AE20">
        <f t="shared" si="20"/>
        <v>44.277119035371861</v>
      </c>
      <c r="AF20">
        <f t="shared" si="21"/>
        <v>3.3878444660766305</v>
      </c>
      <c r="AG20">
        <f t="shared" si="22"/>
        <v>165.66288140482064</v>
      </c>
      <c r="AH20">
        <v>0</v>
      </c>
      <c r="AI20">
        <v>0</v>
      </c>
      <c r="AJ20">
        <f t="shared" si="23"/>
        <v>1</v>
      </c>
      <c r="AK20">
        <f t="shared" si="24"/>
        <v>0</v>
      </c>
      <c r="AL20">
        <f t="shared" si="25"/>
        <v>51736.776728561104</v>
      </c>
      <c r="AM20" t="s">
        <v>416</v>
      </c>
      <c r="AN20">
        <v>10235.299999999999</v>
      </c>
      <c r="AO20">
        <v>594.051923076923</v>
      </c>
      <c r="AP20">
        <v>2007.77</v>
      </c>
      <c r="AQ20">
        <f t="shared" si="26"/>
        <v>0.70412351859180933</v>
      </c>
      <c r="AR20">
        <v>-0.54275787784279261</v>
      </c>
      <c r="AS20" t="s">
        <v>437</v>
      </c>
      <c r="AT20">
        <v>10168.5</v>
      </c>
      <c r="AU20">
        <v>637.08249999999998</v>
      </c>
      <c r="AV20">
        <v>755.83615761885858</v>
      </c>
      <c r="AW20">
        <f t="shared" si="27"/>
        <v>0.1571156082198728</v>
      </c>
      <c r="AX20">
        <v>0.5</v>
      </c>
      <c r="AY20">
        <f t="shared" si="28"/>
        <v>1513.0286999966988</v>
      </c>
      <c r="AZ20">
        <f t="shared" si="29"/>
        <v>15.345247400589153</v>
      </c>
      <c r="BA20">
        <f t="shared" si="30"/>
        <v>118.8602122270524</v>
      </c>
      <c r="BB20">
        <f t="shared" si="31"/>
        <v>1.050079570762049E-2</v>
      </c>
      <c r="BC20">
        <f t="shared" si="32"/>
        <v>1.6563561160201168</v>
      </c>
      <c r="BD20">
        <f t="shared" si="33"/>
        <v>398.67201158767125</v>
      </c>
      <c r="BE20" t="s">
        <v>438</v>
      </c>
      <c r="BF20">
        <v>501.68</v>
      </c>
      <c r="BG20">
        <f t="shared" si="34"/>
        <v>501.68</v>
      </c>
      <c r="BH20">
        <f t="shared" si="35"/>
        <v>0.33625826848445184</v>
      </c>
      <c r="BI20">
        <f t="shared" si="36"/>
        <v>0.46724682467440243</v>
      </c>
      <c r="BJ20">
        <f t="shared" si="37"/>
        <v>0.83124769594190351</v>
      </c>
      <c r="BK20">
        <f t="shared" si="38"/>
        <v>0.73402490641371387</v>
      </c>
      <c r="BL20">
        <f t="shared" si="39"/>
        <v>0.88556117575149418</v>
      </c>
      <c r="BM20">
        <f t="shared" si="40"/>
        <v>0.36794039547884966</v>
      </c>
      <c r="BN20">
        <f t="shared" si="41"/>
        <v>0.6320596045211504</v>
      </c>
      <c r="BO20">
        <v>12475</v>
      </c>
      <c r="BP20">
        <v>290.00000000000011</v>
      </c>
      <c r="BQ20">
        <v>724.2</v>
      </c>
      <c r="BR20">
        <v>265</v>
      </c>
      <c r="BS20">
        <v>10168.5</v>
      </c>
      <c r="BT20">
        <v>724.22</v>
      </c>
      <c r="BU20">
        <v>-0.02</v>
      </c>
      <c r="BV20">
        <v>300.00000000000011</v>
      </c>
      <c r="BW20">
        <v>24.2</v>
      </c>
      <c r="BX20">
        <v>755.83615761885858</v>
      </c>
      <c r="BY20">
        <v>2.1448095371543889</v>
      </c>
      <c r="BZ20">
        <v>-32.147092296314959</v>
      </c>
      <c r="CA20">
        <v>1.942017159519696</v>
      </c>
      <c r="CB20">
        <v>0.90728994069523838</v>
      </c>
      <c r="CC20">
        <v>-6.9474511679644014E-3</v>
      </c>
      <c r="CD20">
        <v>289.99999999999989</v>
      </c>
      <c r="CE20">
        <v>721.72</v>
      </c>
      <c r="CF20">
        <v>655</v>
      </c>
      <c r="CG20">
        <v>10148.700000000001</v>
      </c>
      <c r="CH20">
        <v>724.16</v>
      </c>
      <c r="CI20">
        <v>-2.44</v>
      </c>
      <c r="CW20">
        <f t="shared" si="42"/>
        <v>1799.81</v>
      </c>
      <c r="CX20">
        <f t="shared" si="43"/>
        <v>1513.0286999966988</v>
      </c>
      <c r="CY20">
        <f t="shared" si="44"/>
        <v>0.84066023635644815</v>
      </c>
      <c r="CZ20">
        <f t="shared" si="45"/>
        <v>0.19132047271289618</v>
      </c>
      <c r="DA20">
        <v>6</v>
      </c>
      <c r="DB20">
        <v>0.5</v>
      </c>
      <c r="DC20" t="s">
        <v>419</v>
      </c>
      <c r="DD20">
        <v>2</v>
      </c>
      <c r="DE20">
        <v>1691159585.5999999</v>
      </c>
      <c r="DF20">
        <v>101.06</v>
      </c>
      <c r="DG20">
        <v>120.108</v>
      </c>
      <c r="DH20">
        <v>28.6128</v>
      </c>
      <c r="DI20">
        <v>22.6265</v>
      </c>
      <c r="DJ20">
        <v>102.11199999999999</v>
      </c>
      <c r="DK20">
        <v>28.435400000000001</v>
      </c>
      <c r="DL20">
        <v>499.70400000000001</v>
      </c>
      <c r="DM20">
        <v>99.154300000000006</v>
      </c>
      <c r="DN20">
        <v>9.9281499999999995E-2</v>
      </c>
      <c r="DO20">
        <v>30.290400000000002</v>
      </c>
      <c r="DP20">
        <v>30.008199999999999</v>
      </c>
      <c r="DQ20">
        <v>999.9</v>
      </c>
      <c r="DR20">
        <v>0</v>
      </c>
      <c r="DS20">
        <v>0</v>
      </c>
      <c r="DT20">
        <v>9975</v>
      </c>
      <c r="DU20">
        <v>0</v>
      </c>
      <c r="DV20">
        <v>894.61300000000006</v>
      </c>
      <c r="DW20">
        <v>-19.0487</v>
      </c>
      <c r="DX20">
        <v>104.036</v>
      </c>
      <c r="DY20">
        <v>122.889</v>
      </c>
      <c r="DZ20">
        <v>5.9862200000000003</v>
      </c>
      <c r="EA20">
        <v>120.108</v>
      </c>
      <c r="EB20">
        <v>22.6265</v>
      </c>
      <c r="EC20">
        <v>2.8370799999999998</v>
      </c>
      <c r="ED20">
        <v>2.2435200000000002</v>
      </c>
      <c r="EE20">
        <v>23.101400000000002</v>
      </c>
      <c r="EF20">
        <v>19.276499999999999</v>
      </c>
      <c r="EG20">
        <v>1799.81</v>
      </c>
      <c r="EH20">
        <v>0.97799100000000005</v>
      </c>
      <c r="EI20">
        <v>2.2008699999999999E-2</v>
      </c>
      <c r="EJ20">
        <v>0</v>
      </c>
      <c r="EK20">
        <v>639.81500000000005</v>
      </c>
      <c r="EL20">
        <v>0.100005</v>
      </c>
      <c r="EM20">
        <v>15259</v>
      </c>
      <c r="EN20">
        <v>14860.9</v>
      </c>
      <c r="EO20">
        <v>49.875</v>
      </c>
      <c r="EP20">
        <v>51</v>
      </c>
      <c r="EQ20">
        <v>50.686999999999998</v>
      </c>
      <c r="ER20">
        <v>49.75</v>
      </c>
      <c r="ES20">
        <v>50.75</v>
      </c>
      <c r="ET20">
        <v>1760.1</v>
      </c>
      <c r="EU20">
        <v>39.61</v>
      </c>
      <c r="EV20">
        <v>0</v>
      </c>
      <c r="EW20">
        <v>121.4000000953674</v>
      </c>
      <c r="EX20">
        <v>0</v>
      </c>
      <c r="EY20">
        <v>637.08249999999998</v>
      </c>
      <c r="EZ20">
        <v>5.3957264950624726</v>
      </c>
      <c r="FA20">
        <v>-1627.9623895629679</v>
      </c>
      <c r="FB20">
        <v>15504.11153846154</v>
      </c>
      <c r="FC20">
        <v>15</v>
      </c>
      <c r="FD20">
        <v>1691159554.0999999</v>
      </c>
      <c r="FE20" t="s">
        <v>439</v>
      </c>
      <c r="FF20">
        <v>1691159538.5999999</v>
      </c>
      <c r="FG20">
        <v>1691159554.0999999</v>
      </c>
      <c r="FH20">
        <v>9</v>
      </c>
      <c r="FI20">
        <v>-0.22800000000000001</v>
      </c>
      <c r="FJ20">
        <v>0</v>
      </c>
      <c r="FK20">
        <v>-1.123</v>
      </c>
      <c r="FL20">
        <v>3.4000000000000002E-2</v>
      </c>
      <c r="FM20">
        <v>120</v>
      </c>
      <c r="FN20">
        <v>23</v>
      </c>
      <c r="FO20">
        <v>0.25</v>
      </c>
      <c r="FP20">
        <v>0.04</v>
      </c>
      <c r="FQ20">
        <v>15.398760576139029</v>
      </c>
      <c r="FR20">
        <v>0.42726498975466021</v>
      </c>
      <c r="FS20">
        <v>5.7860770518375612E-2</v>
      </c>
      <c r="FT20">
        <v>1</v>
      </c>
      <c r="FU20">
        <v>0.36434215836739808</v>
      </c>
      <c r="FV20">
        <v>4.7332180272090962E-2</v>
      </c>
      <c r="FW20">
        <v>3.5290618171781711E-3</v>
      </c>
      <c r="FX20">
        <v>1</v>
      </c>
      <c r="FY20">
        <v>2</v>
      </c>
      <c r="FZ20">
        <v>2</v>
      </c>
      <c r="GA20" t="s">
        <v>421</v>
      </c>
      <c r="GB20">
        <v>2.9184399999999999</v>
      </c>
      <c r="GC20">
        <v>2.8289399999999998</v>
      </c>
      <c r="GD20">
        <v>2.7575700000000002E-2</v>
      </c>
      <c r="GE20">
        <v>3.14744E-2</v>
      </c>
      <c r="GF20">
        <v>0.133765</v>
      </c>
      <c r="GG20">
        <v>0.10974100000000001</v>
      </c>
      <c r="GH20">
        <v>25096.1</v>
      </c>
      <c r="GI20">
        <v>31212</v>
      </c>
      <c r="GJ20">
        <v>23239.8</v>
      </c>
      <c r="GK20">
        <v>29536.799999999999</v>
      </c>
      <c r="GL20">
        <v>27443.8</v>
      </c>
      <c r="GM20">
        <v>37350.9</v>
      </c>
      <c r="GN20">
        <v>32853.4</v>
      </c>
      <c r="GO20">
        <v>43762.7</v>
      </c>
      <c r="GP20">
        <v>1.9692000000000001</v>
      </c>
      <c r="GQ20">
        <v>1.8363</v>
      </c>
      <c r="GR20">
        <v>1.6301900000000001E-2</v>
      </c>
      <c r="GS20">
        <v>0</v>
      </c>
      <c r="GT20">
        <v>29.742899999999999</v>
      </c>
      <c r="GU20">
        <v>999.9</v>
      </c>
      <c r="GV20">
        <v>51</v>
      </c>
      <c r="GW20">
        <v>36.1</v>
      </c>
      <c r="GX20">
        <v>30.868500000000001</v>
      </c>
      <c r="GY20">
        <v>61.334899999999998</v>
      </c>
      <c r="GZ20">
        <v>38.709899999999998</v>
      </c>
      <c r="HA20">
        <v>1</v>
      </c>
      <c r="HB20">
        <v>0.38323200000000002</v>
      </c>
      <c r="HC20">
        <v>3.0208300000000001</v>
      </c>
      <c r="HD20">
        <v>20.291699999999999</v>
      </c>
      <c r="HE20">
        <v>5.2053099999999999</v>
      </c>
      <c r="HF20">
        <v>11.872199999999999</v>
      </c>
      <c r="HG20">
        <v>4.984</v>
      </c>
      <c r="HH20">
        <v>3.2831000000000001</v>
      </c>
      <c r="HI20">
        <v>9999</v>
      </c>
      <c r="HJ20">
        <v>9999</v>
      </c>
      <c r="HK20">
        <v>9999</v>
      </c>
      <c r="HL20">
        <v>999.9</v>
      </c>
      <c r="HM20">
        <v>1.8545499999999999</v>
      </c>
      <c r="HN20">
        <v>1.86066</v>
      </c>
      <c r="HO20">
        <v>1.85802</v>
      </c>
      <c r="HP20">
        <v>1.8592500000000001</v>
      </c>
      <c r="HQ20">
        <v>1.8585400000000001</v>
      </c>
      <c r="HR20">
        <v>1.8591299999999999</v>
      </c>
      <c r="HS20">
        <v>1.85745</v>
      </c>
      <c r="HT20">
        <v>1.8608100000000001</v>
      </c>
      <c r="HU20">
        <v>5</v>
      </c>
      <c r="HV20">
        <v>0</v>
      </c>
      <c r="HW20">
        <v>0</v>
      </c>
      <c r="HX20">
        <v>0</v>
      </c>
      <c r="HY20" t="s">
        <v>422</v>
      </c>
      <c r="HZ20" t="s">
        <v>423</v>
      </c>
      <c r="IA20" t="s">
        <v>424</v>
      </c>
      <c r="IB20" t="s">
        <v>424</v>
      </c>
      <c r="IC20" t="s">
        <v>424</v>
      </c>
      <c r="ID20" t="s">
        <v>424</v>
      </c>
      <c r="IE20">
        <v>0</v>
      </c>
      <c r="IF20">
        <v>100</v>
      </c>
      <c r="IG20">
        <v>100</v>
      </c>
      <c r="IH20">
        <v>-1.052</v>
      </c>
      <c r="II20">
        <v>0.1774</v>
      </c>
      <c r="IJ20">
        <v>-0.65057357975483798</v>
      </c>
      <c r="IK20">
        <v>-4.1229525807901877E-3</v>
      </c>
      <c r="IL20">
        <v>1.8448211998558991E-6</v>
      </c>
      <c r="IM20">
        <v>-3.7020276670297668E-10</v>
      </c>
      <c r="IN20">
        <v>-0.13188079443327741</v>
      </c>
      <c r="IO20">
        <v>-1.3488639696665739E-2</v>
      </c>
      <c r="IP20">
        <v>1.1588640342490499E-3</v>
      </c>
      <c r="IQ20">
        <v>-1.0624341560077559E-5</v>
      </c>
      <c r="IR20">
        <v>2</v>
      </c>
      <c r="IS20">
        <v>1915</v>
      </c>
      <c r="IT20">
        <v>1</v>
      </c>
      <c r="IU20">
        <v>42</v>
      </c>
      <c r="IV20">
        <v>0.8</v>
      </c>
      <c r="IW20">
        <v>0.5</v>
      </c>
      <c r="IX20">
        <v>0.40893600000000002</v>
      </c>
      <c r="IY20">
        <v>2.4841299999999999</v>
      </c>
      <c r="IZ20">
        <v>1.49414</v>
      </c>
      <c r="JA20">
        <v>2.3010299999999999</v>
      </c>
      <c r="JB20">
        <v>1.54419</v>
      </c>
      <c r="JC20">
        <v>2.3571800000000001</v>
      </c>
      <c r="JD20">
        <v>40.732300000000002</v>
      </c>
      <c r="JE20">
        <v>15.016400000000001</v>
      </c>
      <c r="JF20">
        <v>18</v>
      </c>
      <c r="JG20">
        <v>512.49599999999998</v>
      </c>
      <c r="JH20">
        <v>456.69099999999997</v>
      </c>
      <c r="JI20">
        <v>24.573399999999999</v>
      </c>
      <c r="JJ20">
        <v>32.215600000000002</v>
      </c>
      <c r="JK20">
        <v>30.000499999999999</v>
      </c>
      <c r="JL20">
        <v>32.167099999999998</v>
      </c>
      <c r="JM20">
        <v>32.139899999999997</v>
      </c>
      <c r="JN20">
        <v>8.2620900000000006</v>
      </c>
      <c r="JO20">
        <v>31.1235</v>
      </c>
      <c r="JP20">
        <v>39.713900000000002</v>
      </c>
      <c r="JQ20">
        <v>24.572500000000002</v>
      </c>
      <c r="JR20">
        <v>120</v>
      </c>
      <c r="JS20">
        <v>22.586400000000001</v>
      </c>
      <c r="JT20">
        <v>97.447299999999998</v>
      </c>
      <c r="JU20">
        <v>98.424599999999998</v>
      </c>
    </row>
    <row r="21" spans="1:281" x14ac:dyDescent="0.25">
      <c r="A21">
        <v>5</v>
      </c>
      <c r="B21">
        <v>1691159722.5999999</v>
      </c>
      <c r="C21">
        <v>477</v>
      </c>
      <c r="D21" t="s">
        <v>440</v>
      </c>
      <c r="E21" t="s">
        <v>441</v>
      </c>
      <c r="F21" t="s">
        <v>413</v>
      </c>
      <c r="G21" t="s">
        <v>31</v>
      </c>
      <c r="H21" t="s">
        <v>414</v>
      </c>
      <c r="I21" t="s">
        <v>415</v>
      </c>
      <c r="J21">
        <v>1691159722.5999999</v>
      </c>
      <c r="K21">
        <f t="shared" si="0"/>
        <v>5.4474737268706431E-3</v>
      </c>
      <c r="L21">
        <f t="shared" si="1"/>
        <v>5.4474737268706432</v>
      </c>
      <c r="M21">
        <f t="shared" si="2"/>
        <v>9.7385263222853062</v>
      </c>
      <c r="N21">
        <f t="shared" si="3"/>
        <v>58.083500000000001</v>
      </c>
      <c r="O21">
        <f t="shared" si="4"/>
        <v>15.481130464376658</v>
      </c>
      <c r="P21">
        <f t="shared" si="5"/>
        <v>1.5365466449149465</v>
      </c>
      <c r="Q21">
        <f t="shared" si="6"/>
        <v>5.7649541327284997</v>
      </c>
      <c r="R21">
        <f t="shared" si="7"/>
        <v>0.3973976981784601</v>
      </c>
      <c r="S21">
        <f t="shared" si="8"/>
        <v>2.9102607618006462</v>
      </c>
      <c r="T21">
        <f t="shared" si="9"/>
        <v>0.36952537441084782</v>
      </c>
      <c r="U21">
        <f t="shared" si="10"/>
        <v>0.23329446522488376</v>
      </c>
      <c r="V21">
        <f t="shared" si="11"/>
        <v>344.36019999340135</v>
      </c>
      <c r="W21">
        <f t="shared" si="12"/>
        <v>30.951506670206722</v>
      </c>
      <c r="X21">
        <f t="shared" si="13"/>
        <v>29.985399999999998</v>
      </c>
      <c r="Y21">
        <f t="shared" si="14"/>
        <v>4.2568782133199878</v>
      </c>
      <c r="Z21">
        <f t="shared" si="15"/>
        <v>65.53006848460538</v>
      </c>
      <c r="AA21">
        <f t="shared" si="16"/>
        <v>2.8460661506378999</v>
      </c>
      <c r="AB21">
        <f t="shared" si="17"/>
        <v>4.3431453933342228</v>
      </c>
      <c r="AC21">
        <f t="shared" si="18"/>
        <v>1.4108120626820879</v>
      </c>
      <c r="AD21">
        <f t="shared" si="19"/>
        <v>-240.23359135499535</v>
      </c>
      <c r="AE21">
        <f t="shared" si="20"/>
        <v>54.867222973112021</v>
      </c>
      <c r="AF21">
        <f t="shared" si="21"/>
        <v>4.1986454005454776</v>
      </c>
      <c r="AG21">
        <f t="shared" si="22"/>
        <v>163.19247701206353</v>
      </c>
      <c r="AH21">
        <v>0</v>
      </c>
      <c r="AI21">
        <v>0</v>
      </c>
      <c r="AJ21">
        <f t="shared" si="23"/>
        <v>1</v>
      </c>
      <c r="AK21">
        <f t="shared" si="24"/>
        <v>0</v>
      </c>
      <c r="AL21">
        <f t="shared" si="25"/>
        <v>51728.161468306433</v>
      </c>
      <c r="AM21" t="s">
        <v>416</v>
      </c>
      <c r="AN21">
        <v>10235.299999999999</v>
      </c>
      <c r="AO21">
        <v>594.051923076923</v>
      </c>
      <c r="AP21">
        <v>2007.77</v>
      </c>
      <c r="AQ21">
        <f t="shared" si="26"/>
        <v>0.70412351859180933</v>
      </c>
      <c r="AR21">
        <v>-0.54275787784279261</v>
      </c>
      <c r="AS21" t="s">
        <v>442</v>
      </c>
      <c r="AT21">
        <v>10176.299999999999</v>
      </c>
      <c r="AU21">
        <v>643.44615384615395</v>
      </c>
      <c r="AV21">
        <v>724.49469392676372</v>
      </c>
      <c r="AW21">
        <f t="shared" si="27"/>
        <v>0.11186905958044546</v>
      </c>
      <c r="AX21">
        <v>0.5</v>
      </c>
      <c r="AY21">
        <f t="shared" si="28"/>
        <v>1513.1204999967006</v>
      </c>
      <c r="AZ21">
        <f t="shared" si="29"/>
        <v>9.7385263222853062</v>
      </c>
      <c r="BA21">
        <f t="shared" si="30"/>
        <v>84.635683683262158</v>
      </c>
      <c r="BB21">
        <f t="shared" si="31"/>
        <v>6.794755738323892E-3</v>
      </c>
      <c r="BC21">
        <f t="shared" si="32"/>
        <v>1.7712694334831904</v>
      </c>
      <c r="BD21">
        <f t="shared" si="33"/>
        <v>389.77816455719181</v>
      </c>
      <c r="BE21" t="s">
        <v>443</v>
      </c>
      <c r="BF21">
        <v>513.53</v>
      </c>
      <c r="BG21">
        <f t="shared" si="34"/>
        <v>513.53</v>
      </c>
      <c r="BH21">
        <f t="shared" si="35"/>
        <v>0.29118873567359671</v>
      </c>
      <c r="BI21">
        <f t="shared" si="36"/>
        <v>0.38418058762356566</v>
      </c>
      <c r="BJ21">
        <f t="shared" si="37"/>
        <v>0.85881471923736219</v>
      </c>
      <c r="BK21">
        <f t="shared" si="38"/>
        <v>0.62133408814129576</v>
      </c>
      <c r="BL21">
        <f t="shared" si="39"/>
        <v>0.90773070460148153</v>
      </c>
      <c r="BM21">
        <f t="shared" si="40"/>
        <v>0.30661191458376597</v>
      </c>
      <c r="BN21">
        <f t="shared" si="41"/>
        <v>0.69338808541623398</v>
      </c>
      <c r="BO21">
        <v>12477</v>
      </c>
      <c r="BP21">
        <v>290.00000000000011</v>
      </c>
      <c r="BQ21">
        <v>701.08</v>
      </c>
      <c r="BR21">
        <v>205</v>
      </c>
      <c r="BS21">
        <v>10176.299999999999</v>
      </c>
      <c r="BT21">
        <v>700.69</v>
      </c>
      <c r="BU21">
        <v>0.39</v>
      </c>
      <c r="BV21">
        <v>300.00000000000011</v>
      </c>
      <c r="BW21">
        <v>24.2</v>
      </c>
      <c r="BX21">
        <v>724.49469392676372</v>
      </c>
      <c r="BY21">
        <v>2.0264566402484552</v>
      </c>
      <c r="BZ21">
        <v>-24.223274180822461</v>
      </c>
      <c r="CA21">
        <v>1.834810997298044</v>
      </c>
      <c r="CB21">
        <v>0.86158775068722537</v>
      </c>
      <c r="CC21">
        <v>-6.9474307007786496E-3</v>
      </c>
      <c r="CD21">
        <v>289.99999999999989</v>
      </c>
      <c r="CE21">
        <v>698</v>
      </c>
      <c r="CF21">
        <v>685</v>
      </c>
      <c r="CG21">
        <v>10146.6</v>
      </c>
      <c r="CH21">
        <v>700.62</v>
      </c>
      <c r="CI21">
        <v>-2.62</v>
      </c>
      <c r="CW21">
        <f t="shared" si="42"/>
        <v>1799.92</v>
      </c>
      <c r="CX21">
        <f t="shared" si="43"/>
        <v>1513.1204999967006</v>
      </c>
      <c r="CY21">
        <f t="shared" si="44"/>
        <v>0.84065986265872961</v>
      </c>
      <c r="CZ21">
        <f t="shared" si="45"/>
        <v>0.1913197253174593</v>
      </c>
      <c r="DA21">
        <v>6</v>
      </c>
      <c r="DB21">
        <v>0.5</v>
      </c>
      <c r="DC21" t="s">
        <v>419</v>
      </c>
      <c r="DD21">
        <v>2</v>
      </c>
      <c r="DE21">
        <v>1691159722.5999999</v>
      </c>
      <c r="DF21">
        <v>58.083500000000001</v>
      </c>
      <c r="DG21">
        <v>70.145200000000003</v>
      </c>
      <c r="DH21">
        <v>28.674900000000001</v>
      </c>
      <c r="DI21">
        <v>22.3276</v>
      </c>
      <c r="DJ21">
        <v>59.114899999999999</v>
      </c>
      <c r="DK21">
        <v>28.498799999999999</v>
      </c>
      <c r="DL21">
        <v>500.17500000000001</v>
      </c>
      <c r="DM21">
        <v>99.1524</v>
      </c>
      <c r="DN21">
        <v>0.100471</v>
      </c>
      <c r="DO21">
        <v>30.335100000000001</v>
      </c>
      <c r="DP21">
        <v>29.985399999999998</v>
      </c>
      <c r="DQ21">
        <v>999.9</v>
      </c>
      <c r="DR21">
        <v>0</v>
      </c>
      <c r="DS21">
        <v>0</v>
      </c>
      <c r="DT21">
        <v>9975</v>
      </c>
      <c r="DU21">
        <v>0</v>
      </c>
      <c r="DV21">
        <v>1005.02</v>
      </c>
      <c r="DW21">
        <v>-12.0617</v>
      </c>
      <c r="DX21">
        <v>59.798200000000001</v>
      </c>
      <c r="DY21">
        <v>71.747100000000003</v>
      </c>
      <c r="DZ21">
        <v>6.3472900000000001</v>
      </c>
      <c r="EA21">
        <v>70.145200000000003</v>
      </c>
      <c r="EB21">
        <v>22.3276</v>
      </c>
      <c r="EC21">
        <v>2.8431799999999998</v>
      </c>
      <c r="ED21">
        <v>2.2138399999999998</v>
      </c>
      <c r="EE21">
        <v>23.137</v>
      </c>
      <c r="EF21">
        <v>19.062799999999999</v>
      </c>
      <c r="EG21">
        <v>1799.92</v>
      </c>
      <c r="EH21">
        <v>0.97800600000000004</v>
      </c>
      <c r="EI21">
        <v>2.1994199999999998E-2</v>
      </c>
      <c r="EJ21">
        <v>0</v>
      </c>
      <c r="EK21">
        <v>644.005</v>
      </c>
      <c r="EL21">
        <v>0.100005</v>
      </c>
      <c r="EM21">
        <v>15761.8</v>
      </c>
      <c r="EN21">
        <v>14861.9</v>
      </c>
      <c r="EO21">
        <v>49.936999999999998</v>
      </c>
      <c r="EP21">
        <v>51.061999999999998</v>
      </c>
      <c r="EQ21">
        <v>50.811999999999998</v>
      </c>
      <c r="ER21">
        <v>49.875</v>
      </c>
      <c r="ES21">
        <v>50.875</v>
      </c>
      <c r="ET21">
        <v>1760.23</v>
      </c>
      <c r="EU21">
        <v>39.590000000000003</v>
      </c>
      <c r="EV21">
        <v>0</v>
      </c>
      <c r="EW21">
        <v>134.60000014305109</v>
      </c>
      <c r="EX21">
        <v>0</v>
      </c>
      <c r="EY21">
        <v>643.44615384615395</v>
      </c>
      <c r="EZ21">
        <v>-4.8717948266332654</v>
      </c>
      <c r="FA21">
        <v>1740.1948734655939</v>
      </c>
      <c r="FB21">
        <v>15631.403846153849</v>
      </c>
      <c r="FC21">
        <v>15</v>
      </c>
      <c r="FD21">
        <v>1691159693.5999999</v>
      </c>
      <c r="FE21" t="s">
        <v>444</v>
      </c>
      <c r="FF21">
        <v>1691159684.5999999</v>
      </c>
      <c r="FG21">
        <v>1691159693.5999999</v>
      </c>
      <c r="FH21">
        <v>10</v>
      </c>
      <c r="FI21">
        <v>-0.14299999999999999</v>
      </c>
      <c r="FJ21">
        <v>-3.0000000000000001E-3</v>
      </c>
      <c r="FK21">
        <v>-1.0780000000000001</v>
      </c>
      <c r="FL21">
        <v>2.1000000000000001E-2</v>
      </c>
      <c r="FM21">
        <v>70</v>
      </c>
      <c r="FN21">
        <v>22</v>
      </c>
      <c r="FO21">
        <v>0.53</v>
      </c>
      <c r="FP21">
        <v>0.03</v>
      </c>
      <c r="FQ21">
        <v>9.7008625705148823</v>
      </c>
      <c r="FR21">
        <v>-0.15747485052917951</v>
      </c>
      <c r="FS21">
        <v>6.0826050204551667E-2</v>
      </c>
      <c r="FT21">
        <v>1</v>
      </c>
      <c r="FU21">
        <v>0.39112378447319768</v>
      </c>
      <c r="FV21">
        <v>3.5287261038161731E-2</v>
      </c>
      <c r="FW21">
        <v>4.1274004851307904E-3</v>
      </c>
      <c r="FX21">
        <v>1</v>
      </c>
      <c r="FY21">
        <v>2</v>
      </c>
      <c r="FZ21">
        <v>2</v>
      </c>
      <c r="GA21" t="s">
        <v>421</v>
      </c>
      <c r="GB21">
        <v>2.91954</v>
      </c>
      <c r="GC21">
        <v>2.8301400000000001</v>
      </c>
      <c r="GD21">
        <v>1.6273699999999999E-2</v>
      </c>
      <c r="GE21">
        <v>1.88159E-2</v>
      </c>
      <c r="GF21">
        <v>0.13394700000000001</v>
      </c>
      <c r="GG21">
        <v>0.1087</v>
      </c>
      <c r="GH21">
        <v>25389.3</v>
      </c>
      <c r="GI21">
        <v>31614.2</v>
      </c>
      <c r="GJ21">
        <v>23241.7</v>
      </c>
      <c r="GK21">
        <v>29532.3</v>
      </c>
      <c r="GL21">
        <v>27439.9</v>
      </c>
      <c r="GM21">
        <v>37390</v>
      </c>
      <c r="GN21">
        <v>32856.400000000001</v>
      </c>
      <c r="GO21">
        <v>43758</v>
      </c>
      <c r="GP21">
        <v>1.9688000000000001</v>
      </c>
      <c r="GQ21">
        <v>1.8332999999999999</v>
      </c>
      <c r="GR21">
        <v>1.71065E-2</v>
      </c>
      <c r="GS21">
        <v>0</v>
      </c>
      <c r="GT21">
        <v>29.707000000000001</v>
      </c>
      <c r="GU21">
        <v>999.9</v>
      </c>
      <c r="GV21">
        <v>49.9</v>
      </c>
      <c r="GW21">
        <v>36.299999999999997</v>
      </c>
      <c r="GX21">
        <v>30.538900000000002</v>
      </c>
      <c r="GY21">
        <v>61.2849</v>
      </c>
      <c r="GZ21">
        <v>38.629800000000003</v>
      </c>
      <c r="HA21">
        <v>1</v>
      </c>
      <c r="HB21">
        <v>0.388465</v>
      </c>
      <c r="HC21">
        <v>2.85792</v>
      </c>
      <c r="HD21">
        <v>20.293399999999998</v>
      </c>
      <c r="HE21">
        <v>5.2125000000000004</v>
      </c>
      <c r="HF21">
        <v>11.872199999999999</v>
      </c>
      <c r="HG21">
        <v>4.9854000000000003</v>
      </c>
      <c r="HH21">
        <v>3.2839999999999998</v>
      </c>
      <c r="HI21">
        <v>9999</v>
      </c>
      <c r="HJ21">
        <v>9999</v>
      </c>
      <c r="HK21">
        <v>9999</v>
      </c>
      <c r="HL21">
        <v>999.9</v>
      </c>
      <c r="HM21">
        <v>1.8545700000000001</v>
      </c>
      <c r="HN21">
        <v>1.86066</v>
      </c>
      <c r="HO21">
        <v>1.8580399999999999</v>
      </c>
      <c r="HP21">
        <v>1.8592599999999999</v>
      </c>
      <c r="HQ21">
        <v>1.8585199999999999</v>
      </c>
      <c r="HR21">
        <v>1.8591299999999999</v>
      </c>
      <c r="HS21">
        <v>1.85745</v>
      </c>
      <c r="HT21">
        <v>1.8608100000000001</v>
      </c>
      <c r="HU21">
        <v>5</v>
      </c>
      <c r="HV21">
        <v>0</v>
      </c>
      <c r="HW21">
        <v>0</v>
      </c>
      <c r="HX21">
        <v>0</v>
      </c>
      <c r="HY21" t="s">
        <v>422</v>
      </c>
      <c r="HZ21" t="s">
        <v>423</v>
      </c>
      <c r="IA21" t="s">
        <v>424</v>
      </c>
      <c r="IB21" t="s">
        <v>424</v>
      </c>
      <c r="IC21" t="s">
        <v>424</v>
      </c>
      <c r="ID21" t="s">
        <v>424</v>
      </c>
      <c r="IE21">
        <v>0</v>
      </c>
      <c r="IF21">
        <v>100</v>
      </c>
      <c r="IG21">
        <v>100</v>
      </c>
      <c r="IH21">
        <v>-1.0309999999999999</v>
      </c>
      <c r="II21">
        <v>0.17610000000000001</v>
      </c>
      <c r="IJ21">
        <v>-0.79400804024845462</v>
      </c>
      <c r="IK21">
        <v>-4.1229525807901877E-3</v>
      </c>
      <c r="IL21">
        <v>1.8448211998558991E-6</v>
      </c>
      <c r="IM21">
        <v>-3.7020276670297668E-10</v>
      </c>
      <c r="IN21">
        <v>-0.1347863706898291</v>
      </c>
      <c r="IO21">
        <v>-1.3488639696665739E-2</v>
      </c>
      <c r="IP21">
        <v>1.1588640342490499E-3</v>
      </c>
      <c r="IQ21">
        <v>-1.0624341560077559E-5</v>
      </c>
      <c r="IR21">
        <v>2</v>
      </c>
      <c r="IS21">
        <v>1915</v>
      </c>
      <c r="IT21">
        <v>1</v>
      </c>
      <c r="IU21">
        <v>42</v>
      </c>
      <c r="IV21">
        <v>0.6</v>
      </c>
      <c r="IW21">
        <v>0.5</v>
      </c>
      <c r="IX21">
        <v>0.29785200000000001</v>
      </c>
      <c r="IY21">
        <v>2.49878</v>
      </c>
      <c r="IZ21">
        <v>1.49414</v>
      </c>
      <c r="JA21">
        <v>2.3010299999999999</v>
      </c>
      <c r="JB21">
        <v>1.54419</v>
      </c>
      <c r="JC21">
        <v>2.4450699999999999</v>
      </c>
      <c r="JD21">
        <v>40.835000000000001</v>
      </c>
      <c r="JE21">
        <v>14.998900000000001</v>
      </c>
      <c r="JF21">
        <v>18</v>
      </c>
      <c r="JG21">
        <v>512.827</v>
      </c>
      <c r="JH21">
        <v>455.17700000000002</v>
      </c>
      <c r="JI21">
        <v>24.800699999999999</v>
      </c>
      <c r="JJ21">
        <v>32.290900000000001</v>
      </c>
      <c r="JK21">
        <v>30</v>
      </c>
      <c r="JL21">
        <v>32.2393</v>
      </c>
      <c r="JM21">
        <v>32.209200000000003</v>
      </c>
      <c r="JN21">
        <v>6.0375800000000002</v>
      </c>
      <c r="JO21">
        <v>30.7393</v>
      </c>
      <c r="JP21">
        <v>36.5182</v>
      </c>
      <c r="JQ21">
        <v>24.808700000000002</v>
      </c>
      <c r="JR21">
        <v>70</v>
      </c>
      <c r="JS21">
        <v>22.287400000000002</v>
      </c>
      <c r="JT21">
        <v>97.4559</v>
      </c>
      <c r="JU21">
        <v>98.412199999999999</v>
      </c>
    </row>
    <row r="22" spans="1:281" x14ac:dyDescent="0.25">
      <c r="A22">
        <v>6</v>
      </c>
      <c r="B22">
        <v>1691159843.5</v>
      </c>
      <c r="C22">
        <v>597.90000009536743</v>
      </c>
      <c r="D22" t="s">
        <v>445</v>
      </c>
      <c r="E22" t="s">
        <v>446</v>
      </c>
      <c r="F22" t="s">
        <v>413</v>
      </c>
      <c r="G22" t="s">
        <v>31</v>
      </c>
      <c r="H22" t="s">
        <v>414</v>
      </c>
      <c r="I22" t="s">
        <v>415</v>
      </c>
      <c r="J22">
        <v>1691159843.5</v>
      </c>
      <c r="K22">
        <f t="shared" si="0"/>
        <v>5.622781242360755E-3</v>
      </c>
      <c r="L22">
        <f t="shared" si="1"/>
        <v>5.6227812423607553</v>
      </c>
      <c r="M22">
        <f t="shared" si="2"/>
        <v>4.4283363253515375</v>
      </c>
      <c r="N22">
        <f t="shared" si="3"/>
        <v>24.608899999999998</v>
      </c>
      <c r="O22">
        <f t="shared" si="4"/>
        <v>5.8647602795839475</v>
      </c>
      <c r="P22">
        <f t="shared" si="5"/>
        <v>0.58209359170423591</v>
      </c>
      <c r="Q22">
        <f t="shared" si="6"/>
        <v>2.4425010240839002</v>
      </c>
      <c r="R22">
        <f t="shared" si="7"/>
        <v>0.41102876878615519</v>
      </c>
      <c r="S22">
        <f t="shared" si="8"/>
        <v>2.9150752520654848</v>
      </c>
      <c r="T22">
        <f t="shared" si="9"/>
        <v>0.38133356601189838</v>
      </c>
      <c r="U22">
        <f t="shared" si="10"/>
        <v>0.2408224519975144</v>
      </c>
      <c r="V22">
        <f t="shared" si="11"/>
        <v>344.38681318970191</v>
      </c>
      <c r="W22">
        <f t="shared" si="12"/>
        <v>30.946005893784214</v>
      </c>
      <c r="X22">
        <f t="shared" si="13"/>
        <v>30.0075</v>
      </c>
      <c r="Y22">
        <f t="shared" si="14"/>
        <v>4.2622854925660194</v>
      </c>
      <c r="Z22">
        <f t="shared" si="15"/>
        <v>65.495261994607773</v>
      </c>
      <c r="AA22">
        <f t="shared" si="16"/>
        <v>2.8512437032521003</v>
      </c>
      <c r="AB22">
        <f t="shared" si="17"/>
        <v>4.3533587261424245</v>
      </c>
      <c r="AC22">
        <f t="shared" si="18"/>
        <v>1.4110417893139191</v>
      </c>
      <c r="AD22">
        <f t="shared" si="19"/>
        <v>-247.9646527881093</v>
      </c>
      <c r="AE22">
        <f t="shared" si="20"/>
        <v>57.928268134276145</v>
      </c>
      <c r="AF22">
        <f t="shared" si="21"/>
        <v>4.4269487742712288</v>
      </c>
      <c r="AG22">
        <f t="shared" si="22"/>
        <v>158.77737731014</v>
      </c>
      <c r="AH22">
        <v>0</v>
      </c>
      <c r="AI22">
        <v>0</v>
      </c>
      <c r="AJ22">
        <f t="shared" si="23"/>
        <v>1</v>
      </c>
      <c r="AK22">
        <f t="shared" si="24"/>
        <v>0</v>
      </c>
      <c r="AL22">
        <f t="shared" si="25"/>
        <v>51857.963327109872</v>
      </c>
      <c r="AM22" t="s">
        <v>416</v>
      </c>
      <c r="AN22">
        <v>10235.299999999999</v>
      </c>
      <c r="AO22">
        <v>594.051923076923</v>
      </c>
      <c r="AP22">
        <v>2007.77</v>
      </c>
      <c r="AQ22">
        <f t="shared" si="26"/>
        <v>0.70412351859180933</v>
      </c>
      <c r="AR22">
        <v>-0.54275787784279261</v>
      </c>
      <c r="AS22" t="s">
        <v>447</v>
      </c>
      <c r="AT22">
        <v>10185.799999999999</v>
      </c>
      <c r="AU22">
        <v>653.55640000000005</v>
      </c>
      <c r="AV22">
        <v>709.37783498768772</v>
      </c>
      <c r="AW22">
        <f t="shared" si="27"/>
        <v>7.8690695190182458E-2</v>
      </c>
      <c r="AX22">
        <v>0.5</v>
      </c>
      <c r="AY22">
        <f t="shared" si="28"/>
        <v>1513.2381065948507</v>
      </c>
      <c r="AZ22">
        <f t="shared" si="29"/>
        <v>4.4283363253515375</v>
      </c>
      <c r="BA22">
        <f t="shared" si="30"/>
        <v>59.538879298112114</v>
      </c>
      <c r="BB22">
        <f t="shared" si="31"/>
        <v>3.2850707245143901E-3</v>
      </c>
      <c r="BC22">
        <f t="shared" si="32"/>
        <v>1.8303252525994806</v>
      </c>
      <c r="BD22">
        <f t="shared" si="33"/>
        <v>385.36009063046805</v>
      </c>
      <c r="BE22" t="s">
        <v>448</v>
      </c>
      <c r="BF22">
        <v>532.64</v>
      </c>
      <c r="BG22">
        <f t="shared" si="34"/>
        <v>532.64</v>
      </c>
      <c r="BH22">
        <f t="shared" si="35"/>
        <v>0.24914485098164263</v>
      </c>
      <c r="BI22">
        <f t="shared" si="36"/>
        <v>0.31584315260836149</v>
      </c>
      <c r="BJ22">
        <f t="shared" si="37"/>
        <v>0.88018829866676984</v>
      </c>
      <c r="BK22">
        <f t="shared" si="38"/>
        <v>0.48403202769279119</v>
      </c>
      <c r="BL22">
        <f t="shared" si="39"/>
        <v>0.91842368447196432</v>
      </c>
      <c r="BM22">
        <f t="shared" si="40"/>
        <v>0.25740807802558069</v>
      </c>
      <c r="BN22">
        <f t="shared" si="41"/>
        <v>0.74259192197441926</v>
      </c>
      <c r="BO22">
        <v>12479</v>
      </c>
      <c r="BP22">
        <v>290.00000000000011</v>
      </c>
      <c r="BQ22">
        <v>694.68</v>
      </c>
      <c r="BR22">
        <v>145</v>
      </c>
      <c r="BS22">
        <v>10185.799999999999</v>
      </c>
      <c r="BT22">
        <v>692.98</v>
      </c>
      <c r="BU22">
        <v>1.7</v>
      </c>
      <c r="BV22">
        <v>300.00000000000011</v>
      </c>
      <c r="BW22">
        <v>24.2</v>
      </c>
      <c r="BX22">
        <v>709.37783498768772</v>
      </c>
      <c r="BY22">
        <v>1.8484923082327309</v>
      </c>
      <c r="BZ22">
        <v>-16.70115838581604</v>
      </c>
      <c r="CA22">
        <v>1.673690578211793</v>
      </c>
      <c r="CB22">
        <v>0.78051831608943778</v>
      </c>
      <c r="CC22">
        <v>-6.9474211345940022E-3</v>
      </c>
      <c r="CD22">
        <v>289.99999999999989</v>
      </c>
      <c r="CE22">
        <v>691.59</v>
      </c>
      <c r="CF22">
        <v>705</v>
      </c>
      <c r="CG22">
        <v>10145.6</v>
      </c>
      <c r="CH22">
        <v>692.92</v>
      </c>
      <c r="CI22">
        <v>-1.33</v>
      </c>
      <c r="CW22">
        <f t="shared" si="42"/>
        <v>1800.06</v>
      </c>
      <c r="CX22">
        <f t="shared" si="43"/>
        <v>1513.2381065948507</v>
      </c>
      <c r="CY22">
        <f t="shared" si="44"/>
        <v>0.84065981500330589</v>
      </c>
      <c r="CZ22">
        <f t="shared" si="45"/>
        <v>0.19131963000661195</v>
      </c>
      <c r="DA22">
        <v>6</v>
      </c>
      <c r="DB22">
        <v>0.5</v>
      </c>
      <c r="DC22" t="s">
        <v>419</v>
      </c>
      <c r="DD22">
        <v>2</v>
      </c>
      <c r="DE22">
        <v>1691159843.5</v>
      </c>
      <c r="DF22">
        <v>24.608899999999998</v>
      </c>
      <c r="DG22">
        <v>30.086099999999998</v>
      </c>
      <c r="DH22">
        <v>28.7271</v>
      </c>
      <c r="DI22">
        <v>22.177</v>
      </c>
      <c r="DJ22">
        <v>25.603999999999999</v>
      </c>
      <c r="DK22">
        <v>28.5486</v>
      </c>
      <c r="DL22">
        <v>500.26</v>
      </c>
      <c r="DM22">
        <v>99.1524</v>
      </c>
      <c r="DN22">
        <v>0.100351</v>
      </c>
      <c r="DO22">
        <v>30.376100000000001</v>
      </c>
      <c r="DP22">
        <v>30.0075</v>
      </c>
      <c r="DQ22">
        <v>999.9</v>
      </c>
      <c r="DR22">
        <v>0</v>
      </c>
      <c r="DS22">
        <v>0</v>
      </c>
      <c r="DT22">
        <v>10002.5</v>
      </c>
      <c r="DU22">
        <v>0</v>
      </c>
      <c r="DV22">
        <v>1042.93</v>
      </c>
      <c r="DW22">
        <v>-5.4771999999999998</v>
      </c>
      <c r="DX22">
        <v>25.3367</v>
      </c>
      <c r="DY22">
        <v>30.7684</v>
      </c>
      <c r="DZ22">
        <v>6.5500800000000003</v>
      </c>
      <c r="EA22">
        <v>30.086099999999998</v>
      </c>
      <c r="EB22">
        <v>22.177</v>
      </c>
      <c r="EC22">
        <v>2.84836</v>
      </c>
      <c r="ED22">
        <v>2.1989000000000001</v>
      </c>
      <c r="EE22">
        <v>23.167100000000001</v>
      </c>
      <c r="EF22">
        <v>18.9543</v>
      </c>
      <c r="EG22">
        <v>1800.06</v>
      </c>
      <c r="EH22">
        <v>0.97800200000000004</v>
      </c>
      <c r="EI22">
        <v>2.1997599999999999E-2</v>
      </c>
      <c r="EJ22">
        <v>0</v>
      </c>
      <c r="EK22">
        <v>654.53</v>
      </c>
      <c r="EL22">
        <v>0.100005</v>
      </c>
      <c r="EM22">
        <v>16023.5</v>
      </c>
      <c r="EN22">
        <v>14863.1</v>
      </c>
      <c r="EO22">
        <v>50</v>
      </c>
      <c r="EP22">
        <v>51.125</v>
      </c>
      <c r="EQ22">
        <v>50.875</v>
      </c>
      <c r="ER22">
        <v>49.875</v>
      </c>
      <c r="ES22">
        <v>50.875</v>
      </c>
      <c r="ET22">
        <v>1760.36</v>
      </c>
      <c r="EU22">
        <v>39.590000000000003</v>
      </c>
      <c r="EV22">
        <v>0</v>
      </c>
      <c r="EW22">
        <v>118.7999999523163</v>
      </c>
      <c r="EX22">
        <v>0</v>
      </c>
      <c r="EY22">
        <v>653.55640000000005</v>
      </c>
      <c r="EZ22">
        <v>-12.07153848287118</v>
      </c>
      <c r="FA22">
        <v>403.4538460236061</v>
      </c>
      <c r="FB22">
        <v>16005.896000000001</v>
      </c>
      <c r="FC22">
        <v>15</v>
      </c>
      <c r="FD22">
        <v>1691159812.5</v>
      </c>
      <c r="FE22" t="s">
        <v>449</v>
      </c>
      <c r="FF22">
        <v>1691159807.5</v>
      </c>
      <c r="FG22">
        <v>1691159812.5</v>
      </c>
      <c r="FH22">
        <v>11</v>
      </c>
      <c r="FI22">
        <v>-9.7000000000000003E-2</v>
      </c>
      <c r="FJ22">
        <v>1E-3</v>
      </c>
      <c r="FK22">
        <v>-1.016</v>
      </c>
      <c r="FL22">
        <v>1.9E-2</v>
      </c>
      <c r="FM22">
        <v>30</v>
      </c>
      <c r="FN22">
        <v>22</v>
      </c>
      <c r="FO22">
        <v>1.03</v>
      </c>
      <c r="FP22">
        <v>0.04</v>
      </c>
      <c r="FQ22">
        <v>4.5143071324188258</v>
      </c>
      <c r="FR22">
        <v>-0.25993840764603959</v>
      </c>
      <c r="FS22">
        <v>4.1265642029157189E-2</v>
      </c>
      <c r="FT22">
        <v>1</v>
      </c>
      <c r="FU22">
        <v>0.40958709440817292</v>
      </c>
      <c r="FV22">
        <v>3.5539186410695783E-2</v>
      </c>
      <c r="FW22">
        <v>3.6602674344073552E-3</v>
      </c>
      <c r="FX22">
        <v>1</v>
      </c>
      <c r="FY22">
        <v>2</v>
      </c>
      <c r="FZ22">
        <v>2</v>
      </c>
      <c r="GA22" t="s">
        <v>421</v>
      </c>
      <c r="GB22">
        <v>2.9197299999999999</v>
      </c>
      <c r="GC22">
        <v>2.83026</v>
      </c>
      <c r="GD22">
        <v>7.1250599999999999E-3</v>
      </c>
      <c r="GE22">
        <v>8.1778200000000006E-3</v>
      </c>
      <c r="GF22">
        <v>0.134099</v>
      </c>
      <c r="GG22">
        <v>0.10817300000000001</v>
      </c>
      <c r="GH22">
        <v>25628.400000000001</v>
      </c>
      <c r="GI22">
        <v>31956.799999999999</v>
      </c>
      <c r="GJ22">
        <v>23244.799999999999</v>
      </c>
      <c r="GK22">
        <v>29532.6</v>
      </c>
      <c r="GL22">
        <v>27438.6</v>
      </c>
      <c r="GM22">
        <v>37411.800000000003</v>
      </c>
      <c r="GN22">
        <v>32861.4</v>
      </c>
      <c r="GO22">
        <v>43758.7</v>
      </c>
      <c r="GP22">
        <v>1.9686999999999999</v>
      </c>
      <c r="GQ22">
        <v>1.8311999999999999</v>
      </c>
      <c r="GR22">
        <v>1.49906E-2</v>
      </c>
      <c r="GS22">
        <v>0</v>
      </c>
      <c r="GT22">
        <v>29.763500000000001</v>
      </c>
      <c r="GU22">
        <v>999.9</v>
      </c>
      <c r="GV22">
        <v>49</v>
      </c>
      <c r="GW22">
        <v>36.4</v>
      </c>
      <c r="GX22">
        <v>30.151299999999999</v>
      </c>
      <c r="GY22">
        <v>61.064900000000002</v>
      </c>
      <c r="GZ22">
        <v>38.581699999999998</v>
      </c>
      <c r="HA22">
        <v>1</v>
      </c>
      <c r="HB22">
        <v>0.39046700000000001</v>
      </c>
      <c r="HC22">
        <v>3.0628299999999999</v>
      </c>
      <c r="HD22">
        <v>20.2913</v>
      </c>
      <c r="HE22">
        <v>5.2100999999999997</v>
      </c>
      <c r="HF22">
        <v>11.872199999999999</v>
      </c>
      <c r="HG22">
        <v>4.9843999999999999</v>
      </c>
      <c r="HH22">
        <v>3.2839999999999998</v>
      </c>
      <c r="HI22">
        <v>9999</v>
      </c>
      <c r="HJ22">
        <v>9999</v>
      </c>
      <c r="HK22">
        <v>9999</v>
      </c>
      <c r="HL22">
        <v>999.9</v>
      </c>
      <c r="HM22">
        <v>1.8545499999999999</v>
      </c>
      <c r="HN22">
        <v>1.8606400000000001</v>
      </c>
      <c r="HO22">
        <v>1.85802</v>
      </c>
      <c r="HP22">
        <v>1.85921</v>
      </c>
      <c r="HQ22">
        <v>1.8585199999999999</v>
      </c>
      <c r="HR22">
        <v>1.8591</v>
      </c>
      <c r="HS22">
        <v>1.85745</v>
      </c>
      <c r="HT22">
        <v>1.8608100000000001</v>
      </c>
      <c r="HU22">
        <v>5</v>
      </c>
      <c r="HV22">
        <v>0</v>
      </c>
      <c r="HW22">
        <v>0</v>
      </c>
      <c r="HX22">
        <v>0</v>
      </c>
      <c r="HY22" t="s">
        <v>422</v>
      </c>
      <c r="HZ22" t="s">
        <v>423</v>
      </c>
      <c r="IA22" t="s">
        <v>424</v>
      </c>
      <c r="IB22" t="s">
        <v>424</v>
      </c>
      <c r="IC22" t="s">
        <v>424</v>
      </c>
      <c r="ID22" t="s">
        <v>424</v>
      </c>
      <c r="IE22">
        <v>0</v>
      </c>
      <c r="IF22">
        <v>100</v>
      </c>
      <c r="IG22">
        <v>100</v>
      </c>
      <c r="IH22">
        <v>-0.995</v>
      </c>
      <c r="II22">
        <v>0.17849999999999999</v>
      </c>
      <c r="IJ22">
        <v>-0.89081089593266238</v>
      </c>
      <c r="IK22">
        <v>-4.1229525807901877E-3</v>
      </c>
      <c r="IL22">
        <v>1.8448211998558991E-6</v>
      </c>
      <c r="IM22">
        <v>-3.7020276670297668E-10</v>
      </c>
      <c r="IN22">
        <v>-0.13367809881255591</v>
      </c>
      <c r="IO22">
        <v>-1.3488639696665739E-2</v>
      </c>
      <c r="IP22">
        <v>1.1588640342490499E-3</v>
      </c>
      <c r="IQ22">
        <v>-1.0624341560077559E-5</v>
      </c>
      <c r="IR22">
        <v>2</v>
      </c>
      <c r="IS22">
        <v>1915</v>
      </c>
      <c r="IT22">
        <v>1</v>
      </c>
      <c r="IU22">
        <v>42</v>
      </c>
      <c r="IV22">
        <v>0.6</v>
      </c>
      <c r="IW22">
        <v>0.5</v>
      </c>
      <c r="IX22">
        <v>0.20996100000000001</v>
      </c>
      <c r="IY22">
        <v>2.52075</v>
      </c>
      <c r="IZ22">
        <v>1.49414</v>
      </c>
      <c r="JA22">
        <v>2.3010299999999999</v>
      </c>
      <c r="JB22">
        <v>1.54419</v>
      </c>
      <c r="JC22">
        <v>2.48291</v>
      </c>
      <c r="JD22">
        <v>40.963799999999999</v>
      </c>
      <c r="JE22">
        <v>14.9726</v>
      </c>
      <c r="JF22">
        <v>18</v>
      </c>
      <c r="JG22">
        <v>513.05399999999997</v>
      </c>
      <c r="JH22">
        <v>454.03100000000001</v>
      </c>
      <c r="JI22">
        <v>24.599399999999999</v>
      </c>
      <c r="JJ22">
        <v>32.318300000000001</v>
      </c>
      <c r="JK22">
        <v>30.0002</v>
      </c>
      <c r="JL22">
        <v>32.274299999999997</v>
      </c>
      <c r="JM22">
        <v>32.247</v>
      </c>
      <c r="JN22">
        <v>4.2521199999999997</v>
      </c>
      <c r="JO22">
        <v>30.090599999999998</v>
      </c>
      <c r="JP22">
        <v>34.148099999999999</v>
      </c>
      <c r="JQ22">
        <v>24.601700000000001</v>
      </c>
      <c r="JR22">
        <v>30</v>
      </c>
      <c r="JS22">
        <v>22.107600000000001</v>
      </c>
      <c r="JT22">
        <v>97.469899999999996</v>
      </c>
      <c r="JU22">
        <v>98.413600000000002</v>
      </c>
    </row>
    <row r="23" spans="1:281" x14ac:dyDescent="0.25">
      <c r="A23">
        <v>7</v>
      </c>
      <c r="B23">
        <v>1691159950</v>
      </c>
      <c r="C23">
        <v>704.40000009536743</v>
      </c>
      <c r="D23" t="s">
        <v>450</v>
      </c>
      <c r="E23" t="s">
        <v>451</v>
      </c>
      <c r="F23" t="s">
        <v>413</v>
      </c>
      <c r="G23" t="s">
        <v>31</v>
      </c>
      <c r="H23" t="s">
        <v>414</v>
      </c>
      <c r="I23" t="s">
        <v>415</v>
      </c>
      <c r="J23">
        <v>1691159950</v>
      </c>
      <c r="K23">
        <f t="shared" si="0"/>
        <v>5.7367498027262494E-3</v>
      </c>
      <c r="L23">
        <f t="shared" si="1"/>
        <v>5.7367498027262496</v>
      </c>
      <c r="M23">
        <f t="shared" si="2"/>
        <v>1.6208514851759104</v>
      </c>
      <c r="N23">
        <f t="shared" si="3"/>
        <v>8.0940499999999993</v>
      </c>
      <c r="O23">
        <f t="shared" si="4"/>
        <v>1.4048226459637259</v>
      </c>
      <c r="P23">
        <f t="shared" si="5"/>
        <v>0.13942865182636774</v>
      </c>
      <c r="Q23">
        <f t="shared" si="6"/>
        <v>0.80333448678214991</v>
      </c>
      <c r="R23">
        <f t="shared" si="7"/>
        <v>0.4212564538948893</v>
      </c>
      <c r="S23">
        <f t="shared" si="8"/>
        <v>2.9053951185313691</v>
      </c>
      <c r="T23">
        <f t="shared" si="9"/>
        <v>0.39002953231041337</v>
      </c>
      <c r="U23">
        <f t="shared" si="10"/>
        <v>0.24638089361253013</v>
      </c>
      <c r="V23">
        <f t="shared" si="11"/>
        <v>344.35569999339793</v>
      </c>
      <c r="W23">
        <f t="shared" si="12"/>
        <v>30.927282837661092</v>
      </c>
      <c r="X23">
        <f t="shared" si="13"/>
        <v>30.0063</v>
      </c>
      <c r="Y23">
        <f t="shared" si="14"/>
        <v>4.2619917310286093</v>
      </c>
      <c r="Z23">
        <f t="shared" si="15"/>
        <v>65.53460973595071</v>
      </c>
      <c r="AA23">
        <f t="shared" si="16"/>
        <v>2.8545094862824003</v>
      </c>
      <c r="AB23">
        <f t="shared" si="17"/>
        <v>4.3557282141202487</v>
      </c>
      <c r="AC23">
        <f t="shared" si="18"/>
        <v>1.407482244746209</v>
      </c>
      <c r="AD23">
        <f t="shared" si="19"/>
        <v>-252.99066630022759</v>
      </c>
      <c r="AE23">
        <f t="shared" si="20"/>
        <v>59.411906456358921</v>
      </c>
      <c r="AF23">
        <f t="shared" si="21"/>
        <v>4.5556447594723108</v>
      </c>
      <c r="AG23">
        <f t="shared" si="22"/>
        <v>155.33258490900158</v>
      </c>
      <c r="AH23">
        <v>0</v>
      </c>
      <c r="AI23">
        <v>0</v>
      </c>
      <c r="AJ23">
        <f t="shared" si="23"/>
        <v>1</v>
      </c>
      <c r="AK23">
        <f t="shared" si="24"/>
        <v>0</v>
      </c>
      <c r="AL23">
        <f t="shared" si="25"/>
        <v>51581.404188765016</v>
      </c>
      <c r="AM23" t="s">
        <v>416</v>
      </c>
      <c r="AN23">
        <v>10235.299999999999</v>
      </c>
      <c r="AO23">
        <v>594.051923076923</v>
      </c>
      <c r="AP23">
        <v>2007.77</v>
      </c>
      <c r="AQ23">
        <f t="shared" si="26"/>
        <v>0.70412351859180933</v>
      </c>
      <c r="AR23">
        <v>-0.54275787784279261</v>
      </c>
      <c r="AS23" t="s">
        <v>452</v>
      </c>
      <c r="AT23">
        <v>10199.799999999999</v>
      </c>
      <c r="AU23">
        <v>658.78199999999993</v>
      </c>
      <c r="AV23">
        <v>708.85090260076345</v>
      </c>
      <c r="AW23">
        <f t="shared" si="27"/>
        <v>7.0633898351630031E-2</v>
      </c>
      <c r="AX23">
        <v>0.5</v>
      </c>
      <c r="AY23">
        <f t="shared" si="28"/>
        <v>1513.095899996699</v>
      </c>
      <c r="AZ23">
        <f t="shared" si="29"/>
        <v>1.6208514851759104</v>
      </c>
      <c r="BA23">
        <f t="shared" si="30"/>
        <v>53.437930998317498</v>
      </c>
      <c r="BB23">
        <f t="shared" si="31"/>
        <v>1.4299221635743137E-3</v>
      </c>
      <c r="BC23">
        <f t="shared" si="32"/>
        <v>1.8324292070921002</v>
      </c>
      <c r="BD23">
        <f t="shared" si="33"/>
        <v>385.20453687152263</v>
      </c>
      <c r="BE23" t="s">
        <v>453</v>
      </c>
      <c r="BF23">
        <v>545</v>
      </c>
      <c r="BG23">
        <f t="shared" si="34"/>
        <v>545</v>
      </c>
      <c r="BH23">
        <f t="shared" si="35"/>
        <v>0.23115002322716516</v>
      </c>
      <c r="BI23">
        <f t="shared" si="36"/>
        <v>0.30557599504203298</v>
      </c>
      <c r="BJ23">
        <f t="shared" si="37"/>
        <v>0.88798587433378906</v>
      </c>
      <c r="BK23">
        <f t="shared" si="38"/>
        <v>0.43614414351449571</v>
      </c>
      <c r="BL23">
        <f t="shared" si="39"/>
        <v>0.91879641252540423</v>
      </c>
      <c r="BM23">
        <f t="shared" si="40"/>
        <v>0.25279822050072404</v>
      </c>
      <c r="BN23">
        <f t="shared" si="41"/>
        <v>0.74720177949927602</v>
      </c>
      <c r="BO23">
        <v>12481</v>
      </c>
      <c r="BP23">
        <v>290.00000000000011</v>
      </c>
      <c r="BQ23">
        <v>692.89</v>
      </c>
      <c r="BR23">
        <v>65</v>
      </c>
      <c r="BS23">
        <v>10199.799999999999</v>
      </c>
      <c r="BT23">
        <v>691</v>
      </c>
      <c r="BU23">
        <v>1.89</v>
      </c>
      <c r="BV23">
        <v>300.00000000000011</v>
      </c>
      <c r="BW23">
        <v>24.2</v>
      </c>
      <c r="BX23">
        <v>708.85090260076345</v>
      </c>
      <c r="BY23">
        <v>1.6885234064914341</v>
      </c>
      <c r="BZ23">
        <v>-18.205349515345389</v>
      </c>
      <c r="CA23">
        <v>1.5287670803007281</v>
      </c>
      <c r="CB23">
        <v>0.83511253661952312</v>
      </c>
      <c r="CC23">
        <v>-6.9471741935483921E-3</v>
      </c>
      <c r="CD23">
        <v>289.99999999999989</v>
      </c>
      <c r="CE23">
        <v>689.58</v>
      </c>
      <c r="CF23">
        <v>665</v>
      </c>
      <c r="CG23">
        <v>10147.4</v>
      </c>
      <c r="CH23">
        <v>690.91</v>
      </c>
      <c r="CI23">
        <v>-1.33</v>
      </c>
      <c r="CW23">
        <f t="shared" si="42"/>
        <v>1799.89</v>
      </c>
      <c r="CX23">
        <f t="shared" si="43"/>
        <v>1513.095899996699</v>
      </c>
      <c r="CY23">
        <f t="shared" si="44"/>
        <v>0.84066020701081678</v>
      </c>
      <c r="CZ23">
        <f t="shared" si="45"/>
        <v>0.19132041402163349</v>
      </c>
      <c r="DA23">
        <v>6</v>
      </c>
      <c r="DB23">
        <v>0.5</v>
      </c>
      <c r="DC23" t="s">
        <v>419</v>
      </c>
      <c r="DD23">
        <v>2</v>
      </c>
      <c r="DE23">
        <v>1691159950</v>
      </c>
      <c r="DF23">
        <v>8.0940499999999993</v>
      </c>
      <c r="DG23">
        <v>10.0947</v>
      </c>
      <c r="DH23">
        <v>28.7608</v>
      </c>
      <c r="DI23">
        <v>22.074999999999999</v>
      </c>
      <c r="DJ23">
        <v>9.0696999999999992</v>
      </c>
      <c r="DK23">
        <v>28.5823</v>
      </c>
      <c r="DL23">
        <v>500.02300000000002</v>
      </c>
      <c r="DM23">
        <v>99.15</v>
      </c>
      <c r="DN23">
        <v>0.10000299999999999</v>
      </c>
      <c r="DO23">
        <v>30.3856</v>
      </c>
      <c r="DP23">
        <v>30.0063</v>
      </c>
      <c r="DQ23">
        <v>999.9</v>
      </c>
      <c r="DR23">
        <v>0</v>
      </c>
      <c r="DS23">
        <v>0</v>
      </c>
      <c r="DT23">
        <v>9947.5</v>
      </c>
      <c r="DU23">
        <v>0</v>
      </c>
      <c r="DV23">
        <v>1053.97</v>
      </c>
      <c r="DW23">
        <v>-2.0006599999999999</v>
      </c>
      <c r="DX23">
        <v>8.3337299999999992</v>
      </c>
      <c r="DY23">
        <v>10.3226</v>
      </c>
      <c r="DZ23">
        <v>6.6858500000000003</v>
      </c>
      <c r="EA23">
        <v>10.0947</v>
      </c>
      <c r="EB23">
        <v>22.074999999999999</v>
      </c>
      <c r="EC23">
        <v>2.8516400000000002</v>
      </c>
      <c r="ED23">
        <v>2.1887300000000001</v>
      </c>
      <c r="EE23">
        <v>23.1861</v>
      </c>
      <c r="EF23">
        <v>18.880099999999999</v>
      </c>
      <c r="EG23">
        <v>1799.89</v>
      </c>
      <c r="EH23">
        <v>0.97799100000000005</v>
      </c>
      <c r="EI23">
        <v>2.2008699999999999E-2</v>
      </c>
      <c r="EJ23">
        <v>0</v>
      </c>
      <c r="EK23">
        <v>656.82</v>
      </c>
      <c r="EL23">
        <v>0.100005</v>
      </c>
      <c r="EM23">
        <v>16049.1</v>
      </c>
      <c r="EN23">
        <v>14861.6</v>
      </c>
      <c r="EO23">
        <v>50.125</v>
      </c>
      <c r="EP23">
        <v>51.25</v>
      </c>
      <c r="EQ23">
        <v>50.936999999999998</v>
      </c>
      <c r="ER23">
        <v>50</v>
      </c>
      <c r="ES23">
        <v>51</v>
      </c>
      <c r="ET23">
        <v>1760.18</v>
      </c>
      <c r="EU23">
        <v>39.61</v>
      </c>
      <c r="EV23">
        <v>0</v>
      </c>
      <c r="EW23">
        <v>103.80000019073491</v>
      </c>
      <c r="EX23">
        <v>0</v>
      </c>
      <c r="EY23">
        <v>658.78199999999993</v>
      </c>
      <c r="EZ23">
        <v>2.0076923455708919</v>
      </c>
      <c r="FA23">
        <v>14.446153937132809</v>
      </c>
      <c r="FB23">
        <v>16044.567999999999</v>
      </c>
      <c r="FC23">
        <v>15</v>
      </c>
      <c r="FD23">
        <v>1691159918.5</v>
      </c>
      <c r="FE23" t="s">
        <v>454</v>
      </c>
      <c r="FF23">
        <v>1691159910.5</v>
      </c>
      <c r="FG23">
        <v>1691159918.5</v>
      </c>
      <c r="FH23">
        <v>12</v>
      </c>
      <c r="FI23">
        <v>-4.8000000000000001E-2</v>
      </c>
      <c r="FJ23">
        <v>-1E-3</v>
      </c>
      <c r="FK23">
        <v>-0.98299999999999998</v>
      </c>
      <c r="FL23">
        <v>1.2999999999999999E-2</v>
      </c>
      <c r="FM23">
        <v>10</v>
      </c>
      <c r="FN23">
        <v>22</v>
      </c>
      <c r="FO23">
        <v>1</v>
      </c>
      <c r="FP23">
        <v>0.04</v>
      </c>
      <c r="FQ23">
        <v>1.715567187107095</v>
      </c>
      <c r="FR23">
        <v>-0.29710895325868891</v>
      </c>
      <c r="FS23">
        <v>4.1449334580212799E-2</v>
      </c>
      <c r="FT23">
        <v>1</v>
      </c>
      <c r="FU23">
        <v>0.41744098687015052</v>
      </c>
      <c r="FV23">
        <v>4.9823007701485331E-2</v>
      </c>
      <c r="FW23">
        <v>4.0323120299691111E-3</v>
      </c>
      <c r="FX23">
        <v>1</v>
      </c>
      <c r="FY23">
        <v>2</v>
      </c>
      <c r="FZ23">
        <v>2</v>
      </c>
      <c r="GA23" t="s">
        <v>421</v>
      </c>
      <c r="GB23">
        <v>2.91906</v>
      </c>
      <c r="GC23">
        <v>2.8294299999999999</v>
      </c>
      <c r="GD23">
        <v>2.5325199999999999E-3</v>
      </c>
      <c r="GE23">
        <v>2.75472E-3</v>
      </c>
      <c r="GF23">
        <v>0.134186</v>
      </c>
      <c r="GG23">
        <v>0.107803</v>
      </c>
      <c r="GH23">
        <v>25747.200000000001</v>
      </c>
      <c r="GI23">
        <v>32127.9</v>
      </c>
      <c r="GJ23">
        <v>23245.5</v>
      </c>
      <c r="GK23">
        <v>29529.9</v>
      </c>
      <c r="GL23">
        <v>27437.1</v>
      </c>
      <c r="GM23">
        <v>37424.6</v>
      </c>
      <c r="GN23">
        <v>32863</v>
      </c>
      <c r="GO23">
        <v>43755.7</v>
      </c>
      <c r="GP23">
        <v>1.9679</v>
      </c>
      <c r="GQ23">
        <v>1.8288</v>
      </c>
      <c r="GR23">
        <v>8.2850500000000004E-3</v>
      </c>
      <c r="GS23">
        <v>0</v>
      </c>
      <c r="GT23">
        <v>29.871400000000001</v>
      </c>
      <c r="GU23">
        <v>999.9</v>
      </c>
      <c r="GV23">
        <v>48.2</v>
      </c>
      <c r="GW23">
        <v>36.5</v>
      </c>
      <c r="GX23">
        <v>29.822800000000001</v>
      </c>
      <c r="GY23">
        <v>61.764899999999997</v>
      </c>
      <c r="GZ23">
        <v>38.75</v>
      </c>
      <c r="HA23">
        <v>1</v>
      </c>
      <c r="HB23">
        <v>0.398872</v>
      </c>
      <c r="HC23">
        <v>3.4752100000000001</v>
      </c>
      <c r="HD23">
        <v>20.282800000000002</v>
      </c>
      <c r="HE23">
        <v>5.2065099999999997</v>
      </c>
      <c r="HF23">
        <v>11.872199999999999</v>
      </c>
      <c r="HG23">
        <v>4.9842000000000004</v>
      </c>
      <c r="HH23">
        <v>3.2831000000000001</v>
      </c>
      <c r="HI23">
        <v>9999</v>
      </c>
      <c r="HJ23">
        <v>9999</v>
      </c>
      <c r="HK23">
        <v>9999</v>
      </c>
      <c r="HL23">
        <v>999.9</v>
      </c>
      <c r="HM23">
        <v>1.8545499999999999</v>
      </c>
      <c r="HN23">
        <v>1.8606100000000001</v>
      </c>
      <c r="HO23">
        <v>1.8579699999999999</v>
      </c>
      <c r="HP23">
        <v>1.85914</v>
      </c>
      <c r="HQ23">
        <v>1.8585199999999999</v>
      </c>
      <c r="HR23">
        <v>1.8590500000000001</v>
      </c>
      <c r="HS23">
        <v>1.8574299999999999</v>
      </c>
      <c r="HT23">
        <v>1.8608</v>
      </c>
      <c r="HU23">
        <v>5</v>
      </c>
      <c r="HV23">
        <v>0</v>
      </c>
      <c r="HW23">
        <v>0</v>
      </c>
      <c r="HX23">
        <v>0</v>
      </c>
      <c r="HY23" t="s">
        <v>422</v>
      </c>
      <c r="HZ23" t="s">
        <v>423</v>
      </c>
      <c r="IA23" t="s">
        <v>424</v>
      </c>
      <c r="IB23" t="s">
        <v>424</v>
      </c>
      <c r="IC23" t="s">
        <v>424</v>
      </c>
      <c r="ID23" t="s">
        <v>424</v>
      </c>
      <c r="IE23">
        <v>0</v>
      </c>
      <c r="IF23">
        <v>100</v>
      </c>
      <c r="IG23">
        <v>100</v>
      </c>
      <c r="IH23">
        <v>-0.97599999999999998</v>
      </c>
      <c r="II23">
        <v>0.17849999999999999</v>
      </c>
      <c r="IJ23">
        <v>-0.93841210459166957</v>
      </c>
      <c r="IK23">
        <v>-4.1229525807901877E-3</v>
      </c>
      <c r="IL23">
        <v>1.8448211998558991E-6</v>
      </c>
      <c r="IM23">
        <v>-3.7020276670297668E-10</v>
      </c>
      <c r="IN23">
        <v>-0.13454963459368319</v>
      </c>
      <c r="IO23">
        <v>-1.3488639696665739E-2</v>
      </c>
      <c r="IP23">
        <v>1.1588640342490499E-3</v>
      </c>
      <c r="IQ23">
        <v>-1.0624341560077559E-5</v>
      </c>
      <c r="IR23">
        <v>2</v>
      </c>
      <c r="IS23">
        <v>1915</v>
      </c>
      <c r="IT23">
        <v>1</v>
      </c>
      <c r="IU23">
        <v>42</v>
      </c>
      <c r="IV23">
        <v>0.7</v>
      </c>
      <c r="IW23">
        <v>0.5</v>
      </c>
      <c r="IX23">
        <v>0.164795</v>
      </c>
      <c r="IY23">
        <v>2.5378400000000001</v>
      </c>
      <c r="IZ23">
        <v>1.49414</v>
      </c>
      <c r="JA23">
        <v>2.3010299999999999</v>
      </c>
      <c r="JB23">
        <v>1.54419</v>
      </c>
      <c r="JC23">
        <v>2.4572799999999999</v>
      </c>
      <c r="JD23">
        <v>41.067</v>
      </c>
      <c r="JE23">
        <v>14.9376</v>
      </c>
      <c r="JF23">
        <v>18</v>
      </c>
      <c r="JG23">
        <v>513.06600000000003</v>
      </c>
      <c r="JH23">
        <v>452.91300000000001</v>
      </c>
      <c r="JI23">
        <v>24.28</v>
      </c>
      <c r="JJ23">
        <v>32.393799999999999</v>
      </c>
      <c r="JK23">
        <v>30.000499999999999</v>
      </c>
      <c r="JL23">
        <v>32.339500000000001</v>
      </c>
      <c r="JM23">
        <v>32.313699999999997</v>
      </c>
      <c r="JN23">
        <v>3.3570000000000002</v>
      </c>
      <c r="JO23">
        <v>29.699200000000001</v>
      </c>
      <c r="JP23">
        <v>32.232599999999998</v>
      </c>
      <c r="JQ23">
        <v>24.2867</v>
      </c>
      <c r="JR23">
        <v>10</v>
      </c>
      <c r="JS23">
        <v>22.005400000000002</v>
      </c>
      <c r="JT23">
        <v>97.4739</v>
      </c>
      <c r="JU23">
        <v>98.405799999999999</v>
      </c>
    </row>
    <row r="24" spans="1:281" x14ac:dyDescent="0.25">
      <c r="A24">
        <v>8</v>
      </c>
      <c r="B24">
        <v>1691160140</v>
      </c>
      <c r="C24">
        <v>894.40000009536743</v>
      </c>
      <c r="D24" t="s">
        <v>455</v>
      </c>
      <c r="E24" t="s">
        <v>456</v>
      </c>
      <c r="F24" t="s">
        <v>413</v>
      </c>
      <c r="G24" t="s">
        <v>31</v>
      </c>
      <c r="H24" t="s">
        <v>414</v>
      </c>
      <c r="I24" t="s">
        <v>415</v>
      </c>
      <c r="J24">
        <v>1691160140</v>
      </c>
      <c r="K24">
        <f t="shared" si="0"/>
        <v>5.5914443538953558E-3</v>
      </c>
      <c r="L24">
        <f t="shared" si="1"/>
        <v>5.5914443538953558</v>
      </c>
      <c r="M24">
        <f t="shared" si="2"/>
        <v>46.555622896503849</v>
      </c>
      <c r="N24">
        <f t="shared" si="3"/>
        <v>341.78500000000003</v>
      </c>
      <c r="O24">
        <f t="shared" si="4"/>
        <v>137.69807906869326</v>
      </c>
      <c r="P24">
        <f t="shared" si="5"/>
        <v>13.663509809261061</v>
      </c>
      <c r="Q24">
        <f t="shared" si="6"/>
        <v>33.914653942474999</v>
      </c>
      <c r="R24">
        <f t="shared" si="7"/>
        <v>0.39990390227831663</v>
      </c>
      <c r="S24">
        <f t="shared" si="8"/>
        <v>2.9120181422996518</v>
      </c>
      <c r="T24">
        <f t="shared" si="9"/>
        <v>0.37170802885249304</v>
      </c>
      <c r="U24">
        <f t="shared" si="10"/>
        <v>0.23468492814514366</v>
      </c>
      <c r="V24">
        <f t="shared" si="11"/>
        <v>344.38419999339851</v>
      </c>
      <c r="W24">
        <f t="shared" si="12"/>
        <v>30.959220370798054</v>
      </c>
      <c r="X24">
        <f t="shared" si="13"/>
        <v>30.035699999999999</v>
      </c>
      <c r="Y24">
        <f t="shared" si="14"/>
        <v>4.2691939703837853</v>
      </c>
      <c r="Z24">
        <f t="shared" si="15"/>
        <v>64.989234839662771</v>
      </c>
      <c r="AA24">
        <f t="shared" si="16"/>
        <v>2.8299438669859995</v>
      </c>
      <c r="AB24">
        <f t="shared" si="17"/>
        <v>4.3544809751458899</v>
      </c>
      <c r="AC24">
        <f t="shared" si="18"/>
        <v>1.4392501033977858</v>
      </c>
      <c r="AD24">
        <f t="shared" si="19"/>
        <v>-246.5826960067852</v>
      </c>
      <c r="AE24">
        <f t="shared" si="20"/>
        <v>54.146789848033954</v>
      </c>
      <c r="AF24">
        <f t="shared" si="21"/>
        <v>4.1429777210168037</v>
      </c>
      <c r="AG24">
        <f t="shared" si="22"/>
        <v>156.09127155566406</v>
      </c>
      <c r="AH24">
        <v>0</v>
      </c>
      <c r="AI24">
        <v>0</v>
      </c>
      <c r="AJ24">
        <f t="shared" si="23"/>
        <v>1</v>
      </c>
      <c r="AK24">
        <f t="shared" si="24"/>
        <v>0</v>
      </c>
      <c r="AL24">
        <f t="shared" si="25"/>
        <v>51769.799458990667</v>
      </c>
      <c r="AM24" t="s">
        <v>416</v>
      </c>
      <c r="AN24">
        <v>10235.299999999999</v>
      </c>
      <c r="AO24">
        <v>594.051923076923</v>
      </c>
      <c r="AP24">
        <v>2007.77</v>
      </c>
      <c r="AQ24">
        <f t="shared" si="26"/>
        <v>0.70412351859180933</v>
      </c>
      <c r="AR24">
        <v>-0.54275787784279261</v>
      </c>
      <c r="AS24" t="s">
        <v>457</v>
      </c>
      <c r="AT24">
        <v>10166</v>
      </c>
      <c r="AU24">
        <v>628.4588</v>
      </c>
      <c r="AV24">
        <v>987.70701724948503</v>
      </c>
      <c r="AW24">
        <f t="shared" si="27"/>
        <v>0.3637194137284766</v>
      </c>
      <c r="AX24">
        <v>0.5</v>
      </c>
      <c r="AY24">
        <f t="shared" si="28"/>
        <v>1513.2218999966994</v>
      </c>
      <c r="AZ24">
        <f t="shared" si="29"/>
        <v>46.555622896503849</v>
      </c>
      <c r="BA24">
        <f t="shared" si="30"/>
        <v>275.19409115394546</v>
      </c>
      <c r="BB24">
        <f t="shared" si="31"/>
        <v>3.1124569882612307E-2</v>
      </c>
      <c r="BC24">
        <f t="shared" si="32"/>
        <v>1.0327586672322457</v>
      </c>
      <c r="BD24">
        <f t="shared" si="33"/>
        <v>455.01380838689647</v>
      </c>
      <c r="BE24" t="s">
        <v>458</v>
      </c>
      <c r="BF24">
        <v>504.69</v>
      </c>
      <c r="BG24">
        <f t="shared" si="34"/>
        <v>504.69</v>
      </c>
      <c r="BH24">
        <f t="shared" si="35"/>
        <v>0.48902863785919592</v>
      </c>
      <c r="BI24">
        <f t="shared" si="36"/>
        <v>0.74375892446855207</v>
      </c>
      <c r="BJ24">
        <f t="shared" si="37"/>
        <v>0.67864849692000095</v>
      </c>
      <c r="BK24">
        <f t="shared" si="38"/>
        <v>0.91259638848216085</v>
      </c>
      <c r="BL24">
        <f t="shared" si="39"/>
        <v>0.72154625409519924</v>
      </c>
      <c r="BM24">
        <f t="shared" si="40"/>
        <v>0.59728289521927858</v>
      </c>
      <c r="BN24">
        <f t="shared" si="41"/>
        <v>0.40271710478072142</v>
      </c>
      <c r="BO24">
        <v>12483</v>
      </c>
      <c r="BP24">
        <v>290.00000000000011</v>
      </c>
      <c r="BQ24">
        <v>851.4</v>
      </c>
      <c r="BR24">
        <v>295</v>
      </c>
      <c r="BS24">
        <v>10166</v>
      </c>
      <c r="BT24">
        <v>852.69</v>
      </c>
      <c r="BU24">
        <v>-1.29</v>
      </c>
      <c r="BV24">
        <v>300.00000000000011</v>
      </c>
      <c r="BW24">
        <v>24.2</v>
      </c>
      <c r="BX24">
        <v>987.70701724948503</v>
      </c>
      <c r="BY24">
        <v>2.623108333831571</v>
      </c>
      <c r="BZ24">
        <v>-137.25433607869729</v>
      </c>
      <c r="CA24">
        <v>2.3750018962914892</v>
      </c>
      <c r="CB24">
        <v>0.99168603857594573</v>
      </c>
      <c r="CC24">
        <v>-6.948398442714129E-3</v>
      </c>
      <c r="CD24">
        <v>289.99999999999989</v>
      </c>
      <c r="CE24">
        <v>833.16</v>
      </c>
      <c r="CF24">
        <v>635</v>
      </c>
      <c r="CG24">
        <v>10149.6</v>
      </c>
      <c r="CH24">
        <v>852.48</v>
      </c>
      <c r="CI24">
        <v>-19.32</v>
      </c>
      <c r="CW24">
        <f t="shared" si="42"/>
        <v>1800.04</v>
      </c>
      <c r="CX24">
        <f t="shared" si="43"/>
        <v>1513.2218999966994</v>
      </c>
      <c r="CY24">
        <f t="shared" si="44"/>
        <v>0.84066015199478872</v>
      </c>
      <c r="CZ24">
        <f t="shared" si="45"/>
        <v>0.1913203039895772</v>
      </c>
      <c r="DA24">
        <v>6</v>
      </c>
      <c r="DB24">
        <v>0.5</v>
      </c>
      <c r="DC24" t="s">
        <v>419</v>
      </c>
      <c r="DD24">
        <v>2</v>
      </c>
      <c r="DE24">
        <v>1691160140</v>
      </c>
      <c r="DF24">
        <v>341.78500000000003</v>
      </c>
      <c r="DG24">
        <v>399.964</v>
      </c>
      <c r="DH24">
        <v>28.519600000000001</v>
      </c>
      <c r="DI24">
        <v>21.999099999999999</v>
      </c>
      <c r="DJ24">
        <v>343.20499999999998</v>
      </c>
      <c r="DK24">
        <v>28.337499999999999</v>
      </c>
      <c r="DL24">
        <v>499.83699999999999</v>
      </c>
      <c r="DM24">
        <v>99.127899999999997</v>
      </c>
      <c r="DN24">
        <v>0.100135</v>
      </c>
      <c r="DO24">
        <v>30.380600000000001</v>
      </c>
      <c r="DP24">
        <v>30.035699999999999</v>
      </c>
      <c r="DQ24">
        <v>999.9</v>
      </c>
      <c r="DR24">
        <v>0</v>
      </c>
      <c r="DS24">
        <v>0</v>
      </c>
      <c r="DT24">
        <v>9987.5</v>
      </c>
      <c r="DU24">
        <v>0</v>
      </c>
      <c r="DV24">
        <v>1076.22</v>
      </c>
      <c r="DW24">
        <v>-58.179400000000001</v>
      </c>
      <c r="DX24">
        <v>351.81799999999998</v>
      </c>
      <c r="DY24">
        <v>408.96100000000001</v>
      </c>
      <c r="DZ24">
        <v>6.5204899999999997</v>
      </c>
      <c r="EA24">
        <v>399.964</v>
      </c>
      <c r="EB24">
        <v>21.999099999999999</v>
      </c>
      <c r="EC24">
        <v>2.8270900000000001</v>
      </c>
      <c r="ED24">
        <v>2.18072</v>
      </c>
      <c r="EE24">
        <v>23.043099999999999</v>
      </c>
      <c r="EF24">
        <v>18.821400000000001</v>
      </c>
      <c r="EG24">
        <v>1800.04</v>
      </c>
      <c r="EH24">
        <v>0.97799499999999995</v>
      </c>
      <c r="EI24">
        <v>2.2005E-2</v>
      </c>
      <c r="EJ24">
        <v>0</v>
      </c>
      <c r="EK24">
        <v>628.29499999999996</v>
      </c>
      <c r="EL24">
        <v>0.100005</v>
      </c>
      <c r="EM24">
        <v>15430.2</v>
      </c>
      <c r="EN24">
        <v>14862.9</v>
      </c>
      <c r="EO24">
        <v>50.311999999999998</v>
      </c>
      <c r="EP24">
        <v>51.436999999999998</v>
      </c>
      <c r="EQ24">
        <v>51.186999999999998</v>
      </c>
      <c r="ER24">
        <v>50.25</v>
      </c>
      <c r="ES24">
        <v>51.186999999999998</v>
      </c>
      <c r="ET24">
        <v>1760.33</v>
      </c>
      <c r="EU24">
        <v>39.61</v>
      </c>
      <c r="EV24">
        <v>0</v>
      </c>
      <c r="EW24">
        <v>187.80000019073489</v>
      </c>
      <c r="EX24">
        <v>0</v>
      </c>
      <c r="EY24">
        <v>628.4588</v>
      </c>
      <c r="EZ24">
        <v>-12.2603847584629</v>
      </c>
      <c r="FA24">
        <v>-219.8538458595701</v>
      </c>
      <c r="FB24">
        <v>15447.92</v>
      </c>
      <c r="FC24">
        <v>15</v>
      </c>
      <c r="FD24">
        <v>1691160076</v>
      </c>
      <c r="FE24" t="s">
        <v>459</v>
      </c>
      <c r="FF24">
        <v>1691160062</v>
      </c>
      <c r="FG24">
        <v>1691160076</v>
      </c>
      <c r="FH24">
        <v>13</v>
      </c>
      <c r="FI24">
        <v>0.73</v>
      </c>
      <c r="FJ24">
        <v>0.01</v>
      </c>
      <c r="FK24">
        <v>-1.591</v>
      </c>
      <c r="FL24">
        <v>1.9E-2</v>
      </c>
      <c r="FM24">
        <v>400</v>
      </c>
      <c r="FN24">
        <v>22</v>
      </c>
      <c r="FO24">
        <v>0.14000000000000001</v>
      </c>
      <c r="FP24">
        <v>0.03</v>
      </c>
      <c r="FQ24">
        <v>46.27976998499858</v>
      </c>
      <c r="FR24">
        <v>1.7093415914569019</v>
      </c>
      <c r="FS24">
        <v>0.13491702260740629</v>
      </c>
      <c r="FT24">
        <v>0</v>
      </c>
      <c r="FU24">
        <v>0.40745619194422888</v>
      </c>
      <c r="FV24">
        <v>-3.2012842543588937E-2</v>
      </c>
      <c r="FW24">
        <v>2.4843399882410128E-3</v>
      </c>
      <c r="FX24">
        <v>1</v>
      </c>
      <c r="FY24">
        <v>1</v>
      </c>
      <c r="FZ24">
        <v>2</v>
      </c>
      <c r="GA24" t="s">
        <v>460</v>
      </c>
      <c r="GB24">
        <v>2.9184000000000001</v>
      </c>
      <c r="GC24">
        <v>2.8299099999999999</v>
      </c>
      <c r="GD24">
        <v>7.9933199999999996E-2</v>
      </c>
      <c r="GE24">
        <v>8.8364600000000001E-2</v>
      </c>
      <c r="GF24">
        <v>0.13330800000000001</v>
      </c>
      <c r="GG24">
        <v>0.107477</v>
      </c>
      <c r="GH24">
        <v>23748.2</v>
      </c>
      <c r="GI24">
        <v>29362.2</v>
      </c>
      <c r="GJ24">
        <v>23243</v>
      </c>
      <c r="GK24">
        <v>29520.9</v>
      </c>
      <c r="GL24">
        <v>27470.9</v>
      </c>
      <c r="GM24">
        <v>37438.9</v>
      </c>
      <c r="GN24">
        <v>32860.400000000001</v>
      </c>
      <c r="GO24">
        <v>43743.9</v>
      </c>
      <c r="GP24">
        <v>1.9656</v>
      </c>
      <c r="GQ24">
        <v>1.8244</v>
      </c>
      <c r="GR24">
        <v>5.4687299999999998E-3</v>
      </c>
      <c r="GS24">
        <v>0</v>
      </c>
      <c r="GT24">
        <v>29.9467</v>
      </c>
      <c r="GU24">
        <v>999.9</v>
      </c>
      <c r="GV24">
        <v>46.7</v>
      </c>
      <c r="GW24">
        <v>36.799999999999997</v>
      </c>
      <c r="GX24">
        <v>29.380199999999999</v>
      </c>
      <c r="GY24">
        <v>61.575000000000003</v>
      </c>
      <c r="GZ24">
        <v>39.022399999999998</v>
      </c>
      <c r="HA24">
        <v>1</v>
      </c>
      <c r="HB24">
        <v>0.41511199999999998</v>
      </c>
      <c r="HC24">
        <v>3.5752899999999999</v>
      </c>
      <c r="HD24">
        <v>20.281099999999999</v>
      </c>
      <c r="HE24">
        <v>5.2112999999999996</v>
      </c>
      <c r="HF24">
        <v>11.872199999999999</v>
      </c>
      <c r="HG24">
        <v>4.9847999999999999</v>
      </c>
      <c r="HH24">
        <v>3.2839999999999998</v>
      </c>
      <c r="HI24">
        <v>9999</v>
      </c>
      <c r="HJ24">
        <v>9999</v>
      </c>
      <c r="HK24">
        <v>9999</v>
      </c>
      <c r="HL24">
        <v>999.9</v>
      </c>
      <c r="HM24">
        <v>1.8545499999999999</v>
      </c>
      <c r="HN24">
        <v>1.86066</v>
      </c>
      <c r="HO24">
        <v>1.8580000000000001</v>
      </c>
      <c r="HP24">
        <v>1.85914</v>
      </c>
      <c r="HQ24">
        <v>1.8585199999999999</v>
      </c>
      <c r="HR24">
        <v>1.85903</v>
      </c>
      <c r="HS24">
        <v>1.8574200000000001</v>
      </c>
      <c r="HT24">
        <v>1.8607800000000001</v>
      </c>
      <c r="HU24">
        <v>5</v>
      </c>
      <c r="HV24">
        <v>0</v>
      </c>
      <c r="HW24">
        <v>0</v>
      </c>
      <c r="HX24">
        <v>0</v>
      </c>
      <c r="HY24" t="s">
        <v>422</v>
      </c>
      <c r="HZ24" t="s">
        <v>423</v>
      </c>
      <c r="IA24" t="s">
        <v>424</v>
      </c>
      <c r="IB24" t="s">
        <v>424</v>
      </c>
      <c r="IC24" t="s">
        <v>424</v>
      </c>
      <c r="ID24" t="s">
        <v>424</v>
      </c>
      <c r="IE24">
        <v>0</v>
      </c>
      <c r="IF24">
        <v>100</v>
      </c>
      <c r="IG24">
        <v>100</v>
      </c>
      <c r="IH24">
        <v>-1.42</v>
      </c>
      <c r="II24">
        <v>0.18210000000000001</v>
      </c>
      <c r="IJ24">
        <v>-0.20794048332509399</v>
      </c>
      <c r="IK24">
        <v>-4.1229525807901877E-3</v>
      </c>
      <c r="IL24">
        <v>1.8448211998558991E-6</v>
      </c>
      <c r="IM24">
        <v>-3.7020276670297668E-10</v>
      </c>
      <c r="IN24">
        <v>-0.1244789603055045</v>
      </c>
      <c r="IO24">
        <v>-1.3488639696665739E-2</v>
      </c>
      <c r="IP24">
        <v>1.1588640342490499E-3</v>
      </c>
      <c r="IQ24">
        <v>-1.0624341560077559E-5</v>
      </c>
      <c r="IR24">
        <v>2</v>
      </c>
      <c r="IS24">
        <v>1915</v>
      </c>
      <c r="IT24">
        <v>1</v>
      </c>
      <c r="IU24">
        <v>42</v>
      </c>
      <c r="IV24">
        <v>1.3</v>
      </c>
      <c r="IW24">
        <v>1.1000000000000001</v>
      </c>
      <c r="IX24">
        <v>1.00464</v>
      </c>
      <c r="IY24">
        <v>2.4719199999999999</v>
      </c>
      <c r="IZ24">
        <v>1.49414</v>
      </c>
      <c r="JA24">
        <v>2.2997999999999998</v>
      </c>
      <c r="JB24">
        <v>1.54419</v>
      </c>
      <c r="JC24">
        <v>2.4108900000000002</v>
      </c>
      <c r="JD24">
        <v>41.326099999999997</v>
      </c>
      <c r="JE24">
        <v>14.893800000000001</v>
      </c>
      <c r="JF24">
        <v>18</v>
      </c>
      <c r="JG24">
        <v>512.88599999999997</v>
      </c>
      <c r="JH24">
        <v>451.18599999999998</v>
      </c>
      <c r="JI24">
        <v>24.296399999999998</v>
      </c>
      <c r="JJ24">
        <v>32.578299999999999</v>
      </c>
      <c r="JK24">
        <v>30.000900000000001</v>
      </c>
      <c r="JL24">
        <v>32.501600000000003</v>
      </c>
      <c r="JM24">
        <v>32.478200000000001</v>
      </c>
      <c r="JN24">
        <v>20.186199999999999</v>
      </c>
      <c r="JO24">
        <v>28.125900000000001</v>
      </c>
      <c r="JP24">
        <v>28.267499999999998</v>
      </c>
      <c r="JQ24">
        <v>24.292100000000001</v>
      </c>
      <c r="JR24">
        <v>400</v>
      </c>
      <c r="JS24">
        <v>22.014299999999999</v>
      </c>
      <c r="JT24">
        <v>97.465000000000003</v>
      </c>
      <c r="JU24">
        <v>98.378</v>
      </c>
    </row>
    <row r="25" spans="1:281" x14ac:dyDescent="0.25">
      <c r="A25">
        <v>9</v>
      </c>
      <c r="B25">
        <v>1691160316.5</v>
      </c>
      <c r="C25">
        <v>1070.900000095367</v>
      </c>
      <c r="D25" t="s">
        <v>461</v>
      </c>
      <c r="E25" t="s">
        <v>462</v>
      </c>
      <c r="F25" t="s">
        <v>413</v>
      </c>
      <c r="G25" t="s">
        <v>31</v>
      </c>
      <c r="H25" t="s">
        <v>414</v>
      </c>
      <c r="I25" t="s">
        <v>415</v>
      </c>
      <c r="J25">
        <v>1691160316.5</v>
      </c>
      <c r="K25">
        <f t="shared" si="0"/>
        <v>5.6247460292104716E-3</v>
      </c>
      <c r="L25">
        <f t="shared" si="1"/>
        <v>5.6247460292104714</v>
      </c>
      <c r="M25">
        <f t="shared" si="2"/>
        <v>51.318814440820752</v>
      </c>
      <c r="N25">
        <f t="shared" si="3"/>
        <v>336.22300000000001</v>
      </c>
      <c r="O25">
        <f t="shared" si="4"/>
        <v>113.33949798526358</v>
      </c>
      <c r="P25">
        <f t="shared" si="5"/>
        <v>11.246775041001586</v>
      </c>
      <c r="Q25">
        <f t="shared" si="6"/>
        <v>33.363695020974404</v>
      </c>
      <c r="R25">
        <f t="shared" si="7"/>
        <v>0.40214874095167757</v>
      </c>
      <c r="S25">
        <f t="shared" si="8"/>
        <v>2.9120710594366113</v>
      </c>
      <c r="T25">
        <f t="shared" si="9"/>
        <v>0.37364799665492388</v>
      </c>
      <c r="U25">
        <f t="shared" si="10"/>
        <v>0.23592213601819834</v>
      </c>
      <c r="V25">
        <f t="shared" si="11"/>
        <v>344.35509999339968</v>
      </c>
      <c r="W25">
        <f t="shared" si="12"/>
        <v>30.909066492091078</v>
      </c>
      <c r="X25">
        <f t="shared" si="13"/>
        <v>30.002199999999998</v>
      </c>
      <c r="Y25">
        <f t="shared" si="14"/>
        <v>4.2609881789030473</v>
      </c>
      <c r="Z25">
        <f t="shared" si="15"/>
        <v>64.925971275247804</v>
      </c>
      <c r="AA25">
        <f t="shared" si="16"/>
        <v>2.8205079907313597</v>
      </c>
      <c r="AB25">
        <f t="shared" si="17"/>
        <v>4.3441906764460558</v>
      </c>
      <c r="AC25">
        <f t="shared" si="18"/>
        <v>1.4404801881716875</v>
      </c>
      <c r="AD25">
        <f t="shared" si="19"/>
        <v>-248.0512998881818</v>
      </c>
      <c r="AE25">
        <f t="shared" si="20"/>
        <v>52.923208317784926</v>
      </c>
      <c r="AF25">
        <f t="shared" si="21"/>
        <v>4.047784959176127</v>
      </c>
      <c r="AG25">
        <f t="shared" si="22"/>
        <v>153.27479338217893</v>
      </c>
      <c r="AH25">
        <v>0</v>
      </c>
      <c r="AI25">
        <v>0</v>
      </c>
      <c r="AJ25">
        <f t="shared" si="23"/>
        <v>1</v>
      </c>
      <c r="AK25">
        <f t="shared" si="24"/>
        <v>0</v>
      </c>
      <c r="AL25">
        <f t="shared" si="25"/>
        <v>51778.414948648307</v>
      </c>
      <c r="AM25" t="s">
        <v>416</v>
      </c>
      <c r="AN25">
        <v>10235.299999999999</v>
      </c>
      <c r="AO25">
        <v>594.051923076923</v>
      </c>
      <c r="AP25">
        <v>2007.77</v>
      </c>
      <c r="AQ25">
        <f t="shared" si="26"/>
        <v>0.70412351859180933</v>
      </c>
      <c r="AR25">
        <v>-0.54275787784279261</v>
      </c>
      <c r="AS25" t="s">
        <v>463</v>
      </c>
      <c r="AT25">
        <v>10170.299999999999</v>
      </c>
      <c r="AU25">
        <v>643.48480769230764</v>
      </c>
      <c r="AV25">
        <v>1033.344133836993</v>
      </c>
      <c r="AW25">
        <f t="shared" si="27"/>
        <v>0.37727927548886109</v>
      </c>
      <c r="AX25">
        <v>0.5</v>
      </c>
      <c r="AY25">
        <f t="shared" si="28"/>
        <v>1513.0955999967</v>
      </c>
      <c r="AZ25">
        <f t="shared" si="29"/>
        <v>51.318814440820752</v>
      </c>
      <c r="BA25">
        <f t="shared" si="30"/>
        <v>285.42980585606927</v>
      </c>
      <c r="BB25">
        <f t="shared" si="31"/>
        <v>3.427514581284663E-2</v>
      </c>
      <c r="BC25">
        <f t="shared" si="32"/>
        <v>0.94298291755408536</v>
      </c>
      <c r="BD25">
        <f t="shared" si="33"/>
        <v>464.46358020166741</v>
      </c>
      <c r="BE25" t="s">
        <v>464</v>
      </c>
      <c r="BF25">
        <v>511.1</v>
      </c>
      <c r="BG25">
        <f t="shared" si="34"/>
        <v>511.1</v>
      </c>
      <c r="BH25">
        <f t="shared" si="35"/>
        <v>0.5053922664638415</v>
      </c>
      <c r="BI25">
        <f t="shared" si="36"/>
        <v>0.74650781288884971</v>
      </c>
      <c r="BJ25">
        <f t="shared" si="37"/>
        <v>0.65106260308752562</v>
      </c>
      <c r="BK25">
        <f t="shared" si="38"/>
        <v>0.88747152031251564</v>
      </c>
      <c r="BL25">
        <f t="shared" si="39"/>
        <v>0.68926462925608278</v>
      </c>
      <c r="BM25">
        <f t="shared" si="40"/>
        <v>0.59292797375556772</v>
      </c>
      <c r="BN25">
        <f t="shared" si="41"/>
        <v>0.40707202624443228</v>
      </c>
      <c r="BO25">
        <v>12485</v>
      </c>
      <c r="BP25">
        <v>290.00000000000011</v>
      </c>
      <c r="BQ25">
        <v>901.14</v>
      </c>
      <c r="BR25">
        <v>245</v>
      </c>
      <c r="BS25">
        <v>10170.299999999999</v>
      </c>
      <c r="BT25">
        <v>902.13</v>
      </c>
      <c r="BU25">
        <v>-0.99</v>
      </c>
      <c r="BV25">
        <v>300.00000000000011</v>
      </c>
      <c r="BW25">
        <v>24.2</v>
      </c>
      <c r="BX25">
        <v>1033.344133836993</v>
      </c>
      <c r="BY25">
        <v>2.1924004359738731</v>
      </c>
      <c r="BZ25">
        <v>-133.44429129294321</v>
      </c>
      <c r="CA25">
        <v>1.9849088834449831</v>
      </c>
      <c r="CB25">
        <v>0.99384317171345049</v>
      </c>
      <c r="CC25">
        <v>-6.948054060066735E-3</v>
      </c>
      <c r="CD25">
        <v>289.99999999999989</v>
      </c>
      <c r="CE25">
        <v>887.77</v>
      </c>
      <c r="CF25">
        <v>665</v>
      </c>
      <c r="CG25">
        <v>10147</v>
      </c>
      <c r="CH25">
        <v>901.83</v>
      </c>
      <c r="CI25">
        <v>-14.06</v>
      </c>
      <c r="CW25">
        <f t="shared" si="42"/>
        <v>1799.89</v>
      </c>
      <c r="CX25">
        <f t="shared" si="43"/>
        <v>1513.0955999967</v>
      </c>
      <c r="CY25">
        <f t="shared" si="44"/>
        <v>0.8406600403339648</v>
      </c>
      <c r="CZ25">
        <f t="shared" si="45"/>
        <v>0.19132008066792952</v>
      </c>
      <c r="DA25">
        <v>6</v>
      </c>
      <c r="DB25">
        <v>0.5</v>
      </c>
      <c r="DC25" t="s">
        <v>419</v>
      </c>
      <c r="DD25">
        <v>2</v>
      </c>
      <c r="DE25">
        <v>1691160316.5</v>
      </c>
      <c r="DF25">
        <v>336.22300000000001</v>
      </c>
      <c r="DG25">
        <v>400.05799999999999</v>
      </c>
      <c r="DH25">
        <v>28.4237</v>
      </c>
      <c r="DI25">
        <v>21.867599999999999</v>
      </c>
      <c r="DJ25">
        <v>337.74</v>
      </c>
      <c r="DK25">
        <v>28.2471</v>
      </c>
      <c r="DL25">
        <v>500.13299999999998</v>
      </c>
      <c r="DM25">
        <v>99.130899999999997</v>
      </c>
      <c r="DN25">
        <v>9.9952799999999994E-2</v>
      </c>
      <c r="DO25">
        <v>30.339300000000001</v>
      </c>
      <c r="DP25">
        <v>30.002199999999998</v>
      </c>
      <c r="DQ25">
        <v>999.9</v>
      </c>
      <c r="DR25">
        <v>0</v>
      </c>
      <c r="DS25">
        <v>0</v>
      </c>
      <c r="DT25">
        <v>9987.5</v>
      </c>
      <c r="DU25">
        <v>0</v>
      </c>
      <c r="DV25">
        <v>1096.6400000000001</v>
      </c>
      <c r="DW25">
        <v>-63.835000000000001</v>
      </c>
      <c r="DX25">
        <v>346.05900000000003</v>
      </c>
      <c r="DY25">
        <v>409.00200000000001</v>
      </c>
      <c r="DZ25">
        <v>6.5560700000000001</v>
      </c>
      <c r="EA25">
        <v>400.05799999999999</v>
      </c>
      <c r="EB25">
        <v>21.867599999999999</v>
      </c>
      <c r="EC25">
        <v>2.8176700000000001</v>
      </c>
      <c r="ED25">
        <v>2.1677599999999999</v>
      </c>
      <c r="EE25">
        <v>22.988</v>
      </c>
      <c r="EF25">
        <v>18.725999999999999</v>
      </c>
      <c r="EG25">
        <v>1799.89</v>
      </c>
      <c r="EH25">
        <v>0.97799499999999995</v>
      </c>
      <c r="EI25">
        <v>2.2005E-2</v>
      </c>
      <c r="EJ25">
        <v>0</v>
      </c>
      <c r="EK25">
        <v>645.96</v>
      </c>
      <c r="EL25">
        <v>0.100005</v>
      </c>
      <c r="EM25">
        <v>15627.7</v>
      </c>
      <c r="EN25">
        <v>14861.6</v>
      </c>
      <c r="EO25">
        <v>50.436999999999998</v>
      </c>
      <c r="EP25">
        <v>51.625</v>
      </c>
      <c r="EQ25">
        <v>51.311999999999998</v>
      </c>
      <c r="ER25">
        <v>50.436999999999998</v>
      </c>
      <c r="ES25">
        <v>51.311999999999998</v>
      </c>
      <c r="ET25">
        <v>1760.19</v>
      </c>
      <c r="EU25">
        <v>39.6</v>
      </c>
      <c r="EV25">
        <v>0</v>
      </c>
      <c r="EW25">
        <v>174</v>
      </c>
      <c r="EX25">
        <v>0</v>
      </c>
      <c r="EY25">
        <v>643.48480769230764</v>
      </c>
      <c r="EZ25">
        <v>8.2388033616075891</v>
      </c>
      <c r="FA25">
        <v>97.7401712069517</v>
      </c>
      <c r="FB25">
        <v>15618.65</v>
      </c>
      <c r="FC25">
        <v>15</v>
      </c>
      <c r="FD25">
        <v>1691160217.5</v>
      </c>
      <c r="FE25" t="s">
        <v>465</v>
      </c>
      <c r="FF25">
        <v>1691160217</v>
      </c>
      <c r="FG25">
        <v>1691160217.5</v>
      </c>
      <c r="FH25">
        <v>14</v>
      </c>
      <c r="FI25">
        <v>-0.113</v>
      </c>
      <c r="FJ25">
        <v>-3.0000000000000001E-3</v>
      </c>
      <c r="FK25">
        <v>-1.7030000000000001</v>
      </c>
      <c r="FL25">
        <v>2.1999999999999999E-2</v>
      </c>
      <c r="FM25">
        <v>400</v>
      </c>
      <c r="FN25">
        <v>22</v>
      </c>
      <c r="FO25">
        <v>0.14000000000000001</v>
      </c>
      <c r="FP25">
        <v>0.08</v>
      </c>
      <c r="FQ25">
        <v>51.254604047254858</v>
      </c>
      <c r="FR25">
        <v>0.47469963048192892</v>
      </c>
      <c r="FS25">
        <v>9.4139380755223892E-2</v>
      </c>
      <c r="FT25">
        <v>1</v>
      </c>
      <c r="FU25">
        <v>0.40297425033959611</v>
      </c>
      <c r="FV25">
        <v>1.754057959232733E-2</v>
      </c>
      <c r="FW25">
        <v>1.7130924810422059E-3</v>
      </c>
      <c r="FX25">
        <v>1</v>
      </c>
      <c r="FY25">
        <v>2</v>
      </c>
      <c r="FZ25">
        <v>2</v>
      </c>
      <c r="GA25" t="s">
        <v>421</v>
      </c>
      <c r="GB25">
        <v>2.9188800000000001</v>
      </c>
      <c r="GC25">
        <v>2.8297300000000001</v>
      </c>
      <c r="GD25">
        <v>7.8879099999999994E-2</v>
      </c>
      <c r="GE25">
        <v>8.8331599999999996E-2</v>
      </c>
      <c r="GF25">
        <v>0.13294500000000001</v>
      </c>
      <c r="GG25">
        <v>0.10697</v>
      </c>
      <c r="GH25">
        <v>23771.1</v>
      </c>
      <c r="GI25">
        <v>29352.3</v>
      </c>
      <c r="GJ25">
        <v>23239.5</v>
      </c>
      <c r="GK25">
        <v>29511</v>
      </c>
      <c r="GL25">
        <v>27480</v>
      </c>
      <c r="GM25">
        <v>37451.5</v>
      </c>
      <c r="GN25">
        <v>32856</v>
      </c>
      <c r="GO25">
        <v>43732.6</v>
      </c>
      <c r="GP25">
        <v>1.9624999999999999</v>
      </c>
      <c r="GQ25">
        <v>1.8189</v>
      </c>
      <c r="GR25">
        <v>5.0962000000000004E-3</v>
      </c>
      <c r="GS25">
        <v>0</v>
      </c>
      <c r="GT25">
        <v>29.9192</v>
      </c>
      <c r="GU25">
        <v>999.9</v>
      </c>
      <c r="GV25">
        <v>45.6</v>
      </c>
      <c r="GW25">
        <v>37</v>
      </c>
      <c r="GX25">
        <v>29.002300000000002</v>
      </c>
      <c r="GY25">
        <v>61.585000000000001</v>
      </c>
      <c r="GZ25">
        <v>38.473599999999998</v>
      </c>
      <c r="HA25">
        <v>1</v>
      </c>
      <c r="HB25">
        <v>0.43329299999999998</v>
      </c>
      <c r="HC25">
        <v>3.2706499999999998</v>
      </c>
      <c r="HD25">
        <v>20.287400000000002</v>
      </c>
      <c r="HE25">
        <v>5.2100999999999997</v>
      </c>
      <c r="HF25">
        <v>11.872199999999999</v>
      </c>
      <c r="HG25">
        <v>4.9851999999999999</v>
      </c>
      <c r="HH25">
        <v>3.2839999999999998</v>
      </c>
      <c r="HI25">
        <v>9999</v>
      </c>
      <c r="HJ25">
        <v>9999</v>
      </c>
      <c r="HK25">
        <v>9999</v>
      </c>
      <c r="HL25">
        <v>999.9</v>
      </c>
      <c r="HM25">
        <v>1.8545499999999999</v>
      </c>
      <c r="HN25">
        <v>1.86066</v>
      </c>
      <c r="HO25">
        <v>1.85806</v>
      </c>
      <c r="HP25">
        <v>1.8591599999999999</v>
      </c>
      <c r="HQ25">
        <v>1.8585199999999999</v>
      </c>
      <c r="HR25">
        <v>1.8591200000000001</v>
      </c>
      <c r="HS25">
        <v>1.85745</v>
      </c>
      <c r="HT25">
        <v>1.8608</v>
      </c>
      <c r="HU25">
        <v>5</v>
      </c>
      <c r="HV25">
        <v>0</v>
      </c>
      <c r="HW25">
        <v>0</v>
      </c>
      <c r="HX25">
        <v>0</v>
      </c>
      <c r="HY25" t="s">
        <v>422</v>
      </c>
      <c r="HZ25" t="s">
        <v>423</v>
      </c>
      <c r="IA25" t="s">
        <v>424</v>
      </c>
      <c r="IB25" t="s">
        <v>424</v>
      </c>
      <c r="IC25" t="s">
        <v>424</v>
      </c>
      <c r="ID25" t="s">
        <v>424</v>
      </c>
      <c r="IE25">
        <v>0</v>
      </c>
      <c r="IF25">
        <v>100</v>
      </c>
      <c r="IG25">
        <v>100</v>
      </c>
      <c r="IH25">
        <v>-1.5169999999999999</v>
      </c>
      <c r="II25">
        <v>0.17660000000000001</v>
      </c>
      <c r="IJ25">
        <v>-0.32082874994005511</v>
      </c>
      <c r="IK25">
        <v>-4.1229525807901877E-3</v>
      </c>
      <c r="IL25">
        <v>1.8448211998558991E-6</v>
      </c>
      <c r="IM25">
        <v>-3.7020276670297668E-10</v>
      </c>
      <c r="IN25">
        <v>-0.12760106258718151</v>
      </c>
      <c r="IO25">
        <v>-1.3488639696665739E-2</v>
      </c>
      <c r="IP25">
        <v>1.1588640342490499E-3</v>
      </c>
      <c r="IQ25">
        <v>-1.0624341560077559E-5</v>
      </c>
      <c r="IR25">
        <v>2</v>
      </c>
      <c r="IS25">
        <v>1915</v>
      </c>
      <c r="IT25">
        <v>1</v>
      </c>
      <c r="IU25">
        <v>42</v>
      </c>
      <c r="IV25">
        <v>1.7</v>
      </c>
      <c r="IW25">
        <v>1.6</v>
      </c>
      <c r="IX25">
        <v>1.00464</v>
      </c>
      <c r="IY25">
        <v>2.4694799999999999</v>
      </c>
      <c r="IZ25">
        <v>1.49414</v>
      </c>
      <c r="JA25">
        <v>2.2997999999999998</v>
      </c>
      <c r="JB25">
        <v>1.54419</v>
      </c>
      <c r="JC25">
        <v>2.4121100000000002</v>
      </c>
      <c r="JD25">
        <v>41.534399999999998</v>
      </c>
      <c r="JE25">
        <v>14.8588</v>
      </c>
      <c r="JF25">
        <v>18</v>
      </c>
      <c r="JG25">
        <v>512.61900000000003</v>
      </c>
      <c r="JH25">
        <v>449.08100000000002</v>
      </c>
      <c r="JI25">
        <v>24.452100000000002</v>
      </c>
      <c r="JJ25">
        <v>32.8249</v>
      </c>
      <c r="JK25">
        <v>30.0002</v>
      </c>
      <c r="JL25">
        <v>32.718400000000003</v>
      </c>
      <c r="JM25">
        <v>32.6905</v>
      </c>
      <c r="JN25">
        <v>20.1828</v>
      </c>
      <c r="JO25">
        <v>26.897200000000002</v>
      </c>
      <c r="JP25">
        <v>25.624700000000001</v>
      </c>
      <c r="JQ25">
        <v>24.448699999999999</v>
      </c>
      <c r="JR25">
        <v>400</v>
      </c>
      <c r="JS25">
        <v>21.945399999999999</v>
      </c>
      <c r="JT25">
        <v>97.451300000000003</v>
      </c>
      <c r="JU25">
        <v>98.349500000000006</v>
      </c>
    </row>
    <row r="26" spans="1:281" x14ac:dyDescent="0.25">
      <c r="A26">
        <v>10</v>
      </c>
      <c r="B26">
        <v>1691160448.5</v>
      </c>
      <c r="C26">
        <v>1202.900000095367</v>
      </c>
      <c r="D26" t="s">
        <v>466</v>
      </c>
      <c r="E26" t="s">
        <v>467</v>
      </c>
      <c r="F26" t="s">
        <v>413</v>
      </c>
      <c r="G26" t="s">
        <v>31</v>
      </c>
      <c r="H26" t="s">
        <v>414</v>
      </c>
      <c r="I26" t="s">
        <v>415</v>
      </c>
      <c r="J26">
        <v>1691160448.5</v>
      </c>
      <c r="K26">
        <f t="shared" si="0"/>
        <v>5.307059640827348E-3</v>
      </c>
      <c r="L26">
        <f t="shared" si="1"/>
        <v>5.3070596408273483</v>
      </c>
      <c r="M26">
        <f t="shared" si="2"/>
        <v>55.708840791073136</v>
      </c>
      <c r="N26">
        <f t="shared" si="3"/>
        <v>430.52600000000001</v>
      </c>
      <c r="O26">
        <f t="shared" si="4"/>
        <v>175.15087556493467</v>
      </c>
      <c r="P26">
        <f t="shared" si="5"/>
        <v>17.379877911441483</v>
      </c>
      <c r="Q26">
        <f t="shared" si="6"/>
        <v>42.720250718513995</v>
      </c>
      <c r="R26">
        <f t="shared" si="7"/>
        <v>0.38140241224109989</v>
      </c>
      <c r="S26">
        <f t="shared" si="8"/>
        <v>2.9076358922290888</v>
      </c>
      <c r="T26">
        <f t="shared" si="9"/>
        <v>0.35562915898723413</v>
      </c>
      <c r="U26">
        <f t="shared" si="10"/>
        <v>0.22443854924677092</v>
      </c>
      <c r="V26">
        <f t="shared" si="11"/>
        <v>344.33229999339915</v>
      </c>
      <c r="W26">
        <f t="shared" si="12"/>
        <v>31.022230219341388</v>
      </c>
      <c r="X26">
        <f t="shared" si="13"/>
        <v>30.0366</v>
      </c>
      <c r="Y26">
        <f t="shared" si="14"/>
        <v>4.2694146143133453</v>
      </c>
      <c r="Z26">
        <f t="shared" si="15"/>
        <v>65.303166547462638</v>
      </c>
      <c r="AA26">
        <f t="shared" si="16"/>
        <v>2.8416925808819999</v>
      </c>
      <c r="AB26">
        <f t="shared" si="17"/>
        <v>4.351538724874306</v>
      </c>
      <c r="AC26">
        <f t="shared" si="18"/>
        <v>1.4277220334313454</v>
      </c>
      <c r="AD26">
        <f t="shared" si="19"/>
        <v>-234.04133016048604</v>
      </c>
      <c r="AE26">
        <f t="shared" si="20"/>
        <v>52.074498078900156</v>
      </c>
      <c r="AF26">
        <f t="shared" si="21"/>
        <v>3.9902086214268251</v>
      </c>
      <c r="AG26">
        <f t="shared" si="22"/>
        <v>166.35567653324006</v>
      </c>
      <c r="AH26">
        <v>0</v>
      </c>
      <c r="AI26">
        <v>0</v>
      </c>
      <c r="AJ26">
        <f t="shared" si="23"/>
        <v>1</v>
      </c>
      <c r="AK26">
        <f t="shared" si="24"/>
        <v>0</v>
      </c>
      <c r="AL26">
        <f t="shared" si="25"/>
        <v>51647.381833063431</v>
      </c>
      <c r="AM26" t="s">
        <v>416</v>
      </c>
      <c r="AN26">
        <v>10235.299999999999</v>
      </c>
      <c r="AO26">
        <v>594.051923076923</v>
      </c>
      <c r="AP26">
        <v>2007.77</v>
      </c>
      <c r="AQ26">
        <f t="shared" si="26"/>
        <v>0.70412351859180933</v>
      </c>
      <c r="AR26">
        <v>-0.54275787784279261</v>
      </c>
      <c r="AS26" t="s">
        <v>468</v>
      </c>
      <c r="AT26">
        <v>10177</v>
      </c>
      <c r="AU26">
        <v>664.04269230769228</v>
      </c>
      <c r="AV26">
        <v>1110.1207493217239</v>
      </c>
      <c r="AW26">
        <f t="shared" si="27"/>
        <v>0.40182841126659619</v>
      </c>
      <c r="AX26">
        <v>0.5</v>
      </c>
      <c r="AY26">
        <f t="shared" si="28"/>
        <v>1512.9947999966994</v>
      </c>
      <c r="AZ26">
        <f t="shared" si="29"/>
        <v>55.708840791073136</v>
      </c>
      <c r="BA26">
        <f t="shared" si="30"/>
        <v>303.98214836864759</v>
      </c>
      <c r="BB26">
        <f t="shared" si="31"/>
        <v>3.7178976866965203E-2</v>
      </c>
      <c r="BC26">
        <f t="shared" si="32"/>
        <v>0.80860505600560439</v>
      </c>
      <c r="BD26">
        <f t="shared" si="33"/>
        <v>479.36514527154986</v>
      </c>
      <c r="BE26" t="s">
        <v>469</v>
      </c>
      <c r="BF26">
        <v>520.16999999999996</v>
      </c>
      <c r="BG26">
        <f t="shared" si="34"/>
        <v>520.16999999999996</v>
      </c>
      <c r="BH26">
        <f t="shared" si="35"/>
        <v>0.53142935098022426</v>
      </c>
      <c r="BI26">
        <f t="shared" si="36"/>
        <v>0.75612762171570236</v>
      </c>
      <c r="BJ26">
        <f t="shared" si="37"/>
        <v>0.60342111500287454</v>
      </c>
      <c r="BK26">
        <f t="shared" si="38"/>
        <v>0.86437706431512173</v>
      </c>
      <c r="BL26">
        <f t="shared" si="39"/>
        <v>0.63495633629583903</v>
      </c>
      <c r="BM26">
        <f t="shared" si="40"/>
        <v>0.59230364183513917</v>
      </c>
      <c r="BN26">
        <f t="shared" si="41"/>
        <v>0.40769635816486083</v>
      </c>
      <c r="BO26">
        <v>12487</v>
      </c>
      <c r="BP26">
        <v>290.00000000000011</v>
      </c>
      <c r="BQ26">
        <v>963.72</v>
      </c>
      <c r="BR26">
        <v>195</v>
      </c>
      <c r="BS26">
        <v>10177</v>
      </c>
      <c r="BT26">
        <v>965.38</v>
      </c>
      <c r="BU26">
        <v>-1.66</v>
      </c>
      <c r="BV26">
        <v>300.00000000000011</v>
      </c>
      <c r="BW26">
        <v>24.2</v>
      </c>
      <c r="BX26">
        <v>1110.1207493217239</v>
      </c>
      <c r="BY26">
        <v>2.62395346151746</v>
      </c>
      <c r="BZ26">
        <v>-147.30366442893779</v>
      </c>
      <c r="CA26">
        <v>2.375506049579672</v>
      </c>
      <c r="CB26">
        <v>0.9927707675061479</v>
      </c>
      <c r="CC26">
        <v>-6.948160845383764E-3</v>
      </c>
      <c r="CD26">
        <v>289.99999999999989</v>
      </c>
      <c r="CE26">
        <v>950.69</v>
      </c>
      <c r="CF26">
        <v>635</v>
      </c>
      <c r="CG26">
        <v>10148.4</v>
      </c>
      <c r="CH26">
        <v>964.97</v>
      </c>
      <c r="CI26">
        <v>-14.28</v>
      </c>
      <c r="CW26">
        <f t="shared" si="42"/>
        <v>1799.77</v>
      </c>
      <c r="CX26">
        <f t="shared" si="43"/>
        <v>1512.9947999966994</v>
      </c>
      <c r="CY26">
        <f t="shared" si="44"/>
        <v>0.84066008434227679</v>
      </c>
      <c r="CZ26">
        <f t="shared" si="45"/>
        <v>0.19132016868455368</v>
      </c>
      <c r="DA26">
        <v>6</v>
      </c>
      <c r="DB26">
        <v>0.5</v>
      </c>
      <c r="DC26" t="s">
        <v>419</v>
      </c>
      <c r="DD26">
        <v>2</v>
      </c>
      <c r="DE26">
        <v>1691160448.5</v>
      </c>
      <c r="DF26">
        <v>430.52600000000001</v>
      </c>
      <c r="DG26">
        <v>500.096</v>
      </c>
      <c r="DH26">
        <v>28.638000000000002</v>
      </c>
      <c r="DI26">
        <v>22.453900000000001</v>
      </c>
      <c r="DJ26">
        <v>431.97899999999998</v>
      </c>
      <c r="DK26">
        <v>28.4663</v>
      </c>
      <c r="DL26">
        <v>500.161</v>
      </c>
      <c r="DM26">
        <v>99.127799999999993</v>
      </c>
      <c r="DN26">
        <v>0.10023899999999999</v>
      </c>
      <c r="DO26">
        <v>30.3688</v>
      </c>
      <c r="DP26">
        <v>30.0366</v>
      </c>
      <c r="DQ26">
        <v>999.9</v>
      </c>
      <c r="DR26">
        <v>0</v>
      </c>
      <c r="DS26">
        <v>0</v>
      </c>
      <c r="DT26">
        <v>9962.5</v>
      </c>
      <c r="DU26">
        <v>0</v>
      </c>
      <c r="DV26">
        <v>1119.05</v>
      </c>
      <c r="DW26">
        <v>-69.570599999999999</v>
      </c>
      <c r="DX26">
        <v>443.21899999999999</v>
      </c>
      <c r="DY26">
        <v>511.58300000000003</v>
      </c>
      <c r="DZ26">
        <v>6.1840599999999997</v>
      </c>
      <c r="EA26">
        <v>500.096</v>
      </c>
      <c r="EB26">
        <v>22.453900000000001</v>
      </c>
      <c r="EC26">
        <v>2.8388200000000001</v>
      </c>
      <c r="ED26">
        <v>2.2258100000000001</v>
      </c>
      <c r="EE26">
        <v>23.111599999999999</v>
      </c>
      <c r="EF26">
        <v>19.1493</v>
      </c>
      <c r="EG26">
        <v>1799.77</v>
      </c>
      <c r="EH26">
        <v>0.97799499999999995</v>
      </c>
      <c r="EI26">
        <v>2.2005E-2</v>
      </c>
      <c r="EJ26">
        <v>0</v>
      </c>
      <c r="EK26">
        <v>662.995</v>
      </c>
      <c r="EL26">
        <v>0.100005</v>
      </c>
      <c r="EM26">
        <v>15977.8</v>
      </c>
      <c r="EN26">
        <v>14860.6</v>
      </c>
      <c r="EO26">
        <v>50.561999999999998</v>
      </c>
      <c r="EP26">
        <v>51.75</v>
      </c>
      <c r="EQ26">
        <v>51.436999999999998</v>
      </c>
      <c r="ER26">
        <v>50.561999999999998</v>
      </c>
      <c r="ES26">
        <v>51.436999999999998</v>
      </c>
      <c r="ET26">
        <v>1760.07</v>
      </c>
      <c r="EU26">
        <v>39.6</v>
      </c>
      <c r="EV26">
        <v>0</v>
      </c>
      <c r="EW26">
        <v>129.60000014305109</v>
      </c>
      <c r="EX26">
        <v>0</v>
      </c>
      <c r="EY26">
        <v>664.04269230769228</v>
      </c>
      <c r="EZ26">
        <v>-5.4591453019579284</v>
      </c>
      <c r="FA26">
        <v>97.299145452438665</v>
      </c>
      <c r="FB26">
        <v>15965.315384615389</v>
      </c>
      <c r="FC26">
        <v>15</v>
      </c>
      <c r="FD26">
        <v>1691160419.5</v>
      </c>
      <c r="FE26" t="s">
        <v>470</v>
      </c>
      <c r="FF26">
        <v>1691160413</v>
      </c>
      <c r="FG26">
        <v>1691160419.5</v>
      </c>
      <c r="FH26">
        <v>15</v>
      </c>
      <c r="FI26">
        <v>0.33500000000000002</v>
      </c>
      <c r="FJ26">
        <v>-1.0999999999999999E-2</v>
      </c>
      <c r="FK26">
        <v>-1.6379999999999999</v>
      </c>
      <c r="FL26">
        <v>1.2E-2</v>
      </c>
      <c r="FM26">
        <v>500</v>
      </c>
      <c r="FN26">
        <v>22</v>
      </c>
      <c r="FO26">
        <v>0.11</v>
      </c>
      <c r="FP26">
        <v>0.06</v>
      </c>
      <c r="FQ26">
        <v>55.688773072632991</v>
      </c>
      <c r="FR26">
        <v>0.25863373174322812</v>
      </c>
      <c r="FS26">
        <v>7.3804280710459053E-2</v>
      </c>
      <c r="FT26">
        <v>1</v>
      </c>
      <c r="FU26">
        <v>0.37946511952964329</v>
      </c>
      <c r="FV26">
        <v>4.9104083787603232E-2</v>
      </c>
      <c r="FW26">
        <v>4.2350523017393206E-3</v>
      </c>
      <c r="FX26">
        <v>1</v>
      </c>
      <c r="FY26">
        <v>2</v>
      </c>
      <c r="FZ26">
        <v>2</v>
      </c>
      <c r="GA26" t="s">
        <v>421</v>
      </c>
      <c r="GB26">
        <v>2.91879</v>
      </c>
      <c r="GC26">
        <v>2.8298000000000001</v>
      </c>
      <c r="GD26">
        <v>9.5350799999999999E-2</v>
      </c>
      <c r="GE26">
        <v>0.10434400000000001</v>
      </c>
      <c r="GF26">
        <v>0.13361600000000001</v>
      </c>
      <c r="GG26">
        <v>0.108947</v>
      </c>
      <c r="GH26">
        <v>23343.9</v>
      </c>
      <c r="GI26">
        <v>28829.4</v>
      </c>
      <c r="GJ26">
        <v>23237.7</v>
      </c>
      <c r="GK26">
        <v>29504</v>
      </c>
      <c r="GL26">
        <v>27459.200000000001</v>
      </c>
      <c r="GM26">
        <v>37362.800000000003</v>
      </c>
      <c r="GN26">
        <v>32853.9</v>
      </c>
      <c r="GO26">
        <v>43724</v>
      </c>
      <c r="GP26">
        <v>1.9601999999999999</v>
      </c>
      <c r="GQ26">
        <v>1.8163</v>
      </c>
      <c r="GR26">
        <v>3.7252900000000002E-4</v>
      </c>
      <c r="GS26">
        <v>0</v>
      </c>
      <c r="GT26">
        <v>30.0305</v>
      </c>
      <c r="GU26">
        <v>999.9</v>
      </c>
      <c r="GV26">
        <v>44.9</v>
      </c>
      <c r="GW26">
        <v>37.200000000000003</v>
      </c>
      <c r="GX26">
        <v>28.872299999999999</v>
      </c>
      <c r="GY26">
        <v>61.465000000000003</v>
      </c>
      <c r="GZ26">
        <v>38.477600000000002</v>
      </c>
      <c r="HA26">
        <v>1</v>
      </c>
      <c r="HB26">
        <v>0.45071099999999997</v>
      </c>
      <c r="HC26">
        <v>4.1116000000000001</v>
      </c>
      <c r="HD26">
        <v>20.2698</v>
      </c>
      <c r="HE26">
        <v>5.2100999999999997</v>
      </c>
      <c r="HF26">
        <v>11.872199999999999</v>
      </c>
      <c r="HG26">
        <v>4.9846000000000004</v>
      </c>
      <c r="HH26">
        <v>3.2839999999999998</v>
      </c>
      <c r="HI26">
        <v>9999</v>
      </c>
      <c r="HJ26">
        <v>9999</v>
      </c>
      <c r="HK26">
        <v>9999</v>
      </c>
      <c r="HL26">
        <v>999.9</v>
      </c>
      <c r="HM26">
        <v>1.8545499999999999</v>
      </c>
      <c r="HN26">
        <v>1.8605799999999999</v>
      </c>
      <c r="HO26">
        <v>1.8579300000000001</v>
      </c>
      <c r="HP26">
        <v>1.8591299999999999</v>
      </c>
      <c r="HQ26">
        <v>1.85849</v>
      </c>
      <c r="HR26">
        <v>1.85903</v>
      </c>
      <c r="HS26">
        <v>1.85737</v>
      </c>
      <c r="HT26">
        <v>1.8607499999999999</v>
      </c>
      <c r="HU26">
        <v>5</v>
      </c>
      <c r="HV26">
        <v>0</v>
      </c>
      <c r="HW26">
        <v>0</v>
      </c>
      <c r="HX26">
        <v>0</v>
      </c>
      <c r="HY26" t="s">
        <v>422</v>
      </c>
      <c r="HZ26" t="s">
        <v>423</v>
      </c>
      <c r="IA26" t="s">
        <v>424</v>
      </c>
      <c r="IB26" t="s">
        <v>424</v>
      </c>
      <c r="IC26" t="s">
        <v>424</v>
      </c>
      <c r="ID26" t="s">
        <v>424</v>
      </c>
      <c r="IE26">
        <v>0</v>
      </c>
      <c r="IF26">
        <v>100</v>
      </c>
      <c r="IG26">
        <v>100</v>
      </c>
      <c r="IH26">
        <v>-1.4530000000000001</v>
      </c>
      <c r="II26">
        <v>0.17169999999999999</v>
      </c>
      <c r="IJ26">
        <v>1.373064453503625E-2</v>
      </c>
      <c r="IK26">
        <v>-4.1229525807901877E-3</v>
      </c>
      <c r="IL26">
        <v>1.8448211998558991E-6</v>
      </c>
      <c r="IM26">
        <v>-3.7020276670297668E-10</v>
      </c>
      <c r="IN26">
        <v>-0.13836208487967239</v>
      </c>
      <c r="IO26">
        <v>-1.3488639696665739E-2</v>
      </c>
      <c r="IP26">
        <v>1.1588640342490499E-3</v>
      </c>
      <c r="IQ26">
        <v>-1.0624341560077559E-5</v>
      </c>
      <c r="IR26">
        <v>2</v>
      </c>
      <c r="IS26">
        <v>1915</v>
      </c>
      <c r="IT26">
        <v>1</v>
      </c>
      <c r="IU26">
        <v>42</v>
      </c>
      <c r="IV26">
        <v>0.6</v>
      </c>
      <c r="IW26">
        <v>0.5</v>
      </c>
      <c r="IX26">
        <v>1.2023900000000001</v>
      </c>
      <c r="IY26">
        <v>2.4633799999999999</v>
      </c>
      <c r="IZ26">
        <v>1.49414</v>
      </c>
      <c r="JA26">
        <v>2.2985799999999998</v>
      </c>
      <c r="JB26">
        <v>1.54419</v>
      </c>
      <c r="JC26">
        <v>2.3779300000000001</v>
      </c>
      <c r="JD26">
        <v>41.717399999999998</v>
      </c>
      <c r="JE26">
        <v>14.815</v>
      </c>
      <c r="JF26">
        <v>18</v>
      </c>
      <c r="JG26">
        <v>512.36599999999999</v>
      </c>
      <c r="JH26">
        <v>448.46499999999997</v>
      </c>
      <c r="JI26">
        <v>23.867000000000001</v>
      </c>
      <c r="JJ26">
        <v>32.9771</v>
      </c>
      <c r="JK26">
        <v>30.000800000000002</v>
      </c>
      <c r="JL26">
        <v>32.872799999999998</v>
      </c>
      <c r="JM26">
        <v>32.840499999999999</v>
      </c>
      <c r="JN26">
        <v>24.1295</v>
      </c>
      <c r="JO26">
        <v>24.332599999999999</v>
      </c>
      <c r="JP26">
        <v>24.031099999999999</v>
      </c>
      <c r="JQ26">
        <v>23.873799999999999</v>
      </c>
      <c r="JR26">
        <v>500</v>
      </c>
      <c r="JS26">
        <v>22.4284</v>
      </c>
      <c r="JT26">
        <v>97.444500000000005</v>
      </c>
      <c r="JU26">
        <v>98.328500000000005</v>
      </c>
    </row>
    <row r="27" spans="1:281" x14ac:dyDescent="0.25">
      <c r="A27">
        <v>11</v>
      </c>
      <c r="B27">
        <v>1691160555</v>
      </c>
      <c r="C27">
        <v>1309.400000095367</v>
      </c>
      <c r="D27" t="s">
        <v>471</v>
      </c>
      <c r="E27" t="s">
        <v>472</v>
      </c>
      <c r="F27" t="s">
        <v>413</v>
      </c>
      <c r="G27" t="s">
        <v>31</v>
      </c>
      <c r="H27" t="s">
        <v>414</v>
      </c>
      <c r="I27" t="s">
        <v>415</v>
      </c>
      <c r="J27">
        <v>1691160555</v>
      </c>
      <c r="K27">
        <f t="shared" si="0"/>
        <v>5.3473589026868237E-3</v>
      </c>
      <c r="L27">
        <f t="shared" si="1"/>
        <v>5.3473589026868238</v>
      </c>
      <c r="M27">
        <f t="shared" si="2"/>
        <v>57.327948567906219</v>
      </c>
      <c r="N27">
        <f t="shared" si="3"/>
        <v>627.26499999999999</v>
      </c>
      <c r="O27">
        <f t="shared" si="4"/>
        <v>361.36566376217939</v>
      </c>
      <c r="P27">
        <f t="shared" si="5"/>
        <v>35.857841173145573</v>
      </c>
      <c r="Q27">
        <f t="shared" si="6"/>
        <v>62.242683793764499</v>
      </c>
      <c r="R27">
        <f t="shared" si="7"/>
        <v>0.38333504122432688</v>
      </c>
      <c r="S27">
        <f t="shared" si="8"/>
        <v>2.9146623258669941</v>
      </c>
      <c r="T27">
        <f t="shared" si="9"/>
        <v>0.35736766991459862</v>
      </c>
      <c r="U27">
        <f t="shared" si="10"/>
        <v>0.22554110479214151</v>
      </c>
      <c r="V27">
        <f t="shared" si="11"/>
        <v>344.3949999934004</v>
      </c>
      <c r="W27">
        <f t="shared" si="12"/>
        <v>30.915175141544999</v>
      </c>
      <c r="X27">
        <f t="shared" si="13"/>
        <v>30.0044</v>
      </c>
      <c r="Y27">
        <f t="shared" si="14"/>
        <v>4.2615266446801447</v>
      </c>
      <c r="Z27">
        <f t="shared" si="15"/>
        <v>65.386806789056578</v>
      </c>
      <c r="AA27">
        <f t="shared" si="16"/>
        <v>2.8298037614573999</v>
      </c>
      <c r="AB27">
        <f t="shared" si="17"/>
        <v>4.3277901161110197</v>
      </c>
      <c r="AC27">
        <f t="shared" si="18"/>
        <v>1.4317228832227449</v>
      </c>
      <c r="AD27">
        <f t="shared" si="19"/>
        <v>-235.81852760848892</v>
      </c>
      <c r="AE27">
        <f t="shared" si="20"/>
        <v>42.253675531434602</v>
      </c>
      <c r="AF27">
        <f t="shared" si="21"/>
        <v>3.2278424961292349</v>
      </c>
      <c r="AG27">
        <f t="shared" si="22"/>
        <v>154.05799041247533</v>
      </c>
      <c r="AH27">
        <v>0</v>
      </c>
      <c r="AI27">
        <v>0</v>
      </c>
      <c r="AJ27">
        <f t="shared" si="23"/>
        <v>1</v>
      </c>
      <c r="AK27">
        <f t="shared" si="24"/>
        <v>0</v>
      </c>
      <c r="AL27">
        <f t="shared" si="25"/>
        <v>51863.298881426912</v>
      </c>
      <c r="AM27" t="s">
        <v>416</v>
      </c>
      <c r="AN27">
        <v>10235.299999999999</v>
      </c>
      <c r="AO27">
        <v>594.051923076923</v>
      </c>
      <c r="AP27">
        <v>2007.77</v>
      </c>
      <c r="AQ27">
        <f t="shared" si="26"/>
        <v>0.70412351859180933</v>
      </c>
      <c r="AR27">
        <v>-0.54275787784279261</v>
      </c>
      <c r="AS27" t="s">
        <v>473</v>
      </c>
      <c r="AT27">
        <v>10180.200000000001</v>
      </c>
      <c r="AU27">
        <v>671.08699999999999</v>
      </c>
      <c r="AV27">
        <v>1138.544580642533</v>
      </c>
      <c r="AW27">
        <f t="shared" si="27"/>
        <v>0.41057468331958091</v>
      </c>
      <c r="AX27">
        <v>0.5</v>
      </c>
      <c r="AY27">
        <f t="shared" si="28"/>
        <v>1513.2719999967003</v>
      </c>
      <c r="AZ27">
        <f t="shared" si="29"/>
        <v>57.327948567906219</v>
      </c>
      <c r="BA27">
        <f t="shared" si="30"/>
        <v>310.65558608751701</v>
      </c>
      <c r="BB27">
        <f t="shared" si="31"/>
        <v>3.8242104820465327E-2</v>
      </c>
      <c r="BC27">
        <f t="shared" si="32"/>
        <v>0.76345312615420224</v>
      </c>
      <c r="BD27">
        <f t="shared" si="33"/>
        <v>484.58913704343104</v>
      </c>
      <c r="BE27" t="s">
        <v>474</v>
      </c>
      <c r="BF27">
        <v>521.98</v>
      </c>
      <c r="BG27">
        <f t="shared" si="34"/>
        <v>521.98</v>
      </c>
      <c r="BH27">
        <f t="shared" si="35"/>
        <v>0.54153749543524876</v>
      </c>
      <c r="BI27">
        <f t="shared" si="36"/>
        <v>0.75816483028491044</v>
      </c>
      <c r="BJ27">
        <f t="shared" si="37"/>
        <v>0.58502575690876035</v>
      </c>
      <c r="BK27">
        <f t="shared" si="38"/>
        <v>0.85851953033215245</v>
      </c>
      <c r="BL27">
        <f t="shared" si="39"/>
        <v>0.61485060815612902</v>
      </c>
      <c r="BM27">
        <f t="shared" si="40"/>
        <v>0.5897102433993171</v>
      </c>
      <c r="BN27">
        <f t="shared" si="41"/>
        <v>0.4102897566006829</v>
      </c>
      <c r="BO27">
        <v>12489</v>
      </c>
      <c r="BP27">
        <v>290.00000000000011</v>
      </c>
      <c r="BQ27">
        <v>985.22</v>
      </c>
      <c r="BR27">
        <v>175</v>
      </c>
      <c r="BS27">
        <v>10180.200000000001</v>
      </c>
      <c r="BT27">
        <v>987.89</v>
      </c>
      <c r="BU27">
        <v>-2.67</v>
      </c>
      <c r="BV27">
        <v>300.00000000000011</v>
      </c>
      <c r="BW27">
        <v>24.2</v>
      </c>
      <c r="BX27">
        <v>1138.544580642533</v>
      </c>
      <c r="BY27">
        <v>3.024644830591122</v>
      </c>
      <c r="BZ27">
        <v>-153.36533910779289</v>
      </c>
      <c r="CA27">
        <v>2.7382621511841538</v>
      </c>
      <c r="CB27">
        <v>0.99115303407106792</v>
      </c>
      <c r="CC27">
        <v>-6.9481777530589709E-3</v>
      </c>
      <c r="CD27">
        <v>289.99999999999989</v>
      </c>
      <c r="CE27">
        <v>972.85</v>
      </c>
      <c r="CF27">
        <v>625</v>
      </c>
      <c r="CG27">
        <v>10149.200000000001</v>
      </c>
      <c r="CH27">
        <v>987.43</v>
      </c>
      <c r="CI27">
        <v>-14.58</v>
      </c>
      <c r="CW27">
        <f t="shared" si="42"/>
        <v>1800.1</v>
      </c>
      <c r="CX27">
        <f t="shared" si="43"/>
        <v>1513.2719999967003</v>
      </c>
      <c r="CY27">
        <f t="shared" si="44"/>
        <v>0.84065996333353721</v>
      </c>
      <c r="CZ27">
        <f t="shared" si="45"/>
        <v>0.19131992666707429</v>
      </c>
      <c r="DA27">
        <v>6</v>
      </c>
      <c r="DB27">
        <v>0.5</v>
      </c>
      <c r="DC27" t="s">
        <v>419</v>
      </c>
      <c r="DD27">
        <v>2</v>
      </c>
      <c r="DE27">
        <v>1691160555</v>
      </c>
      <c r="DF27">
        <v>627.26499999999999</v>
      </c>
      <c r="DG27">
        <v>700.07500000000005</v>
      </c>
      <c r="DH27">
        <v>28.518000000000001</v>
      </c>
      <c r="DI27">
        <v>22.2849</v>
      </c>
      <c r="DJ27">
        <v>628.96600000000001</v>
      </c>
      <c r="DK27">
        <v>28.344000000000001</v>
      </c>
      <c r="DL27">
        <v>500.05900000000003</v>
      </c>
      <c r="DM27">
        <v>99.129000000000005</v>
      </c>
      <c r="DN27">
        <v>9.9689299999999995E-2</v>
      </c>
      <c r="DO27">
        <v>30.273299999999999</v>
      </c>
      <c r="DP27">
        <v>30.0044</v>
      </c>
      <c r="DQ27">
        <v>999.9</v>
      </c>
      <c r="DR27">
        <v>0</v>
      </c>
      <c r="DS27">
        <v>0</v>
      </c>
      <c r="DT27">
        <v>10002.5</v>
      </c>
      <c r="DU27">
        <v>0</v>
      </c>
      <c r="DV27">
        <v>1129.24</v>
      </c>
      <c r="DW27">
        <v>-72.809399999999997</v>
      </c>
      <c r="DX27">
        <v>645.67899999999997</v>
      </c>
      <c r="DY27">
        <v>716.03099999999995</v>
      </c>
      <c r="DZ27">
        <v>6.2330300000000003</v>
      </c>
      <c r="EA27">
        <v>700.07500000000005</v>
      </c>
      <c r="EB27">
        <v>22.2849</v>
      </c>
      <c r="EC27">
        <v>2.8269600000000001</v>
      </c>
      <c r="ED27">
        <v>2.2090800000000002</v>
      </c>
      <c r="EE27">
        <v>23.042300000000001</v>
      </c>
      <c r="EF27">
        <v>19.028300000000002</v>
      </c>
      <c r="EG27">
        <v>1800.1</v>
      </c>
      <c r="EH27">
        <v>0.97799899999999995</v>
      </c>
      <c r="EI27">
        <v>2.2001300000000001E-2</v>
      </c>
      <c r="EJ27">
        <v>0</v>
      </c>
      <c r="EK27">
        <v>672.64</v>
      </c>
      <c r="EL27">
        <v>0.100005</v>
      </c>
      <c r="EM27">
        <v>16109.3</v>
      </c>
      <c r="EN27">
        <v>14863.3</v>
      </c>
      <c r="EO27">
        <v>50.625</v>
      </c>
      <c r="EP27">
        <v>51.811999999999998</v>
      </c>
      <c r="EQ27">
        <v>51.5</v>
      </c>
      <c r="ER27">
        <v>50.625</v>
      </c>
      <c r="ES27">
        <v>51.5</v>
      </c>
      <c r="ET27">
        <v>1760.4</v>
      </c>
      <c r="EU27">
        <v>39.6</v>
      </c>
      <c r="EV27">
        <v>0</v>
      </c>
      <c r="EW27">
        <v>103.80000019073491</v>
      </c>
      <c r="EX27">
        <v>0</v>
      </c>
      <c r="EY27">
        <v>671.08699999999999</v>
      </c>
      <c r="EZ27">
        <v>-1.229230796895193</v>
      </c>
      <c r="FA27">
        <v>43.792306974040457</v>
      </c>
      <c r="FB27">
        <v>16110.16</v>
      </c>
      <c r="FC27">
        <v>15</v>
      </c>
      <c r="FD27">
        <v>1691160526</v>
      </c>
      <c r="FE27" t="s">
        <v>475</v>
      </c>
      <c r="FF27">
        <v>1691160526</v>
      </c>
      <c r="FG27">
        <v>1691160526</v>
      </c>
      <c r="FH27">
        <v>16</v>
      </c>
      <c r="FI27">
        <v>0.24099999999999999</v>
      </c>
      <c r="FJ27">
        <v>6.0000000000000001E-3</v>
      </c>
      <c r="FK27">
        <v>-1.8580000000000001</v>
      </c>
      <c r="FL27">
        <v>1.7999999999999999E-2</v>
      </c>
      <c r="FM27">
        <v>700</v>
      </c>
      <c r="FN27">
        <v>22</v>
      </c>
      <c r="FO27">
        <v>0.09</v>
      </c>
      <c r="FP27">
        <v>0.05</v>
      </c>
      <c r="FQ27">
        <v>57.3227515801522</v>
      </c>
      <c r="FR27">
        <v>-0.55578136804673928</v>
      </c>
      <c r="FS27">
        <v>0.1204175468566883</v>
      </c>
      <c r="FT27">
        <v>1</v>
      </c>
      <c r="FU27">
        <v>0.38419591577106349</v>
      </c>
      <c r="FV27">
        <v>2.5927628863053651E-2</v>
      </c>
      <c r="FW27">
        <v>3.1242171082722331E-3</v>
      </c>
      <c r="FX27">
        <v>1</v>
      </c>
      <c r="FY27">
        <v>2</v>
      </c>
      <c r="FZ27">
        <v>2</v>
      </c>
      <c r="GA27" t="s">
        <v>421</v>
      </c>
      <c r="GB27">
        <v>2.9184299999999999</v>
      </c>
      <c r="GC27">
        <v>2.8296000000000001</v>
      </c>
      <c r="GD27">
        <v>0.12506900000000001</v>
      </c>
      <c r="GE27">
        <v>0.13225400000000001</v>
      </c>
      <c r="GF27">
        <v>0.133188</v>
      </c>
      <c r="GG27">
        <v>0.108347</v>
      </c>
      <c r="GH27">
        <v>22577.200000000001</v>
      </c>
      <c r="GI27">
        <v>27928.1</v>
      </c>
      <c r="GJ27">
        <v>23238.1</v>
      </c>
      <c r="GK27">
        <v>29501.7</v>
      </c>
      <c r="GL27">
        <v>27476.5</v>
      </c>
      <c r="GM27">
        <v>37390.6</v>
      </c>
      <c r="GN27">
        <v>32854.400000000001</v>
      </c>
      <c r="GO27">
        <v>43722.5</v>
      </c>
      <c r="GP27">
        <v>1.9592000000000001</v>
      </c>
      <c r="GQ27">
        <v>1.8140000000000001</v>
      </c>
      <c r="GR27">
        <v>4.0233100000000004E-3</v>
      </c>
      <c r="GS27">
        <v>0</v>
      </c>
      <c r="GT27">
        <v>29.9389</v>
      </c>
      <c r="GU27">
        <v>999.9</v>
      </c>
      <c r="GV27">
        <v>44.5</v>
      </c>
      <c r="GW27">
        <v>37.299999999999997</v>
      </c>
      <c r="GX27">
        <v>28.769600000000001</v>
      </c>
      <c r="GY27">
        <v>61.505099999999999</v>
      </c>
      <c r="GZ27">
        <v>38.633800000000001</v>
      </c>
      <c r="HA27">
        <v>1</v>
      </c>
      <c r="HB27">
        <v>0.45534599999999997</v>
      </c>
      <c r="HC27">
        <v>3.74376</v>
      </c>
      <c r="HD27">
        <v>20.278400000000001</v>
      </c>
      <c r="HE27">
        <v>5.2107000000000001</v>
      </c>
      <c r="HF27">
        <v>11.872199999999999</v>
      </c>
      <c r="HG27">
        <v>4.9846000000000004</v>
      </c>
      <c r="HH27">
        <v>3.2839999999999998</v>
      </c>
      <c r="HI27">
        <v>9999</v>
      </c>
      <c r="HJ27">
        <v>9999</v>
      </c>
      <c r="HK27">
        <v>9999</v>
      </c>
      <c r="HL27">
        <v>999.9</v>
      </c>
      <c r="HM27">
        <v>1.8545499999999999</v>
      </c>
      <c r="HN27">
        <v>1.8606</v>
      </c>
      <c r="HO27">
        <v>1.8579399999999999</v>
      </c>
      <c r="HP27">
        <v>1.8591299999999999</v>
      </c>
      <c r="HQ27">
        <v>1.85849</v>
      </c>
      <c r="HR27">
        <v>1.85903</v>
      </c>
      <c r="HS27">
        <v>1.8573299999999999</v>
      </c>
      <c r="HT27">
        <v>1.8607199999999999</v>
      </c>
      <c r="HU27">
        <v>5</v>
      </c>
      <c r="HV27">
        <v>0</v>
      </c>
      <c r="HW27">
        <v>0</v>
      </c>
      <c r="HX27">
        <v>0</v>
      </c>
      <c r="HY27" t="s">
        <v>422</v>
      </c>
      <c r="HZ27" t="s">
        <v>423</v>
      </c>
      <c r="IA27" t="s">
        <v>424</v>
      </c>
      <c r="IB27" t="s">
        <v>424</v>
      </c>
      <c r="IC27" t="s">
        <v>424</v>
      </c>
      <c r="ID27" t="s">
        <v>424</v>
      </c>
      <c r="IE27">
        <v>0</v>
      </c>
      <c r="IF27">
        <v>100</v>
      </c>
      <c r="IG27">
        <v>100</v>
      </c>
      <c r="IH27">
        <v>-1.7010000000000001</v>
      </c>
      <c r="II27">
        <v>0.17399999999999999</v>
      </c>
      <c r="IJ27">
        <v>0.25472334432475779</v>
      </c>
      <c r="IK27">
        <v>-4.1229525807901877E-3</v>
      </c>
      <c r="IL27">
        <v>1.8448211998558991E-6</v>
      </c>
      <c r="IM27">
        <v>-3.7020276670297668E-10</v>
      </c>
      <c r="IN27">
        <v>-0.13283325964886381</v>
      </c>
      <c r="IO27">
        <v>-1.3488639696665739E-2</v>
      </c>
      <c r="IP27">
        <v>1.1588640342490499E-3</v>
      </c>
      <c r="IQ27">
        <v>-1.0624341560077559E-5</v>
      </c>
      <c r="IR27">
        <v>2</v>
      </c>
      <c r="IS27">
        <v>1915</v>
      </c>
      <c r="IT27">
        <v>1</v>
      </c>
      <c r="IU27">
        <v>42</v>
      </c>
      <c r="IV27">
        <v>0.5</v>
      </c>
      <c r="IW27">
        <v>0.5</v>
      </c>
      <c r="IX27">
        <v>1.5783700000000001</v>
      </c>
      <c r="IY27">
        <v>2.4621599999999999</v>
      </c>
      <c r="IZ27">
        <v>1.49414</v>
      </c>
      <c r="JA27">
        <v>2.2985799999999998</v>
      </c>
      <c r="JB27">
        <v>1.54419</v>
      </c>
      <c r="JC27">
        <v>2.32178</v>
      </c>
      <c r="JD27">
        <v>41.874899999999997</v>
      </c>
      <c r="JE27">
        <v>14.7887</v>
      </c>
      <c r="JF27">
        <v>18</v>
      </c>
      <c r="JG27">
        <v>512.51199999999994</v>
      </c>
      <c r="JH27">
        <v>447.63299999999998</v>
      </c>
      <c r="JI27">
        <v>23.9876</v>
      </c>
      <c r="JJ27">
        <v>33.080199999999998</v>
      </c>
      <c r="JK27">
        <v>30.000499999999999</v>
      </c>
      <c r="JL27">
        <v>32.971499999999999</v>
      </c>
      <c r="JM27">
        <v>32.936199999999999</v>
      </c>
      <c r="JN27">
        <v>31.665199999999999</v>
      </c>
      <c r="JO27">
        <v>24.8432</v>
      </c>
      <c r="JP27">
        <v>22.924499999999998</v>
      </c>
      <c r="JQ27">
        <v>23.992100000000001</v>
      </c>
      <c r="JR27">
        <v>700</v>
      </c>
      <c r="JS27">
        <v>22.242999999999999</v>
      </c>
      <c r="JT27">
        <v>97.446100000000001</v>
      </c>
      <c r="JU27">
        <v>98.323499999999996</v>
      </c>
    </row>
    <row r="28" spans="1:281" x14ac:dyDescent="0.25">
      <c r="A28">
        <v>12</v>
      </c>
      <c r="B28">
        <v>1691160713.5</v>
      </c>
      <c r="C28">
        <v>1467.900000095367</v>
      </c>
      <c r="D28" t="s">
        <v>476</v>
      </c>
      <c r="E28" t="s">
        <v>477</v>
      </c>
      <c r="F28" t="s">
        <v>413</v>
      </c>
      <c r="G28" t="s">
        <v>31</v>
      </c>
      <c r="H28" t="s">
        <v>414</v>
      </c>
      <c r="I28" t="s">
        <v>415</v>
      </c>
      <c r="J28">
        <v>1691160713.5</v>
      </c>
      <c r="K28">
        <f t="shared" si="0"/>
        <v>5.0581908070999665E-3</v>
      </c>
      <c r="L28">
        <f t="shared" si="1"/>
        <v>5.0581908070999662</v>
      </c>
      <c r="M28">
        <f t="shared" si="2"/>
        <v>57.202290803115332</v>
      </c>
      <c r="N28">
        <f t="shared" si="3"/>
        <v>826.66499999999996</v>
      </c>
      <c r="O28">
        <f t="shared" si="4"/>
        <v>536.57790215199066</v>
      </c>
      <c r="P28">
        <f t="shared" si="5"/>
        <v>53.243794125029382</v>
      </c>
      <c r="Q28">
        <f t="shared" si="6"/>
        <v>82.028687528581486</v>
      </c>
      <c r="R28">
        <f t="shared" si="7"/>
        <v>0.35374250865263329</v>
      </c>
      <c r="S28">
        <f t="shared" si="8"/>
        <v>2.9155454910811951</v>
      </c>
      <c r="T28">
        <f t="shared" si="9"/>
        <v>0.33151118480402525</v>
      </c>
      <c r="U28">
        <f t="shared" si="10"/>
        <v>0.20907535223316823</v>
      </c>
      <c r="V28">
        <f t="shared" si="11"/>
        <v>344.36269999339976</v>
      </c>
      <c r="W28">
        <f t="shared" si="12"/>
        <v>30.894818729454297</v>
      </c>
      <c r="X28">
        <f t="shared" si="13"/>
        <v>29.988</v>
      </c>
      <c r="Y28">
        <f t="shared" si="14"/>
        <v>4.2575140533627343</v>
      </c>
      <c r="Z28">
        <f t="shared" si="15"/>
        <v>64.990546033786018</v>
      </c>
      <c r="AA28">
        <f t="shared" si="16"/>
        <v>2.7973095735796596</v>
      </c>
      <c r="AB28">
        <f t="shared" si="17"/>
        <v>4.3041792141974762</v>
      </c>
      <c r="AC28">
        <f t="shared" si="18"/>
        <v>1.4602044797830747</v>
      </c>
      <c r="AD28">
        <f t="shared" si="19"/>
        <v>-223.06621459310853</v>
      </c>
      <c r="AE28">
        <f t="shared" si="20"/>
        <v>29.849030529030905</v>
      </c>
      <c r="AF28">
        <f t="shared" si="21"/>
        <v>2.2782751632393792</v>
      </c>
      <c r="AG28">
        <f t="shared" si="22"/>
        <v>153.42379109256149</v>
      </c>
      <c r="AH28">
        <v>0</v>
      </c>
      <c r="AI28">
        <v>0</v>
      </c>
      <c r="AJ28">
        <f t="shared" si="23"/>
        <v>1</v>
      </c>
      <c r="AK28">
        <f t="shared" si="24"/>
        <v>0</v>
      </c>
      <c r="AL28">
        <f t="shared" si="25"/>
        <v>51904.750323806526</v>
      </c>
      <c r="AM28" t="s">
        <v>416</v>
      </c>
      <c r="AN28">
        <v>10235.299999999999</v>
      </c>
      <c r="AO28">
        <v>594.051923076923</v>
      </c>
      <c r="AP28">
        <v>2007.77</v>
      </c>
      <c r="AQ28">
        <f t="shared" si="26"/>
        <v>0.70412351859180933</v>
      </c>
      <c r="AR28">
        <v>-0.54275787784279261</v>
      </c>
      <c r="AS28" t="s">
        <v>478</v>
      </c>
      <c r="AT28">
        <v>10168.1</v>
      </c>
      <c r="AU28">
        <v>671.47160000000008</v>
      </c>
      <c r="AV28">
        <v>1148.487825379935</v>
      </c>
      <c r="AW28">
        <f t="shared" si="27"/>
        <v>0.41534286636615547</v>
      </c>
      <c r="AX28">
        <v>0.5</v>
      </c>
      <c r="AY28">
        <f t="shared" si="28"/>
        <v>1513.1291999966998</v>
      </c>
      <c r="AZ28">
        <f t="shared" si="29"/>
        <v>57.202290803115332</v>
      </c>
      <c r="BA28">
        <f t="shared" si="30"/>
        <v>314.23370955447848</v>
      </c>
      <c r="BB28">
        <f t="shared" si="31"/>
        <v>3.8162668912267425E-2</v>
      </c>
      <c r="BC28">
        <f t="shared" si="32"/>
        <v>0.74818570613563373</v>
      </c>
      <c r="BD28">
        <f t="shared" si="33"/>
        <v>486.3814024728805</v>
      </c>
      <c r="BE28" t="s">
        <v>479</v>
      </c>
      <c r="BF28">
        <v>522.63</v>
      </c>
      <c r="BG28">
        <f t="shared" si="34"/>
        <v>522.63</v>
      </c>
      <c r="BH28">
        <f t="shared" si="35"/>
        <v>0.54494075735882785</v>
      </c>
      <c r="BI28">
        <f t="shared" si="36"/>
        <v>0.7621798530526579</v>
      </c>
      <c r="BJ28">
        <f t="shared" si="37"/>
        <v>0.57858664814095984</v>
      </c>
      <c r="BK28">
        <f t="shared" si="38"/>
        <v>0.86036316082437703</v>
      </c>
      <c r="BL28">
        <f t="shared" si="39"/>
        <v>0.60781720814539753</v>
      </c>
      <c r="BM28">
        <f t="shared" si="40"/>
        <v>0.59323142870213807</v>
      </c>
      <c r="BN28">
        <f t="shared" si="41"/>
        <v>0.40676857129786193</v>
      </c>
      <c r="BO28">
        <v>12491</v>
      </c>
      <c r="BP28">
        <v>290.00000000000011</v>
      </c>
      <c r="BQ28">
        <v>991.72</v>
      </c>
      <c r="BR28">
        <v>255</v>
      </c>
      <c r="BS28">
        <v>10168.1</v>
      </c>
      <c r="BT28">
        <v>994.04</v>
      </c>
      <c r="BU28">
        <v>-2.3199999999999998</v>
      </c>
      <c r="BV28">
        <v>300.00000000000011</v>
      </c>
      <c r="BW28">
        <v>24.2</v>
      </c>
      <c r="BX28">
        <v>1148.487825379935</v>
      </c>
      <c r="BY28">
        <v>2.3566536296248608</v>
      </c>
      <c r="BZ28">
        <v>-157.04522170209381</v>
      </c>
      <c r="CA28">
        <v>2.1333794844920511</v>
      </c>
      <c r="CB28">
        <v>0.99485948593839435</v>
      </c>
      <c r="CC28">
        <v>-6.9479092324805456E-3</v>
      </c>
      <c r="CD28">
        <v>289.99999999999989</v>
      </c>
      <c r="CE28">
        <v>978.72</v>
      </c>
      <c r="CF28">
        <v>665</v>
      </c>
      <c r="CG28">
        <v>10145.799999999999</v>
      </c>
      <c r="CH28">
        <v>993.7</v>
      </c>
      <c r="CI28">
        <v>-14.98</v>
      </c>
      <c r="CW28">
        <f t="shared" si="42"/>
        <v>1799.93</v>
      </c>
      <c r="CX28">
        <f t="shared" si="43"/>
        <v>1513.1291999966998</v>
      </c>
      <c r="CY28">
        <f t="shared" si="44"/>
        <v>0.84066002566583131</v>
      </c>
      <c r="CZ28">
        <f t="shared" si="45"/>
        <v>0.19132005133166274</v>
      </c>
      <c r="DA28">
        <v>6</v>
      </c>
      <c r="DB28">
        <v>0.5</v>
      </c>
      <c r="DC28" t="s">
        <v>419</v>
      </c>
      <c r="DD28">
        <v>2</v>
      </c>
      <c r="DE28">
        <v>1691160713.5</v>
      </c>
      <c r="DF28">
        <v>826.66499999999996</v>
      </c>
      <c r="DG28">
        <v>900.32899999999995</v>
      </c>
      <c r="DH28">
        <v>28.1906</v>
      </c>
      <c r="DI28">
        <v>22.291599999999999</v>
      </c>
      <c r="DJ28">
        <v>828.24900000000002</v>
      </c>
      <c r="DK28">
        <v>28.024999999999999</v>
      </c>
      <c r="DL28">
        <v>499.976</v>
      </c>
      <c r="DM28">
        <v>99.129499999999993</v>
      </c>
      <c r="DN28">
        <v>9.89511E-2</v>
      </c>
      <c r="DO28">
        <v>30.177900000000001</v>
      </c>
      <c r="DP28">
        <v>29.988</v>
      </c>
      <c r="DQ28">
        <v>999.9</v>
      </c>
      <c r="DR28">
        <v>0</v>
      </c>
      <c r="DS28">
        <v>0</v>
      </c>
      <c r="DT28">
        <v>10007.5</v>
      </c>
      <c r="DU28">
        <v>0</v>
      </c>
      <c r="DV28">
        <v>1152.42</v>
      </c>
      <c r="DW28">
        <v>-73.664500000000004</v>
      </c>
      <c r="DX28">
        <v>850.64499999999998</v>
      </c>
      <c r="DY28">
        <v>920.85699999999997</v>
      </c>
      <c r="DZ28">
        <v>5.8990600000000004</v>
      </c>
      <c r="EA28">
        <v>900.32899999999995</v>
      </c>
      <c r="EB28">
        <v>22.291599999999999</v>
      </c>
      <c r="EC28">
        <v>2.79453</v>
      </c>
      <c r="ED28">
        <v>2.2097600000000002</v>
      </c>
      <c r="EE28">
        <v>22.851800000000001</v>
      </c>
      <c r="EF28">
        <v>19.033200000000001</v>
      </c>
      <c r="EG28">
        <v>1799.93</v>
      </c>
      <c r="EH28">
        <v>0.97799899999999995</v>
      </c>
      <c r="EI28">
        <v>2.2001300000000001E-2</v>
      </c>
      <c r="EJ28">
        <v>0</v>
      </c>
      <c r="EK28">
        <v>670.57500000000005</v>
      </c>
      <c r="EL28">
        <v>0.100005</v>
      </c>
      <c r="EM28">
        <v>16090</v>
      </c>
      <c r="EN28">
        <v>14862</v>
      </c>
      <c r="EO28">
        <v>50.686999999999998</v>
      </c>
      <c r="EP28">
        <v>51.936999999999998</v>
      </c>
      <c r="EQ28">
        <v>51.625</v>
      </c>
      <c r="ER28">
        <v>50.686999999999998</v>
      </c>
      <c r="ES28">
        <v>51.561999999999998</v>
      </c>
      <c r="ET28">
        <v>1760.23</v>
      </c>
      <c r="EU28">
        <v>39.6</v>
      </c>
      <c r="EV28">
        <v>0</v>
      </c>
      <c r="EW28">
        <v>156.20000004768369</v>
      </c>
      <c r="EX28">
        <v>0</v>
      </c>
      <c r="EY28">
        <v>671.47160000000008</v>
      </c>
      <c r="EZ28">
        <v>3.502692307240745</v>
      </c>
      <c r="FA28">
        <v>177.49230851480871</v>
      </c>
      <c r="FB28">
        <v>16089.907999999999</v>
      </c>
      <c r="FC28">
        <v>15</v>
      </c>
      <c r="FD28">
        <v>1691160678.5</v>
      </c>
      <c r="FE28" t="s">
        <v>480</v>
      </c>
      <c r="FF28">
        <v>1691160678.5</v>
      </c>
      <c r="FG28">
        <v>1691160677</v>
      </c>
      <c r="FH28">
        <v>17</v>
      </c>
      <c r="FI28">
        <v>0.52100000000000002</v>
      </c>
      <c r="FJ28">
        <v>0</v>
      </c>
      <c r="FK28">
        <v>-1.714</v>
      </c>
      <c r="FL28">
        <v>0.03</v>
      </c>
      <c r="FM28">
        <v>900</v>
      </c>
      <c r="FN28">
        <v>23</v>
      </c>
      <c r="FO28">
        <v>0.11</v>
      </c>
      <c r="FP28">
        <v>0.06</v>
      </c>
      <c r="FQ28">
        <v>57.119225722509029</v>
      </c>
      <c r="FR28">
        <v>7.5766247719709551E-2</v>
      </c>
      <c r="FS28">
        <v>0.1176736401475533</v>
      </c>
      <c r="FT28">
        <v>1</v>
      </c>
      <c r="FU28">
        <v>0.35018865650881542</v>
      </c>
      <c r="FV28">
        <v>-1.6867549648211591E-2</v>
      </c>
      <c r="FW28">
        <v>1.9822546316419312E-3</v>
      </c>
      <c r="FX28">
        <v>1</v>
      </c>
      <c r="FY28">
        <v>2</v>
      </c>
      <c r="FZ28">
        <v>2</v>
      </c>
      <c r="GA28" t="s">
        <v>421</v>
      </c>
      <c r="GB28">
        <v>2.9181300000000001</v>
      </c>
      <c r="GC28">
        <v>2.8289</v>
      </c>
      <c r="GD28">
        <v>0.150618</v>
      </c>
      <c r="GE28">
        <v>0.156329</v>
      </c>
      <c r="GF28">
        <v>0.13211200000000001</v>
      </c>
      <c r="GG28">
        <v>0.10834199999999999</v>
      </c>
      <c r="GH28">
        <v>21916.9</v>
      </c>
      <c r="GI28">
        <v>27148.3</v>
      </c>
      <c r="GJ28">
        <v>23237.599999999999</v>
      </c>
      <c r="GK28">
        <v>29497.3</v>
      </c>
      <c r="GL28">
        <v>27513.4</v>
      </c>
      <c r="GM28">
        <v>37388.6</v>
      </c>
      <c r="GN28">
        <v>32854.300000000003</v>
      </c>
      <c r="GO28">
        <v>43716.3</v>
      </c>
      <c r="GP28">
        <v>1.9572000000000001</v>
      </c>
      <c r="GQ28">
        <v>1.8122</v>
      </c>
      <c r="GR28">
        <v>6.0349699999999997E-3</v>
      </c>
      <c r="GS28">
        <v>0</v>
      </c>
      <c r="GT28">
        <v>29.889800000000001</v>
      </c>
      <c r="GU28">
        <v>999.9</v>
      </c>
      <c r="GV28">
        <v>43.8</v>
      </c>
      <c r="GW28">
        <v>37.5</v>
      </c>
      <c r="GX28">
        <v>28.624700000000001</v>
      </c>
      <c r="GY28">
        <v>61.515099999999997</v>
      </c>
      <c r="GZ28">
        <v>38.5777</v>
      </c>
      <c r="HA28">
        <v>1</v>
      </c>
      <c r="HB28">
        <v>0.46429900000000002</v>
      </c>
      <c r="HC28">
        <v>4.1424300000000001</v>
      </c>
      <c r="HD28">
        <v>20.267700000000001</v>
      </c>
      <c r="HE28">
        <v>5.20411</v>
      </c>
      <c r="HF28">
        <v>11.872199999999999</v>
      </c>
      <c r="HG28">
        <v>4.9825999999999997</v>
      </c>
      <c r="HH28">
        <v>3.2825000000000002</v>
      </c>
      <c r="HI28">
        <v>9999</v>
      </c>
      <c r="HJ28">
        <v>9999</v>
      </c>
      <c r="HK28">
        <v>9999</v>
      </c>
      <c r="HL28">
        <v>999.9</v>
      </c>
      <c r="HM28">
        <v>1.8545499999999999</v>
      </c>
      <c r="HN28">
        <v>1.8606400000000001</v>
      </c>
      <c r="HO28">
        <v>1.8580000000000001</v>
      </c>
      <c r="HP28">
        <v>1.8591899999999999</v>
      </c>
      <c r="HQ28">
        <v>1.8585199999999999</v>
      </c>
      <c r="HR28">
        <v>1.8591</v>
      </c>
      <c r="HS28">
        <v>1.8574299999999999</v>
      </c>
      <c r="HT28">
        <v>1.8607100000000001</v>
      </c>
      <c r="HU28">
        <v>5</v>
      </c>
      <c r="HV28">
        <v>0</v>
      </c>
      <c r="HW28">
        <v>0</v>
      </c>
      <c r="HX28">
        <v>0</v>
      </c>
      <c r="HY28" t="s">
        <v>422</v>
      </c>
      <c r="HZ28" t="s">
        <v>423</v>
      </c>
      <c r="IA28" t="s">
        <v>424</v>
      </c>
      <c r="IB28" t="s">
        <v>424</v>
      </c>
      <c r="IC28" t="s">
        <v>424</v>
      </c>
      <c r="ID28" t="s">
        <v>424</v>
      </c>
      <c r="IE28">
        <v>0</v>
      </c>
      <c r="IF28">
        <v>100</v>
      </c>
      <c r="IG28">
        <v>100</v>
      </c>
      <c r="IH28">
        <v>-1.5840000000000001</v>
      </c>
      <c r="II28">
        <v>0.1656</v>
      </c>
      <c r="IJ28">
        <v>0.77577438640548779</v>
      </c>
      <c r="IK28">
        <v>-4.1229525807901877E-3</v>
      </c>
      <c r="IL28">
        <v>1.8448211998558991E-6</v>
      </c>
      <c r="IM28">
        <v>-3.7020276670297668E-10</v>
      </c>
      <c r="IN28">
        <v>-0.1326422443690323</v>
      </c>
      <c r="IO28">
        <v>-1.3488639696665739E-2</v>
      </c>
      <c r="IP28">
        <v>1.1588640342490499E-3</v>
      </c>
      <c r="IQ28">
        <v>-1.0624341560077559E-5</v>
      </c>
      <c r="IR28">
        <v>2</v>
      </c>
      <c r="IS28">
        <v>1915</v>
      </c>
      <c r="IT28">
        <v>1</v>
      </c>
      <c r="IU28">
        <v>42</v>
      </c>
      <c r="IV28">
        <v>0.6</v>
      </c>
      <c r="IW28">
        <v>0.6</v>
      </c>
      <c r="IX28">
        <v>1.9348099999999999</v>
      </c>
      <c r="IY28">
        <v>2.4572799999999999</v>
      </c>
      <c r="IZ28">
        <v>1.49414</v>
      </c>
      <c r="JA28">
        <v>2.2973599999999998</v>
      </c>
      <c r="JB28">
        <v>1.54419</v>
      </c>
      <c r="JC28">
        <v>2.3815900000000001</v>
      </c>
      <c r="JD28">
        <v>42.085700000000003</v>
      </c>
      <c r="JE28">
        <v>14.744899999999999</v>
      </c>
      <c r="JF28">
        <v>18</v>
      </c>
      <c r="JG28">
        <v>512.06899999999996</v>
      </c>
      <c r="JH28">
        <v>447.27699999999999</v>
      </c>
      <c r="JI28">
        <v>23.4938</v>
      </c>
      <c r="JJ28">
        <v>33.177799999999998</v>
      </c>
      <c r="JK28">
        <v>30.0001</v>
      </c>
      <c r="JL28">
        <v>33.079500000000003</v>
      </c>
      <c r="JM28">
        <v>33.049799999999998</v>
      </c>
      <c r="JN28">
        <v>38.792700000000004</v>
      </c>
      <c r="JO28">
        <v>24.580100000000002</v>
      </c>
      <c r="JP28">
        <v>21.497</v>
      </c>
      <c r="JQ28">
        <v>23.496300000000002</v>
      </c>
      <c r="JR28">
        <v>900</v>
      </c>
      <c r="JS28">
        <v>22.146599999999999</v>
      </c>
      <c r="JT28">
        <v>97.444999999999993</v>
      </c>
      <c r="JU28">
        <v>98.309200000000004</v>
      </c>
    </row>
    <row r="29" spans="1:281" x14ac:dyDescent="0.25">
      <c r="A29">
        <v>13</v>
      </c>
      <c r="B29">
        <v>1691160858</v>
      </c>
      <c r="C29">
        <v>1612.400000095367</v>
      </c>
      <c r="D29" t="s">
        <v>481</v>
      </c>
      <c r="E29" t="s">
        <v>482</v>
      </c>
      <c r="F29" t="s">
        <v>413</v>
      </c>
      <c r="G29" t="s">
        <v>31</v>
      </c>
      <c r="H29" t="s">
        <v>414</v>
      </c>
      <c r="I29" t="s">
        <v>415</v>
      </c>
      <c r="J29">
        <v>1691160858</v>
      </c>
      <c r="K29">
        <f t="shared" si="0"/>
        <v>4.6214560087823996E-3</v>
      </c>
      <c r="L29">
        <f t="shared" si="1"/>
        <v>4.6214560087823999</v>
      </c>
      <c r="M29">
        <f t="shared" si="2"/>
        <v>56.658656517444285</v>
      </c>
      <c r="N29">
        <f t="shared" si="3"/>
        <v>1126</v>
      </c>
      <c r="O29">
        <f t="shared" si="4"/>
        <v>799.88698361650324</v>
      </c>
      <c r="P29">
        <f t="shared" si="5"/>
        <v>79.370664643905954</v>
      </c>
      <c r="Q29">
        <f t="shared" si="6"/>
        <v>111.7299946362</v>
      </c>
      <c r="R29">
        <f t="shared" si="7"/>
        <v>0.31514475264731451</v>
      </c>
      <c r="S29">
        <f t="shared" si="8"/>
        <v>2.9207518066423219</v>
      </c>
      <c r="T29">
        <f t="shared" si="9"/>
        <v>0.29739915080698193</v>
      </c>
      <c r="U29">
        <f t="shared" si="10"/>
        <v>0.18738552107321493</v>
      </c>
      <c r="V29">
        <f t="shared" si="11"/>
        <v>344.40389999340232</v>
      </c>
      <c r="W29">
        <f t="shared" si="12"/>
        <v>30.953253106462242</v>
      </c>
      <c r="X29">
        <f t="shared" si="13"/>
        <v>30.043299999999999</v>
      </c>
      <c r="Y29">
        <f t="shared" si="14"/>
        <v>4.2710574981832226</v>
      </c>
      <c r="Z29">
        <f t="shared" si="15"/>
        <v>64.881342897381515</v>
      </c>
      <c r="AA29">
        <f t="shared" si="16"/>
        <v>2.7839224951272006</v>
      </c>
      <c r="AB29">
        <f t="shared" si="17"/>
        <v>4.2907904966306649</v>
      </c>
      <c r="AC29">
        <f t="shared" si="18"/>
        <v>1.487135003056022</v>
      </c>
      <c r="AD29">
        <f t="shared" si="19"/>
        <v>-203.80620998730382</v>
      </c>
      <c r="AE29">
        <f t="shared" si="20"/>
        <v>12.64432478339616</v>
      </c>
      <c r="AF29">
        <f t="shared" si="21"/>
        <v>0.96338276086246566</v>
      </c>
      <c r="AG29">
        <f t="shared" si="22"/>
        <v>154.20539755035716</v>
      </c>
      <c r="AH29">
        <v>0</v>
      </c>
      <c r="AI29">
        <v>0</v>
      </c>
      <c r="AJ29">
        <f t="shared" si="23"/>
        <v>1</v>
      </c>
      <c r="AK29">
        <f t="shared" si="24"/>
        <v>0</v>
      </c>
      <c r="AL29">
        <f t="shared" si="25"/>
        <v>52062.221576251657</v>
      </c>
      <c r="AM29" t="s">
        <v>416</v>
      </c>
      <c r="AN29">
        <v>10235.299999999999</v>
      </c>
      <c r="AO29">
        <v>594.051923076923</v>
      </c>
      <c r="AP29">
        <v>2007.77</v>
      </c>
      <c r="AQ29">
        <f t="shared" si="26"/>
        <v>0.70412351859180933</v>
      </c>
      <c r="AR29">
        <v>-0.54275787784279261</v>
      </c>
      <c r="AS29" t="s">
        <v>483</v>
      </c>
      <c r="AT29">
        <v>10167.799999999999</v>
      </c>
      <c r="AU29">
        <v>672.4248</v>
      </c>
      <c r="AV29">
        <v>1150.4624686224799</v>
      </c>
      <c r="AW29">
        <f t="shared" si="27"/>
        <v>0.41551783014257226</v>
      </c>
      <c r="AX29">
        <v>0.5</v>
      </c>
      <c r="AY29">
        <f t="shared" si="28"/>
        <v>1513.3136999967014</v>
      </c>
      <c r="AZ29">
        <f t="shared" si="29"/>
        <v>56.658656517444285</v>
      </c>
      <c r="BA29">
        <f t="shared" si="30"/>
        <v>314.40441247382847</v>
      </c>
      <c r="BB29">
        <f t="shared" si="31"/>
        <v>3.779878183578974E-2</v>
      </c>
      <c r="BC29">
        <f t="shared" si="32"/>
        <v>0.74518513620355431</v>
      </c>
      <c r="BD29">
        <f t="shared" si="33"/>
        <v>486.73520384373387</v>
      </c>
      <c r="BE29" t="s">
        <v>484</v>
      </c>
      <c r="BF29">
        <v>527.21</v>
      </c>
      <c r="BG29">
        <f t="shared" si="34"/>
        <v>527.21</v>
      </c>
      <c r="BH29">
        <f t="shared" si="35"/>
        <v>0.54174080912760125</v>
      </c>
      <c r="BI29">
        <f t="shared" si="36"/>
        <v>0.76700485387413631</v>
      </c>
      <c r="BJ29">
        <f t="shared" si="37"/>
        <v>0.57904274826924951</v>
      </c>
      <c r="BK29">
        <f t="shared" si="38"/>
        <v>0.85914559393148648</v>
      </c>
      <c r="BL29">
        <f t="shared" si="39"/>
        <v>0.60642043514321398</v>
      </c>
      <c r="BM29">
        <f t="shared" si="40"/>
        <v>0.60136483516221206</v>
      </c>
      <c r="BN29">
        <f t="shared" si="41"/>
        <v>0.39863516483778794</v>
      </c>
      <c r="BO29">
        <v>12493</v>
      </c>
      <c r="BP29">
        <v>290.00000000000011</v>
      </c>
      <c r="BQ29">
        <v>998.24</v>
      </c>
      <c r="BR29">
        <v>285</v>
      </c>
      <c r="BS29">
        <v>10167.799999999999</v>
      </c>
      <c r="BT29">
        <v>998.55</v>
      </c>
      <c r="BU29">
        <v>-0.31</v>
      </c>
      <c r="BV29">
        <v>300.00000000000011</v>
      </c>
      <c r="BW29">
        <v>24.2</v>
      </c>
      <c r="BX29">
        <v>1150.4624686224799</v>
      </c>
      <c r="BY29">
        <v>2.2712508161302041</v>
      </c>
      <c r="BZ29">
        <v>-154.4606926761887</v>
      </c>
      <c r="CA29">
        <v>2.056805949121689</v>
      </c>
      <c r="CB29">
        <v>0.99505964872238151</v>
      </c>
      <c r="CC29">
        <v>-6.9493143492769813E-3</v>
      </c>
      <c r="CD29">
        <v>289.99999999999989</v>
      </c>
      <c r="CE29">
        <v>984.36</v>
      </c>
      <c r="CF29">
        <v>655</v>
      </c>
      <c r="CG29">
        <v>10150.200000000001</v>
      </c>
      <c r="CH29">
        <v>998.29</v>
      </c>
      <c r="CI29">
        <v>-13.93</v>
      </c>
      <c r="CW29">
        <f t="shared" si="42"/>
        <v>1800.15</v>
      </c>
      <c r="CX29">
        <f t="shared" si="43"/>
        <v>1513.3136999967014</v>
      </c>
      <c r="CY29">
        <f t="shared" si="44"/>
        <v>0.84065977834997152</v>
      </c>
      <c r="CZ29">
        <f t="shared" si="45"/>
        <v>0.19131955669994294</v>
      </c>
      <c r="DA29">
        <v>6</v>
      </c>
      <c r="DB29">
        <v>0.5</v>
      </c>
      <c r="DC29" t="s">
        <v>419</v>
      </c>
      <c r="DD29">
        <v>2</v>
      </c>
      <c r="DE29">
        <v>1691160858</v>
      </c>
      <c r="DF29">
        <v>1126</v>
      </c>
      <c r="DG29">
        <v>1200.23</v>
      </c>
      <c r="DH29">
        <v>28.056000000000001</v>
      </c>
      <c r="DI29">
        <v>22.6662</v>
      </c>
      <c r="DJ29">
        <v>1127.8</v>
      </c>
      <c r="DK29">
        <v>27.887899999999998</v>
      </c>
      <c r="DL29">
        <v>500.03300000000002</v>
      </c>
      <c r="DM29">
        <v>99.127600000000001</v>
      </c>
      <c r="DN29">
        <v>9.9748699999999996E-2</v>
      </c>
      <c r="DO29">
        <v>30.1236</v>
      </c>
      <c r="DP29">
        <v>30.043299999999999</v>
      </c>
      <c r="DQ29">
        <v>999.9</v>
      </c>
      <c r="DR29">
        <v>0</v>
      </c>
      <c r="DS29">
        <v>0</v>
      </c>
      <c r="DT29">
        <v>10037.5</v>
      </c>
      <c r="DU29">
        <v>0</v>
      </c>
      <c r="DV29">
        <v>1168</v>
      </c>
      <c r="DW29">
        <v>-74.223600000000005</v>
      </c>
      <c r="DX29">
        <v>1158.51</v>
      </c>
      <c r="DY29">
        <v>1228.06</v>
      </c>
      <c r="DZ29">
        <v>5.3898099999999998</v>
      </c>
      <c r="EA29">
        <v>1200.23</v>
      </c>
      <c r="EB29">
        <v>22.6662</v>
      </c>
      <c r="EC29">
        <v>2.7811300000000001</v>
      </c>
      <c r="ED29">
        <v>2.2468499999999998</v>
      </c>
      <c r="EE29">
        <v>22.772500000000001</v>
      </c>
      <c r="EF29">
        <v>19.3003</v>
      </c>
      <c r="EG29">
        <v>1800.15</v>
      </c>
      <c r="EH29">
        <v>0.97800699999999996</v>
      </c>
      <c r="EI29">
        <v>2.1992999999999999E-2</v>
      </c>
      <c r="EJ29">
        <v>0</v>
      </c>
      <c r="EK29">
        <v>672.76499999999999</v>
      </c>
      <c r="EL29">
        <v>0.100005</v>
      </c>
      <c r="EM29">
        <v>16047</v>
      </c>
      <c r="EN29">
        <v>14863.8</v>
      </c>
      <c r="EO29">
        <v>50.25</v>
      </c>
      <c r="EP29">
        <v>51.375</v>
      </c>
      <c r="EQ29">
        <v>51.125</v>
      </c>
      <c r="ER29">
        <v>50</v>
      </c>
      <c r="ES29">
        <v>51.061999999999998</v>
      </c>
      <c r="ET29">
        <v>1760.46</v>
      </c>
      <c r="EU29">
        <v>39.590000000000003</v>
      </c>
      <c r="EV29">
        <v>0</v>
      </c>
      <c r="EW29">
        <v>142.20000004768369</v>
      </c>
      <c r="EX29">
        <v>0</v>
      </c>
      <c r="EY29">
        <v>672.4248</v>
      </c>
      <c r="EZ29">
        <v>0.88692308880508708</v>
      </c>
      <c r="FA29">
        <v>-113.2615385668652</v>
      </c>
      <c r="FB29">
        <v>16053.048000000001</v>
      </c>
      <c r="FC29">
        <v>15</v>
      </c>
      <c r="FD29">
        <v>1691160824.5</v>
      </c>
      <c r="FE29" t="s">
        <v>485</v>
      </c>
      <c r="FF29">
        <v>1691160824.5</v>
      </c>
      <c r="FG29">
        <v>1691160815.5</v>
      </c>
      <c r="FH29">
        <v>18</v>
      </c>
      <c r="FI29">
        <v>0.26500000000000001</v>
      </c>
      <c r="FJ29">
        <v>6.0000000000000001E-3</v>
      </c>
      <c r="FK29">
        <v>-1.893</v>
      </c>
      <c r="FL29">
        <v>3.9E-2</v>
      </c>
      <c r="FM29">
        <v>1200</v>
      </c>
      <c r="FN29">
        <v>23</v>
      </c>
      <c r="FO29">
        <v>0.1</v>
      </c>
      <c r="FP29">
        <v>7.0000000000000007E-2</v>
      </c>
      <c r="FQ29">
        <v>56.853968730692337</v>
      </c>
      <c r="FR29">
        <v>-0.16339581550298349</v>
      </c>
      <c r="FS29">
        <v>0.17188581771402409</v>
      </c>
      <c r="FT29">
        <v>1</v>
      </c>
      <c r="FU29">
        <v>0.32126797776782789</v>
      </c>
      <c r="FV29">
        <v>6.5903571721719744E-3</v>
      </c>
      <c r="FW29">
        <v>1.9166966295019159E-3</v>
      </c>
      <c r="FX29">
        <v>1</v>
      </c>
      <c r="FY29">
        <v>2</v>
      </c>
      <c r="FZ29">
        <v>2</v>
      </c>
      <c r="GA29" t="s">
        <v>421</v>
      </c>
      <c r="GB29">
        <v>2.9181400000000002</v>
      </c>
      <c r="GC29">
        <v>2.8299599999999998</v>
      </c>
      <c r="GD29">
        <v>0.183472</v>
      </c>
      <c r="GE29">
        <v>0.18753500000000001</v>
      </c>
      <c r="GF29">
        <v>0.13162199999999999</v>
      </c>
      <c r="GG29">
        <v>0.109587</v>
      </c>
      <c r="GH29">
        <v>21068.2</v>
      </c>
      <c r="GI29">
        <v>26137.3</v>
      </c>
      <c r="GJ29">
        <v>23237.9</v>
      </c>
      <c r="GK29">
        <v>29491.7</v>
      </c>
      <c r="GL29">
        <v>27531.7</v>
      </c>
      <c r="GM29">
        <v>37334.800000000003</v>
      </c>
      <c r="GN29">
        <v>32853.199999999997</v>
      </c>
      <c r="GO29">
        <v>43710.2</v>
      </c>
      <c r="GP29">
        <v>1.9561999999999999</v>
      </c>
      <c r="GQ29">
        <v>1.8096000000000001</v>
      </c>
      <c r="GR29">
        <v>8.6426699999999999E-3</v>
      </c>
      <c r="GS29">
        <v>0</v>
      </c>
      <c r="GT29">
        <v>29.902699999999999</v>
      </c>
      <c r="GU29">
        <v>999.9</v>
      </c>
      <c r="GV29">
        <v>43.4</v>
      </c>
      <c r="GW29">
        <v>37.700000000000003</v>
      </c>
      <c r="GX29">
        <v>28.6769</v>
      </c>
      <c r="GY29">
        <v>61.415100000000002</v>
      </c>
      <c r="GZ29">
        <v>38.613799999999998</v>
      </c>
      <c r="HA29">
        <v>1</v>
      </c>
      <c r="HB29">
        <v>0.47492899999999999</v>
      </c>
      <c r="HC29">
        <v>3.6500300000000001</v>
      </c>
      <c r="HD29">
        <v>20.2788</v>
      </c>
      <c r="HE29">
        <v>5.2100999999999997</v>
      </c>
      <c r="HF29">
        <v>11.872199999999999</v>
      </c>
      <c r="HG29">
        <v>4.9846000000000004</v>
      </c>
      <c r="HH29">
        <v>3.2839999999999998</v>
      </c>
      <c r="HI29">
        <v>9999</v>
      </c>
      <c r="HJ29">
        <v>9999</v>
      </c>
      <c r="HK29">
        <v>9999</v>
      </c>
      <c r="HL29">
        <v>999.9</v>
      </c>
      <c r="HM29">
        <v>1.8545499999999999</v>
      </c>
      <c r="HN29">
        <v>1.8606</v>
      </c>
      <c r="HO29">
        <v>1.85802</v>
      </c>
      <c r="HP29">
        <v>1.85914</v>
      </c>
      <c r="HQ29">
        <v>1.8585199999999999</v>
      </c>
      <c r="HR29">
        <v>1.85903</v>
      </c>
      <c r="HS29">
        <v>1.8573900000000001</v>
      </c>
      <c r="HT29">
        <v>1.8607100000000001</v>
      </c>
      <c r="HU29">
        <v>5</v>
      </c>
      <c r="HV29">
        <v>0</v>
      </c>
      <c r="HW29">
        <v>0</v>
      </c>
      <c r="HX29">
        <v>0</v>
      </c>
      <c r="HY29" t="s">
        <v>422</v>
      </c>
      <c r="HZ29" t="s">
        <v>423</v>
      </c>
      <c r="IA29" t="s">
        <v>424</v>
      </c>
      <c r="IB29" t="s">
        <v>424</v>
      </c>
      <c r="IC29" t="s">
        <v>424</v>
      </c>
      <c r="ID29" t="s">
        <v>424</v>
      </c>
      <c r="IE29">
        <v>0</v>
      </c>
      <c r="IF29">
        <v>100</v>
      </c>
      <c r="IG29">
        <v>100</v>
      </c>
      <c r="IH29">
        <v>-1.8</v>
      </c>
      <c r="II29">
        <v>0.1681</v>
      </c>
      <c r="IJ29">
        <v>1.0399223061413381</v>
      </c>
      <c r="IK29">
        <v>-4.1229525807901877E-3</v>
      </c>
      <c r="IL29">
        <v>1.8448211998558991E-6</v>
      </c>
      <c r="IM29">
        <v>-3.7020276670297668E-10</v>
      </c>
      <c r="IN29">
        <v>-0.12658318516853689</v>
      </c>
      <c r="IO29">
        <v>-1.3488639696665739E-2</v>
      </c>
      <c r="IP29">
        <v>1.1588640342490499E-3</v>
      </c>
      <c r="IQ29">
        <v>-1.0624341560077559E-5</v>
      </c>
      <c r="IR29">
        <v>2</v>
      </c>
      <c r="IS29">
        <v>1915</v>
      </c>
      <c r="IT29">
        <v>1</v>
      </c>
      <c r="IU29">
        <v>42</v>
      </c>
      <c r="IV29">
        <v>0.6</v>
      </c>
      <c r="IW29">
        <v>0.7</v>
      </c>
      <c r="IX29">
        <v>2.4450699999999999</v>
      </c>
      <c r="IY29">
        <v>2.4475099999999999</v>
      </c>
      <c r="IZ29">
        <v>1.49414</v>
      </c>
      <c r="JA29">
        <v>2.2973599999999998</v>
      </c>
      <c r="JB29">
        <v>1.54419</v>
      </c>
      <c r="JC29">
        <v>2.3107899999999999</v>
      </c>
      <c r="JD29">
        <v>42.297499999999999</v>
      </c>
      <c r="JE29">
        <v>14.7187</v>
      </c>
      <c r="JF29">
        <v>18</v>
      </c>
      <c r="JG29">
        <v>512.41</v>
      </c>
      <c r="JH29">
        <v>446.44499999999999</v>
      </c>
      <c r="JI29">
        <v>23.522200000000002</v>
      </c>
      <c r="JJ29">
        <v>33.302500000000002</v>
      </c>
      <c r="JK29">
        <v>29.9999</v>
      </c>
      <c r="JL29">
        <v>33.2027</v>
      </c>
      <c r="JM29">
        <v>33.172800000000002</v>
      </c>
      <c r="JN29">
        <v>48.980400000000003</v>
      </c>
      <c r="JO29">
        <v>23.222100000000001</v>
      </c>
      <c r="JP29">
        <v>20.2072</v>
      </c>
      <c r="JQ29">
        <v>23.594899999999999</v>
      </c>
      <c r="JR29">
        <v>1200</v>
      </c>
      <c r="JS29">
        <v>22.6355</v>
      </c>
      <c r="JT29">
        <v>97.443600000000004</v>
      </c>
      <c r="JU29">
        <v>98.293400000000005</v>
      </c>
    </row>
    <row r="30" spans="1:281" x14ac:dyDescent="0.25">
      <c r="A30">
        <v>14</v>
      </c>
      <c r="B30">
        <v>1691161021.5</v>
      </c>
      <c r="C30">
        <v>1775.900000095367</v>
      </c>
      <c r="D30" t="s">
        <v>486</v>
      </c>
      <c r="E30" t="s">
        <v>487</v>
      </c>
      <c r="F30" t="s">
        <v>413</v>
      </c>
      <c r="G30" t="s">
        <v>31</v>
      </c>
      <c r="H30" t="s">
        <v>414</v>
      </c>
      <c r="I30" t="s">
        <v>415</v>
      </c>
      <c r="J30">
        <v>1691161021.5</v>
      </c>
      <c r="K30">
        <f t="shared" si="0"/>
        <v>4.1976006715494039E-3</v>
      </c>
      <c r="L30">
        <f t="shared" si="1"/>
        <v>4.1976006715494041</v>
      </c>
      <c r="M30">
        <f t="shared" si="2"/>
        <v>56.734393053836307</v>
      </c>
      <c r="N30">
        <f t="shared" si="3"/>
        <v>1424.81</v>
      </c>
      <c r="O30">
        <f t="shared" si="4"/>
        <v>1056.8284610224389</v>
      </c>
      <c r="P30">
        <f t="shared" si="5"/>
        <v>104.87599773173477</v>
      </c>
      <c r="Q30">
        <f t="shared" si="6"/>
        <v>141.39321170777998</v>
      </c>
      <c r="R30">
        <f t="shared" si="7"/>
        <v>0.28170968076005409</v>
      </c>
      <c r="S30">
        <f t="shared" si="8"/>
        <v>2.9051397163465316</v>
      </c>
      <c r="T30">
        <f t="shared" si="9"/>
        <v>0.26736569515706926</v>
      </c>
      <c r="U30">
        <f t="shared" si="10"/>
        <v>0.16833142461768652</v>
      </c>
      <c r="V30">
        <f t="shared" si="11"/>
        <v>344.36969999340158</v>
      </c>
      <c r="W30">
        <f t="shared" si="12"/>
        <v>30.978901121216012</v>
      </c>
      <c r="X30">
        <f t="shared" si="13"/>
        <v>30.021000000000001</v>
      </c>
      <c r="Y30">
        <f t="shared" si="14"/>
        <v>4.2655915259724431</v>
      </c>
      <c r="Z30">
        <f t="shared" si="15"/>
        <v>64.718804930945225</v>
      </c>
      <c r="AA30">
        <f t="shared" si="16"/>
        <v>2.7627650652275997</v>
      </c>
      <c r="AB30">
        <f t="shared" si="17"/>
        <v>4.2688752800294472</v>
      </c>
      <c r="AC30">
        <f t="shared" si="18"/>
        <v>1.5028264607448434</v>
      </c>
      <c r="AD30">
        <f t="shared" si="19"/>
        <v>-185.11418961532871</v>
      </c>
      <c r="AE30">
        <f t="shared" si="20"/>
        <v>2.0987333579949512</v>
      </c>
      <c r="AF30">
        <f t="shared" si="21"/>
        <v>0.16067504799150931</v>
      </c>
      <c r="AG30">
        <f t="shared" si="22"/>
        <v>161.51491878405932</v>
      </c>
      <c r="AH30">
        <v>0</v>
      </c>
      <c r="AI30">
        <v>0</v>
      </c>
      <c r="AJ30">
        <f t="shared" si="23"/>
        <v>1</v>
      </c>
      <c r="AK30">
        <f t="shared" si="24"/>
        <v>0</v>
      </c>
      <c r="AL30">
        <f t="shared" si="25"/>
        <v>51633.631999631056</v>
      </c>
      <c r="AM30" t="s">
        <v>416</v>
      </c>
      <c r="AN30">
        <v>10235.299999999999</v>
      </c>
      <c r="AO30">
        <v>594.051923076923</v>
      </c>
      <c r="AP30">
        <v>2007.77</v>
      </c>
      <c r="AQ30">
        <f t="shared" si="26"/>
        <v>0.70412351859180933</v>
      </c>
      <c r="AR30">
        <v>-0.54275787784279261</v>
      </c>
      <c r="AS30" t="s">
        <v>488</v>
      </c>
      <c r="AT30">
        <v>10178.299999999999</v>
      </c>
      <c r="AU30">
        <v>675.41269230769228</v>
      </c>
      <c r="AV30">
        <v>1155.713900418687</v>
      </c>
      <c r="AW30">
        <f t="shared" si="27"/>
        <v>0.41558832851019034</v>
      </c>
      <c r="AX30">
        <v>0.5</v>
      </c>
      <c r="AY30">
        <f t="shared" si="28"/>
        <v>1513.1624999967009</v>
      </c>
      <c r="AZ30">
        <f t="shared" si="29"/>
        <v>56.734393053836307</v>
      </c>
      <c r="BA30">
        <f t="shared" si="30"/>
        <v>314.42633706896493</v>
      </c>
      <c r="BB30">
        <f t="shared" si="31"/>
        <v>3.7852610629594628E-2</v>
      </c>
      <c r="BC30">
        <f t="shared" si="32"/>
        <v>0.73725521452379683</v>
      </c>
      <c r="BD30">
        <f t="shared" si="33"/>
        <v>487.6727143704195</v>
      </c>
      <c r="BE30" t="s">
        <v>489</v>
      </c>
      <c r="BF30">
        <v>526.66</v>
      </c>
      <c r="BG30">
        <f t="shared" si="34"/>
        <v>526.66</v>
      </c>
      <c r="BH30">
        <f t="shared" si="35"/>
        <v>0.54429898281122702</v>
      </c>
      <c r="BI30">
        <f t="shared" si="36"/>
        <v>0.76352949690211736</v>
      </c>
      <c r="BJ30">
        <f t="shared" si="37"/>
        <v>0.57528211920877781</v>
      </c>
      <c r="BK30">
        <f t="shared" si="38"/>
        <v>0.85514282163832089</v>
      </c>
      <c r="BL30">
        <f t="shared" si="39"/>
        <v>0.60270581064917295</v>
      </c>
      <c r="BM30">
        <f t="shared" si="40"/>
        <v>0.59536998551883646</v>
      </c>
      <c r="BN30">
        <f t="shared" si="41"/>
        <v>0.40463001448116354</v>
      </c>
      <c r="BO30">
        <v>12495</v>
      </c>
      <c r="BP30">
        <v>290.00000000000011</v>
      </c>
      <c r="BQ30">
        <v>1005.74</v>
      </c>
      <c r="BR30">
        <v>265</v>
      </c>
      <c r="BS30">
        <v>10178.299999999999</v>
      </c>
      <c r="BT30">
        <v>1006.26</v>
      </c>
      <c r="BU30">
        <v>-0.52</v>
      </c>
      <c r="BV30">
        <v>300.00000000000011</v>
      </c>
      <c r="BW30">
        <v>24.2</v>
      </c>
      <c r="BX30">
        <v>1155.713900418687</v>
      </c>
      <c r="BY30">
        <v>2.4505641606234358</v>
      </c>
      <c r="BZ30">
        <v>-152.11482814652621</v>
      </c>
      <c r="CA30">
        <v>2.221046886033597</v>
      </c>
      <c r="CB30">
        <v>0.99406602634843144</v>
      </c>
      <c r="CC30">
        <v>-6.9539679644048929E-3</v>
      </c>
      <c r="CD30">
        <v>289.99999999999989</v>
      </c>
      <c r="CE30">
        <v>992.21</v>
      </c>
      <c r="CF30">
        <v>635</v>
      </c>
      <c r="CG30">
        <v>10160.1</v>
      </c>
      <c r="CH30">
        <v>1006</v>
      </c>
      <c r="CI30">
        <v>-13.79</v>
      </c>
      <c r="CW30">
        <f t="shared" si="42"/>
        <v>1799.97</v>
      </c>
      <c r="CX30">
        <f t="shared" si="43"/>
        <v>1513.1624999967009</v>
      </c>
      <c r="CY30">
        <f t="shared" si="44"/>
        <v>0.84065984432890595</v>
      </c>
      <c r="CZ30">
        <f t="shared" si="45"/>
        <v>0.19131968865781185</v>
      </c>
      <c r="DA30">
        <v>6</v>
      </c>
      <c r="DB30">
        <v>0.5</v>
      </c>
      <c r="DC30" t="s">
        <v>419</v>
      </c>
      <c r="DD30">
        <v>2</v>
      </c>
      <c r="DE30">
        <v>1691161021.5</v>
      </c>
      <c r="DF30">
        <v>1424.81</v>
      </c>
      <c r="DG30">
        <v>1500.03</v>
      </c>
      <c r="DH30">
        <v>27.840199999999999</v>
      </c>
      <c r="DI30">
        <v>22.945799999999998</v>
      </c>
      <c r="DJ30">
        <v>1426.99</v>
      </c>
      <c r="DK30">
        <v>27.676400000000001</v>
      </c>
      <c r="DL30">
        <v>500.25400000000002</v>
      </c>
      <c r="DM30">
        <v>99.135499999999993</v>
      </c>
      <c r="DN30">
        <v>0.101038</v>
      </c>
      <c r="DO30">
        <v>30.034400000000002</v>
      </c>
      <c r="DP30">
        <v>30.021000000000001</v>
      </c>
      <c r="DQ30">
        <v>999.9</v>
      </c>
      <c r="DR30">
        <v>0</v>
      </c>
      <c r="DS30">
        <v>0</v>
      </c>
      <c r="DT30">
        <v>9947.5</v>
      </c>
      <c r="DU30">
        <v>0</v>
      </c>
      <c r="DV30">
        <v>1177.1300000000001</v>
      </c>
      <c r="DW30">
        <v>-75.215500000000006</v>
      </c>
      <c r="DX30">
        <v>1465.61</v>
      </c>
      <c r="DY30">
        <v>1535.25</v>
      </c>
      <c r="DZ30">
        <v>4.8944099999999997</v>
      </c>
      <c r="EA30">
        <v>1500.03</v>
      </c>
      <c r="EB30">
        <v>22.945799999999998</v>
      </c>
      <c r="EC30">
        <v>2.7599499999999999</v>
      </c>
      <c r="ED30">
        <v>2.27474</v>
      </c>
      <c r="EE30">
        <v>22.6465</v>
      </c>
      <c r="EF30">
        <v>19.4986</v>
      </c>
      <c r="EG30">
        <v>1799.97</v>
      </c>
      <c r="EH30">
        <v>0.97800500000000001</v>
      </c>
      <c r="EI30">
        <v>2.19951E-2</v>
      </c>
      <c r="EJ30">
        <v>0</v>
      </c>
      <c r="EK30">
        <v>675.64</v>
      </c>
      <c r="EL30">
        <v>0.100005</v>
      </c>
      <c r="EM30">
        <v>16050.2</v>
      </c>
      <c r="EN30">
        <v>14862.3</v>
      </c>
      <c r="EO30">
        <v>49.125</v>
      </c>
      <c r="EP30">
        <v>50.375</v>
      </c>
      <c r="EQ30">
        <v>50</v>
      </c>
      <c r="ER30">
        <v>49.061999999999998</v>
      </c>
      <c r="ES30">
        <v>50.061999999999998</v>
      </c>
      <c r="ET30">
        <v>1760.28</v>
      </c>
      <c r="EU30">
        <v>39.590000000000003</v>
      </c>
      <c r="EV30">
        <v>0</v>
      </c>
      <c r="EW30">
        <v>160.80000019073489</v>
      </c>
      <c r="EX30">
        <v>0</v>
      </c>
      <c r="EY30">
        <v>675.41269230769228</v>
      </c>
      <c r="EZ30">
        <v>3.4820512497717431</v>
      </c>
      <c r="FA30">
        <v>-79.928204876030591</v>
      </c>
      <c r="FB30">
        <v>16039.55</v>
      </c>
      <c r="FC30">
        <v>15</v>
      </c>
      <c r="FD30">
        <v>1691160973</v>
      </c>
      <c r="FE30" t="s">
        <v>490</v>
      </c>
      <c r="FF30">
        <v>1691160967</v>
      </c>
      <c r="FG30">
        <v>1691160973</v>
      </c>
      <c r="FH30">
        <v>19</v>
      </c>
      <c r="FI30">
        <v>-1.4999999999999999E-2</v>
      </c>
      <c r="FJ30">
        <v>1E-3</v>
      </c>
      <c r="FK30">
        <v>-2.262</v>
      </c>
      <c r="FL30">
        <v>4.8000000000000001E-2</v>
      </c>
      <c r="FM30">
        <v>1501</v>
      </c>
      <c r="FN30">
        <v>23</v>
      </c>
      <c r="FO30">
        <v>0.17</v>
      </c>
      <c r="FP30">
        <v>7.0000000000000007E-2</v>
      </c>
      <c r="FQ30">
        <v>56.887125942114473</v>
      </c>
      <c r="FR30">
        <v>0.35614547323971879</v>
      </c>
      <c r="FS30">
        <v>0.185278202659448</v>
      </c>
      <c r="FT30">
        <v>1</v>
      </c>
      <c r="FU30">
        <v>0.27800055607327212</v>
      </c>
      <c r="FV30">
        <v>1.5787191616963289E-2</v>
      </c>
      <c r="FW30">
        <v>2.7237313431986341E-3</v>
      </c>
      <c r="FX30">
        <v>1</v>
      </c>
      <c r="FY30">
        <v>2</v>
      </c>
      <c r="FZ30">
        <v>2</v>
      </c>
      <c r="GA30" t="s">
        <v>421</v>
      </c>
      <c r="GB30">
        <v>2.9185400000000001</v>
      </c>
      <c r="GC30">
        <v>2.83047</v>
      </c>
      <c r="GD30">
        <v>0.211675</v>
      </c>
      <c r="GE30">
        <v>0.21457799999999999</v>
      </c>
      <c r="GF30">
        <v>0.13089500000000001</v>
      </c>
      <c r="GG30">
        <v>0.110509</v>
      </c>
      <c r="GH30">
        <v>20337.2</v>
      </c>
      <c r="GI30">
        <v>25259.3</v>
      </c>
      <c r="GJ30">
        <v>23236.1</v>
      </c>
      <c r="GK30">
        <v>29485</v>
      </c>
      <c r="GL30">
        <v>27558.2</v>
      </c>
      <c r="GM30">
        <v>37292.699999999997</v>
      </c>
      <c r="GN30">
        <v>32853.4</v>
      </c>
      <c r="GO30">
        <v>43702.1</v>
      </c>
      <c r="GP30">
        <v>1.9540999999999999</v>
      </c>
      <c r="GQ30">
        <v>1.8067</v>
      </c>
      <c r="GR30">
        <v>3.72529E-3</v>
      </c>
      <c r="GS30">
        <v>0</v>
      </c>
      <c r="GT30">
        <v>29.9604</v>
      </c>
      <c r="GU30">
        <v>999.9</v>
      </c>
      <c r="GV30">
        <v>43</v>
      </c>
      <c r="GW30">
        <v>37.9</v>
      </c>
      <c r="GX30">
        <v>28.721299999999999</v>
      </c>
      <c r="GY30">
        <v>61.645099999999999</v>
      </c>
      <c r="GZ30">
        <v>38.810099999999998</v>
      </c>
      <c r="HA30">
        <v>1</v>
      </c>
      <c r="HB30">
        <v>0.49060999999999999</v>
      </c>
      <c r="HC30">
        <v>4.4919399999999996</v>
      </c>
      <c r="HD30">
        <v>20.216899999999999</v>
      </c>
      <c r="HE30">
        <v>5.2112999999999996</v>
      </c>
      <c r="HF30">
        <v>11.872199999999999</v>
      </c>
      <c r="HG30">
        <v>4.9850000000000003</v>
      </c>
      <c r="HH30">
        <v>3.2839999999999998</v>
      </c>
      <c r="HI30">
        <v>9999</v>
      </c>
      <c r="HJ30">
        <v>9999</v>
      </c>
      <c r="HK30">
        <v>9999</v>
      </c>
      <c r="HL30">
        <v>999.9</v>
      </c>
      <c r="HM30">
        <v>1.8548500000000001</v>
      </c>
      <c r="HN30">
        <v>1.8608100000000001</v>
      </c>
      <c r="HO30">
        <v>1.85822</v>
      </c>
      <c r="HP30">
        <v>1.8593599999999999</v>
      </c>
      <c r="HQ30">
        <v>1.8587</v>
      </c>
      <c r="HR30">
        <v>1.8592599999999999</v>
      </c>
      <c r="HS30">
        <v>1.8575999999999999</v>
      </c>
      <c r="HT30">
        <v>1.86093</v>
      </c>
      <c r="HU30">
        <v>5</v>
      </c>
      <c r="HV30">
        <v>0</v>
      </c>
      <c r="HW30">
        <v>0</v>
      </c>
      <c r="HX30">
        <v>0</v>
      </c>
      <c r="HY30" t="s">
        <v>422</v>
      </c>
      <c r="HZ30" t="s">
        <v>423</v>
      </c>
      <c r="IA30" t="s">
        <v>424</v>
      </c>
      <c r="IB30" t="s">
        <v>424</v>
      </c>
      <c r="IC30" t="s">
        <v>424</v>
      </c>
      <c r="ID30" t="s">
        <v>424</v>
      </c>
      <c r="IE30">
        <v>0</v>
      </c>
      <c r="IF30">
        <v>100</v>
      </c>
      <c r="IG30">
        <v>100</v>
      </c>
      <c r="IH30">
        <v>-2.1800000000000002</v>
      </c>
      <c r="II30">
        <v>0.1638</v>
      </c>
      <c r="IJ30">
        <v>1.0244544234419051</v>
      </c>
      <c r="IK30">
        <v>-4.1229525807901877E-3</v>
      </c>
      <c r="IL30">
        <v>1.8448211998558991E-6</v>
      </c>
      <c r="IM30">
        <v>-3.7020276670297668E-10</v>
      </c>
      <c r="IN30">
        <v>-0.1253147183173034</v>
      </c>
      <c r="IO30">
        <v>-1.3488639696665739E-2</v>
      </c>
      <c r="IP30">
        <v>1.1588640342490499E-3</v>
      </c>
      <c r="IQ30">
        <v>-1.0624341560077559E-5</v>
      </c>
      <c r="IR30">
        <v>2</v>
      </c>
      <c r="IS30">
        <v>1915</v>
      </c>
      <c r="IT30">
        <v>1</v>
      </c>
      <c r="IU30">
        <v>42</v>
      </c>
      <c r="IV30">
        <v>0.9</v>
      </c>
      <c r="IW30">
        <v>0.8</v>
      </c>
      <c r="IX30">
        <v>2.9235799999999998</v>
      </c>
      <c r="IY30">
        <v>2.4340799999999998</v>
      </c>
      <c r="IZ30">
        <v>1.49414</v>
      </c>
      <c r="JA30">
        <v>2.2949199999999998</v>
      </c>
      <c r="JB30">
        <v>1.54419</v>
      </c>
      <c r="JC30">
        <v>2.3718300000000001</v>
      </c>
      <c r="JD30">
        <v>42.510300000000001</v>
      </c>
      <c r="JE30">
        <v>23.877400000000002</v>
      </c>
      <c r="JF30">
        <v>18</v>
      </c>
      <c r="JG30">
        <v>512.11900000000003</v>
      </c>
      <c r="JH30">
        <v>445.52199999999999</v>
      </c>
      <c r="JI30">
        <v>23.3504</v>
      </c>
      <c r="JJ30">
        <v>33.439900000000002</v>
      </c>
      <c r="JK30">
        <v>30.001200000000001</v>
      </c>
      <c r="JL30">
        <v>33.338299999999997</v>
      </c>
      <c r="JM30">
        <v>33.311199999999999</v>
      </c>
      <c r="JN30">
        <v>58.565800000000003</v>
      </c>
      <c r="JO30">
        <v>22.764299999999999</v>
      </c>
      <c r="JP30">
        <v>19.337499999999999</v>
      </c>
      <c r="JQ30">
        <v>23.331299999999999</v>
      </c>
      <c r="JR30">
        <v>1500</v>
      </c>
      <c r="JS30">
        <v>22.8979</v>
      </c>
      <c r="JT30">
        <v>97.440799999999996</v>
      </c>
      <c r="JU30">
        <v>98.273499999999999</v>
      </c>
    </row>
    <row r="31" spans="1:281" x14ac:dyDescent="0.25">
      <c r="A31">
        <v>15</v>
      </c>
      <c r="B31">
        <v>1691163359.5</v>
      </c>
      <c r="C31">
        <v>4113.9000000953674</v>
      </c>
      <c r="D31" t="s">
        <v>491</v>
      </c>
      <c r="E31" t="s">
        <v>492</v>
      </c>
      <c r="F31" t="s">
        <v>413</v>
      </c>
      <c r="G31" t="s">
        <v>415</v>
      </c>
      <c r="H31" t="s">
        <v>493</v>
      </c>
      <c r="I31" t="s">
        <v>415</v>
      </c>
      <c r="J31">
        <v>1691163359.5</v>
      </c>
      <c r="K31">
        <f t="shared" si="0"/>
        <v>5.2327887975667621E-3</v>
      </c>
      <c r="L31">
        <f t="shared" si="1"/>
        <v>5.2327887975667622</v>
      </c>
      <c r="M31">
        <f t="shared" si="2"/>
        <v>45.687732477253739</v>
      </c>
      <c r="N31">
        <f t="shared" si="3"/>
        <v>342.96600000000001</v>
      </c>
      <c r="O31">
        <f t="shared" si="4"/>
        <v>93.467549812432438</v>
      </c>
      <c r="P31">
        <f t="shared" si="5"/>
        <v>9.2738442169988087</v>
      </c>
      <c r="Q31">
        <f t="shared" si="6"/>
        <v>34.02906422721</v>
      </c>
      <c r="R31">
        <f t="shared" si="7"/>
        <v>0.31572399776235938</v>
      </c>
      <c r="S31">
        <f t="shared" si="8"/>
        <v>2.9149247988950178</v>
      </c>
      <c r="T31">
        <f t="shared" si="9"/>
        <v>0.29788164007905327</v>
      </c>
      <c r="U31">
        <f t="shared" si="10"/>
        <v>0.18769501268331984</v>
      </c>
      <c r="V31">
        <f t="shared" si="11"/>
        <v>344.36459999339979</v>
      </c>
      <c r="W31">
        <f t="shared" si="12"/>
        <v>30.730909475013558</v>
      </c>
      <c r="X31">
        <f t="shared" si="13"/>
        <v>30.008600000000001</v>
      </c>
      <c r="Y31">
        <f t="shared" si="14"/>
        <v>4.2625547894765692</v>
      </c>
      <c r="Z31">
        <f t="shared" si="15"/>
        <v>60.343831186204056</v>
      </c>
      <c r="AA31">
        <f t="shared" si="16"/>
        <v>2.5796885440195001</v>
      </c>
      <c r="AB31">
        <f t="shared" si="17"/>
        <v>4.2749830319180573</v>
      </c>
      <c r="AC31">
        <f t="shared" si="18"/>
        <v>1.6828662454570691</v>
      </c>
      <c r="AD31">
        <f t="shared" si="19"/>
        <v>-230.76598597269421</v>
      </c>
      <c r="AE31">
        <f t="shared" si="20"/>
        <v>7.9674758859318855</v>
      </c>
      <c r="AF31">
        <f t="shared" si="21"/>
        <v>0.60796485437240166</v>
      </c>
      <c r="AG31">
        <f t="shared" si="22"/>
        <v>122.1740547610099</v>
      </c>
      <c r="AH31">
        <v>0</v>
      </c>
      <c r="AI31">
        <v>0</v>
      </c>
      <c r="AJ31">
        <f t="shared" si="23"/>
        <v>1</v>
      </c>
      <c r="AK31">
        <f t="shared" si="24"/>
        <v>0</v>
      </c>
      <c r="AL31">
        <f t="shared" si="25"/>
        <v>51907.177070658472</v>
      </c>
      <c r="AM31" t="s">
        <v>416</v>
      </c>
      <c r="AN31">
        <v>10235.299999999999</v>
      </c>
      <c r="AO31">
        <v>594.051923076923</v>
      </c>
      <c r="AP31">
        <v>2007.77</v>
      </c>
      <c r="AQ31">
        <f t="shared" si="26"/>
        <v>0.70412351859180933</v>
      </c>
      <c r="AR31">
        <v>-0.54275787784279261</v>
      </c>
      <c r="AS31" t="s">
        <v>494</v>
      </c>
      <c r="AT31">
        <v>10186.799999999999</v>
      </c>
      <c r="AU31">
        <v>627.82280000000003</v>
      </c>
      <c r="AV31">
        <v>965.66199803260997</v>
      </c>
      <c r="AW31">
        <f t="shared" si="27"/>
        <v>0.34985243151424217</v>
      </c>
      <c r="AX31">
        <v>0.5</v>
      </c>
      <c r="AY31">
        <f t="shared" si="28"/>
        <v>1513.1375999966999</v>
      </c>
      <c r="AZ31">
        <f t="shared" si="29"/>
        <v>45.687732477253739</v>
      </c>
      <c r="BA31">
        <f t="shared" si="30"/>
        <v>264.68743428723513</v>
      </c>
      <c r="BB31">
        <f t="shared" si="31"/>
        <v>3.0552733839405856E-2</v>
      </c>
      <c r="BC31">
        <f t="shared" si="32"/>
        <v>1.0791643495244994</v>
      </c>
      <c r="BD31">
        <f t="shared" si="33"/>
        <v>450.27834115695265</v>
      </c>
      <c r="BE31" t="s">
        <v>495</v>
      </c>
      <c r="BF31">
        <v>501.72</v>
      </c>
      <c r="BG31">
        <f t="shared" si="34"/>
        <v>501.72</v>
      </c>
      <c r="BH31">
        <f t="shared" si="35"/>
        <v>0.48043932450259141</v>
      </c>
      <c r="BI31">
        <f t="shared" si="36"/>
        <v>0.72819274707883552</v>
      </c>
      <c r="BJ31">
        <f t="shared" si="37"/>
        <v>0.69194781180398401</v>
      </c>
      <c r="BK31">
        <f t="shared" si="38"/>
        <v>0.90912281663218075</v>
      </c>
      <c r="BL31">
        <f t="shared" si="39"/>
        <v>0.73713990008213859</v>
      </c>
      <c r="BM31">
        <f t="shared" si="40"/>
        <v>0.58192990930624588</v>
      </c>
      <c r="BN31">
        <f t="shared" si="41"/>
        <v>0.41807009069375412</v>
      </c>
      <c r="BO31">
        <v>12497</v>
      </c>
      <c r="BP31">
        <v>290.00000000000011</v>
      </c>
      <c r="BQ31">
        <v>863.47</v>
      </c>
      <c r="BR31">
        <v>295</v>
      </c>
      <c r="BS31">
        <v>10186.799999999999</v>
      </c>
      <c r="BT31">
        <v>865.35</v>
      </c>
      <c r="BU31">
        <v>-1.88</v>
      </c>
      <c r="BV31">
        <v>300.00000000000011</v>
      </c>
      <c r="BW31">
        <v>24.2</v>
      </c>
      <c r="BX31">
        <v>965.66199803260997</v>
      </c>
      <c r="BY31">
        <v>2.8146653397498609</v>
      </c>
      <c r="BZ31">
        <v>-102.1897837348906</v>
      </c>
      <c r="CA31">
        <v>2.5538943568125041</v>
      </c>
      <c r="CB31">
        <v>0.98281223206721779</v>
      </c>
      <c r="CC31">
        <v>-6.9594531701890998E-3</v>
      </c>
      <c r="CD31">
        <v>289.99999999999989</v>
      </c>
      <c r="CE31">
        <v>857.18</v>
      </c>
      <c r="CF31">
        <v>625</v>
      </c>
      <c r="CG31">
        <v>10172.299999999999</v>
      </c>
      <c r="CH31">
        <v>865.2</v>
      </c>
      <c r="CI31">
        <v>-8.02</v>
      </c>
      <c r="CW31">
        <f t="shared" si="42"/>
        <v>1799.94</v>
      </c>
      <c r="CX31">
        <f t="shared" si="43"/>
        <v>1513.1375999966999</v>
      </c>
      <c r="CY31">
        <f t="shared" si="44"/>
        <v>0.84066002199889989</v>
      </c>
      <c r="CZ31">
        <f t="shared" si="45"/>
        <v>0.19132004399779981</v>
      </c>
      <c r="DA31">
        <v>6</v>
      </c>
      <c r="DB31">
        <v>0.5</v>
      </c>
      <c r="DC31" t="s">
        <v>419</v>
      </c>
      <c r="DD31">
        <v>2</v>
      </c>
      <c r="DE31">
        <v>1691163359.5</v>
      </c>
      <c r="DF31">
        <v>342.96600000000001</v>
      </c>
      <c r="DG31">
        <v>399.91800000000001</v>
      </c>
      <c r="DH31">
        <v>25.999700000000001</v>
      </c>
      <c r="DI31">
        <v>19.886500000000002</v>
      </c>
      <c r="DJ31">
        <v>344.87400000000002</v>
      </c>
      <c r="DK31">
        <v>25.923100000000002</v>
      </c>
      <c r="DL31">
        <v>500.23599999999999</v>
      </c>
      <c r="DM31">
        <v>99.119100000000003</v>
      </c>
      <c r="DN31">
        <v>0.10083499999999999</v>
      </c>
      <c r="DO31">
        <v>30.0593</v>
      </c>
      <c r="DP31">
        <v>30.008600000000001</v>
      </c>
      <c r="DQ31">
        <v>999.9</v>
      </c>
      <c r="DR31">
        <v>0</v>
      </c>
      <c r="DS31">
        <v>0</v>
      </c>
      <c r="DT31">
        <v>10005</v>
      </c>
      <c r="DU31">
        <v>0</v>
      </c>
      <c r="DV31">
        <v>1450.81</v>
      </c>
      <c r="DW31">
        <v>-56.9514</v>
      </c>
      <c r="DX31">
        <v>352.12099999999998</v>
      </c>
      <c r="DY31">
        <v>408.03199999999998</v>
      </c>
      <c r="DZ31">
        <v>6.1131900000000003</v>
      </c>
      <c r="EA31">
        <v>399.91800000000001</v>
      </c>
      <c r="EB31">
        <v>19.886500000000002</v>
      </c>
      <c r="EC31">
        <v>2.57707</v>
      </c>
      <c r="ED31">
        <v>1.9711399999999999</v>
      </c>
      <c r="EE31">
        <v>21.521599999999999</v>
      </c>
      <c r="EF31">
        <v>17.214400000000001</v>
      </c>
      <c r="EG31">
        <v>1799.94</v>
      </c>
      <c r="EH31">
        <v>0.97799800000000003</v>
      </c>
      <c r="EI31">
        <v>2.20022E-2</v>
      </c>
      <c r="EJ31">
        <v>0</v>
      </c>
      <c r="EK31">
        <v>627.57500000000005</v>
      </c>
      <c r="EL31">
        <v>0.100005</v>
      </c>
      <c r="EM31">
        <v>15320.1</v>
      </c>
      <c r="EN31">
        <v>14862</v>
      </c>
      <c r="EO31">
        <v>47.5</v>
      </c>
      <c r="EP31">
        <v>49</v>
      </c>
      <c r="EQ31">
        <v>48.25</v>
      </c>
      <c r="ER31">
        <v>48</v>
      </c>
      <c r="ES31">
        <v>48.625</v>
      </c>
      <c r="ET31">
        <v>1760.24</v>
      </c>
      <c r="EU31">
        <v>39.6</v>
      </c>
      <c r="EV31">
        <v>0</v>
      </c>
      <c r="EW31">
        <v>2336</v>
      </c>
      <c r="EX31">
        <v>0</v>
      </c>
      <c r="EY31">
        <v>627.82280000000003</v>
      </c>
      <c r="EZ31">
        <v>-1.5069229690744601</v>
      </c>
      <c r="FA31">
        <v>121.84615065880109</v>
      </c>
      <c r="FB31">
        <v>15240.564</v>
      </c>
      <c r="FC31">
        <v>15</v>
      </c>
      <c r="FD31">
        <v>1691163326</v>
      </c>
      <c r="FE31" t="s">
        <v>496</v>
      </c>
      <c r="FF31">
        <v>1691163326</v>
      </c>
      <c r="FG31">
        <v>1691163321.5</v>
      </c>
      <c r="FH31">
        <v>21</v>
      </c>
      <c r="FI31">
        <v>-3.1E-2</v>
      </c>
      <c r="FJ31">
        <v>-2.7E-2</v>
      </c>
      <c r="FK31">
        <v>-2.0739999999999998</v>
      </c>
      <c r="FL31">
        <v>-6.0999999999999999E-2</v>
      </c>
      <c r="FM31">
        <v>400</v>
      </c>
      <c r="FN31">
        <v>20</v>
      </c>
      <c r="FO31">
        <v>0.17</v>
      </c>
      <c r="FP31">
        <v>0.04</v>
      </c>
      <c r="FQ31">
        <v>45.698660442111077</v>
      </c>
      <c r="FR31">
        <v>-0.55735969809291142</v>
      </c>
      <c r="FS31">
        <v>0.104611622994981</v>
      </c>
      <c r="FT31">
        <v>1</v>
      </c>
      <c r="FU31">
        <v>0.3148997038615674</v>
      </c>
      <c r="FV31">
        <v>1.260935898788151E-2</v>
      </c>
      <c r="FW31">
        <v>1.705935360588801E-3</v>
      </c>
      <c r="FX31">
        <v>1</v>
      </c>
      <c r="FY31">
        <v>2</v>
      </c>
      <c r="FZ31">
        <v>2</v>
      </c>
      <c r="GA31" t="s">
        <v>421</v>
      </c>
      <c r="GB31">
        <v>2.9163399999999999</v>
      </c>
      <c r="GC31">
        <v>2.8307600000000002</v>
      </c>
      <c r="GD31">
        <v>7.9619700000000002E-2</v>
      </c>
      <c r="GE31">
        <v>8.76942E-2</v>
      </c>
      <c r="GF31">
        <v>0.12442599999999999</v>
      </c>
      <c r="GG31">
        <v>9.9368499999999998E-2</v>
      </c>
      <c r="GH31">
        <v>23716.5</v>
      </c>
      <c r="GI31">
        <v>29255</v>
      </c>
      <c r="GJ31">
        <v>23212.5</v>
      </c>
      <c r="GK31">
        <v>29404.9</v>
      </c>
      <c r="GL31">
        <v>27739.200000000001</v>
      </c>
      <c r="GM31">
        <v>37668.300000000003</v>
      </c>
      <c r="GN31">
        <v>32826.6</v>
      </c>
      <c r="GO31">
        <v>43606.6</v>
      </c>
      <c r="GP31">
        <v>1.9281999999999999</v>
      </c>
      <c r="GQ31">
        <v>1.7387999999999999</v>
      </c>
      <c r="GR31">
        <v>-1.2368000000000001E-2</v>
      </c>
      <c r="GS31">
        <v>0</v>
      </c>
      <c r="GT31">
        <v>30.209800000000001</v>
      </c>
      <c r="GU31">
        <v>999.9</v>
      </c>
      <c r="GV31">
        <v>40.5</v>
      </c>
      <c r="GW31">
        <v>40.700000000000003</v>
      </c>
      <c r="GX31">
        <v>31.441400000000002</v>
      </c>
      <c r="GY31">
        <v>61.897399999999998</v>
      </c>
      <c r="GZ31">
        <v>39.519199999999998</v>
      </c>
      <c r="HA31">
        <v>1</v>
      </c>
      <c r="HB31">
        <v>0.67131099999999999</v>
      </c>
      <c r="HC31">
        <v>5.0065400000000002</v>
      </c>
      <c r="HD31">
        <v>20.198899999999998</v>
      </c>
      <c r="HE31">
        <v>5.2107000000000001</v>
      </c>
      <c r="HF31">
        <v>11.8782</v>
      </c>
      <c r="HG31">
        <v>4.9833999999999996</v>
      </c>
      <c r="HH31">
        <v>3.2839999999999998</v>
      </c>
      <c r="HI31">
        <v>9999</v>
      </c>
      <c r="HJ31">
        <v>9999</v>
      </c>
      <c r="HK31">
        <v>9999</v>
      </c>
      <c r="HL31">
        <v>999.9</v>
      </c>
      <c r="HM31">
        <v>1.8549</v>
      </c>
      <c r="HN31">
        <v>1.86094</v>
      </c>
      <c r="HO31">
        <v>1.8583499999999999</v>
      </c>
      <c r="HP31">
        <v>1.85944</v>
      </c>
      <c r="HQ31">
        <v>1.85883</v>
      </c>
      <c r="HR31">
        <v>1.85931</v>
      </c>
      <c r="HS31">
        <v>1.8575999999999999</v>
      </c>
      <c r="HT31">
        <v>1.8609599999999999</v>
      </c>
      <c r="HU31">
        <v>5</v>
      </c>
      <c r="HV31">
        <v>0</v>
      </c>
      <c r="HW31">
        <v>0</v>
      </c>
      <c r="HX31">
        <v>0</v>
      </c>
      <c r="HY31" t="s">
        <v>422</v>
      </c>
      <c r="HZ31" t="s">
        <v>423</v>
      </c>
      <c r="IA31" t="s">
        <v>424</v>
      </c>
      <c r="IB31" t="s">
        <v>424</v>
      </c>
      <c r="IC31" t="s">
        <v>424</v>
      </c>
      <c r="ID31" t="s">
        <v>424</v>
      </c>
      <c r="IE31">
        <v>0</v>
      </c>
      <c r="IF31">
        <v>100</v>
      </c>
      <c r="IG31">
        <v>100</v>
      </c>
      <c r="IH31">
        <v>-1.9079999999999999</v>
      </c>
      <c r="II31">
        <v>7.6600000000000001E-2</v>
      </c>
      <c r="IJ31">
        <v>-0.69049717133779831</v>
      </c>
      <c r="IK31">
        <v>-4.1229525807901877E-3</v>
      </c>
      <c r="IL31">
        <v>1.8448211998558991E-6</v>
      </c>
      <c r="IM31">
        <v>-3.7020276670297668E-10</v>
      </c>
      <c r="IN31">
        <v>-0.1674370830378564</v>
      </c>
      <c r="IO31">
        <v>-1.3488639696665739E-2</v>
      </c>
      <c r="IP31">
        <v>1.1588640342490499E-3</v>
      </c>
      <c r="IQ31">
        <v>-1.0624341560077559E-5</v>
      </c>
      <c r="IR31">
        <v>2</v>
      </c>
      <c r="IS31">
        <v>1915</v>
      </c>
      <c r="IT31">
        <v>1</v>
      </c>
      <c r="IU31">
        <v>42</v>
      </c>
      <c r="IV31">
        <v>0.6</v>
      </c>
      <c r="IW31">
        <v>0.6</v>
      </c>
      <c r="IX31">
        <v>0.99853499999999995</v>
      </c>
      <c r="IY31">
        <v>2.4536099999999998</v>
      </c>
      <c r="IZ31">
        <v>1.49414</v>
      </c>
      <c r="JA31">
        <v>2.2912599999999999</v>
      </c>
      <c r="JB31">
        <v>1.54419</v>
      </c>
      <c r="JC31">
        <v>2.4450699999999999</v>
      </c>
      <c r="JD31">
        <v>45.547199999999997</v>
      </c>
      <c r="JE31">
        <v>23.7898</v>
      </c>
      <c r="JF31">
        <v>18</v>
      </c>
      <c r="JG31">
        <v>511.32499999999999</v>
      </c>
      <c r="JH31">
        <v>415.14499999999998</v>
      </c>
      <c r="JI31">
        <v>23.282900000000001</v>
      </c>
      <c r="JJ31">
        <v>35.521999999999998</v>
      </c>
      <c r="JK31">
        <v>29.9998</v>
      </c>
      <c r="JL31">
        <v>35.406799999999997</v>
      </c>
      <c r="JM31">
        <v>35.380299999999998</v>
      </c>
      <c r="JN31">
        <v>20.054300000000001</v>
      </c>
      <c r="JO31">
        <v>38.823799999999999</v>
      </c>
      <c r="JP31">
        <v>0</v>
      </c>
      <c r="JQ31">
        <v>23.292200000000001</v>
      </c>
      <c r="JR31">
        <v>400</v>
      </c>
      <c r="JS31">
        <v>19.8291</v>
      </c>
      <c r="JT31">
        <v>97.353399999999993</v>
      </c>
      <c r="JU31">
        <v>98.037800000000004</v>
      </c>
    </row>
    <row r="32" spans="1:281" x14ac:dyDescent="0.25">
      <c r="A32">
        <v>16</v>
      </c>
      <c r="B32">
        <v>1691163466.5</v>
      </c>
      <c r="C32">
        <v>4220.9000000953674</v>
      </c>
      <c r="D32" t="s">
        <v>497</v>
      </c>
      <c r="E32" t="s">
        <v>498</v>
      </c>
      <c r="F32" t="s">
        <v>413</v>
      </c>
      <c r="G32" t="s">
        <v>415</v>
      </c>
      <c r="H32" t="s">
        <v>493</v>
      </c>
      <c r="I32" t="s">
        <v>415</v>
      </c>
      <c r="J32">
        <v>1691163466.5</v>
      </c>
      <c r="K32">
        <f t="shared" si="0"/>
        <v>5.2987357546734762E-3</v>
      </c>
      <c r="L32">
        <f t="shared" si="1"/>
        <v>5.2987357546734764</v>
      </c>
      <c r="M32">
        <f t="shared" si="2"/>
        <v>36.018442578270601</v>
      </c>
      <c r="N32">
        <f t="shared" si="3"/>
        <v>255.28399999999999</v>
      </c>
      <c r="O32">
        <f t="shared" si="4"/>
        <v>62.943802846769159</v>
      </c>
      <c r="P32">
        <f t="shared" si="5"/>
        <v>6.2448046377438704</v>
      </c>
      <c r="Q32">
        <f t="shared" si="6"/>
        <v>25.327333828601596</v>
      </c>
      <c r="R32">
        <f t="shared" si="7"/>
        <v>0.32273594192567318</v>
      </c>
      <c r="S32">
        <f t="shared" si="8"/>
        <v>2.9121893996435291</v>
      </c>
      <c r="T32">
        <f t="shared" si="9"/>
        <v>0.30410093780292502</v>
      </c>
      <c r="U32">
        <f t="shared" si="10"/>
        <v>0.19164764122312899</v>
      </c>
      <c r="V32">
        <f t="shared" si="11"/>
        <v>344.39309999340037</v>
      </c>
      <c r="W32">
        <f t="shared" si="12"/>
        <v>30.719652776525862</v>
      </c>
      <c r="X32">
        <f t="shared" si="13"/>
        <v>29.990300000000001</v>
      </c>
      <c r="Y32">
        <f t="shared" si="14"/>
        <v>4.2580765962408389</v>
      </c>
      <c r="Z32">
        <f t="shared" si="15"/>
        <v>60.544185503209469</v>
      </c>
      <c r="AA32">
        <f t="shared" si="16"/>
        <v>2.58902648863392</v>
      </c>
      <c r="AB32">
        <f t="shared" si="17"/>
        <v>4.2762595071935934</v>
      </c>
      <c r="AC32">
        <f t="shared" si="18"/>
        <v>1.6690501076069189</v>
      </c>
      <c r="AD32">
        <f t="shared" si="19"/>
        <v>-233.67424678110029</v>
      </c>
      <c r="AE32">
        <f t="shared" si="20"/>
        <v>11.649545054587405</v>
      </c>
      <c r="AF32">
        <f t="shared" si="21"/>
        <v>0.8897054720128641</v>
      </c>
      <c r="AG32">
        <f t="shared" si="22"/>
        <v>123.25810373890033</v>
      </c>
      <c r="AH32">
        <v>0</v>
      </c>
      <c r="AI32">
        <v>0</v>
      </c>
      <c r="AJ32">
        <f t="shared" si="23"/>
        <v>1</v>
      </c>
      <c r="AK32">
        <f t="shared" si="24"/>
        <v>0</v>
      </c>
      <c r="AL32">
        <f t="shared" si="25"/>
        <v>51828.345271383791</v>
      </c>
      <c r="AM32" t="s">
        <v>416</v>
      </c>
      <c r="AN32">
        <v>10235.299999999999</v>
      </c>
      <c r="AO32">
        <v>594.051923076923</v>
      </c>
      <c r="AP32">
        <v>2007.77</v>
      </c>
      <c r="AQ32">
        <f t="shared" si="26"/>
        <v>0.70412351859180933</v>
      </c>
      <c r="AR32">
        <v>-0.54275787784279261</v>
      </c>
      <c r="AS32" t="s">
        <v>499</v>
      </c>
      <c r="AT32">
        <v>10185.6</v>
      </c>
      <c r="AU32">
        <v>610.89653846153863</v>
      </c>
      <c r="AV32">
        <v>872.30452686022477</v>
      </c>
      <c r="AW32">
        <f t="shared" si="27"/>
        <v>0.29967514824163388</v>
      </c>
      <c r="AX32">
        <v>0.5</v>
      </c>
      <c r="AY32">
        <f t="shared" si="28"/>
        <v>1513.2635999967001</v>
      </c>
      <c r="AZ32">
        <f t="shared" si="29"/>
        <v>36.018442578270601</v>
      </c>
      <c r="BA32">
        <f t="shared" si="30"/>
        <v>226.74374682883985</v>
      </c>
      <c r="BB32">
        <f t="shared" si="31"/>
        <v>2.416049686002698E-2</v>
      </c>
      <c r="BC32">
        <f t="shared" si="32"/>
        <v>1.301684719242227</v>
      </c>
      <c r="BD32">
        <f t="shared" si="33"/>
        <v>428.87565590331644</v>
      </c>
      <c r="BE32" t="s">
        <v>500</v>
      </c>
      <c r="BF32">
        <v>487.79</v>
      </c>
      <c r="BG32">
        <f t="shared" si="34"/>
        <v>487.79</v>
      </c>
      <c r="BH32">
        <f t="shared" si="35"/>
        <v>0.44080308541358526</v>
      </c>
      <c r="BI32">
        <f t="shared" si="36"/>
        <v>0.67983904414022522</v>
      </c>
      <c r="BJ32">
        <f t="shared" si="37"/>
        <v>0.74702658794179866</v>
      </c>
      <c r="BK32">
        <f t="shared" si="38"/>
        <v>0.93946286519664013</v>
      </c>
      <c r="BL32">
        <f t="shared" si="39"/>
        <v>0.80317673776308229</v>
      </c>
      <c r="BM32">
        <f t="shared" si="40"/>
        <v>0.5428393622532186</v>
      </c>
      <c r="BN32">
        <f t="shared" si="41"/>
        <v>0.4571606377467814</v>
      </c>
      <c r="BO32">
        <v>12499</v>
      </c>
      <c r="BP32">
        <v>290.00000000000011</v>
      </c>
      <c r="BQ32">
        <v>796.33</v>
      </c>
      <c r="BR32">
        <v>285</v>
      </c>
      <c r="BS32">
        <v>10185.6</v>
      </c>
      <c r="BT32">
        <v>797.32</v>
      </c>
      <c r="BU32">
        <v>-0.99</v>
      </c>
      <c r="BV32">
        <v>300.00000000000011</v>
      </c>
      <c r="BW32">
        <v>24.2</v>
      </c>
      <c r="BX32">
        <v>872.30452686022477</v>
      </c>
      <c r="BY32">
        <v>1.767581916143272</v>
      </c>
      <c r="BZ32">
        <v>-76.373497075621472</v>
      </c>
      <c r="CA32">
        <v>1.603628291109797</v>
      </c>
      <c r="CB32">
        <v>0.98780584564458296</v>
      </c>
      <c r="CC32">
        <v>-6.9588077864293626E-3</v>
      </c>
      <c r="CD32">
        <v>289.99999999999989</v>
      </c>
      <c r="CE32">
        <v>792.96</v>
      </c>
      <c r="CF32">
        <v>685</v>
      </c>
      <c r="CG32">
        <v>10167.5</v>
      </c>
      <c r="CH32">
        <v>797.19</v>
      </c>
      <c r="CI32">
        <v>-4.2300000000000004</v>
      </c>
      <c r="CW32">
        <f t="shared" si="42"/>
        <v>1800.09</v>
      </c>
      <c r="CX32">
        <f t="shared" si="43"/>
        <v>1513.2635999967001</v>
      </c>
      <c r="CY32">
        <f t="shared" si="44"/>
        <v>0.84065996699981682</v>
      </c>
      <c r="CZ32">
        <f t="shared" si="45"/>
        <v>0.19131993399963357</v>
      </c>
      <c r="DA32">
        <v>6</v>
      </c>
      <c r="DB32">
        <v>0.5</v>
      </c>
      <c r="DC32" t="s">
        <v>419</v>
      </c>
      <c r="DD32">
        <v>2</v>
      </c>
      <c r="DE32">
        <v>1691163466.5</v>
      </c>
      <c r="DF32">
        <v>255.28399999999999</v>
      </c>
      <c r="DG32">
        <v>300.142</v>
      </c>
      <c r="DH32">
        <v>26.095800000000001</v>
      </c>
      <c r="DI32">
        <v>19.901499999999999</v>
      </c>
      <c r="DJ32">
        <v>256.89999999999998</v>
      </c>
      <c r="DK32">
        <v>26.015699999999999</v>
      </c>
      <c r="DL32">
        <v>499.85899999999998</v>
      </c>
      <c r="DM32">
        <v>99.112799999999993</v>
      </c>
      <c r="DN32">
        <v>9.9582400000000001E-2</v>
      </c>
      <c r="DO32">
        <v>30.064499999999999</v>
      </c>
      <c r="DP32">
        <v>29.990300000000001</v>
      </c>
      <c r="DQ32">
        <v>999.9</v>
      </c>
      <c r="DR32">
        <v>0</v>
      </c>
      <c r="DS32">
        <v>0</v>
      </c>
      <c r="DT32">
        <v>9990</v>
      </c>
      <c r="DU32">
        <v>0</v>
      </c>
      <c r="DV32">
        <v>1449.25</v>
      </c>
      <c r="DW32">
        <v>-44.858600000000003</v>
      </c>
      <c r="DX32">
        <v>262.12400000000002</v>
      </c>
      <c r="DY32">
        <v>306.23700000000002</v>
      </c>
      <c r="DZ32">
        <v>6.19428</v>
      </c>
      <c r="EA32">
        <v>300.142</v>
      </c>
      <c r="EB32">
        <v>19.901499999999999</v>
      </c>
      <c r="EC32">
        <v>2.5864199999999999</v>
      </c>
      <c r="ED32">
        <v>1.9724900000000001</v>
      </c>
      <c r="EE32">
        <v>21.5808</v>
      </c>
      <c r="EF32">
        <v>17.225200000000001</v>
      </c>
      <c r="EG32">
        <v>1800.09</v>
      </c>
      <c r="EH32">
        <v>0.97800200000000004</v>
      </c>
      <c r="EI32">
        <v>2.1998500000000001E-2</v>
      </c>
      <c r="EJ32">
        <v>0</v>
      </c>
      <c r="EK32">
        <v>612.05499999999995</v>
      </c>
      <c r="EL32">
        <v>0.100005</v>
      </c>
      <c r="EM32">
        <v>14967.5</v>
      </c>
      <c r="EN32">
        <v>14863.3</v>
      </c>
      <c r="EO32">
        <v>47.561999999999998</v>
      </c>
      <c r="EP32">
        <v>49</v>
      </c>
      <c r="EQ32">
        <v>48.25</v>
      </c>
      <c r="ER32">
        <v>48.061999999999998</v>
      </c>
      <c r="ES32">
        <v>48.686999999999998</v>
      </c>
      <c r="ET32">
        <v>1760.39</v>
      </c>
      <c r="EU32">
        <v>39.6</v>
      </c>
      <c r="EV32">
        <v>0</v>
      </c>
      <c r="EW32">
        <v>104.6000001430511</v>
      </c>
      <c r="EX32">
        <v>0</v>
      </c>
      <c r="EY32">
        <v>610.89653846153863</v>
      </c>
      <c r="EZ32">
        <v>-4.2225640041098123</v>
      </c>
      <c r="FA32">
        <v>-109.0393153059977</v>
      </c>
      <c r="FB32">
        <v>14980.084615384611</v>
      </c>
      <c r="FC32">
        <v>15</v>
      </c>
      <c r="FD32">
        <v>1691163434</v>
      </c>
      <c r="FE32" t="s">
        <v>501</v>
      </c>
      <c r="FF32">
        <v>1691163421</v>
      </c>
      <c r="FG32">
        <v>1691163434</v>
      </c>
      <c r="FH32">
        <v>22</v>
      </c>
      <c r="FI32">
        <v>1.7999999999999999E-2</v>
      </c>
      <c r="FJ32">
        <v>1E-3</v>
      </c>
      <c r="FK32">
        <v>-1.7589999999999999</v>
      </c>
      <c r="FL32">
        <v>-6.2E-2</v>
      </c>
      <c r="FM32">
        <v>300</v>
      </c>
      <c r="FN32">
        <v>20</v>
      </c>
      <c r="FO32">
        <v>0.2</v>
      </c>
      <c r="FP32">
        <v>0.06</v>
      </c>
      <c r="FQ32">
        <v>35.88614282880188</v>
      </c>
      <c r="FR32">
        <v>0.25004112417477597</v>
      </c>
      <c r="FS32">
        <v>6.6720096921008221E-2</v>
      </c>
      <c r="FT32">
        <v>1</v>
      </c>
      <c r="FU32">
        <v>0.31406800981200161</v>
      </c>
      <c r="FV32">
        <v>4.5956364018911011E-2</v>
      </c>
      <c r="FW32">
        <v>3.4480536328891382E-3</v>
      </c>
      <c r="FX32">
        <v>1</v>
      </c>
      <c r="FY32">
        <v>2</v>
      </c>
      <c r="FZ32">
        <v>2</v>
      </c>
      <c r="GA32" t="s">
        <v>421</v>
      </c>
      <c r="GB32">
        <v>2.91534</v>
      </c>
      <c r="GC32">
        <v>2.82938</v>
      </c>
      <c r="GD32">
        <v>6.2625100000000003E-2</v>
      </c>
      <c r="GE32">
        <v>6.9870199999999993E-2</v>
      </c>
      <c r="GF32">
        <v>0.12471400000000001</v>
      </c>
      <c r="GG32">
        <v>9.9402400000000002E-2</v>
      </c>
      <c r="GH32">
        <v>24153.3</v>
      </c>
      <c r="GI32">
        <v>29824.9</v>
      </c>
      <c r="GJ32">
        <v>23212</v>
      </c>
      <c r="GK32">
        <v>29403.8</v>
      </c>
      <c r="GL32">
        <v>27728.6</v>
      </c>
      <c r="GM32">
        <v>37663.5</v>
      </c>
      <c r="GN32">
        <v>32826.300000000003</v>
      </c>
      <c r="GO32">
        <v>43605.1</v>
      </c>
      <c r="GP32">
        <v>1.9273</v>
      </c>
      <c r="GQ32">
        <v>1.7386999999999999</v>
      </c>
      <c r="GR32">
        <v>-1.6391300000000001E-2</v>
      </c>
      <c r="GS32">
        <v>0</v>
      </c>
      <c r="GT32">
        <v>30.257000000000001</v>
      </c>
      <c r="GU32">
        <v>999.9</v>
      </c>
      <c r="GV32">
        <v>40.1</v>
      </c>
      <c r="GW32">
        <v>40.799999999999997</v>
      </c>
      <c r="GX32">
        <v>31.301200000000001</v>
      </c>
      <c r="GY32">
        <v>61.9375</v>
      </c>
      <c r="GZ32">
        <v>39.046500000000002</v>
      </c>
      <c r="HA32">
        <v>1</v>
      </c>
      <c r="HB32">
        <v>0.67802799999999996</v>
      </c>
      <c r="HC32">
        <v>5.2975599999999998</v>
      </c>
      <c r="HD32">
        <v>20.1892</v>
      </c>
      <c r="HE32">
        <v>5.20052</v>
      </c>
      <c r="HF32">
        <v>11.8782</v>
      </c>
      <c r="HG32">
        <v>4.9809999999999999</v>
      </c>
      <c r="HH32">
        <v>3.2822</v>
      </c>
      <c r="HI32">
        <v>9999</v>
      </c>
      <c r="HJ32">
        <v>9999</v>
      </c>
      <c r="HK32">
        <v>9999</v>
      </c>
      <c r="HL32">
        <v>999.9</v>
      </c>
      <c r="HM32">
        <v>1.8549800000000001</v>
      </c>
      <c r="HN32">
        <v>1.8609599999999999</v>
      </c>
      <c r="HO32">
        <v>1.85833</v>
      </c>
      <c r="HP32">
        <v>1.85944</v>
      </c>
      <c r="HQ32">
        <v>1.8587800000000001</v>
      </c>
      <c r="HR32">
        <v>1.85928</v>
      </c>
      <c r="HS32">
        <v>1.8575999999999999</v>
      </c>
      <c r="HT32">
        <v>1.8609599999999999</v>
      </c>
      <c r="HU32">
        <v>5</v>
      </c>
      <c r="HV32">
        <v>0</v>
      </c>
      <c r="HW32">
        <v>0</v>
      </c>
      <c r="HX32">
        <v>0</v>
      </c>
      <c r="HY32" t="s">
        <v>422</v>
      </c>
      <c r="HZ32" t="s">
        <v>423</v>
      </c>
      <c r="IA32" t="s">
        <v>424</v>
      </c>
      <c r="IB32" t="s">
        <v>424</v>
      </c>
      <c r="IC32" t="s">
        <v>424</v>
      </c>
      <c r="ID32" t="s">
        <v>424</v>
      </c>
      <c r="IE32">
        <v>0</v>
      </c>
      <c r="IF32">
        <v>100</v>
      </c>
      <c r="IG32">
        <v>100</v>
      </c>
      <c r="IH32">
        <v>-1.6160000000000001</v>
      </c>
      <c r="II32">
        <v>8.0100000000000005E-2</v>
      </c>
      <c r="IJ32">
        <v>-0.672504738960777</v>
      </c>
      <c r="IK32">
        <v>-4.1229525807901877E-3</v>
      </c>
      <c r="IL32">
        <v>1.8448211998558991E-6</v>
      </c>
      <c r="IM32">
        <v>-3.7020276670297668E-10</v>
      </c>
      <c r="IN32">
        <v>-0.16628004676231739</v>
      </c>
      <c r="IO32">
        <v>-1.3488639696665739E-2</v>
      </c>
      <c r="IP32">
        <v>1.1588640342490499E-3</v>
      </c>
      <c r="IQ32">
        <v>-1.0624341560077559E-5</v>
      </c>
      <c r="IR32">
        <v>2</v>
      </c>
      <c r="IS32">
        <v>1915</v>
      </c>
      <c r="IT32">
        <v>1</v>
      </c>
      <c r="IU32">
        <v>42</v>
      </c>
      <c r="IV32">
        <v>0.8</v>
      </c>
      <c r="IW32">
        <v>0.5</v>
      </c>
      <c r="IX32">
        <v>0.794678</v>
      </c>
      <c r="IY32">
        <v>2.4670399999999999</v>
      </c>
      <c r="IZ32">
        <v>1.49414</v>
      </c>
      <c r="JA32">
        <v>2.2912599999999999</v>
      </c>
      <c r="JB32">
        <v>1.54419</v>
      </c>
      <c r="JC32">
        <v>2.4060100000000002</v>
      </c>
      <c r="JD32">
        <v>45.604500000000002</v>
      </c>
      <c r="JE32">
        <v>23.780999999999999</v>
      </c>
      <c r="JF32">
        <v>18</v>
      </c>
      <c r="JG32">
        <v>511.17599999999999</v>
      </c>
      <c r="JH32">
        <v>415.47300000000001</v>
      </c>
      <c r="JI32">
        <v>23.060500000000001</v>
      </c>
      <c r="JJ32">
        <v>35.576000000000001</v>
      </c>
      <c r="JK32">
        <v>30.0002</v>
      </c>
      <c r="JL32">
        <v>35.4649</v>
      </c>
      <c r="JM32">
        <v>35.438000000000002</v>
      </c>
      <c r="JN32">
        <v>15.977600000000001</v>
      </c>
      <c r="JO32">
        <v>38.233699999999999</v>
      </c>
      <c r="JP32">
        <v>0</v>
      </c>
      <c r="JQ32">
        <v>23.071000000000002</v>
      </c>
      <c r="JR32">
        <v>300</v>
      </c>
      <c r="JS32">
        <v>19.833100000000002</v>
      </c>
      <c r="JT32">
        <v>97.352000000000004</v>
      </c>
      <c r="JU32">
        <v>98.034300000000002</v>
      </c>
    </row>
    <row r="33" spans="1:281" x14ac:dyDescent="0.25">
      <c r="A33">
        <v>17</v>
      </c>
      <c r="B33">
        <v>1691163619.5</v>
      </c>
      <c r="C33">
        <v>4373.9000000953674</v>
      </c>
      <c r="D33" t="s">
        <v>502</v>
      </c>
      <c r="E33" t="s">
        <v>503</v>
      </c>
      <c r="F33" t="s">
        <v>413</v>
      </c>
      <c r="G33" t="s">
        <v>415</v>
      </c>
      <c r="H33" t="s">
        <v>493</v>
      </c>
      <c r="I33" t="s">
        <v>415</v>
      </c>
      <c r="J33">
        <v>1691163619.5</v>
      </c>
      <c r="K33">
        <f t="shared" si="0"/>
        <v>6.1333334401087155E-3</v>
      </c>
      <c r="L33">
        <f t="shared" si="1"/>
        <v>6.1333334401087152</v>
      </c>
      <c r="M33">
        <f t="shared" si="2"/>
        <v>26.715096942207598</v>
      </c>
      <c r="N33">
        <f t="shared" si="3"/>
        <v>166.63399999999999</v>
      </c>
      <c r="O33">
        <f t="shared" si="4"/>
        <v>43.348210772442656</v>
      </c>
      <c r="P33">
        <f t="shared" si="5"/>
        <v>4.3007841488421654</v>
      </c>
      <c r="Q33">
        <f t="shared" si="6"/>
        <v>16.532559316467999</v>
      </c>
      <c r="R33">
        <f t="shared" si="7"/>
        <v>0.3767997214098614</v>
      </c>
      <c r="S33">
        <f t="shared" si="8"/>
        <v>2.914411714812934</v>
      </c>
      <c r="T33">
        <f t="shared" si="9"/>
        <v>0.3516771028737084</v>
      </c>
      <c r="U33">
        <f t="shared" si="10"/>
        <v>0.22191562037444851</v>
      </c>
      <c r="V33">
        <f t="shared" si="11"/>
        <v>344.40959999340237</v>
      </c>
      <c r="W33">
        <f t="shared" si="12"/>
        <v>30.491254270519757</v>
      </c>
      <c r="X33">
        <f t="shared" si="13"/>
        <v>29.9558</v>
      </c>
      <c r="Y33">
        <f t="shared" si="14"/>
        <v>4.2496452510932103</v>
      </c>
      <c r="Z33">
        <f t="shared" si="15"/>
        <v>60.342476709290352</v>
      </c>
      <c r="AA33">
        <f t="shared" si="16"/>
        <v>2.5788605839453997</v>
      </c>
      <c r="AB33">
        <f t="shared" si="17"/>
        <v>4.2737068887136971</v>
      </c>
      <c r="AC33">
        <f t="shared" si="18"/>
        <v>1.6707846671478106</v>
      </c>
      <c r="AD33">
        <f t="shared" si="19"/>
        <v>-270.48000470879435</v>
      </c>
      <c r="AE33">
        <f t="shared" si="20"/>
        <v>15.445069437471927</v>
      </c>
      <c r="AF33">
        <f t="shared" si="21"/>
        <v>1.1784179535611681</v>
      </c>
      <c r="AG33">
        <f t="shared" si="22"/>
        <v>90.553082675641107</v>
      </c>
      <c r="AH33">
        <v>0</v>
      </c>
      <c r="AI33">
        <v>0</v>
      </c>
      <c r="AJ33">
        <f t="shared" si="23"/>
        <v>1</v>
      </c>
      <c r="AK33">
        <f t="shared" si="24"/>
        <v>0</v>
      </c>
      <c r="AL33">
        <f t="shared" si="25"/>
        <v>51893.377100160331</v>
      </c>
      <c r="AM33" t="s">
        <v>416</v>
      </c>
      <c r="AN33">
        <v>10235.299999999999</v>
      </c>
      <c r="AO33">
        <v>594.051923076923</v>
      </c>
      <c r="AP33">
        <v>2007.77</v>
      </c>
      <c r="AQ33">
        <f t="shared" si="26"/>
        <v>0.70412351859180933</v>
      </c>
      <c r="AR33">
        <v>-0.54275787784279261</v>
      </c>
      <c r="AS33" t="s">
        <v>504</v>
      </c>
      <c r="AT33">
        <v>10186.5</v>
      </c>
      <c r="AU33">
        <v>607.15499999999997</v>
      </c>
      <c r="AV33">
        <v>788.08888610884549</v>
      </c>
      <c r="AW33">
        <f t="shared" si="27"/>
        <v>0.22958563342036031</v>
      </c>
      <c r="AX33">
        <v>0.5</v>
      </c>
      <c r="AY33">
        <f t="shared" si="28"/>
        <v>1513.3388999967012</v>
      </c>
      <c r="AZ33">
        <f t="shared" si="29"/>
        <v>26.715096942207598</v>
      </c>
      <c r="BA33">
        <f t="shared" si="30"/>
        <v>173.72043496770698</v>
      </c>
      <c r="BB33">
        <f t="shared" si="31"/>
        <v>1.8011732084670398E-2</v>
      </c>
      <c r="BC33">
        <f t="shared" si="32"/>
        <v>1.5476440987681943</v>
      </c>
      <c r="BD33">
        <f t="shared" si="33"/>
        <v>407.4677557466436</v>
      </c>
      <c r="BE33" t="s">
        <v>505</v>
      </c>
      <c r="BF33">
        <v>479.46</v>
      </c>
      <c r="BG33">
        <f t="shared" si="34"/>
        <v>479.46</v>
      </c>
      <c r="BH33">
        <f t="shared" si="35"/>
        <v>0.39161684874492675</v>
      </c>
      <c r="BI33">
        <f t="shared" si="36"/>
        <v>0.58625065330091874</v>
      </c>
      <c r="BJ33">
        <f t="shared" si="37"/>
        <v>0.79805871445659216</v>
      </c>
      <c r="BK33">
        <f t="shared" si="38"/>
        <v>0.93247123270569188</v>
      </c>
      <c r="BL33">
        <f t="shared" si="39"/>
        <v>0.86274705954511144</v>
      </c>
      <c r="BM33">
        <f t="shared" si="40"/>
        <v>0.46295219216124139</v>
      </c>
      <c r="BN33">
        <f t="shared" si="41"/>
        <v>0.53704780783875861</v>
      </c>
      <c r="BO33">
        <v>12501</v>
      </c>
      <c r="BP33">
        <v>290.00000000000011</v>
      </c>
      <c r="BQ33">
        <v>743.95</v>
      </c>
      <c r="BR33">
        <v>265</v>
      </c>
      <c r="BS33">
        <v>10186.5</v>
      </c>
      <c r="BT33">
        <v>744.61</v>
      </c>
      <c r="BU33">
        <v>-0.66</v>
      </c>
      <c r="BV33">
        <v>300.00000000000011</v>
      </c>
      <c r="BW33">
        <v>24.2</v>
      </c>
      <c r="BX33">
        <v>788.08888610884549</v>
      </c>
      <c r="BY33">
        <v>1.7993900673262739</v>
      </c>
      <c r="BZ33">
        <v>-44.289288034451033</v>
      </c>
      <c r="CA33">
        <v>1.632281685617643</v>
      </c>
      <c r="CB33">
        <v>0.96336130087174765</v>
      </c>
      <c r="CC33">
        <v>-6.9577697441601761E-3</v>
      </c>
      <c r="CD33">
        <v>289.99999999999989</v>
      </c>
      <c r="CE33">
        <v>742.64</v>
      </c>
      <c r="CF33">
        <v>625</v>
      </c>
      <c r="CG33">
        <v>10169.9</v>
      </c>
      <c r="CH33">
        <v>744.54</v>
      </c>
      <c r="CI33">
        <v>-1.9</v>
      </c>
      <c r="CW33">
        <f t="shared" si="42"/>
        <v>1800.18</v>
      </c>
      <c r="CX33">
        <f t="shared" si="43"/>
        <v>1513.3388999967012</v>
      </c>
      <c r="CY33">
        <f t="shared" si="44"/>
        <v>0.84065976735476522</v>
      </c>
      <c r="CZ33">
        <f t="shared" si="45"/>
        <v>0.19131953470953036</v>
      </c>
      <c r="DA33">
        <v>6</v>
      </c>
      <c r="DB33">
        <v>0.5</v>
      </c>
      <c r="DC33" t="s">
        <v>419</v>
      </c>
      <c r="DD33">
        <v>2</v>
      </c>
      <c r="DE33">
        <v>1691163619.5</v>
      </c>
      <c r="DF33">
        <v>166.63399999999999</v>
      </c>
      <c r="DG33">
        <v>199.92599999999999</v>
      </c>
      <c r="DH33">
        <v>25.992699999999999</v>
      </c>
      <c r="DI33">
        <v>18.822399999999998</v>
      </c>
      <c r="DJ33">
        <v>167.97200000000001</v>
      </c>
      <c r="DK33">
        <v>25.919799999999999</v>
      </c>
      <c r="DL33">
        <v>499.88799999999998</v>
      </c>
      <c r="DM33">
        <v>99.114800000000002</v>
      </c>
      <c r="DN33">
        <v>0.10000199999999999</v>
      </c>
      <c r="DO33">
        <v>30.054099999999998</v>
      </c>
      <c r="DP33">
        <v>29.9558</v>
      </c>
      <c r="DQ33">
        <v>999.9</v>
      </c>
      <c r="DR33">
        <v>0</v>
      </c>
      <c r="DS33">
        <v>0</v>
      </c>
      <c r="DT33">
        <v>10002.5</v>
      </c>
      <c r="DU33">
        <v>0</v>
      </c>
      <c r="DV33">
        <v>1475.87</v>
      </c>
      <c r="DW33">
        <v>-33.292900000000003</v>
      </c>
      <c r="DX33">
        <v>171.08</v>
      </c>
      <c r="DY33">
        <v>203.762</v>
      </c>
      <c r="DZ33">
        <v>7.1703599999999996</v>
      </c>
      <c r="EA33">
        <v>199.92599999999999</v>
      </c>
      <c r="EB33">
        <v>18.822399999999998</v>
      </c>
      <c r="EC33">
        <v>2.5762700000000001</v>
      </c>
      <c r="ED33">
        <v>1.86558</v>
      </c>
      <c r="EE33">
        <v>21.516500000000001</v>
      </c>
      <c r="EF33">
        <v>16.3474</v>
      </c>
      <c r="EG33">
        <v>1800.18</v>
      </c>
      <c r="EH33">
        <v>0.97800500000000001</v>
      </c>
      <c r="EI33">
        <v>2.1994900000000001E-2</v>
      </c>
      <c r="EJ33">
        <v>0</v>
      </c>
      <c r="EK33">
        <v>606.41</v>
      </c>
      <c r="EL33">
        <v>0.100005</v>
      </c>
      <c r="EM33">
        <v>14961.1</v>
      </c>
      <c r="EN33">
        <v>14864</v>
      </c>
      <c r="EO33">
        <v>47.686999999999998</v>
      </c>
      <c r="EP33">
        <v>49.186999999999998</v>
      </c>
      <c r="EQ33">
        <v>48.375</v>
      </c>
      <c r="ER33">
        <v>48.25</v>
      </c>
      <c r="ES33">
        <v>48.811999999999998</v>
      </c>
      <c r="ET33">
        <v>1760.49</v>
      </c>
      <c r="EU33">
        <v>39.590000000000003</v>
      </c>
      <c r="EV33">
        <v>0</v>
      </c>
      <c r="EW33">
        <v>150.60000014305109</v>
      </c>
      <c r="EX33">
        <v>0</v>
      </c>
      <c r="EY33">
        <v>607.15499999999997</v>
      </c>
      <c r="EZ33">
        <v>3.4853846245827351</v>
      </c>
      <c r="FA33">
        <v>-7.2153844344302396</v>
      </c>
      <c r="FB33">
        <v>14944.956</v>
      </c>
      <c r="FC33">
        <v>15</v>
      </c>
      <c r="FD33">
        <v>1691163549.5</v>
      </c>
      <c r="FE33" t="s">
        <v>506</v>
      </c>
      <c r="FF33">
        <v>1691163549.5</v>
      </c>
      <c r="FG33">
        <v>1691163548</v>
      </c>
      <c r="FH33">
        <v>23</v>
      </c>
      <c r="FI33">
        <v>-2.4E-2</v>
      </c>
      <c r="FJ33">
        <v>-5.0000000000000001E-3</v>
      </c>
      <c r="FK33">
        <v>-1.4550000000000001</v>
      </c>
      <c r="FL33">
        <v>-7.1999999999999995E-2</v>
      </c>
      <c r="FM33">
        <v>200</v>
      </c>
      <c r="FN33">
        <v>19</v>
      </c>
      <c r="FO33">
        <v>0.19</v>
      </c>
      <c r="FP33">
        <v>0.04</v>
      </c>
      <c r="FQ33">
        <v>26.68249540861995</v>
      </c>
      <c r="FR33">
        <v>0.6144143208442131</v>
      </c>
      <c r="FS33">
        <v>8.0536054506202867E-2</v>
      </c>
      <c r="FT33">
        <v>1</v>
      </c>
      <c r="FU33">
        <v>0.37897875943732562</v>
      </c>
      <c r="FV33">
        <v>-1.154795320562885E-2</v>
      </c>
      <c r="FW33">
        <v>1.3249542947851669E-3</v>
      </c>
      <c r="FX33">
        <v>1</v>
      </c>
      <c r="FY33">
        <v>2</v>
      </c>
      <c r="FZ33">
        <v>2</v>
      </c>
      <c r="GA33" t="s">
        <v>421</v>
      </c>
      <c r="GB33">
        <v>2.9152999999999998</v>
      </c>
      <c r="GC33">
        <v>2.8299099999999999</v>
      </c>
      <c r="GD33">
        <v>4.3253899999999998E-2</v>
      </c>
      <c r="GE33">
        <v>4.9501900000000001E-2</v>
      </c>
      <c r="GF33">
        <v>0.124364</v>
      </c>
      <c r="GG33">
        <v>9.5490199999999997E-2</v>
      </c>
      <c r="GH33">
        <v>24650.7</v>
      </c>
      <c r="GI33">
        <v>30473.8</v>
      </c>
      <c r="GJ33">
        <v>23211.5</v>
      </c>
      <c r="GK33">
        <v>29401</v>
      </c>
      <c r="GL33">
        <v>27738</v>
      </c>
      <c r="GM33">
        <v>37821.599999999999</v>
      </c>
      <c r="GN33">
        <v>32825.800000000003</v>
      </c>
      <c r="GO33">
        <v>43602.1</v>
      </c>
      <c r="GP33">
        <v>1.9278999999999999</v>
      </c>
      <c r="GQ33">
        <v>1.7341</v>
      </c>
      <c r="GR33">
        <v>-2.1532200000000001E-2</v>
      </c>
      <c r="GS33">
        <v>0</v>
      </c>
      <c r="GT33">
        <v>30.306100000000001</v>
      </c>
      <c r="GU33">
        <v>999.9</v>
      </c>
      <c r="GV33">
        <v>39.700000000000003</v>
      </c>
      <c r="GW33">
        <v>40.9</v>
      </c>
      <c r="GX33">
        <v>31.151700000000002</v>
      </c>
      <c r="GY33">
        <v>61.907499999999999</v>
      </c>
      <c r="GZ33">
        <v>39.587299999999999</v>
      </c>
      <c r="HA33">
        <v>1</v>
      </c>
      <c r="HB33">
        <v>0.68299799999999999</v>
      </c>
      <c r="HC33">
        <v>4.7689000000000004</v>
      </c>
      <c r="HD33">
        <v>20.206</v>
      </c>
      <c r="HE33">
        <v>5.2107000000000001</v>
      </c>
      <c r="HF33">
        <v>11.8782</v>
      </c>
      <c r="HG33">
        <v>4.9837999999999996</v>
      </c>
      <c r="HH33">
        <v>3.2839999999999998</v>
      </c>
      <c r="HI33">
        <v>9999</v>
      </c>
      <c r="HJ33">
        <v>9999</v>
      </c>
      <c r="HK33">
        <v>9999</v>
      </c>
      <c r="HL33">
        <v>999.9</v>
      </c>
      <c r="HM33">
        <v>1.8548899999999999</v>
      </c>
      <c r="HN33">
        <v>1.86093</v>
      </c>
      <c r="HO33">
        <v>1.85833</v>
      </c>
      <c r="HP33">
        <v>1.85944</v>
      </c>
      <c r="HQ33">
        <v>1.85883</v>
      </c>
      <c r="HR33">
        <v>1.85928</v>
      </c>
      <c r="HS33">
        <v>1.8575999999999999</v>
      </c>
      <c r="HT33">
        <v>1.8609599999999999</v>
      </c>
      <c r="HU33">
        <v>5</v>
      </c>
      <c r="HV33">
        <v>0</v>
      </c>
      <c r="HW33">
        <v>0</v>
      </c>
      <c r="HX33">
        <v>0</v>
      </c>
      <c r="HY33" t="s">
        <v>422</v>
      </c>
      <c r="HZ33" t="s">
        <v>423</v>
      </c>
      <c r="IA33" t="s">
        <v>424</v>
      </c>
      <c r="IB33" t="s">
        <v>424</v>
      </c>
      <c r="IC33" t="s">
        <v>424</v>
      </c>
      <c r="ID33" t="s">
        <v>424</v>
      </c>
      <c r="IE33">
        <v>0</v>
      </c>
      <c r="IF33">
        <v>100</v>
      </c>
      <c r="IG33">
        <v>100</v>
      </c>
      <c r="IH33">
        <v>-1.3380000000000001</v>
      </c>
      <c r="II33">
        <v>7.2900000000000006E-2</v>
      </c>
      <c r="IJ33">
        <v>-0.69659465551481459</v>
      </c>
      <c r="IK33">
        <v>-4.1229525807901877E-3</v>
      </c>
      <c r="IL33">
        <v>1.8448211998558991E-6</v>
      </c>
      <c r="IM33">
        <v>-3.7020276670297668E-10</v>
      </c>
      <c r="IN33">
        <v>-0.17093807886981729</v>
      </c>
      <c r="IO33">
        <v>-1.3488639696665739E-2</v>
      </c>
      <c r="IP33">
        <v>1.1588640342490499E-3</v>
      </c>
      <c r="IQ33">
        <v>-1.0624341560077559E-5</v>
      </c>
      <c r="IR33">
        <v>2</v>
      </c>
      <c r="IS33">
        <v>1915</v>
      </c>
      <c r="IT33">
        <v>1</v>
      </c>
      <c r="IU33">
        <v>42</v>
      </c>
      <c r="IV33">
        <v>1.2</v>
      </c>
      <c r="IW33">
        <v>1.2</v>
      </c>
      <c r="IX33">
        <v>0.58227499999999999</v>
      </c>
      <c r="IY33">
        <v>2.47681</v>
      </c>
      <c r="IZ33">
        <v>1.49414</v>
      </c>
      <c r="JA33">
        <v>2.2912599999999999</v>
      </c>
      <c r="JB33">
        <v>1.54419</v>
      </c>
      <c r="JC33">
        <v>2.4536099999999998</v>
      </c>
      <c r="JD33">
        <v>45.719299999999997</v>
      </c>
      <c r="JE33">
        <v>23.7986</v>
      </c>
      <c r="JF33">
        <v>18</v>
      </c>
      <c r="JG33">
        <v>512.38699999999994</v>
      </c>
      <c r="JH33">
        <v>413.19900000000001</v>
      </c>
      <c r="JI33">
        <v>23.322600000000001</v>
      </c>
      <c r="JJ33">
        <v>35.6877</v>
      </c>
      <c r="JK33">
        <v>30</v>
      </c>
      <c r="JL33">
        <v>35.568600000000004</v>
      </c>
      <c r="JM33">
        <v>35.544899999999998</v>
      </c>
      <c r="JN33">
        <v>11.7189</v>
      </c>
      <c r="JO33">
        <v>41.363599999999998</v>
      </c>
      <c r="JP33">
        <v>0</v>
      </c>
      <c r="JQ33">
        <v>23.3553</v>
      </c>
      <c r="JR33">
        <v>200</v>
      </c>
      <c r="JS33">
        <v>18.813700000000001</v>
      </c>
      <c r="JT33">
        <v>97.350099999999998</v>
      </c>
      <c r="JU33">
        <v>98.026600000000002</v>
      </c>
    </row>
    <row r="34" spans="1:281" x14ac:dyDescent="0.25">
      <c r="A34">
        <v>18</v>
      </c>
      <c r="B34">
        <v>1691163719</v>
      </c>
      <c r="C34">
        <v>4473.4000000953674</v>
      </c>
      <c r="D34" t="s">
        <v>507</v>
      </c>
      <c r="E34" t="s">
        <v>508</v>
      </c>
      <c r="F34" t="s">
        <v>413</v>
      </c>
      <c r="G34" t="s">
        <v>415</v>
      </c>
      <c r="H34" t="s">
        <v>493</v>
      </c>
      <c r="I34" t="s">
        <v>415</v>
      </c>
      <c r="J34">
        <v>1691163719</v>
      </c>
      <c r="K34">
        <f t="shared" si="0"/>
        <v>6.398268167691787E-3</v>
      </c>
      <c r="L34">
        <f t="shared" si="1"/>
        <v>6.3982681676917874</v>
      </c>
      <c r="M34">
        <f t="shared" si="2"/>
        <v>16.941999271455206</v>
      </c>
      <c r="N34">
        <f t="shared" si="3"/>
        <v>98.926699999999997</v>
      </c>
      <c r="O34">
        <f t="shared" si="4"/>
        <v>24.205326807359949</v>
      </c>
      <c r="P34">
        <f t="shared" si="5"/>
        <v>2.4015990562593363</v>
      </c>
      <c r="Q34">
        <f t="shared" si="6"/>
        <v>9.8152886449196988</v>
      </c>
      <c r="R34">
        <f t="shared" si="7"/>
        <v>0.39504401344474899</v>
      </c>
      <c r="S34">
        <f t="shared" si="8"/>
        <v>2.9127045816950261</v>
      </c>
      <c r="T34">
        <f t="shared" si="9"/>
        <v>0.36750999517549676</v>
      </c>
      <c r="U34">
        <f t="shared" si="10"/>
        <v>0.23200744839811405</v>
      </c>
      <c r="V34">
        <f t="shared" si="11"/>
        <v>344.3981999934021</v>
      </c>
      <c r="W34">
        <f t="shared" si="12"/>
        <v>30.492782394463404</v>
      </c>
      <c r="X34">
        <f t="shared" si="13"/>
        <v>30.024899999999999</v>
      </c>
      <c r="Y34">
        <f t="shared" si="14"/>
        <v>4.2665470182476195</v>
      </c>
      <c r="Z34">
        <f t="shared" si="15"/>
        <v>60.56696000298556</v>
      </c>
      <c r="AA34">
        <f t="shared" si="16"/>
        <v>2.5989505045704</v>
      </c>
      <c r="AB34">
        <f t="shared" si="17"/>
        <v>4.2910367375914005</v>
      </c>
      <c r="AC34">
        <f t="shared" si="18"/>
        <v>1.6675965136772195</v>
      </c>
      <c r="AD34">
        <f t="shared" si="19"/>
        <v>-282.16362619520783</v>
      </c>
      <c r="AE34">
        <f t="shared" si="20"/>
        <v>15.655864022012057</v>
      </c>
      <c r="AF34">
        <f t="shared" si="21"/>
        <v>1.1960272868748552</v>
      </c>
      <c r="AG34">
        <f t="shared" si="22"/>
        <v>79.08646510708121</v>
      </c>
      <c r="AH34">
        <v>0</v>
      </c>
      <c r="AI34">
        <v>0</v>
      </c>
      <c r="AJ34">
        <f t="shared" si="23"/>
        <v>1</v>
      </c>
      <c r="AK34">
        <f t="shared" si="24"/>
        <v>0</v>
      </c>
      <c r="AL34">
        <f t="shared" si="25"/>
        <v>51832.810448498138</v>
      </c>
      <c r="AM34" t="s">
        <v>416</v>
      </c>
      <c r="AN34">
        <v>10235.299999999999</v>
      </c>
      <c r="AO34">
        <v>594.051923076923</v>
      </c>
      <c r="AP34">
        <v>2007.77</v>
      </c>
      <c r="AQ34">
        <f t="shared" si="26"/>
        <v>0.70412351859180933</v>
      </c>
      <c r="AR34">
        <v>-0.54275787784279261</v>
      </c>
      <c r="AS34" t="s">
        <v>509</v>
      </c>
      <c r="AT34">
        <v>10192.200000000001</v>
      </c>
      <c r="AU34">
        <v>618.19740000000002</v>
      </c>
      <c r="AV34">
        <v>746.88472739549184</v>
      </c>
      <c r="AW34">
        <f t="shared" si="27"/>
        <v>0.172298780086514</v>
      </c>
      <c r="AX34">
        <v>0.5</v>
      </c>
      <c r="AY34">
        <f t="shared" si="28"/>
        <v>1513.2884999967009</v>
      </c>
      <c r="AZ34">
        <f t="shared" si="29"/>
        <v>16.941999271455206</v>
      </c>
      <c r="BA34">
        <f t="shared" si="30"/>
        <v>130.36888123419112</v>
      </c>
      <c r="BB34">
        <f t="shared" si="31"/>
        <v>1.1554146581657177E-2</v>
      </c>
      <c r="BC34">
        <f t="shared" si="32"/>
        <v>1.6881926036985915</v>
      </c>
      <c r="BD34">
        <f t="shared" si="33"/>
        <v>396.1675989376651</v>
      </c>
      <c r="BE34" t="s">
        <v>510</v>
      </c>
      <c r="BF34">
        <v>483.32</v>
      </c>
      <c r="BG34">
        <f t="shared" si="34"/>
        <v>483.32</v>
      </c>
      <c r="BH34">
        <f t="shared" si="35"/>
        <v>0.35288541555078357</v>
      </c>
      <c r="BI34">
        <f t="shared" si="36"/>
        <v>0.48825701628272189</v>
      </c>
      <c r="BJ34">
        <f t="shared" si="37"/>
        <v>0.82710831618256297</v>
      </c>
      <c r="BK34">
        <f t="shared" si="38"/>
        <v>0.84201378080619704</v>
      </c>
      <c r="BL34">
        <f t="shared" si="39"/>
        <v>0.89189301119272257</v>
      </c>
      <c r="BM34">
        <f t="shared" si="40"/>
        <v>0.3817298181936144</v>
      </c>
      <c r="BN34">
        <f t="shared" si="41"/>
        <v>0.6182701818063856</v>
      </c>
      <c r="BO34">
        <v>12503</v>
      </c>
      <c r="BP34">
        <v>290.00000000000011</v>
      </c>
      <c r="BQ34">
        <v>713.35</v>
      </c>
      <c r="BR34">
        <v>215</v>
      </c>
      <c r="BS34">
        <v>10192.200000000001</v>
      </c>
      <c r="BT34">
        <v>713.64</v>
      </c>
      <c r="BU34">
        <v>-0.28999999999999998</v>
      </c>
      <c r="BV34">
        <v>300.00000000000011</v>
      </c>
      <c r="BW34">
        <v>24.2</v>
      </c>
      <c r="BX34">
        <v>746.88472739549184</v>
      </c>
      <c r="BY34">
        <v>2.020890789917813</v>
      </c>
      <c r="BZ34">
        <v>-33.882381552014337</v>
      </c>
      <c r="CA34">
        <v>1.8331104053943901</v>
      </c>
      <c r="CB34">
        <v>0.92425092837091416</v>
      </c>
      <c r="CC34">
        <v>-6.9574562847608476E-3</v>
      </c>
      <c r="CD34">
        <v>289.99999999999989</v>
      </c>
      <c r="CE34">
        <v>711.2</v>
      </c>
      <c r="CF34">
        <v>655</v>
      </c>
      <c r="CG34">
        <v>10167.4</v>
      </c>
      <c r="CH34">
        <v>713.56</v>
      </c>
      <c r="CI34">
        <v>-2.36</v>
      </c>
      <c r="CW34">
        <f t="shared" si="42"/>
        <v>1800.12</v>
      </c>
      <c r="CX34">
        <f t="shared" si="43"/>
        <v>1513.2884999967009</v>
      </c>
      <c r="CY34">
        <f t="shared" si="44"/>
        <v>0.84065978934554419</v>
      </c>
      <c r="CZ34">
        <f t="shared" si="45"/>
        <v>0.19131957869108843</v>
      </c>
      <c r="DA34">
        <v>6</v>
      </c>
      <c r="DB34">
        <v>0.5</v>
      </c>
      <c r="DC34" t="s">
        <v>419</v>
      </c>
      <c r="DD34">
        <v>2</v>
      </c>
      <c r="DE34">
        <v>1691163719</v>
      </c>
      <c r="DF34">
        <v>98.926699999999997</v>
      </c>
      <c r="DG34">
        <v>120.011</v>
      </c>
      <c r="DH34">
        <v>26.194400000000002</v>
      </c>
      <c r="DI34">
        <v>18.7196</v>
      </c>
      <c r="DJ34">
        <v>100.224</v>
      </c>
      <c r="DK34">
        <v>26.127099999999999</v>
      </c>
      <c r="DL34">
        <v>500.13400000000001</v>
      </c>
      <c r="DM34">
        <v>99.117199999999997</v>
      </c>
      <c r="DN34">
        <v>0.100591</v>
      </c>
      <c r="DO34">
        <v>30.124600000000001</v>
      </c>
      <c r="DP34">
        <v>30.024899999999999</v>
      </c>
      <c r="DQ34">
        <v>999.9</v>
      </c>
      <c r="DR34">
        <v>0</v>
      </c>
      <c r="DS34">
        <v>0</v>
      </c>
      <c r="DT34">
        <v>9992.5</v>
      </c>
      <c r="DU34">
        <v>0</v>
      </c>
      <c r="DV34">
        <v>1481.87</v>
      </c>
      <c r="DW34">
        <v>-21.084299999999999</v>
      </c>
      <c r="DX34">
        <v>101.58799999999999</v>
      </c>
      <c r="DY34">
        <v>122.3</v>
      </c>
      <c r="DZ34">
        <v>7.47485</v>
      </c>
      <c r="EA34">
        <v>120.011</v>
      </c>
      <c r="EB34">
        <v>18.7196</v>
      </c>
      <c r="EC34">
        <v>2.59632</v>
      </c>
      <c r="ED34">
        <v>1.8554299999999999</v>
      </c>
      <c r="EE34">
        <v>21.6432</v>
      </c>
      <c r="EF34">
        <v>16.261800000000001</v>
      </c>
      <c r="EG34">
        <v>1800.12</v>
      </c>
      <c r="EH34">
        <v>0.97800500000000001</v>
      </c>
      <c r="EI34">
        <v>2.1994799999999998E-2</v>
      </c>
      <c r="EJ34">
        <v>0</v>
      </c>
      <c r="EK34">
        <v>617.96</v>
      </c>
      <c r="EL34">
        <v>0.100005</v>
      </c>
      <c r="EM34">
        <v>15155</v>
      </c>
      <c r="EN34">
        <v>14863.6</v>
      </c>
      <c r="EO34">
        <v>47.811999999999998</v>
      </c>
      <c r="EP34">
        <v>49.25</v>
      </c>
      <c r="EQ34">
        <v>48.5</v>
      </c>
      <c r="ER34">
        <v>48.311999999999998</v>
      </c>
      <c r="ES34">
        <v>48.875</v>
      </c>
      <c r="ET34">
        <v>1760.43</v>
      </c>
      <c r="EU34">
        <v>39.590000000000003</v>
      </c>
      <c r="EV34">
        <v>0</v>
      </c>
      <c r="EW34">
        <v>97.200000047683716</v>
      </c>
      <c r="EX34">
        <v>0</v>
      </c>
      <c r="EY34">
        <v>618.19740000000002</v>
      </c>
      <c r="EZ34">
        <v>-2.8888462273848128</v>
      </c>
      <c r="FA34">
        <v>-284.43846239015301</v>
      </c>
      <c r="FB34">
        <v>15149.78</v>
      </c>
      <c r="FC34">
        <v>15</v>
      </c>
      <c r="FD34">
        <v>1691163688</v>
      </c>
      <c r="FE34" t="s">
        <v>511</v>
      </c>
      <c r="FF34">
        <v>1691163688</v>
      </c>
      <c r="FG34">
        <v>1691163688</v>
      </c>
      <c r="FH34">
        <v>24</v>
      </c>
      <c r="FI34">
        <v>-0.20599999999999999</v>
      </c>
      <c r="FJ34">
        <v>-1.0999999999999999E-2</v>
      </c>
      <c r="FK34">
        <v>-1.3759999999999999</v>
      </c>
      <c r="FL34">
        <v>-9.8000000000000004E-2</v>
      </c>
      <c r="FM34">
        <v>120</v>
      </c>
      <c r="FN34">
        <v>19</v>
      </c>
      <c r="FO34">
        <v>0.21</v>
      </c>
      <c r="FP34">
        <v>0.04</v>
      </c>
      <c r="FQ34">
        <v>16.925915825725589</v>
      </c>
      <c r="FR34">
        <v>-0.56926057340909064</v>
      </c>
      <c r="FS34">
        <v>0.10369701826947959</v>
      </c>
      <c r="FT34">
        <v>1</v>
      </c>
      <c r="FU34">
        <v>0.39191865045992291</v>
      </c>
      <c r="FV34">
        <v>3.2424197237790491E-2</v>
      </c>
      <c r="FW34">
        <v>3.6434584956873289E-3</v>
      </c>
      <c r="FX34">
        <v>1</v>
      </c>
      <c r="FY34">
        <v>2</v>
      </c>
      <c r="FZ34">
        <v>2</v>
      </c>
      <c r="GA34" t="s">
        <v>421</v>
      </c>
      <c r="GB34">
        <v>2.9158599999999999</v>
      </c>
      <c r="GC34">
        <v>2.8304100000000001</v>
      </c>
      <c r="GD34">
        <v>2.6793000000000001E-2</v>
      </c>
      <c r="GE34">
        <v>3.1106600000000002E-2</v>
      </c>
      <c r="GF34">
        <v>0.125052</v>
      </c>
      <c r="GG34">
        <v>9.5107999999999998E-2</v>
      </c>
      <c r="GH34">
        <v>25072.2</v>
      </c>
      <c r="GI34">
        <v>31060.6</v>
      </c>
      <c r="GJ34">
        <v>23210.1</v>
      </c>
      <c r="GK34">
        <v>29399.4</v>
      </c>
      <c r="GL34">
        <v>27713.9</v>
      </c>
      <c r="GM34">
        <v>37833.199999999997</v>
      </c>
      <c r="GN34">
        <v>32824.5</v>
      </c>
      <c r="GO34">
        <v>43599.6</v>
      </c>
      <c r="GP34">
        <v>1.927</v>
      </c>
      <c r="GQ34">
        <v>1.732</v>
      </c>
      <c r="GR34">
        <v>-1.8626500000000001E-2</v>
      </c>
      <c r="GS34">
        <v>0</v>
      </c>
      <c r="GT34">
        <v>30.3279</v>
      </c>
      <c r="GU34">
        <v>999.9</v>
      </c>
      <c r="GV34">
        <v>39.5</v>
      </c>
      <c r="GW34">
        <v>41</v>
      </c>
      <c r="GX34">
        <v>31.158899999999999</v>
      </c>
      <c r="GY34">
        <v>61.987499999999997</v>
      </c>
      <c r="GZ34">
        <v>39.278799999999997</v>
      </c>
      <c r="HA34">
        <v>1</v>
      </c>
      <c r="HB34">
        <v>0.69094500000000003</v>
      </c>
      <c r="HC34">
        <v>5.2619499999999997</v>
      </c>
      <c r="HD34">
        <v>20.191700000000001</v>
      </c>
      <c r="HE34">
        <v>5.2107000000000001</v>
      </c>
      <c r="HF34">
        <v>11.8782</v>
      </c>
      <c r="HG34">
        <v>4.984</v>
      </c>
      <c r="HH34">
        <v>3.2839999999999998</v>
      </c>
      <c r="HI34">
        <v>9999</v>
      </c>
      <c r="HJ34">
        <v>9999</v>
      </c>
      <c r="HK34">
        <v>9999</v>
      </c>
      <c r="HL34">
        <v>999.9</v>
      </c>
      <c r="HM34">
        <v>1.8549</v>
      </c>
      <c r="HN34">
        <v>1.8609599999999999</v>
      </c>
      <c r="HO34">
        <v>1.8583099999999999</v>
      </c>
      <c r="HP34">
        <v>1.85944</v>
      </c>
      <c r="HQ34">
        <v>1.8587800000000001</v>
      </c>
      <c r="HR34">
        <v>1.85928</v>
      </c>
      <c r="HS34">
        <v>1.8575999999999999</v>
      </c>
      <c r="HT34">
        <v>1.8609599999999999</v>
      </c>
      <c r="HU34">
        <v>5</v>
      </c>
      <c r="HV34">
        <v>0</v>
      </c>
      <c r="HW34">
        <v>0</v>
      </c>
      <c r="HX34">
        <v>0</v>
      </c>
      <c r="HY34" t="s">
        <v>422</v>
      </c>
      <c r="HZ34" t="s">
        <v>423</v>
      </c>
      <c r="IA34" t="s">
        <v>424</v>
      </c>
      <c r="IB34" t="s">
        <v>424</v>
      </c>
      <c r="IC34" t="s">
        <v>424</v>
      </c>
      <c r="ID34" t="s">
        <v>424</v>
      </c>
      <c r="IE34">
        <v>0</v>
      </c>
      <c r="IF34">
        <v>100</v>
      </c>
      <c r="IG34">
        <v>100</v>
      </c>
      <c r="IH34">
        <v>-1.2969999999999999</v>
      </c>
      <c r="II34">
        <v>6.7299999999999999E-2</v>
      </c>
      <c r="IJ34">
        <v>-0.90267961258515372</v>
      </c>
      <c r="IK34">
        <v>-4.1229525807901877E-3</v>
      </c>
      <c r="IL34">
        <v>1.8448211998558991E-6</v>
      </c>
      <c r="IM34">
        <v>-3.7020276670297668E-10</v>
      </c>
      <c r="IN34">
        <v>-0.1818879768893138</v>
      </c>
      <c r="IO34">
        <v>-1.3488639696665739E-2</v>
      </c>
      <c r="IP34">
        <v>1.1588640342490499E-3</v>
      </c>
      <c r="IQ34">
        <v>-1.0624341560077559E-5</v>
      </c>
      <c r="IR34">
        <v>2</v>
      </c>
      <c r="IS34">
        <v>1915</v>
      </c>
      <c r="IT34">
        <v>1</v>
      </c>
      <c r="IU34">
        <v>42</v>
      </c>
      <c r="IV34">
        <v>0.5</v>
      </c>
      <c r="IW34">
        <v>0.5</v>
      </c>
      <c r="IX34">
        <v>0.40527299999999999</v>
      </c>
      <c r="IY34">
        <v>2.49268</v>
      </c>
      <c r="IZ34">
        <v>1.49414</v>
      </c>
      <c r="JA34">
        <v>2.2912599999999999</v>
      </c>
      <c r="JB34">
        <v>1.54419</v>
      </c>
      <c r="JC34">
        <v>2.4621599999999999</v>
      </c>
      <c r="JD34">
        <v>45.776800000000001</v>
      </c>
      <c r="JE34">
        <v>23.780999999999999</v>
      </c>
      <c r="JF34">
        <v>18</v>
      </c>
      <c r="JG34">
        <v>512.29100000000005</v>
      </c>
      <c r="JH34">
        <v>412.24900000000002</v>
      </c>
      <c r="JI34">
        <v>23.295999999999999</v>
      </c>
      <c r="JJ34">
        <v>35.740400000000001</v>
      </c>
      <c r="JK34">
        <v>30.000499999999999</v>
      </c>
      <c r="JL34">
        <v>35.633699999999997</v>
      </c>
      <c r="JM34">
        <v>35.606499999999997</v>
      </c>
      <c r="JN34">
        <v>8.1890599999999996</v>
      </c>
      <c r="JO34">
        <v>41.594099999999997</v>
      </c>
      <c r="JP34">
        <v>0</v>
      </c>
      <c r="JQ34">
        <v>23.293099999999999</v>
      </c>
      <c r="JR34">
        <v>120</v>
      </c>
      <c r="JS34">
        <v>18.637799999999999</v>
      </c>
      <c r="JT34">
        <v>97.345500000000001</v>
      </c>
      <c r="JU34">
        <v>98.021000000000001</v>
      </c>
    </row>
    <row r="35" spans="1:281" x14ac:dyDescent="0.25">
      <c r="A35">
        <v>19</v>
      </c>
      <c r="B35">
        <v>1691163845</v>
      </c>
      <c r="C35">
        <v>4599.4000000953674</v>
      </c>
      <c r="D35" t="s">
        <v>512</v>
      </c>
      <c r="E35" t="s">
        <v>513</v>
      </c>
      <c r="F35" t="s">
        <v>413</v>
      </c>
      <c r="G35" t="s">
        <v>415</v>
      </c>
      <c r="H35" t="s">
        <v>493</v>
      </c>
      <c r="I35" t="s">
        <v>415</v>
      </c>
      <c r="J35">
        <v>1691163845</v>
      </c>
      <c r="K35">
        <f t="shared" si="0"/>
        <v>6.9199023659013773E-3</v>
      </c>
      <c r="L35">
        <f t="shared" si="1"/>
        <v>6.9199023659013772</v>
      </c>
      <c r="M35">
        <f t="shared" si="2"/>
        <v>10.569010822099351</v>
      </c>
      <c r="N35">
        <f t="shared" si="3"/>
        <v>56.794699999999999</v>
      </c>
      <c r="O35">
        <f t="shared" si="4"/>
        <v>13.898127757439626</v>
      </c>
      <c r="P35">
        <f t="shared" si="5"/>
        <v>1.3790162792600231</v>
      </c>
      <c r="Q35">
        <f t="shared" si="6"/>
        <v>5.6353501164043003</v>
      </c>
      <c r="R35">
        <f t="shared" si="7"/>
        <v>0.4315972975145716</v>
      </c>
      <c r="S35">
        <f t="shared" si="8"/>
        <v>2.9145546719585687</v>
      </c>
      <c r="T35">
        <f t="shared" si="9"/>
        <v>0.39897673388360594</v>
      </c>
      <c r="U35">
        <f t="shared" si="10"/>
        <v>0.25208551615683594</v>
      </c>
      <c r="V35">
        <f t="shared" si="11"/>
        <v>344.3563999934014</v>
      </c>
      <c r="W35">
        <f t="shared" si="12"/>
        <v>30.419794995612598</v>
      </c>
      <c r="X35">
        <f t="shared" si="13"/>
        <v>30.0152</v>
      </c>
      <c r="Y35">
        <f t="shared" si="14"/>
        <v>4.2641708823517996</v>
      </c>
      <c r="Z35">
        <f t="shared" si="15"/>
        <v>60.435682072426033</v>
      </c>
      <c r="AA35">
        <f t="shared" si="16"/>
        <v>2.6027824799404002</v>
      </c>
      <c r="AB35">
        <f t="shared" si="17"/>
        <v>4.3066982793728208</v>
      </c>
      <c r="AC35">
        <f t="shared" si="18"/>
        <v>1.6613884024113994</v>
      </c>
      <c r="AD35">
        <f t="shared" si="19"/>
        <v>-305.16769433625075</v>
      </c>
      <c r="AE35">
        <f t="shared" si="20"/>
        <v>27.167685617963357</v>
      </c>
      <c r="AF35">
        <f t="shared" si="21"/>
        <v>2.0747060884437207</v>
      </c>
      <c r="AG35">
        <f t="shared" si="22"/>
        <v>68.431097363557754</v>
      </c>
      <c r="AH35">
        <v>0</v>
      </c>
      <c r="AI35">
        <v>0</v>
      </c>
      <c r="AJ35">
        <f t="shared" si="23"/>
        <v>1</v>
      </c>
      <c r="AK35">
        <f t="shared" si="24"/>
        <v>0</v>
      </c>
      <c r="AL35">
        <f t="shared" si="25"/>
        <v>51874.680821585534</v>
      </c>
      <c r="AM35" t="s">
        <v>416</v>
      </c>
      <c r="AN35">
        <v>10235.299999999999</v>
      </c>
      <c r="AO35">
        <v>594.051923076923</v>
      </c>
      <c r="AP35">
        <v>2007.77</v>
      </c>
      <c r="AQ35">
        <f t="shared" si="26"/>
        <v>0.70412351859180933</v>
      </c>
      <c r="AR35">
        <v>-0.54275787784279261</v>
      </c>
      <c r="AS35" t="s">
        <v>514</v>
      </c>
      <c r="AT35">
        <v>10188.299999999999</v>
      </c>
      <c r="AU35">
        <v>625.67860000000007</v>
      </c>
      <c r="AV35">
        <v>709.36105838533365</v>
      </c>
      <c r="AW35">
        <f t="shared" si="27"/>
        <v>0.1179687796449016</v>
      </c>
      <c r="AX35">
        <v>0.5</v>
      </c>
      <c r="AY35">
        <f t="shared" si="28"/>
        <v>1513.1036999967009</v>
      </c>
      <c r="AZ35">
        <f t="shared" si="29"/>
        <v>10.569010822099351</v>
      </c>
      <c r="BA35">
        <f t="shared" si="30"/>
        <v>89.249498482398053</v>
      </c>
      <c r="BB35">
        <f t="shared" si="31"/>
        <v>7.3436927686888684E-3</v>
      </c>
      <c r="BC35">
        <f t="shared" si="32"/>
        <v>1.8303921906428566</v>
      </c>
      <c r="BD35">
        <f t="shared" si="33"/>
        <v>385.35513969866543</v>
      </c>
      <c r="BE35" t="s">
        <v>515</v>
      </c>
      <c r="BF35">
        <v>493.03</v>
      </c>
      <c r="BG35">
        <f t="shared" si="34"/>
        <v>493.03</v>
      </c>
      <c r="BH35">
        <f t="shared" si="35"/>
        <v>0.30496607591873193</v>
      </c>
      <c r="BI35">
        <f t="shared" si="36"/>
        <v>0.38682590937209083</v>
      </c>
      <c r="BJ35">
        <f t="shared" si="37"/>
        <v>0.85718271229033771</v>
      </c>
      <c r="BK35">
        <f t="shared" si="38"/>
        <v>0.72572271192141857</v>
      </c>
      <c r="BL35">
        <f t="shared" si="39"/>
        <v>0.91843555147899203</v>
      </c>
      <c r="BM35">
        <f t="shared" si="40"/>
        <v>0.30481588805773752</v>
      </c>
      <c r="BN35">
        <f t="shared" si="41"/>
        <v>0.69518411194226248</v>
      </c>
      <c r="BO35">
        <v>12505</v>
      </c>
      <c r="BP35">
        <v>290.00000000000011</v>
      </c>
      <c r="BQ35">
        <v>686.91</v>
      </c>
      <c r="BR35">
        <v>245</v>
      </c>
      <c r="BS35">
        <v>10188.299999999999</v>
      </c>
      <c r="BT35">
        <v>686.39</v>
      </c>
      <c r="BU35">
        <v>0.52</v>
      </c>
      <c r="BV35">
        <v>300.00000000000011</v>
      </c>
      <c r="BW35">
        <v>24.2</v>
      </c>
      <c r="BX35">
        <v>709.36105838533365</v>
      </c>
      <c r="BY35">
        <v>1.72647205165896</v>
      </c>
      <c r="BZ35">
        <v>-23.40709270421786</v>
      </c>
      <c r="CA35">
        <v>1.566046751154152</v>
      </c>
      <c r="CB35">
        <v>0.8886242395367645</v>
      </c>
      <c r="CC35">
        <v>-6.9573815350389206E-3</v>
      </c>
      <c r="CD35">
        <v>289.99999999999989</v>
      </c>
      <c r="CE35">
        <v>683.95</v>
      </c>
      <c r="CF35">
        <v>695</v>
      </c>
      <c r="CG35">
        <v>10165.1</v>
      </c>
      <c r="CH35">
        <v>686.33</v>
      </c>
      <c r="CI35">
        <v>-2.38</v>
      </c>
      <c r="CW35">
        <f t="shared" si="42"/>
        <v>1799.9</v>
      </c>
      <c r="CX35">
        <f t="shared" si="43"/>
        <v>1513.1036999967009</v>
      </c>
      <c r="CY35">
        <f t="shared" si="44"/>
        <v>0.84065986999094444</v>
      </c>
      <c r="CZ35">
        <f t="shared" si="45"/>
        <v>0.19131973998188864</v>
      </c>
      <c r="DA35">
        <v>6</v>
      </c>
      <c r="DB35">
        <v>0.5</v>
      </c>
      <c r="DC35" t="s">
        <v>419</v>
      </c>
      <c r="DD35">
        <v>2</v>
      </c>
      <c r="DE35">
        <v>1691163845</v>
      </c>
      <c r="DF35">
        <v>56.794699999999999</v>
      </c>
      <c r="DG35">
        <v>69.940899999999999</v>
      </c>
      <c r="DH35">
        <v>26.2316</v>
      </c>
      <c r="DI35">
        <v>18.150600000000001</v>
      </c>
      <c r="DJ35">
        <v>57.978099999999998</v>
      </c>
      <c r="DK35">
        <v>26.162500000000001</v>
      </c>
      <c r="DL35">
        <v>500.31299999999999</v>
      </c>
      <c r="DM35">
        <v>99.122900000000001</v>
      </c>
      <c r="DN35">
        <v>0.100269</v>
      </c>
      <c r="DO35">
        <v>30.188099999999999</v>
      </c>
      <c r="DP35">
        <v>30.0152</v>
      </c>
      <c r="DQ35">
        <v>999.9</v>
      </c>
      <c r="DR35">
        <v>0</v>
      </c>
      <c r="DS35">
        <v>0</v>
      </c>
      <c r="DT35">
        <v>10002.5</v>
      </c>
      <c r="DU35">
        <v>0</v>
      </c>
      <c r="DV35">
        <v>1498.72</v>
      </c>
      <c r="DW35">
        <v>-13.146100000000001</v>
      </c>
      <c r="DX35">
        <v>58.3247</v>
      </c>
      <c r="DY35">
        <v>71.233800000000002</v>
      </c>
      <c r="DZ35">
        <v>8.0810399999999998</v>
      </c>
      <c r="EA35">
        <v>69.940899999999999</v>
      </c>
      <c r="EB35">
        <v>18.150600000000001</v>
      </c>
      <c r="EC35">
        <v>2.6001599999999998</v>
      </c>
      <c r="ED35">
        <v>1.79914</v>
      </c>
      <c r="EE35">
        <v>21.667400000000001</v>
      </c>
      <c r="EF35">
        <v>15.779299999999999</v>
      </c>
      <c r="EG35">
        <v>1799.9</v>
      </c>
      <c r="EH35">
        <v>0.97800200000000004</v>
      </c>
      <c r="EI35">
        <v>2.1998500000000001E-2</v>
      </c>
      <c r="EJ35">
        <v>0</v>
      </c>
      <c r="EK35">
        <v>625.21500000000003</v>
      </c>
      <c r="EL35">
        <v>0.100005</v>
      </c>
      <c r="EM35">
        <v>15345.2</v>
      </c>
      <c r="EN35">
        <v>14861.7</v>
      </c>
      <c r="EO35">
        <v>47.75</v>
      </c>
      <c r="EP35">
        <v>49.25</v>
      </c>
      <c r="EQ35">
        <v>48.5</v>
      </c>
      <c r="ER35">
        <v>48.311999999999998</v>
      </c>
      <c r="ES35">
        <v>48.936999999999998</v>
      </c>
      <c r="ET35">
        <v>1760.21</v>
      </c>
      <c r="EU35">
        <v>39.590000000000003</v>
      </c>
      <c r="EV35">
        <v>0</v>
      </c>
      <c r="EW35">
        <v>123.6000001430511</v>
      </c>
      <c r="EX35">
        <v>0</v>
      </c>
      <c r="EY35">
        <v>625.67860000000007</v>
      </c>
      <c r="EZ35">
        <v>-0.32115394289778387</v>
      </c>
      <c r="FA35">
        <v>-56.746153152908619</v>
      </c>
      <c r="FB35">
        <v>15352.012000000001</v>
      </c>
      <c r="FC35">
        <v>15</v>
      </c>
      <c r="FD35">
        <v>1691163807.5</v>
      </c>
      <c r="FE35" t="s">
        <v>516</v>
      </c>
      <c r="FF35">
        <v>1691163796.5</v>
      </c>
      <c r="FG35">
        <v>1691163807.5</v>
      </c>
      <c r="FH35">
        <v>25</v>
      </c>
      <c r="FI35">
        <v>-4.8000000000000001E-2</v>
      </c>
      <c r="FJ35">
        <v>1E-3</v>
      </c>
      <c r="FK35">
        <v>-1.2350000000000001</v>
      </c>
      <c r="FL35">
        <v>-0.105</v>
      </c>
      <c r="FM35">
        <v>70</v>
      </c>
      <c r="FN35">
        <v>18</v>
      </c>
      <c r="FO35">
        <v>0.42</v>
      </c>
      <c r="FP35">
        <v>0.04</v>
      </c>
      <c r="FQ35">
        <v>10.47498543671758</v>
      </c>
      <c r="FR35">
        <v>-0.36042313196523917</v>
      </c>
      <c r="FS35">
        <v>7.6564134651699534E-2</v>
      </c>
      <c r="FT35">
        <v>1</v>
      </c>
      <c r="FU35">
        <v>0.43344771493350193</v>
      </c>
      <c r="FV35">
        <v>-1.9177801971964299E-2</v>
      </c>
      <c r="FW35">
        <v>1.8633184684961599E-3</v>
      </c>
      <c r="FX35">
        <v>1</v>
      </c>
      <c r="FY35">
        <v>2</v>
      </c>
      <c r="FZ35">
        <v>2</v>
      </c>
      <c r="GA35" t="s">
        <v>421</v>
      </c>
      <c r="GB35">
        <v>2.9162300000000001</v>
      </c>
      <c r="GC35">
        <v>2.8301699999999999</v>
      </c>
      <c r="GD35">
        <v>1.5787499999999999E-2</v>
      </c>
      <c r="GE35">
        <v>1.85512E-2</v>
      </c>
      <c r="GF35">
        <v>0.12515100000000001</v>
      </c>
      <c r="GG35">
        <v>9.3001399999999998E-2</v>
      </c>
      <c r="GH35">
        <v>25353.5</v>
      </c>
      <c r="GI35">
        <v>31457.200000000001</v>
      </c>
      <c r="GJ35">
        <v>23208.9</v>
      </c>
      <c r="GK35">
        <v>29395</v>
      </c>
      <c r="GL35">
        <v>27709</v>
      </c>
      <c r="GM35">
        <v>37914.9</v>
      </c>
      <c r="GN35">
        <v>32823.1</v>
      </c>
      <c r="GO35">
        <v>43594.400000000001</v>
      </c>
      <c r="GP35">
        <v>1.9273</v>
      </c>
      <c r="GQ35">
        <v>1.7295</v>
      </c>
      <c r="GR35">
        <v>-1.7121399999999998E-2</v>
      </c>
      <c r="GS35">
        <v>0</v>
      </c>
      <c r="GT35">
        <v>30.293800000000001</v>
      </c>
      <c r="GU35">
        <v>999.9</v>
      </c>
      <c r="GV35">
        <v>39.299999999999997</v>
      </c>
      <c r="GW35">
        <v>41</v>
      </c>
      <c r="GX35">
        <v>30.999500000000001</v>
      </c>
      <c r="GY35">
        <v>61.897500000000001</v>
      </c>
      <c r="GZ35">
        <v>39.078499999999998</v>
      </c>
      <c r="HA35">
        <v>1</v>
      </c>
      <c r="HB35">
        <v>0.69567100000000004</v>
      </c>
      <c r="HC35">
        <v>4.9561500000000001</v>
      </c>
      <c r="HD35">
        <v>20.200700000000001</v>
      </c>
      <c r="HE35">
        <v>5.2095000000000002</v>
      </c>
      <c r="HF35">
        <v>11.8782</v>
      </c>
      <c r="HG35">
        <v>4.984</v>
      </c>
      <c r="HH35">
        <v>3.2839999999999998</v>
      </c>
      <c r="HI35">
        <v>9999</v>
      </c>
      <c r="HJ35">
        <v>9999</v>
      </c>
      <c r="HK35">
        <v>9999</v>
      </c>
      <c r="HL35">
        <v>999.9</v>
      </c>
      <c r="HM35">
        <v>1.8549599999999999</v>
      </c>
      <c r="HN35">
        <v>1.8609599999999999</v>
      </c>
      <c r="HO35">
        <v>1.8583400000000001</v>
      </c>
      <c r="HP35">
        <v>1.85944</v>
      </c>
      <c r="HQ35">
        <v>1.8587800000000001</v>
      </c>
      <c r="HR35">
        <v>1.85931</v>
      </c>
      <c r="HS35">
        <v>1.8576299999999999</v>
      </c>
      <c r="HT35">
        <v>1.8609899999999999</v>
      </c>
      <c r="HU35">
        <v>5</v>
      </c>
      <c r="HV35">
        <v>0</v>
      </c>
      <c r="HW35">
        <v>0</v>
      </c>
      <c r="HX35">
        <v>0</v>
      </c>
      <c r="HY35" t="s">
        <v>422</v>
      </c>
      <c r="HZ35" t="s">
        <v>423</v>
      </c>
      <c r="IA35" t="s">
        <v>424</v>
      </c>
      <c r="IB35" t="s">
        <v>424</v>
      </c>
      <c r="IC35" t="s">
        <v>424</v>
      </c>
      <c r="ID35" t="s">
        <v>424</v>
      </c>
      <c r="IE35">
        <v>0</v>
      </c>
      <c r="IF35">
        <v>100</v>
      </c>
      <c r="IG35">
        <v>100</v>
      </c>
      <c r="IH35">
        <v>-1.1830000000000001</v>
      </c>
      <c r="II35">
        <v>6.9099999999999995E-2</v>
      </c>
      <c r="IJ35">
        <v>-0.95044677960507906</v>
      </c>
      <c r="IK35">
        <v>-4.1229525807901877E-3</v>
      </c>
      <c r="IL35">
        <v>1.8448211998558991E-6</v>
      </c>
      <c r="IM35">
        <v>-3.7020276670297668E-10</v>
      </c>
      <c r="IN35">
        <v>-0.18090477249611389</v>
      </c>
      <c r="IO35">
        <v>-1.3488639696665739E-2</v>
      </c>
      <c r="IP35">
        <v>1.1588640342490499E-3</v>
      </c>
      <c r="IQ35">
        <v>-1.0624341560077559E-5</v>
      </c>
      <c r="IR35">
        <v>2</v>
      </c>
      <c r="IS35">
        <v>1915</v>
      </c>
      <c r="IT35">
        <v>1</v>
      </c>
      <c r="IU35">
        <v>42</v>
      </c>
      <c r="IV35">
        <v>0.8</v>
      </c>
      <c r="IW35">
        <v>0.6</v>
      </c>
      <c r="IX35">
        <v>0.29541000000000001</v>
      </c>
      <c r="IY35">
        <v>2.5134300000000001</v>
      </c>
      <c r="IZ35">
        <v>1.49414</v>
      </c>
      <c r="JA35">
        <v>2.2912599999999999</v>
      </c>
      <c r="JB35">
        <v>1.54419</v>
      </c>
      <c r="JC35">
        <v>2.3327599999999999</v>
      </c>
      <c r="JD35">
        <v>45.863199999999999</v>
      </c>
      <c r="JE35">
        <v>23.772300000000001</v>
      </c>
      <c r="JF35">
        <v>18</v>
      </c>
      <c r="JG35">
        <v>513.07799999999997</v>
      </c>
      <c r="JH35">
        <v>411.15</v>
      </c>
      <c r="JI35">
        <v>23.523399999999999</v>
      </c>
      <c r="JJ35">
        <v>35.813099999999999</v>
      </c>
      <c r="JK35">
        <v>30.000299999999999</v>
      </c>
      <c r="JL35">
        <v>35.7087</v>
      </c>
      <c r="JM35">
        <v>35.684699999999999</v>
      </c>
      <c r="JN35">
        <v>5.9669800000000004</v>
      </c>
      <c r="JO35">
        <v>43.386200000000002</v>
      </c>
      <c r="JP35">
        <v>0</v>
      </c>
      <c r="JQ35">
        <v>23.524100000000001</v>
      </c>
      <c r="JR35">
        <v>70</v>
      </c>
      <c r="JS35">
        <v>18.066800000000001</v>
      </c>
      <c r="JT35">
        <v>97.340999999999994</v>
      </c>
      <c r="JU35">
        <v>98.008200000000002</v>
      </c>
    </row>
    <row r="36" spans="1:281" x14ac:dyDescent="0.25">
      <c r="A36">
        <v>20</v>
      </c>
      <c r="B36">
        <v>1691163960</v>
      </c>
      <c r="C36">
        <v>4714.4000000953674</v>
      </c>
      <c r="D36" t="s">
        <v>517</v>
      </c>
      <c r="E36" t="s">
        <v>518</v>
      </c>
      <c r="F36" t="s">
        <v>413</v>
      </c>
      <c r="G36" t="s">
        <v>415</v>
      </c>
      <c r="H36" t="s">
        <v>493</v>
      </c>
      <c r="I36" t="s">
        <v>415</v>
      </c>
      <c r="J36">
        <v>1691163960</v>
      </c>
      <c r="K36">
        <f t="shared" si="0"/>
        <v>7.1198483007398877E-3</v>
      </c>
      <c r="L36">
        <f t="shared" si="1"/>
        <v>7.1198483007398874</v>
      </c>
      <c r="M36">
        <f t="shared" si="2"/>
        <v>4.8795124370166416</v>
      </c>
      <c r="N36">
        <f t="shared" si="3"/>
        <v>23.874099999999999</v>
      </c>
      <c r="O36">
        <f t="shared" si="4"/>
        <v>4.7317268892174482</v>
      </c>
      <c r="P36">
        <f t="shared" si="5"/>
        <v>0.46951550077477155</v>
      </c>
      <c r="Q36">
        <f t="shared" si="6"/>
        <v>2.3689575242794301</v>
      </c>
      <c r="R36">
        <f t="shared" si="7"/>
        <v>0.446534084169881</v>
      </c>
      <c r="S36">
        <f t="shared" si="8"/>
        <v>2.9150659986669889</v>
      </c>
      <c r="T36">
        <f t="shared" si="9"/>
        <v>0.41171973355205843</v>
      </c>
      <c r="U36">
        <f t="shared" si="10"/>
        <v>0.2602261998641624</v>
      </c>
      <c r="V36">
        <f t="shared" si="11"/>
        <v>344.37598679347343</v>
      </c>
      <c r="W36">
        <f t="shared" si="12"/>
        <v>30.365849456674265</v>
      </c>
      <c r="X36">
        <f t="shared" si="13"/>
        <v>30.009899999999998</v>
      </c>
      <c r="Y36">
        <f t="shared" si="14"/>
        <v>4.2628730685789007</v>
      </c>
      <c r="Z36">
        <f t="shared" si="15"/>
        <v>60.524847397603452</v>
      </c>
      <c r="AA36">
        <f t="shared" si="16"/>
        <v>2.60633849718872</v>
      </c>
      <c r="AB36">
        <f t="shared" si="17"/>
        <v>4.3062289443986614</v>
      </c>
      <c r="AC36">
        <f t="shared" si="18"/>
        <v>1.6565345713901807</v>
      </c>
      <c r="AD36">
        <f t="shared" si="19"/>
        <v>-313.98531006262903</v>
      </c>
      <c r="AE36">
        <f t="shared" si="20"/>
        <v>27.706785820579942</v>
      </c>
      <c r="AF36">
        <f t="shared" si="21"/>
        <v>2.115428870625474</v>
      </c>
      <c r="AG36">
        <f t="shared" si="22"/>
        <v>60.212891422049807</v>
      </c>
      <c r="AH36">
        <v>0</v>
      </c>
      <c r="AI36">
        <v>0</v>
      </c>
      <c r="AJ36">
        <f t="shared" si="23"/>
        <v>1</v>
      </c>
      <c r="AK36">
        <f t="shared" si="24"/>
        <v>0</v>
      </c>
      <c r="AL36">
        <f t="shared" si="25"/>
        <v>51889.638805032708</v>
      </c>
      <c r="AM36" t="s">
        <v>416</v>
      </c>
      <c r="AN36">
        <v>10235.299999999999</v>
      </c>
      <c r="AO36">
        <v>594.051923076923</v>
      </c>
      <c r="AP36">
        <v>2007.77</v>
      </c>
      <c r="AQ36">
        <f t="shared" si="26"/>
        <v>0.70412351859180933</v>
      </c>
      <c r="AR36">
        <v>-0.54275787784279261</v>
      </c>
      <c r="AS36" t="s">
        <v>519</v>
      </c>
      <c r="AT36">
        <v>10199.299999999999</v>
      </c>
      <c r="AU36">
        <v>636.5136</v>
      </c>
      <c r="AV36">
        <v>699.63163429409792</v>
      </c>
      <c r="AW36">
        <f t="shared" si="27"/>
        <v>9.0216095442541944E-2</v>
      </c>
      <c r="AX36">
        <v>0.5</v>
      </c>
      <c r="AY36">
        <f t="shared" si="28"/>
        <v>1513.1879933967366</v>
      </c>
      <c r="AZ36">
        <f t="shared" si="29"/>
        <v>4.8795124370166416</v>
      </c>
      <c r="BA36">
        <f t="shared" si="30"/>
        <v>68.256956217394261</v>
      </c>
      <c r="BB36">
        <f t="shared" si="31"/>
        <v>3.5833421481806529E-3</v>
      </c>
      <c r="BC36">
        <f t="shared" si="32"/>
        <v>1.8697530265705675</v>
      </c>
      <c r="BD36">
        <f t="shared" si="33"/>
        <v>382.46576361501502</v>
      </c>
      <c r="BE36" t="s">
        <v>520</v>
      </c>
      <c r="BF36">
        <v>512.47</v>
      </c>
      <c r="BG36">
        <f t="shared" si="34"/>
        <v>512.47</v>
      </c>
      <c r="BH36">
        <f t="shared" si="35"/>
        <v>0.26751453925169777</v>
      </c>
      <c r="BI36">
        <f t="shared" si="36"/>
        <v>0.33723810187998737</v>
      </c>
      <c r="BJ36">
        <f t="shared" si="37"/>
        <v>0.87483338842098712</v>
      </c>
      <c r="BK36">
        <f t="shared" si="38"/>
        <v>0.59782351709852333</v>
      </c>
      <c r="BL36">
        <f t="shared" si="39"/>
        <v>0.92531770446978612</v>
      </c>
      <c r="BM36">
        <f t="shared" si="40"/>
        <v>0.27151723085011398</v>
      </c>
      <c r="BN36">
        <f t="shared" si="41"/>
        <v>0.72848276914988608</v>
      </c>
      <c r="BO36">
        <v>12507</v>
      </c>
      <c r="BP36">
        <v>290.00000000000011</v>
      </c>
      <c r="BQ36">
        <v>678.54</v>
      </c>
      <c r="BR36">
        <v>165</v>
      </c>
      <c r="BS36">
        <v>10199.299999999999</v>
      </c>
      <c r="BT36">
        <v>677.45</v>
      </c>
      <c r="BU36">
        <v>1.0900000000000001</v>
      </c>
      <c r="BV36">
        <v>300.00000000000011</v>
      </c>
      <c r="BW36">
        <v>24.2</v>
      </c>
      <c r="BX36">
        <v>699.63163429409792</v>
      </c>
      <c r="BY36">
        <v>1.744620243762713</v>
      </c>
      <c r="BZ36">
        <v>-22.625509168913979</v>
      </c>
      <c r="CA36">
        <v>1.5825100977894999</v>
      </c>
      <c r="CB36">
        <v>0.87952364789082416</v>
      </c>
      <c r="CC36">
        <v>-6.9573890989988937E-3</v>
      </c>
      <c r="CD36">
        <v>289.99999999999989</v>
      </c>
      <c r="CE36">
        <v>675.64</v>
      </c>
      <c r="CF36">
        <v>695</v>
      </c>
      <c r="CG36">
        <v>10165</v>
      </c>
      <c r="CH36">
        <v>677.37</v>
      </c>
      <c r="CI36">
        <v>-1.73</v>
      </c>
      <c r="CW36">
        <f t="shared" si="42"/>
        <v>1800</v>
      </c>
      <c r="CX36">
        <f t="shared" si="43"/>
        <v>1513.1879933967366</v>
      </c>
      <c r="CY36">
        <f t="shared" si="44"/>
        <v>0.84065999633152033</v>
      </c>
      <c r="CZ36">
        <f t="shared" si="45"/>
        <v>0.19131999266304078</v>
      </c>
      <c r="DA36">
        <v>6</v>
      </c>
      <c r="DB36">
        <v>0.5</v>
      </c>
      <c r="DC36" t="s">
        <v>419</v>
      </c>
      <c r="DD36">
        <v>2</v>
      </c>
      <c r="DE36">
        <v>1691163960</v>
      </c>
      <c r="DF36">
        <v>23.874099999999999</v>
      </c>
      <c r="DG36">
        <v>29.934799999999999</v>
      </c>
      <c r="DH36">
        <v>26.266400000000001</v>
      </c>
      <c r="DI36">
        <v>17.9452</v>
      </c>
      <c r="DJ36">
        <v>25.0989</v>
      </c>
      <c r="DK36">
        <v>26.199400000000001</v>
      </c>
      <c r="DL36">
        <v>499.892</v>
      </c>
      <c r="DM36">
        <v>99.127099999999999</v>
      </c>
      <c r="DN36">
        <v>9.9992300000000006E-2</v>
      </c>
      <c r="DO36">
        <v>30.186199999999999</v>
      </c>
      <c r="DP36">
        <v>30.009899999999998</v>
      </c>
      <c r="DQ36">
        <v>999.9</v>
      </c>
      <c r="DR36">
        <v>0</v>
      </c>
      <c r="DS36">
        <v>0</v>
      </c>
      <c r="DT36">
        <v>10005</v>
      </c>
      <c r="DU36">
        <v>0</v>
      </c>
      <c r="DV36">
        <v>1513.06</v>
      </c>
      <c r="DW36">
        <v>-6.06074</v>
      </c>
      <c r="DX36">
        <v>24.5181</v>
      </c>
      <c r="DY36">
        <v>30.4818</v>
      </c>
      <c r="DZ36">
        <v>8.3211300000000001</v>
      </c>
      <c r="EA36">
        <v>29.934799999999999</v>
      </c>
      <c r="EB36">
        <v>17.9452</v>
      </c>
      <c r="EC36">
        <v>2.60371</v>
      </c>
      <c r="ED36">
        <v>1.7788600000000001</v>
      </c>
      <c r="EE36">
        <v>21.689699999999998</v>
      </c>
      <c r="EF36">
        <v>15.6022</v>
      </c>
      <c r="EG36">
        <v>1800</v>
      </c>
      <c r="EH36">
        <v>0.97800200000000004</v>
      </c>
      <c r="EI36">
        <v>2.1998500000000001E-2</v>
      </c>
      <c r="EJ36">
        <v>0</v>
      </c>
      <c r="EK36">
        <v>640.03499999999997</v>
      </c>
      <c r="EL36">
        <v>0.100005</v>
      </c>
      <c r="EM36">
        <v>15560.5</v>
      </c>
      <c r="EN36">
        <v>14862.5</v>
      </c>
      <c r="EO36">
        <v>47.811999999999998</v>
      </c>
      <c r="EP36">
        <v>49.311999999999998</v>
      </c>
      <c r="EQ36">
        <v>48.561999999999998</v>
      </c>
      <c r="ER36">
        <v>48.311999999999998</v>
      </c>
      <c r="ES36">
        <v>48.936999999999998</v>
      </c>
      <c r="ET36">
        <v>1760.31</v>
      </c>
      <c r="EU36">
        <v>39.6</v>
      </c>
      <c r="EV36">
        <v>0</v>
      </c>
      <c r="EW36">
        <v>112.80000019073491</v>
      </c>
      <c r="EX36">
        <v>0</v>
      </c>
      <c r="EY36">
        <v>636.5136</v>
      </c>
      <c r="EZ36">
        <v>-0.59384615368074745</v>
      </c>
      <c r="FA36">
        <v>78.084614319449869</v>
      </c>
      <c r="FB36">
        <v>15555.52</v>
      </c>
      <c r="FC36">
        <v>15</v>
      </c>
      <c r="FD36">
        <v>1691163923</v>
      </c>
      <c r="FE36" t="s">
        <v>521</v>
      </c>
      <c r="FF36">
        <v>1691163917</v>
      </c>
      <c r="FG36">
        <v>1691163923</v>
      </c>
      <c r="FH36">
        <v>26</v>
      </c>
      <c r="FI36">
        <v>-0.17199999999999999</v>
      </c>
      <c r="FJ36">
        <v>-3.0000000000000001E-3</v>
      </c>
      <c r="FK36">
        <v>-1.2490000000000001</v>
      </c>
      <c r="FL36">
        <v>-0.113</v>
      </c>
      <c r="FM36">
        <v>30</v>
      </c>
      <c r="FN36">
        <v>18</v>
      </c>
      <c r="FO36">
        <v>1.58</v>
      </c>
      <c r="FP36">
        <v>0.05</v>
      </c>
      <c r="FQ36">
        <v>4.8540668725250828</v>
      </c>
      <c r="FR36">
        <v>-0.3759347824965536</v>
      </c>
      <c r="FS36">
        <v>9.7496175282629632E-2</v>
      </c>
      <c r="FT36">
        <v>1</v>
      </c>
      <c r="FU36">
        <v>0.4515494983431434</v>
      </c>
      <c r="FV36">
        <v>-2.820437373716931E-2</v>
      </c>
      <c r="FW36">
        <v>2.403453438635583E-3</v>
      </c>
      <c r="FX36">
        <v>1</v>
      </c>
      <c r="FY36">
        <v>2</v>
      </c>
      <c r="FZ36">
        <v>2</v>
      </c>
      <c r="GA36" t="s">
        <v>421</v>
      </c>
      <c r="GB36">
        <v>2.9151199999999999</v>
      </c>
      <c r="GC36">
        <v>2.82992</v>
      </c>
      <c r="GD36">
        <v>6.9050800000000001E-3</v>
      </c>
      <c r="GE36">
        <v>8.0434400000000007E-3</v>
      </c>
      <c r="GF36">
        <v>0.12526300000000001</v>
      </c>
      <c r="GG36">
        <v>9.2230999999999994E-2</v>
      </c>
      <c r="GH36">
        <v>25582.799999999999</v>
      </c>
      <c r="GI36">
        <v>31792.3</v>
      </c>
      <c r="GJ36">
        <v>23210.1</v>
      </c>
      <c r="GK36">
        <v>29394.400000000001</v>
      </c>
      <c r="GL36">
        <v>27706.1</v>
      </c>
      <c r="GM36">
        <v>37945.5</v>
      </c>
      <c r="GN36">
        <v>32824.400000000001</v>
      </c>
      <c r="GO36">
        <v>43594.2</v>
      </c>
      <c r="GP36">
        <v>1.9267000000000001</v>
      </c>
      <c r="GQ36">
        <v>1.7279</v>
      </c>
      <c r="GR36">
        <v>-2.5227699999999999E-2</v>
      </c>
      <c r="GS36">
        <v>0</v>
      </c>
      <c r="GT36">
        <v>30.420300000000001</v>
      </c>
      <c r="GU36">
        <v>999.9</v>
      </c>
      <c r="GV36">
        <v>39.200000000000003</v>
      </c>
      <c r="GW36">
        <v>41.2</v>
      </c>
      <c r="GX36">
        <v>31.247499999999999</v>
      </c>
      <c r="GY36">
        <v>61.7376</v>
      </c>
      <c r="GZ36">
        <v>39.487200000000001</v>
      </c>
      <c r="HA36">
        <v>1</v>
      </c>
      <c r="HB36">
        <v>0.69734799999999997</v>
      </c>
      <c r="HC36">
        <v>4.1626399999999997</v>
      </c>
      <c r="HD36">
        <v>20.222899999999999</v>
      </c>
      <c r="HE36">
        <v>5.2095000000000002</v>
      </c>
      <c r="HF36">
        <v>11.8782</v>
      </c>
      <c r="HG36">
        <v>4.9836</v>
      </c>
      <c r="HH36">
        <v>3.2839999999999998</v>
      </c>
      <c r="HI36">
        <v>9999</v>
      </c>
      <c r="HJ36">
        <v>9999</v>
      </c>
      <c r="HK36">
        <v>9999</v>
      </c>
      <c r="HL36">
        <v>999.9</v>
      </c>
      <c r="HM36">
        <v>1.8549599999999999</v>
      </c>
      <c r="HN36">
        <v>1.8609599999999999</v>
      </c>
      <c r="HO36">
        <v>1.8583499999999999</v>
      </c>
      <c r="HP36">
        <v>1.85944</v>
      </c>
      <c r="HQ36">
        <v>1.85883</v>
      </c>
      <c r="HR36">
        <v>1.8593299999999999</v>
      </c>
      <c r="HS36">
        <v>1.85768</v>
      </c>
      <c r="HT36">
        <v>1.8609899999999999</v>
      </c>
      <c r="HU36">
        <v>5</v>
      </c>
      <c r="HV36">
        <v>0</v>
      </c>
      <c r="HW36">
        <v>0</v>
      </c>
      <c r="HX36">
        <v>0</v>
      </c>
      <c r="HY36" t="s">
        <v>422</v>
      </c>
      <c r="HZ36" t="s">
        <v>423</v>
      </c>
      <c r="IA36" t="s">
        <v>424</v>
      </c>
      <c r="IB36" t="s">
        <v>424</v>
      </c>
      <c r="IC36" t="s">
        <v>424</v>
      </c>
      <c r="ID36" t="s">
        <v>424</v>
      </c>
      <c r="IE36">
        <v>0</v>
      </c>
      <c r="IF36">
        <v>100</v>
      </c>
      <c r="IG36">
        <v>100</v>
      </c>
      <c r="IH36">
        <v>-1.2250000000000001</v>
      </c>
      <c r="II36">
        <v>6.7000000000000004E-2</v>
      </c>
      <c r="IJ36">
        <v>-1.122452514016081</v>
      </c>
      <c r="IK36">
        <v>-4.1229525807901877E-3</v>
      </c>
      <c r="IL36">
        <v>1.8448211998558991E-6</v>
      </c>
      <c r="IM36">
        <v>-3.7020276670297668E-10</v>
      </c>
      <c r="IN36">
        <v>-0.18406948585628879</v>
      </c>
      <c r="IO36">
        <v>-1.3488639696665739E-2</v>
      </c>
      <c r="IP36">
        <v>1.1588640342490499E-3</v>
      </c>
      <c r="IQ36">
        <v>-1.0624341560077559E-5</v>
      </c>
      <c r="IR36">
        <v>2</v>
      </c>
      <c r="IS36">
        <v>1915</v>
      </c>
      <c r="IT36">
        <v>1</v>
      </c>
      <c r="IU36">
        <v>42</v>
      </c>
      <c r="IV36">
        <v>0.7</v>
      </c>
      <c r="IW36">
        <v>0.6</v>
      </c>
      <c r="IX36">
        <v>0.20629900000000001</v>
      </c>
      <c r="IY36">
        <v>2.5341800000000001</v>
      </c>
      <c r="IZ36">
        <v>1.49414</v>
      </c>
      <c r="JA36">
        <v>2.2912599999999999</v>
      </c>
      <c r="JB36">
        <v>1.54419</v>
      </c>
      <c r="JC36">
        <v>2.34253</v>
      </c>
      <c r="JD36">
        <v>45.892099999999999</v>
      </c>
      <c r="JE36">
        <v>23.780999999999999</v>
      </c>
      <c r="JF36">
        <v>18</v>
      </c>
      <c r="JG36">
        <v>513.15700000000004</v>
      </c>
      <c r="JH36">
        <v>410.52699999999999</v>
      </c>
      <c r="JI36">
        <v>23.313400000000001</v>
      </c>
      <c r="JJ36">
        <v>35.872799999999998</v>
      </c>
      <c r="JK36">
        <v>29.995999999999999</v>
      </c>
      <c r="JL36">
        <v>35.770800000000001</v>
      </c>
      <c r="JM36">
        <v>35.7468</v>
      </c>
      <c r="JN36">
        <v>4.1862000000000004</v>
      </c>
      <c r="JO36">
        <v>43.892099999999999</v>
      </c>
      <c r="JP36">
        <v>0</v>
      </c>
      <c r="JQ36">
        <v>23.461300000000001</v>
      </c>
      <c r="JR36">
        <v>30</v>
      </c>
      <c r="JS36">
        <v>17.833200000000001</v>
      </c>
      <c r="JT36">
        <v>97.345399999999998</v>
      </c>
      <c r="JU36">
        <v>98.007099999999994</v>
      </c>
    </row>
    <row r="37" spans="1:281" x14ac:dyDescent="0.25">
      <c r="A37">
        <v>21</v>
      </c>
      <c r="B37">
        <v>1691164062.5</v>
      </c>
      <c r="C37">
        <v>4816.9000000953674</v>
      </c>
      <c r="D37" t="s">
        <v>522</v>
      </c>
      <c r="E37" t="s">
        <v>523</v>
      </c>
      <c r="F37" t="s">
        <v>413</v>
      </c>
      <c r="G37" t="s">
        <v>415</v>
      </c>
      <c r="H37" t="s">
        <v>493</v>
      </c>
      <c r="I37" t="s">
        <v>415</v>
      </c>
      <c r="J37">
        <v>1691164062.5</v>
      </c>
      <c r="K37">
        <f t="shared" si="0"/>
        <v>7.3509757461393309E-3</v>
      </c>
      <c r="L37">
        <f t="shared" si="1"/>
        <v>7.3509757461393308</v>
      </c>
      <c r="M37">
        <f t="shared" si="2"/>
        <v>1.8332092606483941</v>
      </c>
      <c r="N37">
        <f t="shared" si="3"/>
        <v>7.6391299999999998</v>
      </c>
      <c r="O37">
        <f t="shared" si="4"/>
        <v>0.72321077043009196</v>
      </c>
      <c r="P37">
        <f t="shared" si="5"/>
        <v>7.176556655565873E-2</v>
      </c>
      <c r="Q37">
        <f t="shared" si="6"/>
        <v>0.75804525438178993</v>
      </c>
      <c r="R37">
        <f t="shared" si="7"/>
        <v>0.46375894961223113</v>
      </c>
      <c r="S37">
        <f t="shared" si="8"/>
        <v>2.9072591202263087</v>
      </c>
      <c r="T37">
        <f t="shared" si="9"/>
        <v>0.42623564345683057</v>
      </c>
      <c r="U37">
        <f t="shared" si="10"/>
        <v>0.26951514048502012</v>
      </c>
      <c r="V37">
        <f t="shared" si="11"/>
        <v>344.37349999340171</v>
      </c>
      <c r="W37">
        <f t="shared" si="12"/>
        <v>30.339877073231737</v>
      </c>
      <c r="X37">
        <f t="shared" si="13"/>
        <v>29.981100000000001</v>
      </c>
      <c r="Y37">
        <f t="shared" si="14"/>
        <v>4.2558268133249895</v>
      </c>
      <c r="Z37">
        <f t="shared" si="15"/>
        <v>60.343388163740606</v>
      </c>
      <c r="AA37">
        <f t="shared" si="16"/>
        <v>2.6035965302125001</v>
      </c>
      <c r="AB37">
        <f t="shared" si="17"/>
        <v>4.3146343111323011</v>
      </c>
      <c r="AC37">
        <f t="shared" si="18"/>
        <v>1.6522302831124893</v>
      </c>
      <c r="AD37">
        <f t="shared" si="19"/>
        <v>-324.1780304047445</v>
      </c>
      <c r="AE37">
        <f t="shared" si="20"/>
        <v>37.475614347192632</v>
      </c>
      <c r="AF37">
        <f t="shared" si="21"/>
        <v>2.869041947487565</v>
      </c>
      <c r="AG37">
        <f t="shared" si="22"/>
        <v>60.54012588333741</v>
      </c>
      <c r="AH37">
        <v>0</v>
      </c>
      <c r="AI37">
        <v>0</v>
      </c>
      <c r="AJ37">
        <f t="shared" si="23"/>
        <v>1</v>
      </c>
      <c r="AK37">
        <f t="shared" si="24"/>
        <v>0</v>
      </c>
      <c r="AL37">
        <f t="shared" si="25"/>
        <v>51662.067832710483</v>
      </c>
      <c r="AM37" t="s">
        <v>416</v>
      </c>
      <c r="AN37">
        <v>10235.299999999999</v>
      </c>
      <c r="AO37">
        <v>594.051923076923</v>
      </c>
      <c r="AP37">
        <v>2007.77</v>
      </c>
      <c r="AQ37">
        <f t="shared" si="26"/>
        <v>0.70412351859180933</v>
      </c>
      <c r="AR37">
        <v>-0.54275787784279261</v>
      </c>
      <c r="AS37" t="s">
        <v>524</v>
      </c>
      <c r="AT37">
        <v>10202.6</v>
      </c>
      <c r="AU37">
        <v>641.75000000000011</v>
      </c>
      <c r="AV37">
        <v>692.16076059805869</v>
      </c>
      <c r="AW37">
        <f t="shared" si="27"/>
        <v>7.2831000350989772E-2</v>
      </c>
      <c r="AX37">
        <v>0.5</v>
      </c>
      <c r="AY37">
        <f t="shared" si="28"/>
        <v>1513.1792999967008</v>
      </c>
      <c r="AZ37">
        <f t="shared" si="29"/>
        <v>1.8332092606483941</v>
      </c>
      <c r="BA37">
        <f t="shared" si="30"/>
        <v>55.103181064585087</v>
      </c>
      <c r="BB37">
        <f t="shared" si="31"/>
        <v>1.5701821578555607E-3</v>
      </c>
      <c r="BC37">
        <f t="shared" si="32"/>
        <v>1.9007278573047026</v>
      </c>
      <c r="BD37">
        <f t="shared" si="33"/>
        <v>380.22226867024875</v>
      </c>
      <c r="BE37" t="s">
        <v>525</v>
      </c>
      <c r="BF37">
        <v>522.11</v>
      </c>
      <c r="BG37">
        <f t="shared" si="34"/>
        <v>522.11</v>
      </c>
      <c r="BH37">
        <f t="shared" si="35"/>
        <v>0.24568101845462464</v>
      </c>
      <c r="BI37">
        <f t="shared" si="36"/>
        <v>0.29644536972823204</v>
      </c>
      <c r="BJ37">
        <f t="shared" si="37"/>
        <v>0.8855385750453949</v>
      </c>
      <c r="BK37">
        <f t="shared" si="38"/>
        <v>0.5138248691123114</v>
      </c>
      <c r="BL37">
        <f t="shared" si="39"/>
        <v>0.93060226142494606</v>
      </c>
      <c r="BM37">
        <f t="shared" si="40"/>
        <v>0.24117973040717913</v>
      </c>
      <c r="BN37">
        <f t="shared" si="41"/>
        <v>0.7588202695928209</v>
      </c>
      <c r="BO37">
        <v>12509</v>
      </c>
      <c r="BP37">
        <v>290.00000000000011</v>
      </c>
      <c r="BQ37">
        <v>676.16</v>
      </c>
      <c r="BR37">
        <v>145</v>
      </c>
      <c r="BS37">
        <v>10202.6</v>
      </c>
      <c r="BT37">
        <v>674.31</v>
      </c>
      <c r="BU37">
        <v>1.85</v>
      </c>
      <c r="BV37">
        <v>300.00000000000011</v>
      </c>
      <c r="BW37">
        <v>24.2</v>
      </c>
      <c r="BX37">
        <v>692.16076059805869</v>
      </c>
      <c r="BY37">
        <v>1.5902525817968669</v>
      </c>
      <c r="BZ37">
        <v>-18.207870527224198</v>
      </c>
      <c r="CA37">
        <v>1.4425222792110031</v>
      </c>
      <c r="CB37">
        <v>0.85052403441058944</v>
      </c>
      <c r="CC37">
        <v>-6.9575477196885437E-3</v>
      </c>
      <c r="CD37">
        <v>289.99999999999989</v>
      </c>
      <c r="CE37">
        <v>672.05</v>
      </c>
      <c r="CF37">
        <v>635</v>
      </c>
      <c r="CG37">
        <v>10168.799999999999</v>
      </c>
      <c r="CH37">
        <v>674.26</v>
      </c>
      <c r="CI37">
        <v>-2.21</v>
      </c>
      <c r="CW37">
        <f t="shared" si="42"/>
        <v>1799.99</v>
      </c>
      <c r="CX37">
        <f t="shared" si="43"/>
        <v>1513.1792999967008</v>
      </c>
      <c r="CY37">
        <f t="shared" si="44"/>
        <v>0.84065983699726154</v>
      </c>
      <c r="CZ37">
        <f t="shared" si="45"/>
        <v>0.19131967399452313</v>
      </c>
      <c r="DA37">
        <v>6</v>
      </c>
      <c r="DB37">
        <v>0.5</v>
      </c>
      <c r="DC37" t="s">
        <v>419</v>
      </c>
      <c r="DD37">
        <v>2</v>
      </c>
      <c r="DE37">
        <v>1691164062.5</v>
      </c>
      <c r="DF37">
        <v>7.6391299999999998</v>
      </c>
      <c r="DG37">
        <v>9.9067299999999996</v>
      </c>
      <c r="DH37">
        <v>26.237500000000001</v>
      </c>
      <c r="DI37">
        <v>17.6464</v>
      </c>
      <c r="DJ37">
        <v>8.8841800000000006</v>
      </c>
      <c r="DK37">
        <v>26.179099999999998</v>
      </c>
      <c r="DL37">
        <v>499.92</v>
      </c>
      <c r="DM37">
        <v>99.131299999999996</v>
      </c>
      <c r="DN37">
        <v>0.10058300000000001</v>
      </c>
      <c r="DO37">
        <v>30.220199999999998</v>
      </c>
      <c r="DP37">
        <v>29.981100000000001</v>
      </c>
      <c r="DQ37">
        <v>999.9</v>
      </c>
      <c r="DR37">
        <v>0</v>
      </c>
      <c r="DS37">
        <v>0</v>
      </c>
      <c r="DT37">
        <v>9960</v>
      </c>
      <c r="DU37">
        <v>0</v>
      </c>
      <c r="DV37">
        <v>1513.41</v>
      </c>
      <c r="DW37">
        <v>-2.2675999999999998</v>
      </c>
      <c r="DX37">
        <v>7.8449600000000004</v>
      </c>
      <c r="DY37">
        <v>10.0847</v>
      </c>
      <c r="DZ37">
        <v>8.5911299999999997</v>
      </c>
      <c r="EA37">
        <v>9.9067299999999996</v>
      </c>
      <c r="EB37">
        <v>17.6464</v>
      </c>
      <c r="EC37">
        <v>2.6009600000000002</v>
      </c>
      <c r="ED37">
        <v>1.7493099999999999</v>
      </c>
      <c r="EE37">
        <v>21.672499999999999</v>
      </c>
      <c r="EF37">
        <v>15.341100000000001</v>
      </c>
      <c r="EG37">
        <v>1799.99</v>
      </c>
      <c r="EH37">
        <v>0.97800200000000004</v>
      </c>
      <c r="EI37">
        <v>2.1998500000000001E-2</v>
      </c>
      <c r="EJ37">
        <v>0</v>
      </c>
      <c r="EK37">
        <v>639.78</v>
      </c>
      <c r="EL37">
        <v>0.100005</v>
      </c>
      <c r="EM37">
        <v>15679.5</v>
      </c>
      <c r="EN37">
        <v>14862.5</v>
      </c>
      <c r="EO37">
        <v>47.875</v>
      </c>
      <c r="EP37">
        <v>49.311999999999998</v>
      </c>
      <c r="EQ37">
        <v>48.561999999999998</v>
      </c>
      <c r="ER37">
        <v>48.311999999999998</v>
      </c>
      <c r="ES37">
        <v>48.936999999999998</v>
      </c>
      <c r="ET37">
        <v>1760.3</v>
      </c>
      <c r="EU37">
        <v>39.590000000000003</v>
      </c>
      <c r="EV37">
        <v>0</v>
      </c>
      <c r="EW37">
        <v>100.4000000953674</v>
      </c>
      <c r="EX37">
        <v>0</v>
      </c>
      <c r="EY37">
        <v>641.75000000000011</v>
      </c>
      <c r="EZ37">
        <v>-1.5765385519986359</v>
      </c>
      <c r="FA37">
        <v>134.59999970161419</v>
      </c>
      <c r="FB37">
        <v>15654.755999999999</v>
      </c>
      <c r="FC37">
        <v>15</v>
      </c>
      <c r="FD37">
        <v>1691164026.5</v>
      </c>
      <c r="FE37" t="s">
        <v>526</v>
      </c>
      <c r="FF37">
        <v>1691164026.5</v>
      </c>
      <c r="FG37">
        <v>1691164023.5</v>
      </c>
      <c r="FH37">
        <v>27</v>
      </c>
      <c r="FI37">
        <v>-8.5999999999999993E-2</v>
      </c>
      <c r="FJ37">
        <v>-8.0000000000000002E-3</v>
      </c>
      <c r="FK37">
        <v>-1.2549999999999999</v>
      </c>
      <c r="FL37">
        <v>-0.126</v>
      </c>
      <c r="FM37">
        <v>10</v>
      </c>
      <c r="FN37">
        <v>18</v>
      </c>
      <c r="FO37">
        <v>2.52</v>
      </c>
      <c r="FP37">
        <v>0.09</v>
      </c>
      <c r="FQ37">
        <v>1.8495043642431861</v>
      </c>
      <c r="FR37">
        <v>-0.54030534877396308</v>
      </c>
      <c r="FS37">
        <v>8.5510795741388285E-2</v>
      </c>
      <c r="FT37">
        <v>1</v>
      </c>
      <c r="FU37">
        <v>0.46603100473988479</v>
      </c>
      <c r="FV37">
        <v>-3.1215582179706509E-2</v>
      </c>
      <c r="FW37">
        <v>2.5412259390281229E-3</v>
      </c>
      <c r="FX37">
        <v>1</v>
      </c>
      <c r="FY37">
        <v>2</v>
      </c>
      <c r="FZ37">
        <v>2</v>
      </c>
      <c r="GA37" t="s">
        <v>421</v>
      </c>
      <c r="GB37">
        <v>2.9151500000000001</v>
      </c>
      <c r="GC37">
        <v>2.83012</v>
      </c>
      <c r="GD37">
        <v>2.4524199999999999E-3</v>
      </c>
      <c r="GE37">
        <v>2.6725500000000001E-3</v>
      </c>
      <c r="GF37">
        <v>0.12518399999999999</v>
      </c>
      <c r="GG37">
        <v>9.11106E-2</v>
      </c>
      <c r="GH37">
        <v>25697.3</v>
      </c>
      <c r="GI37">
        <v>31962.5</v>
      </c>
      <c r="GJ37">
        <v>23210.3</v>
      </c>
      <c r="GK37">
        <v>29393.4</v>
      </c>
      <c r="GL37">
        <v>27708.5</v>
      </c>
      <c r="GM37">
        <v>37990.400000000001</v>
      </c>
      <c r="GN37">
        <v>32824.6</v>
      </c>
      <c r="GO37">
        <v>43593</v>
      </c>
      <c r="GP37">
        <v>1.9256</v>
      </c>
      <c r="GQ37">
        <v>1.7263999999999999</v>
      </c>
      <c r="GR37">
        <v>-2.4884900000000001E-2</v>
      </c>
      <c r="GS37">
        <v>0</v>
      </c>
      <c r="GT37">
        <v>30.385899999999999</v>
      </c>
      <c r="GU37">
        <v>999.9</v>
      </c>
      <c r="GV37">
        <v>39.200000000000003</v>
      </c>
      <c r="GW37">
        <v>41.2</v>
      </c>
      <c r="GX37">
        <v>31.249700000000001</v>
      </c>
      <c r="GY37">
        <v>61.947600000000001</v>
      </c>
      <c r="GZ37">
        <v>39.262799999999999</v>
      </c>
      <c r="HA37">
        <v>1</v>
      </c>
      <c r="HB37">
        <v>0.704573</v>
      </c>
      <c r="HC37">
        <v>4.9905400000000002</v>
      </c>
      <c r="HD37">
        <v>20.200099999999999</v>
      </c>
      <c r="HE37">
        <v>5.2088999999999999</v>
      </c>
      <c r="HF37">
        <v>11.8782</v>
      </c>
      <c r="HG37">
        <v>4.9836</v>
      </c>
      <c r="HH37">
        <v>3.2839999999999998</v>
      </c>
      <c r="HI37">
        <v>9999</v>
      </c>
      <c r="HJ37">
        <v>9999</v>
      </c>
      <c r="HK37">
        <v>9999</v>
      </c>
      <c r="HL37">
        <v>999.9</v>
      </c>
      <c r="HM37">
        <v>1.85494</v>
      </c>
      <c r="HN37">
        <v>1.86094</v>
      </c>
      <c r="HO37">
        <v>1.8582799999999999</v>
      </c>
      <c r="HP37">
        <v>1.85944</v>
      </c>
      <c r="HQ37">
        <v>1.8588100000000001</v>
      </c>
      <c r="HR37">
        <v>1.85928</v>
      </c>
      <c r="HS37">
        <v>1.8575999999999999</v>
      </c>
      <c r="HT37">
        <v>1.8609599999999999</v>
      </c>
      <c r="HU37">
        <v>5</v>
      </c>
      <c r="HV37">
        <v>0</v>
      </c>
      <c r="HW37">
        <v>0</v>
      </c>
      <c r="HX37">
        <v>0</v>
      </c>
      <c r="HY37" t="s">
        <v>422</v>
      </c>
      <c r="HZ37" t="s">
        <v>423</v>
      </c>
      <c r="IA37" t="s">
        <v>424</v>
      </c>
      <c r="IB37" t="s">
        <v>424</v>
      </c>
      <c r="IC37" t="s">
        <v>424</v>
      </c>
      <c r="ID37" t="s">
        <v>424</v>
      </c>
      <c r="IE37">
        <v>0</v>
      </c>
      <c r="IF37">
        <v>100</v>
      </c>
      <c r="IG37">
        <v>100</v>
      </c>
      <c r="IH37">
        <v>-1.2450000000000001</v>
      </c>
      <c r="II37">
        <v>5.8400000000000001E-2</v>
      </c>
      <c r="IJ37">
        <v>-1.208566314974904</v>
      </c>
      <c r="IK37">
        <v>-4.1229525807901877E-3</v>
      </c>
      <c r="IL37">
        <v>1.8448211998558991E-6</v>
      </c>
      <c r="IM37">
        <v>-3.7020276670297668E-10</v>
      </c>
      <c r="IN37">
        <v>-0.19200533343185039</v>
      </c>
      <c r="IO37">
        <v>-1.3488639696665739E-2</v>
      </c>
      <c r="IP37">
        <v>1.1588640342490499E-3</v>
      </c>
      <c r="IQ37">
        <v>-1.0624341560077559E-5</v>
      </c>
      <c r="IR37">
        <v>2</v>
      </c>
      <c r="IS37">
        <v>1915</v>
      </c>
      <c r="IT37">
        <v>1</v>
      </c>
      <c r="IU37">
        <v>42</v>
      </c>
      <c r="IV37">
        <v>0.6</v>
      </c>
      <c r="IW37">
        <v>0.7</v>
      </c>
      <c r="IX37">
        <v>0.161133</v>
      </c>
      <c r="IY37">
        <v>2.5549300000000001</v>
      </c>
      <c r="IZ37">
        <v>1.49414</v>
      </c>
      <c r="JA37">
        <v>2.2900399999999999</v>
      </c>
      <c r="JB37">
        <v>1.54419</v>
      </c>
      <c r="JC37">
        <v>2.3815900000000001</v>
      </c>
      <c r="JD37">
        <v>45.9788</v>
      </c>
      <c r="JE37">
        <v>23.868600000000001</v>
      </c>
      <c r="JF37">
        <v>18</v>
      </c>
      <c r="JG37">
        <v>512.82799999999997</v>
      </c>
      <c r="JH37">
        <v>409.90499999999997</v>
      </c>
      <c r="JI37">
        <v>23.478300000000001</v>
      </c>
      <c r="JJ37">
        <v>35.9193</v>
      </c>
      <c r="JK37">
        <v>30.0001</v>
      </c>
      <c r="JL37">
        <v>35.823300000000003</v>
      </c>
      <c r="JM37">
        <v>35.799199999999999</v>
      </c>
      <c r="JN37">
        <v>3.2908200000000001</v>
      </c>
      <c r="JO37">
        <v>44.854100000000003</v>
      </c>
      <c r="JP37">
        <v>0</v>
      </c>
      <c r="JQ37">
        <v>23.501100000000001</v>
      </c>
      <c r="JR37">
        <v>10</v>
      </c>
      <c r="JS37">
        <v>17.586600000000001</v>
      </c>
      <c r="JT37">
        <v>97.346100000000007</v>
      </c>
      <c r="JU37">
        <v>98.004000000000005</v>
      </c>
    </row>
    <row r="38" spans="1:281" x14ac:dyDescent="0.25">
      <c r="A38">
        <v>22</v>
      </c>
      <c r="B38">
        <v>1691164252</v>
      </c>
      <c r="C38">
        <v>5006.4000000953674</v>
      </c>
      <c r="D38" t="s">
        <v>527</v>
      </c>
      <c r="E38" t="s">
        <v>528</v>
      </c>
      <c r="F38" t="s">
        <v>413</v>
      </c>
      <c r="G38" t="s">
        <v>415</v>
      </c>
      <c r="H38" t="s">
        <v>493</v>
      </c>
      <c r="I38" t="s">
        <v>415</v>
      </c>
      <c r="J38">
        <v>1691164252</v>
      </c>
      <c r="K38">
        <f t="shared" si="0"/>
        <v>7.136659738250002E-3</v>
      </c>
      <c r="L38">
        <f t="shared" si="1"/>
        <v>7.1366597382500023</v>
      </c>
      <c r="M38">
        <f t="shared" si="2"/>
        <v>45.41410905449689</v>
      </c>
      <c r="N38">
        <f t="shared" si="3"/>
        <v>342.47800000000001</v>
      </c>
      <c r="O38">
        <f t="shared" si="4"/>
        <v>159.14307461318833</v>
      </c>
      <c r="P38">
        <f t="shared" si="5"/>
        <v>15.793479514206441</v>
      </c>
      <c r="Q38">
        <f t="shared" si="6"/>
        <v>33.987776660802005</v>
      </c>
      <c r="R38">
        <f t="shared" si="7"/>
        <v>0.44153007679511741</v>
      </c>
      <c r="S38">
        <f t="shared" si="8"/>
        <v>2.9100456791392904</v>
      </c>
      <c r="T38">
        <f t="shared" si="9"/>
        <v>0.40740584154954262</v>
      </c>
      <c r="U38">
        <f t="shared" si="10"/>
        <v>0.25747444693599747</v>
      </c>
      <c r="V38">
        <f t="shared" si="11"/>
        <v>344.36019999340135</v>
      </c>
      <c r="W38">
        <f t="shared" si="12"/>
        <v>30.419747106523676</v>
      </c>
      <c r="X38">
        <f t="shared" si="13"/>
        <v>30.0092</v>
      </c>
      <c r="Y38">
        <f t="shared" si="14"/>
        <v>4.2627016849502768</v>
      </c>
      <c r="Z38">
        <f t="shared" si="15"/>
        <v>59.81203437914877</v>
      </c>
      <c r="AA38">
        <f t="shared" si="16"/>
        <v>2.5842392884358998</v>
      </c>
      <c r="AB38">
        <f t="shared" si="17"/>
        <v>4.3206008878654663</v>
      </c>
      <c r="AC38">
        <f t="shared" si="18"/>
        <v>1.678462396514377</v>
      </c>
      <c r="AD38">
        <f t="shared" si="19"/>
        <v>-314.7266944568251</v>
      </c>
      <c r="AE38">
        <f t="shared" si="20"/>
        <v>36.883988561898249</v>
      </c>
      <c r="AF38">
        <f t="shared" si="21"/>
        <v>2.8217734002630741</v>
      </c>
      <c r="AG38">
        <f t="shared" si="22"/>
        <v>69.339267498737556</v>
      </c>
      <c r="AH38">
        <v>0</v>
      </c>
      <c r="AI38">
        <v>0</v>
      </c>
      <c r="AJ38">
        <f t="shared" si="23"/>
        <v>1</v>
      </c>
      <c r="AK38">
        <f t="shared" si="24"/>
        <v>0</v>
      </c>
      <c r="AL38">
        <f t="shared" si="25"/>
        <v>51737.283667107964</v>
      </c>
      <c r="AM38" t="s">
        <v>416</v>
      </c>
      <c r="AN38">
        <v>10235.299999999999</v>
      </c>
      <c r="AO38">
        <v>594.051923076923</v>
      </c>
      <c r="AP38">
        <v>2007.77</v>
      </c>
      <c r="AQ38">
        <f t="shared" si="26"/>
        <v>0.70412351859180933</v>
      </c>
      <c r="AR38">
        <v>-0.54275787784279261</v>
      </c>
      <c r="AS38" t="s">
        <v>529</v>
      </c>
      <c r="AT38">
        <v>10187.299999999999</v>
      </c>
      <c r="AU38">
        <v>614.27076923076913</v>
      </c>
      <c r="AV38">
        <v>953.44022048157308</v>
      </c>
      <c r="AW38">
        <f t="shared" si="27"/>
        <v>0.3557322671782116</v>
      </c>
      <c r="AX38">
        <v>0.5</v>
      </c>
      <c r="AY38">
        <f t="shared" si="28"/>
        <v>1513.1204999967006</v>
      </c>
      <c r="AZ38">
        <f t="shared" si="29"/>
        <v>45.41410905449689</v>
      </c>
      <c r="BA38">
        <f t="shared" si="30"/>
        <v>269.13289298882773</v>
      </c>
      <c r="BB38">
        <f t="shared" si="31"/>
        <v>3.0372245259012682E-2</v>
      </c>
      <c r="BC38">
        <f t="shared" si="32"/>
        <v>1.1058163447162901</v>
      </c>
      <c r="BD38">
        <f t="shared" si="33"/>
        <v>447.60293483840871</v>
      </c>
      <c r="BE38" t="s">
        <v>530</v>
      </c>
      <c r="BF38">
        <v>493.32</v>
      </c>
      <c r="BG38">
        <f t="shared" si="34"/>
        <v>493.32</v>
      </c>
      <c r="BH38">
        <f t="shared" si="35"/>
        <v>0.48258948028138671</v>
      </c>
      <c r="BI38">
        <f t="shared" si="36"/>
        <v>0.7371322453419259</v>
      </c>
      <c r="BJ38">
        <f t="shared" si="37"/>
        <v>0.69617998581559437</v>
      </c>
      <c r="BK38">
        <f t="shared" si="38"/>
        <v>0.94374094454422119</v>
      </c>
      <c r="BL38">
        <f t="shared" si="39"/>
        <v>0.74578503078432024</v>
      </c>
      <c r="BM38">
        <f t="shared" si="40"/>
        <v>0.59198988050083479</v>
      </c>
      <c r="BN38">
        <f t="shared" si="41"/>
        <v>0.40801011949916521</v>
      </c>
      <c r="BO38">
        <v>12511</v>
      </c>
      <c r="BP38">
        <v>290.00000000000011</v>
      </c>
      <c r="BQ38">
        <v>831.21</v>
      </c>
      <c r="BR38">
        <v>265</v>
      </c>
      <c r="BS38">
        <v>10187.299999999999</v>
      </c>
      <c r="BT38">
        <v>833.18</v>
      </c>
      <c r="BU38">
        <v>-1.97</v>
      </c>
      <c r="BV38">
        <v>300.00000000000011</v>
      </c>
      <c r="BW38">
        <v>24.2</v>
      </c>
      <c r="BX38">
        <v>953.44022048157308</v>
      </c>
      <c r="BY38">
        <v>2.2960625986389949</v>
      </c>
      <c r="BZ38">
        <v>-122.50821142728169</v>
      </c>
      <c r="CA38">
        <v>2.082958501381257</v>
      </c>
      <c r="CB38">
        <v>0.99197051609642228</v>
      </c>
      <c r="CC38">
        <v>-6.9588587319243589E-3</v>
      </c>
      <c r="CD38">
        <v>289.99999999999989</v>
      </c>
      <c r="CE38">
        <v>816.33</v>
      </c>
      <c r="CF38">
        <v>625</v>
      </c>
      <c r="CG38">
        <v>10170.4</v>
      </c>
      <c r="CH38">
        <v>832.98</v>
      </c>
      <c r="CI38">
        <v>-16.649999999999999</v>
      </c>
      <c r="CW38">
        <f t="shared" si="42"/>
        <v>1799.92</v>
      </c>
      <c r="CX38">
        <f t="shared" si="43"/>
        <v>1513.1204999967006</v>
      </c>
      <c r="CY38">
        <f t="shared" si="44"/>
        <v>0.84065986265872961</v>
      </c>
      <c r="CZ38">
        <f t="shared" si="45"/>
        <v>0.1913197253174593</v>
      </c>
      <c r="DA38">
        <v>6</v>
      </c>
      <c r="DB38">
        <v>0.5</v>
      </c>
      <c r="DC38" t="s">
        <v>419</v>
      </c>
      <c r="DD38">
        <v>2</v>
      </c>
      <c r="DE38">
        <v>1691164252</v>
      </c>
      <c r="DF38">
        <v>342.47800000000001</v>
      </c>
      <c r="DG38">
        <v>399.89699999999999</v>
      </c>
      <c r="DH38">
        <v>26.040099999999999</v>
      </c>
      <c r="DI38">
        <v>17.700700000000001</v>
      </c>
      <c r="DJ38">
        <v>344.19299999999998</v>
      </c>
      <c r="DK38">
        <v>25.976099999999999</v>
      </c>
      <c r="DL38">
        <v>500.09500000000003</v>
      </c>
      <c r="DM38">
        <v>99.140199999999993</v>
      </c>
      <c r="DN38">
        <v>0.100559</v>
      </c>
      <c r="DO38">
        <v>30.244299999999999</v>
      </c>
      <c r="DP38">
        <v>30.0092</v>
      </c>
      <c r="DQ38">
        <v>999.9</v>
      </c>
      <c r="DR38">
        <v>0</v>
      </c>
      <c r="DS38">
        <v>0</v>
      </c>
      <c r="DT38">
        <v>9975</v>
      </c>
      <c r="DU38">
        <v>0</v>
      </c>
      <c r="DV38">
        <v>1514.62</v>
      </c>
      <c r="DW38">
        <v>-57.418399999999998</v>
      </c>
      <c r="DX38">
        <v>351.63499999999999</v>
      </c>
      <c r="DY38">
        <v>407.10300000000001</v>
      </c>
      <c r="DZ38">
        <v>8.3393200000000007</v>
      </c>
      <c r="EA38">
        <v>399.89699999999999</v>
      </c>
      <c r="EB38">
        <v>17.700700000000001</v>
      </c>
      <c r="EC38">
        <v>2.58162</v>
      </c>
      <c r="ED38">
        <v>1.7548600000000001</v>
      </c>
      <c r="EE38">
        <v>21.5504</v>
      </c>
      <c r="EF38">
        <v>15.3904</v>
      </c>
      <c r="EG38">
        <v>1799.92</v>
      </c>
      <c r="EH38">
        <v>0.97800200000000004</v>
      </c>
      <c r="EI38">
        <v>2.1998500000000001E-2</v>
      </c>
      <c r="EJ38">
        <v>0</v>
      </c>
      <c r="EK38">
        <v>613.30999999999995</v>
      </c>
      <c r="EL38">
        <v>0.100005</v>
      </c>
      <c r="EM38">
        <v>15150.6</v>
      </c>
      <c r="EN38">
        <v>14861.9</v>
      </c>
      <c r="EO38">
        <v>47.875</v>
      </c>
      <c r="EP38">
        <v>49.375</v>
      </c>
      <c r="EQ38">
        <v>48.625</v>
      </c>
      <c r="ER38">
        <v>48.436999999999998</v>
      </c>
      <c r="ES38">
        <v>49</v>
      </c>
      <c r="ET38">
        <v>1760.23</v>
      </c>
      <c r="EU38">
        <v>39.590000000000003</v>
      </c>
      <c r="EV38">
        <v>0</v>
      </c>
      <c r="EW38">
        <v>187.4000000953674</v>
      </c>
      <c r="EX38">
        <v>0</v>
      </c>
      <c r="EY38">
        <v>614.27076923076913</v>
      </c>
      <c r="EZ38">
        <v>1.828375899004385</v>
      </c>
      <c r="FA38">
        <v>-64.420512641060128</v>
      </c>
      <c r="FB38">
        <v>15158.46538461538</v>
      </c>
      <c r="FC38">
        <v>15</v>
      </c>
      <c r="FD38">
        <v>1691164159.5</v>
      </c>
      <c r="FE38" t="s">
        <v>531</v>
      </c>
      <c r="FF38">
        <v>1691164149</v>
      </c>
      <c r="FG38">
        <v>1691164159.5</v>
      </c>
      <c r="FH38">
        <v>28</v>
      </c>
      <c r="FI38">
        <v>0.70899999999999996</v>
      </c>
      <c r="FJ38">
        <v>1.0999999999999999E-2</v>
      </c>
      <c r="FK38">
        <v>-1.883</v>
      </c>
      <c r="FL38">
        <v>-0.11899999999999999</v>
      </c>
      <c r="FM38">
        <v>400</v>
      </c>
      <c r="FN38">
        <v>17</v>
      </c>
      <c r="FO38">
        <v>0.44</v>
      </c>
      <c r="FP38">
        <v>0.03</v>
      </c>
      <c r="FQ38">
        <v>45.114233736950773</v>
      </c>
      <c r="FR38">
        <v>2.0782301794575488</v>
      </c>
      <c r="FS38">
        <v>0.17109959686313039</v>
      </c>
      <c r="FT38">
        <v>0</v>
      </c>
      <c r="FU38">
        <v>0.44527358903286118</v>
      </c>
      <c r="FV38">
        <v>-1.424135092184098E-2</v>
      </c>
      <c r="FW38">
        <v>1.199203432284532E-3</v>
      </c>
      <c r="FX38">
        <v>1</v>
      </c>
      <c r="FY38">
        <v>1</v>
      </c>
      <c r="FZ38">
        <v>2</v>
      </c>
      <c r="GA38" t="s">
        <v>460</v>
      </c>
      <c r="GB38">
        <v>2.9155099999999998</v>
      </c>
      <c r="GC38">
        <v>2.8302200000000002</v>
      </c>
      <c r="GD38">
        <v>7.9413999999999998E-2</v>
      </c>
      <c r="GE38">
        <v>8.7584499999999996E-2</v>
      </c>
      <c r="GF38">
        <v>0.12449399999999999</v>
      </c>
      <c r="GG38">
        <v>9.1306899999999996E-2</v>
      </c>
      <c r="GH38">
        <v>23718.7</v>
      </c>
      <c r="GI38">
        <v>29242.9</v>
      </c>
      <c r="GJ38">
        <v>23210.799999999999</v>
      </c>
      <c r="GK38">
        <v>29391.4</v>
      </c>
      <c r="GL38">
        <v>27738.9</v>
      </c>
      <c r="GM38">
        <v>37990.199999999997</v>
      </c>
      <c r="GN38">
        <v>32826.400000000001</v>
      </c>
      <c r="GO38">
        <v>43590.8</v>
      </c>
      <c r="GP38">
        <v>1.9253</v>
      </c>
      <c r="GQ38">
        <v>1.7259</v>
      </c>
      <c r="GR38">
        <v>-3.0249399999999999E-2</v>
      </c>
      <c r="GS38">
        <v>0</v>
      </c>
      <c r="GT38">
        <v>30.501300000000001</v>
      </c>
      <c r="GU38">
        <v>999.9</v>
      </c>
      <c r="GV38">
        <v>38.9</v>
      </c>
      <c r="GW38">
        <v>41.4</v>
      </c>
      <c r="GX38">
        <v>31.337</v>
      </c>
      <c r="GY38">
        <v>61.9377</v>
      </c>
      <c r="GZ38">
        <v>39.399000000000001</v>
      </c>
      <c r="HA38">
        <v>1</v>
      </c>
      <c r="HB38">
        <v>0.70902399999999999</v>
      </c>
      <c r="HC38">
        <v>4.9958400000000003</v>
      </c>
      <c r="HD38">
        <v>20.200700000000001</v>
      </c>
      <c r="HE38">
        <v>5.2095000000000002</v>
      </c>
      <c r="HF38">
        <v>11.8782</v>
      </c>
      <c r="HG38">
        <v>4.9836</v>
      </c>
      <c r="HH38">
        <v>3.2839999999999998</v>
      </c>
      <c r="HI38">
        <v>9999</v>
      </c>
      <c r="HJ38">
        <v>9999</v>
      </c>
      <c r="HK38">
        <v>9999</v>
      </c>
      <c r="HL38">
        <v>999.9</v>
      </c>
      <c r="HM38">
        <v>1.8548899999999999</v>
      </c>
      <c r="HN38">
        <v>1.8609</v>
      </c>
      <c r="HO38">
        <v>1.8582799999999999</v>
      </c>
      <c r="HP38">
        <v>1.8594200000000001</v>
      </c>
      <c r="HQ38">
        <v>1.8588100000000001</v>
      </c>
      <c r="HR38">
        <v>1.85928</v>
      </c>
      <c r="HS38">
        <v>1.85762</v>
      </c>
      <c r="HT38">
        <v>1.8609599999999999</v>
      </c>
      <c r="HU38">
        <v>5</v>
      </c>
      <c r="HV38">
        <v>0</v>
      </c>
      <c r="HW38">
        <v>0</v>
      </c>
      <c r="HX38">
        <v>0</v>
      </c>
      <c r="HY38" t="s">
        <v>422</v>
      </c>
      <c r="HZ38" t="s">
        <v>423</v>
      </c>
      <c r="IA38" t="s">
        <v>424</v>
      </c>
      <c r="IB38" t="s">
        <v>424</v>
      </c>
      <c r="IC38" t="s">
        <v>424</v>
      </c>
      <c r="ID38" t="s">
        <v>424</v>
      </c>
      <c r="IE38">
        <v>0</v>
      </c>
      <c r="IF38">
        <v>100</v>
      </c>
      <c r="IG38">
        <v>100</v>
      </c>
      <c r="IH38">
        <v>-1.7150000000000001</v>
      </c>
      <c r="II38">
        <v>6.4000000000000001E-2</v>
      </c>
      <c r="IJ38">
        <v>-0.49915094833795731</v>
      </c>
      <c r="IK38">
        <v>-4.1229525807901877E-3</v>
      </c>
      <c r="IL38">
        <v>1.8448211998558991E-6</v>
      </c>
      <c r="IM38">
        <v>-3.7020276670297668E-10</v>
      </c>
      <c r="IN38">
        <v>-0.18134631855271621</v>
      </c>
      <c r="IO38">
        <v>-1.3488639696665739E-2</v>
      </c>
      <c r="IP38">
        <v>1.1588640342490499E-3</v>
      </c>
      <c r="IQ38">
        <v>-1.0624341560077559E-5</v>
      </c>
      <c r="IR38">
        <v>2</v>
      </c>
      <c r="IS38">
        <v>1915</v>
      </c>
      <c r="IT38">
        <v>1</v>
      </c>
      <c r="IU38">
        <v>42</v>
      </c>
      <c r="IV38">
        <v>1.7</v>
      </c>
      <c r="IW38">
        <v>1.5</v>
      </c>
      <c r="IX38">
        <v>0.99609400000000003</v>
      </c>
      <c r="IY38">
        <v>2.47803</v>
      </c>
      <c r="IZ38">
        <v>1.49414</v>
      </c>
      <c r="JA38">
        <v>2.2900399999999999</v>
      </c>
      <c r="JB38">
        <v>1.54419</v>
      </c>
      <c r="JC38">
        <v>2.4609399999999999</v>
      </c>
      <c r="JD38">
        <v>45.892099999999999</v>
      </c>
      <c r="JE38">
        <v>23.868600000000001</v>
      </c>
      <c r="JF38">
        <v>18</v>
      </c>
      <c r="JG38">
        <v>513.13499999999999</v>
      </c>
      <c r="JH38">
        <v>410.03699999999998</v>
      </c>
      <c r="JI38">
        <v>23.528099999999998</v>
      </c>
      <c r="JJ38">
        <v>35.985900000000001</v>
      </c>
      <c r="JK38">
        <v>30.000299999999999</v>
      </c>
      <c r="JL38">
        <v>35.889099999999999</v>
      </c>
      <c r="JM38">
        <v>35.868099999999998</v>
      </c>
      <c r="JN38">
        <v>20.020199999999999</v>
      </c>
      <c r="JO38">
        <v>44.555300000000003</v>
      </c>
      <c r="JP38">
        <v>0</v>
      </c>
      <c r="JQ38">
        <v>23.5246</v>
      </c>
      <c r="JR38">
        <v>400</v>
      </c>
      <c r="JS38">
        <v>17.799499999999998</v>
      </c>
      <c r="JT38">
        <v>97.35</v>
      </c>
      <c r="JU38">
        <v>97.998500000000007</v>
      </c>
    </row>
    <row r="39" spans="1:281" x14ac:dyDescent="0.25">
      <c r="A39">
        <v>23</v>
      </c>
      <c r="B39">
        <v>1691164359</v>
      </c>
      <c r="C39">
        <v>5113.4000000953674</v>
      </c>
      <c r="D39" t="s">
        <v>532</v>
      </c>
      <c r="E39" t="s">
        <v>533</v>
      </c>
      <c r="F39" t="s">
        <v>413</v>
      </c>
      <c r="G39" t="s">
        <v>415</v>
      </c>
      <c r="H39" t="s">
        <v>493</v>
      </c>
      <c r="I39" t="s">
        <v>415</v>
      </c>
      <c r="J39">
        <v>1691164359</v>
      </c>
      <c r="K39">
        <f t="shared" si="0"/>
        <v>6.7994150166516233E-3</v>
      </c>
      <c r="L39">
        <f t="shared" si="1"/>
        <v>6.799415016651623</v>
      </c>
      <c r="M39">
        <f t="shared" si="2"/>
        <v>49.23470170468029</v>
      </c>
      <c r="N39">
        <f t="shared" si="3"/>
        <v>338.08600000000001</v>
      </c>
      <c r="O39">
        <f t="shared" si="4"/>
        <v>133.33550093432248</v>
      </c>
      <c r="P39">
        <f t="shared" si="5"/>
        <v>13.232555798260599</v>
      </c>
      <c r="Q39">
        <f t="shared" si="6"/>
        <v>33.552518483538599</v>
      </c>
      <c r="R39">
        <f t="shared" si="7"/>
        <v>0.42464449576942054</v>
      </c>
      <c r="S39">
        <f t="shared" si="8"/>
        <v>2.9153501400083481</v>
      </c>
      <c r="T39">
        <f t="shared" si="9"/>
        <v>0.39303315944300787</v>
      </c>
      <c r="U39">
        <f t="shared" si="10"/>
        <v>0.24828948966168762</v>
      </c>
      <c r="V39">
        <f t="shared" si="11"/>
        <v>344.34119999340106</v>
      </c>
      <c r="W39">
        <f t="shared" si="12"/>
        <v>30.475848782711882</v>
      </c>
      <c r="X39">
        <f t="shared" si="13"/>
        <v>29.997199999999999</v>
      </c>
      <c r="Y39">
        <f t="shared" si="14"/>
        <v>4.2597646135596099</v>
      </c>
      <c r="Z39">
        <f t="shared" si="15"/>
        <v>60.33717970492993</v>
      </c>
      <c r="AA39">
        <f t="shared" si="16"/>
        <v>2.6022390372770996</v>
      </c>
      <c r="AB39">
        <f t="shared" si="17"/>
        <v>4.3128284251981368</v>
      </c>
      <c r="AC39">
        <f t="shared" si="18"/>
        <v>1.6575255762825103</v>
      </c>
      <c r="AD39">
        <f t="shared" si="19"/>
        <v>-299.85420223433658</v>
      </c>
      <c r="AE39">
        <f t="shared" si="20"/>
        <v>33.902077350571936</v>
      </c>
      <c r="AF39">
        <f t="shared" si="21"/>
        <v>2.5883700606058193</v>
      </c>
      <c r="AG39">
        <f t="shared" si="22"/>
        <v>80.977445170242248</v>
      </c>
      <c r="AH39">
        <v>0</v>
      </c>
      <c r="AI39">
        <v>0</v>
      </c>
      <c r="AJ39">
        <f t="shared" si="23"/>
        <v>1</v>
      </c>
      <c r="AK39">
        <f t="shared" si="24"/>
        <v>0</v>
      </c>
      <c r="AL39">
        <f t="shared" si="25"/>
        <v>51893.496618217316</v>
      </c>
      <c r="AM39" t="s">
        <v>416</v>
      </c>
      <c r="AN39">
        <v>10235.299999999999</v>
      </c>
      <c r="AO39">
        <v>594.051923076923</v>
      </c>
      <c r="AP39">
        <v>2007.77</v>
      </c>
      <c r="AQ39">
        <f t="shared" si="26"/>
        <v>0.70412351859180933</v>
      </c>
      <c r="AR39">
        <v>-0.54275787784279261</v>
      </c>
      <c r="AS39" t="s">
        <v>534</v>
      </c>
      <c r="AT39">
        <v>10189.299999999999</v>
      </c>
      <c r="AU39">
        <v>622.87700000000007</v>
      </c>
      <c r="AV39">
        <v>980.07741239827487</v>
      </c>
      <c r="AW39">
        <f t="shared" si="27"/>
        <v>0.36446142710726914</v>
      </c>
      <c r="AX39">
        <v>0.5</v>
      </c>
      <c r="AY39">
        <f t="shared" si="28"/>
        <v>1513.0364999967005</v>
      </c>
      <c r="AZ39">
        <f t="shared" si="29"/>
        <v>49.23470170468029</v>
      </c>
      <c r="BA39">
        <f t="shared" si="30"/>
        <v>275.72172102709254</v>
      </c>
      <c r="BB39">
        <f t="shared" si="31"/>
        <v>3.2899047433840249E-2</v>
      </c>
      <c r="BC39">
        <f t="shared" si="32"/>
        <v>1.0485830757867736</v>
      </c>
      <c r="BD39">
        <f t="shared" si="33"/>
        <v>453.3878553949155</v>
      </c>
      <c r="BE39" t="s">
        <v>535</v>
      </c>
      <c r="BF39">
        <v>500.93</v>
      </c>
      <c r="BG39">
        <f t="shared" si="34"/>
        <v>500.93</v>
      </c>
      <c r="BH39">
        <f t="shared" si="35"/>
        <v>0.48888731271317509</v>
      </c>
      <c r="BI39">
        <f t="shared" si="36"/>
        <v>0.74549168618146311</v>
      </c>
      <c r="BJ39">
        <f t="shared" si="37"/>
        <v>0.68201838788572455</v>
      </c>
      <c r="BK39">
        <f t="shared" si="38"/>
        <v>0.92532856580597123</v>
      </c>
      <c r="BL39">
        <f t="shared" si="39"/>
        <v>0.72694309026483772</v>
      </c>
      <c r="BM39">
        <f t="shared" si="40"/>
        <v>0.59953915517651202</v>
      </c>
      <c r="BN39">
        <f t="shared" si="41"/>
        <v>0.40046084482348798</v>
      </c>
      <c r="BO39">
        <v>12513</v>
      </c>
      <c r="BP39">
        <v>290.00000000000011</v>
      </c>
      <c r="BQ39">
        <v>863.32</v>
      </c>
      <c r="BR39">
        <v>245</v>
      </c>
      <c r="BS39">
        <v>10189.299999999999</v>
      </c>
      <c r="BT39">
        <v>865.03</v>
      </c>
      <c r="BU39">
        <v>-1.71</v>
      </c>
      <c r="BV39">
        <v>300.00000000000011</v>
      </c>
      <c r="BW39">
        <v>24.2</v>
      </c>
      <c r="BX39">
        <v>980.07741239827487</v>
      </c>
      <c r="BY39">
        <v>1.907942229030454</v>
      </c>
      <c r="BZ39">
        <v>-117.2283694327166</v>
      </c>
      <c r="CA39">
        <v>1.730799863998651</v>
      </c>
      <c r="CB39">
        <v>0.99393342483004854</v>
      </c>
      <c r="CC39">
        <v>-6.9586905450500546E-3</v>
      </c>
      <c r="CD39">
        <v>289.99999999999989</v>
      </c>
      <c r="CE39">
        <v>853.22</v>
      </c>
      <c r="CF39">
        <v>635</v>
      </c>
      <c r="CG39">
        <v>10169.4</v>
      </c>
      <c r="CH39">
        <v>864.8</v>
      </c>
      <c r="CI39">
        <v>-11.58</v>
      </c>
      <c r="CW39">
        <f t="shared" si="42"/>
        <v>1799.82</v>
      </c>
      <c r="CX39">
        <f t="shared" si="43"/>
        <v>1513.0364999967005</v>
      </c>
      <c r="CY39">
        <f t="shared" si="44"/>
        <v>0.84065989932143248</v>
      </c>
      <c r="CZ39">
        <f t="shared" si="45"/>
        <v>0.19131979864286489</v>
      </c>
      <c r="DA39">
        <v>6</v>
      </c>
      <c r="DB39">
        <v>0.5</v>
      </c>
      <c r="DC39" t="s">
        <v>419</v>
      </c>
      <c r="DD39">
        <v>2</v>
      </c>
      <c r="DE39">
        <v>1691164359</v>
      </c>
      <c r="DF39">
        <v>338.08600000000001</v>
      </c>
      <c r="DG39">
        <v>399.93200000000002</v>
      </c>
      <c r="DH39">
        <v>26.221</v>
      </c>
      <c r="DI39">
        <v>18.274899999999999</v>
      </c>
      <c r="DJ39">
        <v>339.95800000000003</v>
      </c>
      <c r="DK39">
        <v>26.1493</v>
      </c>
      <c r="DL39">
        <v>499.95299999999997</v>
      </c>
      <c r="DM39">
        <v>99.143199999999993</v>
      </c>
      <c r="DN39">
        <v>9.9355100000000002E-2</v>
      </c>
      <c r="DO39">
        <v>30.212900000000001</v>
      </c>
      <c r="DP39">
        <v>29.997199999999999</v>
      </c>
      <c r="DQ39">
        <v>999.9</v>
      </c>
      <c r="DR39">
        <v>0</v>
      </c>
      <c r="DS39">
        <v>0</v>
      </c>
      <c r="DT39">
        <v>10005</v>
      </c>
      <c r="DU39">
        <v>0</v>
      </c>
      <c r="DV39">
        <v>1532.28</v>
      </c>
      <c r="DW39">
        <v>-61.845700000000001</v>
      </c>
      <c r="DX39">
        <v>347.19</v>
      </c>
      <c r="DY39">
        <v>407.37599999999998</v>
      </c>
      <c r="DZ39">
        <v>7.9461599999999999</v>
      </c>
      <c r="EA39">
        <v>399.93200000000002</v>
      </c>
      <c r="EB39">
        <v>18.274899999999999</v>
      </c>
      <c r="EC39">
        <v>2.59964</v>
      </c>
      <c r="ED39">
        <v>1.8118300000000001</v>
      </c>
      <c r="EE39">
        <v>21.664100000000001</v>
      </c>
      <c r="EF39">
        <v>15.889200000000001</v>
      </c>
      <c r="EG39">
        <v>1799.82</v>
      </c>
      <c r="EH39">
        <v>0.97800200000000004</v>
      </c>
      <c r="EI39">
        <v>2.1998500000000001E-2</v>
      </c>
      <c r="EJ39">
        <v>0</v>
      </c>
      <c r="EK39">
        <v>626.12</v>
      </c>
      <c r="EL39">
        <v>0.100005</v>
      </c>
      <c r="EM39">
        <v>15338.5</v>
      </c>
      <c r="EN39">
        <v>14861</v>
      </c>
      <c r="EO39">
        <v>47.936999999999998</v>
      </c>
      <c r="EP39">
        <v>49.5</v>
      </c>
      <c r="EQ39">
        <v>48.686999999999998</v>
      </c>
      <c r="ER39">
        <v>48.5</v>
      </c>
      <c r="ES39">
        <v>49.061999999999998</v>
      </c>
      <c r="ET39">
        <v>1760.13</v>
      </c>
      <c r="EU39">
        <v>39.590000000000003</v>
      </c>
      <c r="EV39">
        <v>0</v>
      </c>
      <c r="EW39">
        <v>104.6000001430511</v>
      </c>
      <c r="EX39">
        <v>0</v>
      </c>
      <c r="EY39">
        <v>622.87700000000007</v>
      </c>
      <c r="EZ39">
        <v>9.9411537711427531</v>
      </c>
      <c r="FA39">
        <v>-109.0153838395921</v>
      </c>
      <c r="FB39">
        <v>15338.907999999999</v>
      </c>
      <c r="FC39">
        <v>15</v>
      </c>
      <c r="FD39">
        <v>1691164327.5</v>
      </c>
      <c r="FE39" t="s">
        <v>536</v>
      </c>
      <c r="FF39">
        <v>1691164318.5</v>
      </c>
      <c r="FG39">
        <v>1691164327.5</v>
      </c>
      <c r="FH39">
        <v>29</v>
      </c>
      <c r="FI39">
        <v>-0.17</v>
      </c>
      <c r="FJ39">
        <v>3.0000000000000001E-3</v>
      </c>
      <c r="FK39">
        <v>-2.0529999999999999</v>
      </c>
      <c r="FL39">
        <v>-0.108</v>
      </c>
      <c r="FM39">
        <v>400</v>
      </c>
      <c r="FN39">
        <v>18</v>
      </c>
      <c r="FO39">
        <v>0.11</v>
      </c>
      <c r="FP39">
        <v>0.05</v>
      </c>
      <c r="FQ39">
        <v>49.206699280173183</v>
      </c>
      <c r="FR39">
        <v>-0.13118888534158091</v>
      </c>
      <c r="FS39">
        <v>6.9081763762230852E-2</v>
      </c>
      <c r="FT39">
        <v>1</v>
      </c>
      <c r="FU39">
        <v>0.42494124074787248</v>
      </c>
      <c r="FV39">
        <v>4.8294107011051052E-2</v>
      </c>
      <c r="FW39">
        <v>4.6403243541072361E-3</v>
      </c>
      <c r="FX39">
        <v>1</v>
      </c>
      <c r="FY39">
        <v>2</v>
      </c>
      <c r="FZ39">
        <v>2</v>
      </c>
      <c r="GA39" t="s">
        <v>421</v>
      </c>
      <c r="GB39">
        <v>2.9150999999999998</v>
      </c>
      <c r="GC39">
        <v>2.8292799999999998</v>
      </c>
      <c r="GD39">
        <v>7.8632800000000003E-2</v>
      </c>
      <c r="GE39">
        <v>8.7587600000000002E-2</v>
      </c>
      <c r="GF39">
        <v>0.12506700000000001</v>
      </c>
      <c r="GG39">
        <v>9.3428700000000003E-2</v>
      </c>
      <c r="GH39">
        <v>23737.200000000001</v>
      </c>
      <c r="GI39">
        <v>29242.7</v>
      </c>
      <c r="GJ39">
        <v>23209.4</v>
      </c>
      <c r="GK39">
        <v>29391.5</v>
      </c>
      <c r="GL39">
        <v>27719.8</v>
      </c>
      <c r="GM39">
        <v>37902.199999999997</v>
      </c>
      <c r="GN39">
        <v>32824.9</v>
      </c>
      <c r="GO39">
        <v>43591.1</v>
      </c>
      <c r="GP39">
        <v>1.9240999999999999</v>
      </c>
      <c r="GQ39">
        <v>1.7254</v>
      </c>
      <c r="GR39">
        <v>-3.6120399999999997E-2</v>
      </c>
      <c r="GS39">
        <v>0</v>
      </c>
      <c r="GT39">
        <v>30.584700000000002</v>
      </c>
      <c r="GU39">
        <v>999.9</v>
      </c>
      <c r="GV39">
        <v>38.799999999999997</v>
      </c>
      <c r="GW39">
        <v>41.4</v>
      </c>
      <c r="GX39">
        <v>31.254799999999999</v>
      </c>
      <c r="GY39">
        <v>61.887700000000002</v>
      </c>
      <c r="GZ39">
        <v>39.266800000000003</v>
      </c>
      <c r="HA39">
        <v>1</v>
      </c>
      <c r="HB39">
        <v>0.71689000000000003</v>
      </c>
      <c r="HC39">
        <v>5.6863400000000004</v>
      </c>
      <c r="HD39">
        <v>20.181100000000001</v>
      </c>
      <c r="HE39">
        <v>5.2053099999999999</v>
      </c>
      <c r="HF39">
        <v>11.8782</v>
      </c>
      <c r="HG39">
        <v>4.9824000000000002</v>
      </c>
      <c r="HH39">
        <v>3.2829999999999999</v>
      </c>
      <c r="HI39">
        <v>9999</v>
      </c>
      <c r="HJ39">
        <v>9999</v>
      </c>
      <c r="HK39">
        <v>9999</v>
      </c>
      <c r="HL39">
        <v>999.9</v>
      </c>
      <c r="HM39">
        <v>1.8549199999999999</v>
      </c>
      <c r="HN39">
        <v>1.86093</v>
      </c>
      <c r="HO39">
        <v>1.85826</v>
      </c>
      <c r="HP39">
        <v>1.85944</v>
      </c>
      <c r="HQ39">
        <v>1.85883</v>
      </c>
      <c r="HR39">
        <v>1.85928</v>
      </c>
      <c r="HS39">
        <v>1.8575999999999999</v>
      </c>
      <c r="HT39">
        <v>1.8609599999999999</v>
      </c>
      <c r="HU39">
        <v>5</v>
      </c>
      <c r="HV39">
        <v>0</v>
      </c>
      <c r="HW39">
        <v>0</v>
      </c>
      <c r="HX39">
        <v>0</v>
      </c>
      <c r="HY39" t="s">
        <v>422</v>
      </c>
      <c r="HZ39" t="s">
        <v>423</v>
      </c>
      <c r="IA39" t="s">
        <v>424</v>
      </c>
      <c r="IB39" t="s">
        <v>424</v>
      </c>
      <c r="IC39" t="s">
        <v>424</v>
      </c>
      <c r="ID39" t="s">
        <v>424</v>
      </c>
      <c r="IE39">
        <v>0</v>
      </c>
      <c r="IF39">
        <v>100</v>
      </c>
      <c r="IG39">
        <v>100</v>
      </c>
      <c r="IH39">
        <v>-1.8720000000000001</v>
      </c>
      <c r="II39">
        <v>7.17E-2</v>
      </c>
      <c r="IJ39">
        <v>-0.66930468739436266</v>
      </c>
      <c r="IK39">
        <v>-4.1229525807901877E-3</v>
      </c>
      <c r="IL39">
        <v>1.8448211998558991E-6</v>
      </c>
      <c r="IM39">
        <v>-3.7020276670297668E-10</v>
      </c>
      <c r="IN39">
        <v>-0.17805887995477979</v>
      </c>
      <c r="IO39">
        <v>-1.3488639696665739E-2</v>
      </c>
      <c r="IP39">
        <v>1.1588640342490499E-3</v>
      </c>
      <c r="IQ39">
        <v>-1.0624341560077559E-5</v>
      </c>
      <c r="IR39">
        <v>2</v>
      </c>
      <c r="IS39">
        <v>1915</v>
      </c>
      <c r="IT39">
        <v>1</v>
      </c>
      <c r="IU39">
        <v>42</v>
      </c>
      <c r="IV39">
        <v>0.7</v>
      </c>
      <c r="IW39">
        <v>0.5</v>
      </c>
      <c r="IX39">
        <v>0.99609400000000003</v>
      </c>
      <c r="IY39">
        <v>2.48047</v>
      </c>
      <c r="IZ39">
        <v>1.49414</v>
      </c>
      <c r="JA39">
        <v>2.2900399999999999</v>
      </c>
      <c r="JB39">
        <v>1.54419</v>
      </c>
      <c r="JC39">
        <v>2.4157700000000002</v>
      </c>
      <c r="JD39">
        <v>45.863199999999999</v>
      </c>
      <c r="JE39">
        <v>23.851099999999999</v>
      </c>
      <c r="JF39">
        <v>18</v>
      </c>
      <c r="JG39">
        <v>512.71199999999999</v>
      </c>
      <c r="JH39">
        <v>410.01900000000001</v>
      </c>
      <c r="JI39">
        <v>22.9816</v>
      </c>
      <c r="JJ39">
        <v>36.039299999999997</v>
      </c>
      <c r="JK39">
        <v>30.0002</v>
      </c>
      <c r="JL39">
        <v>35.938400000000001</v>
      </c>
      <c r="JM39">
        <v>35.914200000000001</v>
      </c>
      <c r="JN39">
        <v>20.017399999999999</v>
      </c>
      <c r="JO39">
        <v>42.883299999999998</v>
      </c>
      <c r="JP39">
        <v>0</v>
      </c>
      <c r="JQ39">
        <v>22.981100000000001</v>
      </c>
      <c r="JR39">
        <v>400</v>
      </c>
      <c r="JS39">
        <v>18.273800000000001</v>
      </c>
      <c r="JT39">
        <v>97.345100000000002</v>
      </c>
      <c r="JU39">
        <v>97.998999999999995</v>
      </c>
    </row>
    <row r="40" spans="1:281" x14ac:dyDescent="0.25">
      <c r="A40">
        <v>24</v>
      </c>
      <c r="B40">
        <v>1691164467</v>
      </c>
      <c r="C40">
        <v>5221.4000000953674</v>
      </c>
      <c r="D40" t="s">
        <v>537</v>
      </c>
      <c r="E40" t="s">
        <v>538</v>
      </c>
      <c r="F40" t="s">
        <v>413</v>
      </c>
      <c r="G40" t="s">
        <v>415</v>
      </c>
      <c r="H40" t="s">
        <v>493</v>
      </c>
      <c r="I40" t="s">
        <v>415</v>
      </c>
      <c r="J40">
        <v>1691164467</v>
      </c>
      <c r="K40">
        <f t="shared" si="0"/>
        <v>6.7079573672149742E-3</v>
      </c>
      <c r="L40">
        <f t="shared" si="1"/>
        <v>6.7079573672149744</v>
      </c>
      <c r="M40">
        <f t="shared" si="2"/>
        <v>53.321007106082924</v>
      </c>
      <c r="N40">
        <f t="shared" si="3"/>
        <v>432.4</v>
      </c>
      <c r="O40">
        <f t="shared" si="4"/>
        <v>205.57742836607721</v>
      </c>
      <c r="P40">
        <f t="shared" si="5"/>
        <v>20.401716352533008</v>
      </c>
      <c r="Q40">
        <f t="shared" si="6"/>
        <v>42.911822669199992</v>
      </c>
      <c r="R40">
        <f t="shared" si="7"/>
        <v>0.41775227608118382</v>
      </c>
      <c r="S40">
        <f t="shared" si="8"/>
        <v>2.9148670325045467</v>
      </c>
      <c r="T40">
        <f t="shared" si="9"/>
        <v>0.38711441555035586</v>
      </c>
      <c r="U40">
        <f t="shared" si="10"/>
        <v>0.24451168771226009</v>
      </c>
      <c r="V40">
        <f t="shared" si="11"/>
        <v>344.3563999934014</v>
      </c>
      <c r="W40">
        <f t="shared" si="12"/>
        <v>30.45953039431955</v>
      </c>
      <c r="X40">
        <f t="shared" si="13"/>
        <v>29.965900000000001</v>
      </c>
      <c r="Y40">
        <f t="shared" si="14"/>
        <v>4.2521120503405978</v>
      </c>
      <c r="Z40">
        <f t="shared" si="15"/>
        <v>60.233020439053611</v>
      </c>
      <c r="AA40">
        <f t="shared" si="16"/>
        <v>2.5917490455181</v>
      </c>
      <c r="AB40">
        <f t="shared" si="17"/>
        <v>4.302870795165493</v>
      </c>
      <c r="AC40">
        <f t="shared" si="18"/>
        <v>1.6603630048224978</v>
      </c>
      <c r="AD40">
        <f t="shared" si="19"/>
        <v>-295.82091989418035</v>
      </c>
      <c r="AE40">
        <f t="shared" si="20"/>
        <v>32.482142578034477</v>
      </c>
      <c r="AF40">
        <f t="shared" si="21"/>
        <v>2.4794925116237647</v>
      </c>
      <c r="AG40">
        <f t="shared" si="22"/>
        <v>83.49711518887932</v>
      </c>
      <c r="AH40">
        <v>0</v>
      </c>
      <c r="AI40">
        <v>0</v>
      </c>
      <c r="AJ40">
        <f t="shared" si="23"/>
        <v>1</v>
      </c>
      <c r="AK40">
        <f t="shared" si="24"/>
        <v>0</v>
      </c>
      <c r="AL40">
        <f t="shared" si="25"/>
        <v>51886.596504546113</v>
      </c>
      <c r="AM40" t="s">
        <v>416</v>
      </c>
      <c r="AN40">
        <v>10235.299999999999</v>
      </c>
      <c r="AO40">
        <v>594.051923076923</v>
      </c>
      <c r="AP40">
        <v>2007.77</v>
      </c>
      <c r="AQ40">
        <f t="shared" si="26"/>
        <v>0.70412351859180933</v>
      </c>
      <c r="AR40">
        <v>-0.54275787784279261</v>
      </c>
      <c r="AS40" t="s">
        <v>539</v>
      </c>
      <c r="AT40">
        <v>10193.4</v>
      </c>
      <c r="AU40">
        <v>641.76653846153852</v>
      </c>
      <c r="AV40">
        <v>1043.309766899167</v>
      </c>
      <c r="AW40">
        <f t="shared" si="27"/>
        <v>0.38487440756071878</v>
      </c>
      <c r="AX40">
        <v>0.5</v>
      </c>
      <c r="AY40">
        <f t="shared" si="28"/>
        <v>1513.1036999967009</v>
      </c>
      <c r="AZ40">
        <f t="shared" si="29"/>
        <v>53.321007106082924</v>
      </c>
      <c r="BA40">
        <f t="shared" si="30"/>
        <v>291.17744505708089</v>
      </c>
      <c r="BB40">
        <f t="shared" si="31"/>
        <v>3.5598197918651021E-2</v>
      </c>
      <c r="BC40">
        <f t="shared" si="32"/>
        <v>0.92442365987554809</v>
      </c>
      <c r="BD40">
        <f t="shared" si="33"/>
        <v>466.46629253749438</v>
      </c>
      <c r="BE40" t="s">
        <v>540</v>
      </c>
      <c r="BF40">
        <v>503.19</v>
      </c>
      <c r="BG40">
        <f t="shared" si="34"/>
        <v>503.19</v>
      </c>
      <c r="BH40">
        <f t="shared" si="35"/>
        <v>0.51769837112180328</v>
      </c>
      <c r="BI40">
        <f t="shared" si="36"/>
        <v>0.74343368461201154</v>
      </c>
      <c r="BJ40">
        <f t="shared" si="37"/>
        <v>0.64101625244309579</v>
      </c>
      <c r="BK40">
        <f t="shared" si="38"/>
        <v>0.89379235990925832</v>
      </c>
      <c r="BL40">
        <f t="shared" si="39"/>
        <v>0.68221539276059706</v>
      </c>
      <c r="BM40">
        <f t="shared" si="40"/>
        <v>0.58290417673799833</v>
      </c>
      <c r="BN40">
        <f t="shared" si="41"/>
        <v>0.41709582326200167</v>
      </c>
      <c r="BO40">
        <v>12515</v>
      </c>
      <c r="BP40">
        <v>290.00000000000011</v>
      </c>
      <c r="BQ40">
        <v>915.8</v>
      </c>
      <c r="BR40">
        <v>215</v>
      </c>
      <c r="BS40">
        <v>10193.4</v>
      </c>
      <c r="BT40">
        <v>918.38</v>
      </c>
      <c r="BU40">
        <v>-2.58</v>
      </c>
      <c r="BV40">
        <v>300.00000000000011</v>
      </c>
      <c r="BW40">
        <v>24.2</v>
      </c>
      <c r="BX40">
        <v>1043.309766899167</v>
      </c>
      <c r="BY40">
        <v>2.9052393502896998</v>
      </c>
      <c r="BZ40">
        <v>-127.34718772283659</v>
      </c>
      <c r="CA40">
        <v>2.635575210176702</v>
      </c>
      <c r="CB40">
        <v>0.98814906527075308</v>
      </c>
      <c r="CC40">
        <v>-6.9589401557285952E-3</v>
      </c>
      <c r="CD40">
        <v>289.99999999999989</v>
      </c>
      <c r="CE40">
        <v>906.39</v>
      </c>
      <c r="CF40">
        <v>635</v>
      </c>
      <c r="CG40">
        <v>10169.700000000001</v>
      </c>
      <c r="CH40">
        <v>918.09</v>
      </c>
      <c r="CI40">
        <v>-11.7</v>
      </c>
      <c r="CW40">
        <f t="shared" si="42"/>
        <v>1799.9</v>
      </c>
      <c r="CX40">
        <f t="shared" si="43"/>
        <v>1513.1036999967009</v>
      </c>
      <c r="CY40">
        <f t="shared" si="44"/>
        <v>0.84065986999094444</v>
      </c>
      <c r="CZ40">
        <f t="shared" si="45"/>
        <v>0.19131973998188864</v>
      </c>
      <c r="DA40">
        <v>6</v>
      </c>
      <c r="DB40">
        <v>0.5</v>
      </c>
      <c r="DC40" t="s">
        <v>419</v>
      </c>
      <c r="DD40">
        <v>2</v>
      </c>
      <c r="DE40">
        <v>1691164467</v>
      </c>
      <c r="DF40">
        <v>432.4</v>
      </c>
      <c r="DG40">
        <v>499.863</v>
      </c>
      <c r="DH40">
        <v>26.1157</v>
      </c>
      <c r="DI40">
        <v>18.276700000000002</v>
      </c>
      <c r="DJ40">
        <v>434.25400000000002</v>
      </c>
      <c r="DK40">
        <v>26.052199999999999</v>
      </c>
      <c r="DL40">
        <v>500.02100000000002</v>
      </c>
      <c r="DM40">
        <v>99.140600000000006</v>
      </c>
      <c r="DN40">
        <v>0.10043299999999999</v>
      </c>
      <c r="DO40">
        <v>30.172599999999999</v>
      </c>
      <c r="DP40">
        <v>29.965900000000001</v>
      </c>
      <c r="DQ40">
        <v>999.9</v>
      </c>
      <c r="DR40">
        <v>0</v>
      </c>
      <c r="DS40">
        <v>0</v>
      </c>
      <c r="DT40">
        <v>10002.5</v>
      </c>
      <c r="DU40">
        <v>0</v>
      </c>
      <c r="DV40">
        <v>1541.48</v>
      </c>
      <c r="DW40">
        <v>-67.462699999999998</v>
      </c>
      <c r="DX40">
        <v>443.995</v>
      </c>
      <c r="DY40">
        <v>509.16899999999998</v>
      </c>
      <c r="DZ40">
        <v>7.8390199999999997</v>
      </c>
      <c r="EA40">
        <v>499.863</v>
      </c>
      <c r="EB40">
        <v>18.276700000000002</v>
      </c>
      <c r="EC40">
        <v>2.5891299999999999</v>
      </c>
      <c r="ED40">
        <v>1.8119700000000001</v>
      </c>
      <c r="EE40">
        <v>21.597899999999999</v>
      </c>
      <c r="EF40">
        <v>15.8904</v>
      </c>
      <c r="EG40">
        <v>1799.9</v>
      </c>
      <c r="EH40">
        <v>0.97800200000000004</v>
      </c>
      <c r="EI40">
        <v>2.1998299999999998E-2</v>
      </c>
      <c r="EJ40">
        <v>0</v>
      </c>
      <c r="EK40">
        <v>642.65</v>
      </c>
      <c r="EL40">
        <v>0.100005</v>
      </c>
      <c r="EM40">
        <v>15765.8</v>
      </c>
      <c r="EN40">
        <v>14861.7</v>
      </c>
      <c r="EO40">
        <v>47.936999999999998</v>
      </c>
      <c r="EP40">
        <v>49.5</v>
      </c>
      <c r="EQ40">
        <v>48.686999999999998</v>
      </c>
      <c r="ER40">
        <v>48.5</v>
      </c>
      <c r="ES40">
        <v>49.061999999999998</v>
      </c>
      <c r="ET40">
        <v>1760.21</v>
      </c>
      <c r="EU40">
        <v>39.590000000000003</v>
      </c>
      <c r="EV40">
        <v>0</v>
      </c>
      <c r="EW40">
        <v>105.6000001430511</v>
      </c>
      <c r="EX40">
        <v>0</v>
      </c>
      <c r="EY40">
        <v>641.76653846153852</v>
      </c>
      <c r="EZ40">
        <v>-0.1247862824982745</v>
      </c>
      <c r="FA40">
        <v>303.19658333891709</v>
      </c>
      <c r="FB40">
        <v>15717.957692307689</v>
      </c>
      <c r="FC40">
        <v>15</v>
      </c>
      <c r="FD40">
        <v>1691164432</v>
      </c>
      <c r="FE40" t="s">
        <v>541</v>
      </c>
      <c r="FF40">
        <v>1691164424</v>
      </c>
      <c r="FG40">
        <v>1691164432</v>
      </c>
      <c r="FH40">
        <v>30</v>
      </c>
      <c r="FI40">
        <v>0.28799999999999998</v>
      </c>
      <c r="FJ40">
        <v>-6.0000000000000001E-3</v>
      </c>
      <c r="FK40">
        <v>-2.0329999999999999</v>
      </c>
      <c r="FL40">
        <v>-0.113</v>
      </c>
      <c r="FM40">
        <v>500</v>
      </c>
      <c r="FN40">
        <v>18</v>
      </c>
      <c r="FO40">
        <v>0.25</v>
      </c>
      <c r="FP40">
        <v>0.03</v>
      </c>
      <c r="FQ40">
        <v>53.367057080308939</v>
      </c>
      <c r="FR40">
        <v>-0.47235295563731078</v>
      </c>
      <c r="FS40">
        <v>0.17764919393958109</v>
      </c>
      <c r="FT40">
        <v>1</v>
      </c>
      <c r="FU40">
        <v>0.422133977446774</v>
      </c>
      <c r="FV40">
        <v>-2.479562449448227E-2</v>
      </c>
      <c r="FW40">
        <v>3.13266497187879E-3</v>
      </c>
      <c r="FX40">
        <v>1</v>
      </c>
      <c r="FY40">
        <v>2</v>
      </c>
      <c r="FZ40">
        <v>2</v>
      </c>
      <c r="GA40" t="s">
        <v>421</v>
      </c>
      <c r="GB40">
        <v>2.9152100000000001</v>
      </c>
      <c r="GC40">
        <v>2.8303400000000001</v>
      </c>
      <c r="GD40">
        <v>9.4990699999999997E-2</v>
      </c>
      <c r="GE40">
        <v>0.103503</v>
      </c>
      <c r="GF40">
        <v>0.124723</v>
      </c>
      <c r="GG40">
        <v>9.3422400000000003E-2</v>
      </c>
      <c r="GH40">
        <v>23316.2</v>
      </c>
      <c r="GI40">
        <v>28729.7</v>
      </c>
      <c r="GJ40">
        <v>23209.7</v>
      </c>
      <c r="GK40">
        <v>29388.7</v>
      </c>
      <c r="GL40">
        <v>27733</v>
      </c>
      <c r="GM40">
        <v>37902.1</v>
      </c>
      <c r="GN40">
        <v>32825.599999999999</v>
      </c>
      <c r="GO40">
        <v>43588.4</v>
      </c>
      <c r="GP40">
        <v>1.9235</v>
      </c>
      <c r="GQ40">
        <v>1.7250000000000001</v>
      </c>
      <c r="GR40">
        <v>-3.1411599999999998E-2</v>
      </c>
      <c r="GS40">
        <v>0</v>
      </c>
      <c r="GT40">
        <v>30.476900000000001</v>
      </c>
      <c r="GU40">
        <v>999.9</v>
      </c>
      <c r="GV40">
        <v>38.700000000000003</v>
      </c>
      <c r="GW40">
        <v>41.5</v>
      </c>
      <c r="GX40">
        <v>31.340299999999999</v>
      </c>
      <c r="GY40">
        <v>61.977699999999999</v>
      </c>
      <c r="GZ40">
        <v>39.523200000000003</v>
      </c>
      <c r="HA40">
        <v>1</v>
      </c>
      <c r="HB40">
        <v>0.719858</v>
      </c>
      <c r="HC40">
        <v>5.2162600000000001</v>
      </c>
      <c r="HD40">
        <v>20.192900000000002</v>
      </c>
      <c r="HE40">
        <v>5.2095000000000002</v>
      </c>
      <c r="HF40">
        <v>11.8782</v>
      </c>
      <c r="HG40">
        <v>4.9832000000000001</v>
      </c>
      <c r="HH40">
        <v>3.2839999999999998</v>
      </c>
      <c r="HI40">
        <v>9999</v>
      </c>
      <c r="HJ40">
        <v>9999</v>
      </c>
      <c r="HK40">
        <v>9999</v>
      </c>
      <c r="HL40">
        <v>999.9</v>
      </c>
      <c r="HM40">
        <v>1.85486</v>
      </c>
      <c r="HN40">
        <v>1.86086</v>
      </c>
      <c r="HO40">
        <v>1.85822</v>
      </c>
      <c r="HP40">
        <v>1.85941</v>
      </c>
      <c r="HQ40">
        <v>1.85869</v>
      </c>
      <c r="HR40">
        <v>1.85928</v>
      </c>
      <c r="HS40">
        <v>1.8575999999999999</v>
      </c>
      <c r="HT40">
        <v>1.86094</v>
      </c>
      <c r="HU40">
        <v>5</v>
      </c>
      <c r="HV40">
        <v>0</v>
      </c>
      <c r="HW40">
        <v>0</v>
      </c>
      <c r="HX40">
        <v>0</v>
      </c>
      <c r="HY40" t="s">
        <v>422</v>
      </c>
      <c r="HZ40" t="s">
        <v>423</v>
      </c>
      <c r="IA40" t="s">
        <v>424</v>
      </c>
      <c r="IB40" t="s">
        <v>424</v>
      </c>
      <c r="IC40" t="s">
        <v>424</v>
      </c>
      <c r="ID40" t="s">
        <v>424</v>
      </c>
      <c r="IE40">
        <v>0</v>
      </c>
      <c r="IF40">
        <v>100</v>
      </c>
      <c r="IG40">
        <v>100</v>
      </c>
      <c r="IH40">
        <v>-1.8540000000000001</v>
      </c>
      <c r="II40">
        <v>6.3500000000000001E-2</v>
      </c>
      <c r="IJ40">
        <v>-0.38134603047527138</v>
      </c>
      <c r="IK40">
        <v>-4.1229525807901877E-3</v>
      </c>
      <c r="IL40">
        <v>1.8448211998558991E-6</v>
      </c>
      <c r="IM40">
        <v>-3.7020276670297668E-10</v>
      </c>
      <c r="IN40">
        <v>-0.1836864198975581</v>
      </c>
      <c r="IO40">
        <v>-1.3488639696665739E-2</v>
      </c>
      <c r="IP40">
        <v>1.1588640342490499E-3</v>
      </c>
      <c r="IQ40">
        <v>-1.0624341560077559E-5</v>
      </c>
      <c r="IR40">
        <v>2</v>
      </c>
      <c r="IS40">
        <v>1915</v>
      </c>
      <c r="IT40">
        <v>1</v>
      </c>
      <c r="IU40">
        <v>42</v>
      </c>
      <c r="IV40">
        <v>0.7</v>
      </c>
      <c r="IW40">
        <v>0.6</v>
      </c>
      <c r="IX40">
        <v>1.1926300000000001</v>
      </c>
      <c r="IY40">
        <v>2.47681</v>
      </c>
      <c r="IZ40">
        <v>1.49414</v>
      </c>
      <c r="JA40">
        <v>2.2900399999999999</v>
      </c>
      <c r="JB40">
        <v>1.54419</v>
      </c>
      <c r="JC40">
        <v>2.3815900000000001</v>
      </c>
      <c r="JD40">
        <v>45.863199999999999</v>
      </c>
      <c r="JE40">
        <v>23.8598</v>
      </c>
      <c r="JF40">
        <v>18</v>
      </c>
      <c r="JG40">
        <v>512.69100000000003</v>
      </c>
      <c r="JH40">
        <v>410.08699999999999</v>
      </c>
      <c r="JI40">
        <v>23.290500000000002</v>
      </c>
      <c r="JJ40">
        <v>36.089399999999998</v>
      </c>
      <c r="JK40">
        <v>30.000299999999999</v>
      </c>
      <c r="JL40">
        <v>35.988</v>
      </c>
      <c r="JM40">
        <v>35.963700000000003</v>
      </c>
      <c r="JN40">
        <v>23.935400000000001</v>
      </c>
      <c r="JO40">
        <v>43.159599999999998</v>
      </c>
      <c r="JP40">
        <v>0</v>
      </c>
      <c r="JQ40">
        <v>23.311900000000001</v>
      </c>
      <c r="JR40">
        <v>500</v>
      </c>
      <c r="JS40">
        <v>18.197199999999999</v>
      </c>
      <c r="JT40">
        <v>97.346800000000002</v>
      </c>
      <c r="JU40">
        <v>97.991600000000005</v>
      </c>
    </row>
    <row r="41" spans="1:281" x14ac:dyDescent="0.25">
      <c r="A41">
        <v>25</v>
      </c>
      <c r="B41">
        <v>1691164589</v>
      </c>
      <c r="C41">
        <v>5343.4000000953674</v>
      </c>
      <c r="D41" t="s">
        <v>542</v>
      </c>
      <c r="E41" t="s">
        <v>543</v>
      </c>
      <c r="F41" t="s">
        <v>413</v>
      </c>
      <c r="G41" t="s">
        <v>415</v>
      </c>
      <c r="H41" t="s">
        <v>493</v>
      </c>
      <c r="I41" t="s">
        <v>415</v>
      </c>
      <c r="J41">
        <v>1691164589</v>
      </c>
      <c r="K41">
        <f t="shared" si="0"/>
        <v>6.4457194515376258E-3</v>
      </c>
      <c r="L41">
        <f t="shared" si="1"/>
        <v>6.4457194515376255</v>
      </c>
      <c r="M41">
        <f t="shared" si="2"/>
        <v>55.986367895085181</v>
      </c>
      <c r="N41">
        <f t="shared" si="3"/>
        <v>627.87400000000002</v>
      </c>
      <c r="O41">
        <f t="shared" si="4"/>
        <v>373.65979829736557</v>
      </c>
      <c r="P41">
        <f t="shared" si="5"/>
        <v>37.079893333190867</v>
      </c>
      <c r="Q41">
        <f t="shared" si="6"/>
        <v>62.3066785690336</v>
      </c>
      <c r="R41">
        <f t="shared" si="7"/>
        <v>0.39669426717476619</v>
      </c>
      <c r="S41">
        <f t="shared" si="8"/>
        <v>2.9151983665024397</v>
      </c>
      <c r="T41">
        <f t="shared" si="9"/>
        <v>0.36896035470533289</v>
      </c>
      <c r="U41">
        <f t="shared" si="10"/>
        <v>0.23293022357137788</v>
      </c>
      <c r="V41">
        <f t="shared" si="11"/>
        <v>344.40769999340239</v>
      </c>
      <c r="W41">
        <f t="shared" si="12"/>
        <v>30.566854205917622</v>
      </c>
      <c r="X41">
        <f t="shared" si="13"/>
        <v>30.013200000000001</v>
      </c>
      <c r="Y41">
        <f t="shared" si="14"/>
        <v>4.2636811008583395</v>
      </c>
      <c r="Z41">
        <f t="shared" si="15"/>
        <v>60.057230587077783</v>
      </c>
      <c r="AA41">
        <f t="shared" si="16"/>
        <v>2.5899276521102403</v>
      </c>
      <c r="AB41">
        <f t="shared" si="17"/>
        <v>4.3124327025953511</v>
      </c>
      <c r="AC41">
        <f t="shared" si="18"/>
        <v>1.6737534487480992</v>
      </c>
      <c r="AD41">
        <f t="shared" si="19"/>
        <v>-284.2562278128093</v>
      </c>
      <c r="AE41">
        <f t="shared" si="20"/>
        <v>31.134222935739661</v>
      </c>
      <c r="AF41">
        <f t="shared" si="21"/>
        <v>2.3773418634738097</v>
      </c>
      <c r="AG41">
        <f t="shared" si="22"/>
        <v>93.663036979806563</v>
      </c>
      <c r="AH41">
        <v>0</v>
      </c>
      <c r="AI41">
        <v>0</v>
      </c>
      <c r="AJ41">
        <f t="shared" si="23"/>
        <v>1</v>
      </c>
      <c r="AK41">
        <f t="shared" si="24"/>
        <v>0</v>
      </c>
      <c r="AL41">
        <f t="shared" si="25"/>
        <v>51889.26901978824</v>
      </c>
      <c r="AM41" t="s">
        <v>416</v>
      </c>
      <c r="AN41">
        <v>10235.299999999999</v>
      </c>
      <c r="AO41">
        <v>594.051923076923</v>
      </c>
      <c r="AP41">
        <v>2007.77</v>
      </c>
      <c r="AQ41">
        <f t="shared" si="26"/>
        <v>0.70412351859180933</v>
      </c>
      <c r="AR41">
        <v>-0.54275787784279261</v>
      </c>
      <c r="AS41" t="s">
        <v>544</v>
      </c>
      <c r="AT41">
        <v>10186.700000000001</v>
      </c>
      <c r="AU41">
        <v>650.04480000000001</v>
      </c>
      <c r="AV41">
        <v>1085.3101624199801</v>
      </c>
      <c r="AW41">
        <f t="shared" si="27"/>
        <v>0.40105158644183636</v>
      </c>
      <c r="AX41">
        <v>0.5</v>
      </c>
      <c r="AY41">
        <f t="shared" si="28"/>
        <v>1513.3304999967011</v>
      </c>
      <c r="AZ41">
        <f t="shared" si="29"/>
        <v>55.986367895085181</v>
      </c>
      <c r="BA41">
        <f t="shared" si="30"/>
        <v>303.46179891724722</v>
      </c>
      <c r="BB41">
        <f t="shared" si="31"/>
        <v>3.7354117803778626E-2</v>
      </c>
      <c r="BC41">
        <f t="shared" si="32"/>
        <v>0.84995042847765911</v>
      </c>
      <c r="BD41">
        <f t="shared" si="33"/>
        <v>474.67938813698754</v>
      </c>
      <c r="BE41" t="s">
        <v>545</v>
      </c>
      <c r="BF41">
        <v>509.69</v>
      </c>
      <c r="BG41">
        <f t="shared" si="34"/>
        <v>509.69</v>
      </c>
      <c r="BH41">
        <f t="shared" si="35"/>
        <v>0.53037388052875678</v>
      </c>
      <c r="BI41">
        <f t="shared" si="36"/>
        <v>0.75616767937743767</v>
      </c>
      <c r="BJ41">
        <f t="shared" si="37"/>
        <v>0.61576139964489207</v>
      </c>
      <c r="BK41">
        <f t="shared" si="38"/>
        <v>0.88602150063079987</v>
      </c>
      <c r="BL41">
        <f t="shared" si="39"/>
        <v>0.65250621933598763</v>
      </c>
      <c r="BM41">
        <f t="shared" si="40"/>
        <v>0.59289929632832417</v>
      </c>
      <c r="BN41">
        <f t="shared" si="41"/>
        <v>0.40710070367167583</v>
      </c>
      <c r="BO41">
        <v>12517</v>
      </c>
      <c r="BP41">
        <v>290.00000000000011</v>
      </c>
      <c r="BQ41">
        <v>945.85</v>
      </c>
      <c r="BR41">
        <v>275</v>
      </c>
      <c r="BS41">
        <v>10186.700000000001</v>
      </c>
      <c r="BT41">
        <v>948.04</v>
      </c>
      <c r="BU41">
        <v>-2.19</v>
      </c>
      <c r="BV41">
        <v>300.00000000000011</v>
      </c>
      <c r="BW41">
        <v>24.2</v>
      </c>
      <c r="BX41">
        <v>1085.3101624199801</v>
      </c>
      <c r="BY41">
        <v>2.615840615276269</v>
      </c>
      <c r="BZ41">
        <v>-139.8360174320388</v>
      </c>
      <c r="CA41">
        <v>2.373189983416367</v>
      </c>
      <c r="CB41">
        <v>0.99199987872850126</v>
      </c>
      <c r="CC41">
        <v>-6.9593543937708632E-3</v>
      </c>
      <c r="CD41">
        <v>289.99999999999989</v>
      </c>
      <c r="CE41">
        <v>935.65</v>
      </c>
      <c r="CF41">
        <v>625</v>
      </c>
      <c r="CG41">
        <v>10171</v>
      </c>
      <c r="CH41">
        <v>947.83</v>
      </c>
      <c r="CI41">
        <v>-12.18</v>
      </c>
      <c r="CW41">
        <f t="shared" si="42"/>
        <v>1800.17</v>
      </c>
      <c r="CX41">
        <f t="shared" si="43"/>
        <v>1513.3304999967011</v>
      </c>
      <c r="CY41">
        <f t="shared" si="44"/>
        <v>0.84065977101979317</v>
      </c>
      <c r="CZ41">
        <f t="shared" si="45"/>
        <v>0.19131954203958645</v>
      </c>
      <c r="DA41">
        <v>6</v>
      </c>
      <c r="DB41">
        <v>0.5</v>
      </c>
      <c r="DC41" t="s">
        <v>419</v>
      </c>
      <c r="DD41">
        <v>2</v>
      </c>
      <c r="DE41">
        <v>1691164589</v>
      </c>
      <c r="DF41">
        <v>627.87400000000002</v>
      </c>
      <c r="DG41">
        <v>699.87599999999998</v>
      </c>
      <c r="DH41">
        <v>26.0991</v>
      </c>
      <c r="DI41">
        <v>18.5701</v>
      </c>
      <c r="DJ41">
        <v>630.03599999999994</v>
      </c>
      <c r="DK41">
        <v>26.034500000000001</v>
      </c>
      <c r="DL41">
        <v>500.26499999999999</v>
      </c>
      <c r="DM41">
        <v>99.134600000000006</v>
      </c>
      <c r="DN41">
        <v>9.9766400000000005E-2</v>
      </c>
      <c r="DO41">
        <v>30.211300000000001</v>
      </c>
      <c r="DP41">
        <v>30.013200000000001</v>
      </c>
      <c r="DQ41">
        <v>999.9</v>
      </c>
      <c r="DR41">
        <v>0</v>
      </c>
      <c r="DS41">
        <v>0</v>
      </c>
      <c r="DT41">
        <v>10005</v>
      </c>
      <c r="DU41">
        <v>0</v>
      </c>
      <c r="DV41">
        <v>1542.73</v>
      </c>
      <c r="DW41">
        <v>-72.002099999999999</v>
      </c>
      <c r="DX41">
        <v>644.70000000000005</v>
      </c>
      <c r="DY41">
        <v>713.11900000000003</v>
      </c>
      <c r="DZ41">
        <v>7.5289799999999998</v>
      </c>
      <c r="EA41">
        <v>699.87599999999998</v>
      </c>
      <c r="EB41">
        <v>18.5701</v>
      </c>
      <c r="EC41">
        <v>2.5873200000000001</v>
      </c>
      <c r="ED41">
        <v>1.84094</v>
      </c>
      <c r="EE41">
        <v>21.586500000000001</v>
      </c>
      <c r="EF41">
        <v>16.1388</v>
      </c>
      <c r="EG41">
        <v>1800.17</v>
      </c>
      <c r="EH41">
        <v>0.97800399999999998</v>
      </c>
      <c r="EI41">
        <v>2.1996100000000001E-2</v>
      </c>
      <c r="EJ41">
        <v>0</v>
      </c>
      <c r="EK41">
        <v>651.56500000000005</v>
      </c>
      <c r="EL41">
        <v>0.100005</v>
      </c>
      <c r="EM41">
        <v>15898.7</v>
      </c>
      <c r="EN41">
        <v>14864</v>
      </c>
      <c r="EO41">
        <v>47.875</v>
      </c>
      <c r="EP41">
        <v>49.561999999999998</v>
      </c>
      <c r="EQ41">
        <v>48.625</v>
      </c>
      <c r="ER41">
        <v>48.375</v>
      </c>
      <c r="ES41">
        <v>49</v>
      </c>
      <c r="ET41">
        <v>1760.48</v>
      </c>
      <c r="EU41">
        <v>39.590000000000003</v>
      </c>
      <c r="EV41">
        <v>0</v>
      </c>
      <c r="EW41">
        <v>120</v>
      </c>
      <c r="EX41">
        <v>0</v>
      </c>
      <c r="EY41">
        <v>650.04480000000001</v>
      </c>
      <c r="EZ41">
        <v>-2.9299999513685462</v>
      </c>
      <c r="FA41">
        <v>2.938462843461191</v>
      </c>
      <c r="FB41">
        <v>15919.448</v>
      </c>
      <c r="FC41">
        <v>15</v>
      </c>
      <c r="FD41">
        <v>1691164552.5</v>
      </c>
      <c r="FE41" t="s">
        <v>546</v>
      </c>
      <c r="FF41">
        <v>1691164552.5</v>
      </c>
      <c r="FG41">
        <v>1691164552.5</v>
      </c>
      <c r="FH41">
        <v>31</v>
      </c>
      <c r="FI41">
        <v>0.17699999999999999</v>
      </c>
      <c r="FJ41">
        <v>1E-3</v>
      </c>
      <c r="FK41">
        <v>-2.319</v>
      </c>
      <c r="FL41">
        <v>-0.105</v>
      </c>
      <c r="FM41">
        <v>700</v>
      </c>
      <c r="FN41">
        <v>18</v>
      </c>
      <c r="FO41">
        <v>0.09</v>
      </c>
      <c r="FP41">
        <v>0.04</v>
      </c>
      <c r="FQ41">
        <v>55.985769214150103</v>
      </c>
      <c r="FR41">
        <v>-0.33922132462068483</v>
      </c>
      <c r="FS41">
        <v>0.19242529824491161</v>
      </c>
      <c r="FT41">
        <v>1</v>
      </c>
      <c r="FU41">
        <v>0.40038934798663273</v>
      </c>
      <c r="FV41">
        <v>1.0420841628539549E-3</v>
      </c>
      <c r="FW41">
        <v>2.3294084223119209E-3</v>
      </c>
      <c r="FX41">
        <v>1</v>
      </c>
      <c r="FY41">
        <v>2</v>
      </c>
      <c r="FZ41">
        <v>2</v>
      </c>
      <c r="GA41" t="s">
        <v>421</v>
      </c>
      <c r="GB41">
        <v>2.9158200000000001</v>
      </c>
      <c r="GC41">
        <v>2.8296899999999998</v>
      </c>
      <c r="GD41">
        <v>0.124332</v>
      </c>
      <c r="GE41">
        <v>0.13128200000000001</v>
      </c>
      <c r="GF41">
        <v>0.12465</v>
      </c>
      <c r="GG41">
        <v>9.4490000000000005E-2</v>
      </c>
      <c r="GH41">
        <v>22561.599999999999</v>
      </c>
      <c r="GI41">
        <v>27840.1</v>
      </c>
      <c r="GJ41">
        <v>23211</v>
      </c>
      <c r="GK41">
        <v>29389.8</v>
      </c>
      <c r="GL41">
        <v>27739.599999999999</v>
      </c>
      <c r="GM41">
        <v>37861.699999999997</v>
      </c>
      <c r="GN41">
        <v>32827.800000000003</v>
      </c>
      <c r="GO41">
        <v>43589.3</v>
      </c>
      <c r="GP41">
        <v>1.9228000000000001</v>
      </c>
      <c r="GQ41">
        <v>1.7253000000000001</v>
      </c>
      <c r="GR41">
        <v>-2.1129800000000001E-2</v>
      </c>
      <c r="GS41">
        <v>0</v>
      </c>
      <c r="GT41">
        <v>30.3569</v>
      </c>
      <c r="GU41">
        <v>999.9</v>
      </c>
      <c r="GV41">
        <v>38.6</v>
      </c>
      <c r="GW41">
        <v>41.5</v>
      </c>
      <c r="GX41">
        <v>31.2606</v>
      </c>
      <c r="GY41">
        <v>61.8977</v>
      </c>
      <c r="GZ41">
        <v>39.054499999999997</v>
      </c>
      <c r="HA41">
        <v>1</v>
      </c>
      <c r="HB41">
        <v>0.71865900000000005</v>
      </c>
      <c r="HC41">
        <v>5.1159999999999997</v>
      </c>
      <c r="HD41">
        <v>20.196100000000001</v>
      </c>
      <c r="HE41">
        <v>5.2112999999999996</v>
      </c>
      <c r="HF41">
        <v>11.8782</v>
      </c>
      <c r="HG41">
        <v>4.9836</v>
      </c>
      <c r="HH41">
        <v>3.2839999999999998</v>
      </c>
      <c r="HI41">
        <v>9999</v>
      </c>
      <c r="HJ41">
        <v>9999</v>
      </c>
      <c r="HK41">
        <v>9999</v>
      </c>
      <c r="HL41">
        <v>999.9</v>
      </c>
      <c r="HM41">
        <v>1.85486</v>
      </c>
      <c r="HN41">
        <v>1.8608100000000001</v>
      </c>
      <c r="HO41">
        <v>1.85822</v>
      </c>
      <c r="HP41">
        <v>1.85931</v>
      </c>
      <c r="HQ41">
        <v>1.85867</v>
      </c>
      <c r="HR41">
        <v>1.8591899999999999</v>
      </c>
      <c r="HS41">
        <v>1.8575699999999999</v>
      </c>
      <c r="HT41">
        <v>1.8609100000000001</v>
      </c>
      <c r="HU41">
        <v>5</v>
      </c>
      <c r="HV41">
        <v>0</v>
      </c>
      <c r="HW41">
        <v>0</v>
      </c>
      <c r="HX41">
        <v>0</v>
      </c>
      <c r="HY41" t="s">
        <v>422</v>
      </c>
      <c r="HZ41" t="s">
        <v>423</v>
      </c>
      <c r="IA41" t="s">
        <v>424</v>
      </c>
      <c r="IB41" t="s">
        <v>424</v>
      </c>
      <c r="IC41" t="s">
        <v>424</v>
      </c>
      <c r="ID41" t="s">
        <v>424</v>
      </c>
      <c r="IE41">
        <v>0</v>
      </c>
      <c r="IF41">
        <v>100</v>
      </c>
      <c r="IG41">
        <v>100</v>
      </c>
      <c r="IH41">
        <v>-2.1619999999999999</v>
      </c>
      <c r="II41">
        <v>6.4600000000000005E-2</v>
      </c>
      <c r="IJ41">
        <v>-0.20433945489660091</v>
      </c>
      <c r="IK41">
        <v>-4.1229525807901877E-3</v>
      </c>
      <c r="IL41">
        <v>1.8448211998558991E-6</v>
      </c>
      <c r="IM41">
        <v>-3.7020276670297668E-10</v>
      </c>
      <c r="IN41">
        <v>-0.18224004249231479</v>
      </c>
      <c r="IO41">
        <v>-1.3488639696665739E-2</v>
      </c>
      <c r="IP41">
        <v>1.1588640342490499E-3</v>
      </c>
      <c r="IQ41">
        <v>-1.0624341560077559E-5</v>
      </c>
      <c r="IR41">
        <v>2</v>
      </c>
      <c r="IS41">
        <v>1915</v>
      </c>
      <c r="IT41">
        <v>1</v>
      </c>
      <c r="IU41">
        <v>42</v>
      </c>
      <c r="IV41">
        <v>0.6</v>
      </c>
      <c r="IW41">
        <v>0.6</v>
      </c>
      <c r="IX41">
        <v>1.56738</v>
      </c>
      <c r="IY41">
        <v>2.4682599999999999</v>
      </c>
      <c r="IZ41">
        <v>1.49414</v>
      </c>
      <c r="JA41">
        <v>2.2900399999999999</v>
      </c>
      <c r="JB41">
        <v>1.54419</v>
      </c>
      <c r="JC41">
        <v>2.47437</v>
      </c>
      <c r="JD41">
        <v>45.863199999999999</v>
      </c>
      <c r="JE41">
        <v>23.8598</v>
      </c>
      <c r="JF41">
        <v>18</v>
      </c>
      <c r="JG41">
        <v>512.37400000000002</v>
      </c>
      <c r="JH41">
        <v>410.41199999999998</v>
      </c>
      <c r="JI41">
        <v>23.455500000000001</v>
      </c>
      <c r="JJ41">
        <v>36.089399999999998</v>
      </c>
      <c r="JK41">
        <v>30.0002</v>
      </c>
      <c r="JL41">
        <v>36.007800000000003</v>
      </c>
      <c r="JM41">
        <v>35.983499999999999</v>
      </c>
      <c r="JN41">
        <v>31.447700000000001</v>
      </c>
      <c r="JO41">
        <v>42.116700000000002</v>
      </c>
      <c r="JP41">
        <v>0</v>
      </c>
      <c r="JQ41">
        <v>23.441299999999998</v>
      </c>
      <c r="JR41">
        <v>700</v>
      </c>
      <c r="JS41">
        <v>18.6281</v>
      </c>
      <c r="JT41">
        <v>97.352699999999999</v>
      </c>
      <c r="JU41">
        <v>97.994200000000006</v>
      </c>
    </row>
    <row r="42" spans="1:281" x14ac:dyDescent="0.25">
      <c r="A42">
        <v>26</v>
      </c>
      <c r="B42">
        <v>1691164696.5</v>
      </c>
      <c r="C42">
        <v>5450.9000000953674</v>
      </c>
      <c r="D42" t="s">
        <v>547</v>
      </c>
      <c r="E42" t="s">
        <v>548</v>
      </c>
      <c r="F42" t="s">
        <v>413</v>
      </c>
      <c r="G42" t="s">
        <v>415</v>
      </c>
      <c r="H42" t="s">
        <v>493</v>
      </c>
      <c r="I42" t="s">
        <v>415</v>
      </c>
      <c r="J42">
        <v>1691164696.5</v>
      </c>
      <c r="K42">
        <f t="shared" si="0"/>
        <v>5.8779103028734807E-3</v>
      </c>
      <c r="L42">
        <f t="shared" si="1"/>
        <v>5.8779103028734809</v>
      </c>
      <c r="M42">
        <f t="shared" si="2"/>
        <v>56.249054601412013</v>
      </c>
      <c r="N42">
        <f t="shared" si="3"/>
        <v>826.64200000000005</v>
      </c>
      <c r="O42">
        <f t="shared" si="4"/>
        <v>542.51965448507269</v>
      </c>
      <c r="P42">
        <f t="shared" si="5"/>
        <v>53.834619726342581</v>
      </c>
      <c r="Q42">
        <f t="shared" si="6"/>
        <v>82.028286628733994</v>
      </c>
      <c r="R42">
        <f t="shared" si="7"/>
        <v>0.35924594022647438</v>
      </c>
      <c r="S42">
        <f t="shared" si="8"/>
        <v>2.9125016529066747</v>
      </c>
      <c r="T42">
        <f t="shared" si="9"/>
        <v>0.33631922181179763</v>
      </c>
      <c r="U42">
        <f t="shared" si="10"/>
        <v>0.21213734241766613</v>
      </c>
      <c r="V42">
        <f t="shared" si="11"/>
        <v>344.35259999340127</v>
      </c>
      <c r="W42">
        <f t="shared" si="12"/>
        <v>30.62680581201387</v>
      </c>
      <c r="X42">
        <f t="shared" si="13"/>
        <v>30.020299999999999</v>
      </c>
      <c r="Y42">
        <f t="shared" si="14"/>
        <v>4.2654200470999557</v>
      </c>
      <c r="Z42">
        <f t="shared" si="15"/>
        <v>60.388347502170213</v>
      </c>
      <c r="AA42">
        <f t="shared" si="16"/>
        <v>2.5910631280604997</v>
      </c>
      <c r="AB42">
        <f t="shared" si="17"/>
        <v>4.2906673807680908</v>
      </c>
      <c r="AC42">
        <f t="shared" si="18"/>
        <v>1.674356919039456</v>
      </c>
      <c r="AD42">
        <f t="shared" si="19"/>
        <v>-259.21584435672048</v>
      </c>
      <c r="AE42">
        <f t="shared" si="20"/>
        <v>16.141531520662991</v>
      </c>
      <c r="AF42">
        <f t="shared" si="21"/>
        <v>1.2331784689968497</v>
      </c>
      <c r="AG42">
        <f t="shared" si="22"/>
        <v>102.51146562634065</v>
      </c>
      <c r="AH42">
        <v>0</v>
      </c>
      <c r="AI42">
        <v>0</v>
      </c>
      <c r="AJ42">
        <f t="shared" si="23"/>
        <v>1</v>
      </c>
      <c r="AK42">
        <f t="shared" si="24"/>
        <v>0</v>
      </c>
      <c r="AL42">
        <f t="shared" si="25"/>
        <v>51827.579718904875</v>
      </c>
      <c r="AM42" t="s">
        <v>416</v>
      </c>
      <c r="AN42">
        <v>10235.299999999999</v>
      </c>
      <c r="AO42">
        <v>594.051923076923</v>
      </c>
      <c r="AP42">
        <v>2007.77</v>
      </c>
      <c r="AQ42">
        <f t="shared" si="26"/>
        <v>0.70412351859180933</v>
      </c>
      <c r="AR42">
        <v>-0.54275787784279261</v>
      </c>
      <c r="AS42" t="s">
        <v>549</v>
      </c>
      <c r="AT42">
        <v>10186.5</v>
      </c>
      <c r="AU42">
        <v>651.6160000000001</v>
      </c>
      <c r="AV42">
        <v>1093.0298693473601</v>
      </c>
      <c r="AW42">
        <f t="shared" si="27"/>
        <v>0.40384428799820893</v>
      </c>
      <c r="AX42">
        <v>0.5</v>
      </c>
      <c r="AY42">
        <f t="shared" si="28"/>
        <v>1513.0868999967006</v>
      </c>
      <c r="AZ42">
        <f t="shared" si="29"/>
        <v>56.249054601412013</v>
      </c>
      <c r="BA42">
        <f t="shared" si="30"/>
        <v>305.52575090429235</v>
      </c>
      <c r="BB42">
        <f t="shared" si="31"/>
        <v>3.7533741439026831E-2</v>
      </c>
      <c r="BC42">
        <f t="shared" si="32"/>
        <v>0.83688484304534549</v>
      </c>
      <c r="BD42">
        <f t="shared" si="33"/>
        <v>476.15020725020076</v>
      </c>
      <c r="BE42" t="s">
        <v>550</v>
      </c>
      <c r="BF42">
        <v>510.04</v>
      </c>
      <c r="BG42">
        <f t="shared" si="34"/>
        <v>510.04</v>
      </c>
      <c r="BH42">
        <f t="shared" si="35"/>
        <v>0.53337048300012047</v>
      </c>
      <c r="BI42">
        <f t="shared" si="36"/>
        <v>0.75715529987083607</v>
      </c>
      <c r="BJ42">
        <f t="shared" si="37"/>
        <v>0.61075102365088496</v>
      </c>
      <c r="BK42">
        <f t="shared" si="38"/>
        <v>0.88463602980184941</v>
      </c>
      <c r="BL42">
        <f t="shared" si="39"/>
        <v>0.64704564904733308</v>
      </c>
      <c r="BM42">
        <f t="shared" si="40"/>
        <v>0.59264887471474181</v>
      </c>
      <c r="BN42">
        <f t="shared" si="41"/>
        <v>0.40735112528525819</v>
      </c>
      <c r="BO42">
        <v>12519</v>
      </c>
      <c r="BP42">
        <v>290.00000000000011</v>
      </c>
      <c r="BQ42">
        <v>953.2</v>
      </c>
      <c r="BR42">
        <v>275</v>
      </c>
      <c r="BS42">
        <v>10186.5</v>
      </c>
      <c r="BT42">
        <v>955.67</v>
      </c>
      <c r="BU42">
        <v>-2.4700000000000002</v>
      </c>
      <c r="BV42">
        <v>300.00000000000011</v>
      </c>
      <c r="BW42">
        <v>24.2</v>
      </c>
      <c r="BX42">
        <v>1093.0298693473601</v>
      </c>
      <c r="BY42">
        <v>2.330444317468698</v>
      </c>
      <c r="BZ42">
        <v>-139.92383260569679</v>
      </c>
      <c r="CA42">
        <v>2.114211400362509</v>
      </c>
      <c r="CB42">
        <v>0.99364809387145203</v>
      </c>
      <c r="CC42">
        <v>-6.9591728587319367E-3</v>
      </c>
      <c r="CD42">
        <v>289.99999999999989</v>
      </c>
      <c r="CE42">
        <v>943.76</v>
      </c>
      <c r="CF42">
        <v>635</v>
      </c>
      <c r="CG42">
        <v>10170.1</v>
      </c>
      <c r="CH42">
        <v>955.45</v>
      </c>
      <c r="CI42">
        <v>-11.69</v>
      </c>
      <c r="CW42">
        <f t="shared" si="42"/>
        <v>1799.88</v>
      </c>
      <c r="CX42">
        <f t="shared" si="43"/>
        <v>1513.0868999967006</v>
      </c>
      <c r="CY42">
        <f t="shared" si="44"/>
        <v>0.84065987732332181</v>
      </c>
      <c r="CZ42">
        <f t="shared" si="45"/>
        <v>0.1913197546466438</v>
      </c>
      <c r="DA42">
        <v>6</v>
      </c>
      <c r="DB42">
        <v>0.5</v>
      </c>
      <c r="DC42" t="s">
        <v>419</v>
      </c>
      <c r="DD42">
        <v>2</v>
      </c>
      <c r="DE42">
        <v>1691164696.5</v>
      </c>
      <c r="DF42">
        <v>826.64200000000005</v>
      </c>
      <c r="DG42">
        <v>899.94899999999996</v>
      </c>
      <c r="DH42">
        <v>26.111499999999999</v>
      </c>
      <c r="DI42">
        <v>19.244299999999999</v>
      </c>
      <c r="DJ42">
        <v>828.54300000000001</v>
      </c>
      <c r="DK42">
        <v>26.046299999999999</v>
      </c>
      <c r="DL42">
        <v>500.154</v>
      </c>
      <c r="DM42">
        <v>99.130499999999998</v>
      </c>
      <c r="DN42">
        <v>0.100227</v>
      </c>
      <c r="DO42">
        <v>30.123100000000001</v>
      </c>
      <c r="DP42">
        <v>30.020299999999999</v>
      </c>
      <c r="DQ42">
        <v>999.9</v>
      </c>
      <c r="DR42">
        <v>0</v>
      </c>
      <c r="DS42">
        <v>0</v>
      </c>
      <c r="DT42">
        <v>9990</v>
      </c>
      <c r="DU42">
        <v>0</v>
      </c>
      <c r="DV42">
        <v>1549.57</v>
      </c>
      <c r="DW42">
        <v>-73.306899999999999</v>
      </c>
      <c r="DX42">
        <v>848.80600000000004</v>
      </c>
      <c r="DY42">
        <v>917.60799999999995</v>
      </c>
      <c r="DZ42">
        <v>6.8672300000000002</v>
      </c>
      <c r="EA42">
        <v>899.94899999999996</v>
      </c>
      <c r="EB42">
        <v>19.244299999999999</v>
      </c>
      <c r="EC42">
        <v>2.5884499999999999</v>
      </c>
      <c r="ED42">
        <v>1.9077</v>
      </c>
      <c r="EE42">
        <v>21.593599999999999</v>
      </c>
      <c r="EF42">
        <v>16.6983</v>
      </c>
      <c r="EG42">
        <v>1799.88</v>
      </c>
      <c r="EH42">
        <v>0.97800200000000004</v>
      </c>
      <c r="EI42">
        <v>2.1998500000000001E-2</v>
      </c>
      <c r="EJ42">
        <v>0</v>
      </c>
      <c r="EK42">
        <v>655.58500000000004</v>
      </c>
      <c r="EL42">
        <v>0.100005</v>
      </c>
      <c r="EM42">
        <v>15917.3</v>
      </c>
      <c r="EN42">
        <v>14861.5</v>
      </c>
      <c r="EO42">
        <v>47.875</v>
      </c>
      <c r="EP42">
        <v>49.561999999999998</v>
      </c>
      <c r="EQ42">
        <v>48.625</v>
      </c>
      <c r="ER42">
        <v>48.5</v>
      </c>
      <c r="ES42">
        <v>49</v>
      </c>
      <c r="ET42">
        <v>1760.19</v>
      </c>
      <c r="EU42">
        <v>39.590000000000003</v>
      </c>
      <c r="EV42">
        <v>0</v>
      </c>
      <c r="EW42">
        <v>105.2000000476837</v>
      </c>
      <c r="EX42">
        <v>0</v>
      </c>
      <c r="EY42">
        <v>651.6160000000001</v>
      </c>
      <c r="EZ42">
        <v>2.0665382744916889</v>
      </c>
      <c r="FA42">
        <v>-57.330769576002893</v>
      </c>
      <c r="FB42">
        <v>15901.088</v>
      </c>
      <c r="FC42">
        <v>15</v>
      </c>
      <c r="FD42">
        <v>1691164662</v>
      </c>
      <c r="FE42" t="s">
        <v>551</v>
      </c>
      <c r="FF42">
        <v>1691164649.5</v>
      </c>
      <c r="FG42">
        <v>1691164662</v>
      </c>
      <c r="FH42">
        <v>32</v>
      </c>
      <c r="FI42">
        <v>0.66300000000000003</v>
      </c>
      <c r="FJ42">
        <v>0</v>
      </c>
      <c r="FK42">
        <v>-2.0310000000000001</v>
      </c>
      <c r="FL42">
        <v>-9.7000000000000003E-2</v>
      </c>
      <c r="FM42">
        <v>900</v>
      </c>
      <c r="FN42">
        <v>19</v>
      </c>
      <c r="FO42">
        <v>0.1</v>
      </c>
      <c r="FP42">
        <v>0.03</v>
      </c>
      <c r="FQ42">
        <v>55.999437353720033</v>
      </c>
      <c r="FR42">
        <v>-0.60645107544260635</v>
      </c>
      <c r="FS42">
        <v>0.12590193522442791</v>
      </c>
      <c r="FT42">
        <v>1</v>
      </c>
      <c r="FU42">
        <v>0.3606459562062726</v>
      </c>
      <c r="FV42">
        <v>-1.5397249528318649E-2</v>
      </c>
      <c r="FW42">
        <v>1.216403913299834E-3</v>
      </c>
      <c r="FX42">
        <v>1</v>
      </c>
      <c r="FY42">
        <v>2</v>
      </c>
      <c r="FZ42">
        <v>2</v>
      </c>
      <c r="GA42" t="s">
        <v>421</v>
      </c>
      <c r="GB42">
        <v>2.91553</v>
      </c>
      <c r="GC42">
        <v>2.8300200000000002</v>
      </c>
      <c r="GD42">
        <v>0.149668</v>
      </c>
      <c r="GE42">
        <v>0.155249</v>
      </c>
      <c r="GF42">
        <v>0.124682</v>
      </c>
      <c r="GG42">
        <v>9.6934500000000007E-2</v>
      </c>
      <c r="GH42">
        <v>21909.200000000001</v>
      </c>
      <c r="GI42">
        <v>27070</v>
      </c>
      <c r="GJ42">
        <v>23212.1</v>
      </c>
      <c r="GK42">
        <v>29388.6</v>
      </c>
      <c r="GL42">
        <v>27743.200000000001</v>
      </c>
      <c r="GM42">
        <v>37761</v>
      </c>
      <c r="GN42">
        <v>32830.400000000001</v>
      </c>
      <c r="GO42">
        <v>43587</v>
      </c>
      <c r="GP42">
        <v>1.9225000000000001</v>
      </c>
      <c r="GQ42">
        <v>1.7262</v>
      </c>
      <c r="GR42">
        <v>-3.3080600000000002E-2</v>
      </c>
      <c r="GS42">
        <v>0</v>
      </c>
      <c r="GT42">
        <v>30.558299999999999</v>
      </c>
      <c r="GU42">
        <v>999.9</v>
      </c>
      <c r="GV42">
        <v>38.4</v>
      </c>
      <c r="GW42">
        <v>41.6</v>
      </c>
      <c r="GX42">
        <v>31.265499999999999</v>
      </c>
      <c r="GY42">
        <v>61.637700000000002</v>
      </c>
      <c r="GZ42">
        <v>39.607399999999998</v>
      </c>
      <c r="HA42">
        <v>1</v>
      </c>
      <c r="HB42">
        <v>0.72555899999999995</v>
      </c>
      <c r="HC42">
        <v>6.2268600000000003</v>
      </c>
      <c r="HD42">
        <v>20.164300000000001</v>
      </c>
      <c r="HE42">
        <v>5.2112999999999996</v>
      </c>
      <c r="HF42">
        <v>11.8782</v>
      </c>
      <c r="HG42">
        <v>4.9842000000000004</v>
      </c>
      <c r="HH42">
        <v>3.2839999999999998</v>
      </c>
      <c r="HI42">
        <v>9999</v>
      </c>
      <c r="HJ42">
        <v>9999</v>
      </c>
      <c r="HK42">
        <v>9999</v>
      </c>
      <c r="HL42">
        <v>999.9</v>
      </c>
      <c r="HM42">
        <v>1.85486</v>
      </c>
      <c r="HN42">
        <v>1.86086</v>
      </c>
      <c r="HO42">
        <v>1.85825</v>
      </c>
      <c r="HP42">
        <v>1.85941</v>
      </c>
      <c r="HQ42">
        <v>1.85873</v>
      </c>
      <c r="HR42">
        <v>1.85928</v>
      </c>
      <c r="HS42">
        <v>1.8575999999999999</v>
      </c>
      <c r="HT42">
        <v>1.8609599999999999</v>
      </c>
      <c r="HU42">
        <v>5</v>
      </c>
      <c r="HV42">
        <v>0</v>
      </c>
      <c r="HW42">
        <v>0</v>
      </c>
      <c r="HX42">
        <v>0</v>
      </c>
      <c r="HY42" t="s">
        <v>422</v>
      </c>
      <c r="HZ42" t="s">
        <v>423</v>
      </c>
      <c r="IA42" t="s">
        <v>424</v>
      </c>
      <c r="IB42" t="s">
        <v>424</v>
      </c>
      <c r="IC42" t="s">
        <v>424</v>
      </c>
      <c r="ID42" t="s">
        <v>424</v>
      </c>
      <c r="IE42">
        <v>0</v>
      </c>
      <c r="IF42">
        <v>100</v>
      </c>
      <c r="IG42">
        <v>100</v>
      </c>
      <c r="IH42">
        <v>-1.901</v>
      </c>
      <c r="II42">
        <v>6.5199999999999994E-2</v>
      </c>
      <c r="IJ42">
        <v>0.45878878135095169</v>
      </c>
      <c r="IK42">
        <v>-4.1229525807901877E-3</v>
      </c>
      <c r="IL42">
        <v>1.8448211998558991E-6</v>
      </c>
      <c r="IM42">
        <v>-3.7020276670297668E-10</v>
      </c>
      <c r="IN42">
        <v>-0.1819583497503087</v>
      </c>
      <c r="IO42">
        <v>-1.3488639696665739E-2</v>
      </c>
      <c r="IP42">
        <v>1.1588640342490499E-3</v>
      </c>
      <c r="IQ42">
        <v>-1.0624341560077559E-5</v>
      </c>
      <c r="IR42">
        <v>2</v>
      </c>
      <c r="IS42">
        <v>1915</v>
      </c>
      <c r="IT42">
        <v>1</v>
      </c>
      <c r="IU42">
        <v>42</v>
      </c>
      <c r="IV42">
        <v>0.8</v>
      </c>
      <c r="IW42">
        <v>0.6</v>
      </c>
      <c r="IX42">
        <v>1.9250499999999999</v>
      </c>
      <c r="IY42">
        <v>2.4645999999999999</v>
      </c>
      <c r="IZ42">
        <v>1.49414</v>
      </c>
      <c r="JA42">
        <v>2.2900399999999999</v>
      </c>
      <c r="JB42">
        <v>1.54419</v>
      </c>
      <c r="JC42">
        <v>2.3083499999999999</v>
      </c>
      <c r="JD42">
        <v>45.892099999999999</v>
      </c>
      <c r="JE42">
        <v>23.842300000000002</v>
      </c>
      <c r="JF42">
        <v>18</v>
      </c>
      <c r="JG42">
        <v>512.24900000000002</v>
      </c>
      <c r="JH42">
        <v>411.08300000000003</v>
      </c>
      <c r="JI42">
        <v>22.447600000000001</v>
      </c>
      <c r="JJ42">
        <v>36.102899999999998</v>
      </c>
      <c r="JK42">
        <v>29.9999</v>
      </c>
      <c r="JL42">
        <v>36.017800000000001</v>
      </c>
      <c r="JM42">
        <v>35.996699999999997</v>
      </c>
      <c r="JN42">
        <v>38.595700000000001</v>
      </c>
      <c r="JO42">
        <v>39.751600000000003</v>
      </c>
      <c r="JP42">
        <v>0</v>
      </c>
      <c r="JQ42">
        <v>22.442299999999999</v>
      </c>
      <c r="JR42">
        <v>900</v>
      </c>
      <c r="JS42">
        <v>19.169699999999999</v>
      </c>
      <c r="JT42">
        <v>97.359200000000001</v>
      </c>
      <c r="JU42">
        <v>97.989500000000007</v>
      </c>
    </row>
    <row r="43" spans="1:281" x14ac:dyDescent="0.25">
      <c r="A43">
        <v>27</v>
      </c>
      <c r="B43">
        <v>1691164813.5</v>
      </c>
      <c r="C43">
        <v>5567.9000000953674</v>
      </c>
      <c r="D43" t="s">
        <v>552</v>
      </c>
      <c r="E43" t="s">
        <v>553</v>
      </c>
      <c r="F43" t="s">
        <v>413</v>
      </c>
      <c r="G43" t="s">
        <v>415</v>
      </c>
      <c r="H43" t="s">
        <v>493</v>
      </c>
      <c r="I43" t="s">
        <v>415</v>
      </c>
      <c r="J43">
        <v>1691164813.5</v>
      </c>
      <c r="K43">
        <f t="shared" si="0"/>
        <v>5.7250699249255356E-3</v>
      </c>
      <c r="L43">
        <f t="shared" si="1"/>
        <v>5.7250699249255357</v>
      </c>
      <c r="M43">
        <f t="shared" si="2"/>
        <v>55.007888429218113</v>
      </c>
      <c r="N43">
        <f t="shared" si="3"/>
        <v>1125.79</v>
      </c>
      <c r="O43">
        <f t="shared" si="4"/>
        <v>827.89368408104951</v>
      </c>
      <c r="P43">
        <f t="shared" si="5"/>
        <v>82.153720744298056</v>
      </c>
      <c r="Q43">
        <f t="shared" si="6"/>
        <v>111.71463082169001</v>
      </c>
      <c r="R43">
        <f t="shared" si="7"/>
        <v>0.34367566732557092</v>
      </c>
      <c r="S43">
        <f t="shared" si="8"/>
        <v>2.9125510454813512</v>
      </c>
      <c r="T43">
        <f t="shared" si="9"/>
        <v>0.32263112513297215</v>
      </c>
      <c r="U43">
        <f t="shared" si="10"/>
        <v>0.20342774664249588</v>
      </c>
      <c r="V43">
        <f t="shared" si="11"/>
        <v>344.3791999934017</v>
      </c>
      <c r="W43">
        <f t="shared" si="12"/>
        <v>30.560773446937539</v>
      </c>
      <c r="X43">
        <f t="shared" si="13"/>
        <v>30.0015</v>
      </c>
      <c r="Y43">
        <f t="shared" si="14"/>
        <v>4.2608168613183315</v>
      </c>
      <c r="Z43">
        <f t="shared" si="15"/>
        <v>60.039906503304586</v>
      </c>
      <c r="AA43">
        <f t="shared" si="16"/>
        <v>2.5604688939908002</v>
      </c>
      <c r="AB43">
        <f t="shared" si="17"/>
        <v>4.264611727617984</v>
      </c>
      <c r="AC43">
        <f t="shared" si="18"/>
        <v>1.7003479673275312</v>
      </c>
      <c r="AD43">
        <f t="shared" si="19"/>
        <v>-252.47558368921611</v>
      </c>
      <c r="AE43">
        <f t="shared" si="20"/>
        <v>2.4338325054417611</v>
      </c>
      <c r="AF43">
        <f t="shared" si="21"/>
        <v>0.18582152033575175</v>
      </c>
      <c r="AG43">
        <f t="shared" si="22"/>
        <v>94.523270329963111</v>
      </c>
      <c r="AH43">
        <v>0</v>
      </c>
      <c r="AI43">
        <v>0</v>
      </c>
      <c r="AJ43">
        <f t="shared" si="23"/>
        <v>1</v>
      </c>
      <c r="AK43">
        <f t="shared" si="24"/>
        <v>0</v>
      </c>
      <c r="AL43">
        <f t="shared" si="25"/>
        <v>51847.191319481513</v>
      </c>
      <c r="AM43" t="s">
        <v>416</v>
      </c>
      <c r="AN43">
        <v>10235.299999999999</v>
      </c>
      <c r="AO43">
        <v>594.051923076923</v>
      </c>
      <c r="AP43">
        <v>2007.77</v>
      </c>
      <c r="AQ43">
        <f t="shared" si="26"/>
        <v>0.70412351859180933</v>
      </c>
      <c r="AR43">
        <v>-0.54275787784279261</v>
      </c>
      <c r="AS43" t="s">
        <v>554</v>
      </c>
      <c r="AT43">
        <v>10184.5</v>
      </c>
      <c r="AU43">
        <v>652.3263461538462</v>
      </c>
      <c r="AV43">
        <v>1097.311493571377</v>
      </c>
      <c r="AW43">
        <f t="shared" si="27"/>
        <v>0.40552308986508012</v>
      </c>
      <c r="AX43">
        <v>0.5</v>
      </c>
      <c r="AY43">
        <f t="shared" si="28"/>
        <v>1513.2044999967009</v>
      </c>
      <c r="AZ43">
        <f t="shared" si="29"/>
        <v>55.007888429218113</v>
      </c>
      <c r="BA43">
        <f t="shared" si="30"/>
        <v>306.8196822182029</v>
      </c>
      <c r="BB43">
        <f t="shared" si="31"/>
        <v>3.6710600786068255E-2</v>
      </c>
      <c r="BC43">
        <f t="shared" si="32"/>
        <v>0.82971746105145505</v>
      </c>
      <c r="BD43">
        <f t="shared" si="33"/>
        <v>476.96093189571531</v>
      </c>
      <c r="BE43" t="s">
        <v>555</v>
      </c>
      <c r="BF43">
        <v>512.73</v>
      </c>
      <c r="BG43">
        <f t="shared" si="34"/>
        <v>512.73</v>
      </c>
      <c r="BH43">
        <f t="shared" si="35"/>
        <v>0.53273978901721186</v>
      </c>
      <c r="BI43">
        <f t="shared" si="36"/>
        <v>0.76120293288620577</v>
      </c>
      <c r="BJ43">
        <f t="shared" si="37"/>
        <v>0.60898605149602891</v>
      </c>
      <c r="BK43">
        <f t="shared" si="38"/>
        <v>0.88420603105536888</v>
      </c>
      <c r="BL43">
        <f t="shared" si="39"/>
        <v>0.64401702241101266</v>
      </c>
      <c r="BM43">
        <f t="shared" si="40"/>
        <v>0.59830724618118825</v>
      </c>
      <c r="BN43">
        <f t="shared" si="41"/>
        <v>0.40169275381881175</v>
      </c>
      <c r="BO43">
        <v>12521</v>
      </c>
      <c r="BP43">
        <v>290.00000000000011</v>
      </c>
      <c r="BQ43">
        <v>958.62</v>
      </c>
      <c r="BR43">
        <v>295</v>
      </c>
      <c r="BS43">
        <v>10184.5</v>
      </c>
      <c r="BT43">
        <v>960.34</v>
      </c>
      <c r="BU43">
        <v>-1.72</v>
      </c>
      <c r="BV43">
        <v>300.00000000000011</v>
      </c>
      <c r="BW43">
        <v>24.2</v>
      </c>
      <c r="BX43">
        <v>1097.311493571377</v>
      </c>
      <c r="BY43">
        <v>3.353737709591158</v>
      </c>
      <c r="BZ43">
        <v>-139.49784842943629</v>
      </c>
      <c r="CA43">
        <v>3.042279108564216</v>
      </c>
      <c r="CB43">
        <v>0.98685757216664494</v>
      </c>
      <c r="CC43">
        <v>-6.9587063403781999E-3</v>
      </c>
      <c r="CD43">
        <v>289.99999999999989</v>
      </c>
      <c r="CE43">
        <v>948.9</v>
      </c>
      <c r="CF43">
        <v>635</v>
      </c>
      <c r="CG43">
        <v>10169.1</v>
      </c>
      <c r="CH43">
        <v>960.13</v>
      </c>
      <c r="CI43">
        <v>-11.23</v>
      </c>
      <c r="CW43">
        <f t="shared" si="42"/>
        <v>1800.02</v>
      </c>
      <c r="CX43">
        <f t="shared" si="43"/>
        <v>1513.2044999967009</v>
      </c>
      <c r="CY43">
        <f t="shared" si="44"/>
        <v>0.84065982600010047</v>
      </c>
      <c r="CZ43">
        <f t="shared" si="45"/>
        <v>0.19131965200020096</v>
      </c>
      <c r="DA43">
        <v>6</v>
      </c>
      <c r="DB43">
        <v>0.5</v>
      </c>
      <c r="DC43" t="s">
        <v>419</v>
      </c>
      <c r="DD43">
        <v>2</v>
      </c>
      <c r="DE43">
        <v>1691164813.5</v>
      </c>
      <c r="DF43">
        <v>1125.79</v>
      </c>
      <c r="DG43">
        <v>1199.56</v>
      </c>
      <c r="DH43">
        <v>25.802800000000001</v>
      </c>
      <c r="DI43">
        <v>19.107600000000001</v>
      </c>
      <c r="DJ43">
        <v>1127.92</v>
      </c>
      <c r="DK43">
        <v>25.742899999999999</v>
      </c>
      <c r="DL43">
        <v>499.822</v>
      </c>
      <c r="DM43">
        <v>99.133300000000006</v>
      </c>
      <c r="DN43">
        <v>9.8910999999999999E-2</v>
      </c>
      <c r="DO43">
        <v>30.016999999999999</v>
      </c>
      <c r="DP43">
        <v>30.0015</v>
      </c>
      <c r="DQ43">
        <v>999.9</v>
      </c>
      <c r="DR43">
        <v>0</v>
      </c>
      <c r="DS43">
        <v>0</v>
      </c>
      <c r="DT43">
        <v>9990</v>
      </c>
      <c r="DU43">
        <v>0</v>
      </c>
      <c r="DV43">
        <v>1565.3</v>
      </c>
      <c r="DW43">
        <v>-73.767499999999998</v>
      </c>
      <c r="DX43">
        <v>1155.6099999999999</v>
      </c>
      <c r="DY43">
        <v>1222.93</v>
      </c>
      <c r="DZ43">
        <v>6.6951499999999999</v>
      </c>
      <c r="EA43">
        <v>1199.56</v>
      </c>
      <c r="EB43">
        <v>19.107600000000001</v>
      </c>
      <c r="EC43">
        <v>2.5579100000000001</v>
      </c>
      <c r="ED43">
        <v>1.8942000000000001</v>
      </c>
      <c r="EE43">
        <v>21.399799999999999</v>
      </c>
      <c r="EF43">
        <v>16.586600000000001</v>
      </c>
      <c r="EG43">
        <v>1800.02</v>
      </c>
      <c r="EH43">
        <v>0.97800500000000001</v>
      </c>
      <c r="EI43">
        <v>2.1994799999999998E-2</v>
      </c>
      <c r="EJ43">
        <v>0</v>
      </c>
      <c r="EK43">
        <v>648.86500000000001</v>
      </c>
      <c r="EL43">
        <v>0.100005</v>
      </c>
      <c r="EM43">
        <v>15932.6</v>
      </c>
      <c r="EN43">
        <v>14862.7</v>
      </c>
      <c r="EO43">
        <v>48</v>
      </c>
      <c r="EP43">
        <v>49.686999999999998</v>
      </c>
      <c r="EQ43">
        <v>48.75</v>
      </c>
      <c r="ER43">
        <v>48.561999999999998</v>
      </c>
      <c r="ES43">
        <v>49.125</v>
      </c>
      <c r="ET43">
        <v>1760.33</v>
      </c>
      <c r="EU43">
        <v>39.590000000000003</v>
      </c>
      <c r="EV43">
        <v>0</v>
      </c>
      <c r="EW43">
        <v>114.6000001430511</v>
      </c>
      <c r="EX43">
        <v>0</v>
      </c>
      <c r="EY43">
        <v>652.3263461538462</v>
      </c>
      <c r="EZ43">
        <v>-3.9591452609774471</v>
      </c>
      <c r="FA43">
        <v>-63.018803993844607</v>
      </c>
      <c r="FB43">
        <v>15931.765384615381</v>
      </c>
      <c r="FC43">
        <v>15</v>
      </c>
      <c r="FD43">
        <v>1691164775</v>
      </c>
      <c r="FE43" t="s">
        <v>556</v>
      </c>
      <c r="FF43">
        <v>1691164774.5</v>
      </c>
      <c r="FG43">
        <v>1691164775</v>
      </c>
      <c r="FH43">
        <v>33</v>
      </c>
      <c r="FI43">
        <v>0.24199999999999999</v>
      </c>
      <c r="FJ43">
        <v>2E-3</v>
      </c>
      <c r="FK43">
        <v>-2.2330000000000001</v>
      </c>
      <c r="FL43">
        <v>-9.1999999999999998E-2</v>
      </c>
      <c r="FM43">
        <v>1200</v>
      </c>
      <c r="FN43">
        <v>19</v>
      </c>
      <c r="FO43">
        <v>0.12</v>
      </c>
      <c r="FP43">
        <v>0.05</v>
      </c>
      <c r="FQ43">
        <v>55.68475683179814</v>
      </c>
      <c r="FR43">
        <v>-0.69279846390164834</v>
      </c>
      <c r="FS43">
        <v>0.1836423399172914</v>
      </c>
      <c r="FT43">
        <v>1</v>
      </c>
      <c r="FU43">
        <v>0.34377757186334501</v>
      </c>
      <c r="FV43">
        <v>3.0447126720716009E-2</v>
      </c>
      <c r="FW43">
        <v>3.0566925061943119E-3</v>
      </c>
      <c r="FX43">
        <v>1</v>
      </c>
      <c r="FY43">
        <v>2</v>
      </c>
      <c r="FZ43">
        <v>2</v>
      </c>
      <c r="GA43" t="s">
        <v>421</v>
      </c>
      <c r="GB43">
        <v>2.9146299999999998</v>
      </c>
      <c r="GC43">
        <v>2.8287</v>
      </c>
      <c r="GD43">
        <v>0.18237800000000001</v>
      </c>
      <c r="GE43">
        <v>0.186303</v>
      </c>
      <c r="GF43">
        <v>0.123652</v>
      </c>
      <c r="GG43">
        <v>9.6434099999999995E-2</v>
      </c>
      <c r="GH43">
        <v>21064.9</v>
      </c>
      <c r="GI43">
        <v>26071.1</v>
      </c>
      <c r="GJ43">
        <v>23212.2</v>
      </c>
      <c r="GK43">
        <v>29386.9</v>
      </c>
      <c r="GL43">
        <v>27777</v>
      </c>
      <c r="GM43">
        <v>37783.699999999997</v>
      </c>
      <c r="GN43">
        <v>32828.199999999997</v>
      </c>
      <c r="GO43">
        <v>43585</v>
      </c>
      <c r="GP43">
        <v>1.921</v>
      </c>
      <c r="GQ43">
        <v>1.7272000000000001</v>
      </c>
      <c r="GR43">
        <v>-3.8474800000000003E-2</v>
      </c>
      <c r="GS43">
        <v>0</v>
      </c>
      <c r="GT43">
        <v>30.627300000000002</v>
      </c>
      <c r="GU43">
        <v>999.9</v>
      </c>
      <c r="GV43">
        <v>38.200000000000003</v>
      </c>
      <c r="GW43">
        <v>41.7</v>
      </c>
      <c r="GX43">
        <v>31.265799999999999</v>
      </c>
      <c r="GY43">
        <v>61.997799999999998</v>
      </c>
      <c r="GZ43">
        <v>39.587299999999999</v>
      </c>
      <c r="HA43">
        <v>1</v>
      </c>
      <c r="HB43">
        <v>0.72740899999999997</v>
      </c>
      <c r="HC43">
        <v>5.8737300000000001</v>
      </c>
      <c r="HD43">
        <v>20.176500000000001</v>
      </c>
      <c r="HE43">
        <v>5.2100999999999997</v>
      </c>
      <c r="HF43">
        <v>11.8782</v>
      </c>
      <c r="HG43">
        <v>4.9816000000000003</v>
      </c>
      <c r="HH43">
        <v>3.2839999999999998</v>
      </c>
      <c r="HI43">
        <v>9999</v>
      </c>
      <c r="HJ43">
        <v>9999</v>
      </c>
      <c r="HK43">
        <v>9999</v>
      </c>
      <c r="HL43">
        <v>999.9</v>
      </c>
      <c r="HM43">
        <v>1.85486</v>
      </c>
      <c r="HN43">
        <v>1.86084</v>
      </c>
      <c r="HO43">
        <v>1.85822</v>
      </c>
      <c r="HP43">
        <v>1.8593900000000001</v>
      </c>
      <c r="HQ43">
        <v>1.8587499999999999</v>
      </c>
      <c r="HR43">
        <v>1.85928</v>
      </c>
      <c r="HS43">
        <v>1.8575999999999999</v>
      </c>
      <c r="HT43">
        <v>1.8609599999999999</v>
      </c>
      <c r="HU43">
        <v>5</v>
      </c>
      <c r="HV43">
        <v>0</v>
      </c>
      <c r="HW43">
        <v>0</v>
      </c>
      <c r="HX43">
        <v>0</v>
      </c>
      <c r="HY43" t="s">
        <v>422</v>
      </c>
      <c r="HZ43" t="s">
        <v>423</v>
      </c>
      <c r="IA43" t="s">
        <v>424</v>
      </c>
      <c r="IB43" t="s">
        <v>424</v>
      </c>
      <c r="IC43" t="s">
        <v>424</v>
      </c>
      <c r="ID43" t="s">
        <v>424</v>
      </c>
      <c r="IE43">
        <v>0</v>
      </c>
      <c r="IF43">
        <v>100</v>
      </c>
      <c r="IG43">
        <v>100</v>
      </c>
      <c r="IH43">
        <v>-2.13</v>
      </c>
      <c r="II43">
        <v>5.9900000000000002E-2</v>
      </c>
      <c r="IJ43">
        <v>0.70087989144108009</v>
      </c>
      <c r="IK43">
        <v>-4.1229525807901877E-3</v>
      </c>
      <c r="IL43">
        <v>1.8448211998558991E-6</v>
      </c>
      <c r="IM43">
        <v>-3.7020276670297668E-10</v>
      </c>
      <c r="IN43">
        <v>-0.1796759614045966</v>
      </c>
      <c r="IO43">
        <v>-1.3488639696665739E-2</v>
      </c>
      <c r="IP43">
        <v>1.1588640342490499E-3</v>
      </c>
      <c r="IQ43">
        <v>-1.0624341560077559E-5</v>
      </c>
      <c r="IR43">
        <v>2</v>
      </c>
      <c r="IS43">
        <v>1915</v>
      </c>
      <c r="IT43">
        <v>1</v>
      </c>
      <c r="IU43">
        <v>42</v>
      </c>
      <c r="IV43">
        <v>0.7</v>
      </c>
      <c r="IW43">
        <v>0.6</v>
      </c>
      <c r="IX43">
        <v>2.4328599999999998</v>
      </c>
      <c r="IY43">
        <v>2.4536099999999998</v>
      </c>
      <c r="IZ43">
        <v>1.49414</v>
      </c>
      <c r="JA43">
        <v>2.2900399999999999</v>
      </c>
      <c r="JB43">
        <v>1.54419</v>
      </c>
      <c r="JC43">
        <v>2.3706100000000001</v>
      </c>
      <c r="JD43">
        <v>45.892099999999999</v>
      </c>
      <c r="JE43">
        <v>23.851099999999999</v>
      </c>
      <c r="JF43">
        <v>18</v>
      </c>
      <c r="JG43">
        <v>511.548</v>
      </c>
      <c r="JH43">
        <v>411.99599999999998</v>
      </c>
      <c r="JI43">
        <v>22.538599999999999</v>
      </c>
      <c r="JJ43">
        <v>36.160899999999998</v>
      </c>
      <c r="JK43">
        <v>30.000399999999999</v>
      </c>
      <c r="JL43">
        <v>36.057499999999997</v>
      </c>
      <c r="JM43">
        <v>36.0364</v>
      </c>
      <c r="JN43">
        <v>48.753999999999998</v>
      </c>
      <c r="JO43">
        <v>39.574399999999997</v>
      </c>
      <c r="JP43">
        <v>0</v>
      </c>
      <c r="JQ43">
        <v>22.5412</v>
      </c>
      <c r="JR43">
        <v>1200</v>
      </c>
      <c r="JS43">
        <v>19.226600000000001</v>
      </c>
      <c r="JT43">
        <v>97.355500000000006</v>
      </c>
      <c r="JU43">
        <v>97.9846</v>
      </c>
    </row>
    <row r="44" spans="1:281" x14ac:dyDescent="0.25">
      <c r="A44">
        <v>28</v>
      </c>
      <c r="B44">
        <v>1691164979.0999999</v>
      </c>
      <c r="C44">
        <v>5733.5</v>
      </c>
      <c r="D44" t="s">
        <v>557</v>
      </c>
      <c r="E44" t="s">
        <v>558</v>
      </c>
      <c r="F44" t="s">
        <v>413</v>
      </c>
      <c r="G44" t="s">
        <v>415</v>
      </c>
      <c r="H44" t="s">
        <v>493</v>
      </c>
      <c r="I44" t="s">
        <v>415</v>
      </c>
      <c r="J44">
        <v>1691164979.0999999</v>
      </c>
      <c r="K44">
        <f t="shared" si="0"/>
        <v>5.0897094440087807E-3</v>
      </c>
      <c r="L44">
        <f t="shared" si="1"/>
        <v>5.0897094440087809</v>
      </c>
      <c r="M44">
        <f t="shared" si="2"/>
        <v>55.140662982965281</v>
      </c>
      <c r="N44">
        <f t="shared" si="3"/>
        <v>1425.14</v>
      </c>
      <c r="O44">
        <f t="shared" si="4"/>
        <v>1079.2059919937658</v>
      </c>
      <c r="P44">
        <f t="shared" si="5"/>
        <v>107.1033024719618</v>
      </c>
      <c r="Q44">
        <f t="shared" si="6"/>
        <v>141.43472295117999</v>
      </c>
      <c r="R44">
        <f t="shared" si="7"/>
        <v>0.29831887763155757</v>
      </c>
      <c r="S44">
        <f t="shared" si="8"/>
        <v>2.9131491578713891</v>
      </c>
      <c r="T44">
        <f t="shared" si="9"/>
        <v>0.28232686832624793</v>
      </c>
      <c r="U44">
        <f t="shared" si="10"/>
        <v>0.17781963693235614</v>
      </c>
      <c r="V44">
        <f t="shared" si="11"/>
        <v>344.37729999340172</v>
      </c>
      <c r="W44">
        <f t="shared" si="12"/>
        <v>30.674837156986221</v>
      </c>
      <c r="X44">
        <f t="shared" si="13"/>
        <v>30.042899999999999</v>
      </c>
      <c r="Y44">
        <f t="shared" si="14"/>
        <v>4.2709594001023587</v>
      </c>
      <c r="Z44">
        <f t="shared" si="15"/>
        <v>59.813466763400271</v>
      </c>
      <c r="AA44">
        <f t="shared" si="16"/>
        <v>2.5432625669428996</v>
      </c>
      <c r="AB44">
        <f t="shared" si="17"/>
        <v>4.2519899022123164</v>
      </c>
      <c r="AC44">
        <f t="shared" si="18"/>
        <v>1.7276968331594591</v>
      </c>
      <c r="AD44">
        <f t="shared" si="19"/>
        <v>-224.45618648078724</v>
      </c>
      <c r="AE44">
        <f t="shared" si="20"/>
        <v>-12.171661548435171</v>
      </c>
      <c r="AF44">
        <f t="shared" si="21"/>
        <v>-0.929060703154581</v>
      </c>
      <c r="AG44">
        <f t="shared" si="22"/>
        <v>106.82039126102475</v>
      </c>
      <c r="AH44">
        <v>0</v>
      </c>
      <c r="AI44">
        <v>0</v>
      </c>
      <c r="AJ44">
        <f t="shared" si="23"/>
        <v>1</v>
      </c>
      <c r="AK44">
        <f t="shared" si="24"/>
        <v>0</v>
      </c>
      <c r="AL44">
        <f t="shared" si="25"/>
        <v>51873.232297571514</v>
      </c>
      <c r="AM44" t="s">
        <v>416</v>
      </c>
      <c r="AN44">
        <v>10235.299999999999</v>
      </c>
      <c r="AO44">
        <v>594.051923076923</v>
      </c>
      <c r="AP44">
        <v>2007.77</v>
      </c>
      <c r="AQ44">
        <f t="shared" si="26"/>
        <v>0.70412351859180933</v>
      </c>
      <c r="AR44">
        <v>-0.54275787784279261</v>
      </c>
      <c r="AS44" t="s">
        <v>559</v>
      </c>
      <c r="AT44">
        <v>10188.6</v>
      </c>
      <c r="AU44">
        <v>652.8925999999999</v>
      </c>
      <c r="AV44">
        <v>1099.1318374596881</v>
      </c>
      <c r="AW44">
        <f t="shared" si="27"/>
        <v>0.40599245900385861</v>
      </c>
      <c r="AX44">
        <v>0.5</v>
      </c>
      <c r="AY44">
        <f t="shared" si="28"/>
        <v>1513.1960999967009</v>
      </c>
      <c r="AZ44">
        <f t="shared" si="29"/>
        <v>55.140662982965281</v>
      </c>
      <c r="BA44">
        <f t="shared" si="30"/>
        <v>307.17310279635467</v>
      </c>
      <c r="BB44">
        <f t="shared" si="31"/>
        <v>3.6798549018814866E-2</v>
      </c>
      <c r="BC44">
        <f t="shared" si="32"/>
        <v>0.82668714668511023</v>
      </c>
      <c r="BD44">
        <f t="shared" si="33"/>
        <v>477.30453105172739</v>
      </c>
      <c r="BE44" t="s">
        <v>560</v>
      </c>
      <c r="BF44">
        <v>514.89</v>
      </c>
      <c r="BG44">
        <f t="shared" si="34"/>
        <v>514.89</v>
      </c>
      <c r="BH44">
        <f t="shared" si="35"/>
        <v>0.53154846174776171</v>
      </c>
      <c r="BI44">
        <f t="shared" si="36"/>
        <v>0.76379199305540679</v>
      </c>
      <c r="BJ44">
        <f t="shared" si="37"/>
        <v>0.60864782336176504</v>
      </c>
      <c r="BK44">
        <f t="shared" si="38"/>
        <v>0.88350224341234518</v>
      </c>
      <c r="BL44">
        <f t="shared" si="39"/>
        <v>0.64272939376848093</v>
      </c>
      <c r="BM44">
        <f t="shared" si="40"/>
        <v>0.60234847094958421</v>
      </c>
      <c r="BN44">
        <f t="shared" si="41"/>
        <v>0.39765152905041579</v>
      </c>
      <c r="BO44">
        <v>12523</v>
      </c>
      <c r="BP44">
        <v>290.00000000000011</v>
      </c>
      <c r="BQ44">
        <v>963.3</v>
      </c>
      <c r="BR44">
        <v>245</v>
      </c>
      <c r="BS44">
        <v>10188.6</v>
      </c>
      <c r="BT44">
        <v>965.59</v>
      </c>
      <c r="BU44">
        <v>-2.29</v>
      </c>
      <c r="BV44">
        <v>300.00000000000011</v>
      </c>
      <c r="BW44">
        <v>24.2</v>
      </c>
      <c r="BX44">
        <v>1099.1318374596881</v>
      </c>
      <c r="BY44">
        <v>2.833575305604092</v>
      </c>
      <c r="BZ44">
        <v>-136.06468108938341</v>
      </c>
      <c r="CA44">
        <v>2.5703011821410522</v>
      </c>
      <c r="CB44">
        <v>0.99010723977052983</v>
      </c>
      <c r="CC44">
        <v>-6.9585359288097948E-3</v>
      </c>
      <c r="CD44">
        <v>289.99999999999989</v>
      </c>
      <c r="CE44">
        <v>955.05</v>
      </c>
      <c r="CF44">
        <v>625</v>
      </c>
      <c r="CG44">
        <v>10169.299999999999</v>
      </c>
      <c r="CH44">
        <v>965.33</v>
      </c>
      <c r="CI44">
        <v>-10.28</v>
      </c>
      <c r="CW44">
        <f t="shared" si="42"/>
        <v>1800.01</v>
      </c>
      <c r="CX44">
        <f t="shared" si="43"/>
        <v>1513.1960999967009</v>
      </c>
      <c r="CY44">
        <f t="shared" si="44"/>
        <v>0.84065982966578012</v>
      </c>
      <c r="CZ44">
        <f t="shared" si="45"/>
        <v>0.19131965933156023</v>
      </c>
      <c r="DA44">
        <v>6</v>
      </c>
      <c r="DB44">
        <v>0.5</v>
      </c>
      <c r="DC44" t="s">
        <v>419</v>
      </c>
      <c r="DD44">
        <v>2</v>
      </c>
      <c r="DE44">
        <v>1691164979.0999999</v>
      </c>
      <c r="DF44">
        <v>1425.14</v>
      </c>
      <c r="DG44">
        <v>1499.99</v>
      </c>
      <c r="DH44">
        <v>25.6267</v>
      </c>
      <c r="DI44">
        <v>19.677399999999999</v>
      </c>
      <c r="DJ44">
        <v>1427.77</v>
      </c>
      <c r="DK44">
        <v>25.570399999999999</v>
      </c>
      <c r="DL44">
        <v>500.154</v>
      </c>
      <c r="DM44">
        <v>99.142399999999995</v>
      </c>
      <c r="DN44">
        <v>0.100287</v>
      </c>
      <c r="DO44">
        <v>29.965399999999999</v>
      </c>
      <c r="DP44">
        <v>30.042899999999999</v>
      </c>
      <c r="DQ44">
        <v>999.9</v>
      </c>
      <c r="DR44">
        <v>0</v>
      </c>
      <c r="DS44">
        <v>0</v>
      </c>
      <c r="DT44">
        <v>9992.5</v>
      </c>
      <c r="DU44">
        <v>0</v>
      </c>
      <c r="DV44">
        <v>1557.72</v>
      </c>
      <c r="DW44">
        <v>-74.846100000000007</v>
      </c>
      <c r="DX44">
        <v>1462.63</v>
      </c>
      <c r="DY44">
        <v>1530.1</v>
      </c>
      <c r="DZ44">
        <v>5.9493400000000003</v>
      </c>
      <c r="EA44">
        <v>1499.99</v>
      </c>
      <c r="EB44">
        <v>19.677399999999999</v>
      </c>
      <c r="EC44">
        <v>2.5406900000000001</v>
      </c>
      <c r="ED44">
        <v>1.95086</v>
      </c>
      <c r="EE44">
        <v>21.2895</v>
      </c>
      <c r="EF44">
        <v>17.050999999999998</v>
      </c>
      <c r="EG44">
        <v>1800.01</v>
      </c>
      <c r="EH44">
        <v>0.97800500000000001</v>
      </c>
      <c r="EI44">
        <v>2.1994799999999998E-2</v>
      </c>
      <c r="EJ44">
        <v>0</v>
      </c>
      <c r="EK44">
        <v>652.33500000000004</v>
      </c>
      <c r="EL44">
        <v>0.100005</v>
      </c>
      <c r="EM44">
        <v>15967.6</v>
      </c>
      <c r="EN44">
        <v>14862.6</v>
      </c>
      <c r="EO44">
        <v>48.061999999999998</v>
      </c>
      <c r="EP44">
        <v>49.75</v>
      </c>
      <c r="EQ44">
        <v>48.811999999999998</v>
      </c>
      <c r="ER44">
        <v>48.686999999999998</v>
      </c>
      <c r="ES44">
        <v>49.125</v>
      </c>
      <c r="ET44">
        <v>1760.32</v>
      </c>
      <c r="EU44">
        <v>39.590000000000003</v>
      </c>
      <c r="EV44">
        <v>0</v>
      </c>
      <c r="EW44">
        <v>163.20000004768369</v>
      </c>
      <c r="EX44">
        <v>0</v>
      </c>
      <c r="EY44">
        <v>652.8925999999999</v>
      </c>
      <c r="EZ44">
        <v>5.3246154403520478</v>
      </c>
      <c r="FA44">
        <v>-6.7538467179070043</v>
      </c>
      <c r="FB44">
        <v>15963.44</v>
      </c>
      <c r="FC44">
        <v>15</v>
      </c>
      <c r="FD44">
        <v>1691164901</v>
      </c>
      <c r="FE44" t="s">
        <v>561</v>
      </c>
      <c r="FF44">
        <v>1691164901</v>
      </c>
      <c r="FG44">
        <v>1691164893</v>
      </c>
      <c r="FH44">
        <v>34</v>
      </c>
      <c r="FI44">
        <v>-0.126</v>
      </c>
      <c r="FJ44">
        <v>1E-3</v>
      </c>
      <c r="FK44">
        <v>-2.7109999999999999</v>
      </c>
      <c r="FL44">
        <v>-8.5999999999999993E-2</v>
      </c>
      <c r="FM44">
        <v>1500</v>
      </c>
      <c r="FN44">
        <v>19</v>
      </c>
      <c r="FO44">
        <v>0.27</v>
      </c>
      <c r="FP44">
        <v>0.05</v>
      </c>
      <c r="FQ44">
        <v>55.487710571887661</v>
      </c>
      <c r="FR44">
        <v>-9.7659250660029187E-2</v>
      </c>
      <c r="FS44">
        <v>0.17675394490467081</v>
      </c>
      <c r="FT44">
        <v>1</v>
      </c>
      <c r="FU44">
        <v>0.30124297595596122</v>
      </c>
      <c r="FV44">
        <v>-1.6349056526071701E-2</v>
      </c>
      <c r="FW44">
        <v>1.2379342339624911E-3</v>
      </c>
      <c r="FX44">
        <v>1</v>
      </c>
      <c r="FY44">
        <v>2</v>
      </c>
      <c r="FZ44">
        <v>2</v>
      </c>
      <c r="GA44" t="s">
        <v>421</v>
      </c>
      <c r="GB44">
        <v>2.9153500000000001</v>
      </c>
      <c r="GC44">
        <v>2.8300999999999998</v>
      </c>
      <c r="GD44">
        <v>0.210535</v>
      </c>
      <c r="GE44">
        <v>0.213312</v>
      </c>
      <c r="GF44">
        <v>0.12305099999999999</v>
      </c>
      <c r="GG44">
        <v>9.8471299999999998E-2</v>
      </c>
      <c r="GH44">
        <v>20335.2</v>
      </c>
      <c r="GI44">
        <v>25197.7</v>
      </c>
      <c r="GJ44">
        <v>23210</v>
      </c>
      <c r="GK44">
        <v>29381.200000000001</v>
      </c>
      <c r="GL44">
        <v>27796.7</v>
      </c>
      <c r="GM44">
        <v>37696.300000000003</v>
      </c>
      <c r="GN44">
        <v>32825.5</v>
      </c>
      <c r="GO44">
        <v>43577.9</v>
      </c>
      <c r="GP44">
        <v>1.9197</v>
      </c>
      <c r="GQ44">
        <v>1.726</v>
      </c>
      <c r="GR44">
        <v>-2.9504300000000001E-2</v>
      </c>
      <c r="GS44">
        <v>0</v>
      </c>
      <c r="GT44">
        <v>30.5228</v>
      </c>
      <c r="GU44">
        <v>999.9</v>
      </c>
      <c r="GV44">
        <v>38</v>
      </c>
      <c r="GW44">
        <v>41.7</v>
      </c>
      <c r="GX44">
        <v>31.100200000000001</v>
      </c>
      <c r="GY44">
        <v>61.821399999999997</v>
      </c>
      <c r="GZ44">
        <v>39.122599999999998</v>
      </c>
      <c r="HA44">
        <v>1</v>
      </c>
      <c r="HB44">
        <v>0.739116</v>
      </c>
      <c r="HC44">
        <v>6.0424499999999997</v>
      </c>
      <c r="HD44">
        <v>20.170999999999999</v>
      </c>
      <c r="HE44">
        <v>5.2088999999999999</v>
      </c>
      <c r="HF44">
        <v>11.8782</v>
      </c>
      <c r="HG44">
        <v>4.9850000000000003</v>
      </c>
      <c r="HH44">
        <v>3.2839999999999998</v>
      </c>
      <c r="HI44">
        <v>9999</v>
      </c>
      <c r="HJ44">
        <v>9999</v>
      </c>
      <c r="HK44">
        <v>9999</v>
      </c>
      <c r="HL44">
        <v>999.9</v>
      </c>
      <c r="HM44">
        <v>1.85483</v>
      </c>
      <c r="HN44">
        <v>1.8608100000000001</v>
      </c>
      <c r="HO44">
        <v>1.8582000000000001</v>
      </c>
      <c r="HP44">
        <v>1.85934</v>
      </c>
      <c r="HQ44">
        <v>1.85867</v>
      </c>
      <c r="HR44">
        <v>1.8591899999999999</v>
      </c>
      <c r="HS44">
        <v>1.85754</v>
      </c>
      <c r="HT44">
        <v>1.8608899999999999</v>
      </c>
      <c r="HU44">
        <v>5</v>
      </c>
      <c r="HV44">
        <v>0</v>
      </c>
      <c r="HW44">
        <v>0</v>
      </c>
      <c r="HX44">
        <v>0</v>
      </c>
      <c r="HY44" t="s">
        <v>422</v>
      </c>
      <c r="HZ44" t="s">
        <v>423</v>
      </c>
      <c r="IA44" t="s">
        <v>424</v>
      </c>
      <c r="IB44" t="s">
        <v>424</v>
      </c>
      <c r="IC44" t="s">
        <v>424</v>
      </c>
      <c r="ID44" t="s">
        <v>424</v>
      </c>
      <c r="IE44">
        <v>0</v>
      </c>
      <c r="IF44">
        <v>100</v>
      </c>
      <c r="IG44">
        <v>100</v>
      </c>
      <c r="IH44">
        <v>-2.63</v>
      </c>
      <c r="II44">
        <v>5.6300000000000003E-2</v>
      </c>
      <c r="IJ44">
        <v>0.57566898023555657</v>
      </c>
      <c r="IK44">
        <v>-4.1229525807901877E-3</v>
      </c>
      <c r="IL44">
        <v>1.8448211998558991E-6</v>
      </c>
      <c r="IM44">
        <v>-3.7020276670297668E-10</v>
      </c>
      <c r="IN44">
        <v>-0.17884158239635631</v>
      </c>
      <c r="IO44">
        <v>-1.3488639696665739E-2</v>
      </c>
      <c r="IP44">
        <v>1.1588640342490499E-3</v>
      </c>
      <c r="IQ44">
        <v>-1.0624341560077559E-5</v>
      </c>
      <c r="IR44">
        <v>2</v>
      </c>
      <c r="IS44">
        <v>1915</v>
      </c>
      <c r="IT44">
        <v>1</v>
      </c>
      <c r="IU44">
        <v>42</v>
      </c>
      <c r="IV44">
        <v>1.3</v>
      </c>
      <c r="IW44">
        <v>1.4</v>
      </c>
      <c r="IX44">
        <v>2.9125999999999999</v>
      </c>
      <c r="IY44">
        <v>2.4438499999999999</v>
      </c>
      <c r="IZ44">
        <v>1.49414</v>
      </c>
      <c r="JA44">
        <v>2.2900399999999999</v>
      </c>
      <c r="JB44">
        <v>1.54419</v>
      </c>
      <c r="JC44">
        <v>2.3913600000000002</v>
      </c>
      <c r="JD44">
        <v>45.892099999999999</v>
      </c>
      <c r="JE44">
        <v>23.8598</v>
      </c>
      <c r="JF44">
        <v>18</v>
      </c>
      <c r="JG44">
        <v>511.44400000000002</v>
      </c>
      <c r="JH44">
        <v>411.86200000000002</v>
      </c>
      <c r="JI44">
        <v>22.4923</v>
      </c>
      <c r="JJ44">
        <v>36.2744</v>
      </c>
      <c r="JK44">
        <v>30.000800000000002</v>
      </c>
      <c r="JL44">
        <v>36.157200000000003</v>
      </c>
      <c r="JM44">
        <v>36.134300000000003</v>
      </c>
      <c r="JN44">
        <v>58.343699999999998</v>
      </c>
      <c r="JO44">
        <v>38.179600000000001</v>
      </c>
      <c r="JP44">
        <v>0</v>
      </c>
      <c r="JQ44">
        <v>22.487100000000002</v>
      </c>
      <c r="JR44">
        <v>1500</v>
      </c>
      <c r="JS44">
        <v>19.753799999999998</v>
      </c>
      <c r="JT44">
        <v>97.346900000000005</v>
      </c>
      <c r="JU44">
        <v>97.967500000000001</v>
      </c>
    </row>
    <row r="45" spans="1:281" x14ac:dyDescent="0.25">
      <c r="A45">
        <v>29</v>
      </c>
      <c r="B45">
        <v>1691166677.0999999</v>
      </c>
      <c r="C45">
        <v>7431.5</v>
      </c>
      <c r="D45" t="s">
        <v>562</v>
      </c>
      <c r="E45" t="s">
        <v>563</v>
      </c>
      <c r="F45" t="s">
        <v>413</v>
      </c>
      <c r="G45" t="s">
        <v>564</v>
      </c>
      <c r="H45" t="s">
        <v>565</v>
      </c>
      <c r="I45" t="s">
        <v>31</v>
      </c>
      <c r="J45">
        <v>1691166677.0999999</v>
      </c>
      <c r="K45">
        <f t="shared" si="0"/>
        <v>4.4138672532275536E-3</v>
      </c>
      <c r="L45">
        <f t="shared" si="1"/>
        <v>4.4138672532275534</v>
      </c>
      <c r="M45">
        <f t="shared" si="2"/>
        <v>37.345598727227937</v>
      </c>
      <c r="N45">
        <f t="shared" si="3"/>
        <v>353.19799999999998</v>
      </c>
      <c r="O45">
        <f t="shared" si="4"/>
        <v>111.78011115649434</v>
      </c>
      <c r="P45">
        <f t="shared" si="5"/>
        <v>11.095729988209349</v>
      </c>
      <c r="Q45">
        <f t="shared" si="6"/>
        <v>35.059811623276204</v>
      </c>
      <c r="R45">
        <f t="shared" si="7"/>
        <v>0.26527220595638118</v>
      </c>
      <c r="S45">
        <f t="shared" si="8"/>
        <v>2.91746547850504</v>
      </c>
      <c r="T45">
        <f t="shared" si="9"/>
        <v>0.25256370575366205</v>
      </c>
      <c r="U45">
        <f t="shared" si="10"/>
        <v>0.15894337714655565</v>
      </c>
      <c r="V45">
        <f t="shared" si="11"/>
        <v>344.40449999340058</v>
      </c>
      <c r="W45">
        <f t="shared" si="12"/>
        <v>31.00040709051483</v>
      </c>
      <c r="X45">
        <f t="shared" si="13"/>
        <v>29.983799999999999</v>
      </c>
      <c r="Y45">
        <f t="shared" si="14"/>
        <v>4.2564869682754418</v>
      </c>
      <c r="Z45">
        <f t="shared" si="15"/>
        <v>60.190137292750009</v>
      </c>
      <c r="AA45">
        <f t="shared" si="16"/>
        <v>2.5814768855917802</v>
      </c>
      <c r="AB45">
        <f t="shared" si="17"/>
        <v>4.2888702397140452</v>
      </c>
      <c r="AC45">
        <f t="shared" si="18"/>
        <v>1.6750100826836616</v>
      </c>
      <c r="AD45">
        <f t="shared" si="19"/>
        <v>-194.6515458673351</v>
      </c>
      <c r="AE45">
        <f t="shared" si="20"/>
        <v>20.761804651785841</v>
      </c>
      <c r="AF45">
        <f t="shared" si="21"/>
        <v>1.5831155260712131</v>
      </c>
      <c r="AG45">
        <f t="shared" si="22"/>
        <v>172.09787430392251</v>
      </c>
      <c r="AH45">
        <v>0</v>
      </c>
      <c r="AI45">
        <v>0</v>
      </c>
      <c r="AJ45">
        <f t="shared" si="23"/>
        <v>1</v>
      </c>
      <c r="AK45">
        <f t="shared" si="24"/>
        <v>0</v>
      </c>
      <c r="AL45">
        <f t="shared" si="25"/>
        <v>51970.771239862312</v>
      </c>
      <c r="AM45" t="s">
        <v>416</v>
      </c>
      <c r="AN45">
        <v>10235.299999999999</v>
      </c>
      <c r="AO45">
        <v>594.051923076923</v>
      </c>
      <c r="AP45">
        <v>2007.77</v>
      </c>
      <c r="AQ45">
        <f t="shared" si="26"/>
        <v>0.70412351859180933</v>
      </c>
      <c r="AR45">
        <v>-0.54275787784279261</v>
      </c>
      <c r="AS45" t="s">
        <v>566</v>
      </c>
      <c r="AT45">
        <v>10175.700000000001</v>
      </c>
      <c r="AU45">
        <v>732.75</v>
      </c>
      <c r="AV45">
        <v>1002.0880098643941</v>
      </c>
      <c r="AW45">
        <f t="shared" si="27"/>
        <v>0.26877680125205949</v>
      </c>
      <c r="AX45">
        <v>0.5</v>
      </c>
      <c r="AY45">
        <f t="shared" si="28"/>
        <v>1513.3139999967002</v>
      </c>
      <c r="AZ45">
        <f t="shared" si="29"/>
        <v>37.345598727227937</v>
      </c>
      <c r="BA45">
        <f t="shared" si="30"/>
        <v>203.37184810453613</v>
      </c>
      <c r="BB45">
        <f t="shared" si="31"/>
        <v>2.5036678842033675E-2</v>
      </c>
      <c r="BC45">
        <f t="shared" si="32"/>
        <v>1.0035864916412862</v>
      </c>
      <c r="BD45">
        <f t="shared" si="33"/>
        <v>458.04200971946057</v>
      </c>
      <c r="BE45" t="s">
        <v>567</v>
      </c>
      <c r="BF45">
        <v>537.23</v>
      </c>
      <c r="BG45">
        <f t="shared" si="34"/>
        <v>537.23</v>
      </c>
      <c r="BH45">
        <f t="shared" si="35"/>
        <v>0.46388940421241065</v>
      </c>
      <c r="BI45">
        <f t="shared" si="36"/>
        <v>0.5793984488789683</v>
      </c>
      <c r="BJ45">
        <f t="shared" si="37"/>
        <v>0.68388618475907215</v>
      </c>
      <c r="BK45">
        <f t="shared" si="38"/>
        <v>0.66008379794280536</v>
      </c>
      <c r="BL45">
        <f t="shared" si="39"/>
        <v>0.7113737926620054</v>
      </c>
      <c r="BM45">
        <f t="shared" si="40"/>
        <v>0.42479730971169993</v>
      </c>
      <c r="BN45">
        <f t="shared" si="41"/>
        <v>0.57520269028830007</v>
      </c>
      <c r="BO45">
        <v>12525</v>
      </c>
      <c r="BP45">
        <v>290.00000000000011</v>
      </c>
      <c r="BQ45">
        <v>927.84</v>
      </c>
      <c r="BR45">
        <v>255</v>
      </c>
      <c r="BS45">
        <v>10175.700000000001</v>
      </c>
      <c r="BT45">
        <v>928.27</v>
      </c>
      <c r="BU45">
        <v>-0.43</v>
      </c>
      <c r="BV45">
        <v>300.00000000000011</v>
      </c>
      <c r="BW45">
        <v>24.2</v>
      </c>
      <c r="BX45">
        <v>1002.0880098643941</v>
      </c>
      <c r="BY45">
        <v>2.387438245077405</v>
      </c>
      <c r="BZ45">
        <v>-75.111756962704234</v>
      </c>
      <c r="CA45">
        <v>2.1630624543034949</v>
      </c>
      <c r="CB45">
        <v>0.97730600907349274</v>
      </c>
      <c r="CC45">
        <v>-6.950649388209126E-3</v>
      </c>
      <c r="CD45">
        <v>289.99999999999989</v>
      </c>
      <c r="CE45">
        <v>926.1</v>
      </c>
      <c r="CF45">
        <v>695</v>
      </c>
      <c r="CG45">
        <v>10153</v>
      </c>
      <c r="CH45">
        <v>928.11</v>
      </c>
      <c r="CI45">
        <v>-2.0099999999999998</v>
      </c>
      <c r="CW45">
        <f t="shared" si="42"/>
        <v>1800.15</v>
      </c>
      <c r="CX45">
        <f t="shared" si="43"/>
        <v>1513.3139999967002</v>
      </c>
      <c r="CY45">
        <f t="shared" si="44"/>
        <v>0.84065994500274988</v>
      </c>
      <c r="CZ45">
        <f t="shared" si="45"/>
        <v>0.19131989000549984</v>
      </c>
      <c r="DA45">
        <v>6</v>
      </c>
      <c r="DB45">
        <v>0.5</v>
      </c>
      <c r="DC45" t="s">
        <v>419</v>
      </c>
      <c r="DD45">
        <v>2</v>
      </c>
      <c r="DE45">
        <v>1691166677.0999999</v>
      </c>
      <c r="DF45">
        <v>353.19799999999998</v>
      </c>
      <c r="DG45">
        <v>399.87900000000002</v>
      </c>
      <c r="DH45">
        <v>26.0062</v>
      </c>
      <c r="DI45">
        <v>20.847799999999999</v>
      </c>
      <c r="DJ45">
        <v>355.29</v>
      </c>
      <c r="DK45">
        <v>25.9285</v>
      </c>
      <c r="DL45">
        <v>500.048</v>
      </c>
      <c r="DM45">
        <v>99.164000000000001</v>
      </c>
      <c r="DN45">
        <v>9.9901900000000002E-2</v>
      </c>
      <c r="DO45">
        <v>30.1158</v>
      </c>
      <c r="DP45">
        <v>29.983799999999999</v>
      </c>
      <c r="DQ45">
        <v>999.9</v>
      </c>
      <c r="DR45">
        <v>0</v>
      </c>
      <c r="DS45">
        <v>0</v>
      </c>
      <c r="DT45">
        <v>10015</v>
      </c>
      <c r="DU45">
        <v>0</v>
      </c>
      <c r="DV45">
        <v>730.63</v>
      </c>
      <c r="DW45">
        <v>-46.680500000000002</v>
      </c>
      <c r="DX45">
        <v>362.62900000000002</v>
      </c>
      <c r="DY45">
        <v>408.39299999999997</v>
      </c>
      <c r="DZ45">
        <v>5.1584199999999996</v>
      </c>
      <c r="EA45">
        <v>399.87900000000002</v>
      </c>
      <c r="EB45">
        <v>20.847799999999999</v>
      </c>
      <c r="EC45">
        <v>2.5788799999999998</v>
      </c>
      <c r="ED45">
        <v>2.0673499999999998</v>
      </c>
      <c r="EE45">
        <v>21.533100000000001</v>
      </c>
      <c r="EF45">
        <v>17.969799999999999</v>
      </c>
      <c r="EG45">
        <v>1800.15</v>
      </c>
      <c r="EH45">
        <v>0.97799999999999998</v>
      </c>
      <c r="EI45">
        <v>2.20004E-2</v>
      </c>
      <c r="EJ45">
        <v>0</v>
      </c>
      <c r="EK45">
        <v>731.42499999999995</v>
      </c>
      <c r="EL45">
        <v>0.100005</v>
      </c>
      <c r="EM45">
        <v>15366.2</v>
      </c>
      <c r="EN45">
        <v>14863.8</v>
      </c>
      <c r="EO45">
        <v>48.625</v>
      </c>
      <c r="EP45">
        <v>51.125</v>
      </c>
      <c r="EQ45">
        <v>49.625</v>
      </c>
      <c r="ER45">
        <v>49.311999999999998</v>
      </c>
      <c r="ES45">
        <v>49.686999999999998</v>
      </c>
      <c r="ET45">
        <v>1760.45</v>
      </c>
      <c r="EU45">
        <v>39.6</v>
      </c>
      <c r="EV45">
        <v>0</v>
      </c>
      <c r="EW45">
        <v>1695.6000001430509</v>
      </c>
      <c r="EX45">
        <v>0</v>
      </c>
      <c r="EY45">
        <v>732.75</v>
      </c>
      <c r="EZ45">
        <v>-8.8350000736037977</v>
      </c>
      <c r="FA45">
        <v>-12843.376922873311</v>
      </c>
      <c r="FB45">
        <v>16797.14</v>
      </c>
      <c r="FC45">
        <v>15</v>
      </c>
      <c r="FD45">
        <v>1691166634.5999999</v>
      </c>
      <c r="FE45" t="s">
        <v>568</v>
      </c>
      <c r="FF45">
        <v>1691166634.5999999</v>
      </c>
      <c r="FG45">
        <v>1691166622.5999999</v>
      </c>
      <c r="FH45">
        <v>38</v>
      </c>
      <c r="FI45">
        <v>-0.45800000000000002</v>
      </c>
      <c r="FJ45">
        <v>-3.2000000000000001E-2</v>
      </c>
      <c r="FK45">
        <v>-2.2269999999999999</v>
      </c>
      <c r="FL45">
        <v>-3.6999999999999998E-2</v>
      </c>
      <c r="FM45">
        <v>400</v>
      </c>
      <c r="FN45">
        <v>21</v>
      </c>
      <c r="FO45">
        <v>0.22</v>
      </c>
      <c r="FP45">
        <v>0.05</v>
      </c>
      <c r="FQ45">
        <v>37.240246999219671</v>
      </c>
      <c r="FR45">
        <v>-0.39097684562266921</v>
      </c>
      <c r="FS45">
        <v>8.9486276115126176E-2</v>
      </c>
      <c r="FT45">
        <v>1</v>
      </c>
      <c r="FU45">
        <v>0.27181078237754319</v>
      </c>
      <c r="FV45">
        <v>-4.5929494803726739E-2</v>
      </c>
      <c r="FW45">
        <v>3.5239225285074189E-3</v>
      </c>
      <c r="FX45">
        <v>1</v>
      </c>
      <c r="FY45">
        <v>2</v>
      </c>
      <c r="FZ45">
        <v>2</v>
      </c>
      <c r="GA45" t="s">
        <v>421</v>
      </c>
      <c r="GB45">
        <v>2.91567</v>
      </c>
      <c r="GC45">
        <v>2.8299099999999999</v>
      </c>
      <c r="GD45">
        <v>8.1487900000000002E-2</v>
      </c>
      <c r="GE45">
        <v>8.7673399999999999E-2</v>
      </c>
      <c r="GF45">
        <v>0.12442300000000001</v>
      </c>
      <c r="GG45">
        <v>0.102745</v>
      </c>
      <c r="GH45">
        <v>23703.599999999999</v>
      </c>
      <c r="GI45">
        <v>29244.5</v>
      </c>
      <c r="GJ45">
        <v>23247.599999999999</v>
      </c>
      <c r="GK45">
        <v>29394.5</v>
      </c>
      <c r="GL45">
        <v>27786.3</v>
      </c>
      <c r="GM45">
        <v>37517.9</v>
      </c>
      <c r="GN45">
        <v>32881</v>
      </c>
      <c r="GO45">
        <v>43594.9</v>
      </c>
      <c r="GP45">
        <v>1.9276</v>
      </c>
      <c r="GQ45">
        <v>1.7108000000000001</v>
      </c>
      <c r="GR45">
        <v>-5.5149200000000002E-2</v>
      </c>
      <c r="GS45">
        <v>0</v>
      </c>
      <c r="GT45">
        <v>30.880600000000001</v>
      </c>
      <c r="GU45">
        <v>999.9</v>
      </c>
      <c r="GV45">
        <v>32.6</v>
      </c>
      <c r="GW45">
        <v>45.4</v>
      </c>
      <c r="GX45">
        <v>32.345199999999998</v>
      </c>
      <c r="GY45">
        <v>61.911900000000003</v>
      </c>
      <c r="GZ45">
        <v>38.974400000000003</v>
      </c>
      <c r="HA45">
        <v>1</v>
      </c>
      <c r="HB45">
        <v>0.69210400000000005</v>
      </c>
      <c r="HC45">
        <v>5.0346399999999996</v>
      </c>
      <c r="HD45">
        <v>20.2395</v>
      </c>
      <c r="HE45">
        <v>5.2095000000000002</v>
      </c>
      <c r="HF45">
        <v>11.8782</v>
      </c>
      <c r="HG45">
        <v>4.9832000000000001</v>
      </c>
      <c r="HH45">
        <v>3.2839999999999998</v>
      </c>
      <c r="HI45">
        <v>9999</v>
      </c>
      <c r="HJ45">
        <v>9999</v>
      </c>
      <c r="HK45">
        <v>9999</v>
      </c>
      <c r="HL45">
        <v>999.9</v>
      </c>
      <c r="HM45">
        <v>1.8547100000000001</v>
      </c>
      <c r="HN45">
        <v>1.86066</v>
      </c>
      <c r="HO45">
        <v>1.85806</v>
      </c>
      <c r="HP45">
        <v>1.8591299999999999</v>
      </c>
      <c r="HQ45">
        <v>1.85849</v>
      </c>
      <c r="HR45">
        <v>1.8589800000000001</v>
      </c>
      <c r="HS45">
        <v>1.8573</v>
      </c>
      <c r="HT45">
        <v>1.8606</v>
      </c>
      <c r="HU45">
        <v>5</v>
      </c>
      <c r="HV45">
        <v>0</v>
      </c>
      <c r="HW45">
        <v>0</v>
      </c>
      <c r="HX45">
        <v>0</v>
      </c>
      <c r="HY45" t="s">
        <v>422</v>
      </c>
      <c r="HZ45" t="s">
        <v>423</v>
      </c>
      <c r="IA45" t="s">
        <v>424</v>
      </c>
      <c r="IB45" t="s">
        <v>424</v>
      </c>
      <c r="IC45" t="s">
        <v>424</v>
      </c>
      <c r="ID45" t="s">
        <v>424</v>
      </c>
      <c r="IE45">
        <v>0</v>
      </c>
      <c r="IF45">
        <v>100</v>
      </c>
      <c r="IG45">
        <v>100</v>
      </c>
      <c r="IH45">
        <v>-2.0920000000000001</v>
      </c>
      <c r="II45">
        <v>7.7700000000000005E-2</v>
      </c>
      <c r="IJ45">
        <v>-0.8432810286951411</v>
      </c>
      <c r="IK45">
        <v>-4.1229525807901877E-3</v>
      </c>
      <c r="IL45">
        <v>1.8448211998558991E-6</v>
      </c>
      <c r="IM45">
        <v>-3.7020276670297668E-10</v>
      </c>
      <c r="IN45">
        <v>-0.16638067615045571</v>
      </c>
      <c r="IO45">
        <v>-1.3488639696665739E-2</v>
      </c>
      <c r="IP45">
        <v>1.1588640342490499E-3</v>
      </c>
      <c r="IQ45">
        <v>-1.0624341560077559E-5</v>
      </c>
      <c r="IR45">
        <v>2</v>
      </c>
      <c r="IS45">
        <v>1915</v>
      </c>
      <c r="IT45">
        <v>1</v>
      </c>
      <c r="IU45">
        <v>42</v>
      </c>
      <c r="IV45">
        <v>0.7</v>
      </c>
      <c r="IW45">
        <v>0.9</v>
      </c>
      <c r="IX45">
        <v>0.99609400000000003</v>
      </c>
      <c r="IY45">
        <v>2.4670399999999999</v>
      </c>
      <c r="IZ45">
        <v>1.49414</v>
      </c>
      <c r="JA45">
        <v>2.2875999999999999</v>
      </c>
      <c r="JB45">
        <v>1.54419</v>
      </c>
      <c r="JC45">
        <v>2.4572799999999999</v>
      </c>
      <c r="JD45">
        <v>50.380200000000002</v>
      </c>
      <c r="JE45">
        <v>15.270300000000001</v>
      </c>
      <c r="JF45">
        <v>18</v>
      </c>
      <c r="JG45">
        <v>513.02300000000002</v>
      </c>
      <c r="JH45">
        <v>399.005</v>
      </c>
      <c r="JI45">
        <v>22.793199999999999</v>
      </c>
      <c r="JJ45">
        <v>35.707500000000003</v>
      </c>
      <c r="JK45">
        <v>30</v>
      </c>
      <c r="JL45">
        <v>35.676000000000002</v>
      </c>
      <c r="JM45">
        <v>35.6586</v>
      </c>
      <c r="JN45">
        <v>20.0121</v>
      </c>
      <c r="JO45">
        <v>34.653199999999998</v>
      </c>
      <c r="JP45">
        <v>0</v>
      </c>
      <c r="JQ45">
        <v>22.802</v>
      </c>
      <c r="JR45">
        <v>400</v>
      </c>
      <c r="JS45">
        <v>20.892099999999999</v>
      </c>
      <c r="JT45">
        <v>97.508899999999997</v>
      </c>
      <c r="JU45">
        <v>98.008200000000002</v>
      </c>
    </row>
    <row r="46" spans="1:281" x14ac:dyDescent="0.25">
      <c r="A46">
        <v>30</v>
      </c>
      <c r="B46">
        <v>1691166795.5</v>
      </c>
      <c r="C46">
        <v>7549.9000000953674</v>
      </c>
      <c r="D46" t="s">
        <v>569</v>
      </c>
      <c r="E46" t="s">
        <v>570</v>
      </c>
      <c r="F46" t="s">
        <v>413</v>
      </c>
      <c r="G46" t="s">
        <v>564</v>
      </c>
      <c r="H46" t="s">
        <v>565</v>
      </c>
      <c r="I46" t="s">
        <v>31</v>
      </c>
      <c r="J46">
        <v>1691166795.5</v>
      </c>
      <c r="K46">
        <f t="shared" si="0"/>
        <v>4.2612853281080183E-3</v>
      </c>
      <c r="L46">
        <f t="shared" si="1"/>
        <v>4.2612853281080181</v>
      </c>
      <c r="M46">
        <f t="shared" si="2"/>
        <v>27.199739078867299</v>
      </c>
      <c r="N46">
        <f t="shared" si="3"/>
        <v>266.00299999999999</v>
      </c>
      <c r="O46">
        <f t="shared" si="4"/>
        <v>85.468748237837346</v>
      </c>
      <c r="P46">
        <f t="shared" si="5"/>
        <v>8.4833124165629901</v>
      </c>
      <c r="Q46">
        <f t="shared" si="6"/>
        <v>26.402475750124594</v>
      </c>
      <c r="R46">
        <f t="shared" si="7"/>
        <v>0.25807702849640607</v>
      </c>
      <c r="S46">
        <f t="shared" si="8"/>
        <v>2.9199550349465362</v>
      </c>
      <c r="T46">
        <f t="shared" si="9"/>
        <v>0.24604151933157278</v>
      </c>
      <c r="U46">
        <f t="shared" si="10"/>
        <v>0.15481051106962357</v>
      </c>
      <c r="V46">
        <f t="shared" si="11"/>
        <v>344.33799999339925</v>
      </c>
      <c r="W46">
        <f t="shared" si="12"/>
        <v>31.132869636433657</v>
      </c>
      <c r="X46">
        <f t="shared" si="13"/>
        <v>29.908000000000001</v>
      </c>
      <c r="Y46">
        <f t="shared" si="14"/>
        <v>4.2379876075478373</v>
      </c>
      <c r="Z46">
        <f t="shared" si="15"/>
        <v>59.785069307877912</v>
      </c>
      <c r="AA46">
        <f t="shared" si="16"/>
        <v>2.5779543159861396</v>
      </c>
      <c r="AB46">
        <f t="shared" si="17"/>
        <v>4.3120370116330049</v>
      </c>
      <c r="AC46">
        <f t="shared" si="18"/>
        <v>1.6600332915616978</v>
      </c>
      <c r="AD46">
        <f t="shared" si="19"/>
        <v>-187.9226829695636</v>
      </c>
      <c r="AE46">
        <f t="shared" si="20"/>
        <v>47.493799800146206</v>
      </c>
      <c r="AF46">
        <f t="shared" si="21"/>
        <v>3.6187033434110294</v>
      </c>
      <c r="AG46">
        <f t="shared" si="22"/>
        <v>207.52782016739289</v>
      </c>
      <c r="AH46">
        <v>0</v>
      </c>
      <c r="AI46">
        <v>0</v>
      </c>
      <c r="AJ46">
        <f t="shared" si="23"/>
        <v>1</v>
      </c>
      <c r="AK46">
        <f t="shared" si="24"/>
        <v>0</v>
      </c>
      <c r="AL46">
        <f t="shared" si="25"/>
        <v>52025.384324492079</v>
      </c>
      <c r="AM46" t="s">
        <v>416</v>
      </c>
      <c r="AN46">
        <v>10235.299999999999</v>
      </c>
      <c r="AO46">
        <v>594.051923076923</v>
      </c>
      <c r="AP46">
        <v>2007.77</v>
      </c>
      <c r="AQ46">
        <f t="shared" si="26"/>
        <v>0.70412351859180933</v>
      </c>
      <c r="AR46">
        <v>-0.54275787784279261</v>
      </c>
      <c r="AS46" t="s">
        <v>571</v>
      </c>
      <c r="AT46">
        <v>10178.5</v>
      </c>
      <c r="AU46">
        <v>736.4899999999999</v>
      </c>
      <c r="AV46">
        <v>947.48760420354756</v>
      </c>
      <c r="AW46">
        <f t="shared" si="27"/>
        <v>0.22269167772480891</v>
      </c>
      <c r="AX46">
        <v>0.5</v>
      </c>
      <c r="AY46">
        <f t="shared" si="28"/>
        <v>1513.0199999966997</v>
      </c>
      <c r="AZ46">
        <f t="shared" si="29"/>
        <v>27.199739078867299</v>
      </c>
      <c r="BA46">
        <f t="shared" si="30"/>
        <v>168.46848111522772</v>
      </c>
      <c r="BB46">
        <f t="shared" si="31"/>
        <v>1.8335842855197293E-2</v>
      </c>
      <c r="BC46">
        <f t="shared" si="32"/>
        <v>1.1190461923644051</v>
      </c>
      <c r="BD46">
        <f t="shared" si="33"/>
        <v>446.28665657412529</v>
      </c>
      <c r="BE46" t="s">
        <v>572</v>
      </c>
      <c r="BF46">
        <v>530.03</v>
      </c>
      <c r="BG46">
        <f t="shared" si="34"/>
        <v>530.03</v>
      </c>
      <c r="BH46">
        <f t="shared" si="35"/>
        <v>0.44059426461252749</v>
      </c>
      <c r="BI46">
        <f t="shared" si="36"/>
        <v>0.50543480841869548</v>
      </c>
      <c r="BJ46">
        <f t="shared" si="37"/>
        <v>0.7175026701560846</v>
      </c>
      <c r="BK46">
        <f t="shared" si="38"/>
        <v>0.59699010448227507</v>
      </c>
      <c r="BL46">
        <f t="shared" si="39"/>
        <v>0.74999564135455588</v>
      </c>
      <c r="BM46">
        <f t="shared" si="40"/>
        <v>0.36374643444739402</v>
      </c>
      <c r="BN46">
        <f t="shared" si="41"/>
        <v>0.63625356555260604</v>
      </c>
      <c r="BO46">
        <v>12527</v>
      </c>
      <c r="BP46">
        <v>290.00000000000011</v>
      </c>
      <c r="BQ46">
        <v>890.35</v>
      </c>
      <c r="BR46">
        <v>235</v>
      </c>
      <c r="BS46">
        <v>10178.5</v>
      </c>
      <c r="BT46">
        <v>891.06</v>
      </c>
      <c r="BU46">
        <v>-0.71</v>
      </c>
      <c r="BV46">
        <v>300.00000000000011</v>
      </c>
      <c r="BW46">
        <v>24.2</v>
      </c>
      <c r="BX46">
        <v>947.48760420354756</v>
      </c>
      <c r="BY46">
        <v>1.882990781302567</v>
      </c>
      <c r="BZ46">
        <v>-57.438696944525702</v>
      </c>
      <c r="CA46">
        <v>1.706100364667491</v>
      </c>
      <c r="CB46">
        <v>0.97589207583536386</v>
      </c>
      <c r="CC46">
        <v>-6.950562625139059E-3</v>
      </c>
      <c r="CD46">
        <v>289.99999999999989</v>
      </c>
      <c r="CE46">
        <v>890.01</v>
      </c>
      <c r="CF46">
        <v>695</v>
      </c>
      <c r="CG46">
        <v>10153.6</v>
      </c>
      <c r="CH46">
        <v>890.92</v>
      </c>
      <c r="CI46">
        <v>-0.91</v>
      </c>
      <c r="CW46">
        <f t="shared" si="42"/>
        <v>1799.8</v>
      </c>
      <c r="CX46">
        <f t="shared" si="43"/>
        <v>1513.0199999966997</v>
      </c>
      <c r="CY46">
        <f t="shared" si="44"/>
        <v>0.84066007333964865</v>
      </c>
      <c r="CZ46">
        <f t="shared" si="45"/>
        <v>0.19132014667929728</v>
      </c>
      <c r="DA46">
        <v>6</v>
      </c>
      <c r="DB46">
        <v>0.5</v>
      </c>
      <c r="DC46" t="s">
        <v>419</v>
      </c>
      <c r="DD46">
        <v>2</v>
      </c>
      <c r="DE46">
        <v>1691166795.5</v>
      </c>
      <c r="DF46">
        <v>266.00299999999999</v>
      </c>
      <c r="DG46">
        <v>299.98700000000002</v>
      </c>
      <c r="DH46">
        <v>25.9727</v>
      </c>
      <c r="DI46">
        <v>20.994299999999999</v>
      </c>
      <c r="DJ46">
        <v>267.81700000000001</v>
      </c>
      <c r="DK46">
        <v>25.8993</v>
      </c>
      <c r="DL46">
        <v>500.23399999999998</v>
      </c>
      <c r="DM46">
        <v>99.156599999999997</v>
      </c>
      <c r="DN46">
        <v>9.9708199999999997E-2</v>
      </c>
      <c r="DO46">
        <v>30.209700000000002</v>
      </c>
      <c r="DP46">
        <v>29.908000000000001</v>
      </c>
      <c r="DQ46">
        <v>999.9</v>
      </c>
      <c r="DR46">
        <v>0</v>
      </c>
      <c r="DS46">
        <v>0</v>
      </c>
      <c r="DT46">
        <v>10030</v>
      </c>
      <c r="DU46">
        <v>0</v>
      </c>
      <c r="DV46">
        <v>436.572</v>
      </c>
      <c r="DW46">
        <v>-33.983699999999999</v>
      </c>
      <c r="DX46">
        <v>273.096</v>
      </c>
      <c r="DY46">
        <v>306.42</v>
      </c>
      <c r="DZ46">
        <v>4.9783900000000001</v>
      </c>
      <c r="EA46">
        <v>299.98700000000002</v>
      </c>
      <c r="EB46">
        <v>20.994299999999999</v>
      </c>
      <c r="EC46">
        <v>2.5753599999999999</v>
      </c>
      <c r="ED46">
        <v>2.0817199999999998</v>
      </c>
      <c r="EE46">
        <v>21.5108</v>
      </c>
      <c r="EF46">
        <v>18.079999999999998</v>
      </c>
      <c r="EG46">
        <v>1799.8</v>
      </c>
      <c r="EH46">
        <v>0.97799599999999998</v>
      </c>
      <c r="EI46">
        <v>2.2004099999999999E-2</v>
      </c>
      <c r="EJ46">
        <v>0</v>
      </c>
      <c r="EK46">
        <v>736.06500000000005</v>
      </c>
      <c r="EL46">
        <v>0.100005</v>
      </c>
      <c r="EM46">
        <v>14867.2</v>
      </c>
      <c r="EN46">
        <v>14860.8</v>
      </c>
      <c r="EO46">
        <v>48.436999999999998</v>
      </c>
      <c r="EP46">
        <v>50.625</v>
      </c>
      <c r="EQ46">
        <v>49.375</v>
      </c>
      <c r="ER46">
        <v>49.061999999999998</v>
      </c>
      <c r="ES46">
        <v>49.5</v>
      </c>
      <c r="ET46">
        <v>1760.1</v>
      </c>
      <c r="EU46">
        <v>39.6</v>
      </c>
      <c r="EV46">
        <v>0</v>
      </c>
      <c r="EW46">
        <v>116.4000000953674</v>
      </c>
      <c r="EX46">
        <v>0</v>
      </c>
      <c r="EY46">
        <v>736.4899999999999</v>
      </c>
      <c r="EZ46">
        <v>-4.1238460870183262</v>
      </c>
      <c r="FA46">
        <v>-49.623076805662848</v>
      </c>
      <c r="FB46">
        <v>14875.672</v>
      </c>
      <c r="FC46">
        <v>15</v>
      </c>
      <c r="FD46">
        <v>1691166760.5</v>
      </c>
      <c r="FE46" t="s">
        <v>573</v>
      </c>
      <c r="FF46">
        <v>1691166752.5</v>
      </c>
      <c r="FG46">
        <v>1691166760.5</v>
      </c>
      <c r="FH46">
        <v>39</v>
      </c>
      <c r="FI46">
        <v>8.0000000000000002E-3</v>
      </c>
      <c r="FJ46">
        <v>-4.0000000000000001E-3</v>
      </c>
      <c r="FK46">
        <v>-1.9219999999999999</v>
      </c>
      <c r="FL46">
        <v>-4.7E-2</v>
      </c>
      <c r="FM46">
        <v>300</v>
      </c>
      <c r="FN46">
        <v>21</v>
      </c>
      <c r="FO46">
        <v>0.12</v>
      </c>
      <c r="FP46">
        <v>0.05</v>
      </c>
      <c r="FQ46">
        <v>27.22855188428013</v>
      </c>
      <c r="FR46">
        <v>-0.65608615570543127</v>
      </c>
      <c r="FS46">
        <v>9.4073661822900098E-2</v>
      </c>
      <c r="FT46">
        <v>1</v>
      </c>
      <c r="FU46">
        <v>0.26048889106412948</v>
      </c>
      <c r="FV46">
        <v>-1.8388708495139159E-2</v>
      </c>
      <c r="FW46">
        <v>1.4662879341565589E-3</v>
      </c>
      <c r="FX46">
        <v>1</v>
      </c>
      <c r="FY46">
        <v>2</v>
      </c>
      <c r="FZ46">
        <v>2</v>
      </c>
      <c r="GA46" t="s">
        <v>421</v>
      </c>
      <c r="GB46">
        <v>2.91629</v>
      </c>
      <c r="GC46">
        <v>2.8298700000000001</v>
      </c>
      <c r="GD46">
        <v>6.4847699999999994E-2</v>
      </c>
      <c r="GE46">
        <v>6.9854100000000002E-2</v>
      </c>
      <c r="GF46">
        <v>0.124343</v>
      </c>
      <c r="GG46">
        <v>0.103274</v>
      </c>
      <c r="GH46">
        <v>24141</v>
      </c>
      <c r="GI46">
        <v>29823.1</v>
      </c>
      <c r="GJ46">
        <v>23255.3</v>
      </c>
      <c r="GK46">
        <v>29401.4</v>
      </c>
      <c r="GL46">
        <v>27795</v>
      </c>
      <c r="GM46">
        <v>37501.199999999997</v>
      </c>
      <c r="GN46">
        <v>32891</v>
      </c>
      <c r="GO46">
        <v>43603.8</v>
      </c>
      <c r="GP46">
        <v>1.9298999999999999</v>
      </c>
      <c r="GQ46">
        <v>1.7109000000000001</v>
      </c>
      <c r="GR46">
        <v>-9.2387200000000006E-3</v>
      </c>
      <c r="GS46">
        <v>0</v>
      </c>
      <c r="GT46">
        <v>30.058299999999999</v>
      </c>
      <c r="GU46">
        <v>999.9</v>
      </c>
      <c r="GV46">
        <v>32.200000000000003</v>
      </c>
      <c r="GW46">
        <v>45.7</v>
      </c>
      <c r="GX46">
        <v>32.4495</v>
      </c>
      <c r="GY46">
        <v>61.181899999999999</v>
      </c>
      <c r="GZ46">
        <v>39.499200000000002</v>
      </c>
      <c r="HA46">
        <v>1</v>
      </c>
      <c r="HB46">
        <v>0.66722599999999999</v>
      </c>
      <c r="HC46">
        <v>2.22682</v>
      </c>
      <c r="HD46">
        <v>20.300599999999999</v>
      </c>
      <c r="HE46">
        <v>5.2107000000000001</v>
      </c>
      <c r="HF46">
        <v>11.8782</v>
      </c>
      <c r="HG46">
        <v>4.9836</v>
      </c>
      <c r="HH46">
        <v>3.2839999999999998</v>
      </c>
      <c r="HI46">
        <v>9999</v>
      </c>
      <c r="HJ46">
        <v>9999</v>
      </c>
      <c r="HK46">
        <v>9999</v>
      </c>
      <c r="HL46">
        <v>999.9</v>
      </c>
      <c r="HM46">
        <v>1.8546899999999999</v>
      </c>
      <c r="HN46">
        <v>1.86066</v>
      </c>
      <c r="HO46">
        <v>1.85798</v>
      </c>
      <c r="HP46">
        <v>1.8590500000000001</v>
      </c>
      <c r="HQ46">
        <v>1.8583799999999999</v>
      </c>
      <c r="HR46">
        <v>1.8589800000000001</v>
      </c>
      <c r="HS46">
        <v>1.8573</v>
      </c>
      <c r="HT46">
        <v>1.86056</v>
      </c>
      <c r="HU46">
        <v>5</v>
      </c>
      <c r="HV46">
        <v>0</v>
      </c>
      <c r="HW46">
        <v>0</v>
      </c>
      <c r="HX46">
        <v>0</v>
      </c>
      <c r="HY46" t="s">
        <v>422</v>
      </c>
      <c r="HZ46" t="s">
        <v>423</v>
      </c>
      <c r="IA46" t="s">
        <v>424</v>
      </c>
      <c r="IB46" t="s">
        <v>424</v>
      </c>
      <c r="IC46" t="s">
        <v>424</v>
      </c>
      <c r="ID46" t="s">
        <v>424</v>
      </c>
      <c r="IE46">
        <v>0</v>
      </c>
      <c r="IF46">
        <v>100</v>
      </c>
      <c r="IG46">
        <v>100</v>
      </c>
      <c r="IH46">
        <v>-1.8140000000000001</v>
      </c>
      <c r="II46">
        <v>7.3400000000000007E-2</v>
      </c>
      <c r="IJ46">
        <v>-0.83522990673331821</v>
      </c>
      <c r="IK46">
        <v>-4.1229525807901877E-3</v>
      </c>
      <c r="IL46">
        <v>1.8448211998558991E-6</v>
      </c>
      <c r="IM46">
        <v>-3.7020276670297668E-10</v>
      </c>
      <c r="IN46">
        <v>-0.1700106677931271</v>
      </c>
      <c r="IO46">
        <v>-1.3488639696665739E-2</v>
      </c>
      <c r="IP46">
        <v>1.1588640342490499E-3</v>
      </c>
      <c r="IQ46">
        <v>-1.0624341560077559E-5</v>
      </c>
      <c r="IR46">
        <v>2</v>
      </c>
      <c r="IS46">
        <v>1915</v>
      </c>
      <c r="IT46">
        <v>1</v>
      </c>
      <c r="IU46">
        <v>42</v>
      </c>
      <c r="IV46">
        <v>0.7</v>
      </c>
      <c r="IW46">
        <v>0.6</v>
      </c>
      <c r="IX46">
        <v>0.79223600000000005</v>
      </c>
      <c r="IY46">
        <v>2.48291</v>
      </c>
      <c r="IZ46">
        <v>1.49414</v>
      </c>
      <c r="JA46">
        <v>2.2875999999999999</v>
      </c>
      <c r="JB46">
        <v>1.54419</v>
      </c>
      <c r="JC46">
        <v>2.50122</v>
      </c>
      <c r="JD46">
        <v>50.412599999999998</v>
      </c>
      <c r="JE46">
        <v>15.305300000000001</v>
      </c>
      <c r="JF46">
        <v>18</v>
      </c>
      <c r="JG46">
        <v>513.80999999999995</v>
      </c>
      <c r="JH46">
        <v>398.41800000000001</v>
      </c>
      <c r="JI46">
        <v>25.513999999999999</v>
      </c>
      <c r="JJ46">
        <v>35.555700000000002</v>
      </c>
      <c r="JK46">
        <v>29.999300000000002</v>
      </c>
      <c r="JL46">
        <v>35.578400000000002</v>
      </c>
      <c r="JM46">
        <v>35.5578</v>
      </c>
      <c r="JN46">
        <v>15.9276</v>
      </c>
      <c r="JO46">
        <v>33.922600000000003</v>
      </c>
      <c r="JP46">
        <v>0</v>
      </c>
      <c r="JQ46">
        <v>25.544499999999999</v>
      </c>
      <c r="JR46">
        <v>300</v>
      </c>
      <c r="JS46">
        <v>21.005400000000002</v>
      </c>
      <c r="JT46">
        <v>97.539400000000001</v>
      </c>
      <c r="JU46">
        <v>98.029399999999995</v>
      </c>
    </row>
    <row r="47" spans="1:281" x14ac:dyDescent="0.25">
      <c r="A47">
        <v>31</v>
      </c>
      <c r="B47">
        <v>1691166903</v>
      </c>
      <c r="C47">
        <v>7657.4000000953674</v>
      </c>
      <c r="D47" t="s">
        <v>574</v>
      </c>
      <c r="E47" t="s">
        <v>575</v>
      </c>
      <c r="F47" t="s">
        <v>413</v>
      </c>
      <c r="G47" t="s">
        <v>564</v>
      </c>
      <c r="H47" t="s">
        <v>565</v>
      </c>
      <c r="I47" t="s">
        <v>31</v>
      </c>
      <c r="J47">
        <v>1691166903</v>
      </c>
      <c r="K47">
        <f t="shared" si="0"/>
        <v>4.2462301324140486E-3</v>
      </c>
      <c r="L47">
        <f t="shared" si="1"/>
        <v>4.2462301324140483</v>
      </c>
      <c r="M47">
        <f t="shared" si="2"/>
        <v>18.241331327837557</v>
      </c>
      <c r="N47">
        <f t="shared" si="3"/>
        <v>177.19</v>
      </c>
      <c r="O47">
        <f t="shared" si="4"/>
        <v>58.735803642580471</v>
      </c>
      <c r="P47">
        <f t="shared" si="5"/>
        <v>5.8301584823880805</v>
      </c>
      <c r="Q47">
        <f t="shared" si="6"/>
        <v>17.588007951344999</v>
      </c>
      <c r="R47">
        <f t="shared" si="7"/>
        <v>0.26402785764235553</v>
      </c>
      <c r="S47">
        <f t="shared" si="8"/>
        <v>2.9152428743649841</v>
      </c>
      <c r="T47">
        <f t="shared" si="9"/>
        <v>0.25142615575656968</v>
      </c>
      <c r="U47">
        <f t="shared" si="10"/>
        <v>0.15822342755596414</v>
      </c>
      <c r="V47">
        <f t="shared" si="11"/>
        <v>344.37849999339835</v>
      </c>
      <c r="W47">
        <f t="shared" si="12"/>
        <v>31.358975650078538</v>
      </c>
      <c r="X47">
        <f t="shared" si="13"/>
        <v>29.947099999999999</v>
      </c>
      <c r="Y47">
        <f t="shared" si="14"/>
        <v>4.2475213843834627</v>
      </c>
      <c r="Z47">
        <f t="shared" si="15"/>
        <v>60.207644734775798</v>
      </c>
      <c r="AA47">
        <f t="shared" si="16"/>
        <v>2.6292180970439998</v>
      </c>
      <c r="AB47">
        <f t="shared" si="17"/>
        <v>4.3669173717492544</v>
      </c>
      <c r="AC47">
        <f t="shared" si="18"/>
        <v>1.6183032873394629</v>
      </c>
      <c r="AD47">
        <f t="shared" si="19"/>
        <v>-187.25874883945954</v>
      </c>
      <c r="AE47">
        <f t="shared" si="20"/>
        <v>75.958605138208313</v>
      </c>
      <c r="AF47">
        <f t="shared" si="21"/>
        <v>5.8043416785073214</v>
      </c>
      <c r="AG47">
        <f t="shared" si="22"/>
        <v>238.88269797065448</v>
      </c>
      <c r="AH47">
        <v>0</v>
      </c>
      <c r="AI47">
        <v>0</v>
      </c>
      <c r="AJ47">
        <f t="shared" si="23"/>
        <v>1</v>
      </c>
      <c r="AK47">
        <f t="shared" si="24"/>
        <v>0</v>
      </c>
      <c r="AL47">
        <f t="shared" si="25"/>
        <v>51853.650882853457</v>
      </c>
      <c r="AM47" t="s">
        <v>416</v>
      </c>
      <c r="AN47">
        <v>10235.299999999999</v>
      </c>
      <c r="AO47">
        <v>594.051923076923</v>
      </c>
      <c r="AP47">
        <v>2007.77</v>
      </c>
      <c r="AQ47">
        <f t="shared" si="26"/>
        <v>0.70412351859180933</v>
      </c>
      <c r="AR47">
        <v>-0.54275787784279261</v>
      </c>
      <c r="AS47" t="s">
        <v>576</v>
      </c>
      <c r="AT47">
        <v>10175.1</v>
      </c>
      <c r="AU47">
        <v>749.69280000000003</v>
      </c>
      <c r="AV47">
        <v>907.50841068132229</v>
      </c>
      <c r="AW47">
        <f t="shared" si="27"/>
        <v>0.17389988767469422</v>
      </c>
      <c r="AX47">
        <v>0.5</v>
      </c>
      <c r="AY47">
        <f t="shared" si="28"/>
        <v>1513.1966999966994</v>
      </c>
      <c r="AZ47">
        <f t="shared" si="29"/>
        <v>18.241331327837557</v>
      </c>
      <c r="BA47">
        <f t="shared" si="30"/>
        <v>131.57236807957199</v>
      </c>
      <c r="BB47">
        <f t="shared" si="31"/>
        <v>1.241351451911131E-2</v>
      </c>
      <c r="BC47">
        <f t="shared" si="32"/>
        <v>1.2123982283455021</v>
      </c>
      <c r="BD47">
        <f t="shared" si="33"/>
        <v>437.21434128761967</v>
      </c>
      <c r="BE47" t="s">
        <v>577</v>
      </c>
      <c r="BF47">
        <v>534.51</v>
      </c>
      <c r="BG47">
        <f t="shared" si="34"/>
        <v>534.51</v>
      </c>
      <c r="BH47">
        <f t="shared" si="35"/>
        <v>0.41101372316901119</v>
      </c>
      <c r="BI47">
        <f t="shared" si="36"/>
        <v>0.42309995475062434</v>
      </c>
      <c r="BJ47">
        <f t="shared" si="37"/>
        <v>0.74682105624172079</v>
      </c>
      <c r="BK47">
        <f t="shared" si="38"/>
        <v>0.50346895636913702</v>
      </c>
      <c r="BL47">
        <f t="shared" si="39"/>
        <v>0.77827510822622437</v>
      </c>
      <c r="BM47">
        <f t="shared" si="40"/>
        <v>0.30165843504667006</v>
      </c>
      <c r="BN47">
        <f t="shared" si="41"/>
        <v>0.69834156495333</v>
      </c>
      <c r="BO47">
        <v>12529</v>
      </c>
      <c r="BP47">
        <v>290.00000000000011</v>
      </c>
      <c r="BQ47">
        <v>865.71</v>
      </c>
      <c r="BR47">
        <v>285</v>
      </c>
      <c r="BS47">
        <v>10175.1</v>
      </c>
      <c r="BT47">
        <v>865.87</v>
      </c>
      <c r="BU47">
        <v>-0.16</v>
      </c>
      <c r="BV47">
        <v>300.00000000000011</v>
      </c>
      <c r="BW47">
        <v>24.2</v>
      </c>
      <c r="BX47">
        <v>907.50841068132229</v>
      </c>
      <c r="BY47">
        <v>2.3166776623960641</v>
      </c>
      <c r="BZ47">
        <v>-42.367339005462043</v>
      </c>
      <c r="CA47">
        <v>2.099593738053751</v>
      </c>
      <c r="CB47">
        <v>0.93565955638150544</v>
      </c>
      <c r="CC47">
        <v>-6.9518160177975503E-3</v>
      </c>
      <c r="CD47">
        <v>289.99999999999989</v>
      </c>
      <c r="CE47">
        <v>863.78</v>
      </c>
      <c r="CF47">
        <v>715</v>
      </c>
      <c r="CG47">
        <v>10155.200000000001</v>
      </c>
      <c r="CH47">
        <v>865.79</v>
      </c>
      <c r="CI47">
        <v>-2.0099999999999998</v>
      </c>
      <c r="CW47">
        <f t="shared" si="42"/>
        <v>1800.01</v>
      </c>
      <c r="CX47">
        <f t="shared" si="43"/>
        <v>1513.1966999966994</v>
      </c>
      <c r="CY47">
        <f t="shared" si="44"/>
        <v>0.84066016299726076</v>
      </c>
      <c r="CZ47">
        <f t="shared" si="45"/>
        <v>0.19132032599452134</v>
      </c>
      <c r="DA47">
        <v>6</v>
      </c>
      <c r="DB47">
        <v>0.5</v>
      </c>
      <c r="DC47" t="s">
        <v>419</v>
      </c>
      <c r="DD47">
        <v>2</v>
      </c>
      <c r="DE47">
        <v>1691166903</v>
      </c>
      <c r="DF47">
        <v>177.19</v>
      </c>
      <c r="DG47">
        <v>199.99299999999999</v>
      </c>
      <c r="DH47">
        <v>26.488</v>
      </c>
      <c r="DI47">
        <v>21.525200000000002</v>
      </c>
      <c r="DJ47">
        <v>178.744</v>
      </c>
      <c r="DK47">
        <v>26.388000000000002</v>
      </c>
      <c r="DL47">
        <v>499.76900000000001</v>
      </c>
      <c r="DM47">
        <v>99.161900000000003</v>
      </c>
      <c r="DN47">
        <v>9.8825499999999997E-2</v>
      </c>
      <c r="DO47">
        <v>30.430399999999999</v>
      </c>
      <c r="DP47">
        <v>29.947099999999999</v>
      </c>
      <c r="DQ47">
        <v>999.9</v>
      </c>
      <c r="DR47">
        <v>0</v>
      </c>
      <c r="DS47">
        <v>0</v>
      </c>
      <c r="DT47">
        <v>10002.5</v>
      </c>
      <c r="DU47">
        <v>0</v>
      </c>
      <c r="DV47">
        <v>445.423</v>
      </c>
      <c r="DW47">
        <v>-22.803599999999999</v>
      </c>
      <c r="DX47">
        <v>182.011</v>
      </c>
      <c r="DY47">
        <v>204.393</v>
      </c>
      <c r="DZ47">
        <v>4.9627499999999998</v>
      </c>
      <c r="EA47">
        <v>199.99299999999999</v>
      </c>
      <c r="EB47">
        <v>21.525200000000002</v>
      </c>
      <c r="EC47">
        <v>2.6265999999999998</v>
      </c>
      <c r="ED47">
        <v>2.1344799999999999</v>
      </c>
      <c r="EE47">
        <v>21.832999999999998</v>
      </c>
      <c r="EF47">
        <v>18.478899999999999</v>
      </c>
      <c r="EG47">
        <v>1800.01</v>
      </c>
      <c r="EH47">
        <v>0.97799199999999997</v>
      </c>
      <c r="EI47">
        <v>2.2007800000000001E-2</v>
      </c>
      <c r="EJ47">
        <v>0</v>
      </c>
      <c r="EK47">
        <v>746.85</v>
      </c>
      <c r="EL47">
        <v>0.100005</v>
      </c>
      <c r="EM47">
        <v>15161.8</v>
      </c>
      <c r="EN47">
        <v>14862.6</v>
      </c>
      <c r="EO47">
        <v>48.125</v>
      </c>
      <c r="EP47">
        <v>49.936999999999998</v>
      </c>
      <c r="EQ47">
        <v>49</v>
      </c>
      <c r="ER47">
        <v>48.561999999999998</v>
      </c>
      <c r="ES47">
        <v>49.186999999999998</v>
      </c>
      <c r="ET47">
        <v>1760.3</v>
      </c>
      <c r="EU47">
        <v>39.61</v>
      </c>
      <c r="EV47">
        <v>0</v>
      </c>
      <c r="EW47">
        <v>105.2000000476837</v>
      </c>
      <c r="EX47">
        <v>0</v>
      </c>
      <c r="EY47">
        <v>749.69280000000003</v>
      </c>
      <c r="EZ47">
        <v>-1.9784614341655959</v>
      </c>
      <c r="FA47">
        <v>26.753846114592509</v>
      </c>
      <c r="FB47">
        <v>15158.064</v>
      </c>
      <c r="FC47">
        <v>15</v>
      </c>
      <c r="FD47">
        <v>1691166871</v>
      </c>
      <c r="FE47" t="s">
        <v>578</v>
      </c>
      <c r="FF47">
        <v>1691166861</v>
      </c>
      <c r="FG47">
        <v>1691166871</v>
      </c>
      <c r="FH47">
        <v>40</v>
      </c>
      <c r="FI47">
        <v>-3.9E-2</v>
      </c>
      <c r="FJ47">
        <v>1.4E-2</v>
      </c>
      <c r="FK47">
        <v>-1.633</v>
      </c>
      <c r="FL47">
        <v>-2.1999999999999999E-2</v>
      </c>
      <c r="FM47">
        <v>200</v>
      </c>
      <c r="FN47">
        <v>21</v>
      </c>
      <c r="FO47">
        <v>0.38</v>
      </c>
      <c r="FP47">
        <v>0.08</v>
      </c>
      <c r="FQ47">
        <v>18.32308089733738</v>
      </c>
      <c r="FR47">
        <v>-0.52101371449381462</v>
      </c>
      <c r="FS47">
        <v>0.1124194322000422</v>
      </c>
      <c r="FT47">
        <v>1</v>
      </c>
      <c r="FU47">
        <v>0.26253052444896707</v>
      </c>
      <c r="FV47">
        <v>3.8160318397576297E-2</v>
      </c>
      <c r="FW47">
        <v>3.7185918878585508E-3</v>
      </c>
      <c r="FX47">
        <v>1</v>
      </c>
      <c r="FY47">
        <v>2</v>
      </c>
      <c r="FZ47">
        <v>2</v>
      </c>
      <c r="GA47" t="s">
        <v>421</v>
      </c>
      <c r="GB47">
        <v>2.9154399999999998</v>
      </c>
      <c r="GC47">
        <v>2.8287300000000002</v>
      </c>
      <c r="GD47">
        <v>4.57819E-2</v>
      </c>
      <c r="GE47">
        <v>4.9576500000000003E-2</v>
      </c>
      <c r="GF47">
        <v>0.12606000000000001</v>
      </c>
      <c r="GG47">
        <v>0.10518</v>
      </c>
      <c r="GH47">
        <v>24645.8</v>
      </c>
      <c r="GI47">
        <v>30489</v>
      </c>
      <c r="GJ47">
        <v>23266.9</v>
      </c>
      <c r="GK47">
        <v>29415.9</v>
      </c>
      <c r="GL47">
        <v>27751.7</v>
      </c>
      <c r="GM47">
        <v>37435</v>
      </c>
      <c r="GN47">
        <v>32907.699999999997</v>
      </c>
      <c r="GO47">
        <v>43622.7</v>
      </c>
      <c r="GP47">
        <v>1.9315</v>
      </c>
      <c r="GQ47">
        <v>1.7158</v>
      </c>
      <c r="GR47">
        <v>2.2843499999999999E-2</v>
      </c>
      <c r="GS47">
        <v>0</v>
      </c>
      <c r="GT47">
        <v>29.575299999999999</v>
      </c>
      <c r="GU47">
        <v>999.9</v>
      </c>
      <c r="GV47">
        <v>31.9</v>
      </c>
      <c r="GW47">
        <v>45.8</v>
      </c>
      <c r="GX47">
        <v>32.310299999999998</v>
      </c>
      <c r="GY47">
        <v>61.421900000000001</v>
      </c>
      <c r="GZ47">
        <v>38.938299999999998</v>
      </c>
      <c r="HA47">
        <v>1</v>
      </c>
      <c r="HB47">
        <v>0.64227599999999996</v>
      </c>
      <c r="HC47">
        <v>2.3796599999999999</v>
      </c>
      <c r="HD47">
        <v>20.296800000000001</v>
      </c>
      <c r="HE47">
        <v>5.2011200000000004</v>
      </c>
      <c r="HF47">
        <v>11.8782</v>
      </c>
      <c r="HG47">
        <v>4.9800000000000004</v>
      </c>
      <c r="HH47">
        <v>3.2816000000000001</v>
      </c>
      <c r="HI47">
        <v>9999</v>
      </c>
      <c r="HJ47">
        <v>9999</v>
      </c>
      <c r="HK47">
        <v>9999</v>
      </c>
      <c r="HL47">
        <v>999.9</v>
      </c>
      <c r="HM47">
        <v>1.8547100000000001</v>
      </c>
      <c r="HN47">
        <v>1.86066</v>
      </c>
      <c r="HO47">
        <v>1.85798</v>
      </c>
      <c r="HP47">
        <v>1.8591</v>
      </c>
      <c r="HQ47">
        <v>1.8583799999999999</v>
      </c>
      <c r="HR47">
        <v>1.8589800000000001</v>
      </c>
      <c r="HS47">
        <v>1.8573</v>
      </c>
      <c r="HT47">
        <v>1.8606100000000001</v>
      </c>
      <c r="HU47">
        <v>5</v>
      </c>
      <c r="HV47">
        <v>0</v>
      </c>
      <c r="HW47">
        <v>0</v>
      </c>
      <c r="HX47">
        <v>0</v>
      </c>
      <c r="HY47" t="s">
        <v>422</v>
      </c>
      <c r="HZ47" t="s">
        <v>423</v>
      </c>
      <c r="IA47" t="s">
        <v>424</v>
      </c>
      <c r="IB47" t="s">
        <v>424</v>
      </c>
      <c r="IC47" t="s">
        <v>424</v>
      </c>
      <c r="ID47" t="s">
        <v>424</v>
      </c>
      <c r="IE47">
        <v>0</v>
      </c>
      <c r="IF47">
        <v>100</v>
      </c>
      <c r="IG47">
        <v>100</v>
      </c>
      <c r="IH47">
        <v>-1.554</v>
      </c>
      <c r="II47">
        <v>0.1</v>
      </c>
      <c r="IJ47">
        <v>-0.87375551903706272</v>
      </c>
      <c r="IK47">
        <v>-4.1229525807901877E-3</v>
      </c>
      <c r="IL47">
        <v>1.8448211998558991E-6</v>
      </c>
      <c r="IM47">
        <v>-3.7020276670297668E-10</v>
      </c>
      <c r="IN47">
        <v>-0.15587030361410861</v>
      </c>
      <c r="IO47">
        <v>-1.3488639696665739E-2</v>
      </c>
      <c r="IP47">
        <v>1.1588640342490499E-3</v>
      </c>
      <c r="IQ47">
        <v>-1.0624341560077559E-5</v>
      </c>
      <c r="IR47">
        <v>2</v>
      </c>
      <c r="IS47">
        <v>1915</v>
      </c>
      <c r="IT47">
        <v>1</v>
      </c>
      <c r="IU47">
        <v>42</v>
      </c>
      <c r="IV47">
        <v>0.7</v>
      </c>
      <c r="IW47">
        <v>0.5</v>
      </c>
      <c r="IX47">
        <v>0.57861300000000004</v>
      </c>
      <c r="IY47">
        <v>2.49756</v>
      </c>
      <c r="IZ47">
        <v>1.49414</v>
      </c>
      <c r="JA47">
        <v>2.2863799999999999</v>
      </c>
      <c r="JB47">
        <v>1.54419</v>
      </c>
      <c r="JC47">
        <v>2.3730500000000001</v>
      </c>
      <c r="JD47">
        <v>50.0578</v>
      </c>
      <c r="JE47">
        <v>15.2791</v>
      </c>
      <c r="JF47">
        <v>18</v>
      </c>
      <c r="JG47">
        <v>513.04899999999998</v>
      </c>
      <c r="JH47">
        <v>400.02800000000002</v>
      </c>
      <c r="JI47">
        <v>26.011800000000001</v>
      </c>
      <c r="JJ47">
        <v>35.2483</v>
      </c>
      <c r="JK47">
        <v>29.998699999999999</v>
      </c>
      <c r="JL47">
        <v>35.344000000000001</v>
      </c>
      <c r="JM47">
        <v>35.327500000000001</v>
      </c>
      <c r="JN47">
        <v>11.663</v>
      </c>
      <c r="JO47">
        <v>32.245199999999997</v>
      </c>
      <c r="JP47">
        <v>0</v>
      </c>
      <c r="JQ47">
        <v>26.033999999999999</v>
      </c>
      <c r="JR47">
        <v>200</v>
      </c>
      <c r="JS47">
        <v>21.468800000000002</v>
      </c>
      <c r="JT47">
        <v>97.588800000000006</v>
      </c>
      <c r="JU47">
        <v>98.074200000000005</v>
      </c>
    </row>
    <row r="48" spans="1:281" x14ac:dyDescent="0.25">
      <c r="A48">
        <v>32</v>
      </c>
      <c r="B48">
        <v>1691167009</v>
      </c>
      <c r="C48">
        <v>7763.4000000953674</v>
      </c>
      <c r="D48" t="s">
        <v>579</v>
      </c>
      <c r="E48" t="s">
        <v>580</v>
      </c>
      <c r="F48" t="s">
        <v>413</v>
      </c>
      <c r="G48" t="s">
        <v>564</v>
      </c>
      <c r="H48" t="s">
        <v>565</v>
      </c>
      <c r="I48" t="s">
        <v>31</v>
      </c>
      <c r="J48">
        <v>1691167009</v>
      </c>
      <c r="K48">
        <f t="shared" si="0"/>
        <v>4.4003446956153037E-3</v>
      </c>
      <c r="L48">
        <f t="shared" si="1"/>
        <v>4.4003446956153036</v>
      </c>
      <c r="M48">
        <f t="shared" si="2"/>
        <v>11.221659349564026</v>
      </c>
      <c r="N48">
        <f t="shared" si="3"/>
        <v>106.003</v>
      </c>
      <c r="O48">
        <f t="shared" si="4"/>
        <v>36.01899778964502</v>
      </c>
      <c r="P48">
        <f t="shared" si="5"/>
        <v>3.5750452640717665</v>
      </c>
      <c r="Q48">
        <f t="shared" si="6"/>
        <v>10.5212678415041</v>
      </c>
      <c r="R48">
        <f t="shared" si="7"/>
        <v>0.27548420856560757</v>
      </c>
      <c r="S48">
        <f t="shared" si="8"/>
        <v>2.9216897510904709</v>
      </c>
      <c r="T48">
        <f t="shared" si="9"/>
        <v>0.2618242410082644</v>
      </c>
      <c r="U48">
        <f t="shared" si="10"/>
        <v>0.16481098333319652</v>
      </c>
      <c r="V48">
        <f t="shared" si="11"/>
        <v>344.3702999933999</v>
      </c>
      <c r="W48">
        <f t="shared" si="12"/>
        <v>31.459850178367159</v>
      </c>
      <c r="X48">
        <f t="shared" si="13"/>
        <v>30.013100000000001</v>
      </c>
      <c r="Y48">
        <f t="shared" si="14"/>
        <v>4.2636566130706779</v>
      </c>
      <c r="Z48">
        <f t="shared" si="15"/>
        <v>60.272242017021682</v>
      </c>
      <c r="AA48">
        <f t="shared" si="16"/>
        <v>2.6536665661392003</v>
      </c>
      <c r="AB48">
        <f t="shared" si="17"/>
        <v>4.4028004888050614</v>
      </c>
      <c r="AC48">
        <f t="shared" si="18"/>
        <v>1.6099900469314776</v>
      </c>
      <c r="AD48">
        <f t="shared" si="19"/>
        <v>-194.05520107663489</v>
      </c>
      <c r="AE48">
        <f t="shared" si="20"/>
        <v>88.25517144340003</v>
      </c>
      <c r="AF48">
        <f t="shared" si="21"/>
        <v>6.7360589449728101</v>
      </c>
      <c r="AG48">
        <f t="shared" si="22"/>
        <v>245.30632930513784</v>
      </c>
      <c r="AH48">
        <v>0</v>
      </c>
      <c r="AI48">
        <v>0</v>
      </c>
      <c r="AJ48">
        <f t="shared" si="23"/>
        <v>1</v>
      </c>
      <c r="AK48">
        <f t="shared" si="24"/>
        <v>0</v>
      </c>
      <c r="AL48">
        <f t="shared" si="25"/>
        <v>52012.385431508475</v>
      </c>
      <c r="AM48" t="s">
        <v>416</v>
      </c>
      <c r="AN48">
        <v>10235.299999999999</v>
      </c>
      <c r="AO48">
        <v>594.051923076923</v>
      </c>
      <c r="AP48">
        <v>2007.77</v>
      </c>
      <c r="AQ48">
        <f t="shared" si="26"/>
        <v>0.70412351859180933</v>
      </c>
      <c r="AR48">
        <v>-0.54275787784279261</v>
      </c>
      <c r="AS48" t="s">
        <v>581</v>
      </c>
      <c r="AT48">
        <v>10182.5</v>
      </c>
      <c r="AU48">
        <v>762.81711538461536</v>
      </c>
      <c r="AV48">
        <v>871.97647498026504</v>
      </c>
      <c r="AW48">
        <f t="shared" si="27"/>
        <v>0.12518612913051375</v>
      </c>
      <c r="AX48">
        <v>0.5</v>
      </c>
      <c r="AY48">
        <f t="shared" si="28"/>
        <v>1513.1627999966997</v>
      </c>
      <c r="AZ48">
        <f t="shared" si="29"/>
        <v>11.221659349564026</v>
      </c>
      <c r="BA48">
        <f t="shared" si="30"/>
        <v>94.713496837938294</v>
      </c>
      <c r="BB48">
        <f t="shared" si="31"/>
        <v>7.7747200945149312E-3</v>
      </c>
      <c r="BC48">
        <f t="shared" si="32"/>
        <v>1.3025506508595208</v>
      </c>
      <c r="BD48">
        <f t="shared" si="33"/>
        <v>428.79634149241781</v>
      </c>
      <c r="BE48" t="s">
        <v>582</v>
      </c>
      <c r="BF48">
        <v>542.07000000000005</v>
      </c>
      <c r="BG48">
        <f t="shared" si="34"/>
        <v>542.07000000000005</v>
      </c>
      <c r="BH48">
        <f t="shared" si="35"/>
        <v>0.37834332054397635</v>
      </c>
      <c r="BI48">
        <f t="shared" si="36"/>
        <v>0.33087971250694487</v>
      </c>
      <c r="BJ48">
        <f t="shared" si="37"/>
        <v>0.77491541585572432</v>
      </c>
      <c r="BK48">
        <f t="shared" si="38"/>
        <v>0.39276616206837911</v>
      </c>
      <c r="BL48">
        <f t="shared" si="39"/>
        <v>0.80340878677293415</v>
      </c>
      <c r="BM48">
        <f t="shared" si="40"/>
        <v>0.23512839728065832</v>
      </c>
      <c r="BN48">
        <f t="shared" si="41"/>
        <v>0.76487160271934163</v>
      </c>
      <c r="BO48">
        <v>12531</v>
      </c>
      <c r="BP48">
        <v>290.00000000000011</v>
      </c>
      <c r="BQ48">
        <v>842.53</v>
      </c>
      <c r="BR48">
        <v>245</v>
      </c>
      <c r="BS48">
        <v>10182.5</v>
      </c>
      <c r="BT48">
        <v>842.13</v>
      </c>
      <c r="BU48">
        <v>0.4</v>
      </c>
      <c r="BV48">
        <v>300.00000000000011</v>
      </c>
      <c r="BW48">
        <v>24.2</v>
      </c>
      <c r="BX48">
        <v>871.97647498026504</v>
      </c>
      <c r="BY48">
        <v>1.9384927228329141</v>
      </c>
      <c r="BZ48">
        <v>-30.391519400968821</v>
      </c>
      <c r="CA48">
        <v>1.757376980433119</v>
      </c>
      <c r="CB48">
        <v>0.91439179468603005</v>
      </c>
      <c r="CC48">
        <v>-6.9533822024471668E-3</v>
      </c>
      <c r="CD48">
        <v>289.99999999999989</v>
      </c>
      <c r="CE48">
        <v>839.51</v>
      </c>
      <c r="CF48">
        <v>625</v>
      </c>
      <c r="CG48">
        <v>10163.5</v>
      </c>
      <c r="CH48">
        <v>842.07</v>
      </c>
      <c r="CI48">
        <v>-2.56</v>
      </c>
      <c r="CW48">
        <f t="shared" si="42"/>
        <v>1799.97</v>
      </c>
      <c r="CX48">
        <f t="shared" si="43"/>
        <v>1513.1627999966997</v>
      </c>
      <c r="CY48">
        <f t="shared" si="44"/>
        <v>0.84066001099834986</v>
      </c>
      <c r="CZ48">
        <f t="shared" si="45"/>
        <v>0.1913200219966999</v>
      </c>
      <c r="DA48">
        <v>6</v>
      </c>
      <c r="DB48">
        <v>0.5</v>
      </c>
      <c r="DC48" t="s">
        <v>419</v>
      </c>
      <c r="DD48">
        <v>2</v>
      </c>
      <c r="DE48">
        <v>1691167009</v>
      </c>
      <c r="DF48">
        <v>106.003</v>
      </c>
      <c r="DG48">
        <v>120.036</v>
      </c>
      <c r="DH48">
        <v>26.736000000000001</v>
      </c>
      <c r="DI48">
        <v>21.594100000000001</v>
      </c>
      <c r="DJ48">
        <v>107.42400000000001</v>
      </c>
      <c r="DK48">
        <v>26.6252</v>
      </c>
      <c r="DL48">
        <v>499.74099999999999</v>
      </c>
      <c r="DM48">
        <v>99.156000000000006</v>
      </c>
      <c r="DN48">
        <v>9.84347E-2</v>
      </c>
      <c r="DO48">
        <v>30.573399999999999</v>
      </c>
      <c r="DP48">
        <v>30.013100000000001</v>
      </c>
      <c r="DQ48">
        <v>999.9</v>
      </c>
      <c r="DR48">
        <v>0</v>
      </c>
      <c r="DS48">
        <v>0</v>
      </c>
      <c r="DT48">
        <v>10040</v>
      </c>
      <c r="DU48">
        <v>0</v>
      </c>
      <c r="DV48">
        <v>518.62300000000005</v>
      </c>
      <c r="DW48">
        <v>-14.0337</v>
      </c>
      <c r="DX48">
        <v>108.91500000000001</v>
      </c>
      <c r="DY48">
        <v>122.68600000000001</v>
      </c>
      <c r="DZ48">
        <v>5.1418999999999997</v>
      </c>
      <c r="EA48">
        <v>120.036</v>
      </c>
      <c r="EB48">
        <v>21.594100000000001</v>
      </c>
      <c r="EC48">
        <v>2.65103</v>
      </c>
      <c r="ED48">
        <v>2.1411799999999999</v>
      </c>
      <c r="EE48">
        <v>21.9847</v>
      </c>
      <c r="EF48">
        <v>18.5289</v>
      </c>
      <c r="EG48">
        <v>1799.97</v>
      </c>
      <c r="EH48">
        <v>0.97800100000000001</v>
      </c>
      <c r="EI48">
        <v>2.1999500000000002E-2</v>
      </c>
      <c r="EJ48">
        <v>0</v>
      </c>
      <c r="EK48">
        <v>760.15</v>
      </c>
      <c r="EL48">
        <v>0.100005</v>
      </c>
      <c r="EM48">
        <v>15519</v>
      </c>
      <c r="EN48">
        <v>14862.2</v>
      </c>
      <c r="EO48">
        <v>47.686999999999998</v>
      </c>
      <c r="EP48">
        <v>49.311999999999998</v>
      </c>
      <c r="EQ48">
        <v>48.561999999999998</v>
      </c>
      <c r="ER48">
        <v>47.936999999999998</v>
      </c>
      <c r="ES48">
        <v>48.75</v>
      </c>
      <c r="ET48">
        <v>1760.27</v>
      </c>
      <c r="EU48">
        <v>39.6</v>
      </c>
      <c r="EV48">
        <v>0</v>
      </c>
      <c r="EW48">
        <v>103.4000000953674</v>
      </c>
      <c r="EX48">
        <v>0</v>
      </c>
      <c r="EY48">
        <v>762.81711538461536</v>
      </c>
      <c r="EZ48">
        <v>-3.5646153768619571</v>
      </c>
      <c r="FA48">
        <v>-4.386324728471557</v>
      </c>
      <c r="FB48">
        <v>15518.457692307689</v>
      </c>
      <c r="FC48">
        <v>15</v>
      </c>
      <c r="FD48">
        <v>1691166977</v>
      </c>
      <c r="FE48" t="s">
        <v>583</v>
      </c>
      <c r="FF48">
        <v>1691166972</v>
      </c>
      <c r="FG48">
        <v>1691166977</v>
      </c>
      <c r="FH48">
        <v>41</v>
      </c>
      <c r="FI48">
        <v>-0.126</v>
      </c>
      <c r="FJ48">
        <v>5.0000000000000001E-3</v>
      </c>
      <c r="FK48">
        <v>-1.4730000000000001</v>
      </c>
      <c r="FL48">
        <v>-1.2999999999999999E-2</v>
      </c>
      <c r="FM48">
        <v>120</v>
      </c>
      <c r="FN48">
        <v>21</v>
      </c>
      <c r="FO48">
        <v>0.43</v>
      </c>
      <c r="FP48">
        <v>0.08</v>
      </c>
      <c r="FQ48">
        <v>11.52122621663643</v>
      </c>
      <c r="FR48">
        <v>-0.62966502571249061</v>
      </c>
      <c r="FS48">
        <v>0.10338802434536121</v>
      </c>
      <c r="FT48">
        <v>1</v>
      </c>
      <c r="FU48">
        <v>0.27780103360756958</v>
      </c>
      <c r="FV48">
        <v>4.7957867224236251E-3</v>
      </c>
      <c r="FW48">
        <v>1.8786289496959721E-3</v>
      </c>
      <c r="FX48">
        <v>1</v>
      </c>
      <c r="FY48">
        <v>2</v>
      </c>
      <c r="FZ48">
        <v>2</v>
      </c>
      <c r="GA48" t="s">
        <v>421</v>
      </c>
      <c r="GB48">
        <v>2.91574</v>
      </c>
      <c r="GC48">
        <v>2.8286699999999998</v>
      </c>
      <c r="GD48">
        <v>2.8675599999999999E-2</v>
      </c>
      <c r="GE48">
        <v>3.11799E-2</v>
      </c>
      <c r="GF48">
        <v>0.12693399999999999</v>
      </c>
      <c r="GG48">
        <v>0.10548299999999999</v>
      </c>
      <c r="GH48">
        <v>25104.7</v>
      </c>
      <c r="GI48">
        <v>31099.4</v>
      </c>
      <c r="GJ48">
        <v>23282.400000000001</v>
      </c>
      <c r="GK48">
        <v>29434.1</v>
      </c>
      <c r="GL48">
        <v>27735.599999999999</v>
      </c>
      <c r="GM48">
        <v>37438.9</v>
      </c>
      <c r="GN48">
        <v>32925.4</v>
      </c>
      <c r="GO48">
        <v>43645.599999999999</v>
      </c>
      <c r="GP48">
        <v>1.9359999999999999</v>
      </c>
      <c r="GQ48">
        <v>1.7213000000000001</v>
      </c>
      <c r="GR48">
        <v>4.2393800000000002E-2</v>
      </c>
      <c r="GS48">
        <v>0</v>
      </c>
      <c r="GT48">
        <v>29.322800000000001</v>
      </c>
      <c r="GU48">
        <v>999.9</v>
      </c>
      <c r="GV48">
        <v>31.7</v>
      </c>
      <c r="GW48">
        <v>45.8</v>
      </c>
      <c r="GX48">
        <v>32.112299999999998</v>
      </c>
      <c r="GY48">
        <v>61.5319</v>
      </c>
      <c r="GZ48">
        <v>39.627400000000002</v>
      </c>
      <c r="HA48">
        <v>1</v>
      </c>
      <c r="HB48">
        <v>0.61116899999999996</v>
      </c>
      <c r="HC48">
        <v>2.4723600000000001</v>
      </c>
      <c r="HD48">
        <v>20.296099999999999</v>
      </c>
      <c r="HE48">
        <v>5.20052</v>
      </c>
      <c r="HF48">
        <v>11.8758</v>
      </c>
      <c r="HG48">
        <v>4.9800000000000004</v>
      </c>
      <c r="HH48">
        <v>3.2816000000000001</v>
      </c>
      <c r="HI48">
        <v>9999</v>
      </c>
      <c r="HJ48">
        <v>9999</v>
      </c>
      <c r="HK48">
        <v>9999</v>
      </c>
      <c r="HL48">
        <v>999.9</v>
      </c>
      <c r="HM48">
        <v>1.8545700000000001</v>
      </c>
      <c r="HN48">
        <v>1.86066</v>
      </c>
      <c r="HO48">
        <v>1.85795</v>
      </c>
      <c r="HP48">
        <v>1.85907</v>
      </c>
      <c r="HQ48">
        <v>1.8583700000000001</v>
      </c>
      <c r="HR48">
        <v>1.8589800000000001</v>
      </c>
      <c r="HS48">
        <v>1.8573</v>
      </c>
      <c r="HT48">
        <v>1.8606</v>
      </c>
      <c r="HU48">
        <v>5</v>
      </c>
      <c r="HV48">
        <v>0</v>
      </c>
      <c r="HW48">
        <v>0</v>
      </c>
      <c r="HX48">
        <v>0</v>
      </c>
      <c r="HY48" t="s">
        <v>422</v>
      </c>
      <c r="HZ48" t="s">
        <v>423</v>
      </c>
      <c r="IA48" t="s">
        <v>424</v>
      </c>
      <c r="IB48" t="s">
        <v>424</v>
      </c>
      <c r="IC48" t="s">
        <v>424</v>
      </c>
      <c r="ID48" t="s">
        <v>424</v>
      </c>
      <c r="IE48">
        <v>0</v>
      </c>
      <c r="IF48">
        <v>100</v>
      </c>
      <c r="IG48">
        <v>100</v>
      </c>
      <c r="IH48">
        <v>-1.421</v>
      </c>
      <c r="II48">
        <v>0.1108</v>
      </c>
      <c r="IJ48">
        <v>-0.99956773061774173</v>
      </c>
      <c r="IK48">
        <v>-4.1229525807901877E-3</v>
      </c>
      <c r="IL48">
        <v>1.8448211998558991E-6</v>
      </c>
      <c r="IM48">
        <v>-3.7020276670297668E-10</v>
      </c>
      <c r="IN48">
        <v>-0.15111072458932751</v>
      </c>
      <c r="IO48">
        <v>-1.3488639696665739E-2</v>
      </c>
      <c r="IP48">
        <v>1.1588640342490499E-3</v>
      </c>
      <c r="IQ48">
        <v>-1.0624341560077559E-5</v>
      </c>
      <c r="IR48">
        <v>2</v>
      </c>
      <c r="IS48">
        <v>1915</v>
      </c>
      <c r="IT48">
        <v>1</v>
      </c>
      <c r="IU48">
        <v>42</v>
      </c>
      <c r="IV48">
        <v>0.6</v>
      </c>
      <c r="IW48">
        <v>0.5</v>
      </c>
      <c r="IX48">
        <v>0.40283200000000002</v>
      </c>
      <c r="IY48">
        <v>2.5134300000000001</v>
      </c>
      <c r="IZ48">
        <v>1.49414</v>
      </c>
      <c r="JA48">
        <v>2.2851599999999999</v>
      </c>
      <c r="JB48">
        <v>1.54419</v>
      </c>
      <c r="JC48">
        <v>2.4939</v>
      </c>
      <c r="JD48">
        <v>49.642600000000002</v>
      </c>
      <c r="JE48">
        <v>15.270300000000001</v>
      </c>
      <c r="JF48">
        <v>18</v>
      </c>
      <c r="JG48">
        <v>513.67700000000002</v>
      </c>
      <c r="JH48">
        <v>401.57100000000003</v>
      </c>
      <c r="JI48">
        <v>26.1785</v>
      </c>
      <c r="JJ48">
        <v>34.882599999999996</v>
      </c>
      <c r="JK48">
        <v>29.9986</v>
      </c>
      <c r="JL48">
        <v>35.040300000000002</v>
      </c>
      <c r="JM48">
        <v>35.030500000000004</v>
      </c>
      <c r="JN48">
        <v>8.1305700000000005</v>
      </c>
      <c r="JO48">
        <v>31.714400000000001</v>
      </c>
      <c r="JP48">
        <v>0</v>
      </c>
      <c r="JQ48">
        <v>26.177199999999999</v>
      </c>
      <c r="JR48">
        <v>120</v>
      </c>
      <c r="JS48">
        <v>21.482399999999998</v>
      </c>
      <c r="JT48">
        <v>97.6464</v>
      </c>
      <c r="JU48">
        <v>98.129400000000004</v>
      </c>
    </row>
    <row r="49" spans="1:281" x14ac:dyDescent="0.25">
      <c r="A49">
        <v>33</v>
      </c>
      <c r="B49">
        <v>1691167118</v>
      </c>
      <c r="C49">
        <v>7872.4000000953674</v>
      </c>
      <c r="D49" t="s">
        <v>584</v>
      </c>
      <c r="E49" t="s">
        <v>585</v>
      </c>
      <c r="F49" t="s">
        <v>413</v>
      </c>
      <c r="G49" t="s">
        <v>564</v>
      </c>
      <c r="H49" t="s">
        <v>565</v>
      </c>
      <c r="I49" t="s">
        <v>31</v>
      </c>
      <c r="J49">
        <v>1691167118</v>
      </c>
      <c r="K49">
        <f t="shared" ref="K49:K80" si="46">(L49)/1000</f>
        <v>4.6045190650316568E-3</v>
      </c>
      <c r="L49">
        <f t="shared" ref="L49:L80" si="47">1000*DL49*AJ49*(DH49-DI49)/(100*DA49*(1000-AJ49*DH49))</f>
        <v>4.6045190650316572</v>
      </c>
      <c r="M49">
        <f t="shared" ref="M49:M80" si="48">DL49*AJ49*(DG49-DF49*(1000-AJ49*DI49)/(1000-AJ49*DH49))/(100*DA49)</f>
        <v>6.872165931982936</v>
      </c>
      <c r="N49">
        <f t="shared" ref="N49:N80" si="49">DF49 - IF(AJ49&gt;1, M49*DA49*100/(AL49*DT49), 0)</f>
        <v>61.335700000000003</v>
      </c>
      <c r="O49">
        <f t="shared" ref="O49:O80" si="50">((U49-K49/2)*N49-M49)/(U49+K49/2)</f>
        <v>20.6021188129085</v>
      </c>
      <c r="P49">
        <f t="shared" ref="P49:P80" si="51">O49*(DM49+DN49)/1000</f>
        <v>2.0447627232311887</v>
      </c>
      <c r="Q49">
        <f t="shared" ref="Q49:Q80" si="52">(DF49 - IF(AJ49&gt;1, M49*DA49*100/(AL49*DT49), 0))*(DM49+DN49)/1000</f>
        <v>6.0875754626126</v>
      </c>
      <c r="R49">
        <f t="shared" ref="R49:R80" si="53">2/((1/T49-1/S49)+SIGN(T49)*SQRT((1/T49-1/S49)*(1/T49-1/S49) + 4*DB49/((DB49+1)*(DB49+1))*(2*1/T49*1/S49-1/S49*1/S49)))</f>
        <v>0.29042879076053929</v>
      </c>
      <c r="S49">
        <f t="shared" ref="S49:S80" si="54">IF(LEFT(DC49,1)&lt;&gt;"0",IF(LEFT(DC49,1)="1",3,DD49),$D$5+$E$5*(DT49*DM49/($K$5*1000))+$F$5*(DT49*DM49/($K$5*1000))*MAX(MIN(DA49,$J$5),$I$5)*MAX(MIN(DA49,$J$5),$I$5)+$G$5*MAX(MIN(DA49,$J$5),$I$5)*(DT49*DM49/($K$5*1000))+$H$5*(DT49*DM49/($K$5*1000))*(DT49*DM49/($K$5*1000)))</f>
        <v>2.9180920214824102</v>
      </c>
      <c r="T49">
        <f t="shared" ref="T49:T80" si="55">K49*(1000-(1000*0.61365*EXP(17.502*X49/(240.97+X49))/(DM49+DN49)+DH49)/2)/(1000*0.61365*EXP(17.502*X49/(240.97+X49))/(DM49+DN49)-DH49)</f>
        <v>0.27527268258651105</v>
      </c>
      <c r="U49">
        <f t="shared" ref="U49:U80" si="56">1/((DB49+1)/(R49/1.6)+1/(S49/1.37)) + DB49/((DB49+1)/(R49/1.6) + DB49/(S49/1.37))</f>
        <v>0.17334120523279906</v>
      </c>
      <c r="V49">
        <f t="shared" ref="V49:V80" si="57">(CW49*CZ49)</f>
        <v>344.36519999339811</v>
      </c>
      <c r="W49">
        <f t="shared" ref="W49:W80" si="58">(DO49+(V49+2*0.95*0.0000000567*(((DO49+$B$7)+273)^4-(DO49+273)^4)-44100*K49)/(1.84*29.3*S49+8*0.95*0.0000000567*(DO49+273)^3))</f>
        <v>31.407674744794001</v>
      </c>
      <c r="X49">
        <f t="shared" ref="X49:X80" si="59">($C$7*DP49+$D$7*DQ49+$E$7*W49)</f>
        <v>30.0016</v>
      </c>
      <c r="Y49">
        <f t="shared" ref="Y49:Y80" si="60">0.61365*EXP(17.502*X49/(240.97+X49))</f>
        <v>4.2608413348914755</v>
      </c>
      <c r="Z49">
        <f t="shared" ref="Z49:Z80" si="61">(AA49/AB49*100)</f>
        <v>60.3830094628008</v>
      </c>
      <c r="AA49">
        <f t="shared" ref="AA49:AA80" si="62">DH49*(DM49+DN49)/1000</f>
        <v>2.6585434357833999</v>
      </c>
      <c r="AB49">
        <f t="shared" ref="AB49:AB80" si="63">0.61365*EXP(17.502*DO49/(240.97+DO49))</f>
        <v>4.4028004888050614</v>
      </c>
      <c r="AC49">
        <f t="shared" ref="AC49:AC80" si="64">(Y49-DH49*(DM49+DN49)/1000)</f>
        <v>1.6022978991080756</v>
      </c>
      <c r="AD49">
        <f t="shared" ref="AD49:AD80" si="65">(-K49*44100)</f>
        <v>-203.05929076789607</v>
      </c>
      <c r="AE49">
        <f t="shared" ref="AE49:AE80" si="66">2*29.3*S49*0.92*(DO49-X49)</f>
        <v>89.955677244142862</v>
      </c>
      <c r="AF49">
        <f t="shared" ref="AF49:AF80" si="67">2*0.95*0.0000000567*(((DO49+$B$7)+273)^4-(X49+273)^4)</f>
        <v>6.8739239310834401</v>
      </c>
      <c r="AG49">
        <f t="shared" ref="AG49:AG80" si="68">V49+AF49+AD49+AE49</f>
        <v>238.13551040072832</v>
      </c>
      <c r="AH49">
        <v>0</v>
      </c>
      <c r="AI49">
        <v>0</v>
      </c>
      <c r="AJ49">
        <f t="shared" ref="AJ49:AJ80" si="69">IF(AH49*$H$13&gt;=AL49,1,(AL49/(AL49-AH49*$H$13)))</f>
        <v>1</v>
      </c>
      <c r="AK49">
        <f t="shared" ref="AK49:AK80" si="70">(AJ49-1)*100</f>
        <v>0</v>
      </c>
      <c r="AL49">
        <f t="shared" ref="AL49:AL80" si="71">MAX(0,($B$13+$C$13*DT49)/(1+$D$13*DT49)*DM49/(DO49+273)*$E$13)</f>
        <v>51909.939215765946</v>
      </c>
      <c r="AM49" t="s">
        <v>416</v>
      </c>
      <c r="AN49">
        <v>10235.299999999999</v>
      </c>
      <c r="AO49">
        <v>594.051923076923</v>
      </c>
      <c r="AP49">
        <v>2007.77</v>
      </c>
      <c r="AQ49">
        <f t="shared" ref="AQ49:AQ80" si="72">1-AO49/AP49</f>
        <v>0.70412351859180933</v>
      </c>
      <c r="AR49">
        <v>-0.54275787784279261</v>
      </c>
      <c r="AS49" t="s">
        <v>586</v>
      </c>
      <c r="AT49">
        <v>10191.799999999999</v>
      </c>
      <c r="AU49">
        <v>770.64160000000004</v>
      </c>
      <c r="AV49">
        <v>850.82744814396347</v>
      </c>
      <c r="AW49">
        <f t="shared" ref="AW49:AW80" si="73">1-AU49/AV49</f>
        <v>9.4244547844436366E-2</v>
      </c>
      <c r="AX49">
        <v>0.5</v>
      </c>
      <c r="AY49">
        <f t="shared" ref="AY49:AY80" si="74">CX49</f>
        <v>1513.1378999966989</v>
      </c>
      <c r="AZ49">
        <f t="shared" ref="AZ49:AZ80" si="75">M49</f>
        <v>6.872165931982936</v>
      </c>
      <c r="BA49">
        <f t="shared" ref="BA49:BA80" si="76">AW49*AX49*AY49</f>
        <v>71.302498605734428</v>
      </c>
      <c r="BB49">
        <f t="shared" ref="BB49:BB80" si="77">(AZ49-AR49)/AY49</f>
        <v>4.9003622272906552E-3</v>
      </c>
      <c r="BC49">
        <f t="shared" ref="BC49:BC80" si="78">(AP49-AV49)/AV49</f>
        <v>1.3597851766299354</v>
      </c>
      <c r="BD49">
        <f t="shared" ref="BD49:BD80" si="79">AO49/(AQ49+AO49/AV49)</f>
        <v>423.6182483358906</v>
      </c>
      <c r="BE49" t="s">
        <v>587</v>
      </c>
      <c r="BF49">
        <v>556.12</v>
      </c>
      <c r="BG49">
        <f t="shared" ref="BG49:BG80" si="80">IF(BF49&lt;&gt;0, BF49, BD49)</f>
        <v>556.12</v>
      </c>
      <c r="BH49">
        <f t="shared" ref="BH49:BH80" si="81">1-BG49/AV49</f>
        <v>0.34637745736441938</v>
      </c>
      <c r="BI49">
        <f t="shared" ref="BI49:BI80" si="82">(AV49-AU49)/(AV49-BG49)</f>
        <v>0.27208626266137986</v>
      </c>
      <c r="BJ49">
        <f t="shared" ref="BJ49:BJ80" si="83">(AP49-AV49)/(AP49-BG49)</f>
        <v>0.79698450167467116</v>
      </c>
      <c r="BK49">
        <f t="shared" ref="BK49:BK80" si="84">(AV49-AU49)/(AV49-AO49)</f>
        <v>0.31227995005765458</v>
      </c>
      <c r="BL49">
        <f t="shared" ref="BL49:BL80" si="85">(AP49-AV49)/(AP49-AO49)</f>
        <v>0.81836864841828572</v>
      </c>
      <c r="BM49">
        <f t="shared" ref="BM49:BM80" si="86">(BI49*BG49/AU49)</f>
        <v>0.19634628132097537</v>
      </c>
      <c r="BN49">
        <f t="shared" ref="BN49:BN80" si="87">(1-BM49)</f>
        <v>0.80365371867902469</v>
      </c>
      <c r="BO49">
        <v>12533</v>
      </c>
      <c r="BP49">
        <v>290.00000000000011</v>
      </c>
      <c r="BQ49">
        <v>828.66</v>
      </c>
      <c r="BR49">
        <v>195</v>
      </c>
      <c r="BS49">
        <v>10191.799999999999</v>
      </c>
      <c r="BT49">
        <v>827.29</v>
      </c>
      <c r="BU49">
        <v>1.37</v>
      </c>
      <c r="BV49">
        <v>300.00000000000011</v>
      </c>
      <c r="BW49">
        <v>24.2</v>
      </c>
      <c r="BX49">
        <v>850.82744814396347</v>
      </c>
      <c r="BY49">
        <v>1.567486636704126</v>
      </c>
      <c r="BZ49">
        <v>-23.98591793541728</v>
      </c>
      <c r="CA49">
        <v>1.42145446350855</v>
      </c>
      <c r="CB49">
        <v>0.91046844149535711</v>
      </c>
      <c r="CC49">
        <v>-6.9548146829811006E-3</v>
      </c>
      <c r="CD49">
        <v>289.99999999999989</v>
      </c>
      <c r="CE49">
        <v>824.98</v>
      </c>
      <c r="CF49">
        <v>755</v>
      </c>
      <c r="CG49">
        <v>10159.4</v>
      </c>
      <c r="CH49">
        <v>827.22</v>
      </c>
      <c r="CI49">
        <v>-2.2400000000000002</v>
      </c>
      <c r="CW49">
        <f t="shared" ref="CW49:CW80" si="88">$B$11*DU49+$C$11*DV49+$F$11*EG49*(1-EJ49)</f>
        <v>1799.94</v>
      </c>
      <c r="CX49">
        <f t="shared" ref="CX49:CX80" si="89">CW49*CY49</f>
        <v>1513.1378999966989</v>
      </c>
      <c r="CY49">
        <f t="shared" ref="CY49:CY80" si="90">($B$11*$D$9+$C$11*$D$9+$F$11*((ET49+EL49)/MAX(ET49+EL49+EU49, 0.1)*$I$9+EU49/MAX(ET49+EL49+EU49, 0.1)*$J$9))/($B$11+$C$11+$F$11)</f>
        <v>0.8406601886711218</v>
      </c>
      <c r="CZ49">
        <f t="shared" ref="CZ49:CZ80" si="91">($B$11*$K$9+$C$11*$K$9+$F$11*((ET49+EL49)/MAX(ET49+EL49+EU49, 0.1)*$P$9+EU49/MAX(ET49+EL49+EU49, 0.1)*$Q$9))/($B$11+$C$11+$F$11)</f>
        <v>0.19132037734224369</v>
      </c>
      <c r="DA49">
        <v>6</v>
      </c>
      <c r="DB49">
        <v>0.5</v>
      </c>
      <c r="DC49" t="s">
        <v>419</v>
      </c>
      <c r="DD49">
        <v>2</v>
      </c>
      <c r="DE49">
        <v>1691167118</v>
      </c>
      <c r="DF49">
        <v>61.335700000000003</v>
      </c>
      <c r="DG49">
        <v>69.919899999999998</v>
      </c>
      <c r="DH49">
        <v>26.786300000000001</v>
      </c>
      <c r="DI49">
        <v>21.409700000000001</v>
      </c>
      <c r="DJ49">
        <v>62.729900000000001</v>
      </c>
      <c r="DK49">
        <v>26.673400000000001</v>
      </c>
      <c r="DL49">
        <v>500.07600000000002</v>
      </c>
      <c r="DM49">
        <v>99.15</v>
      </c>
      <c r="DN49">
        <v>0.100118</v>
      </c>
      <c r="DO49">
        <v>30.573399999999999</v>
      </c>
      <c r="DP49">
        <v>30.0016</v>
      </c>
      <c r="DQ49">
        <v>999.9</v>
      </c>
      <c r="DR49">
        <v>0</v>
      </c>
      <c r="DS49">
        <v>0</v>
      </c>
      <c r="DT49">
        <v>10020</v>
      </c>
      <c r="DU49">
        <v>0</v>
      </c>
      <c r="DV49">
        <v>695.79399999999998</v>
      </c>
      <c r="DW49">
        <v>-8.5841399999999997</v>
      </c>
      <c r="DX49">
        <v>63.023899999999998</v>
      </c>
      <c r="DY49">
        <v>71.449600000000004</v>
      </c>
      <c r="DZ49">
        <v>5.3765599999999996</v>
      </c>
      <c r="EA49">
        <v>69.919899999999998</v>
      </c>
      <c r="EB49">
        <v>21.409700000000001</v>
      </c>
      <c r="EC49">
        <v>2.6558600000000001</v>
      </c>
      <c r="ED49">
        <v>2.12277</v>
      </c>
      <c r="EE49">
        <v>22.014500000000002</v>
      </c>
      <c r="EF49">
        <v>18.391100000000002</v>
      </c>
      <c r="EG49">
        <v>1799.94</v>
      </c>
      <c r="EH49">
        <v>0.977993</v>
      </c>
      <c r="EI49">
        <v>2.2006899999999999E-2</v>
      </c>
      <c r="EJ49">
        <v>0</v>
      </c>
      <c r="EK49">
        <v>770.43499999999995</v>
      </c>
      <c r="EL49">
        <v>0.100005</v>
      </c>
      <c r="EM49">
        <v>15964.4</v>
      </c>
      <c r="EN49">
        <v>14862</v>
      </c>
      <c r="EO49">
        <v>47.311999999999998</v>
      </c>
      <c r="EP49">
        <v>48.811999999999998</v>
      </c>
      <c r="EQ49">
        <v>48.125</v>
      </c>
      <c r="ER49">
        <v>47.5</v>
      </c>
      <c r="ES49">
        <v>48.375</v>
      </c>
      <c r="ET49">
        <v>1760.23</v>
      </c>
      <c r="EU49">
        <v>39.61</v>
      </c>
      <c r="EV49">
        <v>0</v>
      </c>
      <c r="EW49">
        <v>106.80000019073491</v>
      </c>
      <c r="EX49">
        <v>0</v>
      </c>
      <c r="EY49">
        <v>770.64160000000004</v>
      </c>
      <c r="EZ49">
        <v>-3.7623077022916638</v>
      </c>
      <c r="FA49">
        <v>968.2153828864972</v>
      </c>
      <c r="FB49">
        <v>15852.476000000001</v>
      </c>
      <c r="FC49">
        <v>15</v>
      </c>
      <c r="FD49">
        <v>1691167082</v>
      </c>
      <c r="FE49" t="s">
        <v>588</v>
      </c>
      <c r="FF49">
        <v>1691167072</v>
      </c>
      <c r="FG49">
        <v>1691167082</v>
      </c>
      <c r="FH49">
        <v>42</v>
      </c>
      <c r="FI49">
        <v>-0.14299999999999999</v>
      </c>
      <c r="FJ49">
        <v>1E-3</v>
      </c>
      <c r="FK49">
        <v>-1.4279999999999999</v>
      </c>
      <c r="FL49">
        <v>-1.0999999999999999E-2</v>
      </c>
      <c r="FM49">
        <v>70</v>
      </c>
      <c r="FN49">
        <v>21</v>
      </c>
      <c r="FO49">
        <v>0.69</v>
      </c>
      <c r="FP49">
        <v>0.06</v>
      </c>
      <c r="FQ49">
        <v>7.0345779353202564</v>
      </c>
      <c r="FR49">
        <v>-0.60287639057980336</v>
      </c>
      <c r="FS49">
        <v>5.1612393351564097E-2</v>
      </c>
      <c r="FT49">
        <v>1</v>
      </c>
      <c r="FU49">
        <v>0.29145468541038988</v>
      </c>
      <c r="FV49">
        <v>-8.260597134828811E-3</v>
      </c>
      <c r="FW49">
        <v>1.6891054340261509E-3</v>
      </c>
      <c r="FX49">
        <v>1</v>
      </c>
      <c r="FY49">
        <v>2</v>
      </c>
      <c r="FZ49">
        <v>2</v>
      </c>
      <c r="GA49" t="s">
        <v>421</v>
      </c>
      <c r="GB49">
        <v>2.9169299999999998</v>
      </c>
      <c r="GC49">
        <v>2.8301799999999999</v>
      </c>
      <c r="GD49">
        <v>1.7107299999999999E-2</v>
      </c>
      <c r="GE49">
        <v>1.8607200000000001E-2</v>
      </c>
      <c r="GF49">
        <v>0.12717500000000001</v>
      </c>
      <c r="GG49">
        <v>0.104911</v>
      </c>
      <c r="GH49">
        <v>25417.5</v>
      </c>
      <c r="GI49">
        <v>31519</v>
      </c>
      <c r="GJ49">
        <v>23294.6</v>
      </c>
      <c r="GK49">
        <v>29448.1</v>
      </c>
      <c r="GL49">
        <v>27741.5</v>
      </c>
      <c r="GM49">
        <v>37476</v>
      </c>
      <c r="GN49">
        <v>32944.699999999997</v>
      </c>
      <c r="GO49">
        <v>43663.7</v>
      </c>
      <c r="GP49">
        <v>1.9409000000000001</v>
      </c>
      <c r="GQ49">
        <v>1.7254</v>
      </c>
      <c r="GR49">
        <v>4.1067600000000003E-2</v>
      </c>
      <c r="GS49">
        <v>0</v>
      </c>
      <c r="GT49">
        <v>29.332899999999999</v>
      </c>
      <c r="GU49">
        <v>999.9</v>
      </c>
      <c r="GV49">
        <v>31.5</v>
      </c>
      <c r="GW49">
        <v>45.8</v>
      </c>
      <c r="GX49">
        <v>31.9068</v>
      </c>
      <c r="GY49">
        <v>61.4619</v>
      </c>
      <c r="GZ49">
        <v>39.230800000000002</v>
      </c>
      <c r="HA49">
        <v>1</v>
      </c>
      <c r="HB49">
        <v>0.581758</v>
      </c>
      <c r="HC49">
        <v>2.5510799999999998</v>
      </c>
      <c r="HD49">
        <v>20.2974</v>
      </c>
      <c r="HE49">
        <v>5.2088999999999999</v>
      </c>
      <c r="HF49">
        <v>11.874599999999999</v>
      </c>
      <c r="HG49">
        <v>4.9846000000000004</v>
      </c>
      <c r="HH49">
        <v>3.2839999999999998</v>
      </c>
      <c r="HI49">
        <v>9999</v>
      </c>
      <c r="HJ49">
        <v>9999</v>
      </c>
      <c r="HK49">
        <v>9999</v>
      </c>
      <c r="HL49">
        <v>999.9</v>
      </c>
      <c r="HM49">
        <v>1.85463</v>
      </c>
      <c r="HN49">
        <v>1.86066</v>
      </c>
      <c r="HO49">
        <v>1.85791</v>
      </c>
      <c r="HP49">
        <v>1.8591200000000001</v>
      </c>
      <c r="HQ49">
        <v>1.8583799999999999</v>
      </c>
      <c r="HR49">
        <v>1.8589800000000001</v>
      </c>
      <c r="HS49">
        <v>1.8573</v>
      </c>
      <c r="HT49">
        <v>1.8605799999999999</v>
      </c>
      <c r="HU49">
        <v>5</v>
      </c>
      <c r="HV49">
        <v>0</v>
      </c>
      <c r="HW49">
        <v>0</v>
      </c>
      <c r="HX49">
        <v>0</v>
      </c>
      <c r="HY49" t="s">
        <v>422</v>
      </c>
      <c r="HZ49" t="s">
        <v>423</v>
      </c>
      <c r="IA49" t="s">
        <v>424</v>
      </c>
      <c r="IB49" t="s">
        <v>424</v>
      </c>
      <c r="IC49" t="s">
        <v>424</v>
      </c>
      <c r="ID49" t="s">
        <v>424</v>
      </c>
      <c r="IE49">
        <v>0</v>
      </c>
      <c r="IF49">
        <v>100</v>
      </c>
      <c r="IG49">
        <v>100</v>
      </c>
      <c r="IH49">
        <v>-1.3939999999999999</v>
      </c>
      <c r="II49">
        <v>0.1129</v>
      </c>
      <c r="IJ49">
        <v>-1.1427312885778591</v>
      </c>
      <c r="IK49">
        <v>-4.1229525807901877E-3</v>
      </c>
      <c r="IL49">
        <v>1.8448211998558991E-6</v>
      </c>
      <c r="IM49">
        <v>-3.7020276670297668E-10</v>
      </c>
      <c r="IN49">
        <v>-0.1501894765276067</v>
      </c>
      <c r="IO49">
        <v>-1.3488639696665739E-2</v>
      </c>
      <c r="IP49">
        <v>1.1588640342490499E-3</v>
      </c>
      <c r="IQ49">
        <v>-1.0624341560077559E-5</v>
      </c>
      <c r="IR49">
        <v>2</v>
      </c>
      <c r="IS49">
        <v>1915</v>
      </c>
      <c r="IT49">
        <v>1</v>
      </c>
      <c r="IU49">
        <v>42</v>
      </c>
      <c r="IV49">
        <v>0.8</v>
      </c>
      <c r="IW49">
        <v>0.6</v>
      </c>
      <c r="IX49">
        <v>0.29174800000000001</v>
      </c>
      <c r="IY49">
        <v>2.5354000000000001</v>
      </c>
      <c r="IZ49">
        <v>1.49414</v>
      </c>
      <c r="JA49">
        <v>2.2863799999999999</v>
      </c>
      <c r="JB49">
        <v>1.54419</v>
      </c>
      <c r="JC49">
        <v>2.48291</v>
      </c>
      <c r="JD49">
        <v>49.294899999999998</v>
      </c>
      <c r="JE49">
        <v>15.252800000000001</v>
      </c>
      <c r="JF49">
        <v>18</v>
      </c>
      <c r="JG49">
        <v>514.53599999999994</v>
      </c>
      <c r="JH49">
        <v>402.19400000000002</v>
      </c>
      <c r="JI49">
        <v>25.897500000000001</v>
      </c>
      <c r="JJ49">
        <v>34.547600000000003</v>
      </c>
      <c r="JK49">
        <v>29.998799999999999</v>
      </c>
      <c r="JL49">
        <v>34.734200000000001</v>
      </c>
      <c r="JM49">
        <v>34.730800000000002</v>
      </c>
      <c r="JN49">
        <v>5.9022600000000001</v>
      </c>
      <c r="JO49">
        <v>31.462499999999999</v>
      </c>
      <c r="JP49">
        <v>0</v>
      </c>
      <c r="JQ49">
        <v>25.899899999999999</v>
      </c>
      <c r="JR49">
        <v>70</v>
      </c>
      <c r="JS49">
        <v>21.357500000000002</v>
      </c>
      <c r="JT49">
        <v>97.701099999999997</v>
      </c>
      <c r="JU49">
        <v>98.172600000000003</v>
      </c>
    </row>
    <row r="50" spans="1:281" x14ac:dyDescent="0.25">
      <c r="A50">
        <v>34</v>
      </c>
      <c r="B50">
        <v>1691167220</v>
      </c>
      <c r="C50">
        <v>7974.4000000953674</v>
      </c>
      <c r="D50" t="s">
        <v>589</v>
      </c>
      <c r="E50" t="s">
        <v>590</v>
      </c>
      <c r="F50" t="s">
        <v>413</v>
      </c>
      <c r="G50" t="s">
        <v>564</v>
      </c>
      <c r="H50" t="s">
        <v>565</v>
      </c>
      <c r="I50" t="s">
        <v>31</v>
      </c>
      <c r="J50">
        <v>1691167220</v>
      </c>
      <c r="K50">
        <f t="shared" si="46"/>
        <v>4.7364682516846781E-3</v>
      </c>
      <c r="L50">
        <f t="shared" si="47"/>
        <v>4.7364682516846779</v>
      </c>
      <c r="M50">
        <f t="shared" si="48"/>
        <v>3.4764018759720012</v>
      </c>
      <c r="N50">
        <f t="shared" si="49"/>
        <v>25.969000000000001</v>
      </c>
      <c r="O50">
        <f t="shared" si="50"/>
        <v>5.5806485018500673</v>
      </c>
      <c r="P50">
        <f t="shared" si="51"/>
        <v>0.55389958417233598</v>
      </c>
      <c r="Q50">
        <f t="shared" si="52"/>
        <v>2.5775173434777003</v>
      </c>
      <c r="R50">
        <f t="shared" si="53"/>
        <v>0.29190194848157419</v>
      </c>
      <c r="S50">
        <f t="shared" si="54"/>
        <v>2.915535432879012</v>
      </c>
      <c r="T50">
        <f t="shared" si="55"/>
        <v>0.27658338220560819</v>
      </c>
      <c r="U50">
        <f t="shared" si="56"/>
        <v>0.17417390663166887</v>
      </c>
      <c r="V50">
        <f t="shared" si="57"/>
        <v>344.37349999340171</v>
      </c>
      <c r="W50">
        <f t="shared" si="58"/>
        <v>31.378017677918653</v>
      </c>
      <c r="X50">
        <f t="shared" si="59"/>
        <v>30.187899999999999</v>
      </c>
      <c r="Y50">
        <f t="shared" si="60"/>
        <v>4.3066488735923185</v>
      </c>
      <c r="Z50">
        <f t="shared" si="61"/>
        <v>60.55321124440529</v>
      </c>
      <c r="AA50">
        <f t="shared" si="62"/>
        <v>2.6666470972011003</v>
      </c>
      <c r="AB50">
        <f t="shared" si="63"/>
        <v>4.4038078945771524</v>
      </c>
      <c r="AC50">
        <f t="shared" si="64"/>
        <v>1.6400017763912182</v>
      </c>
      <c r="AD50">
        <f t="shared" si="65"/>
        <v>-208.8782498992943</v>
      </c>
      <c r="AE50">
        <f t="shared" si="66"/>
        <v>61.222523867247169</v>
      </c>
      <c r="AF50">
        <f t="shared" si="67"/>
        <v>4.6868009973719369</v>
      </c>
      <c r="AG50">
        <f t="shared" si="68"/>
        <v>201.40457495872653</v>
      </c>
      <c r="AH50">
        <v>0</v>
      </c>
      <c r="AI50">
        <v>0</v>
      </c>
      <c r="AJ50">
        <f t="shared" si="69"/>
        <v>1</v>
      </c>
      <c r="AK50">
        <f t="shared" si="70"/>
        <v>0</v>
      </c>
      <c r="AL50">
        <f t="shared" si="71"/>
        <v>51836.678324430279</v>
      </c>
      <c r="AM50" t="s">
        <v>416</v>
      </c>
      <c r="AN50">
        <v>10235.299999999999</v>
      </c>
      <c r="AO50">
        <v>594.051923076923</v>
      </c>
      <c r="AP50">
        <v>2007.77</v>
      </c>
      <c r="AQ50">
        <f t="shared" si="72"/>
        <v>0.70412351859180933</v>
      </c>
      <c r="AR50">
        <v>-0.54275787784279261</v>
      </c>
      <c r="AS50" t="s">
        <v>591</v>
      </c>
      <c r="AT50">
        <v>10208.5</v>
      </c>
      <c r="AU50">
        <v>777.69199999999978</v>
      </c>
      <c r="AV50">
        <v>840.34909654754938</v>
      </c>
      <c r="AW50">
        <f t="shared" si="73"/>
        <v>7.4560794799407804E-2</v>
      </c>
      <c r="AX50">
        <v>0.5</v>
      </c>
      <c r="AY50">
        <f t="shared" si="74"/>
        <v>1513.1792999967008</v>
      </c>
      <c r="AZ50">
        <f t="shared" si="75"/>
        <v>3.4764018759720012</v>
      </c>
      <c r="BA50">
        <f t="shared" si="76"/>
        <v>56.411925640882778</v>
      </c>
      <c r="BB50">
        <f t="shared" si="77"/>
        <v>2.656102785587641E-3</v>
      </c>
      <c r="BC50">
        <f t="shared" si="78"/>
        <v>1.3892094467033136</v>
      </c>
      <c r="BD50">
        <f t="shared" si="79"/>
        <v>421.00456360344532</v>
      </c>
      <c r="BE50" t="s">
        <v>592</v>
      </c>
      <c r="BF50">
        <v>571.66</v>
      </c>
      <c r="BG50">
        <f t="shared" si="80"/>
        <v>571.66</v>
      </c>
      <c r="BH50">
        <f t="shared" si="81"/>
        <v>0.31973509301243852</v>
      </c>
      <c r="BI50">
        <f t="shared" si="82"/>
        <v>0.2331955310157563</v>
      </c>
      <c r="BJ50">
        <f t="shared" si="83"/>
        <v>0.8129049330848267</v>
      </c>
      <c r="BK50">
        <f t="shared" si="84"/>
        <v>0.25439632808056623</v>
      </c>
      <c r="BL50">
        <f t="shared" si="85"/>
        <v>0.82578055873297862</v>
      </c>
      <c r="BM50">
        <f t="shared" si="86"/>
        <v>0.17141562117196432</v>
      </c>
      <c r="BN50">
        <f t="shared" si="87"/>
        <v>0.82858437882803571</v>
      </c>
      <c r="BO50">
        <v>12535</v>
      </c>
      <c r="BP50">
        <v>290.00000000000011</v>
      </c>
      <c r="BQ50">
        <v>823.25</v>
      </c>
      <c r="BR50">
        <v>95</v>
      </c>
      <c r="BS50">
        <v>10208.5</v>
      </c>
      <c r="BT50">
        <v>821.32</v>
      </c>
      <c r="BU50">
        <v>1.93</v>
      </c>
      <c r="BV50">
        <v>300.00000000000011</v>
      </c>
      <c r="BW50">
        <v>24.2</v>
      </c>
      <c r="BX50">
        <v>840.34909654754938</v>
      </c>
      <c r="BY50">
        <v>1.697879506551969</v>
      </c>
      <c r="BZ50">
        <v>-19.426010264506122</v>
      </c>
      <c r="CA50">
        <v>1.5398698211277619</v>
      </c>
      <c r="CB50">
        <v>0.85038521299818315</v>
      </c>
      <c r="CC50">
        <v>-6.9555107897664144E-3</v>
      </c>
      <c r="CD50">
        <v>289.99999999999989</v>
      </c>
      <c r="CE50">
        <v>819.46</v>
      </c>
      <c r="CF50">
        <v>665</v>
      </c>
      <c r="CG50">
        <v>10165.200000000001</v>
      </c>
      <c r="CH50">
        <v>821.24</v>
      </c>
      <c r="CI50">
        <v>-1.78</v>
      </c>
      <c r="CW50">
        <f t="shared" si="88"/>
        <v>1799.99</v>
      </c>
      <c r="CX50">
        <f t="shared" si="89"/>
        <v>1513.1792999967008</v>
      </c>
      <c r="CY50">
        <f t="shared" si="90"/>
        <v>0.84065983699726154</v>
      </c>
      <c r="CZ50">
        <f t="shared" si="91"/>
        <v>0.19131967399452313</v>
      </c>
      <c r="DA50">
        <v>6</v>
      </c>
      <c r="DB50">
        <v>0.5</v>
      </c>
      <c r="DC50" t="s">
        <v>419</v>
      </c>
      <c r="DD50">
        <v>2</v>
      </c>
      <c r="DE50">
        <v>1691167220</v>
      </c>
      <c r="DF50">
        <v>25.969000000000001</v>
      </c>
      <c r="DG50">
        <v>30.2866</v>
      </c>
      <c r="DH50">
        <v>26.867000000000001</v>
      </c>
      <c r="DI50">
        <v>21.338100000000001</v>
      </c>
      <c r="DJ50">
        <v>27.3142</v>
      </c>
      <c r="DK50">
        <v>26.75</v>
      </c>
      <c r="DL50">
        <v>500.19499999999999</v>
      </c>
      <c r="DM50">
        <v>99.153700000000001</v>
      </c>
      <c r="DN50">
        <v>9.9923300000000007E-2</v>
      </c>
      <c r="DO50">
        <v>30.577400000000001</v>
      </c>
      <c r="DP50">
        <v>30.187899999999999</v>
      </c>
      <c r="DQ50">
        <v>999.9</v>
      </c>
      <c r="DR50">
        <v>0</v>
      </c>
      <c r="DS50">
        <v>0</v>
      </c>
      <c r="DT50">
        <v>10005</v>
      </c>
      <c r="DU50">
        <v>0</v>
      </c>
      <c r="DV50">
        <v>1743.72</v>
      </c>
      <c r="DW50">
        <v>-4.3176100000000002</v>
      </c>
      <c r="DX50">
        <v>26.6859</v>
      </c>
      <c r="DY50">
        <v>30.946899999999999</v>
      </c>
      <c r="DZ50">
        <v>5.5289099999999998</v>
      </c>
      <c r="EA50">
        <v>30.2866</v>
      </c>
      <c r="EB50">
        <v>21.338100000000001</v>
      </c>
      <c r="EC50">
        <v>2.6639599999999999</v>
      </c>
      <c r="ED50">
        <v>2.1157499999999998</v>
      </c>
      <c r="EE50">
        <v>22.064499999999999</v>
      </c>
      <c r="EF50">
        <v>18.3383</v>
      </c>
      <c r="EG50">
        <v>1799.99</v>
      </c>
      <c r="EH50">
        <v>0.97800500000000001</v>
      </c>
      <c r="EI50">
        <v>2.1994799999999998E-2</v>
      </c>
      <c r="EJ50">
        <v>0</v>
      </c>
      <c r="EK50">
        <v>778.72500000000002</v>
      </c>
      <c r="EL50">
        <v>0.100005</v>
      </c>
      <c r="EM50">
        <v>18810.599999999999</v>
      </c>
      <c r="EN50">
        <v>14862.5</v>
      </c>
      <c r="EO50">
        <v>47.25</v>
      </c>
      <c r="EP50">
        <v>49</v>
      </c>
      <c r="EQ50">
        <v>48.061999999999998</v>
      </c>
      <c r="ER50">
        <v>47.561999999999998</v>
      </c>
      <c r="ES50">
        <v>48.311999999999998</v>
      </c>
      <c r="ET50">
        <v>1760.3</v>
      </c>
      <c r="EU50">
        <v>39.590000000000003</v>
      </c>
      <c r="EV50">
        <v>0</v>
      </c>
      <c r="EW50">
        <v>99.600000143051147</v>
      </c>
      <c r="EX50">
        <v>0</v>
      </c>
      <c r="EY50">
        <v>777.69199999999978</v>
      </c>
      <c r="EZ50">
        <v>-6.7834615458280609</v>
      </c>
      <c r="FA50">
        <v>-992.31538448882941</v>
      </c>
      <c r="FB50">
        <v>18976.12</v>
      </c>
      <c r="FC50">
        <v>15</v>
      </c>
      <c r="FD50">
        <v>1691167191.5</v>
      </c>
      <c r="FE50" t="s">
        <v>593</v>
      </c>
      <c r="FF50">
        <v>1691167180.5</v>
      </c>
      <c r="FG50">
        <v>1691167191.5</v>
      </c>
      <c r="FH50">
        <v>43</v>
      </c>
      <c r="FI50">
        <v>-9.0999999999999998E-2</v>
      </c>
      <c r="FJ50">
        <v>2E-3</v>
      </c>
      <c r="FK50">
        <v>-1.361</v>
      </c>
      <c r="FL50">
        <v>-1.2E-2</v>
      </c>
      <c r="FM50">
        <v>30</v>
      </c>
      <c r="FN50">
        <v>21</v>
      </c>
      <c r="FO50">
        <v>0.96</v>
      </c>
      <c r="FP50">
        <v>0.05</v>
      </c>
      <c r="FQ50">
        <v>3.446302033631345</v>
      </c>
      <c r="FR50">
        <v>-0.46960764363788338</v>
      </c>
      <c r="FS50">
        <v>7.0400614445524076E-2</v>
      </c>
      <c r="FT50">
        <v>1</v>
      </c>
      <c r="FU50">
        <v>0.28625043953155249</v>
      </c>
      <c r="FV50">
        <v>1.6366247747004549E-2</v>
      </c>
      <c r="FW50">
        <v>2.5240100244824561E-3</v>
      </c>
      <c r="FX50">
        <v>1</v>
      </c>
      <c r="FY50">
        <v>2</v>
      </c>
      <c r="FZ50">
        <v>2</v>
      </c>
      <c r="GA50" t="s">
        <v>421</v>
      </c>
      <c r="GB50">
        <v>2.9173800000000001</v>
      </c>
      <c r="GC50">
        <v>2.82985</v>
      </c>
      <c r="GD50">
        <v>7.54158E-3</v>
      </c>
      <c r="GE50">
        <v>8.1705100000000006E-3</v>
      </c>
      <c r="GF50">
        <v>0.12748599999999999</v>
      </c>
      <c r="GG50">
        <v>0.10470699999999999</v>
      </c>
      <c r="GH50">
        <v>25668.5</v>
      </c>
      <c r="GI50">
        <v>31858.6</v>
      </c>
      <c r="GJ50">
        <v>23297.9</v>
      </c>
      <c r="GK50">
        <v>29452.1</v>
      </c>
      <c r="GL50">
        <v>27735.200000000001</v>
      </c>
      <c r="GM50">
        <v>37485.4</v>
      </c>
      <c r="GN50">
        <v>32950.800000000003</v>
      </c>
      <c r="GO50">
        <v>43666.6</v>
      </c>
      <c r="GP50">
        <v>1.9426000000000001</v>
      </c>
      <c r="GQ50">
        <v>1.7262999999999999</v>
      </c>
      <c r="GR50">
        <v>5.88596E-3</v>
      </c>
      <c r="GS50">
        <v>0</v>
      </c>
      <c r="GT50">
        <v>30.092199999999998</v>
      </c>
      <c r="GU50">
        <v>999.9</v>
      </c>
      <c r="GV50">
        <v>31.3</v>
      </c>
      <c r="GW50">
        <v>45.8</v>
      </c>
      <c r="GX50">
        <v>31.703499999999998</v>
      </c>
      <c r="GY50">
        <v>61.791899999999998</v>
      </c>
      <c r="GZ50">
        <v>39.198700000000002</v>
      </c>
      <c r="HA50">
        <v>1</v>
      </c>
      <c r="HB50">
        <v>0.59179899999999996</v>
      </c>
      <c r="HC50">
        <v>5.6273600000000004</v>
      </c>
      <c r="HD50">
        <v>20.221399999999999</v>
      </c>
      <c r="HE50">
        <v>5.2125000000000004</v>
      </c>
      <c r="HF50">
        <v>11.8782</v>
      </c>
      <c r="HG50">
        <v>4.9843999999999999</v>
      </c>
      <c r="HH50">
        <v>3.2839999999999998</v>
      </c>
      <c r="HI50">
        <v>9999</v>
      </c>
      <c r="HJ50">
        <v>9999</v>
      </c>
      <c r="HK50">
        <v>9999</v>
      </c>
      <c r="HL50">
        <v>999.9</v>
      </c>
      <c r="HM50">
        <v>1.8546899999999999</v>
      </c>
      <c r="HN50">
        <v>1.8606400000000001</v>
      </c>
      <c r="HO50">
        <v>1.85802</v>
      </c>
      <c r="HP50">
        <v>1.8591200000000001</v>
      </c>
      <c r="HQ50">
        <v>1.8584400000000001</v>
      </c>
      <c r="HR50">
        <v>1.8589899999999999</v>
      </c>
      <c r="HS50">
        <v>1.8573</v>
      </c>
      <c r="HT50">
        <v>1.86066</v>
      </c>
      <c r="HU50">
        <v>5</v>
      </c>
      <c r="HV50">
        <v>0</v>
      </c>
      <c r="HW50">
        <v>0</v>
      </c>
      <c r="HX50">
        <v>0</v>
      </c>
      <c r="HY50" t="s">
        <v>422</v>
      </c>
      <c r="HZ50" t="s">
        <v>423</v>
      </c>
      <c r="IA50" t="s">
        <v>424</v>
      </c>
      <c r="IB50" t="s">
        <v>424</v>
      </c>
      <c r="IC50" t="s">
        <v>424</v>
      </c>
      <c r="ID50" t="s">
        <v>424</v>
      </c>
      <c r="IE50">
        <v>0</v>
      </c>
      <c r="IF50">
        <v>100</v>
      </c>
      <c r="IG50">
        <v>100</v>
      </c>
      <c r="IH50">
        <v>-1.345</v>
      </c>
      <c r="II50">
        <v>0.11700000000000001</v>
      </c>
      <c r="IJ50">
        <v>-1.2340100378767529</v>
      </c>
      <c r="IK50">
        <v>-4.1229525807901877E-3</v>
      </c>
      <c r="IL50">
        <v>1.8448211998558991E-6</v>
      </c>
      <c r="IM50">
        <v>-3.7020276670297668E-10</v>
      </c>
      <c r="IN50">
        <v>-0.14809184208568049</v>
      </c>
      <c r="IO50">
        <v>-1.3488639696665739E-2</v>
      </c>
      <c r="IP50">
        <v>1.1588640342490499E-3</v>
      </c>
      <c r="IQ50">
        <v>-1.0624341560077559E-5</v>
      </c>
      <c r="IR50">
        <v>2</v>
      </c>
      <c r="IS50">
        <v>1915</v>
      </c>
      <c r="IT50">
        <v>1</v>
      </c>
      <c r="IU50">
        <v>42</v>
      </c>
      <c r="IV50">
        <v>0.7</v>
      </c>
      <c r="IW50">
        <v>0.5</v>
      </c>
      <c r="IX50">
        <v>0.20263700000000001</v>
      </c>
      <c r="IY50">
        <v>2.5549300000000001</v>
      </c>
      <c r="IZ50">
        <v>1.49414</v>
      </c>
      <c r="JA50">
        <v>2.2851599999999999</v>
      </c>
      <c r="JB50">
        <v>1.54419</v>
      </c>
      <c r="JC50">
        <v>2.47437</v>
      </c>
      <c r="JD50">
        <v>49.137900000000002</v>
      </c>
      <c r="JE50">
        <v>15.1652</v>
      </c>
      <c r="JF50">
        <v>18</v>
      </c>
      <c r="JG50">
        <v>514.29</v>
      </c>
      <c r="JH50">
        <v>401.65199999999999</v>
      </c>
      <c r="JI50">
        <v>23.496400000000001</v>
      </c>
      <c r="JJ50">
        <v>34.402799999999999</v>
      </c>
      <c r="JK50">
        <v>30.001300000000001</v>
      </c>
      <c r="JL50">
        <v>34.5608</v>
      </c>
      <c r="JM50">
        <v>34.563099999999999</v>
      </c>
      <c r="JN50">
        <v>4.1087600000000002</v>
      </c>
      <c r="JO50">
        <v>31.256900000000002</v>
      </c>
      <c r="JP50">
        <v>0</v>
      </c>
      <c r="JQ50">
        <v>23.345400000000001</v>
      </c>
      <c r="JR50">
        <v>30</v>
      </c>
      <c r="JS50">
        <v>21.375800000000002</v>
      </c>
      <c r="JT50">
        <v>97.717399999999998</v>
      </c>
      <c r="JU50">
        <v>98.181700000000006</v>
      </c>
    </row>
    <row r="51" spans="1:281" x14ac:dyDescent="0.25">
      <c r="A51">
        <v>35</v>
      </c>
      <c r="B51">
        <v>1691167364.5</v>
      </c>
      <c r="C51">
        <v>8118.9000000953674</v>
      </c>
      <c r="D51" t="s">
        <v>594</v>
      </c>
      <c r="E51" t="s">
        <v>595</v>
      </c>
      <c r="F51" t="s">
        <v>413</v>
      </c>
      <c r="G51" t="s">
        <v>564</v>
      </c>
      <c r="H51" t="s">
        <v>565</v>
      </c>
      <c r="I51" t="s">
        <v>31</v>
      </c>
      <c r="J51">
        <v>1691167364.5</v>
      </c>
      <c r="K51">
        <f t="shared" si="46"/>
        <v>5.5085199202242864E-3</v>
      </c>
      <c r="L51">
        <f t="shared" si="47"/>
        <v>5.5085199202242867</v>
      </c>
      <c r="M51">
        <f t="shared" si="48"/>
        <v>1.3794757700588902</v>
      </c>
      <c r="N51">
        <f t="shared" si="49"/>
        <v>8.2124799999999993</v>
      </c>
      <c r="O51">
        <f t="shared" si="50"/>
        <v>1.1676455624246038</v>
      </c>
      <c r="P51">
        <f t="shared" si="51"/>
        <v>0.11589819534539428</v>
      </c>
      <c r="Q51">
        <f t="shared" si="52"/>
        <v>0.81515456568319999</v>
      </c>
      <c r="R51">
        <f t="shared" si="53"/>
        <v>0.3366252967607602</v>
      </c>
      <c r="S51">
        <f t="shared" si="54"/>
        <v>2.9156148400733652</v>
      </c>
      <c r="T51">
        <f t="shared" si="55"/>
        <v>0.31642796481367103</v>
      </c>
      <c r="U51">
        <f t="shared" si="56"/>
        <v>0.19948106471043817</v>
      </c>
      <c r="V51">
        <f t="shared" si="57"/>
        <v>344.32159999340234</v>
      </c>
      <c r="W51">
        <f t="shared" si="58"/>
        <v>30.788079001019167</v>
      </c>
      <c r="X51">
        <f t="shared" si="59"/>
        <v>30.028300000000002</v>
      </c>
      <c r="Y51">
        <f t="shared" si="60"/>
        <v>4.2673801636954076</v>
      </c>
      <c r="Z51">
        <f t="shared" si="61"/>
        <v>60.350547167978007</v>
      </c>
      <c r="AA51">
        <f t="shared" si="62"/>
        <v>2.5992203371287497</v>
      </c>
      <c r="AB51">
        <f t="shared" si="63"/>
        <v>4.3068712034940679</v>
      </c>
      <c r="AC51">
        <f t="shared" si="64"/>
        <v>1.668159826566658</v>
      </c>
      <c r="AD51">
        <f t="shared" si="65"/>
        <v>-242.92572848189104</v>
      </c>
      <c r="AE51">
        <f t="shared" si="66"/>
        <v>25.228453674914501</v>
      </c>
      <c r="AF51">
        <f t="shared" si="67"/>
        <v>1.9260443330270858</v>
      </c>
      <c r="AG51">
        <f t="shared" si="68"/>
        <v>128.55036951945291</v>
      </c>
      <c r="AH51">
        <v>0</v>
      </c>
      <c r="AI51">
        <v>0</v>
      </c>
      <c r="AJ51">
        <f t="shared" si="69"/>
        <v>1</v>
      </c>
      <c r="AK51">
        <f t="shared" si="70"/>
        <v>0</v>
      </c>
      <c r="AL51">
        <f t="shared" si="71"/>
        <v>51905.47346896879</v>
      </c>
      <c r="AM51" t="s">
        <v>416</v>
      </c>
      <c r="AN51">
        <v>10235.299999999999</v>
      </c>
      <c r="AO51">
        <v>594.051923076923</v>
      </c>
      <c r="AP51">
        <v>2007.77</v>
      </c>
      <c r="AQ51">
        <f t="shared" si="72"/>
        <v>0.70412351859180933</v>
      </c>
      <c r="AR51">
        <v>-0.54275787784279261</v>
      </c>
      <c r="AS51" t="s">
        <v>596</v>
      </c>
      <c r="AT51">
        <v>10207.1</v>
      </c>
      <c r="AU51">
        <v>780.8794230769231</v>
      </c>
      <c r="AV51">
        <v>833.72434076851903</v>
      </c>
      <c r="AW51">
        <f t="shared" si="73"/>
        <v>6.3384160816132518E-2</v>
      </c>
      <c r="AX51">
        <v>0.5</v>
      </c>
      <c r="AY51">
        <f t="shared" si="74"/>
        <v>1512.9521999967012</v>
      </c>
      <c r="AZ51">
        <f t="shared" si="75"/>
        <v>1.3794757700588902</v>
      </c>
      <c r="BA51">
        <f t="shared" si="76"/>
        <v>47.948602775856202</v>
      </c>
      <c r="BB51">
        <f t="shared" si="77"/>
        <v>1.2705184260982428E-3</v>
      </c>
      <c r="BC51">
        <f t="shared" si="78"/>
        <v>1.4081940538634832</v>
      </c>
      <c r="BD51">
        <f t="shared" si="79"/>
        <v>419.33525805277509</v>
      </c>
      <c r="BE51" t="s">
        <v>597</v>
      </c>
      <c r="BF51">
        <v>580.53</v>
      </c>
      <c r="BG51">
        <f t="shared" si="80"/>
        <v>580.53</v>
      </c>
      <c r="BH51">
        <f t="shared" si="81"/>
        <v>0.30369071452936947</v>
      </c>
      <c r="BI51">
        <f t="shared" si="82"/>
        <v>0.20871287063998392</v>
      </c>
      <c r="BJ51">
        <f t="shared" si="83"/>
        <v>0.82259862337902578</v>
      </c>
      <c r="BK51">
        <f t="shared" si="84"/>
        <v>0.22048810706117769</v>
      </c>
      <c r="BL51">
        <f t="shared" si="85"/>
        <v>0.83046661027831137</v>
      </c>
      <c r="BM51">
        <f t="shared" si="86"/>
        <v>0.15516362605023359</v>
      </c>
      <c r="BN51">
        <f t="shared" si="87"/>
        <v>0.84483637394976641</v>
      </c>
      <c r="BO51">
        <v>12537</v>
      </c>
      <c r="BP51">
        <v>290.00000000000011</v>
      </c>
      <c r="BQ51">
        <v>818.29</v>
      </c>
      <c r="BR51">
        <v>95</v>
      </c>
      <c r="BS51">
        <v>10207.1</v>
      </c>
      <c r="BT51">
        <v>816.03</v>
      </c>
      <c r="BU51">
        <v>2.2599999999999998</v>
      </c>
      <c r="BV51">
        <v>300.00000000000011</v>
      </c>
      <c r="BW51">
        <v>24.2</v>
      </c>
      <c r="BX51">
        <v>833.72434076851903</v>
      </c>
      <c r="BY51">
        <v>2.1020541300999871</v>
      </c>
      <c r="BZ51">
        <v>-18.0565753648739</v>
      </c>
      <c r="CA51">
        <v>1.9061037198613511</v>
      </c>
      <c r="CB51">
        <v>0.76218438525353993</v>
      </c>
      <c r="CC51">
        <v>-6.9547555061179149E-3</v>
      </c>
      <c r="CD51">
        <v>289.99999999999989</v>
      </c>
      <c r="CE51">
        <v>813.63</v>
      </c>
      <c r="CF51">
        <v>625</v>
      </c>
      <c r="CG51">
        <v>10165.9</v>
      </c>
      <c r="CH51">
        <v>815.96</v>
      </c>
      <c r="CI51">
        <v>-2.33</v>
      </c>
      <c r="CW51">
        <f t="shared" si="88"/>
        <v>1799.72</v>
      </c>
      <c r="CX51">
        <f t="shared" si="89"/>
        <v>1512.9521999967012</v>
      </c>
      <c r="CY51">
        <f t="shared" si="90"/>
        <v>0.84065976929561337</v>
      </c>
      <c r="CZ51">
        <f t="shared" si="91"/>
        <v>0.19131953859122661</v>
      </c>
      <c r="DA51">
        <v>6</v>
      </c>
      <c r="DB51">
        <v>0.5</v>
      </c>
      <c r="DC51" t="s">
        <v>419</v>
      </c>
      <c r="DD51">
        <v>2</v>
      </c>
      <c r="DE51">
        <v>1691167364.5</v>
      </c>
      <c r="DF51">
        <v>8.2124799999999993</v>
      </c>
      <c r="DG51">
        <v>9.9214400000000005</v>
      </c>
      <c r="DH51">
        <v>26.186499999999999</v>
      </c>
      <c r="DI51">
        <v>19.751999999999999</v>
      </c>
      <c r="DJ51">
        <v>9.5823499999999999</v>
      </c>
      <c r="DK51">
        <v>26.098199999999999</v>
      </c>
      <c r="DL51">
        <v>500.20400000000001</v>
      </c>
      <c r="DM51">
        <v>99.158199999999994</v>
      </c>
      <c r="DN51">
        <v>9.98275E-2</v>
      </c>
      <c r="DO51">
        <v>30.188800000000001</v>
      </c>
      <c r="DP51">
        <v>30.028300000000002</v>
      </c>
      <c r="DQ51">
        <v>999.9</v>
      </c>
      <c r="DR51">
        <v>0</v>
      </c>
      <c r="DS51">
        <v>0</v>
      </c>
      <c r="DT51">
        <v>10005</v>
      </c>
      <c r="DU51">
        <v>0</v>
      </c>
      <c r="DV51">
        <v>1873.19</v>
      </c>
      <c r="DW51">
        <v>-1.70896</v>
      </c>
      <c r="DX51">
        <v>8.4333200000000001</v>
      </c>
      <c r="DY51">
        <v>10.1214</v>
      </c>
      <c r="DZ51">
        <v>6.4344700000000001</v>
      </c>
      <c r="EA51">
        <v>9.9214400000000005</v>
      </c>
      <c r="EB51">
        <v>19.751999999999999</v>
      </c>
      <c r="EC51">
        <v>2.5966</v>
      </c>
      <c r="ED51">
        <v>1.9585699999999999</v>
      </c>
      <c r="EE51">
        <v>21.645</v>
      </c>
      <c r="EF51">
        <v>17.113299999999999</v>
      </c>
      <c r="EG51">
        <v>1799.72</v>
      </c>
      <c r="EH51">
        <v>0.97800500000000001</v>
      </c>
      <c r="EI51">
        <v>2.1994799999999998E-2</v>
      </c>
      <c r="EJ51">
        <v>0</v>
      </c>
      <c r="EK51">
        <v>780.02499999999998</v>
      </c>
      <c r="EL51">
        <v>0.100005</v>
      </c>
      <c r="EM51">
        <v>19249.3</v>
      </c>
      <c r="EN51">
        <v>14860.3</v>
      </c>
      <c r="EO51">
        <v>47.625</v>
      </c>
      <c r="EP51">
        <v>49.811999999999998</v>
      </c>
      <c r="EQ51">
        <v>48.436999999999998</v>
      </c>
      <c r="ER51">
        <v>48.186999999999998</v>
      </c>
      <c r="ES51">
        <v>48.686999999999998</v>
      </c>
      <c r="ET51">
        <v>1760.04</v>
      </c>
      <c r="EU51">
        <v>39.58</v>
      </c>
      <c r="EV51">
        <v>0</v>
      </c>
      <c r="EW51">
        <v>142.20000004768369</v>
      </c>
      <c r="EX51">
        <v>0</v>
      </c>
      <c r="EY51">
        <v>780.8794230769231</v>
      </c>
      <c r="EZ51">
        <v>-1.005982941641109</v>
      </c>
      <c r="FA51">
        <v>442.25982899845468</v>
      </c>
      <c r="FB51">
        <v>19159.25</v>
      </c>
      <c r="FC51">
        <v>15</v>
      </c>
      <c r="FD51">
        <v>1691167313</v>
      </c>
      <c r="FE51" t="s">
        <v>598</v>
      </c>
      <c r="FF51">
        <v>1691167303.5</v>
      </c>
      <c r="FG51">
        <v>1691167313</v>
      </c>
      <c r="FH51">
        <v>44</v>
      </c>
      <c r="FI51">
        <v>-9.7000000000000003E-2</v>
      </c>
      <c r="FJ51">
        <v>-1.2E-2</v>
      </c>
      <c r="FK51">
        <v>-1.377</v>
      </c>
      <c r="FL51">
        <v>-3.6999999999999998E-2</v>
      </c>
      <c r="FM51">
        <v>10</v>
      </c>
      <c r="FN51">
        <v>21</v>
      </c>
      <c r="FO51">
        <v>1.44</v>
      </c>
      <c r="FP51">
        <v>0.1</v>
      </c>
      <c r="FQ51">
        <v>1.3590305307562851</v>
      </c>
      <c r="FR51">
        <v>0.52872297817714164</v>
      </c>
      <c r="FS51">
        <v>5.4989911864501417E-2</v>
      </c>
      <c r="FT51">
        <v>1</v>
      </c>
      <c r="FU51">
        <v>0.3409981812583387</v>
      </c>
      <c r="FV51">
        <v>-4.3329468361028682E-2</v>
      </c>
      <c r="FW51">
        <v>3.3110119383963658E-3</v>
      </c>
      <c r="FX51">
        <v>1</v>
      </c>
      <c r="FY51">
        <v>2</v>
      </c>
      <c r="FZ51">
        <v>2</v>
      </c>
      <c r="GA51" t="s">
        <v>421</v>
      </c>
      <c r="GB51">
        <v>2.9171100000000001</v>
      </c>
      <c r="GC51">
        <v>2.8297599999999998</v>
      </c>
      <c r="GD51">
        <v>2.6554E-3</v>
      </c>
      <c r="GE51">
        <v>2.6870700000000002E-3</v>
      </c>
      <c r="GF51">
        <v>0.125275</v>
      </c>
      <c r="GG51">
        <v>9.90901E-2</v>
      </c>
      <c r="GH51">
        <v>25784.2</v>
      </c>
      <c r="GI51">
        <v>32016.400000000001</v>
      </c>
      <c r="GJ51">
        <v>23289.5</v>
      </c>
      <c r="GK51">
        <v>29437.1</v>
      </c>
      <c r="GL51">
        <v>27797.8</v>
      </c>
      <c r="GM51">
        <v>37704</v>
      </c>
      <c r="GN51">
        <v>32940.5</v>
      </c>
      <c r="GO51">
        <v>43647.3</v>
      </c>
      <c r="GP51">
        <v>1.9414</v>
      </c>
      <c r="GQ51">
        <v>1.7184999999999999</v>
      </c>
      <c r="GR51">
        <v>-5.6147599999999999E-2</v>
      </c>
      <c r="GS51">
        <v>0</v>
      </c>
      <c r="GT51">
        <v>30.941299999999998</v>
      </c>
      <c r="GU51">
        <v>999.9</v>
      </c>
      <c r="GV51">
        <v>31.1</v>
      </c>
      <c r="GW51">
        <v>45.9</v>
      </c>
      <c r="GX51">
        <v>31.6617</v>
      </c>
      <c r="GY51">
        <v>61.822000000000003</v>
      </c>
      <c r="GZ51">
        <v>39.631399999999999</v>
      </c>
      <c r="HA51">
        <v>1</v>
      </c>
      <c r="HB51">
        <v>0.61302800000000002</v>
      </c>
      <c r="HC51">
        <v>5.4401099999999998</v>
      </c>
      <c r="HD51">
        <v>20.229099999999999</v>
      </c>
      <c r="HE51">
        <v>5.2107000000000001</v>
      </c>
      <c r="HF51">
        <v>11.8782</v>
      </c>
      <c r="HG51">
        <v>4.9847999999999999</v>
      </c>
      <c r="HH51">
        <v>3.2839999999999998</v>
      </c>
      <c r="HI51">
        <v>9999</v>
      </c>
      <c r="HJ51">
        <v>9999</v>
      </c>
      <c r="HK51">
        <v>9999</v>
      </c>
      <c r="HL51">
        <v>999.9</v>
      </c>
      <c r="HM51">
        <v>1.85466</v>
      </c>
      <c r="HN51">
        <v>1.8606400000000001</v>
      </c>
      <c r="HO51">
        <v>1.8579300000000001</v>
      </c>
      <c r="HP51">
        <v>1.85903</v>
      </c>
      <c r="HQ51">
        <v>1.8583799999999999</v>
      </c>
      <c r="HR51">
        <v>1.8589800000000001</v>
      </c>
      <c r="HS51">
        <v>1.8572900000000001</v>
      </c>
      <c r="HT51">
        <v>1.86056</v>
      </c>
      <c r="HU51">
        <v>5</v>
      </c>
      <c r="HV51">
        <v>0</v>
      </c>
      <c r="HW51">
        <v>0</v>
      </c>
      <c r="HX51">
        <v>0</v>
      </c>
      <c r="HY51" t="s">
        <v>422</v>
      </c>
      <c r="HZ51" t="s">
        <v>423</v>
      </c>
      <c r="IA51" t="s">
        <v>424</v>
      </c>
      <c r="IB51" t="s">
        <v>424</v>
      </c>
      <c r="IC51" t="s">
        <v>424</v>
      </c>
      <c r="ID51" t="s">
        <v>424</v>
      </c>
      <c r="IE51">
        <v>0</v>
      </c>
      <c r="IF51">
        <v>100</v>
      </c>
      <c r="IG51">
        <v>100</v>
      </c>
      <c r="IH51">
        <v>-1.37</v>
      </c>
      <c r="II51">
        <v>8.8300000000000003E-2</v>
      </c>
      <c r="IJ51">
        <v>-1.3305336494986011</v>
      </c>
      <c r="IK51">
        <v>-4.1229525807901877E-3</v>
      </c>
      <c r="IL51">
        <v>1.8448211998558991E-6</v>
      </c>
      <c r="IM51">
        <v>-3.7020276670297668E-10</v>
      </c>
      <c r="IN51">
        <v>-0.16015302884467761</v>
      </c>
      <c r="IO51">
        <v>-1.3488639696665739E-2</v>
      </c>
      <c r="IP51">
        <v>1.1588640342490499E-3</v>
      </c>
      <c r="IQ51">
        <v>-1.0624341560077559E-5</v>
      </c>
      <c r="IR51">
        <v>2</v>
      </c>
      <c r="IS51">
        <v>1915</v>
      </c>
      <c r="IT51">
        <v>1</v>
      </c>
      <c r="IU51">
        <v>42</v>
      </c>
      <c r="IV51">
        <v>1</v>
      </c>
      <c r="IW51">
        <v>0.9</v>
      </c>
      <c r="IX51">
        <v>0.157471</v>
      </c>
      <c r="IY51">
        <v>2.5720200000000002</v>
      </c>
      <c r="IZ51">
        <v>1.49414</v>
      </c>
      <c r="JA51">
        <v>2.2851599999999999</v>
      </c>
      <c r="JB51">
        <v>1.54419</v>
      </c>
      <c r="JC51">
        <v>2.5268600000000001</v>
      </c>
      <c r="JD51">
        <v>49.420999999999999</v>
      </c>
      <c r="JE51">
        <v>15.156499999999999</v>
      </c>
      <c r="JF51">
        <v>18</v>
      </c>
      <c r="JG51">
        <v>514.35900000000004</v>
      </c>
      <c r="JH51">
        <v>397.40800000000002</v>
      </c>
      <c r="JI51">
        <v>22.706499999999998</v>
      </c>
      <c r="JJ51">
        <v>34.688400000000001</v>
      </c>
      <c r="JK51">
        <v>30.001300000000001</v>
      </c>
      <c r="JL51">
        <v>34.67</v>
      </c>
      <c r="JM51">
        <v>34.665399999999998</v>
      </c>
      <c r="JN51">
        <v>3.21393</v>
      </c>
      <c r="JO51">
        <v>36.562899999999999</v>
      </c>
      <c r="JP51">
        <v>0</v>
      </c>
      <c r="JQ51">
        <v>22.7044</v>
      </c>
      <c r="JR51">
        <v>10</v>
      </c>
      <c r="JS51">
        <v>19.724299999999999</v>
      </c>
      <c r="JT51">
        <v>97.685000000000002</v>
      </c>
      <c r="JU51">
        <v>98.1357</v>
      </c>
    </row>
    <row r="52" spans="1:281" x14ac:dyDescent="0.25">
      <c r="A52">
        <v>36</v>
      </c>
      <c r="B52">
        <v>1691167523</v>
      </c>
      <c r="C52">
        <v>8277.4000000953674</v>
      </c>
      <c r="D52" t="s">
        <v>599</v>
      </c>
      <c r="E52" t="s">
        <v>600</v>
      </c>
      <c r="F52" t="s">
        <v>413</v>
      </c>
      <c r="G52" t="s">
        <v>564</v>
      </c>
      <c r="H52" t="s">
        <v>565</v>
      </c>
      <c r="I52" t="s">
        <v>31</v>
      </c>
      <c r="J52">
        <v>1691167523</v>
      </c>
      <c r="K52">
        <f t="shared" si="46"/>
        <v>5.4908343335007912E-3</v>
      </c>
      <c r="L52">
        <f t="shared" si="47"/>
        <v>5.490834333500791</v>
      </c>
      <c r="M52">
        <f t="shared" si="48"/>
        <v>39.475503327168333</v>
      </c>
      <c r="N52">
        <f t="shared" si="49"/>
        <v>350.27300000000002</v>
      </c>
      <c r="O52">
        <f t="shared" si="50"/>
        <v>141.03008697161661</v>
      </c>
      <c r="P52">
        <f t="shared" si="51"/>
        <v>14.000250382084799</v>
      </c>
      <c r="Q52">
        <f t="shared" si="52"/>
        <v>34.772081669856298</v>
      </c>
      <c r="R52">
        <f t="shared" si="53"/>
        <v>0.32884633751846604</v>
      </c>
      <c r="S52">
        <f t="shared" si="54"/>
        <v>2.9158495182927289</v>
      </c>
      <c r="T52">
        <f t="shared" si="55"/>
        <v>0.30954441971428837</v>
      </c>
      <c r="U52">
        <f t="shared" si="56"/>
        <v>0.19510498427576339</v>
      </c>
      <c r="V52">
        <f t="shared" si="57"/>
        <v>344.41969999340085</v>
      </c>
      <c r="W52">
        <f t="shared" si="58"/>
        <v>30.685868818822062</v>
      </c>
      <c r="X52">
        <f t="shared" si="59"/>
        <v>30.0166</v>
      </c>
      <c r="Y52">
        <f t="shared" si="60"/>
        <v>4.2645137585708977</v>
      </c>
      <c r="Z52">
        <f t="shared" si="61"/>
        <v>59.904530303825688</v>
      </c>
      <c r="AA52">
        <f t="shared" si="62"/>
        <v>2.5641597128983795</v>
      </c>
      <c r="AB52">
        <f t="shared" si="63"/>
        <v>4.2804103460846674</v>
      </c>
      <c r="AC52">
        <f t="shared" si="64"/>
        <v>1.7003540456725181</v>
      </c>
      <c r="AD52">
        <f t="shared" si="65"/>
        <v>-242.14579410738489</v>
      </c>
      <c r="AE52">
        <f t="shared" si="66"/>
        <v>10.186513294116519</v>
      </c>
      <c r="AF52">
        <f t="shared" si="67"/>
        <v>0.77715962098857116</v>
      </c>
      <c r="AG52">
        <f t="shared" si="68"/>
        <v>113.23757880112107</v>
      </c>
      <c r="AH52">
        <v>0</v>
      </c>
      <c r="AI52">
        <v>0</v>
      </c>
      <c r="AJ52">
        <f t="shared" si="69"/>
        <v>1</v>
      </c>
      <c r="AK52">
        <f t="shared" si="70"/>
        <v>0</v>
      </c>
      <c r="AL52">
        <f t="shared" si="71"/>
        <v>51930.831206853123</v>
      </c>
      <c r="AM52" t="s">
        <v>416</v>
      </c>
      <c r="AN52">
        <v>10235.299999999999</v>
      </c>
      <c r="AO52">
        <v>594.051923076923</v>
      </c>
      <c r="AP52">
        <v>2007.77</v>
      </c>
      <c r="AQ52">
        <f t="shared" si="72"/>
        <v>0.70412351859180933</v>
      </c>
      <c r="AR52">
        <v>-0.54275787784279261</v>
      </c>
      <c r="AS52" t="s">
        <v>601</v>
      </c>
      <c r="AT52">
        <v>10181.700000000001</v>
      </c>
      <c r="AU52">
        <v>723.81788461538463</v>
      </c>
      <c r="AV52">
        <v>1022.18789808339</v>
      </c>
      <c r="AW52">
        <f t="shared" si="73"/>
        <v>0.29189351001655506</v>
      </c>
      <c r="AX52">
        <v>0.5</v>
      </c>
      <c r="AY52">
        <f t="shared" si="74"/>
        <v>1513.3811999967006</v>
      </c>
      <c r="AZ52">
        <f t="shared" si="75"/>
        <v>39.475503327168333</v>
      </c>
      <c r="BA52">
        <f t="shared" si="76"/>
        <v>220.87307523005151</v>
      </c>
      <c r="BB52">
        <f t="shared" si="77"/>
        <v>2.6442948547991989E-2</v>
      </c>
      <c r="BC52">
        <f t="shared" si="78"/>
        <v>0.96418877954296256</v>
      </c>
      <c r="BD52">
        <f t="shared" si="79"/>
        <v>462.19622256950652</v>
      </c>
      <c r="BE52" t="s">
        <v>602</v>
      </c>
      <c r="BF52">
        <v>539.80999999999995</v>
      </c>
      <c r="BG52">
        <f t="shared" si="80"/>
        <v>539.80999999999995</v>
      </c>
      <c r="BH52">
        <f t="shared" si="81"/>
        <v>0.47190726772235536</v>
      </c>
      <c r="BI52">
        <f t="shared" si="82"/>
        <v>0.6185399759265614</v>
      </c>
      <c r="BJ52">
        <f t="shared" si="83"/>
        <v>0.6713957477837339</v>
      </c>
      <c r="BK52">
        <f t="shared" si="84"/>
        <v>0.69690479400498517</v>
      </c>
      <c r="BL52">
        <f t="shared" si="85"/>
        <v>0.69715604405491194</v>
      </c>
      <c r="BM52">
        <f t="shared" si="86"/>
        <v>0.46129568155439882</v>
      </c>
      <c r="BN52">
        <f t="shared" si="87"/>
        <v>0.53870431844560118</v>
      </c>
      <c r="BO52">
        <v>12539</v>
      </c>
      <c r="BP52">
        <v>290.00000000000011</v>
      </c>
      <c r="BQ52">
        <v>920.66</v>
      </c>
      <c r="BR52">
        <v>255</v>
      </c>
      <c r="BS52">
        <v>10181.700000000001</v>
      </c>
      <c r="BT52">
        <v>921.98</v>
      </c>
      <c r="BU52">
        <v>-1.32</v>
      </c>
      <c r="BV52">
        <v>300.00000000000011</v>
      </c>
      <c r="BW52">
        <v>24.2</v>
      </c>
      <c r="BX52">
        <v>1022.18789808339</v>
      </c>
      <c r="BY52">
        <v>1.8500926836188589</v>
      </c>
      <c r="BZ52">
        <v>-102.02614357687391</v>
      </c>
      <c r="CA52">
        <v>1.6772590964544249</v>
      </c>
      <c r="CB52">
        <v>0.99248962922601125</v>
      </c>
      <c r="CC52">
        <v>-6.9541583982202513E-3</v>
      </c>
      <c r="CD52">
        <v>289.99999999999989</v>
      </c>
      <c r="CE52">
        <v>909.43</v>
      </c>
      <c r="CF52">
        <v>645</v>
      </c>
      <c r="CG52">
        <v>10162.299999999999</v>
      </c>
      <c r="CH52">
        <v>921.79</v>
      </c>
      <c r="CI52">
        <v>-12.36</v>
      </c>
      <c r="CW52">
        <f t="shared" si="88"/>
        <v>1800.23</v>
      </c>
      <c r="CX52">
        <f t="shared" si="89"/>
        <v>1513.3811999967006</v>
      </c>
      <c r="CY52">
        <f t="shared" si="90"/>
        <v>0.84065991567560849</v>
      </c>
      <c r="CZ52">
        <f t="shared" si="91"/>
        <v>0.19131983135121672</v>
      </c>
      <c r="DA52">
        <v>6</v>
      </c>
      <c r="DB52">
        <v>0.5</v>
      </c>
      <c r="DC52" t="s">
        <v>419</v>
      </c>
      <c r="DD52">
        <v>2</v>
      </c>
      <c r="DE52">
        <v>1691167523</v>
      </c>
      <c r="DF52">
        <v>350.27300000000002</v>
      </c>
      <c r="DG52">
        <v>399.96</v>
      </c>
      <c r="DH52">
        <v>25.829799999999999</v>
      </c>
      <c r="DI52">
        <v>19.4099</v>
      </c>
      <c r="DJ52">
        <v>352.29</v>
      </c>
      <c r="DK52">
        <v>25.758600000000001</v>
      </c>
      <c r="DL52">
        <v>499.91500000000002</v>
      </c>
      <c r="DM52">
        <v>99.171499999999995</v>
      </c>
      <c r="DN52">
        <v>9.9873100000000006E-2</v>
      </c>
      <c r="DO52">
        <v>30.081399999999999</v>
      </c>
      <c r="DP52">
        <v>30.0166</v>
      </c>
      <c r="DQ52">
        <v>999.9</v>
      </c>
      <c r="DR52">
        <v>0</v>
      </c>
      <c r="DS52">
        <v>0</v>
      </c>
      <c r="DT52">
        <v>10005</v>
      </c>
      <c r="DU52">
        <v>0</v>
      </c>
      <c r="DV52">
        <v>1889.52</v>
      </c>
      <c r="DW52">
        <v>-49.686399999999999</v>
      </c>
      <c r="DX52">
        <v>359.56099999999998</v>
      </c>
      <c r="DY52">
        <v>407.87700000000001</v>
      </c>
      <c r="DZ52">
        <v>6.4199599999999997</v>
      </c>
      <c r="EA52">
        <v>399.96</v>
      </c>
      <c r="EB52">
        <v>19.4099</v>
      </c>
      <c r="EC52">
        <v>2.5615800000000002</v>
      </c>
      <c r="ED52">
        <v>1.9249099999999999</v>
      </c>
      <c r="EE52">
        <v>21.423200000000001</v>
      </c>
      <c r="EF52">
        <v>16.8398</v>
      </c>
      <c r="EG52">
        <v>1800.23</v>
      </c>
      <c r="EH52">
        <v>0.97800100000000001</v>
      </c>
      <c r="EI52">
        <v>2.1999500000000002E-2</v>
      </c>
      <c r="EJ52">
        <v>0</v>
      </c>
      <c r="EK52">
        <v>720.17</v>
      </c>
      <c r="EL52">
        <v>0.100005</v>
      </c>
      <c r="EM52">
        <v>18350.7</v>
      </c>
      <c r="EN52">
        <v>14864.4</v>
      </c>
      <c r="EO52">
        <v>48.061999999999998</v>
      </c>
      <c r="EP52">
        <v>50.625</v>
      </c>
      <c r="EQ52">
        <v>49</v>
      </c>
      <c r="ER52">
        <v>48.875</v>
      </c>
      <c r="ES52">
        <v>49.186999999999998</v>
      </c>
      <c r="ET52">
        <v>1760.53</v>
      </c>
      <c r="EU52">
        <v>39.6</v>
      </c>
      <c r="EV52">
        <v>0</v>
      </c>
      <c r="EW52">
        <v>156.20000004768369</v>
      </c>
      <c r="EX52">
        <v>0</v>
      </c>
      <c r="EY52">
        <v>723.81788461538463</v>
      </c>
      <c r="EZ52">
        <v>-13.313333329002299</v>
      </c>
      <c r="FA52">
        <v>-190.62905946644469</v>
      </c>
      <c r="FB52">
        <v>18354.034615384611</v>
      </c>
      <c r="FC52">
        <v>15</v>
      </c>
      <c r="FD52">
        <v>1691167454</v>
      </c>
      <c r="FE52" t="s">
        <v>603</v>
      </c>
      <c r="FF52">
        <v>1691167453</v>
      </c>
      <c r="FG52">
        <v>1691167454</v>
      </c>
      <c r="FH52">
        <v>45</v>
      </c>
      <c r="FI52">
        <v>0.55300000000000005</v>
      </c>
      <c r="FJ52">
        <v>-8.0000000000000002E-3</v>
      </c>
      <c r="FK52">
        <v>-2.1619999999999999</v>
      </c>
      <c r="FL52">
        <v>-7.1999999999999995E-2</v>
      </c>
      <c r="FM52">
        <v>400</v>
      </c>
      <c r="FN52">
        <v>19</v>
      </c>
      <c r="FO52">
        <v>0.15</v>
      </c>
      <c r="FP52">
        <v>0.05</v>
      </c>
      <c r="FQ52">
        <v>39.404982989974208</v>
      </c>
      <c r="FR52">
        <v>0.68245032402787753</v>
      </c>
      <c r="FS52">
        <v>0.1680169950199033</v>
      </c>
      <c r="FT52">
        <v>1</v>
      </c>
      <c r="FU52">
        <v>0.33101618982588188</v>
      </c>
      <c r="FV52">
        <v>-1.012824834450568E-2</v>
      </c>
      <c r="FW52">
        <v>9.3725810144226383E-4</v>
      </c>
      <c r="FX52">
        <v>1</v>
      </c>
      <c r="FY52">
        <v>2</v>
      </c>
      <c r="FZ52">
        <v>2</v>
      </c>
      <c r="GA52" t="s">
        <v>421</v>
      </c>
      <c r="GB52">
        <v>2.91595</v>
      </c>
      <c r="GC52">
        <v>2.8298000000000001</v>
      </c>
      <c r="GD52">
        <v>8.1096399999999999E-2</v>
      </c>
      <c r="GE52">
        <v>8.7836399999999995E-2</v>
      </c>
      <c r="GF52">
        <v>0.124057</v>
      </c>
      <c r="GG52">
        <v>9.7808099999999995E-2</v>
      </c>
      <c r="GH52">
        <v>23744</v>
      </c>
      <c r="GI52">
        <v>29265.599999999999</v>
      </c>
      <c r="GJ52">
        <v>23275.5</v>
      </c>
      <c r="GK52">
        <v>29418.3</v>
      </c>
      <c r="GL52">
        <v>27828.1</v>
      </c>
      <c r="GM52">
        <v>37747.4</v>
      </c>
      <c r="GN52">
        <v>32920.1</v>
      </c>
      <c r="GO52">
        <v>43623.6</v>
      </c>
      <c r="GP52">
        <v>1.9361999999999999</v>
      </c>
      <c r="GQ52">
        <v>1.7112000000000001</v>
      </c>
      <c r="GR52">
        <v>-8.1181500000000004E-2</v>
      </c>
      <c r="GS52">
        <v>0</v>
      </c>
      <c r="GT52">
        <v>31.336200000000002</v>
      </c>
      <c r="GU52">
        <v>999.9</v>
      </c>
      <c r="GV52">
        <v>30.9</v>
      </c>
      <c r="GW52">
        <v>46.2</v>
      </c>
      <c r="GX52">
        <v>31.939800000000002</v>
      </c>
      <c r="GY52">
        <v>61.942</v>
      </c>
      <c r="GZ52">
        <v>39.2027</v>
      </c>
      <c r="HA52">
        <v>1</v>
      </c>
      <c r="HB52">
        <v>0.64824199999999998</v>
      </c>
      <c r="HC52">
        <v>5.5452599999999999</v>
      </c>
      <c r="HD52">
        <v>20.225300000000001</v>
      </c>
      <c r="HE52">
        <v>5.2112999999999996</v>
      </c>
      <c r="HF52">
        <v>11.8782</v>
      </c>
      <c r="HG52">
        <v>4.9850000000000003</v>
      </c>
      <c r="HH52">
        <v>3.2839999999999998</v>
      </c>
      <c r="HI52">
        <v>9999</v>
      </c>
      <c r="HJ52">
        <v>9999</v>
      </c>
      <c r="HK52">
        <v>9999</v>
      </c>
      <c r="HL52">
        <v>999.9</v>
      </c>
      <c r="HM52">
        <v>1.8547100000000001</v>
      </c>
      <c r="HN52">
        <v>1.86066</v>
      </c>
      <c r="HO52">
        <v>1.85802</v>
      </c>
      <c r="HP52">
        <v>1.8591</v>
      </c>
      <c r="HQ52">
        <v>1.85849</v>
      </c>
      <c r="HR52">
        <v>1.8589800000000001</v>
      </c>
      <c r="HS52">
        <v>1.8573</v>
      </c>
      <c r="HT52">
        <v>1.8606400000000001</v>
      </c>
      <c r="HU52">
        <v>5</v>
      </c>
      <c r="HV52">
        <v>0</v>
      </c>
      <c r="HW52">
        <v>0</v>
      </c>
      <c r="HX52">
        <v>0</v>
      </c>
      <c r="HY52" t="s">
        <v>422</v>
      </c>
      <c r="HZ52" t="s">
        <v>423</v>
      </c>
      <c r="IA52" t="s">
        <v>424</v>
      </c>
      <c r="IB52" t="s">
        <v>424</v>
      </c>
      <c r="IC52" t="s">
        <v>424</v>
      </c>
      <c r="ID52" t="s">
        <v>424</v>
      </c>
      <c r="IE52">
        <v>0</v>
      </c>
      <c r="IF52">
        <v>100</v>
      </c>
      <c r="IG52">
        <v>100</v>
      </c>
      <c r="IH52">
        <v>-2.0169999999999999</v>
      </c>
      <c r="II52">
        <v>7.1199999999999999E-2</v>
      </c>
      <c r="IJ52">
        <v>-0.77712582211856995</v>
      </c>
      <c r="IK52">
        <v>-4.1229525807901877E-3</v>
      </c>
      <c r="IL52">
        <v>1.8448211998558991E-6</v>
      </c>
      <c r="IM52">
        <v>-3.7020276670297668E-10</v>
      </c>
      <c r="IN52">
        <v>-0.16864157738896199</v>
      </c>
      <c r="IO52">
        <v>-1.3488639696665739E-2</v>
      </c>
      <c r="IP52">
        <v>1.1588640342490499E-3</v>
      </c>
      <c r="IQ52">
        <v>-1.0624341560077559E-5</v>
      </c>
      <c r="IR52">
        <v>2</v>
      </c>
      <c r="IS52">
        <v>1915</v>
      </c>
      <c r="IT52">
        <v>1</v>
      </c>
      <c r="IU52">
        <v>42</v>
      </c>
      <c r="IV52">
        <v>1.2</v>
      </c>
      <c r="IW52">
        <v>1.1000000000000001</v>
      </c>
      <c r="IX52">
        <v>0.99975599999999998</v>
      </c>
      <c r="IY52">
        <v>2.5</v>
      </c>
      <c r="IZ52">
        <v>1.49414</v>
      </c>
      <c r="JA52">
        <v>2.2863799999999999</v>
      </c>
      <c r="JB52">
        <v>1.54419</v>
      </c>
      <c r="JC52">
        <v>2.4304199999999998</v>
      </c>
      <c r="JD52">
        <v>50.0899</v>
      </c>
      <c r="JE52">
        <v>15.103899999999999</v>
      </c>
      <c r="JF52">
        <v>18</v>
      </c>
      <c r="JG52">
        <v>513.27800000000002</v>
      </c>
      <c r="JH52">
        <v>394.67899999999997</v>
      </c>
      <c r="JI52">
        <v>22.473199999999999</v>
      </c>
      <c r="JJ52">
        <v>35.105499999999999</v>
      </c>
      <c r="JK52">
        <v>30.000699999999998</v>
      </c>
      <c r="JL52">
        <v>34.973399999999998</v>
      </c>
      <c r="JM52">
        <v>34.948999999999998</v>
      </c>
      <c r="JN52">
        <v>20.084800000000001</v>
      </c>
      <c r="JO52">
        <v>38.057699999999997</v>
      </c>
      <c r="JP52">
        <v>0</v>
      </c>
      <c r="JQ52">
        <v>22.468800000000002</v>
      </c>
      <c r="JR52">
        <v>400</v>
      </c>
      <c r="JS52">
        <v>19.452300000000001</v>
      </c>
      <c r="JT52">
        <v>97.625200000000007</v>
      </c>
      <c r="JU52">
        <v>98.078599999999994</v>
      </c>
    </row>
    <row r="53" spans="1:281" x14ac:dyDescent="0.25">
      <c r="A53">
        <v>37</v>
      </c>
      <c r="B53">
        <v>1691167623</v>
      </c>
      <c r="C53">
        <v>8377.4000000953674</v>
      </c>
      <c r="D53" t="s">
        <v>604</v>
      </c>
      <c r="E53" t="s">
        <v>605</v>
      </c>
      <c r="F53" t="s">
        <v>413</v>
      </c>
      <c r="G53" t="s">
        <v>564</v>
      </c>
      <c r="H53" t="s">
        <v>565</v>
      </c>
      <c r="I53" t="s">
        <v>31</v>
      </c>
      <c r="J53">
        <v>1691167623</v>
      </c>
      <c r="K53">
        <f t="shared" si="46"/>
        <v>5.199729845140188E-3</v>
      </c>
      <c r="L53">
        <f t="shared" si="47"/>
        <v>5.1997298451401877</v>
      </c>
      <c r="M53">
        <f t="shared" si="48"/>
        <v>39.402367661513978</v>
      </c>
      <c r="N53">
        <f t="shared" si="49"/>
        <v>350.64400000000001</v>
      </c>
      <c r="O53">
        <f t="shared" si="50"/>
        <v>133.52804500505147</v>
      </c>
      <c r="P53">
        <f t="shared" si="51"/>
        <v>13.255982113319579</v>
      </c>
      <c r="Q53">
        <f t="shared" si="52"/>
        <v>34.810144879804</v>
      </c>
      <c r="R53">
        <f t="shared" si="53"/>
        <v>0.3150088509768596</v>
      </c>
      <c r="S53">
        <f t="shared" si="54"/>
        <v>2.9110813628443477</v>
      </c>
      <c r="T53">
        <f t="shared" si="55"/>
        <v>0.29722275826566608</v>
      </c>
      <c r="U53">
        <f t="shared" si="56"/>
        <v>0.18727849631666946</v>
      </c>
      <c r="V53">
        <f t="shared" si="57"/>
        <v>344.38489999340186</v>
      </c>
      <c r="W53">
        <f t="shared" si="58"/>
        <v>30.699802737857851</v>
      </c>
      <c r="X53">
        <f t="shared" si="59"/>
        <v>29.974299999999999</v>
      </c>
      <c r="Y53">
        <f t="shared" si="60"/>
        <v>4.2541645961977057</v>
      </c>
      <c r="Z53">
        <f t="shared" si="61"/>
        <v>60.425886363111914</v>
      </c>
      <c r="AA53">
        <f t="shared" si="62"/>
        <v>2.5771662428708999</v>
      </c>
      <c r="AB53">
        <f t="shared" si="63"/>
        <v>4.2650036234208688</v>
      </c>
      <c r="AC53">
        <f t="shared" si="64"/>
        <v>1.6769983533268058</v>
      </c>
      <c r="AD53">
        <f t="shared" si="65"/>
        <v>-229.30808617068229</v>
      </c>
      <c r="AE53">
        <f t="shared" si="66"/>
        <v>6.9525402766113036</v>
      </c>
      <c r="AF53">
        <f t="shared" si="67"/>
        <v>0.53102259455224399</v>
      </c>
      <c r="AG53">
        <f t="shared" si="68"/>
        <v>122.56037669388314</v>
      </c>
      <c r="AH53">
        <v>0</v>
      </c>
      <c r="AI53">
        <v>0</v>
      </c>
      <c r="AJ53">
        <f t="shared" si="69"/>
        <v>1</v>
      </c>
      <c r="AK53">
        <f t="shared" si="70"/>
        <v>0</v>
      </c>
      <c r="AL53">
        <f t="shared" si="71"/>
        <v>51805.981467435719</v>
      </c>
      <c r="AM53" t="s">
        <v>416</v>
      </c>
      <c r="AN53">
        <v>10235.299999999999</v>
      </c>
      <c r="AO53">
        <v>594.051923076923</v>
      </c>
      <c r="AP53">
        <v>2007.77</v>
      </c>
      <c r="AQ53">
        <f t="shared" si="72"/>
        <v>0.70412351859180933</v>
      </c>
      <c r="AR53">
        <v>-0.54275787784279261</v>
      </c>
      <c r="AS53" t="s">
        <v>606</v>
      </c>
      <c r="AT53">
        <v>10176.4</v>
      </c>
      <c r="AU53">
        <v>713.83499999999992</v>
      </c>
      <c r="AV53">
        <v>997.12982051402207</v>
      </c>
      <c r="AW53">
        <f t="shared" si="73"/>
        <v>0.28411026797692518</v>
      </c>
      <c r="AX53">
        <v>0.5</v>
      </c>
      <c r="AY53">
        <f t="shared" si="74"/>
        <v>1513.2296999967007</v>
      </c>
      <c r="AZ53">
        <f t="shared" si="75"/>
        <v>39.402367661513978</v>
      </c>
      <c r="BA53">
        <f t="shared" si="76"/>
        <v>214.96204778835235</v>
      </c>
      <c r="BB53">
        <f t="shared" si="77"/>
        <v>2.6397265094284011E-2</v>
      </c>
      <c r="BC53">
        <f t="shared" si="78"/>
        <v>1.0135492477448835</v>
      </c>
      <c r="BD53">
        <f t="shared" si="79"/>
        <v>457.00330956896028</v>
      </c>
      <c r="BE53" t="s">
        <v>607</v>
      </c>
      <c r="BF53">
        <v>539.94000000000005</v>
      </c>
      <c r="BG53">
        <f t="shared" si="80"/>
        <v>539.94000000000005</v>
      </c>
      <c r="BH53">
        <f t="shared" si="81"/>
        <v>0.4585058144969929</v>
      </c>
      <c r="BI53">
        <f t="shared" si="82"/>
        <v>0.61964376239941565</v>
      </c>
      <c r="BJ53">
        <f t="shared" si="83"/>
        <v>0.68852672277169558</v>
      </c>
      <c r="BK53">
        <f t="shared" si="84"/>
        <v>0.70282896262807548</v>
      </c>
      <c r="BL53">
        <f t="shared" si="85"/>
        <v>0.71488099075991984</v>
      </c>
      <c r="BM53">
        <f t="shared" si="86"/>
        <v>0.46869438045198197</v>
      </c>
      <c r="BN53">
        <f t="shared" si="87"/>
        <v>0.53130561954801803</v>
      </c>
      <c r="BO53">
        <v>12541</v>
      </c>
      <c r="BP53">
        <v>290.00000000000011</v>
      </c>
      <c r="BQ53">
        <v>908.39</v>
      </c>
      <c r="BR53">
        <v>285</v>
      </c>
      <c r="BS53">
        <v>10176.4</v>
      </c>
      <c r="BT53">
        <v>907.27</v>
      </c>
      <c r="BU53">
        <v>1.1200000000000001</v>
      </c>
      <c r="BV53">
        <v>300.00000000000011</v>
      </c>
      <c r="BW53">
        <v>24.2</v>
      </c>
      <c r="BX53">
        <v>997.12982051402207</v>
      </c>
      <c r="BY53">
        <v>1.5917074101667359</v>
      </c>
      <c r="BZ53">
        <v>-91.443343131083708</v>
      </c>
      <c r="CA53">
        <v>1.442717950938126</v>
      </c>
      <c r="CB53">
        <v>0.99307849892207312</v>
      </c>
      <c r="CC53">
        <v>-6.9533619577308078E-3</v>
      </c>
      <c r="CD53">
        <v>289.99999999999989</v>
      </c>
      <c r="CE53">
        <v>899.67</v>
      </c>
      <c r="CF53">
        <v>625</v>
      </c>
      <c r="CG53">
        <v>10161.6</v>
      </c>
      <c r="CH53">
        <v>907.14</v>
      </c>
      <c r="CI53">
        <v>-7.47</v>
      </c>
      <c r="CW53">
        <f t="shared" si="88"/>
        <v>1800.05</v>
      </c>
      <c r="CX53">
        <f t="shared" si="89"/>
        <v>1513.2296999967007</v>
      </c>
      <c r="CY53">
        <f t="shared" si="90"/>
        <v>0.84065981500330589</v>
      </c>
      <c r="CZ53">
        <f t="shared" si="91"/>
        <v>0.19131963000661195</v>
      </c>
      <c r="DA53">
        <v>6</v>
      </c>
      <c r="DB53">
        <v>0.5</v>
      </c>
      <c r="DC53" t="s">
        <v>419</v>
      </c>
      <c r="DD53">
        <v>2</v>
      </c>
      <c r="DE53">
        <v>1691167623</v>
      </c>
      <c r="DF53">
        <v>350.64400000000001</v>
      </c>
      <c r="DG53">
        <v>400.09199999999998</v>
      </c>
      <c r="DH53">
        <v>25.959900000000001</v>
      </c>
      <c r="DI53">
        <v>19.885000000000002</v>
      </c>
      <c r="DJ53">
        <v>352.78300000000002</v>
      </c>
      <c r="DK53">
        <v>25.8871</v>
      </c>
      <c r="DL53">
        <v>500.23</v>
      </c>
      <c r="DM53">
        <v>99.174099999999996</v>
      </c>
      <c r="DN53">
        <v>0.10079100000000001</v>
      </c>
      <c r="DO53">
        <v>30.018599999999999</v>
      </c>
      <c r="DP53">
        <v>29.974299999999999</v>
      </c>
      <c r="DQ53">
        <v>999.9</v>
      </c>
      <c r="DR53">
        <v>0</v>
      </c>
      <c r="DS53">
        <v>0</v>
      </c>
      <c r="DT53">
        <v>9977.5</v>
      </c>
      <c r="DU53">
        <v>0</v>
      </c>
      <c r="DV53">
        <v>697.51</v>
      </c>
      <c r="DW53">
        <v>-49.448399999999999</v>
      </c>
      <c r="DX53">
        <v>359.98899999999998</v>
      </c>
      <c r="DY53">
        <v>408.21</v>
      </c>
      <c r="DZ53">
        <v>6.0749000000000004</v>
      </c>
      <c r="EA53">
        <v>400.09199999999998</v>
      </c>
      <c r="EB53">
        <v>19.885000000000002</v>
      </c>
      <c r="EC53">
        <v>2.5745499999999999</v>
      </c>
      <c r="ED53">
        <v>1.97207</v>
      </c>
      <c r="EE53">
        <v>21.505600000000001</v>
      </c>
      <c r="EF53">
        <v>17.221900000000002</v>
      </c>
      <c r="EG53">
        <v>1800.05</v>
      </c>
      <c r="EH53">
        <v>0.97800699999999996</v>
      </c>
      <c r="EI53">
        <v>2.1992899999999999E-2</v>
      </c>
      <c r="EJ53">
        <v>0</v>
      </c>
      <c r="EK53">
        <v>713.03499999999997</v>
      </c>
      <c r="EL53">
        <v>0.100005</v>
      </c>
      <c r="EM53">
        <v>15001.2</v>
      </c>
      <c r="EN53">
        <v>14863</v>
      </c>
      <c r="EO53">
        <v>48.25</v>
      </c>
      <c r="EP53">
        <v>50.811999999999998</v>
      </c>
      <c r="EQ53">
        <v>49.25</v>
      </c>
      <c r="ER53">
        <v>49.061999999999998</v>
      </c>
      <c r="ES53">
        <v>49.375</v>
      </c>
      <c r="ET53">
        <v>1760.36</v>
      </c>
      <c r="EU53">
        <v>39.590000000000003</v>
      </c>
      <c r="EV53">
        <v>0</v>
      </c>
      <c r="EW53">
        <v>97.799999952316284</v>
      </c>
      <c r="EX53">
        <v>0</v>
      </c>
      <c r="EY53">
        <v>713.83499999999992</v>
      </c>
      <c r="EZ53">
        <v>3.2800000140203371</v>
      </c>
      <c r="FA53">
        <v>-14103.67522343318</v>
      </c>
      <c r="FB53">
        <v>16419.58846153846</v>
      </c>
      <c r="FC53">
        <v>15</v>
      </c>
      <c r="FD53">
        <v>1691167590</v>
      </c>
      <c r="FE53" t="s">
        <v>608</v>
      </c>
      <c r="FF53">
        <v>1691167590</v>
      </c>
      <c r="FG53">
        <v>1691167588</v>
      </c>
      <c r="FH53">
        <v>46</v>
      </c>
      <c r="FI53">
        <v>-0.121</v>
      </c>
      <c r="FJ53">
        <v>-2E-3</v>
      </c>
      <c r="FK53">
        <v>-2.2829999999999999</v>
      </c>
      <c r="FL53">
        <v>-7.1999999999999995E-2</v>
      </c>
      <c r="FM53">
        <v>400</v>
      </c>
      <c r="FN53">
        <v>19</v>
      </c>
      <c r="FO53">
        <v>7.0000000000000007E-2</v>
      </c>
      <c r="FP53">
        <v>0.03</v>
      </c>
      <c r="FQ53">
        <v>39.32228879418863</v>
      </c>
      <c r="FR53">
        <v>-0.60546640219774828</v>
      </c>
      <c r="FS53">
        <v>0.1236119339024334</v>
      </c>
      <c r="FT53">
        <v>1</v>
      </c>
      <c r="FU53">
        <v>0.30442720017280739</v>
      </c>
      <c r="FV53">
        <v>5.9630335652311357E-2</v>
      </c>
      <c r="FW53">
        <v>4.9730875270855186E-3</v>
      </c>
      <c r="FX53">
        <v>0</v>
      </c>
      <c r="FY53">
        <v>1</v>
      </c>
      <c r="FZ53">
        <v>2</v>
      </c>
      <c r="GA53" t="s">
        <v>460</v>
      </c>
      <c r="GB53">
        <v>2.91656</v>
      </c>
      <c r="GC53">
        <v>2.8304800000000001</v>
      </c>
      <c r="GD53">
        <v>8.1157000000000007E-2</v>
      </c>
      <c r="GE53">
        <v>8.7833599999999998E-2</v>
      </c>
      <c r="GF53">
        <v>0.12445199999999999</v>
      </c>
      <c r="GG53">
        <v>9.9483100000000005E-2</v>
      </c>
      <c r="GH53">
        <v>23739.3</v>
      </c>
      <c r="GI53">
        <v>29261.9</v>
      </c>
      <c r="GJ53">
        <v>23273</v>
      </c>
      <c r="GK53">
        <v>29415.200000000001</v>
      </c>
      <c r="GL53">
        <v>27813.200000000001</v>
      </c>
      <c r="GM53">
        <v>37675.5</v>
      </c>
      <c r="GN53">
        <v>32916.400000000001</v>
      </c>
      <c r="GO53">
        <v>43621</v>
      </c>
      <c r="GP53">
        <v>1.9339</v>
      </c>
      <c r="GQ53">
        <v>1.7078</v>
      </c>
      <c r="GR53">
        <v>-8.3953100000000003E-2</v>
      </c>
      <c r="GS53">
        <v>0</v>
      </c>
      <c r="GT53">
        <v>31.338999999999999</v>
      </c>
      <c r="GU53">
        <v>999.9</v>
      </c>
      <c r="GV53">
        <v>30.6</v>
      </c>
      <c r="GW53">
        <v>46.4</v>
      </c>
      <c r="GX53">
        <v>31.956299999999999</v>
      </c>
      <c r="GY53">
        <v>61.872</v>
      </c>
      <c r="GZ53">
        <v>39.595399999999998</v>
      </c>
      <c r="HA53">
        <v>1</v>
      </c>
      <c r="HB53">
        <v>0.65723600000000004</v>
      </c>
      <c r="HC53">
        <v>5.1397300000000001</v>
      </c>
      <c r="HD53">
        <v>20.2395</v>
      </c>
      <c r="HE53">
        <v>5.2095000000000002</v>
      </c>
      <c r="HF53">
        <v>11.8782</v>
      </c>
      <c r="HG53">
        <v>4.9832000000000001</v>
      </c>
      <c r="HH53">
        <v>3.2839999999999998</v>
      </c>
      <c r="HI53">
        <v>9999</v>
      </c>
      <c r="HJ53">
        <v>9999</v>
      </c>
      <c r="HK53">
        <v>9999</v>
      </c>
      <c r="HL53">
        <v>999.9</v>
      </c>
      <c r="HM53">
        <v>1.8547100000000001</v>
      </c>
      <c r="HN53">
        <v>1.8606799999999999</v>
      </c>
      <c r="HO53">
        <v>1.8580399999999999</v>
      </c>
      <c r="HP53">
        <v>1.8590899999999999</v>
      </c>
      <c r="HQ53">
        <v>1.8585199999999999</v>
      </c>
      <c r="HR53">
        <v>1.8589800000000001</v>
      </c>
      <c r="HS53">
        <v>1.8573</v>
      </c>
      <c r="HT53">
        <v>1.8606400000000001</v>
      </c>
      <c r="HU53">
        <v>5</v>
      </c>
      <c r="HV53">
        <v>0</v>
      </c>
      <c r="HW53">
        <v>0</v>
      </c>
      <c r="HX53">
        <v>0</v>
      </c>
      <c r="HY53" t="s">
        <v>422</v>
      </c>
      <c r="HZ53" t="s">
        <v>423</v>
      </c>
      <c r="IA53" t="s">
        <v>424</v>
      </c>
      <c r="IB53" t="s">
        <v>424</v>
      </c>
      <c r="IC53" t="s">
        <v>424</v>
      </c>
      <c r="ID53" t="s">
        <v>424</v>
      </c>
      <c r="IE53">
        <v>0</v>
      </c>
      <c r="IF53">
        <v>100</v>
      </c>
      <c r="IG53">
        <v>100</v>
      </c>
      <c r="IH53">
        <v>-2.1389999999999998</v>
      </c>
      <c r="II53">
        <v>7.2800000000000004E-2</v>
      </c>
      <c r="IJ53">
        <v>-0.89790177258002446</v>
      </c>
      <c r="IK53">
        <v>-4.1229525807901877E-3</v>
      </c>
      <c r="IL53">
        <v>1.8448211998558991E-6</v>
      </c>
      <c r="IM53">
        <v>-3.7020276670297668E-10</v>
      </c>
      <c r="IN53">
        <v>-0.17033288008298089</v>
      </c>
      <c r="IO53">
        <v>-1.3488639696665739E-2</v>
      </c>
      <c r="IP53">
        <v>1.1588640342490499E-3</v>
      </c>
      <c r="IQ53">
        <v>-1.0624341560077559E-5</v>
      </c>
      <c r="IR53">
        <v>2</v>
      </c>
      <c r="IS53">
        <v>1915</v>
      </c>
      <c r="IT53">
        <v>1</v>
      </c>
      <c r="IU53">
        <v>42</v>
      </c>
      <c r="IV53">
        <v>0.6</v>
      </c>
      <c r="IW53">
        <v>0.6</v>
      </c>
      <c r="IX53">
        <v>0.99853499999999995</v>
      </c>
      <c r="IY53">
        <v>2.50122</v>
      </c>
      <c r="IZ53">
        <v>1.49414</v>
      </c>
      <c r="JA53">
        <v>2.2863799999999999</v>
      </c>
      <c r="JB53">
        <v>1.54419</v>
      </c>
      <c r="JC53">
        <v>2.50244</v>
      </c>
      <c r="JD53">
        <v>50.51</v>
      </c>
      <c r="JE53">
        <v>15.103899999999999</v>
      </c>
      <c r="JF53">
        <v>18</v>
      </c>
      <c r="JG53">
        <v>512.93899999999996</v>
      </c>
      <c r="JH53">
        <v>393.47500000000002</v>
      </c>
      <c r="JI53">
        <v>22.3383</v>
      </c>
      <c r="JJ53">
        <v>35.276400000000002</v>
      </c>
      <c r="JK53">
        <v>29.999099999999999</v>
      </c>
      <c r="JL53">
        <v>35.125900000000001</v>
      </c>
      <c r="JM53">
        <v>35.092500000000001</v>
      </c>
      <c r="JN53">
        <v>20.073799999999999</v>
      </c>
      <c r="JO53">
        <v>36.939500000000002</v>
      </c>
      <c r="JP53">
        <v>0</v>
      </c>
      <c r="JQ53">
        <v>22.35</v>
      </c>
      <c r="JR53">
        <v>400</v>
      </c>
      <c r="JS53">
        <v>19.647099999999998</v>
      </c>
      <c r="JT53">
        <v>97.6143</v>
      </c>
      <c r="JU53">
        <v>98.070999999999998</v>
      </c>
    </row>
    <row r="54" spans="1:281" x14ac:dyDescent="0.25">
      <c r="A54">
        <v>38</v>
      </c>
      <c r="B54">
        <v>1691167722.5</v>
      </c>
      <c r="C54">
        <v>8476.9000000953674</v>
      </c>
      <c r="D54" t="s">
        <v>609</v>
      </c>
      <c r="E54" t="s">
        <v>610</v>
      </c>
      <c r="F54" t="s">
        <v>413</v>
      </c>
      <c r="G54" t="s">
        <v>564</v>
      </c>
      <c r="H54" t="s">
        <v>565</v>
      </c>
      <c r="I54" t="s">
        <v>31</v>
      </c>
      <c r="J54">
        <v>1691167722.5</v>
      </c>
      <c r="K54">
        <f t="shared" si="46"/>
        <v>4.8931631749603056E-3</v>
      </c>
      <c r="L54">
        <f t="shared" si="47"/>
        <v>4.8931631749603053</v>
      </c>
      <c r="M54">
        <f t="shared" si="48"/>
        <v>45.414876261241183</v>
      </c>
      <c r="N54">
        <f t="shared" si="49"/>
        <v>442.928</v>
      </c>
      <c r="O54">
        <f t="shared" si="50"/>
        <v>176.76630277013379</v>
      </c>
      <c r="P54">
        <f t="shared" si="51"/>
        <v>17.548537547925669</v>
      </c>
      <c r="Q54">
        <f t="shared" si="52"/>
        <v>43.971834660904001</v>
      </c>
      <c r="R54">
        <f t="shared" si="53"/>
        <v>0.29567796873651969</v>
      </c>
      <c r="S54">
        <f t="shared" si="54"/>
        <v>2.9159447951410331</v>
      </c>
      <c r="T54">
        <f t="shared" si="55"/>
        <v>0.27997404903773948</v>
      </c>
      <c r="U54">
        <f t="shared" si="56"/>
        <v>0.1763251790949234</v>
      </c>
      <c r="V54">
        <f t="shared" si="57"/>
        <v>344.34499999340107</v>
      </c>
      <c r="W54">
        <f t="shared" si="58"/>
        <v>30.820694556872336</v>
      </c>
      <c r="X54">
        <f t="shared" si="59"/>
        <v>29.879300000000001</v>
      </c>
      <c r="Y54">
        <f t="shared" si="60"/>
        <v>4.231001543152348</v>
      </c>
      <c r="Z54">
        <f t="shared" si="61"/>
        <v>59.766638530705244</v>
      </c>
      <c r="AA54">
        <f t="shared" si="62"/>
        <v>2.5552483752145005</v>
      </c>
      <c r="AB54">
        <f t="shared" si="63"/>
        <v>4.2753757581693943</v>
      </c>
      <c r="AC54">
        <f t="shared" si="64"/>
        <v>1.6757531679378475</v>
      </c>
      <c r="AD54">
        <f t="shared" si="65"/>
        <v>-215.78849601574947</v>
      </c>
      <c r="AE54">
        <f t="shared" si="66"/>
        <v>28.54832190848877</v>
      </c>
      <c r="AF54">
        <f t="shared" si="67"/>
        <v>2.1762653389186601</v>
      </c>
      <c r="AG54">
        <f t="shared" si="68"/>
        <v>159.28109122505901</v>
      </c>
      <c r="AH54">
        <v>0</v>
      </c>
      <c r="AI54">
        <v>0</v>
      </c>
      <c r="AJ54">
        <f t="shared" si="69"/>
        <v>1</v>
      </c>
      <c r="AK54">
        <f t="shared" si="70"/>
        <v>0</v>
      </c>
      <c r="AL54">
        <f t="shared" si="71"/>
        <v>51937.171856490371</v>
      </c>
      <c r="AM54" t="s">
        <v>416</v>
      </c>
      <c r="AN54">
        <v>10235.299999999999</v>
      </c>
      <c r="AO54">
        <v>594.051923076923</v>
      </c>
      <c r="AP54">
        <v>2007.77</v>
      </c>
      <c r="AQ54">
        <f t="shared" si="72"/>
        <v>0.70412351859180933</v>
      </c>
      <c r="AR54">
        <v>-0.54275787784279261</v>
      </c>
      <c r="AS54" t="s">
        <v>611</v>
      </c>
      <c r="AT54">
        <v>10200.299999999999</v>
      </c>
      <c r="AU54">
        <v>719.72096153846167</v>
      </c>
      <c r="AV54">
        <v>1056.257909798197</v>
      </c>
      <c r="AW54">
        <f t="shared" si="73"/>
        <v>0.3186124763070719</v>
      </c>
      <c r="AX54">
        <v>0.5</v>
      </c>
      <c r="AY54">
        <f t="shared" si="74"/>
        <v>1513.0532999967004</v>
      </c>
      <c r="AZ54">
        <f t="shared" si="75"/>
        <v>45.414876261241183</v>
      </c>
      <c r="BA54">
        <f t="shared" si="76"/>
        <v>241.03882934826783</v>
      </c>
      <c r="BB54">
        <f t="shared" si="77"/>
        <v>3.0374101255510433E-2</v>
      </c>
      <c r="BC54">
        <f t="shared" si="78"/>
        <v>0.90083310276331441</v>
      </c>
      <c r="BD54">
        <f t="shared" si="79"/>
        <v>469.03699373975019</v>
      </c>
      <c r="BE54" t="s">
        <v>612</v>
      </c>
      <c r="BF54">
        <v>542.89</v>
      </c>
      <c r="BG54">
        <f t="shared" si="80"/>
        <v>542.89</v>
      </c>
      <c r="BH54">
        <f t="shared" si="81"/>
        <v>0.48602515070990415</v>
      </c>
      <c r="BI54">
        <f t="shared" si="82"/>
        <v>0.6555473021132675</v>
      </c>
      <c r="BJ54">
        <f t="shared" si="83"/>
        <v>0.64954951272582251</v>
      </c>
      <c r="BK54">
        <f t="shared" si="84"/>
        <v>0.72811031862008013</v>
      </c>
      <c r="BL54">
        <f t="shared" si="85"/>
        <v>0.67305646418042975</v>
      </c>
      <c r="BM54">
        <f t="shared" si="86"/>
        <v>0.49448340935288038</v>
      </c>
      <c r="BN54">
        <f t="shared" si="87"/>
        <v>0.50551659064711962</v>
      </c>
      <c r="BO54">
        <v>12543</v>
      </c>
      <c r="BP54">
        <v>290.00000000000011</v>
      </c>
      <c r="BQ54">
        <v>952.89</v>
      </c>
      <c r="BR54">
        <v>115</v>
      </c>
      <c r="BS54">
        <v>10200.299999999999</v>
      </c>
      <c r="BT54">
        <v>952.06</v>
      </c>
      <c r="BU54">
        <v>0.83</v>
      </c>
      <c r="BV54">
        <v>300.00000000000011</v>
      </c>
      <c r="BW54">
        <v>24.2</v>
      </c>
      <c r="BX54">
        <v>1056.257909798197</v>
      </c>
      <c r="BY54">
        <v>1.6311089775496239</v>
      </c>
      <c r="BZ54">
        <v>-106.2823321796962</v>
      </c>
      <c r="CA54">
        <v>1.4784525146626979</v>
      </c>
      <c r="CB54">
        <v>0.9946110528836819</v>
      </c>
      <c r="CC54">
        <v>-6.9532949944382666E-3</v>
      </c>
      <c r="CD54">
        <v>289.99999999999989</v>
      </c>
      <c r="CE54">
        <v>942.72</v>
      </c>
      <c r="CF54">
        <v>625</v>
      </c>
      <c r="CG54">
        <v>10161.700000000001</v>
      </c>
      <c r="CH54">
        <v>951.67</v>
      </c>
      <c r="CI54">
        <v>-8.9499999999999993</v>
      </c>
      <c r="CW54">
        <f t="shared" si="88"/>
        <v>1799.84</v>
      </c>
      <c r="CX54">
        <f t="shared" si="89"/>
        <v>1513.0532999967004</v>
      </c>
      <c r="CY54">
        <f t="shared" si="90"/>
        <v>0.84065989198856594</v>
      </c>
      <c r="CZ54">
        <f t="shared" si="91"/>
        <v>0.1913197839771319</v>
      </c>
      <c r="DA54">
        <v>6</v>
      </c>
      <c r="DB54">
        <v>0.5</v>
      </c>
      <c r="DC54" t="s">
        <v>419</v>
      </c>
      <c r="DD54">
        <v>2</v>
      </c>
      <c r="DE54">
        <v>1691167722.5</v>
      </c>
      <c r="DF54">
        <v>442.928</v>
      </c>
      <c r="DG54">
        <v>500.036</v>
      </c>
      <c r="DH54">
        <v>25.739000000000001</v>
      </c>
      <c r="DI54">
        <v>20.017399999999999</v>
      </c>
      <c r="DJ54">
        <v>445.137</v>
      </c>
      <c r="DK54">
        <v>25.671900000000001</v>
      </c>
      <c r="DL54">
        <v>499.91800000000001</v>
      </c>
      <c r="DM54">
        <v>99.176900000000003</v>
      </c>
      <c r="DN54">
        <v>9.8455500000000001E-2</v>
      </c>
      <c r="DO54">
        <v>30.0609</v>
      </c>
      <c r="DP54">
        <v>29.879300000000001</v>
      </c>
      <c r="DQ54">
        <v>999.9</v>
      </c>
      <c r="DR54">
        <v>0</v>
      </c>
      <c r="DS54">
        <v>0</v>
      </c>
      <c r="DT54">
        <v>10005</v>
      </c>
      <c r="DU54">
        <v>0</v>
      </c>
      <c r="DV54">
        <v>990.79100000000005</v>
      </c>
      <c r="DW54">
        <v>-57.108199999999997</v>
      </c>
      <c r="DX54">
        <v>454.63</v>
      </c>
      <c r="DY54">
        <v>510.25</v>
      </c>
      <c r="DZ54">
        <v>5.7215800000000003</v>
      </c>
      <c r="EA54">
        <v>500.036</v>
      </c>
      <c r="EB54">
        <v>20.017399999999999</v>
      </c>
      <c r="EC54">
        <v>2.5527199999999999</v>
      </c>
      <c r="ED54">
        <v>1.9852700000000001</v>
      </c>
      <c r="EE54">
        <v>21.366599999999998</v>
      </c>
      <c r="EF54">
        <v>17.327300000000001</v>
      </c>
      <c r="EG54">
        <v>1799.84</v>
      </c>
      <c r="EH54">
        <v>0.97800399999999998</v>
      </c>
      <c r="EI54">
        <v>2.1995799999999999E-2</v>
      </c>
      <c r="EJ54">
        <v>0</v>
      </c>
      <c r="EK54">
        <v>722.84500000000003</v>
      </c>
      <c r="EL54">
        <v>0.100005</v>
      </c>
      <c r="EM54">
        <v>15985.6</v>
      </c>
      <c r="EN54">
        <v>14861.3</v>
      </c>
      <c r="EO54">
        <v>48.25</v>
      </c>
      <c r="EP54">
        <v>50.561999999999998</v>
      </c>
      <c r="EQ54">
        <v>49.186999999999998</v>
      </c>
      <c r="ER54">
        <v>48.936999999999998</v>
      </c>
      <c r="ES54">
        <v>49.311999999999998</v>
      </c>
      <c r="ET54">
        <v>1760.15</v>
      </c>
      <c r="EU54">
        <v>39.590000000000003</v>
      </c>
      <c r="EV54">
        <v>0</v>
      </c>
      <c r="EW54">
        <v>97.400000095367432</v>
      </c>
      <c r="EX54">
        <v>0</v>
      </c>
      <c r="EY54">
        <v>719.72096153846167</v>
      </c>
      <c r="EZ54">
        <v>2.2490598273805702</v>
      </c>
      <c r="FA54">
        <v>2438.0273470293901</v>
      </c>
      <c r="FB54">
        <v>15666.70384615384</v>
      </c>
      <c r="FC54">
        <v>15</v>
      </c>
      <c r="FD54">
        <v>1691167694</v>
      </c>
      <c r="FE54" t="s">
        <v>613</v>
      </c>
      <c r="FF54">
        <v>1691167692.5</v>
      </c>
      <c r="FG54">
        <v>1691167694</v>
      </c>
      <c r="FH54">
        <v>47</v>
      </c>
      <c r="FI54">
        <v>0.192</v>
      </c>
      <c r="FJ54">
        <v>0</v>
      </c>
      <c r="FK54">
        <v>-2.359</v>
      </c>
      <c r="FL54">
        <v>-7.0000000000000007E-2</v>
      </c>
      <c r="FM54">
        <v>500</v>
      </c>
      <c r="FN54">
        <v>20</v>
      </c>
      <c r="FO54">
        <v>0.17</v>
      </c>
      <c r="FP54">
        <v>0.04</v>
      </c>
      <c r="FQ54">
        <v>45.22507045815415</v>
      </c>
      <c r="FR54">
        <v>-0.58335630447556097</v>
      </c>
      <c r="FS54">
        <v>0.1604737566154304</v>
      </c>
      <c r="FT54">
        <v>1</v>
      </c>
      <c r="FU54">
        <v>0.29658581424484037</v>
      </c>
      <c r="FV54">
        <v>3.8757781421922537E-2</v>
      </c>
      <c r="FW54">
        <v>4.3693010537631423E-3</v>
      </c>
      <c r="FX54">
        <v>1</v>
      </c>
      <c r="FY54">
        <v>2</v>
      </c>
      <c r="FZ54">
        <v>2</v>
      </c>
      <c r="GA54" t="s">
        <v>421</v>
      </c>
      <c r="GB54">
        <v>2.9157700000000002</v>
      </c>
      <c r="GC54">
        <v>2.8283800000000001</v>
      </c>
      <c r="GD54">
        <v>9.6995200000000004E-2</v>
      </c>
      <c r="GE54">
        <v>0.10379099999999999</v>
      </c>
      <c r="GF54">
        <v>0.12371500000000001</v>
      </c>
      <c r="GG54">
        <v>9.99501E-2</v>
      </c>
      <c r="GH54">
        <v>23330.7</v>
      </c>
      <c r="GI54">
        <v>28749.200000000001</v>
      </c>
      <c r="GJ54">
        <v>23273.4</v>
      </c>
      <c r="GK54">
        <v>29414.3</v>
      </c>
      <c r="GL54">
        <v>27841.599999999999</v>
      </c>
      <c r="GM54">
        <v>37656.800000000003</v>
      </c>
      <c r="GN54">
        <v>32920.6</v>
      </c>
      <c r="GO54">
        <v>43619.7</v>
      </c>
      <c r="GP54">
        <v>1.9323999999999999</v>
      </c>
      <c r="GQ54">
        <v>1.7084999999999999</v>
      </c>
      <c r="GR54">
        <v>-4.47035E-2</v>
      </c>
      <c r="GS54">
        <v>0</v>
      </c>
      <c r="GT54">
        <v>30.6065</v>
      </c>
      <c r="GU54">
        <v>999.9</v>
      </c>
      <c r="GV54">
        <v>30.4</v>
      </c>
      <c r="GW54">
        <v>46.6</v>
      </c>
      <c r="GX54">
        <v>32.071599999999997</v>
      </c>
      <c r="GY54">
        <v>61.362099999999998</v>
      </c>
      <c r="GZ54">
        <v>39.371000000000002</v>
      </c>
      <c r="HA54">
        <v>1</v>
      </c>
      <c r="HB54">
        <v>0.64497000000000004</v>
      </c>
      <c r="HC54">
        <v>2.8014199999999998</v>
      </c>
      <c r="HD54">
        <v>20.292400000000001</v>
      </c>
      <c r="HE54">
        <v>5.20411</v>
      </c>
      <c r="HF54">
        <v>11.8782</v>
      </c>
      <c r="HG54">
        <v>4.9821999999999997</v>
      </c>
      <c r="HH54">
        <v>3.2831000000000001</v>
      </c>
      <c r="HI54">
        <v>9999</v>
      </c>
      <c r="HJ54">
        <v>9999</v>
      </c>
      <c r="HK54">
        <v>9999</v>
      </c>
      <c r="HL54">
        <v>999.9</v>
      </c>
      <c r="HM54">
        <v>1.8547100000000001</v>
      </c>
      <c r="HN54">
        <v>1.86066</v>
      </c>
      <c r="HO54">
        <v>1.8580300000000001</v>
      </c>
      <c r="HP54">
        <v>1.8591299999999999</v>
      </c>
      <c r="HQ54">
        <v>1.85849</v>
      </c>
      <c r="HR54">
        <v>1.8589800000000001</v>
      </c>
      <c r="HS54">
        <v>1.8573</v>
      </c>
      <c r="HT54">
        <v>1.8606</v>
      </c>
      <c r="HU54">
        <v>5</v>
      </c>
      <c r="HV54">
        <v>0</v>
      </c>
      <c r="HW54">
        <v>0</v>
      </c>
      <c r="HX54">
        <v>0</v>
      </c>
      <c r="HY54" t="s">
        <v>422</v>
      </c>
      <c r="HZ54" t="s">
        <v>423</v>
      </c>
      <c r="IA54" t="s">
        <v>424</v>
      </c>
      <c r="IB54" t="s">
        <v>424</v>
      </c>
      <c r="IC54" t="s">
        <v>424</v>
      </c>
      <c r="ID54" t="s">
        <v>424</v>
      </c>
      <c r="IE54">
        <v>0</v>
      </c>
      <c r="IF54">
        <v>100</v>
      </c>
      <c r="IG54">
        <v>100</v>
      </c>
      <c r="IH54">
        <v>-2.2090000000000001</v>
      </c>
      <c r="II54">
        <v>6.7100000000000007E-2</v>
      </c>
      <c r="IJ54">
        <v>-0.70606701559618967</v>
      </c>
      <c r="IK54">
        <v>-4.1229525807901877E-3</v>
      </c>
      <c r="IL54">
        <v>1.8448211998558991E-6</v>
      </c>
      <c r="IM54">
        <v>-3.7020276670297668E-10</v>
      </c>
      <c r="IN54">
        <v>-0.17057152221841171</v>
      </c>
      <c r="IO54">
        <v>-1.3488639696665739E-2</v>
      </c>
      <c r="IP54">
        <v>1.1588640342490499E-3</v>
      </c>
      <c r="IQ54">
        <v>-1.0624341560077559E-5</v>
      </c>
      <c r="IR54">
        <v>2</v>
      </c>
      <c r="IS54">
        <v>1915</v>
      </c>
      <c r="IT54">
        <v>1</v>
      </c>
      <c r="IU54">
        <v>42</v>
      </c>
      <c r="IV54">
        <v>0.5</v>
      </c>
      <c r="IW54">
        <v>0.5</v>
      </c>
      <c r="IX54">
        <v>1.1962900000000001</v>
      </c>
      <c r="IY54">
        <v>2.49634</v>
      </c>
      <c r="IZ54">
        <v>1.49414</v>
      </c>
      <c r="JA54">
        <v>2.2863799999999999</v>
      </c>
      <c r="JB54">
        <v>1.54419</v>
      </c>
      <c r="JC54">
        <v>2.4865699999999999</v>
      </c>
      <c r="JD54">
        <v>50.672899999999998</v>
      </c>
      <c r="JE54">
        <v>15.121499999999999</v>
      </c>
      <c r="JF54">
        <v>18</v>
      </c>
      <c r="JG54">
        <v>512.27700000000004</v>
      </c>
      <c r="JH54">
        <v>394.15600000000001</v>
      </c>
      <c r="JI54">
        <v>24.740100000000002</v>
      </c>
      <c r="JJ54">
        <v>35.279699999999998</v>
      </c>
      <c r="JK54">
        <v>29.9998</v>
      </c>
      <c r="JL54">
        <v>35.1693</v>
      </c>
      <c r="JM54">
        <v>35.130099999999999</v>
      </c>
      <c r="JN54">
        <v>24.0166</v>
      </c>
      <c r="JO54">
        <v>35.377499999999998</v>
      </c>
      <c r="JP54">
        <v>0</v>
      </c>
      <c r="JQ54">
        <v>24.744499999999999</v>
      </c>
      <c r="JR54">
        <v>500</v>
      </c>
      <c r="JS54">
        <v>20.099900000000002</v>
      </c>
      <c r="JT54">
        <v>97.622500000000002</v>
      </c>
      <c r="JU54">
        <v>98.068100000000001</v>
      </c>
    </row>
    <row r="55" spans="1:281" x14ac:dyDescent="0.25">
      <c r="A55">
        <v>39</v>
      </c>
      <c r="B55">
        <v>1691167863.5</v>
      </c>
      <c r="C55">
        <v>8617.9000000953674</v>
      </c>
      <c r="D55" t="s">
        <v>614</v>
      </c>
      <c r="E55" t="s">
        <v>615</v>
      </c>
      <c r="F55" t="s">
        <v>413</v>
      </c>
      <c r="G55" t="s">
        <v>564</v>
      </c>
      <c r="H55" t="s">
        <v>565</v>
      </c>
      <c r="I55" t="s">
        <v>31</v>
      </c>
      <c r="J55">
        <v>1691167863.5</v>
      </c>
      <c r="K55">
        <f t="shared" si="46"/>
        <v>4.011916181908862E-3</v>
      </c>
      <c r="L55">
        <f t="shared" si="47"/>
        <v>4.0119161819088625</v>
      </c>
      <c r="M55">
        <f t="shared" si="48"/>
        <v>50.177395430730982</v>
      </c>
      <c r="N55">
        <f t="shared" si="49"/>
        <v>636.70500000000004</v>
      </c>
      <c r="O55">
        <f t="shared" si="50"/>
        <v>280.86847561049581</v>
      </c>
      <c r="P55">
        <f t="shared" si="51"/>
        <v>27.88352886572132</v>
      </c>
      <c r="Q55">
        <f t="shared" si="52"/>
        <v>63.20959377110551</v>
      </c>
      <c r="R55">
        <f t="shared" si="53"/>
        <v>0.24312815614924757</v>
      </c>
      <c r="S55">
        <f t="shared" si="54"/>
        <v>2.921177547760847</v>
      </c>
      <c r="T55">
        <f t="shared" si="55"/>
        <v>0.23241972561520322</v>
      </c>
      <c r="U55">
        <f t="shared" si="56"/>
        <v>0.14618513222447427</v>
      </c>
      <c r="V55">
        <f t="shared" si="57"/>
        <v>344.38109999340179</v>
      </c>
      <c r="W55">
        <f t="shared" si="58"/>
        <v>31.297176501317644</v>
      </c>
      <c r="X55">
        <f t="shared" si="59"/>
        <v>29.944500000000001</v>
      </c>
      <c r="Y55">
        <f t="shared" si="60"/>
        <v>4.2468868451652888</v>
      </c>
      <c r="Z55">
        <f t="shared" si="61"/>
        <v>59.774495788363843</v>
      </c>
      <c r="AA55">
        <f t="shared" si="62"/>
        <v>2.5922579981523599</v>
      </c>
      <c r="AB55">
        <f t="shared" si="63"/>
        <v>4.3367291751492925</v>
      </c>
      <c r="AC55">
        <f t="shared" si="64"/>
        <v>1.6546288470129289</v>
      </c>
      <c r="AD55">
        <f t="shared" si="65"/>
        <v>-176.92550362218083</v>
      </c>
      <c r="AE55">
        <f t="shared" si="66"/>
        <v>57.451083938741064</v>
      </c>
      <c r="AF55">
        <f t="shared" si="67"/>
        <v>4.3784971606935619</v>
      </c>
      <c r="AG55">
        <f t="shared" si="68"/>
        <v>229.28517747065558</v>
      </c>
      <c r="AH55">
        <v>0</v>
      </c>
      <c r="AI55">
        <v>0</v>
      </c>
      <c r="AJ55">
        <f t="shared" si="69"/>
        <v>1</v>
      </c>
      <c r="AK55">
        <f t="shared" si="70"/>
        <v>0</v>
      </c>
      <c r="AL55">
        <f t="shared" si="71"/>
        <v>52043.536728012368</v>
      </c>
      <c r="AM55" t="s">
        <v>416</v>
      </c>
      <c r="AN55">
        <v>10235.299999999999</v>
      </c>
      <c r="AO55">
        <v>594.051923076923</v>
      </c>
      <c r="AP55">
        <v>2007.77</v>
      </c>
      <c r="AQ55">
        <f t="shared" si="72"/>
        <v>0.70412351859180933</v>
      </c>
      <c r="AR55">
        <v>-0.54275787784279261</v>
      </c>
      <c r="AS55" t="s">
        <v>616</v>
      </c>
      <c r="AT55">
        <v>10196.700000000001</v>
      </c>
      <c r="AU55">
        <v>729.31539999999995</v>
      </c>
      <c r="AV55">
        <v>1116.976737317952</v>
      </c>
      <c r="AW55">
        <f t="shared" si="73"/>
        <v>0.34706303575201736</v>
      </c>
      <c r="AX55">
        <v>0.5</v>
      </c>
      <c r="AY55">
        <f t="shared" si="74"/>
        <v>1513.2128999967008</v>
      </c>
      <c r="AZ55">
        <f t="shared" si="75"/>
        <v>50.177395430730982</v>
      </c>
      <c r="BA55">
        <f t="shared" si="76"/>
        <v>262.59013140598444</v>
      </c>
      <c r="BB55">
        <f t="shared" si="77"/>
        <v>3.3518187235044294E-2</v>
      </c>
      <c r="BC55">
        <f t="shared" si="78"/>
        <v>0.7975038628118537</v>
      </c>
      <c r="BD55">
        <f t="shared" si="79"/>
        <v>480.63906251778127</v>
      </c>
      <c r="BE55" t="s">
        <v>617</v>
      </c>
      <c r="BF55">
        <v>550.99</v>
      </c>
      <c r="BG55">
        <f t="shared" si="80"/>
        <v>550.99</v>
      </c>
      <c r="BH55">
        <f t="shared" si="81"/>
        <v>0.50671309294854328</v>
      </c>
      <c r="BI55">
        <f t="shared" si="82"/>
        <v>0.68493007301720066</v>
      </c>
      <c r="BJ55">
        <f t="shared" si="83"/>
        <v>0.6114809804377106</v>
      </c>
      <c r="BK55">
        <f t="shared" si="84"/>
        <v>0.74133283936927374</v>
      </c>
      <c r="BL55">
        <f t="shared" si="85"/>
        <v>0.63010672157551939</v>
      </c>
      <c r="BM55">
        <f t="shared" si="86"/>
        <v>0.51745735923270975</v>
      </c>
      <c r="BN55">
        <f t="shared" si="87"/>
        <v>0.48254264076729025</v>
      </c>
      <c r="BO55">
        <v>12545</v>
      </c>
      <c r="BP55">
        <v>290.00000000000011</v>
      </c>
      <c r="BQ55">
        <v>1000.4</v>
      </c>
      <c r="BR55">
        <v>145</v>
      </c>
      <c r="BS55">
        <v>10196.700000000001</v>
      </c>
      <c r="BT55">
        <v>999.75</v>
      </c>
      <c r="BU55">
        <v>0.65</v>
      </c>
      <c r="BV55">
        <v>300.00000000000011</v>
      </c>
      <c r="BW55">
        <v>24.2</v>
      </c>
      <c r="BX55">
        <v>1116.976737317952</v>
      </c>
      <c r="BY55">
        <v>2.1323080304216671</v>
      </c>
      <c r="BZ55">
        <v>-119.53281644408059</v>
      </c>
      <c r="CA55">
        <v>1.9330349539820619</v>
      </c>
      <c r="CB55">
        <v>0.99273066675105426</v>
      </c>
      <c r="CC55">
        <v>-6.9542222469410522E-3</v>
      </c>
      <c r="CD55">
        <v>289.99999999999989</v>
      </c>
      <c r="CE55">
        <v>991.4</v>
      </c>
      <c r="CF55">
        <v>635</v>
      </c>
      <c r="CG55">
        <v>10162.6</v>
      </c>
      <c r="CH55">
        <v>999.36</v>
      </c>
      <c r="CI55">
        <v>-7.96</v>
      </c>
      <c r="CW55">
        <f t="shared" si="88"/>
        <v>1800.03</v>
      </c>
      <c r="CX55">
        <f t="shared" si="89"/>
        <v>1513.2128999967008</v>
      </c>
      <c r="CY55">
        <f t="shared" si="90"/>
        <v>0.84065982233446157</v>
      </c>
      <c r="CZ55">
        <f t="shared" si="91"/>
        <v>0.19131964466892318</v>
      </c>
      <c r="DA55">
        <v>6</v>
      </c>
      <c r="DB55">
        <v>0.5</v>
      </c>
      <c r="DC55" t="s">
        <v>419</v>
      </c>
      <c r="DD55">
        <v>2</v>
      </c>
      <c r="DE55">
        <v>1691167863.5</v>
      </c>
      <c r="DF55">
        <v>636.70500000000004</v>
      </c>
      <c r="DG55">
        <v>699.95899999999995</v>
      </c>
      <c r="DH55">
        <v>26.111599999999999</v>
      </c>
      <c r="DI55">
        <v>21.424800000000001</v>
      </c>
      <c r="DJ55">
        <v>639.13699999999994</v>
      </c>
      <c r="DK55">
        <v>26.0242</v>
      </c>
      <c r="DL55">
        <v>500.19099999999997</v>
      </c>
      <c r="DM55">
        <v>99.176400000000001</v>
      </c>
      <c r="DN55">
        <v>9.9707100000000007E-2</v>
      </c>
      <c r="DO55">
        <v>30.3093</v>
      </c>
      <c r="DP55">
        <v>29.944500000000001</v>
      </c>
      <c r="DQ55">
        <v>999.9</v>
      </c>
      <c r="DR55">
        <v>0</v>
      </c>
      <c r="DS55">
        <v>0</v>
      </c>
      <c r="DT55">
        <v>10035</v>
      </c>
      <c r="DU55">
        <v>0</v>
      </c>
      <c r="DV55">
        <v>587.26099999999997</v>
      </c>
      <c r="DW55">
        <v>-63.254100000000001</v>
      </c>
      <c r="DX55">
        <v>653.77599999999995</v>
      </c>
      <c r="DY55">
        <v>715.28399999999999</v>
      </c>
      <c r="DZ55">
        <v>4.6868100000000004</v>
      </c>
      <c r="EA55">
        <v>699.95899999999995</v>
      </c>
      <c r="EB55">
        <v>21.424800000000001</v>
      </c>
      <c r="EC55">
        <v>2.5896599999999999</v>
      </c>
      <c r="ED55">
        <v>2.1248399999999998</v>
      </c>
      <c r="EE55">
        <v>21.601199999999999</v>
      </c>
      <c r="EF55">
        <v>18.406600000000001</v>
      </c>
      <c r="EG55">
        <v>1800.03</v>
      </c>
      <c r="EH55">
        <v>0.97800399999999998</v>
      </c>
      <c r="EI55">
        <v>2.1995799999999999E-2</v>
      </c>
      <c r="EJ55">
        <v>0</v>
      </c>
      <c r="EK55">
        <v>727.8</v>
      </c>
      <c r="EL55">
        <v>0.100005</v>
      </c>
      <c r="EM55">
        <v>15240</v>
      </c>
      <c r="EN55">
        <v>14862.8</v>
      </c>
      <c r="EO55">
        <v>48.061999999999998</v>
      </c>
      <c r="EP55">
        <v>50.061999999999998</v>
      </c>
      <c r="EQ55">
        <v>49</v>
      </c>
      <c r="ER55">
        <v>48.561999999999998</v>
      </c>
      <c r="ES55">
        <v>49.125</v>
      </c>
      <c r="ET55">
        <v>1760.34</v>
      </c>
      <c r="EU55">
        <v>39.590000000000003</v>
      </c>
      <c r="EV55">
        <v>0</v>
      </c>
      <c r="EW55">
        <v>138.80000019073489</v>
      </c>
      <c r="EX55">
        <v>0</v>
      </c>
      <c r="EY55">
        <v>729.31539999999995</v>
      </c>
      <c r="EZ55">
        <v>-5.0242307508753798</v>
      </c>
      <c r="FA55">
        <v>35.061538400865082</v>
      </c>
      <c r="FB55">
        <v>15234.528</v>
      </c>
      <c r="FC55">
        <v>15</v>
      </c>
      <c r="FD55">
        <v>1691167824</v>
      </c>
      <c r="FE55" t="s">
        <v>618</v>
      </c>
      <c r="FF55">
        <v>1691167822</v>
      </c>
      <c r="FG55">
        <v>1691167824</v>
      </c>
      <c r="FH55">
        <v>48</v>
      </c>
      <c r="FI55">
        <v>0.252</v>
      </c>
      <c r="FJ55">
        <v>1.0999999999999999E-2</v>
      </c>
      <c r="FK55">
        <v>-2.569</v>
      </c>
      <c r="FL55">
        <v>-3.2000000000000001E-2</v>
      </c>
      <c r="FM55">
        <v>700</v>
      </c>
      <c r="FN55">
        <v>21</v>
      </c>
      <c r="FO55">
        <v>0.09</v>
      </c>
      <c r="FP55">
        <v>0.04</v>
      </c>
      <c r="FQ55">
        <v>50.193807650870312</v>
      </c>
      <c r="FR55">
        <v>-0.63849943296966061</v>
      </c>
      <c r="FS55">
        <v>0.13990493563559139</v>
      </c>
      <c r="FT55">
        <v>1</v>
      </c>
      <c r="FU55">
        <v>0.24589941068927021</v>
      </c>
      <c r="FV55">
        <v>-2.2903702994234231E-2</v>
      </c>
      <c r="FW55">
        <v>1.7322916583688689E-3</v>
      </c>
      <c r="FX55">
        <v>1</v>
      </c>
      <c r="FY55">
        <v>2</v>
      </c>
      <c r="FZ55">
        <v>2</v>
      </c>
      <c r="GA55" t="s">
        <v>421</v>
      </c>
      <c r="GB55">
        <v>2.9166699999999999</v>
      </c>
      <c r="GC55">
        <v>2.8298999999999999</v>
      </c>
      <c r="GD55">
        <v>0.12589600000000001</v>
      </c>
      <c r="GE55">
        <v>0.13167100000000001</v>
      </c>
      <c r="GF55">
        <v>0.12493600000000001</v>
      </c>
      <c r="GG55">
        <v>0.104918</v>
      </c>
      <c r="GH55">
        <v>22593.200000000001</v>
      </c>
      <c r="GI55">
        <v>27864.799999999999</v>
      </c>
      <c r="GJ55">
        <v>23282.2</v>
      </c>
      <c r="GK55">
        <v>29424.3</v>
      </c>
      <c r="GL55">
        <v>27813</v>
      </c>
      <c r="GM55">
        <v>37463.800000000003</v>
      </c>
      <c r="GN55">
        <v>32930.6</v>
      </c>
      <c r="GO55">
        <v>43633</v>
      </c>
      <c r="GP55">
        <v>1.9342999999999999</v>
      </c>
      <c r="GQ55">
        <v>1.7132000000000001</v>
      </c>
      <c r="GR55">
        <v>-7.9870199999999992E-3</v>
      </c>
      <c r="GS55">
        <v>0</v>
      </c>
      <c r="GT55">
        <v>30.0745</v>
      </c>
      <c r="GU55">
        <v>999.9</v>
      </c>
      <c r="GV55">
        <v>30.1</v>
      </c>
      <c r="GW55">
        <v>46.7</v>
      </c>
      <c r="GX55">
        <v>31.918399999999998</v>
      </c>
      <c r="GY55">
        <v>61.692100000000003</v>
      </c>
      <c r="GZ55">
        <v>39.479199999999999</v>
      </c>
      <c r="HA55">
        <v>1</v>
      </c>
      <c r="HB55">
        <v>0.63004099999999996</v>
      </c>
      <c r="HC55">
        <v>3.07131</v>
      </c>
      <c r="HD55">
        <v>20.2851</v>
      </c>
      <c r="HE55">
        <v>5.2100999999999997</v>
      </c>
      <c r="HF55">
        <v>11.8782</v>
      </c>
      <c r="HG55">
        <v>4.9832000000000001</v>
      </c>
      <c r="HH55">
        <v>3.2839999999999998</v>
      </c>
      <c r="HI55">
        <v>9999</v>
      </c>
      <c r="HJ55">
        <v>9999</v>
      </c>
      <c r="HK55">
        <v>9999</v>
      </c>
      <c r="HL55">
        <v>999.9</v>
      </c>
      <c r="HM55">
        <v>1.8547100000000001</v>
      </c>
      <c r="HN55">
        <v>1.86066</v>
      </c>
      <c r="HO55">
        <v>1.8580300000000001</v>
      </c>
      <c r="HP55">
        <v>1.85904</v>
      </c>
      <c r="HQ55">
        <v>1.85849</v>
      </c>
      <c r="HR55">
        <v>1.8589800000000001</v>
      </c>
      <c r="HS55">
        <v>1.8573</v>
      </c>
      <c r="HT55">
        <v>1.8606</v>
      </c>
      <c r="HU55">
        <v>5</v>
      </c>
      <c r="HV55">
        <v>0</v>
      </c>
      <c r="HW55">
        <v>0</v>
      </c>
      <c r="HX55">
        <v>0</v>
      </c>
      <c r="HY55" t="s">
        <v>422</v>
      </c>
      <c r="HZ55" t="s">
        <v>423</v>
      </c>
      <c r="IA55" t="s">
        <v>424</v>
      </c>
      <c r="IB55" t="s">
        <v>424</v>
      </c>
      <c r="IC55" t="s">
        <v>424</v>
      </c>
      <c r="ID55" t="s">
        <v>424</v>
      </c>
      <c r="IE55">
        <v>0</v>
      </c>
      <c r="IF55">
        <v>100</v>
      </c>
      <c r="IG55">
        <v>100</v>
      </c>
      <c r="IH55">
        <v>-2.4319999999999999</v>
      </c>
      <c r="II55">
        <v>8.7400000000000005E-2</v>
      </c>
      <c r="IJ55">
        <v>-0.45401152252377891</v>
      </c>
      <c r="IK55">
        <v>-4.1229525807901877E-3</v>
      </c>
      <c r="IL55">
        <v>1.8448211998558991E-6</v>
      </c>
      <c r="IM55">
        <v>-3.7020276670297668E-10</v>
      </c>
      <c r="IN55">
        <v>-0.1591954430749328</v>
      </c>
      <c r="IO55">
        <v>-1.3488639696665739E-2</v>
      </c>
      <c r="IP55">
        <v>1.1588640342490499E-3</v>
      </c>
      <c r="IQ55">
        <v>-1.0624341560077559E-5</v>
      </c>
      <c r="IR55">
        <v>2</v>
      </c>
      <c r="IS55">
        <v>1915</v>
      </c>
      <c r="IT55">
        <v>1</v>
      </c>
      <c r="IU55">
        <v>42</v>
      </c>
      <c r="IV55">
        <v>0.7</v>
      </c>
      <c r="IW55">
        <v>0.7</v>
      </c>
      <c r="IX55">
        <v>1.5771500000000001</v>
      </c>
      <c r="IY55">
        <v>2.49268</v>
      </c>
      <c r="IZ55">
        <v>1.49414</v>
      </c>
      <c r="JA55">
        <v>2.2863799999999999</v>
      </c>
      <c r="JB55">
        <v>1.54419</v>
      </c>
      <c r="JC55">
        <v>2.52563</v>
      </c>
      <c r="JD55">
        <v>50.445099999999996</v>
      </c>
      <c r="JE55">
        <v>15.0952</v>
      </c>
      <c r="JF55">
        <v>18</v>
      </c>
      <c r="JG55">
        <v>512.697</v>
      </c>
      <c r="JH55">
        <v>396.47300000000001</v>
      </c>
      <c r="JI55">
        <v>25.08</v>
      </c>
      <c r="JJ55">
        <v>35.079500000000003</v>
      </c>
      <c r="JK55">
        <v>29.998899999999999</v>
      </c>
      <c r="JL55">
        <v>35.061</v>
      </c>
      <c r="JM55">
        <v>35.032400000000003</v>
      </c>
      <c r="JN55">
        <v>31.625900000000001</v>
      </c>
      <c r="JO55">
        <v>30.8873</v>
      </c>
      <c r="JP55">
        <v>0</v>
      </c>
      <c r="JQ55">
        <v>25.085999999999999</v>
      </c>
      <c r="JR55">
        <v>700</v>
      </c>
      <c r="JS55">
        <v>21.502400000000002</v>
      </c>
      <c r="JT55">
        <v>97.655199999999994</v>
      </c>
      <c r="JU55">
        <v>98.099400000000003</v>
      </c>
    </row>
    <row r="56" spans="1:281" x14ac:dyDescent="0.25">
      <c r="A56">
        <v>40</v>
      </c>
      <c r="B56">
        <v>1691167966</v>
      </c>
      <c r="C56">
        <v>8720.4000000953674</v>
      </c>
      <c r="D56" t="s">
        <v>619</v>
      </c>
      <c r="E56" t="s">
        <v>620</v>
      </c>
      <c r="F56" t="s">
        <v>413</v>
      </c>
      <c r="G56" t="s">
        <v>564</v>
      </c>
      <c r="H56" t="s">
        <v>565</v>
      </c>
      <c r="I56" t="s">
        <v>31</v>
      </c>
      <c r="J56">
        <v>1691167966</v>
      </c>
      <c r="K56">
        <f t="shared" si="46"/>
        <v>3.386654521945674E-3</v>
      </c>
      <c r="L56">
        <f t="shared" si="47"/>
        <v>3.3866545219456738</v>
      </c>
      <c r="M56">
        <f t="shared" si="48"/>
        <v>51.101053898025235</v>
      </c>
      <c r="N56">
        <f t="shared" si="49"/>
        <v>835.31700000000001</v>
      </c>
      <c r="O56">
        <f t="shared" si="50"/>
        <v>402.0922333552632</v>
      </c>
      <c r="P56">
        <f t="shared" si="51"/>
        <v>39.917311048841476</v>
      </c>
      <c r="Q56">
        <f t="shared" si="52"/>
        <v>82.925273724262212</v>
      </c>
      <c r="R56">
        <f t="shared" si="53"/>
        <v>0.20296588741689339</v>
      </c>
      <c r="S56">
        <f t="shared" si="54"/>
        <v>2.9110866512042626</v>
      </c>
      <c r="T56">
        <f t="shared" si="55"/>
        <v>0.19541921673873999</v>
      </c>
      <c r="U56">
        <f t="shared" si="56"/>
        <v>0.12279167024047025</v>
      </c>
      <c r="V56">
        <f t="shared" si="57"/>
        <v>344.40959999340237</v>
      </c>
      <c r="W56">
        <f t="shared" si="58"/>
        <v>31.576826033679229</v>
      </c>
      <c r="X56">
        <f t="shared" si="59"/>
        <v>30.050799999999999</v>
      </c>
      <c r="Y56">
        <f t="shared" si="60"/>
        <v>4.2728972008074786</v>
      </c>
      <c r="Z56">
        <f t="shared" si="61"/>
        <v>59.843120485338211</v>
      </c>
      <c r="AA56">
        <f t="shared" si="62"/>
        <v>2.6121177795825203</v>
      </c>
      <c r="AB56">
        <f t="shared" si="63"/>
        <v>4.3649424668997652</v>
      </c>
      <c r="AC56">
        <f t="shared" si="64"/>
        <v>1.6607794212249583</v>
      </c>
      <c r="AD56">
        <f t="shared" si="65"/>
        <v>-149.35146441780421</v>
      </c>
      <c r="AE56">
        <f t="shared" si="66"/>
        <v>58.335528565715585</v>
      </c>
      <c r="AF56">
        <f t="shared" si="67"/>
        <v>4.4661617298715761</v>
      </c>
      <c r="AG56">
        <f t="shared" si="68"/>
        <v>257.85982587118536</v>
      </c>
      <c r="AH56">
        <v>0</v>
      </c>
      <c r="AI56">
        <v>0</v>
      </c>
      <c r="AJ56">
        <f t="shared" si="69"/>
        <v>1</v>
      </c>
      <c r="AK56">
        <f t="shared" si="70"/>
        <v>0</v>
      </c>
      <c r="AL56">
        <f t="shared" si="71"/>
        <v>51737.176585813744</v>
      </c>
      <c r="AM56" t="s">
        <v>416</v>
      </c>
      <c r="AN56">
        <v>10235.299999999999</v>
      </c>
      <c r="AO56">
        <v>594.051923076923</v>
      </c>
      <c r="AP56">
        <v>2007.77</v>
      </c>
      <c r="AQ56">
        <f t="shared" si="72"/>
        <v>0.70412351859180933</v>
      </c>
      <c r="AR56">
        <v>-0.54275787784279261</v>
      </c>
      <c r="AS56" t="s">
        <v>621</v>
      </c>
      <c r="AT56">
        <v>10193.200000000001</v>
      </c>
      <c r="AU56">
        <v>731.18960000000004</v>
      </c>
      <c r="AV56">
        <v>1132.9949548724171</v>
      </c>
      <c r="AW56">
        <f t="shared" si="73"/>
        <v>0.35464002125028271</v>
      </c>
      <c r="AX56">
        <v>0.5</v>
      </c>
      <c r="AY56">
        <f t="shared" si="74"/>
        <v>1513.3388999967012</v>
      </c>
      <c r="AZ56">
        <f t="shared" si="75"/>
        <v>51.101053898025235</v>
      </c>
      <c r="BA56">
        <f t="shared" si="76"/>
        <v>268.3452698268548</v>
      </c>
      <c r="BB56">
        <f t="shared" si="77"/>
        <v>3.4125741283714178E-2</v>
      </c>
      <c r="BC56">
        <f t="shared" si="78"/>
        <v>0.77209085650879039</v>
      </c>
      <c r="BD56">
        <f t="shared" si="79"/>
        <v>483.58097912308432</v>
      </c>
      <c r="BE56" t="s">
        <v>622</v>
      </c>
      <c r="BF56">
        <v>550.53</v>
      </c>
      <c r="BG56">
        <f t="shared" si="80"/>
        <v>550.53</v>
      </c>
      <c r="BH56">
        <f t="shared" si="81"/>
        <v>0.51409315846248105</v>
      </c>
      <c r="BI56">
        <f t="shared" si="82"/>
        <v>0.68983610346210156</v>
      </c>
      <c r="BJ56">
        <f t="shared" si="83"/>
        <v>0.60029579556393109</v>
      </c>
      <c r="BK56">
        <f t="shared" si="84"/>
        <v>0.74554327854244351</v>
      </c>
      <c r="BL56">
        <f t="shared" si="85"/>
        <v>0.61877616153250969</v>
      </c>
      <c r="BM56">
        <f t="shared" si="86"/>
        <v>0.51939397119295838</v>
      </c>
      <c r="BN56">
        <f t="shared" si="87"/>
        <v>0.48060602880704162</v>
      </c>
      <c r="BO56">
        <v>12547</v>
      </c>
      <c r="BP56">
        <v>290.00000000000011</v>
      </c>
      <c r="BQ56">
        <v>1013.95</v>
      </c>
      <c r="BR56">
        <v>175</v>
      </c>
      <c r="BS56">
        <v>10193.200000000001</v>
      </c>
      <c r="BT56">
        <v>1013.33</v>
      </c>
      <c r="BU56">
        <v>0.62</v>
      </c>
      <c r="BV56">
        <v>300.00000000000011</v>
      </c>
      <c r="BW56">
        <v>24.2</v>
      </c>
      <c r="BX56">
        <v>1132.9949548724171</v>
      </c>
      <c r="BY56">
        <v>1.6749968211746431</v>
      </c>
      <c r="BZ56">
        <v>-121.9769760904115</v>
      </c>
      <c r="CA56">
        <v>1.5186544915372719</v>
      </c>
      <c r="CB56">
        <v>0.99567845169035973</v>
      </c>
      <c r="CC56">
        <v>-6.954830033370411E-3</v>
      </c>
      <c r="CD56">
        <v>289.99999999999989</v>
      </c>
      <c r="CE56">
        <v>1004.99</v>
      </c>
      <c r="CF56">
        <v>635</v>
      </c>
      <c r="CG56">
        <v>10164</v>
      </c>
      <c r="CH56">
        <v>1012.99</v>
      </c>
      <c r="CI56">
        <v>-8</v>
      </c>
      <c r="CW56">
        <f t="shared" si="88"/>
        <v>1800.18</v>
      </c>
      <c r="CX56">
        <f t="shared" si="89"/>
        <v>1513.3388999967012</v>
      </c>
      <c r="CY56">
        <f t="shared" si="90"/>
        <v>0.84065976735476522</v>
      </c>
      <c r="CZ56">
        <f t="shared" si="91"/>
        <v>0.19131953470953036</v>
      </c>
      <c r="DA56">
        <v>6</v>
      </c>
      <c r="DB56">
        <v>0.5</v>
      </c>
      <c r="DC56" t="s">
        <v>419</v>
      </c>
      <c r="DD56">
        <v>2</v>
      </c>
      <c r="DE56">
        <v>1691167966</v>
      </c>
      <c r="DF56">
        <v>835.31700000000001</v>
      </c>
      <c r="DG56">
        <v>900.07299999999998</v>
      </c>
      <c r="DH56">
        <v>26.312200000000001</v>
      </c>
      <c r="DI56">
        <v>22.352699999999999</v>
      </c>
      <c r="DJ56">
        <v>837.62900000000002</v>
      </c>
      <c r="DK56">
        <v>26.212700000000002</v>
      </c>
      <c r="DL56">
        <v>499.69099999999997</v>
      </c>
      <c r="DM56">
        <v>99.174400000000006</v>
      </c>
      <c r="DN56">
        <v>9.96166E-2</v>
      </c>
      <c r="DO56">
        <v>30.422499999999999</v>
      </c>
      <c r="DP56">
        <v>30.050799999999999</v>
      </c>
      <c r="DQ56">
        <v>999.9</v>
      </c>
      <c r="DR56">
        <v>0</v>
      </c>
      <c r="DS56">
        <v>0</v>
      </c>
      <c r="DT56">
        <v>9977.5</v>
      </c>
      <c r="DU56">
        <v>0</v>
      </c>
      <c r="DV56">
        <v>634.91899999999998</v>
      </c>
      <c r="DW56">
        <v>-64.755899999999997</v>
      </c>
      <c r="DX56">
        <v>857.89</v>
      </c>
      <c r="DY56">
        <v>920.65200000000004</v>
      </c>
      <c r="DZ56">
        <v>3.95947</v>
      </c>
      <c r="EA56">
        <v>900.07299999999998</v>
      </c>
      <c r="EB56">
        <v>22.352699999999999</v>
      </c>
      <c r="EC56">
        <v>2.6094900000000001</v>
      </c>
      <c r="ED56">
        <v>2.2168199999999998</v>
      </c>
      <c r="EE56">
        <v>21.725999999999999</v>
      </c>
      <c r="EF56">
        <v>19.084399999999999</v>
      </c>
      <c r="EG56">
        <v>1800.18</v>
      </c>
      <c r="EH56">
        <v>0.97800399999999998</v>
      </c>
      <c r="EI56">
        <v>2.1995799999999999E-2</v>
      </c>
      <c r="EJ56">
        <v>0</v>
      </c>
      <c r="EK56">
        <v>728.95</v>
      </c>
      <c r="EL56">
        <v>0.100005</v>
      </c>
      <c r="EM56">
        <v>15389.6</v>
      </c>
      <c r="EN56">
        <v>14864</v>
      </c>
      <c r="EO56">
        <v>47.875</v>
      </c>
      <c r="EP56">
        <v>49.686999999999998</v>
      </c>
      <c r="EQ56">
        <v>48.75</v>
      </c>
      <c r="ER56">
        <v>48.25</v>
      </c>
      <c r="ES56">
        <v>48.875</v>
      </c>
      <c r="ET56">
        <v>1760.49</v>
      </c>
      <c r="EU56">
        <v>39.590000000000003</v>
      </c>
      <c r="EV56">
        <v>0</v>
      </c>
      <c r="EW56">
        <v>100.2000000476837</v>
      </c>
      <c r="EX56">
        <v>0</v>
      </c>
      <c r="EY56">
        <v>731.18960000000004</v>
      </c>
      <c r="EZ56">
        <v>-4.2903846668912751</v>
      </c>
      <c r="FA56">
        <v>-159.53846170697929</v>
      </c>
      <c r="FB56">
        <v>15411.456</v>
      </c>
      <c r="FC56">
        <v>15</v>
      </c>
      <c r="FD56">
        <v>1691167933.5</v>
      </c>
      <c r="FE56" t="s">
        <v>623</v>
      </c>
      <c r="FF56">
        <v>1691167933.5</v>
      </c>
      <c r="FG56">
        <v>1691167928</v>
      </c>
      <c r="FH56">
        <v>49</v>
      </c>
      <c r="FI56">
        <v>0.51900000000000002</v>
      </c>
      <c r="FJ56">
        <v>7.0000000000000001E-3</v>
      </c>
      <c r="FK56">
        <v>-2.4260000000000002</v>
      </c>
      <c r="FL56">
        <v>-7.0000000000000001E-3</v>
      </c>
      <c r="FM56">
        <v>900</v>
      </c>
      <c r="FN56">
        <v>22</v>
      </c>
      <c r="FO56">
        <v>0.14000000000000001</v>
      </c>
      <c r="FP56">
        <v>0.05</v>
      </c>
      <c r="FQ56">
        <v>51.383642072897487</v>
      </c>
      <c r="FR56">
        <v>-0.54604911448353266</v>
      </c>
      <c r="FS56">
        <v>0.1178929002444065</v>
      </c>
      <c r="FT56">
        <v>1</v>
      </c>
      <c r="FU56">
        <v>0.2020411997776318</v>
      </c>
      <c r="FV56">
        <v>4.2034893181895098E-3</v>
      </c>
      <c r="FW56">
        <v>6.9047044999007558E-4</v>
      </c>
      <c r="FX56">
        <v>1</v>
      </c>
      <c r="FY56">
        <v>2</v>
      </c>
      <c r="FZ56">
        <v>2</v>
      </c>
      <c r="GA56" t="s">
        <v>421</v>
      </c>
      <c r="GB56">
        <v>2.9156200000000001</v>
      </c>
      <c r="GC56">
        <v>2.82931</v>
      </c>
      <c r="GD56">
        <v>0.151174</v>
      </c>
      <c r="GE56">
        <v>0.15576200000000001</v>
      </c>
      <c r="GF56">
        <v>0.125612</v>
      </c>
      <c r="GG56">
        <v>0.108142</v>
      </c>
      <c r="GH56">
        <v>21948</v>
      </c>
      <c r="GI56">
        <v>27099.9</v>
      </c>
      <c r="GJ56">
        <v>23290.799999999999</v>
      </c>
      <c r="GK56">
        <v>29433</v>
      </c>
      <c r="GL56">
        <v>27802.3</v>
      </c>
      <c r="GM56">
        <v>37340.5</v>
      </c>
      <c r="GN56">
        <v>32941.9</v>
      </c>
      <c r="GO56">
        <v>43643.6</v>
      </c>
      <c r="GP56">
        <v>1.9347000000000001</v>
      </c>
      <c r="GQ56">
        <v>1.7191000000000001</v>
      </c>
      <c r="GR56">
        <v>9.8943699999999996E-3</v>
      </c>
      <c r="GS56">
        <v>0</v>
      </c>
      <c r="GT56">
        <v>29.889800000000001</v>
      </c>
      <c r="GU56">
        <v>999.9</v>
      </c>
      <c r="GV56">
        <v>30</v>
      </c>
      <c r="GW56">
        <v>46.8</v>
      </c>
      <c r="GX56">
        <v>31.975200000000001</v>
      </c>
      <c r="GY56">
        <v>61.622100000000003</v>
      </c>
      <c r="GZ56">
        <v>38.990400000000001</v>
      </c>
      <c r="HA56">
        <v>1</v>
      </c>
      <c r="HB56">
        <v>0.61502000000000001</v>
      </c>
      <c r="HC56">
        <v>3.4696500000000001</v>
      </c>
      <c r="HD56">
        <v>20.2759</v>
      </c>
      <c r="HE56">
        <v>5.20052</v>
      </c>
      <c r="HF56">
        <v>11.877599999999999</v>
      </c>
      <c r="HG56">
        <v>4.9805999999999999</v>
      </c>
      <c r="HH56">
        <v>3.2818999999999998</v>
      </c>
      <c r="HI56">
        <v>9999</v>
      </c>
      <c r="HJ56">
        <v>9999</v>
      </c>
      <c r="HK56">
        <v>9999</v>
      </c>
      <c r="HL56">
        <v>999.9</v>
      </c>
      <c r="HM56">
        <v>1.8546899999999999</v>
      </c>
      <c r="HN56">
        <v>1.86066</v>
      </c>
      <c r="HO56">
        <v>1.8579300000000001</v>
      </c>
      <c r="HP56">
        <v>1.8590500000000001</v>
      </c>
      <c r="HQ56">
        <v>1.8583799999999999</v>
      </c>
      <c r="HR56">
        <v>1.8589800000000001</v>
      </c>
      <c r="HS56">
        <v>1.8573</v>
      </c>
      <c r="HT56">
        <v>1.8605499999999999</v>
      </c>
      <c r="HU56">
        <v>5</v>
      </c>
      <c r="HV56">
        <v>0</v>
      </c>
      <c r="HW56">
        <v>0</v>
      </c>
      <c r="HX56">
        <v>0</v>
      </c>
      <c r="HY56" t="s">
        <v>422</v>
      </c>
      <c r="HZ56" t="s">
        <v>423</v>
      </c>
      <c r="IA56" t="s">
        <v>424</v>
      </c>
      <c r="IB56" t="s">
        <v>424</v>
      </c>
      <c r="IC56" t="s">
        <v>424</v>
      </c>
      <c r="ID56" t="s">
        <v>424</v>
      </c>
      <c r="IE56">
        <v>0</v>
      </c>
      <c r="IF56">
        <v>100</v>
      </c>
      <c r="IG56">
        <v>100</v>
      </c>
      <c r="IH56">
        <v>-2.3119999999999998</v>
      </c>
      <c r="II56">
        <v>9.9500000000000005E-2</v>
      </c>
      <c r="IJ56">
        <v>6.4543438088089378E-2</v>
      </c>
      <c r="IK56">
        <v>-4.1229525807901877E-3</v>
      </c>
      <c r="IL56">
        <v>1.8448211998558991E-6</v>
      </c>
      <c r="IM56">
        <v>-3.7020276670297668E-10</v>
      </c>
      <c r="IN56">
        <v>-0.15186171806765189</v>
      </c>
      <c r="IO56">
        <v>-1.3488639696665739E-2</v>
      </c>
      <c r="IP56">
        <v>1.1588640342490499E-3</v>
      </c>
      <c r="IQ56">
        <v>-1.0624341560077559E-5</v>
      </c>
      <c r="IR56">
        <v>2</v>
      </c>
      <c r="IS56">
        <v>1915</v>
      </c>
      <c r="IT56">
        <v>1</v>
      </c>
      <c r="IU56">
        <v>42</v>
      </c>
      <c r="IV56">
        <v>0.5</v>
      </c>
      <c r="IW56">
        <v>0.6</v>
      </c>
      <c r="IX56">
        <v>1.93848</v>
      </c>
      <c r="IY56">
        <v>2.4902299999999999</v>
      </c>
      <c r="IZ56">
        <v>1.49414</v>
      </c>
      <c r="JA56">
        <v>2.2851599999999999</v>
      </c>
      <c r="JB56">
        <v>1.54419</v>
      </c>
      <c r="JC56">
        <v>2.3852500000000001</v>
      </c>
      <c r="JD56">
        <v>50.122</v>
      </c>
      <c r="JE56">
        <v>15.051399999999999</v>
      </c>
      <c r="JF56">
        <v>18</v>
      </c>
      <c r="JG56">
        <v>511.75799999999998</v>
      </c>
      <c r="JH56">
        <v>399.24799999999999</v>
      </c>
      <c r="JI56">
        <v>25.022500000000001</v>
      </c>
      <c r="JJ56">
        <v>34.870199999999997</v>
      </c>
      <c r="JK56">
        <v>29.999600000000001</v>
      </c>
      <c r="JL56">
        <v>34.907600000000002</v>
      </c>
      <c r="JM56">
        <v>34.888399999999997</v>
      </c>
      <c r="JN56">
        <v>38.85</v>
      </c>
      <c r="JO56">
        <v>27.102699999999999</v>
      </c>
      <c r="JP56">
        <v>0</v>
      </c>
      <c r="JQ56">
        <v>24.982600000000001</v>
      </c>
      <c r="JR56">
        <v>900</v>
      </c>
      <c r="JS56">
        <v>22.334800000000001</v>
      </c>
      <c r="JT56">
        <v>97.689599999999999</v>
      </c>
      <c r="JU56">
        <v>98.125299999999996</v>
      </c>
    </row>
    <row r="57" spans="1:281" x14ac:dyDescent="0.25">
      <c r="A57">
        <v>41</v>
      </c>
      <c r="B57">
        <v>1691168102.5</v>
      </c>
      <c r="C57">
        <v>8856.9000000953674</v>
      </c>
      <c r="D57" t="s">
        <v>624</v>
      </c>
      <c r="E57" t="s">
        <v>625</v>
      </c>
      <c r="F57" t="s">
        <v>413</v>
      </c>
      <c r="G57" t="s">
        <v>564</v>
      </c>
      <c r="H57" t="s">
        <v>565</v>
      </c>
      <c r="I57" t="s">
        <v>31</v>
      </c>
      <c r="J57">
        <v>1691168102.5</v>
      </c>
      <c r="K57">
        <f t="shared" si="46"/>
        <v>2.8899821014543949E-3</v>
      </c>
      <c r="L57">
        <f t="shared" si="47"/>
        <v>2.8899821014543949</v>
      </c>
      <c r="M57">
        <f t="shared" si="48"/>
        <v>51.438958400530389</v>
      </c>
      <c r="N57">
        <f t="shared" si="49"/>
        <v>1134.2</v>
      </c>
      <c r="O57">
        <f t="shared" si="50"/>
        <v>623.52135354097607</v>
      </c>
      <c r="P57">
        <f t="shared" si="51"/>
        <v>61.899094403195711</v>
      </c>
      <c r="Q57">
        <f t="shared" si="52"/>
        <v>112.59590786010001</v>
      </c>
      <c r="R57">
        <f t="shared" si="53"/>
        <v>0.17389098820230312</v>
      </c>
      <c r="S57">
        <f t="shared" si="54"/>
        <v>2.9259341456666768</v>
      </c>
      <c r="T57">
        <f t="shared" si="55"/>
        <v>0.16834694991362065</v>
      </c>
      <c r="U57">
        <f t="shared" si="56"/>
        <v>0.10570022929360993</v>
      </c>
      <c r="V57">
        <f t="shared" si="57"/>
        <v>344.37409999340002</v>
      </c>
      <c r="W57">
        <f t="shared" si="58"/>
        <v>31.642835280095539</v>
      </c>
      <c r="X57">
        <f t="shared" si="59"/>
        <v>29.978300000000001</v>
      </c>
      <c r="Y57">
        <f t="shared" si="60"/>
        <v>4.2551423024417456</v>
      </c>
      <c r="Z57">
        <f t="shared" si="61"/>
        <v>59.988242519729539</v>
      </c>
      <c r="AA57">
        <f t="shared" si="62"/>
        <v>2.6098583841287999</v>
      </c>
      <c r="AB57">
        <f t="shared" si="63"/>
        <v>4.3506165116780062</v>
      </c>
      <c r="AC57">
        <f t="shared" si="64"/>
        <v>1.6452839183129457</v>
      </c>
      <c r="AD57">
        <f t="shared" si="65"/>
        <v>-127.44821067413882</v>
      </c>
      <c r="AE57">
        <f t="shared" si="66"/>
        <v>61.014977570545298</v>
      </c>
      <c r="AF57">
        <f t="shared" si="67"/>
        <v>4.6446101865859069</v>
      </c>
      <c r="AG57">
        <f t="shared" si="68"/>
        <v>282.58547707639241</v>
      </c>
      <c r="AH57">
        <v>0</v>
      </c>
      <c r="AI57">
        <v>0</v>
      </c>
      <c r="AJ57">
        <f t="shared" si="69"/>
        <v>1</v>
      </c>
      <c r="AK57">
        <f t="shared" si="70"/>
        <v>0</v>
      </c>
      <c r="AL57">
        <f t="shared" si="71"/>
        <v>52169.398117307421</v>
      </c>
      <c r="AM57" t="s">
        <v>416</v>
      </c>
      <c r="AN57">
        <v>10235.299999999999</v>
      </c>
      <c r="AO57">
        <v>594.051923076923</v>
      </c>
      <c r="AP57">
        <v>2007.77</v>
      </c>
      <c r="AQ57">
        <f t="shared" si="72"/>
        <v>0.70412351859180933</v>
      </c>
      <c r="AR57">
        <v>-0.54275787784279261</v>
      </c>
      <c r="AS57" t="s">
        <v>626</v>
      </c>
      <c r="AT57">
        <v>10189.5</v>
      </c>
      <c r="AU57">
        <v>730.41019999999992</v>
      </c>
      <c r="AV57">
        <v>1141.611267399466</v>
      </c>
      <c r="AW57">
        <f t="shared" si="73"/>
        <v>0.36019359579041454</v>
      </c>
      <c r="AX57">
        <v>0.5</v>
      </c>
      <c r="AY57">
        <f t="shared" si="74"/>
        <v>1513.1795999967001</v>
      </c>
      <c r="AZ57">
        <f t="shared" si="75"/>
        <v>51.438958400530389</v>
      </c>
      <c r="BA57">
        <f t="shared" si="76"/>
        <v>272.51880059975628</v>
      </c>
      <c r="BB57">
        <f t="shared" si="77"/>
        <v>3.4352641469979205E-2</v>
      </c>
      <c r="BC57">
        <f t="shared" si="78"/>
        <v>0.75871599846206905</v>
      </c>
      <c r="BD57">
        <f t="shared" si="79"/>
        <v>485.14382062265059</v>
      </c>
      <c r="BE57" t="s">
        <v>627</v>
      </c>
      <c r="BF57">
        <v>550.22</v>
      </c>
      <c r="BG57">
        <f t="shared" si="80"/>
        <v>550.22</v>
      </c>
      <c r="BH57">
        <f t="shared" si="81"/>
        <v>0.51803208700508541</v>
      </c>
      <c r="BI57">
        <f t="shared" si="82"/>
        <v>0.69531136164327711</v>
      </c>
      <c r="BJ57">
        <f t="shared" si="83"/>
        <v>0.59425661733767898</v>
      </c>
      <c r="BK57">
        <f t="shared" si="84"/>
        <v>0.7509707790818847</v>
      </c>
      <c r="BL57">
        <f t="shared" si="85"/>
        <v>0.6126813731389128</v>
      </c>
      <c r="BM57">
        <f t="shared" si="86"/>
        <v>0.52377994913456027</v>
      </c>
      <c r="BN57">
        <f t="shared" si="87"/>
        <v>0.47622005086543973</v>
      </c>
      <c r="BO57">
        <v>12549</v>
      </c>
      <c r="BP57">
        <v>290.00000000000011</v>
      </c>
      <c r="BQ57">
        <v>1020.06</v>
      </c>
      <c r="BR57">
        <v>215</v>
      </c>
      <c r="BS57">
        <v>10189.5</v>
      </c>
      <c r="BT57">
        <v>1019.66</v>
      </c>
      <c r="BU57">
        <v>0.4</v>
      </c>
      <c r="BV57">
        <v>300.00000000000011</v>
      </c>
      <c r="BW57">
        <v>24.2</v>
      </c>
      <c r="BX57">
        <v>1141.611267399466</v>
      </c>
      <c r="BY57">
        <v>1.5711894395017729</v>
      </c>
      <c r="BZ57">
        <v>-124.26259078801969</v>
      </c>
      <c r="CA57">
        <v>1.4248308305068951</v>
      </c>
      <c r="CB57">
        <v>0.99633218021832037</v>
      </c>
      <c r="CC57">
        <v>-6.955855394883202E-3</v>
      </c>
      <c r="CD57">
        <v>289.99999999999989</v>
      </c>
      <c r="CE57">
        <v>1012.56</v>
      </c>
      <c r="CF57">
        <v>665</v>
      </c>
      <c r="CG57">
        <v>10164.299999999999</v>
      </c>
      <c r="CH57">
        <v>1019.36</v>
      </c>
      <c r="CI57">
        <v>-6.8</v>
      </c>
      <c r="CW57">
        <f t="shared" si="88"/>
        <v>1799.99</v>
      </c>
      <c r="CX57">
        <f t="shared" si="89"/>
        <v>1513.1795999967001</v>
      </c>
      <c r="CY57">
        <f t="shared" si="90"/>
        <v>0.84066000366485372</v>
      </c>
      <c r="CZ57">
        <f t="shared" si="91"/>
        <v>0.19132000732970739</v>
      </c>
      <c r="DA57">
        <v>6</v>
      </c>
      <c r="DB57">
        <v>0.5</v>
      </c>
      <c r="DC57" t="s">
        <v>419</v>
      </c>
      <c r="DD57">
        <v>2</v>
      </c>
      <c r="DE57">
        <v>1691168102.5</v>
      </c>
      <c r="DF57">
        <v>1134.2</v>
      </c>
      <c r="DG57">
        <v>1199.8599999999999</v>
      </c>
      <c r="DH57">
        <v>26.2896</v>
      </c>
      <c r="DI57">
        <v>22.912800000000001</v>
      </c>
      <c r="DJ57">
        <v>1136.8399999999999</v>
      </c>
      <c r="DK57">
        <v>26.1814</v>
      </c>
      <c r="DL57">
        <v>500.00099999999998</v>
      </c>
      <c r="DM57">
        <v>99.174199999999999</v>
      </c>
      <c r="DN57">
        <v>9.9215499999999998E-2</v>
      </c>
      <c r="DO57">
        <v>30.365100000000002</v>
      </c>
      <c r="DP57">
        <v>29.978300000000001</v>
      </c>
      <c r="DQ57">
        <v>999.9</v>
      </c>
      <c r="DR57">
        <v>0</v>
      </c>
      <c r="DS57">
        <v>0</v>
      </c>
      <c r="DT57">
        <v>10062.5</v>
      </c>
      <c r="DU57">
        <v>0</v>
      </c>
      <c r="DV57">
        <v>605.11300000000006</v>
      </c>
      <c r="DW57">
        <v>-65.658600000000007</v>
      </c>
      <c r="DX57">
        <v>1164.82</v>
      </c>
      <c r="DY57">
        <v>1227.99</v>
      </c>
      <c r="DZ57">
        <v>3.3768400000000001</v>
      </c>
      <c r="EA57">
        <v>1199.8599999999999</v>
      </c>
      <c r="EB57">
        <v>22.912800000000001</v>
      </c>
      <c r="EC57">
        <v>2.6072500000000001</v>
      </c>
      <c r="ED57">
        <v>2.2723599999999999</v>
      </c>
      <c r="EE57">
        <v>21.712</v>
      </c>
      <c r="EF57">
        <v>19.4818</v>
      </c>
      <c r="EG57">
        <v>1799.99</v>
      </c>
      <c r="EH57">
        <v>0.97799700000000001</v>
      </c>
      <c r="EI57">
        <v>2.2003200000000001E-2</v>
      </c>
      <c r="EJ57">
        <v>0</v>
      </c>
      <c r="EK57">
        <v>733.54499999999996</v>
      </c>
      <c r="EL57">
        <v>0.100005</v>
      </c>
      <c r="EM57">
        <v>15334.3</v>
      </c>
      <c r="EN57">
        <v>14862.4</v>
      </c>
      <c r="EO57">
        <v>47.561999999999998</v>
      </c>
      <c r="EP57">
        <v>49.25</v>
      </c>
      <c r="EQ57">
        <v>48.436999999999998</v>
      </c>
      <c r="ER57">
        <v>47.875</v>
      </c>
      <c r="ES57">
        <v>48.625</v>
      </c>
      <c r="ET57">
        <v>1760.29</v>
      </c>
      <c r="EU57">
        <v>39.6</v>
      </c>
      <c r="EV57">
        <v>0</v>
      </c>
      <c r="EW57">
        <v>134</v>
      </c>
      <c r="EX57">
        <v>0</v>
      </c>
      <c r="EY57">
        <v>730.41019999999992</v>
      </c>
      <c r="EZ57">
        <v>0.44692299496461813</v>
      </c>
      <c r="FA57">
        <v>85.153846065693344</v>
      </c>
      <c r="FB57">
        <v>15326.14</v>
      </c>
      <c r="FC57">
        <v>15</v>
      </c>
      <c r="FD57">
        <v>1691168073.5</v>
      </c>
      <c r="FE57" t="s">
        <v>628</v>
      </c>
      <c r="FF57">
        <v>1691168073.5</v>
      </c>
      <c r="FG57">
        <v>1691168068.5</v>
      </c>
      <c r="FH57">
        <v>50</v>
      </c>
      <c r="FI57">
        <v>0.14499999999999999</v>
      </c>
      <c r="FJ57">
        <v>0.01</v>
      </c>
      <c r="FK57">
        <v>-2.7250000000000001</v>
      </c>
      <c r="FL57">
        <v>2.5000000000000001E-2</v>
      </c>
      <c r="FM57">
        <v>1200</v>
      </c>
      <c r="FN57">
        <v>23</v>
      </c>
      <c r="FO57">
        <v>0.18</v>
      </c>
      <c r="FP57">
        <v>0.06</v>
      </c>
      <c r="FQ57">
        <v>51.768671332341668</v>
      </c>
      <c r="FR57">
        <v>-9.8158863593171858E-2</v>
      </c>
      <c r="FS57">
        <v>0.18439846596406451</v>
      </c>
      <c r="FT57">
        <v>1</v>
      </c>
      <c r="FU57">
        <v>0.17422087922091181</v>
      </c>
      <c r="FV57">
        <v>1.80479565299774E-3</v>
      </c>
      <c r="FW57">
        <v>1.0821339381658979E-3</v>
      </c>
      <c r="FX57">
        <v>1</v>
      </c>
      <c r="FY57">
        <v>2</v>
      </c>
      <c r="FZ57">
        <v>2</v>
      </c>
      <c r="GA57" t="s">
        <v>421</v>
      </c>
      <c r="GB57">
        <v>2.9166699999999999</v>
      </c>
      <c r="GC57">
        <v>2.8296399999999999</v>
      </c>
      <c r="GD57">
        <v>0.183867</v>
      </c>
      <c r="GE57">
        <v>0.187025</v>
      </c>
      <c r="GF57">
        <v>0.12556899999999999</v>
      </c>
      <c r="GG57">
        <v>0.110095</v>
      </c>
      <c r="GH57">
        <v>21111</v>
      </c>
      <c r="GI57">
        <v>26105.4</v>
      </c>
      <c r="GJ57">
        <v>23300.6</v>
      </c>
      <c r="GK57">
        <v>29443.8</v>
      </c>
      <c r="GL57">
        <v>27816.7</v>
      </c>
      <c r="GM57">
        <v>37272.9</v>
      </c>
      <c r="GN57">
        <v>32955.300000000003</v>
      </c>
      <c r="GO57">
        <v>43657</v>
      </c>
      <c r="GP57">
        <v>1.9379</v>
      </c>
      <c r="GQ57">
        <v>1.7239</v>
      </c>
      <c r="GR57">
        <v>1.5884599999999999E-2</v>
      </c>
      <c r="GS57">
        <v>0</v>
      </c>
      <c r="GT57">
        <v>29.719799999999999</v>
      </c>
      <c r="GU57">
        <v>999.9</v>
      </c>
      <c r="GV57">
        <v>29.8</v>
      </c>
      <c r="GW57">
        <v>46.7</v>
      </c>
      <c r="GX57">
        <v>31.597799999999999</v>
      </c>
      <c r="GY57">
        <v>61.252099999999999</v>
      </c>
      <c r="GZ57">
        <v>38.838099999999997</v>
      </c>
      <c r="HA57">
        <v>1</v>
      </c>
      <c r="HB57">
        <v>0.58907500000000002</v>
      </c>
      <c r="HC57">
        <v>3.0330900000000001</v>
      </c>
      <c r="HD57">
        <v>20.286999999999999</v>
      </c>
      <c r="HE57">
        <v>5.2100999999999997</v>
      </c>
      <c r="HF57">
        <v>11.8758</v>
      </c>
      <c r="HG57">
        <v>4.984</v>
      </c>
      <c r="HH57">
        <v>3.2839999999999998</v>
      </c>
      <c r="HI57">
        <v>9999</v>
      </c>
      <c r="HJ57">
        <v>9999</v>
      </c>
      <c r="HK57">
        <v>9999</v>
      </c>
      <c r="HL57">
        <v>999.9</v>
      </c>
      <c r="HM57">
        <v>1.8546899999999999</v>
      </c>
      <c r="HN57">
        <v>1.86066</v>
      </c>
      <c r="HO57">
        <v>1.8580000000000001</v>
      </c>
      <c r="HP57">
        <v>1.8590899999999999</v>
      </c>
      <c r="HQ57">
        <v>1.8583700000000001</v>
      </c>
      <c r="HR57">
        <v>1.8589800000000001</v>
      </c>
      <c r="HS57">
        <v>1.8572900000000001</v>
      </c>
      <c r="HT57">
        <v>1.8606100000000001</v>
      </c>
      <c r="HU57">
        <v>5</v>
      </c>
      <c r="HV57">
        <v>0</v>
      </c>
      <c r="HW57">
        <v>0</v>
      </c>
      <c r="HX57">
        <v>0</v>
      </c>
      <c r="HY57" t="s">
        <v>422</v>
      </c>
      <c r="HZ57" t="s">
        <v>423</v>
      </c>
      <c r="IA57" t="s">
        <v>424</v>
      </c>
      <c r="IB57" t="s">
        <v>424</v>
      </c>
      <c r="IC57" t="s">
        <v>424</v>
      </c>
      <c r="ID57" t="s">
        <v>424</v>
      </c>
      <c r="IE57">
        <v>0</v>
      </c>
      <c r="IF57">
        <v>100</v>
      </c>
      <c r="IG57">
        <v>100</v>
      </c>
      <c r="IH57">
        <v>-2.64</v>
      </c>
      <c r="II57">
        <v>0.1082</v>
      </c>
      <c r="IJ57">
        <v>0.20853678220837901</v>
      </c>
      <c r="IK57">
        <v>-4.1229525807901877E-3</v>
      </c>
      <c r="IL57">
        <v>1.8448211998558991E-6</v>
      </c>
      <c r="IM57">
        <v>-3.7020276670297668E-10</v>
      </c>
      <c r="IN57">
        <v>-0.14232646898241719</v>
      </c>
      <c r="IO57">
        <v>-1.3488639696665739E-2</v>
      </c>
      <c r="IP57">
        <v>1.1588640342490499E-3</v>
      </c>
      <c r="IQ57">
        <v>-1.0624341560077559E-5</v>
      </c>
      <c r="IR57">
        <v>2</v>
      </c>
      <c r="IS57">
        <v>1915</v>
      </c>
      <c r="IT57">
        <v>1</v>
      </c>
      <c r="IU57">
        <v>42</v>
      </c>
      <c r="IV57">
        <v>0.5</v>
      </c>
      <c r="IW57">
        <v>0.6</v>
      </c>
      <c r="IX57">
        <v>2.4523899999999998</v>
      </c>
      <c r="IY57">
        <v>2.4731399999999999</v>
      </c>
      <c r="IZ57">
        <v>1.49414</v>
      </c>
      <c r="JA57">
        <v>2.2851599999999999</v>
      </c>
      <c r="JB57">
        <v>1.54419</v>
      </c>
      <c r="JC57">
        <v>2.4401899999999999</v>
      </c>
      <c r="JD57">
        <v>49.706200000000003</v>
      </c>
      <c r="JE57">
        <v>15.0251</v>
      </c>
      <c r="JF57">
        <v>18</v>
      </c>
      <c r="JG57">
        <v>512.16999999999996</v>
      </c>
      <c r="JH57">
        <v>400.87700000000001</v>
      </c>
      <c r="JI57">
        <v>25.1524</v>
      </c>
      <c r="JJ57">
        <v>34.612699999999997</v>
      </c>
      <c r="JK57">
        <v>29.999400000000001</v>
      </c>
      <c r="JL57">
        <v>34.689100000000003</v>
      </c>
      <c r="JM57">
        <v>34.675400000000003</v>
      </c>
      <c r="JN57">
        <v>49.141199999999998</v>
      </c>
      <c r="JO57">
        <v>24.954899999999999</v>
      </c>
      <c r="JP57">
        <v>0</v>
      </c>
      <c r="JQ57">
        <v>25.149000000000001</v>
      </c>
      <c r="JR57">
        <v>1200</v>
      </c>
      <c r="JS57">
        <v>22.956299999999999</v>
      </c>
      <c r="JT57">
        <v>97.729900000000001</v>
      </c>
      <c r="JU57">
        <v>98.157700000000006</v>
      </c>
    </row>
    <row r="58" spans="1:281" x14ac:dyDescent="0.25">
      <c r="A58">
        <v>42</v>
      </c>
      <c r="B58">
        <v>1691168202</v>
      </c>
      <c r="C58">
        <v>8956.4000000953674</v>
      </c>
      <c r="D58" t="s">
        <v>629</v>
      </c>
      <c r="E58" t="s">
        <v>630</v>
      </c>
      <c r="F58" t="s">
        <v>413</v>
      </c>
      <c r="G58" t="s">
        <v>564</v>
      </c>
      <c r="H58" t="s">
        <v>565</v>
      </c>
      <c r="I58" t="s">
        <v>31</v>
      </c>
      <c r="J58">
        <v>1691168202</v>
      </c>
      <c r="K58">
        <f t="shared" si="46"/>
        <v>2.4543588932437166E-3</v>
      </c>
      <c r="L58">
        <f t="shared" si="47"/>
        <v>2.4543588932437168</v>
      </c>
      <c r="M58">
        <f t="shared" si="48"/>
        <v>52.268891316258411</v>
      </c>
      <c r="N58">
        <f t="shared" si="49"/>
        <v>1433.25</v>
      </c>
      <c r="O58">
        <f t="shared" si="50"/>
        <v>803.56907913386181</v>
      </c>
      <c r="P58">
        <f t="shared" si="51"/>
        <v>79.772280872691297</v>
      </c>
      <c r="Q58">
        <f t="shared" si="52"/>
        <v>142.28225616150002</v>
      </c>
      <c r="R58">
        <f t="shared" si="53"/>
        <v>0.14305375612069651</v>
      </c>
      <c r="S58">
        <f t="shared" si="54"/>
        <v>2.9079797890688619</v>
      </c>
      <c r="T58">
        <f t="shared" si="55"/>
        <v>0.13925606802242632</v>
      </c>
      <c r="U58">
        <f t="shared" si="56"/>
        <v>8.7367852340691055E-2</v>
      </c>
      <c r="V58">
        <f t="shared" si="57"/>
        <v>344.37539999340169</v>
      </c>
      <c r="W58">
        <f t="shared" si="58"/>
        <v>31.880459944177488</v>
      </c>
      <c r="X58">
        <f t="shared" si="59"/>
        <v>30.196300000000001</v>
      </c>
      <c r="Y58">
        <f t="shared" si="60"/>
        <v>4.3087243416687402</v>
      </c>
      <c r="Z58">
        <f t="shared" si="61"/>
        <v>59.823539384613646</v>
      </c>
      <c r="AA58">
        <f t="shared" si="62"/>
        <v>2.6201278713046001</v>
      </c>
      <c r="AB58">
        <f t="shared" si="63"/>
        <v>4.3797607066667235</v>
      </c>
      <c r="AC58">
        <f t="shared" si="64"/>
        <v>1.6885964703641401</v>
      </c>
      <c r="AD58">
        <f t="shared" si="65"/>
        <v>-108.23722719204791</v>
      </c>
      <c r="AE58">
        <f t="shared" si="66"/>
        <v>44.743586823215132</v>
      </c>
      <c r="AF58">
        <f t="shared" si="67"/>
        <v>3.4326969822254605</v>
      </c>
      <c r="AG58">
        <f t="shared" si="68"/>
        <v>284.31445660679441</v>
      </c>
      <c r="AH58">
        <v>0</v>
      </c>
      <c r="AI58">
        <v>0</v>
      </c>
      <c r="AJ58">
        <f t="shared" si="69"/>
        <v>1</v>
      </c>
      <c r="AK58">
        <f t="shared" si="70"/>
        <v>0</v>
      </c>
      <c r="AL58">
        <f t="shared" si="71"/>
        <v>51638.848944291341</v>
      </c>
      <c r="AM58" t="s">
        <v>416</v>
      </c>
      <c r="AN58">
        <v>10235.299999999999</v>
      </c>
      <c r="AO58">
        <v>594.051923076923</v>
      </c>
      <c r="AP58">
        <v>2007.77</v>
      </c>
      <c r="AQ58">
        <f t="shared" si="72"/>
        <v>0.70412351859180933</v>
      </c>
      <c r="AR58">
        <v>-0.54275787784279261</v>
      </c>
      <c r="AS58" t="s">
        <v>631</v>
      </c>
      <c r="AT58">
        <v>10192.4</v>
      </c>
      <c r="AU58">
        <v>730.3252</v>
      </c>
      <c r="AV58">
        <v>1148.7103928898871</v>
      </c>
      <c r="AW58">
        <f t="shared" si="73"/>
        <v>0.36422164844990013</v>
      </c>
      <c r="AX58">
        <v>0.5</v>
      </c>
      <c r="AY58">
        <f t="shared" si="74"/>
        <v>1513.187699996701</v>
      </c>
      <c r="AZ58">
        <f t="shared" si="75"/>
        <v>52.268891316258411</v>
      </c>
      <c r="BA58">
        <f t="shared" si="76"/>
        <v>275.56785925345571</v>
      </c>
      <c r="BB58">
        <f t="shared" si="77"/>
        <v>3.4900924184234614E-2</v>
      </c>
      <c r="BC58">
        <f t="shared" si="78"/>
        <v>0.74784698774154867</v>
      </c>
      <c r="BD58">
        <f t="shared" si="79"/>
        <v>486.4213154735582</v>
      </c>
      <c r="BE58" t="s">
        <v>632</v>
      </c>
      <c r="BF58">
        <v>548.73</v>
      </c>
      <c r="BG58">
        <f t="shared" si="80"/>
        <v>548.73</v>
      </c>
      <c r="BH58">
        <f t="shared" si="81"/>
        <v>0.52230779542307137</v>
      </c>
      <c r="BI58">
        <f t="shared" si="82"/>
        <v>0.6973314425737781</v>
      </c>
      <c r="BJ58">
        <f t="shared" si="83"/>
        <v>0.58878413690516562</v>
      </c>
      <c r="BK58">
        <f t="shared" si="84"/>
        <v>0.75431137476539467</v>
      </c>
      <c r="BL58">
        <f t="shared" si="85"/>
        <v>0.60765977399103166</v>
      </c>
      <c r="BM58">
        <f t="shared" si="86"/>
        <v>0.52394013308524645</v>
      </c>
      <c r="BN58">
        <f t="shared" si="87"/>
        <v>0.47605986691475355</v>
      </c>
      <c r="BO58">
        <v>12551</v>
      </c>
      <c r="BP58">
        <v>290.00000000000011</v>
      </c>
      <c r="BQ58">
        <v>1024.96</v>
      </c>
      <c r="BR58">
        <v>205</v>
      </c>
      <c r="BS58">
        <v>10192.4</v>
      </c>
      <c r="BT58">
        <v>1024.44</v>
      </c>
      <c r="BU58">
        <v>0.52</v>
      </c>
      <c r="BV58">
        <v>300.00000000000011</v>
      </c>
      <c r="BW58">
        <v>24.2</v>
      </c>
      <c r="BX58">
        <v>1148.7103928898871</v>
      </c>
      <c r="BY58">
        <v>1.6363301868617539</v>
      </c>
      <c r="BZ58">
        <v>-126.6567578146434</v>
      </c>
      <c r="CA58">
        <v>1.484147517283434</v>
      </c>
      <c r="CB58">
        <v>0.99617008677387964</v>
      </c>
      <c r="CC58">
        <v>-6.9566471635150191E-3</v>
      </c>
      <c r="CD58">
        <v>289.99999999999989</v>
      </c>
      <c r="CE58">
        <v>1016.34</v>
      </c>
      <c r="CF58">
        <v>635</v>
      </c>
      <c r="CG58">
        <v>10167.700000000001</v>
      </c>
      <c r="CH58">
        <v>1024.1400000000001</v>
      </c>
      <c r="CI58">
        <v>-7.8</v>
      </c>
      <c r="CW58">
        <f t="shared" si="88"/>
        <v>1800</v>
      </c>
      <c r="CX58">
        <f t="shared" si="89"/>
        <v>1513.187699996701</v>
      </c>
      <c r="CY58">
        <f t="shared" si="90"/>
        <v>0.84065983333150052</v>
      </c>
      <c r="CZ58">
        <f t="shared" si="91"/>
        <v>0.19131966666300093</v>
      </c>
      <c r="DA58">
        <v>6</v>
      </c>
      <c r="DB58">
        <v>0.5</v>
      </c>
      <c r="DC58" t="s">
        <v>419</v>
      </c>
      <c r="DD58">
        <v>2</v>
      </c>
      <c r="DE58">
        <v>1691168202</v>
      </c>
      <c r="DF58">
        <v>1433.25</v>
      </c>
      <c r="DG58">
        <v>1500.18</v>
      </c>
      <c r="DH58">
        <v>26.3933</v>
      </c>
      <c r="DI58">
        <v>23.526399999999999</v>
      </c>
      <c r="DJ58">
        <v>1436.23</v>
      </c>
      <c r="DK58">
        <v>26.279299999999999</v>
      </c>
      <c r="DL58">
        <v>500.10399999999998</v>
      </c>
      <c r="DM58">
        <v>99.172200000000004</v>
      </c>
      <c r="DN58">
        <v>0.100262</v>
      </c>
      <c r="DO58">
        <v>30.4817</v>
      </c>
      <c r="DP58">
        <v>30.196300000000001</v>
      </c>
      <c r="DQ58">
        <v>999.9</v>
      </c>
      <c r="DR58">
        <v>0</v>
      </c>
      <c r="DS58">
        <v>0</v>
      </c>
      <c r="DT58">
        <v>9960</v>
      </c>
      <c r="DU58">
        <v>0</v>
      </c>
      <c r="DV58">
        <v>1953.64</v>
      </c>
      <c r="DW58">
        <v>-66.924700000000001</v>
      </c>
      <c r="DX58">
        <v>1472.11</v>
      </c>
      <c r="DY58">
        <v>1536.32</v>
      </c>
      <c r="DZ58">
        <v>2.86686</v>
      </c>
      <c r="EA58">
        <v>1500.18</v>
      </c>
      <c r="EB58">
        <v>23.526399999999999</v>
      </c>
      <c r="EC58">
        <v>2.61748</v>
      </c>
      <c r="ED58">
        <v>2.33317</v>
      </c>
      <c r="EE58">
        <v>21.776</v>
      </c>
      <c r="EF58">
        <v>19.9072</v>
      </c>
      <c r="EG58">
        <v>1800</v>
      </c>
      <c r="EH58">
        <v>0.97800500000000001</v>
      </c>
      <c r="EI58">
        <v>2.1994799999999998E-2</v>
      </c>
      <c r="EJ58">
        <v>0</v>
      </c>
      <c r="EK58">
        <v>734.02</v>
      </c>
      <c r="EL58">
        <v>0.100005</v>
      </c>
      <c r="EM58">
        <v>18770.2</v>
      </c>
      <c r="EN58">
        <v>14862.6</v>
      </c>
      <c r="EO58">
        <v>47.436999999999998</v>
      </c>
      <c r="EP58">
        <v>49.186999999999998</v>
      </c>
      <c r="EQ58">
        <v>48.25</v>
      </c>
      <c r="ER58">
        <v>47.75</v>
      </c>
      <c r="ES58">
        <v>48.5</v>
      </c>
      <c r="ET58">
        <v>1760.31</v>
      </c>
      <c r="EU58">
        <v>39.590000000000003</v>
      </c>
      <c r="EV58">
        <v>0</v>
      </c>
      <c r="EW58">
        <v>97.200000047683716</v>
      </c>
      <c r="EX58">
        <v>0</v>
      </c>
      <c r="EY58">
        <v>730.3252</v>
      </c>
      <c r="EZ58">
        <v>4.7592308666130716</v>
      </c>
      <c r="FA58">
        <v>2142.8846190993158</v>
      </c>
      <c r="FB58">
        <v>18650.436000000002</v>
      </c>
      <c r="FC58">
        <v>15</v>
      </c>
      <c r="FD58">
        <v>1691168171</v>
      </c>
      <c r="FE58" t="s">
        <v>633</v>
      </c>
      <c r="FF58">
        <v>1691168171</v>
      </c>
      <c r="FG58">
        <v>1691168166</v>
      </c>
      <c r="FH58">
        <v>51</v>
      </c>
      <c r="FI58">
        <v>2.1000000000000001E-2</v>
      </c>
      <c r="FJ58">
        <v>3.0000000000000001E-3</v>
      </c>
      <c r="FK58">
        <v>-3.0550000000000002</v>
      </c>
      <c r="FL58">
        <v>3.5999999999999997E-2</v>
      </c>
      <c r="FM58">
        <v>1500</v>
      </c>
      <c r="FN58">
        <v>23</v>
      </c>
      <c r="FO58">
        <v>0.15</v>
      </c>
      <c r="FP58">
        <v>0.08</v>
      </c>
      <c r="FQ58">
        <v>52.310929840323631</v>
      </c>
      <c r="FR58">
        <v>-0.19854059975205759</v>
      </c>
      <c r="FS58">
        <v>0.1237134241639497</v>
      </c>
      <c r="FT58">
        <v>1</v>
      </c>
      <c r="FU58">
        <v>0.1458745324287069</v>
      </c>
      <c r="FV58">
        <v>1.000416115091809E-2</v>
      </c>
      <c r="FW58">
        <v>1.9828236330487392E-3</v>
      </c>
      <c r="FX58">
        <v>1</v>
      </c>
      <c r="FY58">
        <v>2</v>
      </c>
      <c r="FZ58">
        <v>2</v>
      </c>
      <c r="GA58" t="s">
        <v>421</v>
      </c>
      <c r="GB58">
        <v>2.91709</v>
      </c>
      <c r="GC58">
        <v>2.8298000000000001</v>
      </c>
      <c r="GD58">
        <v>0.21202399999999999</v>
      </c>
      <c r="GE58">
        <v>0.21418400000000001</v>
      </c>
      <c r="GF58">
        <v>0.125939</v>
      </c>
      <c r="GG58">
        <v>0.112191</v>
      </c>
      <c r="GH58">
        <v>20386.3</v>
      </c>
      <c r="GI58">
        <v>25234.400000000001</v>
      </c>
      <c r="GJ58">
        <v>23306.1</v>
      </c>
      <c r="GK58">
        <v>29446.6</v>
      </c>
      <c r="GL58">
        <v>27812.799999999999</v>
      </c>
      <c r="GM58">
        <v>37189.9</v>
      </c>
      <c r="GN58">
        <v>32962.5</v>
      </c>
      <c r="GO58">
        <v>43659.7</v>
      </c>
      <c r="GP58">
        <v>1.9402999999999999</v>
      </c>
      <c r="GQ58">
        <v>1.7282</v>
      </c>
      <c r="GR58">
        <v>1.5467399999999999E-2</v>
      </c>
      <c r="GS58">
        <v>0</v>
      </c>
      <c r="GT58">
        <v>29.944600000000001</v>
      </c>
      <c r="GU58">
        <v>999.9</v>
      </c>
      <c r="GV58">
        <v>29.8</v>
      </c>
      <c r="GW58">
        <v>46.7</v>
      </c>
      <c r="GX58">
        <v>31.6</v>
      </c>
      <c r="GY58">
        <v>61.7821</v>
      </c>
      <c r="GZ58">
        <v>39.399000000000001</v>
      </c>
      <c r="HA58">
        <v>1</v>
      </c>
      <c r="HB58">
        <v>0.58621900000000005</v>
      </c>
      <c r="HC58">
        <v>5.0838099999999997</v>
      </c>
      <c r="HD58">
        <v>20.236000000000001</v>
      </c>
      <c r="HE58">
        <v>5.2112999999999996</v>
      </c>
      <c r="HF58">
        <v>11.8782</v>
      </c>
      <c r="HG58">
        <v>4.9846000000000004</v>
      </c>
      <c r="HH58">
        <v>3.2839999999999998</v>
      </c>
      <c r="HI58">
        <v>9999</v>
      </c>
      <c r="HJ58">
        <v>9999</v>
      </c>
      <c r="HK58">
        <v>9999</v>
      </c>
      <c r="HL58">
        <v>999.9</v>
      </c>
      <c r="HM58">
        <v>1.8546800000000001</v>
      </c>
      <c r="HN58">
        <v>1.86066</v>
      </c>
      <c r="HO58">
        <v>1.8579699999999999</v>
      </c>
      <c r="HP58">
        <v>1.8590100000000001</v>
      </c>
      <c r="HQ58">
        <v>1.8583799999999999</v>
      </c>
      <c r="HR58">
        <v>1.8589800000000001</v>
      </c>
      <c r="HS58">
        <v>1.8572900000000001</v>
      </c>
      <c r="HT58">
        <v>1.86056</v>
      </c>
      <c r="HU58">
        <v>5</v>
      </c>
      <c r="HV58">
        <v>0</v>
      </c>
      <c r="HW58">
        <v>0</v>
      </c>
      <c r="HX58">
        <v>0</v>
      </c>
      <c r="HY58" t="s">
        <v>422</v>
      </c>
      <c r="HZ58" t="s">
        <v>423</v>
      </c>
      <c r="IA58" t="s">
        <v>424</v>
      </c>
      <c r="IB58" t="s">
        <v>424</v>
      </c>
      <c r="IC58" t="s">
        <v>424</v>
      </c>
      <c r="ID58" t="s">
        <v>424</v>
      </c>
      <c r="IE58">
        <v>0</v>
      </c>
      <c r="IF58">
        <v>100</v>
      </c>
      <c r="IG58">
        <v>100</v>
      </c>
      <c r="IH58">
        <v>-2.98</v>
      </c>
      <c r="II58">
        <v>0.114</v>
      </c>
      <c r="IJ58">
        <v>0.23087917828292909</v>
      </c>
      <c r="IK58">
        <v>-4.1229525807901877E-3</v>
      </c>
      <c r="IL58">
        <v>1.8448211998558991E-6</v>
      </c>
      <c r="IM58">
        <v>-3.7020276670297668E-10</v>
      </c>
      <c r="IN58">
        <v>-0.13911326361407661</v>
      </c>
      <c r="IO58">
        <v>-1.3488639696665739E-2</v>
      </c>
      <c r="IP58">
        <v>1.1588640342490499E-3</v>
      </c>
      <c r="IQ58">
        <v>-1.0624341560077559E-5</v>
      </c>
      <c r="IR58">
        <v>2</v>
      </c>
      <c r="IS58">
        <v>1915</v>
      </c>
      <c r="IT58">
        <v>1</v>
      </c>
      <c r="IU58">
        <v>42</v>
      </c>
      <c r="IV58">
        <v>0.5</v>
      </c>
      <c r="IW58">
        <v>0.6</v>
      </c>
      <c r="IX58">
        <v>2.9382299999999999</v>
      </c>
      <c r="IY58">
        <v>2.4645999999999999</v>
      </c>
      <c r="IZ58">
        <v>1.49414</v>
      </c>
      <c r="JA58">
        <v>2.2851599999999999</v>
      </c>
      <c r="JB58">
        <v>1.54419</v>
      </c>
      <c r="JC58">
        <v>2.5097700000000001</v>
      </c>
      <c r="JD58">
        <v>49.452599999999997</v>
      </c>
      <c r="JE58">
        <v>14.9551</v>
      </c>
      <c r="JF58">
        <v>18</v>
      </c>
      <c r="JG58">
        <v>512.58100000000002</v>
      </c>
      <c r="JH58">
        <v>402.64600000000002</v>
      </c>
      <c r="JI58">
        <v>24.3658</v>
      </c>
      <c r="JJ58">
        <v>34.459000000000003</v>
      </c>
      <c r="JK58">
        <v>30.001100000000001</v>
      </c>
      <c r="JL58">
        <v>34.539000000000001</v>
      </c>
      <c r="JM58">
        <v>34.531399999999998</v>
      </c>
      <c r="JN58">
        <v>58.862699999999997</v>
      </c>
      <c r="JO58">
        <v>23.014099999999999</v>
      </c>
      <c r="JP58">
        <v>0</v>
      </c>
      <c r="JQ58">
        <v>24.2727</v>
      </c>
      <c r="JR58">
        <v>1500</v>
      </c>
      <c r="JS58">
        <v>23.546399999999998</v>
      </c>
      <c r="JT58">
        <v>97.752099999999999</v>
      </c>
      <c r="JU58">
        <v>98.165099999999995</v>
      </c>
    </row>
    <row r="59" spans="1:281" x14ac:dyDescent="0.25">
      <c r="A59">
        <v>43</v>
      </c>
      <c r="B59">
        <v>1691168933.0999999</v>
      </c>
      <c r="C59">
        <v>9687.5</v>
      </c>
      <c r="D59" t="s">
        <v>634</v>
      </c>
      <c r="E59" t="s">
        <v>635</v>
      </c>
      <c r="F59" t="s">
        <v>413</v>
      </c>
      <c r="G59" t="s">
        <v>636</v>
      </c>
      <c r="H59" t="s">
        <v>637</v>
      </c>
      <c r="I59" t="s">
        <v>415</v>
      </c>
      <c r="J59">
        <v>1691168933.0999999</v>
      </c>
      <c r="K59">
        <f t="shared" si="46"/>
        <v>7.3631545454999987E-3</v>
      </c>
      <c r="L59">
        <f t="shared" si="47"/>
        <v>7.3631545454999987</v>
      </c>
      <c r="M59">
        <f t="shared" si="48"/>
        <v>56.154918287512238</v>
      </c>
      <c r="N59">
        <f t="shared" si="49"/>
        <v>329.57600000000002</v>
      </c>
      <c r="O59">
        <f t="shared" si="50"/>
        <v>120.65119134015066</v>
      </c>
      <c r="P59">
        <f t="shared" si="51"/>
        <v>11.978887338670672</v>
      </c>
      <c r="Q59">
        <f t="shared" si="52"/>
        <v>32.722045507195205</v>
      </c>
      <c r="R59">
        <f t="shared" si="53"/>
        <v>0.47702382628856166</v>
      </c>
      <c r="S59">
        <f t="shared" si="54"/>
        <v>2.9134681662823421</v>
      </c>
      <c r="T59">
        <f t="shared" si="55"/>
        <v>0.43749829906752735</v>
      </c>
      <c r="U59">
        <f t="shared" si="56"/>
        <v>0.2767142152890455</v>
      </c>
      <c r="V59">
        <f t="shared" si="57"/>
        <v>344.34059999340269</v>
      </c>
      <c r="W59">
        <f t="shared" si="58"/>
        <v>30.701339318736487</v>
      </c>
      <c r="X59">
        <f t="shared" si="59"/>
        <v>30.005600000000001</v>
      </c>
      <c r="Y59">
        <f t="shared" si="60"/>
        <v>4.2618203782803237</v>
      </c>
      <c r="Z59">
        <f t="shared" si="61"/>
        <v>60.125107419447751</v>
      </c>
      <c r="AA59">
        <f t="shared" si="62"/>
        <v>2.6489908469041197</v>
      </c>
      <c r="AB59">
        <f t="shared" si="63"/>
        <v>4.4057981109690143</v>
      </c>
      <c r="AC59">
        <f t="shared" si="64"/>
        <v>1.612829531376204</v>
      </c>
      <c r="AD59">
        <f t="shared" si="65"/>
        <v>-324.71511545654994</v>
      </c>
      <c r="AE59">
        <f t="shared" si="66"/>
        <v>91.05399828402156</v>
      </c>
      <c r="AF59">
        <f t="shared" si="67"/>
        <v>6.9694424067865439</v>
      </c>
      <c r="AG59">
        <f t="shared" si="68"/>
        <v>117.64892522766084</v>
      </c>
      <c r="AH59">
        <v>0</v>
      </c>
      <c r="AI59">
        <v>0</v>
      </c>
      <c r="AJ59">
        <f t="shared" si="69"/>
        <v>1</v>
      </c>
      <c r="AK59">
        <f t="shared" si="70"/>
        <v>0</v>
      </c>
      <c r="AL59">
        <f t="shared" si="71"/>
        <v>51777.280711396619</v>
      </c>
      <c r="AM59" t="s">
        <v>416</v>
      </c>
      <c r="AN59">
        <v>10235.299999999999</v>
      </c>
      <c r="AO59">
        <v>594.051923076923</v>
      </c>
      <c r="AP59">
        <v>2007.77</v>
      </c>
      <c r="AQ59">
        <f t="shared" si="72"/>
        <v>0.70412351859180933</v>
      </c>
      <c r="AR59">
        <v>-0.54275787784279261</v>
      </c>
      <c r="AS59" t="s">
        <v>638</v>
      </c>
      <c r="AT59">
        <v>10192.200000000001</v>
      </c>
      <c r="AU59">
        <v>701.87961538461548</v>
      </c>
      <c r="AV59">
        <v>1173.474680255579</v>
      </c>
      <c r="AW59">
        <f t="shared" si="73"/>
        <v>0.40187919927531079</v>
      </c>
      <c r="AX59">
        <v>0.5</v>
      </c>
      <c r="AY59">
        <f t="shared" si="74"/>
        <v>1513.0361999967013</v>
      </c>
      <c r="AZ59">
        <f t="shared" si="75"/>
        <v>56.154918287512238</v>
      </c>
      <c r="BA59">
        <f t="shared" si="76"/>
        <v>304.02888826461663</v>
      </c>
      <c r="BB59">
        <f t="shared" si="77"/>
        <v>3.7472782320395671E-2</v>
      </c>
      <c r="BC59">
        <f t="shared" si="78"/>
        <v>0.71096150073107178</v>
      </c>
      <c r="BD59">
        <f t="shared" si="79"/>
        <v>490.80728040958269</v>
      </c>
      <c r="BE59" t="s">
        <v>639</v>
      </c>
      <c r="BF59">
        <v>531.55999999999995</v>
      </c>
      <c r="BG59">
        <f t="shared" si="80"/>
        <v>531.55999999999995</v>
      </c>
      <c r="BH59">
        <f t="shared" si="81"/>
        <v>0.54702047777952234</v>
      </c>
      <c r="BI59">
        <f t="shared" si="82"/>
        <v>0.73466938734474396</v>
      </c>
      <c r="BJ59">
        <f t="shared" si="83"/>
        <v>0.56516032254518056</v>
      </c>
      <c r="BK59">
        <f t="shared" si="84"/>
        <v>0.81390497530209105</v>
      </c>
      <c r="BL59">
        <f t="shared" si="85"/>
        <v>0.59014264114118464</v>
      </c>
      <c r="BM59">
        <f t="shared" si="86"/>
        <v>0.55639293545086754</v>
      </c>
      <c r="BN59">
        <f t="shared" si="87"/>
        <v>0.44360706454913246</v>
      </c>
      <c r="BO59">
        <v>12553</v>
      </c>
      <c r="BP59">
        <v>290.00000000000011</v>
      </c>
      <c r="BQ59">
        <v>1042.1199999999999</v>
      </c>
      <c r="BR59">
        <v>275</v>
      </c>
      <c r="BS59">
        <v>10192.200000000001</v>
      </c>
      <c r="BT59">
        <v>1042.83</v>
      </c>
      <c r="BU59">
        <v>-0.71</v>
      </c>
      <c r="BV59">
        <v>300.00000000000011</v>
      </c>
      <c r="BW59">
        <v>24.2</v>
      </c>
      <c r="BX59">
        <v>1173.474680255579</v>
      </c>
      <c r="BY59">
        <v>3.0015445173221891</v>
      </c>
      <c r="BZ59">
        <v>-133.1573303713771</v>
      </c>
      <c r="CA59">
        <v>2.7245214801702682</v>
      </c>
      <c r="CB59">
        <v>0.98841363851330899</v>
      </c>
      <c r="CC59">
        <v>-6.9634246941045544E-3</v>
      </c>
      <c r="CD59">
        <v>289.99999999999989</v>
      </c>
      <c r="CE59">
        <v>1035.94</v>
      </c>
      <c r="CF59">
        <v>635</v>
      </c>
      <c r="CG59">
        <v>10175.700000000001</v>
      </c>
      <c r="CH59">
        <v>1042.6199999999999</v>
      </c>
      <c r="CI59">
        <v>-6.68</v>
      </c>
      <c r="CW59">
        <f t="shared" si="88"/>
        <v>1799.82</v>
      </c>
      <c r="CX59">
        <f t="shared" si="89"/>
        <v>1513.0361999967013</v>
      </c>
      <c r="CY59">
        <f t="shared" si="90"/>
        <v>0.8406597326380979</v>
      </c>
      <c r="CZ59">
        <f t="shared" si="91"/>
        <v>0.19131946527619578</v>
      </c>
      <c r="DA59">
        <v>6</v>
      </c>
      <c r="DB59">
        <v>0.5</v>
      </c>
      <c r="DC59" t="s">
        <v>419</v>
      </c>
      <c r="DD59">
        <v>2</v>
      </c>
      <c r="DE59">
        <v>1691168933.0999999</v>
      </c>
      <c r="DF59">
        <v>329.57600000000002</v>
      </c>
      <c r="DG59">
        <v>399.863</v>
      </c>
      <c r="DH59">
        <v>26.680599999999998</v>
      </c>
      <c r="DI59">
        <v>18.081900000000001</v>
      </c>
      <c r="DJ59">
        <v>331.68599999999998</v>
      </c>
      <c r="DK59">
        <v>26.598299999999998</v>
      </c>
      <c r="DL59">
        <v>500.07799999999997</v>
      </c>
      <c r="DM59">
        <v>99.185299999999998</v>
      </c>
      <c r="DN59">
        <v>9.9980200000000005E-2</v>
      </c>
      <c r="DO59">
        <v>30.5853</v>
      </c>
      <c r="DP59">
        <v>30.005600000000001</v>
      </c>
      <c r="DQ59">
        <v>999.9</v>
      </c>
      <c r="DR59">
        <v>0</v>
      </c>
      <c r="DS59">
        <v>0</v>
      </c>
      <c r="DT59">
        <v>9990</v>
      </c>
      <c r="DU59">
        <v>0</v>
      </c>
      <c r="DV59">
        <v>994.45699999999999</v>
      </c>
      <c r="DW59">
        <v>-70.287199999999999</v>
      </c>
      <c r="DX59">
        <v>338.61</v>
      </c>
      <c r="DY59">
        <v>407.226</v>
      </c>
      <c r="DZ59">
        <v>8.5987799999999996</v>
      </c>
      <c r="EA59">
        <v>399.863</v>
      </c>
      <c r="EB59">
        <v>18.081900000000001</v>
      </c>
      <c r="EC59">
        <v>2.6463299999999998</v>
      </c>
      <c r="ED59">
        <v>1.7934600000000001</v>
      </c>
      <c r="EE59">
        <v>21.9556</v>
      </c>
      <c r="EF59">
        <v>15.729900000000001</v>
      </c>
      <c r="EG59">
        <v>1799.82</v>
      </c>
      <c r="EH59">
        <v>0.97800600000000004</v>
      </c>
      <c r="EI59">
        <v>2.19939E-2</v>
      </c>
      <c r="EJ59">
        <v>0</v>
      </c>
      <c r="EK59">
        <v>700.28</v>
      </c>
      <c r="EL59">
        <v>0.100005</v>
      </c>
      <c r="EM59">
        <v>15735.3</v>
      </c>
      <c r="EN59">
        <v>14861</v>
      </c>
      <c r="EO59">
        <v>48.125</v>
      </c>
      <c r="EP59">
        <v>50.75</v>
      </c>
      <c r="EQ59">
        <v>49.061999999999998</v>
      </c>
      <c r="ER59">
        <v>49.311999999999998</v>
      </c>
      <c r="ES59">
        <v>49.311999999999998</v>
      </c>
      <c r="ET59">
        <v>1760.14</v>
      </c>
      <c r="EU59">
        <v>39.58</v>
      </c>
      <c r="EV59">
        <v>0</v>
      </c>
      <c r="EW59">
        <v>729</v>
      </c>
      <c r="EX59">
        <v>0</v>
      </c>
      <c r="EY59">
        <v>701.87961538461548</v>
      </c>
      <c r="EZ59">
        <v>-7.17982901823662</v>
      </c>
      <c r="FA59">
        <v>-2476.379489210678</v>
      </c>
      <c r="FB59">
        <v>15879.25769230769</v>
      </c>
      <c r="FC59">
        <v>15</v>
      </c>
      <c r="FD59">
        <v>1691168887.0999999</v>
      </c>
      <c r="FE59" t="s">
        <v>640</v>
      </c>
      <c r="FF59">
        <v>1691168886.0999999</v>
      </c>
      <c r="FG59">
        <v>1691168887.0999999</v>
      </c>
      <c r="FH59">
        <v>53</v>
      </c>
      <c r="FI59">
        <v>0.20899999999999999</v>
      </c>
      <c r="FJ59">
        <v>-2.5999999999999999E-2</v>
      </c>
      <c r="FK59">
        <v>-2.3170000000000002</v>
      </c>
      <c r="FL59">
        <v>-0.11</v>
      </c>
      <c r="FM59">
        <v>400</v>
      </c>
      <c r="FN59">
        <v>18</v>
      </c>
      <c r="FO59">
        <v>0.1</v>
      </c>
      <c r="FP59">
        <v>0.04</v>
      </c>
      <c r="FQ59">
        <v>56.351214598981869</v>
      </c>
      <c r="FR59">
        <v>0.43858473534867071</v>
      </c>
      <c r="FS59">
        <v>8.8607923272607816E-2</v>
      </c>
      <c r="FT59">
        <v>1</v>
      </c>
      <c r="FU59">
        <v>0.48123684043999881</v>
      </c>
      <c r="FV59">
        <v>-4.8611830746104423E-2</v>
      </c>
      <c r="FW59">
        <v>3.6555510723899078E-3</v>
      </c>
      <c r="FX59">
        <v>1</v>
      </c>
      <c r="FY59">
        <v>2</v>
      </c>
      <c r="FZ59">
        <v>2</v>
      </c>
      <c r="GA59" t="s">
        <v>421</v>
      </c>
      <c r="GB59">
        <v>2.91588</v>
      </c>
      <c r="GC59">
        <v>2.82978</v>
      </c>
      <c r="GD59">
        <v>7.7249899999999996E-2</v>
      </c>
      <c r="GE59">
        <v>8.7729399999999999E-2</v>
      </c>
      <c r="GF59">
        <v>0.126777</v>
      </c>
      <c r="GG59">
        <v>9.2872999999999997E-2</v>
      </c>
      <c r="GH59">
        <v>23841.3</v>
      </c>
      <c r="GI59">
        <v>29249.200000000001</v>
      </c>
      <c r="GJ59">
        <v>23274.9</v>
      </c>
      <c r="GK59">
        <v>29400.5</v>
      </c>
      <c r="GL59">
        <v>27744</v>
      </c>
      <c r="GM59">
        <v>37934.6</v>
      </c>
      <c r="GN59">
        <v>32920.400000000001</v>
      </c>
      <c r="GO59">
        <v>43601.8</v>
      </c>
      <c r="GP59">
        <v>1.9332</v>
      </c>
      <c r="GQ59">
        <v>1.7000999999999999</v>
      </c>
      <c r="GR59">
        <v>-4.6446899999999999E-2</v>
      </c>
      <c r="GS59">
        <v>0</v>
      </c>
      <c r="GT59">
        <v>30.760999999999999</v>
      </c>
      <c r="GU59">
        <v>999.9</v>
      </c>
      <c r="GV59">
        <v>29.6</v>
      </c>
      <c r="GW59">
        <v>46.8</v>
      </c>
      <c r="GX59">
        <v>31.5426</v>
      </c>
      <c r="GY59">
        <v>61.874000000000002</v>
      </c>
      <c r="GZ59">
        <v>38.838099999999997</v>
      </c>
      <c r="HA59">
        <v>1</v>
      </c>
      <c r="HB59">
        <v>0.68152400000000002</v>
      </c>
      <c r="HC59">
        <v>5.15008</v>
      </c>
      <c r="HD59">
        <v>20.191700000000001</v>
      </c>
      <c r="HE59">
        <v>5.2095000000000002</v>
      </c>
      <c r="HF59">
        <v>11.8782</v>
      </c>
      <c r="HG59">
        <v>4.9837999999999996</v>
      </c>
      <c r="HH59">
        <v>3.2839999999999998</v>
      </c>
      <c r="HI59">
        <v>9999</v>
      </c>
      <c r="HJ59">
        <v>9999</v>
      </c>
      <c r="HK59">
        <v>9999</v>
      </c>
      <c r="HL59">
        <v>999.9</v>
      </c>
      <c r="HM59">
        <v>1.8548</v>
      </c>
      <c r="HN59">
        <v>1.8608100000000001</v>
      </c>
      <c r="HO59">
        <v>1.85809</v>
      </c>
      <c r="HP59">
        <v>1.8592200000000001</v>
      </c>
      <c r="HQ59">
        <v>1.8585199999999999</v>
      </c>
      <c r="HR59">
        <v>1.8591299999999999</v>
      </c>
      <c r="HS59">
        <v>1.85745</v>
      </c>
      <c r="HT59">
        <v>1.86077</v>
      </c>
      <c r="HU59">
        <v>5</v>
      </c>
      <c r="HV59">
        <v>0</v>
      </c>
      <c r="HW59">
        <v>0</v>
      </c>
      <c r="HX59">
        <v>0</v>
      </c>
      <c r="HY59" t="s">
        <v>422</v>
      </c>
      <c r="HZ59" t="s">
        <v>423</v>
      </c>
      <c r="IA59" t="s">
        <v>424</v>
      </c>
      <c r="IB59" t="s">
        <v>424</v>
      </c>
      <c r="IC59" t="s">
        <v>424</v>
      </c>
      <c r="ID59" t="s">
        <v>424</v>
      </c>
      <c r="IE59">
        <v>0</v>
      </c>
      <c r="IF59">
        <v>100</v>
      </c>
      <c r="IG59">
        <v>100</v>
      </c>
      <c r="IH59">
        <v>-2.11</v>
      </c>
      <c r="II59">
        <v>8.2299999999999998E-2</v>
      </c>
      <c r="IJ59">
        <v>-0.93237276730942176</v>
      </c>
      <c r="IK59">
        <v>-4.1229525807901877E-3</v>
      </c>
      <c r="IL59">
        <v>1.8448211998558991E-6</v>
      </c>
      <c r="IM59">
        <v>-3.7020276670297668E-10</v>
      </c>
      <c r="IN59">
        <v>-0.1787904731218187</v>
      </c>
      <c r="IO59">
        <v>-1.3488639696665739E-2</v>
      </c>
      <c r="IP59">
        <v>1.1588640342490499E-3</v>
      </c>
      <c r="IQ59">
        <v>-1.0624341560077559E-5</v>
      </c>
      <c r="IR59">
        <v>2</v>
      </c>
      <c r="IS59">
        <v>1915</v>
      </c>
      <c r="IT59">
        <v>1</v>
      </c>
      <c r="IU59">
        <v>42</v>
      </c>
      <c r="IV59">
        <v>0.8</v>
      </c>
      <c r="IW59">
        <v>0.8</v>
      </c>
      <c r="IX59">
        <v>1.00098</v>
      </c>
      <c r="IY59">
        <v>2.4841299999999999</v>
      </c>
      <c r="IZ59">
        <v>1.49414</v>
      </c>
      <c r="JA59">
        <v>2.2851599999999999</v>
      </c>
      <c r="JB59">
        <v>1.54419</v>
      </c>
      <c r="JC59">
        <v>2.34497</v>
      </c>
      <c r="JD59">
        <v>49.1066</v>
      </c>
      <c r="JE59">
        <v>23.9649</v>
      </c>
      <c r="JF59">
        <v>18</v>
      </c>
      <c r="JG59">
        <v>514.61699999999996</v>
      </c>
      <c r="JH59">
        <v>390.43400000000003</v>
      </c>
      <c r="JI59">
        <v>23.8384</v>
      </c>
      <c r="JJ59">
        <v>35.569499999999998</v>
      </c>
      <c r="JK59">
        <v>30.0002</v>
      </c>
      <c r="JL59">
        <v>35.398800000000001</v>
      </c>
      <c r="JM59">
        <v>35.368099999999998</v>
      </c>
      <c r="JN59">
        <v>20.104600000000001</v>
      </c>
      <c r="JO59">
        <v>40.2089</v>
      </c>
      <c r="JP59">
        <v>0</v>
      </c>
      <c r="JQ59">
        <v>23.8232</v>
      </c>
      <c r="JR59">
        <v>400</v>
      </c>
      <c r="JS59">
        <v>18.1188</v>
      </c>
      <c r="JT59">
        <v>97.624700000000004</v>
      </c>
      <c r="JU59">
        <v>98.025400000000005</v>
      </c>
    </row>
    <row r="60" spans="1:281" x14ac:dyDescent="0.25">
      <c r="A60">
        <v>44</v>
      </c>
      <c r="B60">
        <v>1691169042.5999999</v>
      </c>
      <c r="C60">
        <v>9797</v>
      </c>
      <c r="D60" t="s">
        <v>641</v>
      </c>
      <c r="E60" t="s">
        <v>642</v>
      </c>
      <c r="F60" t="s">
        <v>413</v>
      </c>
      <c r="G60" t="s">
        <v>636</v>
      </c>
      <c r="H60" t="s">
        <v>637</v>
      </c>
      <c r="I60" t="s">
        <v>415</v>
      </c>
      <c r="J60">
        <v>1691169042.5999999</v>
      </c>
      <c r="K60">
        <f t="shared" si="46"/>
        <v>7.0308010173181432E-3</v>
      </c>
      <c r="L60">
        <f t="shared" si="47"/>
        <v>7.0308010173181428</v>
      </c>
      <c r="M60">
        <f t="shared" si="48"/>
        <v>44.630709975294124</v>
      </c>
      <c r="N60">
        <f t="shared" si="49"/>
        <v>244.34100000000001</v>
      </c>
      <c r="O60">
        <f t="shared" si="50"/>
        <v>70.214420229769672</v>
      </c>
      <c r="P60">
        <f t="shared" si="51"/>
        <v>6.9719005536377683</v>
      </c>
      <c r="Q60">
        <f t="shared" si="52"/>
        <v>24.261699343266002</v>
      </c>
      <c r="R60">
        <f t="shared" si="53"/>
        <v>0.45102994334144902</v>
      </c>
      <c r="S60">
        <f t="shared" si="54"/>
        <v>2.9140627710114329</v>
      </c>
      <c r="T60">
        <f t="shared" si="55"/>
        <v>0.41552966581392681</v>
      </c>
      <c r="U60">
        <f t="shared" si="56"/>
        <v>0.26266235930162507</v>
      </c>
      <c r="V60">
        <f t="shared" si="57"/>
        <v>344.3480999933978</v>
      </c>
      <c r="W60">
        <f t="shared" si="58"/>
        <v>30.74161286093139</v>
      </c>
      <c r="X60">
        <f t="shared" si="59"/>
        <v>30.032499999999999</v>
      </c>
      <c r="Y60">
        <f t="shared" si="60"/>
        <v>4.2684095391132564</v>
      </c>
      <c r="Z60">
        <f t="shared" si="61"/>
        <v>60.235994922675893</v>
      </c>
      <c r="AA60">
        <f t="shared" si="62"/>
        <v>2.6468418666689999</v>
      </c>
      <c r="AB60">
        <f t="shared" si="63"/>
        <v>4.3941199445061274</v>
      </c>
      <c r="AC60">
        <f t="shared" si="64"/>
        <v>1.6215676724442565</v>
      </c>
      <c r="AD60">
        <f t="shared" si="65"/>
        <v>-310.05832486373009</v>
      </c>
      <c r="AE60">
        <f t="shared" si="66"/>
        <v>79.556934948893556</v>
      </c>
      <c r="AF60">
        <f t="shared" si="67"/>
        <v>6.0876048163170342</v>
      </c>
      <c r="AG60">
        <f t="shared" si="68"/>
        <v>119.93431489487828</v>
      </c>
      <c r="AH60">
        <v>0</v>
      </c>
      <c r="AI60">
        <v>0</v>
      </c>
      <c r="AJ60">
        <f t="shared" si="69"/>
        <v>1</v>
      </c>
      <c r="AK60">
        <f t="shared" si="70"/>
        <v>0</v>
      </c>
      <c r="AL60">
        <f t="shared" si="71"/>
        <v>51802.275666063244</v>
      </c>
      <c r="AM60" t="s">
        <v>416</v>
      </c>
      <c r="AN60">
        <v>10235.299999999999</v>
      </c>
      <c r="AO60">
        <v>594.051923076923</v>
      </c>
      <c r="AP60">
        <v>2007.77</v>
      </c>
      <c r="AQ60">
        <f t="shared" si="72"/>
        <v>0.70412351859180933</v>
      </c>
      <c r="AR60">
        <v>-0.54275787784279261</v>
      </c>
      <c r="AS60" t="s">
        <v>643</v>
      </c>
      <c r="AT60">
        <v>10189.299999999999</v>
      </c>
      <c r="AU60">
        <v>662.34</v>
      </c>
      <c r="AV60">
        <v>1026.033394958037</v>
      </c>
      <c r="AW60">
        <f t="shared" si="73"/>
        <v>0.35446545574952892</v>
      </c>
      <c r="AX60">
        <v>0.5</v>
      </c>
      <c r="AY60">
        <f t="shared" si="74"/>
        <v>1513.0622999966988</v>
      </c>
      <c r="AZ60">
        <f t="shared" si="75"/>
        <v>44.630709975294124</v>
      </c>
      <c r="BA60">
        <f t="shared" si="76"/>
        <v>268.16415887288014</v>
      </c>
      <c r="BB60">
        <f t="shared" si="77"/>
        <v>2.9855656210081686E-2</v>
      </c>
      <c r="BC60">
        <f t="shared" si="78"/>
        <v>0.9568271460424681</v>
      </c>
      <c r="BD60">
        <f t="shared" si="79"/>
        <v>462.98082496133952</v>
      </c>
      <c r="BE60" t="s">
        <v>644</v>
      </c>
      <c r="BF60">
        <v>515.89</v>
      </c>
      <c r="BG60">
        <f t="shared" si="80"/>
        <v>515.89</v>
      </c>
      <c r="BH60">
        <f t="shared" si="81"/>
        <v>0.49719960136278119</v>
      </c>
      <c r="BI60">
        <f t="shared" si="82"/>
        <v>0.71292385347447917</v>
      </c>
      <c r="BJ60">
        <f t="shared" si="83"/>
        <v>0.65805333206555683</v>
      </c>
      <c r="BK60">
        <f t="shared" si="84"/>
        <v>0.84191896789992271</v>
      </c>
      <c r="BL60">
        <f t="shared" si="85"/>
        <v>0.69443591411003869</v>
      </c>
      <c r="BM60">
        <f t="shared" si="86"/>
        <v>0.55528925743417135</v>
      </c>
      <c r="BN60">
        <f t="shared" si="87"/>
        <v>0.44471074256582865</v>
      </c>
      <c r="BO60">
        <v>12555</v>
      </c>
      <c r="BP60">
        <v>290.00000000000011</v>
      </c>
      <c r="BQ60">
        <v>915.68</v>
      </c>
      <c r="BR60">
        <v>275</v>
      </c>
      <c r="BS60">
        <v>10189.299999999999</v>
      </c>
      <c r="BT60">
        <v>916.61</v>
      </c>
      <c r="BU60">
        <v>-0.93</v>
      </c>
      <c r="BV60">
        <v>300.00000000000011</v>
      </c>
      <c r="BW60">
        <v>24.2</v>
      </c>
      <c r="BX60">
        <v>1026.033394958037</v>
      </c>
      <c r="BY60">
        <v>2.037319906025008</v>
      </c>
      <c r="BZ60">
        <v>-111.4956490706095</v>
      </c>
      <c r="CA60">
        <v>1.848778161311935</v>
      </c>
      <c r="CB60">
        <v>0.99236021493562721</v>
      </c>
      <c r="CC60">
        <v>-6.9614122358175878E-3</v>
      </c>
      <c r="CD60">
        <v>289.99999999999989</v>
      </c>
      <c r="CE60">
        <v>909.81</v>
      </c>
      <c r="CF60">
        <v>655</v>
      </c>
      <c r="CG60">
        <v>10171.5</v>
      </c>
      <c r="CH60">
        <v>916.42</v>
      </c>
      <c r="CI60">
        <v>-6.61</v>
      </c>
      <c r="CW60">
        <f t="shared" si="88"/>
        <v>1799.85</v>
      </c>
      <c r="CX60">
        <f t="shared" si="89"/>
        <v>1513.0622999966988</v>
      </c>
      <c r="CY60">
        <f t="shared" si="90"/>
        <v>0.84066022168330634</v>
      </c>
      <c r="CZ60">
        <f t="shared" si="91"/>
        <v>0.19132044336661266</v>
      </c>
      <c r="DA60">
        <v>6</v>
      </c>
      <c r="DB60">
        <v>0.5</v>
      </c>
      <c r="DC60" t="s">
        <v>419</v>
      </c>
      <c r="DD60">
        <v>2</v>
      </c>
      <c r="DE60">
        <v>1691169042.5999999</v>
      </c>
      <c r="DF60">
        <v>244.34100000000001</v>
      </c>
      <c r="DG60">
        <v>299.94200000000001</v>
      </c>
      <c r="DH60">
        <v>26.656500000000001</v>
      </c>
      <c r="DI60">
        <v>18.446999999999999</v>
      </c>
      <c r="DJ60">
        <v>246.17699999999999</v>
      </c>
      <c r="DK60">
        <v>26.577200000000001</v>
      </c>
      <c r="DL60">
        <v>500.15600000000001</v>
      </c>
      <c r="DM60">
        <v>99.194199999999995</v>
      </c>
      <c r="DN60">
        <v>0.100226</v>
      </c>
      <c r="DO60">
        <v>30.538900000000002</v>
      </c>
      <c r="DP60">
        <v>30.032499999999999</v>
      </c>
      <c r="DQ60">
        <v>999.9</v>
      </c>
      <c r="DR60">
        <v>0</v>
      </c>
      <c r="DS60">
        <v>0</v>
      </c>
      <c r="DT60">
        <v>9992.5</v>
      </c>
      <c r="DU60">
        <v>0</v>
      </c>
      <c r="DV60">
        <v>1574.17</v>
      </c>
      <c r="DW60">
        <v>-55.600700000000003</v>
      </c>
      <c r="DX60">
        <v>251.03299999999999</v>
      </c>
      <c r="DY60">
        <v>305.57900000000001</v>
      </c>
      <c r="DZ60">
        <v>8.2094400000000007</v>
      </c>
      <c r="EA60">
        <v>299.94200000000001</v>
      </c>
      <c r="EB60">
        <v>18.446999999999999</v>
      </c>
      <c r="EC60">
        <v>2.6441699999999999</v>
      </c>
      <c r="ED60">
        <v>1.8298399999999999</v>
      </c>
      <c r="EE60">
        <v>21.9422</v>
      </c>
      <c r="EF60">
        <v>16.044</v>
      </c>
      <c r="EG60">
        <v>1799.85</v>
      </c>
      <c r="EH60">
        <v>0.97799400000000003</v>
      </c>
      <c r="EI60">
        <v>2.2005899999999998E-2</v>
      </c>
      <c r="EJ60">
        <v>0</v>
      </c>
      <c r="EK60">
        <v>661.98</v>
      </c>
      <c r="EL60">
        <v>0.100005</v>
      </c>
      <c r="EM60">
        <v>16710.5</v>
      </c>
      <c r="EN60">
        <v>14861.3</v>
      </c>
      <c r="EO60">
        <v>48.311999999999998</v>
      </c>
      <c r="EP60">
        <v>50.875</v>
      </c>
      <c r="EQ60">
        <v>49.25</v>
      </c>
      <c r="ER60">
        <v>49.5</v>
      </c>
      <c r="ES60">
        <v>49.5</v>
      </c>
      <c r="ET60">
        <v>1760.14</v>
      </c>
      <c r="EU60">
        <v>39.61</v>
      </c>
      <c r="EV60">
        <v>0</v>
      </c>
      <c r="EW60">
        <v>107.3999998569489</v>
      </c>
      <c r="EX60">
        <v>0</v>
      </c>
      <c r="EY60">
        <v>662.34</v>
      </c>
      <c r="EZ60">
        <v>-13.548717844451261</v>
      </c>
      <c r="FA60">
        <v>275.71965794849109</v>
      </c>
      <c r="FB60">
        <v>16660.484615384619</v>
      </c>
      <c r="FC60">
        <v>15</v>
      </c>
      <c r="FD60">
        <v>1691169008.0999999</v>
      </c>
      <c r="FE60" t="s">
        <v>645</v>
      </c>
      <c r="FF60">
        <v>1691169008.0999999</v>
      </c>
      <c r="FG60">
        <v>1691169006.5999999</v>
      </c>
      <c r="FH60">
        <v>54</v>
      </c>
      <c r="FI60">
        <v>5.0000000000000001E-3</v>
      </c>
      <c r="FJ60">
        <v>-3.0000000000000001E-3</v>
      </c>
      <c r="FK60">
        <v>-2.0139999999999998</v>
      </c>
      <c r="FL60">
        <v>-0.107</v>
      </c>
      <c r="FM60">
        <v>300</v>
      </c>
      <c r="FN60">
        <v>18</v>
      </c>
      <c r="FO60">
        <v>0.12</v>
      </c>
      <c r="FP60">
        <v>0.05</v>
      </c>
      <c r="FQ60">
        <v>44.44681656220002</v>
      </c>
      <c r="FR60">
        <v>-0.2364120839364556</v>
      </c>
      <c r="FS60">
        <v>8.7114440994741596E-2</v>
      </c>
      <c r="FT60">
        <v>1</v>
      </c>
      <c r="FU60">
        <v>0.45564518712161739</v>
      </c>
      <c r="FV60">
        <v>-1.8698480963122849E-2</v>
      </c>
      <c r="FW60">
        <v>2.3463341625091579E-3</v>
      </c>
      <c r="FX60">
        <v>1</v>
      </c>
      <c r="FY60">
        <v>2</v>
      </c>
      <c r="FZ60">
        <v>2</v>
      </c>
      <c r="GA60" t="s">
        <v>421</v>
      </c>
      <c r="GB60">
        <v>2.9159299999999999</v>
      </c>
      <c r="GC60">
        <v>2.8300399999999999</v>
      </c>
      <c r="GD60">
        <v>6.0454599999999997E-2</v>
      </c>
      <c r="GE60">
        <v>6.9866800000000007E-2</v>
      </c>
      <c r="GF60">
        <v>0.12667700000000001</v>
      </c>
      <c r="GG60">
        <v>9.4198299999999999E-2</v>
      </c>
      <c r="GH60">
        <v>24271.1</v>
      </c>
      <c r="GI60">
        <v>29815.5</v>
      </c>
      <c r="GJ60">
        <v>23271.7</v>
      </c>
      <c r="GK60">
        <v>29395</v>
      </c>
      <c r="GL60">
        <v>27743.4</v>
      </c>
      <c r="GM60">
        <v>37871.4</v>
      </c>
      <c r="GN60">
        <v>32917.1</v>
      </c>
      <c r="GO60">
        <v>43594.9</v>
      </c>
      <c r="GP60">
        <v>1.9312</v>
      </c>
      <c r="GQ60">
        <v>1.6980999999999999</v>
      </c>
      <c r="GR60">
        <v>-4.1008000000000003E-2</v>
      </c>
      <c r="GS60">
        <v>0</v>
      </c>
      <c r="GT60">
        <v>30.699400000000001</v>
      </c>
      <c r="GU60">
        <v>999.9</v>
      </c>
      <c r="GV60">
        <v>29.6</v>
      </c>
      <c r="GW60">
        <v>46.8</v>
      </c>
      <c r="GX60">
        <v>31.543700000000001</v>
      </c>
      <c r="GY60">
        <v>61.893999999999998</v>
      </c>
      <c r="GZ60">
        <v>39.322899999999997</v>
      </c>
      <c r="HA60">
        <v>1</v>
      </c>
      <c r="HB60">
        <v>0.693191</v>
      </c>
      <c r="HC60">
        <v>5.2463199999999999</v>
      </c>
      <c r="HD60">
        <v>20.189299999999999</v>
      </c>
      <c r="HE60">
        <v>5.2095000000000002</v>
      </c>
      <c r="HF60">
        <v>11.8782</v>
      </c>
      <c r="HG60">
        <v>4.9846000000000004</v>
      </c>
      <c r="HH60">
        <v>3.2839999999999998</v>
      </c>
      <c r="HI60">
        <v>9999</v>
      </c>
      <c r="HJ60">
        <v>9999</v>
      </c>
      <c r="HK60">
        <v>9999</v>
      </c>
      <c r="HL60">
        <v>999.9</v>
      </c>
      <c r="HM60">
        <v>1.8547100000000001</v>
      </c>
      <c r="HN60">
        <v>1.86077</v>
      </c>
      <c r="HO60">
        <v>1.85808</v>
      </c>
      <c r="HP60">
        <v>1.8591899999999999</v>
      </c>
      <c r="HQ60">
        <v>1.8585199999999999</v>
      </c>
      <c r="HR60">
        <v>1.8591299999999999</v>
      </c>
      <c r="HS60">
        <v>1.85745</v>
      </c>
      <c r="HT60">
        <v>1.8607199999999999</v>
      </c>
      <c r="HU60">
        <v>5</v>
      </c>
      <c r="HV60">
        <v>0</v>
      </c>
      <c r="HW60">
        <v>0</v>
      </c>
      <c r="HX60">
        <v>0</v>
      </c>
      <c r="HY60" t="s">
        <v>422</v>
      </c>
      <c r="HZ60" t="s">
        <v>423</v>
      </c>
      <c r="IA60" t="s">
        <v>424</v>
      </c>
      <c r="IB60" t="s">
        <v>424</v>
      </c>
      <c r="IC60" t="s">
        <v>424</v>
      </c>
      <c r="ID60" t="s">
        <v>424</v>
      </c>
      <c r="IE60">
        <v>0</v>
      </c>
      <c r="IF60">
        <v>100</v>
      </c>
      <c r="IG60">
        <v>100</v>
      </c>
      <c r="IH60">
        <v>-1.8360000000000001</v>
      </c>
      <c r="II60">
        <v>7.9299999999999995E-2</v>
      </c>
      <c r="IJ60">
        <v>-0.92707675588799932</v>
      </c>
      <c r="IK60">
        <v>-4.1229525807901877E-3</v>
      </c>
      <c r="IL60">
        <v>1.8448211998558991E-6</v>
      </c>
      <c r="IM60">
        <v>-3.7020276670297668E-10</v>
      </c>
      <c r="IN60">
        <v>-0.18138276199257569</v>
      </c>
      <c r="IO60">
        <v>-1.3488639696665739E-2</v>
      </c>
      <c r="IP60">
        <v>1.1588640342490499E-3</v>
      </c>
      <c r="IQ60">
        <v>-1.0624341560077559E-5</v>
      </c>
      <c r="IR60">
        <v>2</v>
      </c>
      <c r="IS60">
        <v>1915</v>
      </c>
      <c r="IT60">
        <v>1</v>
      </c>
      <c r="IU60">
        <v>42</v>
      </c>
      <c r="IV60">
        <v>0.6</v>
      </c>
      <c r="IW60">
        <v>0.6</v>
      </c>
      <c r="IX60">
        <v>0.794678</v>
      </c>
      <c r="IY60">
        <v>2.4890099999999999</v>
      </c>
      <c r="IZ60">
        <v>1.49414</v>
      </c>
      <c r="JA60">
        <v>2.2839399999999999</v>
      </c>
      <c r="JB60">
        <v>1.54419</v>
      </c>
      <c r="JC60">
        <v>2.4121100000000002</v>
      </c>
      <c r="JD60">
        <v>49.012700000000002</v>
      </c>
      <c r="JE60">
        <v>23.973700000000001</v>
      </c>
      <c r="JF60">
        <v>18</v>
      </c>
      <c r="JG60">
        <v>514.37699999999995</v>
      </c>
      <c r="JH60">
        <v>390.084</v>
      </c>
      <c r="JI60">
        <v>23.770600000000002</v>
      </c>
      <c r="JJ60">
        <v>35.691000000000003</v>
      </c>
      <c r="JK60">
        <v>30.001100000000001</v>
      </c>
      <c r="JL60">
        <v>35.539499999999997</v>
      </c>
      <c r="JM60">
        <v>35.5092</v>
      </c>
      <c r="JN60">
        <v>15.987399999999999</v>
      </c>
      <c r="JO60">
        <v>39.107700000000001</v>
      </c>
      <c r="JP60">
        <v>0</v>
      </c>
      <c r="JQ60">
        <v>23.761600000000001</v>
      </c>
      <c r="JR60">
        <v>300</v>
      </c>
      <c r="JS60">
        <v>18.3782</v>
      </c>
      <c r="JT60">
        <v>97.613399999999999</v>
      </c>
      <c r="JU60">
        <v>98.008899999999997</v>
      </c>
    </row>
    <row r="61" spans="1:281" x14ac:dyDescent="0.25">
      <c r="A61">
        <v>45</v>
      </c>
      <c r="B61">
        <v>1691169147.5999999</v>
      </c>
      <c r="C61">
        <v>9902</v>
      </c>
      <c r="D61" t="s">
        <v>646</v>
      </c>
      <c r="E61" t="s">
        <v>647</v>
      </c>
      <c r="F61" t="s">
        <v>413</v>
      </c>
      <c r="G61" t="s">
        <v>636</v>
      </c>
      <c r="H61" t="s">
        <v>637</v>
      </c>
      <c r="I61" t="s">
        <v>415</v>
      </c>
      <c r="J61">
        <v>1691169147.5999999</v>
      </c>
      <c r="K61">
        <f t="shared" si="46"/>
        <v>7.1205601829249241E-3</v>
      </c>
      <c r="L61">
        <f t="shared" si="47"/>
        <v>7.1205601829249243</v>
      </c>
      <c r="M61">
        <f t="shared" si="48"/>
        <v>30.010366500918188</v>
      </c>
      <c r="N61">
        <f t="shared" si="49"/>
        <v>162.48099999999999</v>
      </c>
      <c r="O61">
        <f t="shared" si="50"/>
        <v>48.749430066907436</v>
      </c>
      <c r="P61">
        <f t="shared" si="51"/>
        <v>4.8401492709668101</v>
      </c>
      <c r="Q61">
        <f t="shared" si="52"/>
        <v>16.132133085794003</v>
      </c>
      <c r="R61">
        <f t="shared" si="53"/>
        <v>0.46532784420199597</v>
      </c>
      <c r="S61">
        <f t="shared" si="54"/>
        <v>2.9257212618501898</v>
      </c>
      <c r="T61">
        <f t="shared" si="55"/>
        <v>0.42777902214230545</v>
      </c>
      <c r="U61">
        <f t="shared" si="56"/>
        <v>0.27048255830719431</v>
      </c>
      <c r="V61">
        <f t="shared" si="57"/>
        <v>344.36209999340144</v>
      </c>
      <c r="W61">
        <f t="shared" si="58"/>
        <v>30.582847426012759</v>
      </c>
      <c r="X61">
        <f t="shared" si="59"/>
        <v>29.925999999999998</v>
      </c>
      <c r="Y61">
        <f t="shared" si="60"/>
        <v>4.2423742393694459</v>
      </c>
      <c r="Z61">
        <f t="shared" si="61"/>
        <v>60.70737672647315</v>
      </c>
      <c r="AA61">
        <f t="shared" si="62"/>
        <v>2.6470514938592</v>
      </c>
      <c r="AB61">
        <f t="shared" si="63"/>
        <v>4.3603457052442183</v>
      </c>
      <c r="AC61">
        <f t="shared" si="64"/>
        <v>1.5953227455102459</v>
      </c>
      <c r="AD61">
        <f t="shared" si="65"/>
        <v>-314.01670406698918</v>
      </c>
      <c r="AE61">
        <f t="shared" si="66"/>
        <v>75.411422820185734</v>
      </c>
      <c r="AF61">
        <f t="shared" si="67"/>
        <v>5.7405441730821387</v>
      </c>
      <c r="AG61">
        <f t="shared" si="68"/>
        <v>111.49736291968013</v>
      </c>
      <c r="AH61">
        <v>0</v>
      </c>
      <c r="AI61">
        <v>0</v>
      </c>
      <c r="AJ61">
        <f t="shared" si="69"/>
        <v>1</v>
      </c>
      <c r="AK61">
        <f t="shared" si="70"/>
        <v>0</v>
      </c>
      <c r="AL61">
        <f t="shared" si="71"/>
        <v>52156.906836278802</v>
      </c>
      <c r="AM61" t="s">
        <v>416</v>
      </c>
      <c r="AN61">
        <v>10235.299999999999</v>
      </c>
      <c r="AO61">
        <v>594.051923076923</v>
      </c>
      <c r="AP61">
        <v>2007.77</v>
      </c>
      <c r="AQ61">
        <f t="shared" si="72"/>
        <v>0.70412351859180933</v>
      </c>
      <c r="AR61">
        <v>-0.54275787784279261</v>
      </c>
      <c r="AS61" t="s">
        <v>648</v>
      </c>
      <c r="AT61">
        <v>10185.5</v>
      </c>
      <c r="AU61">
        <v>638.17173076923075</v>
      </c>
      <c r="AV61">
        <v>866.88733248938081</v>
      </c>
      <c r="AW61">
        <f t="shared" si="73"/>
        <v>0.2638354410640229</v>
      </c>
      <c r="AX61">
        <v>0.5</v>
      </c>
      <c r="AY61">
        <f t="shared" si="74"/>
        <v>1513.1288999967007</v>
      </c>
      <c r="AZ61">
        <f t="shared" si="75"/>
        <v>30.010366500918188</v>
      </c>
      <c r="BA61">
        <f t="shared" si="76"/>
        <v>199.60851535867468</v>
      </c>
      <c r="BB61">
        <f t="shared" si="77"/>
        <v>2.0192016938429765E-2</v>
      </c>
      <c r="BC61">
        <f t="shared" si="78"/>
        <v>1.3160679880214941</v>
      </c>
      <c r="BD61">
        <f t="shared" si="79"/>
        <v>427.56202258988117</v>
      </c>
      <c r="BE61" t="s">
        <v>649</v>
      </c>
      <c r="BF61">
        <v>498.97</v>
      </c>
      <c r="BG61">
        <f t="shared" si="80"/>
        <v>498.97</v>
      </c>
      <c r="BH61">
        <f t="shared" si="81"/>
        <v>0.42441193763076202</v>
      </c>
      <c r="BI61">
        <f t="shared" si="82"/>
        <v>0.62164943459615751</v>
      </c>
      <c r="BJ61">
        <f t="shared" si="83"/>
        <v>0.75615235121329494</v>
      </c>
      <c r="BK61">
        <f t="shared" si="84"/>
        <v>0.83829148940997678</v>
      </c>
      <c r="BL61">
        <f t="shared" si="85"/>
        <v>0.80700861517858125</v>
      </c>
      <c r="BM61">
        <f t="shared" si="86"/>
        <v>0.48605164319415856</v>
      </c>
      <c r="BN61">
        <f t="shared" si="87"/>
        <v>0.51394835680584139</v>
      </c>
      <c r="BO61">
        <v>12557</v>
      </c>
      <c r="BP61">
        <v>290.00000000000011</v>
      </c>
      <c r="BQ61">
        <v>810.2</v>
      </c>
      <c r="BR61">
        <v>295</v>
      </c>
      <c r="BS61">
        <v>10185.5</v>
      </c>
      <c r="BT61">
        <v>810.17</v>
      </c>
      <c r="BU61">
        <v>0.03</v>
      </c>
      <c r="BV61">
        <v>300.00000000000011</v>
      </c>
      <c r="BW61">
        <v>24.2</v>
      </c>
      <c r="BX61">
        <v>866.88733248938081</v>
      </c>
      <c r="BY61">
        <v>2.2757500265096349</v>
      </c>
      <c r="BZ61">
        <v>-57.770219700430303</v>
      </c>
      <c r="CA61">
        <v>2.0645720880690019</v>
      </c>
      <c r="CB61">
        <v>0.96547366129430656</v>
      </c>
      <c r="CC61">
        <v>-6.959654727474977E-3</v>
      </c>
      <c r="CD61">
        <v>289.99999999999989</v>
      </c>
      <c r="CE61">
        <v>809.49</v>
      </c>
      <c r="CF61">
        <v>695</v>
      </c>
      <c r="CG61">
        <v>10166.4</v>
      </c>
      <c r="CH61">
        <v>810.06</v>
      </c>
      <c r="CI61">
        <v>-0.56999999999999995</v>
      </c>
      <c r="CW61">
        <f t="shared" si="88"/>
        <v>1799.93</v>
      </c>
      <c r="CX61">
        <f t="shared" si="89"/>
        <v>1513.1288999967007</v>
      </c>
      <c r="CY61">
        <f t="shared" si="90"/>
        <v>0.84065985899268347</v>
      </c>
      <c r="CZ61">
        <f t="shared" si="91"/>
        <v>0.1913197179853669</v>
      </c>
      <c r="DA61">
        <v>6</v>
      </c>
      <c r="DB61">
        <v>0.5</v>
      </c>
      <c r="DC61" t="s">
        <v>419</v>
      </c>
      <c r="DD61">
        <v>2</v>
      </c>
      <c r="DE61">
        <v>1691169147.5999999</v>
      </c>
      <c r="DF61">
        <v>162.48099999999999</v>
      </c>
      <c r="DG61">
        <v>199.87700000000001</v>
      </c>
      <c r="DH61">
        <v>26.660799999999998</v>
      </c>
      <c r="DI61">
        <v>18.344999999999999</v>
      </c>
      <c r="DJ61">
        <v>164.02799999999999</v>
      </c>
      <c r="DK61">
        <v>26.585599999999999</v>
      </c>
      <c r="DL61">
        <v>500.06400000000002</v>
      </c>
      <c r="DM61">
        <v>99.186800000000005</v>
      </c>
      <c r="DN61">
        <v>9.9474000000000007E-2</v>
      </c>
      <c r="DO61">
        <v>30.4041</v>
      </c>
      <c r="DP61">
        <v>29.925999999999998</v>
      </c>
      <c r="DQ61">
        <v>999.9</v>
      </c>
      <c r="DR61">
        <v>0</v>
      </c>
      <c r="DS61">
        <v>0</v>
      </c>
      <c r="DT61">
        <v>10060</v>
      </c>
      <c r="DU61">
        <v>0</v>
      </c>
      <c r="DV61">
        <v>790.31500000000005</v>
      </c>
      <c r="DW61">
        <v>-37.396099999999997</v>
      </c>
      <c r="DX61">
        <v>166.93199999999999</v>
      </c>
      <c r="DY61">
        <v>203.61199999999999</v>
      </c>
      <c r="DZ61">
        <v>8.3158799999999999</v>
      </c>
      <c r="EA61">
        <v>199.87700000000001</v>
      </c>
      <c r="EB61">
        <v>18.344999999999999</v>
      </c>
      <c r="EC61">
        <v>2.6444000000000001</v>
      </c>
      <c r="ED61">
        <v>1.81958</v>
      </c>
      <c r="EE61">
        <v>21.9437</v>
      </c>
      <c r="EF61">
        <v>15.956</v>
      </c>
      <c r="EG61">
        <v>1799.93</v>
      </c>
      <c r="EH61">
        <v>0.97800200000000004</v>
      </c>
      <c r="EI61">
        <v>2.1998500000000001E-2</v>
      </c>
      <c r="EJ61">
        <v>0</v>
      </c>
      <c r="EK61">
        <v>639.38</v>
      </c>
      <c r="EL61">
        <v>0.100005</v>
      </c>
      <c r="EM61">
        <v>13938.6</v>
      </c>
      <c r="EN61">
        <v>14862</v>
      </c>
      <c r="EO61">
        <v>48.436999999999998</v>
      </c>
      <c r="EP61">
        <v>50.936999999999998</v>
      </c>
      <c r="EQ61">
        <v>49.375</v>
      </c>
      <c r="ER61">
        <v>49.625</v>
      </c>
      <c r="ES61">
        <v>49.625</v>
      </c>
      <c r="ET61">
        <v>1760.24</v>
      </c>
      <c r="EU61">
        <v>39.590000000000003</v>
      </c>
      <c r="EV61">
        <v>0</v>
      </c>
      <c r="EW61">
        <v>102.5999999046326</v>
      </c>
      <c r="EX61">
        <v>0</v>
      </c>
      <c r="EY61">
        <v>638.17173076923075</v>
      </c>
      <c r="EZ61">
        <v>0.1885469561964235</v>
      </c>
      <c r="FA61">
        <v>-990.05469869661385</v>
      </c>
      <c r="FB61">
        <v>14023.373076923081</v>
      </c>
      <c r="FC61">
        <v>15</v>
      </c>
      <c r="FD61">
        <v>1691169111.5999999</v>
      </c>
      <c r="FE61" t="s">
        <v>650</v>
      </c>
      <c r="FF61">
        <v>1691169102.5999999</v>
      </c>
      <c r="FG61">
        <v>1691169111.5999999</v>
      </c>
      <c r="FH61">
        <v>55</v>
      </c>
      <c r="FI61">
        <v>8.0000000000000002E-3</v>
      </c>
      <c r="FJ61">
        <v>-4.0000000000000001E-3</v>
      </c>
      <c r="FK61">
        <v>-1.6779999999999999</v>
      </c>
      <c r="FL61">
        <v>-0.107</v>
      </c>
      <c r="FM61">
        <v>200</v>
      </c>
      <c r="FN61">
        <v>18</v>
      </c>
      <c r="FO61">
        <v>0.17</v>
      </c>
      <c r="FP61">
        <v>0.02</v>
      </c>
      <c r="FQ61">
        <v>30.049014612246481</v>
      </c>
      <c r="FR61">
        <v>-0.27104647478325739</v>
      </c>
      <c r="FS61">
        <v>8.4511816036593551E-2</v>
      </c>
      <c r="FT61">
        <v>1</v>
      </c>
      <c r="FU61">
        <v>0.46722999267689469</v>
      </c>
      <c r="FV61">
        <v>-2.1412388085899368E-2</v>
      </c>
      <c r="FW61">
        <v>2.4446513045848642E-3</v>
      </c>
      <c r="FX61">
        <v>1</v>
      </c>
      <c r="FY61">
        <v>2</v>
      </c>
      <c r="FZ61">
        <v>2</v>
      </c>
      <c r="GA61" t="s">
        <v>421</v>
      </c>
      <c r="GB61">
        <v>2.9155700000000002</v>
      </c>
      <c r="GC61">
        <v>2.8298800000000002</v>
      </c>
      <c r="GD61">
        <v>4.23551E-2</v>
      </c>
      <c r="GE61">
        <v>4.9510600000000002E-2</v>
      </c>
      <c r="GF61">
        <v>0.12665699999999999</v>
      </c>
      <c r="GG61">
        <v>9.3785900000000005E-2</v>
      </c>
      <c r="GH61">
        <v>24734.3</v>
      </c>
      <c r="GI61">
        <v>30459.599999999999</v>
      </c>
      <c r="GJ61">
        <v>23268.799999999999</v>
      </c>
      <c r="GK61">
        <v>29388.3</v>
      </c>
      <c r="GL61">
        <v>27739.599999999999</v>
      </c>
      <c r="GM61">
        <v>37879.5</v>
      </c>
      <c r="GN61">
        <v>32913</v>
      </c>
      <c r="GO61">
        <v>43587.199999999997</v>
      </c>
      <c r="GP61">
        <v>1.9298999999999999</v>
      </c>
      <c r="GQ61">
        <v>1.6967000000000001</v>
      </c>
      <c r="GR61">
        <v>-4.6730000000000001E-2</v>
      </c>
      <c r="GS61">
        <v>0</v>
      </c>
      <c r="GT61">
        <v>30.686</v>
      </c>
      <c r="GU61">
        <v>999.9</v>
      </c>
      <c r="GV61">
        <v>29.6</v>
      </c>
      <c r="GW61">
        <v>46.8</v>
      </c>
      <c r="GX61">
        <v>31.5411</v>
      </c>
      <c r="GY61">
        <v>61.234000000000002</v>
      </c>
      <c r="GZ61">
        <v>39.042499999999997</v>
      </c>
      <c r="HA61">
        <v>1</v>
      </c>
      <c r="HB61">
        <v>0.70046699999999995</v>
      </c>
      <c r="HC61">
        <v>4.6244100000000001</v>
      </c>
      <c r="HD61">
        <v>20.2075</v>
      </c>
      <c r="HE61">
        <v>5.2100999999999997</v>
      </c>
      <c r="HF61">
        <v>11.8782</v>
      </c>
      <c r="HG61">
        <v>4.9850000000000003</v>
      </c>
      <c r="HH61">
        <v>3.2839999999999998</v>
      </c>
      <c r="HI61">
        <v>9999</v>
      </c>
      <c r="HJ61">
        <v>9999</v>
      </c>
      <c r="HK61">
        <v>9999</v>
      </c>
      <c r="HL61">
        <v>999.9</v>
      </c>
      <c r="HM61">
        <v>1.8547100000000001</v>
      </c>
      <c r="HN61">
        <v>1.8607499999999999</v>
      </c>
      <c r="HO61">
        <v>1.85812</v>
      </c>
      <c r="HP61">
        <v>1.8592500000000001</v>
      </c>
      <c r="HQ61">
        <v>1.8585799999999999</v>
      </c>
      <c r="HR61">
        <v>1.8591299999999999</v>
      </c>
      <c r="HS61">
        <v>1.8574299999999999</v>
      </c>
      <c r="HT61">
        <v>1.86077</v>
      </c>
      <c r="HU61">
        <v>5</v>
      </c>
      <c r="HV61">
        <v>0</v>
      </c>
      <c r="HW61">
        <v>0</v>
      </c>
      <c r="HX61">
        <v>0</v>
      </c>
      <c r="HY61" t="s">
        <v>422</v>
      </c>
      <c r="HZ61" t="s">
        <v>423</v>
      </c>
      <c r="IA61" t="s">
        <v>424</v>
      </c>
      <c r="IB61" t="s">
        <v>424</v>
      </c>
      <c r="IC61" t="s">
        <v>424</v>
      </c>
      <c r="ID61" t="s">
        <v>424</v>
      </c>
      <c r="IE61">
        <v>0</v>
      </c>
      <c r="IF61">
        <v>100</v>
      </c>
      <c r="IG61">
        <v>100</v>
      </c>
      <c r="IH61">
        <v>-1.5469999999999999</v>
      </c>
      <c r="II61">
        <v>7.5200000000000003E-2</v>
      </c>
      <c r="IJ61">
        <v>-0.9191005538685153</v>
      </c>
      <c r="IK61">
        <v>-4.1229525807901877E-3</v>
      </c>
      <c r="IL61">
        <v>1.8448211998558991E-6</v>
      </c>
      <c r="IM61">
        <v>-3.7020276670297668E-10</v>
      </c>
      <c r="IN61">
        <v>-0.1855391920894181</v>
      </c>
      <c r="IO61">
        <v>-1.3488639696665739E-2</v>
      </c>
      <c r="IP61">
        <v>1.1588640342490499E-3</v>
      </c>
      <c r="IQ61">
        <v>-1.0624341560077559E-5</v>
      </c>
      <c r="IR61">
        <v>2</v>
      </c>
      <c r="IS61">
        <v>1915</v>
      </c>
      <c r="IT61">
        <v>1</v>
      </c>
      <c r="IU61">
        <v>42</v>
      </c>
      <c r="IV61">
        <v>0.8</v>
      </c>
      <c r="IW61">
        <v>0.6</v>
      </c>
      <c r="IX61">
        <v>0.57983399999999996</v>
      </c>
      <c r="IY61">
        <v>2.4939</v>
      </c>
      <c r="IZ61">
        <v>1.49414</v>
      </c>
      <c r="JA61">
        <v>2.2851599999999999</v>
      </c>
      <c r="JB61">
        <v>1.54419</v>
      </c>
      <c r="JC61">
        <v>2.4853499999999999</v>
      </c>
      <c r="JD61">
        <v>48.950299999999999</v>
      </c>
      <c r="JE61">
        <v>23.982399999999998</v>
      </c>
      <c r="JF61">
        <v>18</v>
      </c>
      <c r="JG61">
        <v>514.572</v>
      </c>
      <c r="JH61">
        <v>390.07299999999998</v>
      </c>
      <c r="JI61">
        <v>23.794799999999999</v>
      </c>
      <c r="JJ61">
        <v>35.8264</v>
      </c>
      <c r="JK61">
        <v>30.000299999999999</v>
      </c>
      <c r="JL61">
        <v>35.676000000000002</v>
      </c>
      <c r="JM61">
        <v>35.645600000000002</v>
      </c>
      <c r="JN61">
        <v>11.6876</v>
      </c>
      <c r="JO61">
        <v>39.710799999999999</v>
      </c>
      <c r="JP61">
        <v>0</v>
      </c>
      <c r="JQ61">
        <v>23.812899999999999</v>
      </c>
      <c r="JR61">
        <v>200</v>
      </c>
      <c r="JS61">
        <v>18.304500000000001</v>
      </c>
      <c r="JT61">
        <v>97.601200000000006</v>
      </c>
      <c r="JU61">
        <v>97.989400000000003</v>
      </c>
    </row>
    <row r="62" spans="1:281" x14ac:dyDescent="0.25">
      <c r="A62">
        <v>46</v>
      </c>
      <c r="B62">
        <v>1691169291.5999999</v>
      </c>
      <c r="C62">
        <v>10046</v>
      </c>
      <c r="D62" t="s">
        <v>651</v>
      </c>
      <c r="E62" t="s">
        <v>652</v>
      </c>
      <c r="F62" t="s">
        <v>413</v>
      </c>
      <c r="G62" t="s">
        <v>636</v>
      </c>
      <c r="H62" t="s">
        <v>637</v>
      </c>
      <c r="I62" t="s">
        <v>415</v>
      </c>
      <c r="J62">
        <v>1691169291.5999999</v>
      </c>
      <c r="K62">
        <f t="shared" si="46"/>
        <v>7.0791468352620285E-3</v>
      </c>
      <c r="L62">
        <f t="shared" si="47"/>
        <v>7.0791468352620281</v>
      </c>
      <c r="M62">
        <f t="shared" si="48"/>
        <v>18.587364207483098</v>
      </c>
      <c r="N62">
        <f t="shared" si="49"/>
        <v>96.844700000000003</v>
      </c>
      <c r="O62">
        <f t="shared" si="50"/>
        <v>26.141363067088111</v>
      </c>
      <c r="P62">
        <f t="shared" si="51"/>
        <v>2.5954983095394146</v>
      </c>
      <c r="Q62">
        <f t="shared" si="52"/>
        <v>9.6154226729788803</v>
      </c>
      <c r="R62">
        <f t="shared" si="53"/>
        <v>0.46278681445948788</v>
      </c>
      <c r="S62">
        <f t="shared" si="54"/>
        <v>2.9165619702464776</v>
      </c>
      <c r="T62">
        <f t="shared" si="55"/>
        <v>0.42552279946952509</v>
      </c>
      <c r="U62">
        <f t="shared" si="56"/>
        <v>0.26904928723667543</v>
      </c>
      <c r="V62">
        <f t="shared" si="57"/>
        <v>344.3563999934014</v>
      </c>
      <c r="W62">
        <f t="shared" si="58"/>
        <v>30.64371780239761</v>
      </c>
      <c r="X62">
        <f t="shared" si="59"/>
        <v>29.8825</v>
      </c>
      <c r="Y62">
        <f t="shared" si="60"/>
        <v>4.2317799796710149</v>
      </c>
      <c r="Z62">
        <f t="shared" si="61"/>
        <v>60.308615672263052</v>
      </c>
      <c r="AA62">
        <f t="shared" si="62"/>
        <v>2.63714295704832</v>
      </c>
      <c r="AB62">
        <f t="shared" si="63"/>
        <v>4.3727466260864389</v>
      </c>
      <c r="AC62">
        <f t="shared" si="64"/>
        <v>1.5946370226226949</v>
      </c>
      <c r="AD62">
        <f t="shared" si="65"/>
        <v>-312.19037543505544</v>
      </c>
      <c r="AE62">
        <f t="shared" si="66"/>
        <v>89.814167922487087</v>
      </c>
      <c r="AF62">
        <f t="shared" si="67"/>
        <v>6.8586042026777623</v>
      </c>
      <c r="AG62">
        <f t="shared" si="68"/>
        <v>128.83879668351082</v>
      </c>
      <c r="AH62">
        <v>0</v>
      </c>
      <c r="AI62">
        <v>0</v>
      </c>
      <c r="AJ62">
        <f t="shared" si="69"/>
        <v>1</v>
      </c>
      <c r="AK62">
        <f t="shared" si="70"/>
        <v>0</v>
      </c>
      <c r="AL62">
        <f t="shared" si="71"/>
        <v>51887.707912215745</v>
      </c>
      <c r="AM62" t="s">
        <v>416</v>
      </c>
      <c r="AN62">
        <v>10235.299999999999</v>
      </c>
      <c r="AO62">
        <v>594.051923076923</v>
      </c>
      <c r="AP62">
        <v>2007.77</v>
      </c>
      <c r="AQ62">
        <f t="shared" si="72"/>
        <v>0.70412351859180933</v>
      </c>
      <c r="AR62">
        <v>-0.54275787784279261</v>
      </c>
      <c r="AS62" t="s">
        <v>653</v>
      </c>
      <c r="AT62">
        <v>10193.700000000001</v>
      </c>
      <c r="AU62">
        <v>642.22519999999997</v>
      </c>
      <c r="AV62">
        <v>782.60326920469538</v>
      </c>
      <c r="AW62">
        <f t="shared" si="73"/>
        <v>0.17937322105407472</v>
      </c>
      <c r="AX62">
        <v>0.5</v>
      </c>
      <c r="AY62">
        <f t="shared" si="74"/>
        <v>1513.1036999967009</v>
      </c>
      <c r="AZ62">
        <f t="shared" si="75"/>
        <v>18.587364207483098</v>
      </c>
      <c r="BA62">
        <f t="shared" si="76"/>
        <v>135.70514222862329</v>
      </c>
      <c r="BB62">
        <f t="shared" si="77"/>
        <v>1.2642968281266908E-2</v>
      </c>
      <c r="BC62">
        <f t="shared" si="78"/>
        <v>1.5655016775490285</v>
      </c>
      <c r="BD62">
        <f t="shared" si="79"/>
        <v>405.99637855016249</v>
      </c>
      <c r="BE62" t="s">
        <v>654</v>
      </c>
      <c r="BF62">
        <v>505.01</v>
      </c>
      <c r="BG62">
        <f t="shared" si="80"/>
        <v>505.01</v>
      </c>
      <c r="BH62">
        <f t="shared" si="81"/>
        <v>0.35470497010163771</v>
      </c>
      <c r="BI62">
        <f t="shared" si="82"/>
        <v>0.50569694865757564</v>
      </c>
      <c r="BJ62">
        <f t="shared" si="83"/>
        <v>0.81527770954464096</v>
      </c>
      <c r="BK62">
        <f t="shared" si="84"/>
        <v>0.74450844339009803</v>
      </c>
      <c r="BL62">
        <f t="shared" si="85"/>
        <v>0.86662733595502306</v>
      </c>
      <c r="BM62">
        <f t="shared" si="86"/>
        <v>0.39765181441270492</v>
      </c>
      <c r="BN62">
        <f t="shared" si="87"/>
        <v>0.60234818558729508</v>
      </c>
      <c r="BO62">
        <v>12559</v>
      </c>
      <c r="BP62">
        <v>290.00000000000011</v>
      </c>
      <c r="BQ62">
        <v>744.75</v>
      </c>
      <c r="BR62">
        <v>215</v>
      </c>
      <c r="BS62">
        <v>10193.700000000001</v>
      </c>
      <c r="BT62">
        <v>745.92</v>
      </c>
      <c r="BU62">
        <v>-1.17</v>
      </c>
      <c r="BV62">
        <v>300.00000000000011</v>
      </c>
      <c r="BW62">
        <v>24.2</v>
      </c>
      <c r="BX62">
        <v>782.60326920469538</v>
      </c>
      <c r="BY62">
        <v>1.5777580615268989</v>
      </c>
      <c r="BZ62">
        <v>-37.392033695239768</v>
      </c>
      <c r="CA62">
        <v>1.4313226003534449</v>
      </c>
      <c r="CB62">
        <v>0.96058942970147465</v>
      </c>
      <c r="CC62">
        <v>-6.9591383759733099E-3</v>
      </c>
      <c r="CD62">
        <v>289.99999999999989</v>
      </c>
      <c r="CE62">
        <v>743.13</v>
      </c>
      <c r="CF62">
        <v>625</v>
      </c>
      <c r="CG62">
        <v>10170.4</v>
      </c>
      <c r="CH62">
        <v>745.84</v>
      </c>
      <c r="CI62">
        <v>-2.71</v>
      </c>
      <c r="CW62">
        <f t="shared" si="88"/>
        <v>1799.9</v>
      </c>
      <c r="CX62">
        <f t="shared" si="89"/>
        <v>1513.1036999967009</v>
      </c>
      <c r="CY62">
        <f t="shared" si="90"/>
        <v>0.84065986999094444</v>
      </c>
      <c r="CZ62">
        <f t="shared" si="91"/>
        <v>0.19131973998188864</v>
      </c>
      <c r="DA62">
        <v>6</v>
      </c>
      <c r="DB62">
        <v>0.5</v>
      </c>
      <c r="DC62" t="s">
        <v>419</v>
      </c>
      <c r="DD62">
        <v>2</v>
      </c>
      <c r="DE62">
        <v>1691169291.5999999</v>
      </c>
      <c r="DF62">
        <v>96.844700000000003</v>
      </c>
      <c r="DG62">
        <v>119.964</v>
      </c>
      <c r="DH62">
        <v>26.5608</v>
      </c>
      <c r="DI62">
        <v>18.2944</v>
      </c>
      <c r="DJ62">
        <v>98.385199999999998</v>
      </c>
      <c r="DK62">
        <v>26.491900000000001</v>
      </c>
      <c r="DL62">
        <v>500.178</v>
      </c>
      <c r="DM62">
        <v>99.187100000000001</v>
      </c>
      <c r="DN62">
        <v>9.9930400000000003E-2</v>
      </c>
      <c r="DO62">
        <v>30.453700000000001</v>
      </c>
      <c r="DP62">
        <v>29.8825</v>
      </c>
      <c r="DQ62">
        <v>999.9</v>
      </c>
      <c r="DR62">
        <v>0</v>
      </c>
      <c r="DS62">
        <v>0</v>
      </c>
      <c r="DT62">
        <v>10007.5</v>
      </c>
      <c r="DU62">
        <v>0</v>
      </c>
      <c r="DV62">
        <v>728.86</v>
      </c>
      <c r="DW62">
        <v>-23.1191</v>
      </c>
      <c r="DX62">
        <v>99.487099999999998</v>
      </c>
      <c r="DY62">
        <v>122.199</v>
      </c>
      <c r="DZ62">
        <v>8.2664399999999993</v>
      </c>
      <c r="EA62">
        <v>119.964</v>
      </c>
      <c r="EB62">
        <v>18.2944</v>
      </c>
      <c r="EC62">
        <v>2.63449</v>
      </c>
      <c r="ED62">
        <v>1.81457</v>
      </c>
      <c r="EE62">
        <v>21.882100000000001</v>
      </c>
      <c r="EF62">
        <v>15.912800000000001</v>
      </c>
      <c r="EG62">
        <v>1799.9</v>
      </c>
      <c r="EH62">
        <v>0.97800200000000004</v>
      </c>
      <c r="EI62">
        <v>2.1998500000000001E-2</v>
      </c>
      <c r="EJ62">
        <v>0</v>
      </c>
      <c r="EK62">
        <v>644.56500000000005</v>
      </c>
      <c r="EL62">
        <v>0.100005</v>
      </c>
      <c r="EM62">
        <v>13889.3</v>
      </c>
      <c r="EN62">
        <v>14861.7</v>
      </c>
      <c r="EO62">
        <v>48.311999999999998</v>
      </c>
      <c r="EP62">
        <v>50.5</v>
      </c>
      <c r="EQ62">
        <v>49.186999999999998</v>
      </c>
      <c r="ER62">
        <v>49.25</v>
      </c>
      <c r="ES62">
        <v>49.436999999999998</v>
      </c>
      <c r="ET62">
        <v>1760.21</v>
      </c>
      <c r="EU62">
        <v>39.590000000000003</v>
      </c>
      <c r="EV62">
        <v>0</v>
      </c>
      <c r="EW62">
        <v>141.5999999046326</v>
      </c>
      <c r="EX62">
        <v>0</v>
      </c>
      <c r="EY62">
        <v>642.22519999999997</v>
      </c>
      <c r="EZ62">
        <v>8.5157691889026346</v>
      </c>
      <c r="FA62">
        <v>-231.63846089286741</v>
      </c>
      <c r="FB62">
        <v>13932.732</v>
      </c>
      <c r="FC62">
        <v>15</v>
      </c>
      <c r="FD62">
        <v>1691169237.0999999</v>
      </c>
      <c r="FE62" t="s">
        <v>655</v>
      </c>
      <c r="FF62">
        <v>1691169223.5999999</v>
      </c>
      <c r="FG62">
        <v>1691169237.0999999</v>
      </c>
      <c r="FH62">
        <v>56</v>
      </c>
      <c r="FI62">
        <v>-0.23300000000000001</v>
      </c>
      <c r="FJ62">
        <v>-4.0000000000000001E-3</v>
      </c>
      <c r="FK62">
        <v>-1.627</v>
      </c>
      <c r="FL62">
        <v>-0.11899999999999999</v>
      </c>
      <c r="FM62">
        <v>120</v>
      </c>
      <c r="FN62">
        <v>18</v>
      </c>
      <c r="FO62">
        <v>0.25</v>
      </c>
      <c r="FP62">
        <v>0.04</v>
      </c>
      <c r="FQ62">
        <v>18.514879404542661</v>
      </c>
      <c r="FR62">
        <v>0.55521806200985024</v>
      </c>
      <c r="FS62">
        <v>6.3422757482749073E-2</v>
      </c>
      <c r="FT62">
        <v>1</v>
      </c>
      <c r="FU62">
        <v>0.45659405870904518</v>
      </c>
      <c r="FV62">
        <v>3.9416691162232863E-2</v>
      </c>
      <c r="FW62">
        <v>2.9118978017838551E-3</v>
      </c>
      <c r="FX62">
        <v>1</v>
      </c>
      <c r="FY62">
        <v>2</v>
      </c>
      <c r="FZ62">
        <v>2</v>
      </c>
      <c r="GA62" t="s">
        <v>421</v>
      </c>
      <c r="GB62">
        <v>2.9159099999999998</v>
      </c>
      <c r="GC62">
        <v>2.8298800000000002</v>
      </c>
      <c r="GD62">
        <v>2.6338500000000001E-2</v>
      </c>
      <c r="GE62">
        <v>3.1110800000000001E-2</v>
      </c>
      <c r="GF62">
        <v>0.12634300000000001</v>
      </c>
      <c r="GG62">
        <v>9.3599500000000002E-2</v>
      </c>
      <c r="GH62">
        <v>25150.9</v>
      </c>
      <c r="GI62">
        <v>31055.599999999999</v>
      </c>
      <c r="GJ62">
        <v>23272.2</v>
      </c>
      <c r="GK62">
        <v>29394.9</v>
      </c>
      <c r="GL62">
        <v>27752.3</v>
      </c>
      <c r="GM62">
        <v>37893.4</v>
      </c>
      <c r="GN62">
        <v>32918.300000000003</v>
      </c>
      <c r="GO62">
        <v>43596.7</v>
      </c>
      <c r="GP62">
        <v>1.9307000000000001</v>
      </c>
      <c r="GQ62">
        <v>1.6982999999999999</v>
      </c>
      <c r="GR62">
        <v>-9.7006599999999998E-3</v>
      </c>
      <c r="GS62">
        <v>0</v>
      </c>
      <c r="GT62">
        <v>30.040400000000002</v>
      </c>
      <c r="GU62">
        <v>999.9</v>
      </c>
      <c r="GV62">
        <v>29.5</v>
      </c>
      <c r="GW62">
        <v>46.7</v>
      </c>
      <c r="GX62">
        <v>31.275600000000001</v>
      </c>
      <c r="GY62">
        <v>61.113999999999997</v>
      </c>
      <c r="GZ62">
        <v>39.4071</v>
      </c>
      <c r="HA62">
        <v>1</v>
      </c>
      <c r="HB62">
        <v>0.68797799999999998</v>
      </c>
      <c r="HC62">
        <v>3.31094</v>
      </c>
      <c r="HD62">
        <v>20.236899999999999</v>
      </c>
      <c r="HE62">
        <v>5.2107000000000001</v>
      </c>
      <c r="HF62">
        <v>11.8782</v>
      </c>
      <c r="HG62">
        <v>4.9832000000000001</v>
      </c>
      <c r="HH62">
        <v>3.2839999999999998</v>
      </c>
      <c r="HI62">
        <v>9999</v>
      </c>
      <c r="HJ62">
        <v>9999</v>
      </c>
      <c r="HK62">
        <v>9999</v>
      </c>
      <c r="HL62">
        <v>999.9</v>
      </c>
      <c r="HM62">
        <v>1.8548500000000001</v>
      </c>
      <c r="HN62">
        <v>1.8608</v>
      </c>
      <c r="HO62">
        <v>1.8581700000000001</v>
      </c>
      <c r="HP62">
        <v>1.85928</v>
      </c>
      <c r="HQ62">
        <v>1.8586400000000001</v>
      </c>
      <c r="HR62">
        <v>1.8591299999999999</v>
      </c>
      <c r="HS62">
        <v>1.85745</v>
      </c>
      <c r="HT62">
        <v>1.8608</v>
      </c>
      <c r="HU62">
        <v>5</v>
      </c>
      <c r="HV62">
        <v>0</v>
      </c>
      <c r="HW62">
        <v>0</v>
      </c>
      <c r="HX62">
        <v>0</v>
      </c>
      <c r="HY62" t="s">
        <v>422</v>
      </c>
      <c r="HZ62" t="s">
        <v>423</v>
      </c>
      <c r="IA62" t="s">
        <v>424</v>
      </c>
      <c r="IB62" t="s">
        <v>424</v>
      </c>
      <c r="IC62" t="s">
        <v>424</v>
      </c>
      <c r="ID62" t="s">
        <v>424</v>
      </c>
      <c r="IE62">
        <v>0</v>
      </c>
      <c r="IF62">
        <v>100</v>
      </c>
      <c r="IG62">
        <v>100</v>
      </c>
      <c r="IH62">
        <v>-1.54</v>
      </c>
      <c r="II62">
        <v>6.8900000000000003E-2</v>
      </c>
      <c r="IJ62">
        <v>-1.152397095671692</v>
      </c>
      <c r="IK62">
        <v>-4.1229525807901877E-3</v>
      </c>
      <c r="IL62">
        <v>1.8448211998558991E-6</v>
      </c>
      <c r="IM62">
        <v>-3.7020276670297668E-10</v>
      </c>
      <c r="IN62">
        <v>-0.1895395029069496</v>
      </c>
      <c r="IO62">
        <v>-1.3488639696665739E-2</v>
      </c>
      <c r="IP62">
        <v>1.1588640342490499E-3</v>
      </c>
      <c r="IQ62">
        <v>-1.0624341560077559E-5</v>
      </c>
      <c r="IR62">
        <v>2</v>
      </c>
      <c r="IS62">
        <v>1915</v>
      </c>
      <c r="IT62">
        <v>1</v>
      </c>
      <c r="IU62">
        <v>42</v>
      </c>
      <c r="IV62">
        <v>1.1000000000000001</v>
      </c>
      <c r="IW62">
        <v>0.9</v>
      </c>
      <c r="IX62">
        <v>0.404053</v>
      </c>
      <c r="IY62">
        <v>2.5109900000000001</v>
      </c>
      <c r="IZ62">
        <v>1.49414</v>
      </c>
      <c r="JA62">
        <v>2.2839399999999999</v>
      </c>
      <c r="JB62">
        <v>1.54419</v>
      </c>
      <c r="JC62">
        <v>2.4597199999999999</v>
      </c>
      <c r="JD62">
        <v>48.825800000000001</v>
      </c>
      <c r="JE62">
        <v>23.991199999999999</v>
      </c>
      <c r="JF62">
        <v>18</v>
      </c>
      <c r="JG62">
        <v>515.13699999999994</v>
      </c>
      <c r="JH62">
        <v>391.07799999999997</v>
      </c>
      <c r="JI62">
        <v>24.882300000000001</v>
      </c>
      <c r="JJ62">
        <v>35.763500000000001</v>
      </c>
      <c r="JK62">
        <v>29.9986</v>
      </c>
      <c r="JL62">
        <v>35.679299999999998</v>
      </c>
      <c r="JM62">
        <v>35.646599999999999</v>
      </c>
      <c r="JN62">
        <v>8.1444700000000001</v>
      </c>
      <c r="JO62">
        <v>39.17</v>
      </c>
      <c r="JP62">
        <v>0</v>
      </c>
      <c r="JQ62">
        <v>24.937799999999999</v>
      </c>
      <c r="JR62">
        <v>120</v>
      </c>
      <c r="JS62">
        <v>18.2742</v>
      </c>
      <c r="JT62">
        <v>97.616200000000006</v>
      </c>
      <c r="JU62">
        <v>98.011099999999999</v>
      </c>
    </row>
    <row r="63" spans="1:281" x14ac:dyDescent="0.25">
      <c r="A63">
        <v>47</v>
      </c>
      <c r="B63">
        <v>1691169399.5999999</v>
      </c>
      <c r="C63">
        <v>10154</v>
      </c>
      <c r="D63" t="s">
        <v>656</v>
      </c>
      <c r="E63" t="s">
        <v>657</v>
      </c>
      <c r="F63" t="s">
        <v>413</v>
      </c>
      <c r="G63" t="s">
        <v>636</v>
      </c>
      <c r="H63" t="s">
        <v>637</v>
      </c>
      <c r="I63" t="s">
        <v>415</v>
      </c>
      <c r="J63">
        <v>1691169399.5999999</v>
      </c>
      <c r="K63">
        <f t="shared" si="46"/>
        <v>7.1672646999380741E-3</v>
      </c>
      <c r="L63">
        <f t="shared" si="47"/>
        <v>7.167264699938074</v>
      </c>
      <c r="M63">
        <f t="shared" si="48"/>
        <v>10.893983505195818</v>
      </c>
      <c r="N63">
        <f t="shared" si="49"/>
        <v>56.362200000000001</v>
      </c>
      <c r="O63">
        <f t="shared" si="50"/>
        <v>15.297268180947716</v>
      </c>
      <c r="P63">
        <f t="shared" si="51"/>
        <v>1.5187247933600114</v>
      </c>
      <c r="Q63">
        <f t="shared" si="52"/>
        <v>5.5956834603270007</v>
      </c>
      <c r="R63">
        <f t="shared" si="53"/>
        <v>0.46749134682372367</v>
      </c>
      <c r="S63">
        <f t="shared" si="54"/>
        <v>2.9085627809759251</v>
      </c>
      <c r="T63">
        <f t="shared" si="55"/>
        <v>0.4294037785721701</v>
      </c>
      <c r="U63">
        <f t="shared" si="56"/>
        <v>0.27154031918731147</v>
      </c>
      <c r="V63">
        <f t="shared" si="57"/>
        <v>344.40069999340056</v>
      </c>
      <c r="W63">
        <f t="shared" si="58"/>
        <v>30.743536242818713</v>
      </c>
      <c r="X63">
        <f t="shared" si="59"/>
        <v>29.976900000000001</v>
      </c>
      <c r="Y63">
        <f t="shared" si="60"/>
        <v>4.2548000829832118</v>
      </c>
      <c r="Z63">
        <f t="shared" si="61"/>
        <v>60.302288862953027</v>
      </c>
      <c r="AA63">
        <f t="shared" si="62"/>
        <v>2.6553539475315002</v>
      </c>
      <c r="AB63">
        <f t="shared" si="63"/>
        <v>4.4034049081722806</v>
      </c>
      <c r="AC63">
        <f t="shared" si="64"/>
        <v>1.5994461354517115</v>
      </c>
      <c r="AD63">
        <f t="shared" si="65"/>
        <v>-316.07637326726905</v>
      </c>
      <c r="AE63">
        <f t="shared" si="66"/>
        <v>93.911374908471757</v>
      </c>
      <c r="AF63">
        <f t="shared" si="67"/>
        <v>7.1989145985082832</v>
      </c>
      <c r="AG63">
        <f t="shared" si="68"/>
        <v>129.43461623311157</v>
      </c>
      <c r="AH63">
        <v>0</v>
      </c>
      <c r="AI63">
        <v>0</v>
      </c>
      <c r="AJ63">
        <f t="shared" si="69"/>
        <v>1</v>
      </c>
      <c r="AK63">
        <f t="shared" si="70"/>
        <v>0</v>
      </c>
      <c r="AL63">
        <f t="shared" si="71"/>
        <v>51639.551768931997</v>
      </c>
      <c r="AM63" t="s">
        <v>416</v>
      </c>
      <c r="AN63">
        <v>10235.299999999999</v>
      </c>
      <c r="AO63">
        <v>594.051923076923</v>
      </c>
      <c r="AP63">
        <v>2007.77</v>
      </c>
      <c r="AQ63">
        <f t="shared" si="72"/>
        <v>0.70412351859180933</v>
      </c>
      <c r="AR63">
        <v>-0.54275787784279261</v>
      </c>
      <c r="AS63" t="s">
        <v>658</v>
      </c>
      <c r="AT63">
        <v>10186.799999999999</v>
      </c>
      <c r="AU63">
        <v>650.49879999999996</v>
      </c>
      <c r="AV63">
        <v>742.14670657573868</v>
      </c>
      <c r="AW63">
        <f t="shared" si="73"/>
        <v>0.12349028266742801</v>
      </c>
      <c r="AX63">
        <v>0.5</v>
      </c>
      <c r="AY63">
        <f t="shared" si="74"/>
        <v>1513.2971999967006</v>
      </c>
      <c r="AZ63">
        <f t="shared" si="75"/>
        <v>10.893983505195818</v>
      </c>
      <c r="BA63">
        <f t="shared" si="76"/>
        <v>93.438749493709949</v>
      </c>
      <c r="BB63">
        <f t="shared" si="77"/>
        <v>7.5574985422979342E-3</v>
      </c>
      <c r="BC63">
        <f t="shared" si="78"/>
        <v>1.7053545912287895</v>
      </c>
      <c r="BD63">
        <f t="shared" si="79"/>
        <v>394.83056221100838</v>
      </c>
      <c r="BE63" t="s">
        <v>659</v>
      </c>
      <c r="BF63">
        <v>528.25</v>
      </c>
      <c r="BG63">
        <f t="shared" si="80"/>
        <v>528.25</v>
      </c>
      <c r="BH63">
        <f t="shared" si="81"/>
        <v>0.28821350910880816</v>
      </c>
      <c r="BI63">
        <f t="shared" si="82"/>
        <v>0.42846805845178881</v>
      </c>
      <c r="BJ63">
        <f t="shared" si="83"/>
        <v>0.855428310144007</v>
      </c>
      <c r="BK63">
        <f t="shared" si="84"/>
        <v>0.61884628486236748</v>
      </c>
      <c r="BL63">
        <f t="shared" si="85"/>
        <v>0.89524447206536362</v>
      </c>
      <c r="BM63">
        <f t="shared" si="86"/>
        <v>0.34794568702841183</v>
      </c>
      <c r="BN63">
        <f t="shared" si="87"/>
        <v>0.65205431297158811</v>
      </c>
      <c r="BO63">
        <v>12561</v>
      </c>
      <c r="BP63">
        <v>290.00000000000011</v>
      </c>
      <c r="BQ63">
        <v>717.97</v>
      </c>
      <c r="BR63">
        <v>295</v>
      </c>
      <c r="BS63">
        <v>10186.799999999999</v>
      </c>
      <c r="BT63">
        <v>717.34</v>
      </c>
      <c r="BU63">
        <v>0.63</v>
      </c>
      <c r="BV63">
        <v>300.00000000000011</v>
      </c>
      <c r="BW63">
        <v>24.2</v>
      </c>
      <c r="BX63">
        <v>742.14670657573868</v>
      </c>
      <c r="BY63">
        <v>1.552713468527811</v>
      </c>
      <c r="BZ63">
        <v>-25.27443267300244</v>
      </c>
      <c r="CA63">
        <v>1.40884327900534</v>
      </c>
      <c r="CB63">
        <v>0.91996297837350227</v>
      </c>
      <c r="CC63">
        <v>-6.9599154616240277E-3</v>
      </c>
      <c r="CD63">
        <v>289.99999999999989</v>
      </c>
      <c r="CE63">
        <v>715.67</v>
      </c>
      <c r="CF63">
        <v>625</v>
      </c>
      <c r="CG63">
        <v>10172.200000000001</v>
      </c>
      <c r="CH63">
        <v>717.3</v>
      </c>
      <c r="CI63">
        <v>-1.63</v>
      </c>
      <c r="CW63">
        <f t="shared" si="88"/>
        <v>1800.13</v>
      </c>
      <c r="CX63">
        <f t="shared" si="89"/>
        <v>1513.2971999967006</v>
      </c>
      <c r="CY63">
        <f t="shared" si="90"/>
        <v>0.84065995233494273</v>
      </c>
      <c r="CZ63">
        <f t="shared" si="91"/>
        <v>0.19131990466988524</v>
      </c>
      <c r="DA63">
        <v>6</v>
      </c>
      <c r="DB63">
        <v>0.5</v>
      </c>
      <c r="DC63" t="s">
        <v>419</v>
      </c>
      <c r="DD63">
        <v>2</v>
      </c>
      <c r="DE63">
        <v>1691169399.5999999</v>
      </c>
      <c r="DF63">
        <v>56.362200000000001</v>
      </c>
      <c r="DG63">
        <v>69.919600000000003</v>
      </c>
      <c r="DH63">
        <v>26.745899999999999</v>
      </c>
      <c r="DI63">
        <v>18.375299999999999</v>
      </c>
      <c r="DJ63">
        <v>57.788200000000003</v>
      </c>
      <c r="DK63">
        <v>26.672699999999999</v>
      </c>
      <c r="DL63">
        <v>500.005</v>
      </c>
      <c r="DM63">
        <v>99.180400000000006</v>
      </c>
      <c r="DN63">
        <v>0.100385</v>
      </c>
      <c r="DO63">
        <v>30.575800000000001</v>
      </c>
      <c r="DP63">
        <v>29.976900000000001</v>
      </c>
      <c r="DQ63">
        <v>999.9</v>
      </c>
      <c r="DR63">
        <v>0</v>
      </c>
      <c r="DS63">
        <v>0</v>
      </c>
      <c r="DT63">
        <v>9962.5</v>
      </c>
      <c r="DU63">
        <v>0</v>
      </c>
      <c r="DV63">
        <v>625.05100000000004</v>
      </c>
      <c r="DW63">
        <v>-13.557399999999999</v>
      </c>
      <c r="DX63">
        <v>57.911099999999998</v>
      </c>
      <c r="DY63">
        <v>71.228399999999993</v>
      </c>
      <c r="DZ63">
        <v>8.3706200000000006</v>
      </c>
      <c r="EA63">
        <v>69.919600000000003</v>
      </c>
      <c r="EB63">
        <v>18.375299999999999</v>
      </c>
      <c r="EC63">
        <v>2.6526700000000001</v>
      </c>
      <c r="ED63">
        <v>1.82246</v>
      </c>
      <c r="EE63">
        <v>21.994800000000001</v>
      </c>
      <c r="EF63">
        <v>15.9808</v>
      </c>
      <c r="EG63">
        <v>1800.13</v>
      </c>
      <c r="EH63">
        <v>0.97799800000000003</v>
      </c>
      <c r="EI63">
        <v>2.20022E-2</v>
      </c>
      <c r="EJ63">
        <v>0</v>
      </c>
      <c r="EK63">
        <v>649.54499999999996</v>
      </c>
      <c r="EL63">
        <v>0.100005</v>
      </c>
      <c r="EM63">
        <v>13827.4</v>
      </c>
      <c r="EN63">
        <v>14863.6</v>
      </c>
      <c r="EO63">
        <v>48.125</v>
      </c>
      <c r="EP63">
        <v>50.061999999999998</v>
      </c>
      <c r="EQ63">
        <v>48.936999999999998</v>
      </c>
      <c r="ER63">
        <v>48.875</v>
      </c>
      <c r="ES63">
        <v>49.25</v>
      </c>
      <c r="ET63">
        <v>1760.43</v>
      </c>
      <c r="EU63">
        <v>39.6</v>
      </c>
      <c r="EV63">
        <v>0</v>
      </c>
      <c r="EW63">
        <v>105.7999999523163</v>
      </c>
      <c r="EX63">
        <v>0</v>
      </c>
      <c r="EY63">
        <v>650.49879999999996</v>
      </c>
      <c r="EZ63">
        <v>-5.0042307616790644</v>
      </c>
      <c r="FA63">
        <v>-15.507692282030179</v>
      </c>
      <c r="FB63">
        <v>13823.708000000001</v>
      </c>
      <c r="FC63">
        <v>15</v>
      </c>
      <c r="FD63">
        <v>1691169361.5999999</v>
      </c>
      <c r="FE63" t="s">
        <v>660</v>
      </c>
      <c r="FF63">
        <v>1691169357.5999999</v>
      </c>
      <c r="FG63">
        <v>1691169361.5999999</v>
      </c>
      <c r="FH63">
        <v>57</v>
      </c>
      <c r="FI63">
        <v>-4.1000000000000002E-2</v>
      </c>
      <c r="FJ63">
        <v>0</v>
      </c>
      <c r="FK63">
        <v>-1.4790000000000001</v>
      </c>
      <c r="FL63">
        <v>-0.11700000000000001</v>
      </c>
      <c r="FM63">
        <v>70</v>
      </c>
      <c r="FN63">
        <v>18</v>
      </c>
      <c r="FO63">
        <v>0.49</v>
      </c>
      <c r="FP63">
        <v>0.03</v>
      </c>
      <c r="FQ63">
        <v>10.881735973139451</v>
      </c>
      <c r="FR63">
        <v>-0.32594308014632289</v>
      </c>
      <c r="FS63">
        <v>8.0105267459182797E-2</v>
      </c>
      <c r="FT63">
        <v>1</v>
      </c>
      <c r="FU63">
        <v>0.46980517265408672</v>
      </c>
      <c r="FV63">
        <v>-3.0430216059392699E-2</v>
      </c>
      <c r="FW63">
        <v>2.2670000363656179E-3</v>
      </c>
      <c r="FX63">
        <v>1</v>
      </c>
      <c r="FY63">
        <v>2</v>
      </c>
      <c r="FZ63">
        <v>2</v>
      </c>
      <c r="GA63" t="s">
        <v>421</v>
      </c>
      <c r="GB63">
        <v>2.9156499999999999</v>
      </c>
      <c r="GC63">
        <v>2.8299400000000001</v>
      </c>
      <c r="GD63">
        <v>1.5752800000000001E-2</v>
      </c>
      <c r="GE63">
        <v>1.85647E-2</v>
      </c>
      <c r="GF63">
        <v>0.126971</v>
      </c>
      <c r="GG63">
        <v>9.3914999999999998E-2</v>
      </c>
      <c r="GH63">
        <v>25433.8</v>
      </c>
      <c r="GI63">
        <v>31467.200000000001</v>
      </c>
      <c r="GJ63">
        <v>23280.9</v>
      </c>
      <c r="GK63">
        <v>29403.7</v>
      </c>
      <c r="GL63">
        <v>27740</v>
      </c>
      <c r="GM63">
        <v>37888.5</v>
      </c>
      <c r="GN63">
        <v>32929.4</v>
      </c>
      <c r="GO63">
        <v>43607.9</v>
      </c>
      <c r="GP63">
        <v>1.9319999999999999</v>
      </c>
      <c r="GQ63">
        <v>1.7019</v>
      </c>
      <c r="GR63">
        <v>8.1956400000000006E-3</v>
      </c>
      <c r="GS63">
        <v>0</v>
      </c>
      <c r="GT63">
        <v>29.843499999999999</v>
      </c>
      <c r="GU63">
        <v>999.9</v>
      </c>
      <c r="GV63">
        <v>29.4</v>
      </c>
      <c r="GW63">
        <v>46.6</v>
      </c>
      <c r="GX63">
        <v>31.014800000000001</v>
      </c>
      <c r="GY63">
        <v>61.4741</v>
      </c>
      <c r="GZ63">
        <v>39.282899999999998</v>
      </c>
      <c r="HA63">
        <v>1</v>
      </c>
      <c r="HB63">
        <v>0.67342500000000005</v>
      </c>
      <c r="HC63">
        <v>3.36632</v>
      </c>
      <c r="HD63">
        <v>20.235399999999998</v>
      </c>
      <c r="HE63">
        <v>5.2112999999999996</v>
      </c>
      <c r="HF63">
        <v>11.8782</v>
      </c>
      <c r="HG63">
        <v>4.9837999999999996</v>
      </c>
      <c r="HH63">
        <v>3.2839999999999998</v>
      </c>
      <c r="HI63">
        <v>9999</v>
      </c>
      <c r="HJ63">
        <v>9999</v>
      </c>
      <c r="HK63">
        <v>9999</v>
      </c>
      <c r="HL63">
        <v>999.9</v>
      </c>
      <c r="HM63">
        <v>1.85483</v>
      </c>
      <c r="HN63">
        <v>1.8607800000000001</v>
      </c>
      <c r="HO63">
        <v>1.85812</v>
      </c>
      <c r="HP63">
        <v>1.8592200000000001</v>
      </c>
      <c r="HQ63">
        <v>1.8586100000000001</v>
      </c>
      <c r="HR63">
        <v>1.8591299999999999</v>
      </c>
      <c r="HS63">
        <v>1.85745</v>
      </c>
      <c r="HT63">
        <v>1.8607499999999999</v>
      </c>
      <c r="HU63">
        <v>5</v>
      </c>
      <c r="HV63">
        <v>0</v>
      </c>
      <c r="HW63">
        <v>0</v>
      </c>
      <c r="HX63">
        <v>0</v>
      </c>
      <c r="HY63" t="s">
        <v>422</v>
      </c>
      <c r="HZ63" t="s">
        <v>423</v>
      </c>
      <c r="IA63" t="s">
        <v>424</v>
      </c>
      <c r="IB63" t="s">
        <v>424</v>
      </c>
      <c r="IC63" t="s">
        <v>424</v>
      </c>
      <c r="ID63" t="s">
        <v>424</v>
      </c>
      <c r="IE63">
        <v>0</v>
      </c>
      <c r="IF63">
        <v>100</v>
      </c>
      <c r="IG63">
        <v>100</v>
      </c>
      <c r="IH63">
        <v>-1.4259999999999999</v>
      </c>
      <c r="II63">
        <v>7.3200000000000001E-2</v>
      </c>
      <c r="IJ63">
        <v>-1.1938878207049359</v>
      </c>
      <c r="IK63">
        <v>-4.1229525807901877E-3</v>
      </c>
      <c r="IL63">
        <v>1.8448211998558991E-6</v>
      </c>
      <c r="IM63">
        <v>-3.7020276670297668E-10</v>
      </c>
      <c r="IN63">
        <v>-0.18993952174753539</v>
      </c>
      <c r="IO63">
        <v>-1.3488639696665739E-2</v>
      </c>
      <c r="IP63">
        <v>1.1588640342490499E-3</v>
      </c>
      <c r="IQ63">
        <v>-1.0624341560077559E-5</v>
      </c>
      <c r="IR63">
        <v>2</v>
      </c>
      <c r="IS63">
        <v>1915</v>
      </c>
      <c r="IT63">
        <v>1</v>
      </c>
      <c r="IU63">
        <v>42</v>
      </c>
      <c r="IV63">
        <v>0.7</v>
      </c>
      <c r="IW63">
        <v>0.6</v>
      </c>
      <c r="IX63">
        <v>0.29174800000000001</v>
      </c>
      <c r="IY63">
        <v>2.5305200000000001</v>
      </c>
      <c r="IZ63">
        <v>1.49414</v>
      </c>
      <c r="JA63">
        <v>2.2839399999999999</v>
      </c>
      <c r="JB63">
        <v>1.54419</v>
      </c>
      <c r="JC63">
        <v>2.4060100000000002</v>
      </c>
      <c r="JD63">
        <v>48.670699999999997</v>
      </c>
      <c r="JE63">
        <v>23.991199999999999</v>
      </c>
      <c r="JF63">
        <v>18</v>
      </c>
      <c r="JG63">
        <v>515.14599999999996</v>
      </c>
      <c r="JH63">
        <v>392.63799999999998</v>
      </c>
      <c r="JI63">
        <v>25.409300000000002</v>
      </c>
      <c r="JJ63">
        <v>35.595399999999998</v>
      </c>
      <c r="JK63">
        <v>29.998799999999999</v>
      </c>
      <c r="JL63">
        <v>35.568600000000004</v>
      </c>
      <c r="JM63">
        <v>35.538400000000003</v>
      </c>
      <c r="JN63">
        <v>5.89893</v>
      </c>
      <c r="JO63">
        <v>38.801299999999998</v>
      </c>
      <c r="JP63">
        <v>0</v>
      </c>
      <c r="JQ63">
        <v>25.4284</v>
      </c>
      <c r="JR63">
        <v>70</v>
      </c>
      <c r="JS63">
        <v>18.308</v>
      </c>
      <c r="JT63">
        <v>97.650599999999997</v>
      </c>
      <c r="JU63">
        <v>98.037999999999997</v>
      </c>
    </row>
    <row r="64" spans="1:281" x14ac:dyDescent="0.25">
      <c r="A64">
        <v>48</v>
      </c>
      <c r="B64">
        <v>1691169510.5999999</v>
      </c>
      <c r="C64">
        <v>10265</v>
      </c>
      <c r="D64" t="s">
        <v>661</v>
      </c>
      <c r="E64" t="s">
        <v>662</v>
      </c>
      <c r="F64" t="s">
        <v>413</v>
      </c>
      <c r="G64" t="s">
        <v>636</v>
      </c>
      <c r="H64" t="s">
        <v>637</v>
      </c>
      <c r="I64" t="s">
        <v>415</v>
      </c>
      <c r="J64">
        <v>1691169510.5999999</v>
      </c>
      <c r="K64">
        <f t="shared" si="46"/>
        <v>7.4342141083296688E-3</v>
      </c>
      <c r="L64">
        <f t="shared" si="47"/>
        <v>7.4342141083296687</v>
      </c>
      <c r="M64">
        <f t="shared" si="48"/>
        <v>4.9446962237954217</v>
      </c>
      <c r="N64">
        <f t="shared" si="49"/>
        <v>23.852900000000002</v>
      </c>
      <c r="O64">
        <f t="shared" si="50"/>
        <v>5.7495842051613675</v>
      </c>
      <c r="P64">
        <f t="shared" si="51"/>
        <v>0.57082565963655607</v>
      </c>
      <c r="Q64">
        <f t="shared" si="52"/>
        <v>2.3681447024503002</v>
      </c>
      <c r="R64">
        <f t="shared" si="53"/>
        <v>0.48158275572154946</v>
      </c>
      <c r="S64">
        <f t="shared" si="54"/>
        <v>2.9203859118441042</v>
      </c>
      <c r="T64">
        <f t="shared" si="55"/>
        <v>0.44141907681607867</v>
      </c>
      <c r="U64">
        <f t="shared" si="56"/>
        <v>0.27921580134487656</v>
      </c>
      <c r="V64">
        <f t="shared" si="57"/>
        <v>344.36779999340155</v>
      </c>
      <c r="W64">
        <f t="shared" si="58"/>
        <v>30.7959487415769</v>
      </c>
      <c r="X64">
        <f t="shared" si="59"/>
        <v>30.093699999999998</v>
      </c>
      <c r="Y64">
        <f t="shared" si="60"/>
        <v>4.2834335781255444</v>
      </c>
      <c r="Z64">
        <f t="shared" si="61"/>
        <v>60.209462015646707</v>
      </c>
      <c r="AA64">
        <f t="shared" si="62"/>
        <v>2.6699297873681997</v>
      </c>
      <c r="AB64">
        <f t="shared" si="63"/>
        <v>4.4344023314381413</v>
      </c>
      <c r="AC64">
        <f t="shared" si="64"/>
        <v>1.6135037907573446</v>
      </c>
      <c r="AD64">
        <f t="shared" si="65"/>
        <v>-327.84884217733838</v>
      </c>
      <c r="AE64">
        <f t="shared" si="66"/>
        <v>95.222037624944576</v>
      </c>
      <c r="AF64">
        <f t="shared" si="67"/>
        <v>7.2784490574209757</v>
      </c>
      <c r="AG64">
        <f t="shared" si="68"/>
        <v>119.01944449842871</v>
      </c>
      <c r="AH64">
        <v>0</v>
      </c>
      <c r="AI64">
        <v>0</v>
      </c>
      <c r="AJ64">
        <f t="shared" si="69"/>
        <v>1</v>
      </c>
      <c r="AK64">
        <f t="shared" si="70"/>
        <v>0</v>
      </c>
      <c r="AL64">
        <f t="shared" si="71"/>
        <v>51954.431499353188</v>
      </c>
      <c r="AM64" t="s">
        <v>416</v>
      </c>
      <c r="AN64">
        <v>10235.299999999999</v>
      </c>
      <c r="AO64">
        <v>594.051923076923</v>
      </c>
      <c r="AP64">
        <v>2007.77</v>
      </c>
      <c r="AQ64">
        <f t="shared" si="72"/>
        <v>0.70412351859180933</v>
      </c>
      <c r="AR64">
        <v>-0.54275787784279261</v>
      </c>
      <c r="AS64" t="s">
        <v>663</v>
      </c>
      <c r="AT64">
        <v>10212.200000000001</v>
      </c>
      <c r="AU64">
        <v>661.54269230769228</v>
      </c>
      <c r="AV64">
        <v>725.79713031851554</v>
      </c>
      <c r="AW64">
        <f t="shared" si="73"/>
        <v>8.8529473769929701E-2</v>
      </c>
      <c r="AX64">
        <v>0.5</v>
      </c>
      <c r="AY64">
        <f t="shared" si="74"/>
        <v>1513.1540999967008</v>
      </c>
      <c r="AZ64">
        <f t="shared" si="75"/>
        <v>4.9446962237954217</v>
      </c>
      <c r="BA64">
        <f t="shared" si="76"/>
        <v>66.97936810275975</v>
      </c>
      <c r="BB64">
        <f t="shared" si="77"/>
        <v>3.6265005009405047E-3</v>
      </c>
      <c r="BC64">
        <f t="shared" si="78"/>
        <v>1.7662964155271483</v>
      </c>
      <c r="BD64">
        <f t="shared" si="79"/>
        <v>390.15483415223508</v>
      </c>
      <c r="BE64" t="s">
        <v>664</v>
      </c>
      <c r="BF64">
        <v>552.07000000000005</v>
      </c>
      <c r="BG64">
        <f t="shared" si="80"/>
        <v>552.07000000000005</v>
      </c>
      <c r="BH64">
        <f t="shared" si="81"/>
        <v>0.23936045357781377</v>
      </c>
      <c r="BI64">
        <f t="shared" si="82"/>
        <v>0.36985839743635684</v>
      </c>
      <c r="BJ64">
        <f t="shared" si="83"/>
        <v>0.88065732615338654</v>
      </c>
      <c r="BK64">
        <f t="shared" si="84"/>
        <v>0.48771746127351989</v>
      </c>
      <c r="BL64">
        <f t="shared" si="85"/>
        <v>0.90680942021457867</v>
      </c>
      <c r="BM64">
        <f t="shared" si="86"/>
        <v>0.30865389013732636</v>
      </c>
      <c r="BN64">
        <f t="shared" si="87"/>
        <v>0.69134610986267364</v>
      </c>
      <c r="BO64">
        <v>12563</v>
      </c>
      <c r="BP64">
        <v>290.00000000000011</v>
      </c>
      <c r="BQ64">
        <v>706.43</v>
      </c>
      <c r="BR64">
        <v>115</v>
      </c>
      <c r="BS64">
        <v>10212.200000000001</v>
      </c>
      <c r="BT64">
        <v>705.82</v>
      </c>
      <c r="BU64">
        <v>0.61</v>
      </c>
      <c r="BV64">
        <v>300.00000000000011</v>
      </c>
      <c r="BW64">
        <v>24.2</v>
      </c>
      <c r="BX64">
        <v>725.79713031851554</v>
      </c>
      <c r="BY64">
        <v>1.520323537986821</v>
      </c>
      <c r="BZ64">
        <v>-20.396323428858381</v>
      </c>
      <c r="CA64">
        <v>1.379696350540091</v>
      </c>
      <c r="CB64">
        <v>0.88642951270135462</v>
      </c>
      <c r="CC64">
        <v>-6.9607123470522931E-3</v>
      </c>
      <c r="CD64">
        <v>289.99999999999989</v>
      </c>
      <c r="CE64">
        <v>703.39</v>
      </c>
      <c r="CF64">
        <v>735</v>
      </c>
      <c r="CG64">
        <v>10167.6</v>
      </c>
      <c r="CH64">
        <v>705.74</v>
      </c>
      <c r="CI64">
        <v>-2.35</v>
      </c>
      <c r="CW64">
        <f t="shared" si="88"/>
        <v>1799.96</v>
      </c>
      <c r="CX64">
        <f t="shared" si="89"/>
        <v>1513.1540999967008</v>
      </c>
      <c r="CY64">
        <f t="shared" si="90"/>
        <v>0.84065984799478921</v>
      </c>
      <c r="CZ64">
        <f t="shared" si="91"/>
        <v>0.1913196959895784</v>
      </c>
      <c r="DA64">
        <v>6</v>
      </c>
      <c r="DB64">
        <v>0.5</v>
      </c>
      <c r="DC64" t="s">
        <v>419</v>
      </c>
      <c r="DD64">
        <v>2</v>
      </c>
      <c r="DE64">
        <v>1691169510.5999999</v>
      </c>
      <c r="DF64">
        <v>23.852900000000002</v>
      </c>
      <c r="DG64">
        <v>29.998799999999999</v>
      </c>
      <c r="DH64">
        <v>26.892600000000002</v>
      </c>
      <c r="DI64">
        <v>18.212199999999999</v>
      </c>
      <c r="DJ64">
        <v>25.252500000000001</v>
      </c>
      <c r="DK64">
        <v>26.8033</v>
      </c>
      <c r="DL64">
        <v>500.04300000000001</v>
      </c>
      <c r="DM64">
        <v>99.180999999999997</v>
      </c>
      <c r="DN64">
        <v>0.100207</v>
      </c>
      <c r="DO64">
        <v>30.698499999999999</v>
      </c>
      <c r="DP64">
        <v>30.093699999999998</v>
      </c>
      <c r="DQ64">
        <v>999.9</v>
      </c>
      <c r="DR64">
        <v>0</v>
      </c>
      <c r="DS64">
        <v>0</v>
      </c>
      <c r="DT64">
        <v>10030</v>
      </c>
      <c r="DU64">
        <v>0</v>
      </c>
      <c r="DV64">
        <v>1677.49</v>
      </c>
      <c r="DW64">
        <v>-6.1459599999999996</v>
      </c>
      <c r="DX64">
        <v>24.5121</v>
      </c>
      <c r="DY64">
        <v>30.555299999999999</v>
      </c>
      <c r="DZ64">
        <v>8.6803899999999992</v>
      </c>
      <c r="EA64">
        <v>29.998799999999999</v>
      </c>
      <c r="EB64">
        <v>18.212199999999999</v>
      </c>
      <c r="EC64">
        <v>2.66723</v>
      </c>
      <c r="ED64">
        <v>1.8063</v>
      </c>
      <c r="EE64">
        <v>22.084599999999998</v>
      </c>
      <c r="EF64">
        <v>15.8414</v>
      </c>
      <c r="EG64">
        <v>1799.96</v>
      </c>
      <c r="EH64">
        <v>0.97800299999999996</v>
      </c>
      <c r="EI64">
        <v>2.1997200000000001E-2</v>
      </c>
      <c r="EJ64">
        <v>0</v>
      </c>
      <c r="EK64">
        <v>662.77499999999998</v>
      </c>
      <c r="EL64">
        <v>0.100005</v>
      </c>
      <c r="EM64">
        <v>16305.6</v>
      </c>
      <c r="EN64">
        <v>14862.3</v>
      </c>
      <c r="EO64">
        <v>47.936999999999998</v>
      </c>
      <c r="EP64">
        <v>49.875</v>
      </c>
      <c r="EQ64">
        <v>48.811999999999998</v>
      </c>
      <c r="ER64">
        <v>48.561999999999998</v>
      </c>
      <c r="ES64">
        <v>49.061999999999998</v>
      </c>
      <c r="ET64">
        <v>1760.27</v>
      </c>
      <c r="EU64">
        <v>39.590000000000003</v>
      </c>
      <c r="EV64">
        <v>0</v>
      </c>
      <c r="EW64">
        <v>108.7999999523163</v>
      </c>
      <c r="EX64">
        <v>0</v>
      </c>
      <c r="EY64">
        <v>661.54269230769228</v>
      </c>
      <c r="EZ64">
        <v>0.97299140055529643</v>
      </c>
      <c r="FA64">
        <v>-158.6564107769436</v>
      </c>
      <c r="FB64">
        <v>16355.72692307692</v>
      </c>
      <c r="FC64">
        <v>15</v>
      </c>
      <c r="FD64">
        <v>1691169475.0999999</v>
      </c>
      <c r="FE64" t="s">
        <v>665</v>
      </c>
      <c r="FF64">
        <v>1691169464.5999999</v>
      </c>
      <c r="FG64">
        <v>1691169475.0999999</v>
      </c>
      <c r="FH64">
        <v>58</v>
      </c>
      <c r="FI64">
        <v>-0.10299999999999999</v>
      </c>
      <c r="FJ64">
        <v>1.2999999999999999E-2</v>
      </c>
      <c r="FK64">
        <v>-1.4239999999999999</v>
      </c>
      <c r="FL64">
        <v>-0.10100000000000001</v>
      </c>
      <c r="FM64">
        <v>30</v>
      </c>
      <c r="FN64">
        <v>18</v>
      </c>
      <c r="FO64">
        <v>0.95</v>
      </c>
      <c r="FP64">
        <v>0.03</v>
      </c>
      <c r="FQ64">
        <v>4.8705446504689967</v>
      </c>
      <c r="FR64">
        <v>-0.65890366975772174</v>
      </c>
      <c r="FS64">
        <v>0.1034440022832975</v>
      </c>
      <c r="FT64">
        <v>1</v>
      </c>
      <c r="FU64">
        <v>0.48316352875806701</v>
      </c>
      <c r="FV64">
        <v>-7.1196320435056486E-3</v>
      </c>
      <c r="FW64">
        <v>1.306187246992918E-3</v>
      </c>
      <c r="FX64">
        <v>1</v>
      </c>
      <c r="FY64">
        <v>2</v>
      </c>
      <c r="FZ64">
        <v>2</v>
      </c>
      <c r="GA64" t="s">
        <v>421</v>
      </c>
      <c r="GB64">
        <v>2.91594</v>
      </c>
      <c r="GC64">
        <v>2.8303500000000001</v>
      </c>
      <c r="GD64">
        <v>6.9585999999999997E-3</v>
      </c>
      <c r="GE64">
        <v>8.0737699999999992E-3</v>
      </c>
      <c r="GF64">
        <v>0.12744900000000001</v>
      </c>
      <c r="GG64">
        <v>9.3344399999999994E-2</v>
      </c>
      <c r="GH64">
        <v>25669.3</v>
      </c>
      <c r="GI64">
        <v>31813.9</v>
      </c>
      <c r="GJ64">
        <v>23288.2</v>
      </c>
      <c r="GK64">
        <v>29413</v>
      </c>
      <c r="GL64">
        <v>27732.3</v>
      </c>
      <c r="GM64">
        <v>37920.800000000003</v>
      </c>
      <c r="GN64">
        <v>32940.199999999997</v>
      </c>
      <c r="GO64">
        <v>43619.199999999997</v>
      </c>
      <c r="GP64">
        <v>1.9351</v>
      </c>
      <c r="GQ64">
        <v>1.7053</v>
      </c>
      <c r="GR64">
        <v>1.08182E-2</v>
      </c>
      <c r="GS64">
        <v>0</v>
      </c>
      <c r="GT64">
        <v>29.9177</v>
      </c>
      <c r="GU64">
        <v>999.9</v>
      </c>
      <c r="GV64">
        <v>29.4</v>
      </c>
      <c r="GW64">
        <v>46.5</v>
      </c>
      <c r="GX64">
        <v>30.8551</v>
      </c>
      <c r="GY64">
        <v>61.204099999999997</v>
      </c>
      <c r="GZ64">
        <v>38.669899999999998</v>
      </c>
      <c r="HA64">
        <v>1</v>
      </c>
      <c r="HB64">
        <v>0.66345500000000002</v>
      </c>
      <c r="HC64">
        <v>4.2810800000000002</v>
      </c>
      <c r="HD64">
        <v>20.2149</v>
      </c>
      <c r="HE64">
        <v>5.2107000000000001</v>
      </c>
      <c r="HF64">
        <v>11.8782</v>
      </c>
      <c r="HG64">
        <v>4.9836</v>
      </c>
      <c r="HH64">
        <v>3.2839999999999998</v>
      </c>
      <c r="HI64">
        <v>9999</v>
      </c>
      <c r="HJ64">
        <v>9999</v>
      </c>
      <c r="HK64">
        <v>9999</v>
      </c>
      <c r="HL64">
        <v>999.9</v>
      </c>
      <c r="HM64">
        <v>1.85476</v>
      </c>
      <c r="HN64">
        <v>1.8607100000000001</v>
      </c>
      <c r="HO64">
        <v>1.85809</v>
      </c>
      <c r="HP64">
        <v>1.8591899999999999</v>
      </c>
      <c r="HQ64">
        <v>1.8585499999999999</v>
      </c>
      <c r="HR64">
        <v>1.8591299999999999</v>
      </c>
      <c r="HS64">
        <v>1.85745</v>
      </c>
      <c r="HT64">
        <v>1.86073</v>
      </c>
      <c r="HU64">
        <v>5</v>
      </c>
      <c r="HV64">
        <v>0</v>
      </c>
      <c r="HW64">
        <v>0</v>
      </c>
      <c r="HX64">
        <v>0</v>
      </c>
      <c r="HY64" t="s">
        <v>422</v>
      </c>
      <c r="HZ64" t="s">
        <v>423</v>
      </c>
      <c r="IA64" t="s">
        <v>424</v>
      </c>
      <c r="IB64" t="s">
        <v>424</v>
      </c>
      <c r="IC64" t="s">
        <v>424</v>
      </c>
      <c r="ID64" t="s">
        <v>424</v>
      </c>
      <c r="IE64">
        <v>0</v>
      </c>
      <c r="IF64">
        <v>100</v>
      </c>
      <c r="IG64">
        <v>100</v>
      </c>
      <c r="IH64">
        <v>-1.4</v>
      </c>
      <c r="II64">
        <v>8.9300000000000004E-2</v>
      </c>
      <c r="IJ64">
        <v>-1.2967210210511</v>
      </c>
      <c r="IK64">
        <v>-4.1229525807901877E-3</v>
      </c>
      <c r="IL64">
        <v>1.8448211998558991E-6</v>
      </c>
      <c r="IM64">
        <v>-3.7020276670297668E-10</v>
      </c>
      <c r="IN64">
        <v>-0.177191960003487</v>
      </c>
      <c r="IO64">
        <v>-1.3488639696665739E-2</v>
      </c>
      <c r="IP64">
        <v>1.1588640342490499E-3</v>
      </c>
      <c r="IQ64">
        <v>-1.0624341560077559E-5</v>
      </c>
      <c r="IR64">
        <v>2</v>
      </c>
      <c r="IS64">
        <v>1915</v>
      </c>
      <c r="IT64">
        <v>1</v>
      </c>
      <c r="IU64">
        <v>42</v>
      </c>
      <c r="IV64">
        <v>0.8</v>
      </c>
      <c r="IW64">
        <v>0.6</v>
      </c>
      <c r="IX64">
        <v>0.20141600000000001</v>
      </c>
      <c r="IY64">
        <v>2.5585900000000001</v>
      </c>
      <c r="IZ64">
        <v>1.49414</v>
      </c>
      <c r="JA64">
        <v>2.2839399999999999</v>
      </c>
      <c r="JB64">
        <v>1.54419</v>
      </c>
      <c r="JC64">
        <v>2.34131</v>
      </c>
      <c r="JD64">
        <v>48.485399999999998</v>
      </c>
      <c r="JE64">
        <v>23.973700000000001</v>
      </c>
      <c r="JF64">
        <v>18</v>
      </c>
      <c r="JG64">
        <v>516.07000000000005</v>
      </c>
      <c r="JH64">
        <v>393.87900000000002</v>
      </c>
      <c r="JI64">
        <v>25.013400000000001</v>
      </c>
      <c r="JJ64">
        <v>35.406199999999998</v>
      </c>
      <c r="JK64">
        <v>30.000699999999998</v>
      </c>
      <c r="JL64">
        <v>35.42</v>
      </c>
      <c r="JM64">
        <v>35.399299999999997</v>
      </c>
      <c r="JN64">
        <v>4.0954499999999996</v>
      </c>
      <c r="JO64">
        <v>38.797600000000003</v>
      </c>
      <c r="JP64">
        <v>0</v>
      </c>
      <c r="JQ64">
        <v>25.002199999999998</v>
      </c>
      <c r="JR64">
        <v>30</v>
      </c>
      <c r="JS64">
        <v>18.198599999999999</v>
      </c>
      <c r="JT64">
        <v>97.682299999999998</v>
      </c>
      <c r="JU64">
        <v>98.065600000000003</v>
      </c>
    </row>
    <row r="65" spans="1:281" x14ac:dyDescent="0.25">
      <c r="A65">
        <v>49</v>
      </c>
      <c r="B65">
        <v>1691169620.0999999</v>
      </c>
      <c r="C65">
        <v>10374.5</v>
      </c>
      <c r="D65" t="s">
        <v>666</v>
      </c>
      <c r="E65" t="s">
        <v>667</v>
      </c>
      <c r="F65" t="s">
        <v>413</v>
      </c>
      <c r="G65" t="s">
        <v>636</v>
      </c>
      <c r="H65" t="s">
        <v>637</v>
      </c>
      <c r="I65" t="s">
        <v>415</v>
      </c>
      <c r="J65">
        <v>1691169620.0999999</v>
      </c>
      <c r="K65">
        <f t="shared" si="46"/>
        <v>7.6163521895846681E-3</v>
      </c>
      <c r="L65">
        <f t="shared" si="47"/>
        <v>7.616352189584668</v>
      </c>
      <c r="M65">
        <f t="shared" si="48"/>
        <v>1.9451235190992711</v>
      </c>
      <c r="N65">
        <f t="shared" si="49"/>
        <v>7.5344100000000003</v>
      </c>
      <c r="O65">
        <f t="shared" si="50"/>
        <v>0.74393769214710115</v>
      </c>
      <c r="P65">
        <f t="shared" si="51"/>
        <v>7.3860423916580625E-2</v>
      </c>
      <c r="Q65">
        <f t="shared" si="52"/>
        <v>0.74803941571398003</v>
      </c>
      <c r="R65">
        <f t="shared" si="53"/>
        <v>0.50379266863331584</v>
      </c>
      <c r="S65">
        <f t="shared" si="54"/>
        <v>2.9156133695917728</v>
      </c>
      <c r="T65">
        <f t="shared" si="55"/>
        <v>0.45995418417482586</v>
      </c>
      <c r="U65">
        <f t="shared" si="56"/>
        <v>0.29109152283840001</v>
      </c>
      <c r="V65">
        <f t="shared" si="57"/>
        <v>344.39439999340209</v>
      </c>
      <c r="W65">
        <f t="shared" si="58"/>
        <v>30.638601775780256</v>
      </c>
      <c r="X65">
        <f t="shared" si="59"/>
        <v>30.011099999999999</v>
      </c>
      <c r="Y65">
        <f t="shared" si="60"/>
        <v>4.2631668830561553</v>
      </c>
      <c r="Z65">
        <f t="shared" si="61"/>
        <v>60.741391737373526</v>
      </c>
      <c r="AA65">
        <f t="shared" si="62"/>
        <v>2.6766022847253996</v>
      </c>
      <c r="AB65">
        <f t="shared" si="63"/>
        <v>4.4065540946084623</v>
      </c>
      <c r="AC65">
        <f t="shared" si="64"/>
        <v>1.5865645983307557</v>
      </c>
      <c r="AD65">
        <f t="shared" si="65"/>
        <v>-335.88113156068385</v>
      </c>
      <c r="AE65">
        <f t="shared" si="66"/>
        <v>90.728075494882546</v>
      </c>
      <c r="AF65">
        <f t="shared" si="67"/>
        <v>6.939677829208768</v>
      </c>
      <c r="AG65">
        <f t="shared" si="68"/>
        <v>106.18102175680957</v>
      </c>
      <c r="AH65">
        <v>0</v>
      </c>
      <c r="AI65">
        <v>0</v>
      </c>
      <c r="AJ65">
        <f t="shared" si="69"/>
        <v>1</v>
      </c>
      <c r="AK65">
        <f t="shared" si="70"/>
        <v>0</v>
      </c>
      <c r="AL65">
        <f t="shared" si="71"/>
        <v>51837.65675222026</v>
      </c>
      <c r="AM65" t="s">
        <v>416</v>
      </c>
      <c r="AN65">
        <v>10235.299999999999</v>
      </c>
      <c r="AO65">
        <v>594.051923076923</v>
      </c>
      <c r="AP65">
        <v>2007.77</v>
      </c>
      <c r="AQ65">
        <f t="shared" si="72"/>
        <v>0.70412351859180933</v>
      </c>
      <c r="AR65">
        <v>-0.54275787784279261</v>
      </c>
      <c r="AS65" t="s">
        <v>668</v>
      </c>
      <c r="AT65">
        <v>10206.6</v>
      </c>
      <c r="AU65">
        <v>667.05269230769227</v>
      </c>
      <c r="AV65">
        <v>716.26906505847353</v>
      </c>
      <c r="AW65">
        <f t="shared" si="73"/>
        <v>6.8712129493912255E-2</v>
      </c>
      <c r="AX65">
        <v>0.5</v>
      </c>
      <c r="AY65">
        <f t="shared" si="74"/>
        <v>1513.271699996701</v>
      </c>
      <c r="AZ65">
        <f t="shared" si="75"/>
        <v>1.9451235190992711</v>
      </c>
      <c r="BA65">
        <f t="shared" si="76"/>
        <v>51.990060504823028</v>
      </c>
      <c r="BB65">
        <f t="shared" si="77"/>
        <v>1.6440414480410144E-3</v>
      </c>
      <c r="BC65">
        <f t="shared" si="78"/>
        <v>1.8030946720225771</v>
      </c>
      <c r="BD65">
        <f t="shared" si="79"/>
        <v>387.3847510688463</v>
      </c>
      <c r="BE65" t="s">
        <v>669</v>
      </c>
      <c r="BF65">
        <v>556.01</v>
      </c>
      <c r="BG65">
        <f t="shared" si="80"/>
        <v>556.01</v>
      </c>
      <c r="BH65">
        <f t="shared" si="81"/>
        <v>0.22374143024785054</v>
      </c>
      <c r="BI65">
        <f t="shared" si="82"/>
        <v>0.30710507847293217</v>
      </c>
      <c r="BJ65">
        <f t="shared" si="83"/>
        <v>0.88961049687381266</v>
      </c>
      <c r="BK65">
        <f t="shared" si="84"/>
        <v>0.40269615172486029</v>
      </c>
      <c r="BL65">
        <f t="shared" si="85"/>
        <v>0.91354914110771412</v>
      </c>
      <c r="BM65">
        <f t="shared" si="86"/>
        <v>0.2559820185883776</v>
      </c>
      <c r="BN65">
        <f t="shared" si="87"/>
        <v>0.74401798141162234</v>
      </c>
      <c r="BO65">
        <v>12565</v>
      </c>
      <c r="BP65">
        <v>290.00000000000011</v>
      </c>
      <c r="BQ65">
        <v>703.77</v>
      </c>
      <c r="BR65">
        <v>155</v>
      </c>
      <c r="BS65">
        <v>10206.6</v>
      </c>
      <c r="BT65">
        <v>701.42</v>
      </c>
      <c r="BU65">
        <v>2.35</v>
      </c>
      <c r="BV65">
        <v>300.00000000000011</v>
      </c>
      <c r="BW65">
        <v>24.2</v>
      </c>
      <c r="BX65">
        <v>716.26906505847353</v>
      </c>
      <c r="BY65">
        <v>2.1180821391570861</v>
      </c>
      <c r="BZ65">
        <v>-15.156291183044861</v>
      </c>
      <c r="CA65">
        <v>1.9223337428339939</v>
      </c>
      <c r="CB65">
        <v>0.6894495211434748</v>
      </c>
      <c r="CC65">
        <v>-6.9615083426028974E-3</v>
      </c>
      <c r="CD65">
        <v>289.99999999999989</v>
      </c>
      <c r="CE65">
        <v>700.22</v>
      </c>
      <c r="CF65">
        <v>615</v>
      </c>
      <c r="CG65">
        <v>10175.6</v>
      </c>
      <c r="CH65">
        <v>701.37</v>
      </c>
      <c r="CI65">
        <v>-1.1499999999999999</v>
      </c>
      <c r="CW65">
        <f t="shared" si="88"/>
        <v>1800.1</v>
      </c>
      <c r="CX65">
        <f t="shared" si="89"/>
        <v>1513.271699996701</v>
      </c>
      <c r="CY65">
        <f t="shared" si="90"/>
        <v>0.84065979667612967</v>
      </c>
      <c r="CZ65">
        <f t="shared" si="91"/>
        <v>0.19131959335225937</v>
      </c>
      <c r="DA65">
        <v>6</v>
      </c>
      <c r="DB65">
        <v>0.5</v>
      </c>
      <c r="DC65" t="s">
        <v>419</v>
      </c>
      <c r="DD65">
        <v>2</v>
      </c>
      <c r="DE65">
        <v>1691169620.0999999</v>
      </c>
      <c r="DF65">
        <v>7.5344100000000003</v>
      </c>
      <c r="DG65">
        <v>9.9371700000000001</v>
      </c>
      <c r="DH65">
        <v>26.959299999999999</v>
      </c>
      <c r="DI65">
        <v>18.067</v>
      </c>
      <c r="DJ65">
        <v>8.9780899999999999</v>
      </c>
      <c r="DK65">
        <v>26.867999999999999</v>
      </c>
      <c r="DL65">
        <v>500.05200000000002</v>
      </c>
      <c r="DM65">
        <v>99.182900000000004</v>
      </c>
      <c r="DN65">
        <v>0.100178</v>
      </c>
      <c r="DO65">
        <v>30.5883</v>
      </c>
      <c r="DP65">
        <v>30.011099999999999</v>
      </c>
      <c r="DQ65">
        <v>999.9</v>
      </c>
      <c r="DR65">
        <v>0</v>
      </c>
      <c r="DS65">
        <v>0</v>
      </c>
      <c r="DT65">
        <v>10002.5</v>
      </c>
      <c r="DU65">
        <v>0</v>
      </c>
      <c r="DV65">
        <v>1676.82</v>
      </c>
      <c r="DW65">
        <v>-2.4027599999999998</v>
      </c>
      <c r="DX65">
        <v>7.7431599999999996</v>
      </c>
      <c r="DY65">
        <v>10.119999999999999</v>
      </c>
      <c r="DZ65">
        <v>8.8923299999999994</v>
      </c>
      <c r="EA65">
        <v>9.9371700000000001</v>
      </c>
      <c r="EB65">
        <v>18.067</v>
      </c>
      <c r="EC65">
        <v>2.6739000000000002</v>
      </c>
      <c r="ED65">
        <v>1.79193</v>
      </c>
      <c r="EE65">
        <v>22.125599999999999</v>
      </c>
      <c r="EF65">
        <v>15.7166</v>
      </c>
      <c r="EG65">
        <v>1800.1</v>
      </c>
      <c r="EH65">
        <v>0.97800600000000004</v>
      </c>
      <c r="EI65">
        <v>2.1994E-2</v>
      </c>
      <c r="EJ65">
        <v>0</v>
      </c>
      <c r="EK65">
        <v>667.23</v>
      </c>
      <c r="EL65">
        <v>0.100005</v>
      </c>
      <c r="EM65">
        <v>16402.5</v>
      </c>
      <c r="EN65">
        <v>14863.4</v>
      </c>
      <c r="EO65">
        <v>48</v>
      </c>
      <c r="EP65">
        <v>50.186999999999998</v>
      </c>
      <c r="EQ65">
        <v>48.875</v>
      </c>
      <c r="ER65">
        <v>48.811999999999998</v>
      </c>
      <c r="ES65">
        <v>49.125</v>
      </c>
      <c r="ET65">
        <v>1760.41</v>
      </c>
      <c r="EU65">
        <v>39.590000000000003</v>
      </c>
      <c r="EV65">
        <v>0</v>
      </c>
      <c r="EW65">
        <v>107.5999999046326</v>
      </c>
      <c r="EX65">
        <v>0</v>
      </c>
      <c r="EY65">
        <v>667.05269230769227</v>
      </c>
      <c r="EZ65">
        <v>3.252991469559277</v>
      </c>
      <c r="FA65">
        <v>469.41538388934862</v>
      </c>
      <c r="FB65">
        <v>16356.26153846154</v>
      </c>
      <c r="FC65">
        <v>15</v>
      </c>
      <c r="FD65">
        <v>1691169584.0999999</v>
      </c>
      <c r="FE65" t="s">
        <v>670</v>
      </c>
      <c r="FF65">
        <v>1691169571.0999999</v>
      </c>
      <c r="FG65">
        <v>1691169584.0999999</v>
      </c>
      <c r="FH65">
        <v>59</v>
      </c>
      <c r="FI65">
        <v>-0.11</v>
      </c>
      <c r="FJ65">
        <v>0</v>
      </c>
      <c r="FK65">
        <v>-1.454</v>
      </c>
      <c r="FL65">
        <v>-0.10100000000000001</v>
      </c>
      <c r="FM65">
        <v>10</v>
      </c>
      <c r="FN65">
        <v>18</v>
      </c>
      <c r="FO65">
        <v>1.1599999999999999</v>
      </c>
      <c r="FP65">
        <v>0.03</v>
      </c>
      <c r="FQ65">
        <v>1.7977929942399029</v>
      </c>
      <c r="FR65">
        <v>-0.38500188971979171</v>
      </c>
      <c r="FS65">
        <v>0.11083173763536951</v>
      </c>
      <c r="FT65">
        <v>1</v>
      </c>
      <c r="FU65">
        <v>0.5052475657129315</v>
      </c>
      <c r="FV65">
        <v>-6.9205182300019572E-3</v>
      </c>
      <c r="FW65">
        <v>1.883685025332858E-3</v>
      </c>
      <c r="FX65">
        <v>1</v>
      </c>
      <c r="FY65">
        <v>2</v>
      </c>
      <c r="FZ65">
        <v>2</v>
      </c>
      <c r="GA65" t="s">
        <v>421</v>
      </c>
      <c r="GB65">
        <v>2.9159999999999999</v>
      </c>
      <c r="GC65">
        <v>2.8300800000000002</v>
      </c>
      <c r="GD65">
        <v>2.4831499999999999E-3</v>
      </c>
      <c r="GE65">
        <v>2.6859100000000001E-3</v>
      </c>
      <c r="GF65">
        <v>0.12768099999999999</v>
      </c>
      <c r="GG65">
        <v>9.28171E-2</v>
      </c>
      <c r="GH65">
        <v>25787.3</v>
      </c>
      <c r="GI65">
        <v>31989</v>
      </c>
      <c r="GJ65">
        <v>23290.6</v>
      </c>
      <c r="GK65">
        <v>29415.4</v>
      </c>
      <c r="GL65">
        <v>27727.9</v>
      </c>
      <c r="GM65">
        <v>37944.300000000003</v>
      </c>
      <c r="GN65">
        <v>32944.400000000001</v>
      </c>
      <c r="GO65">
        <v>43621.7</v>
      </c>
      <c r="GP65">
        <v>1.9356</v>
      </c>
      <c r="GQ65">
        <v>1.7056</v>
      </c>
      <c r="GR65">
        <v>-2.9027500000000001E-2</v>
      </c>
      <c r="GS65">
        <v>0</v>
      </c>
      <c r="GT65">
        <v>30.4833</v>
      </c>
      <c r="GU65">
        <v>999.9</v>
      </c>
      <c r="GV65">
        <v>29.4</v>
      </c>
      <c r="GW65">
        <v>46.5</v>
      </c>
      <c r="GX65">
        <v>30.857900000000001</v>
      </c>
      <c r="GY65">
        <v>61.964100000000002</v>
      </c>
      <c r="GZ65">
        <v>39.294899999999998</v>
      </c>
      <c r="HA65">
        <v>1</v>
      </c>
      <c r="HB65">
        <v>0.66598599999999997</v>
      </c>
      <c r="HC65">
        <v>5.3285799999999997</v>
      </c>
      <c r="HD65">
        <v>20.187200000000001</v>
      </c>
      <c r="HE65">
        <v>5.2107000000000001</v>
      </c>
      <c r="HF65">
        <v>11.8782</v>
      </c>
      <c r="HG65">
        <v>4.9847999999999999</v>
      </c>
      <c r="HH65">
        <v>3.2839999999999998</v>
      </c>
      <c r="HI65">
        <v>9999</v>
      </c>
      <c r="HJ65">
        <v>9999</v>
      </c>
      <c r="HK65">
        <v>9999</v>
      </c>
      <c r="HL65">
        <v>999.9</v>
      </c>
      <c r="HM65">
        <v>1.8548</v>
      </c>
      <c r="HN65">
        <v>1.8607499999999999</v>
      </c>
      <c r="HO65">
        <v>1.8581099999999999</v>
      </c>
      <c r="HP65">
        <v>1.85928</v>
      </c>
      <c r="HQ65">
        <v>1.8585400000000001</v>
      </c>
      <c r="HR65">
        <v>1.8591299999999999</v>
      </c>
      <c r="HS65">
        <v>1.85745</v>
      </c>
      <c r="HT65">
        <v>1.8607800000000001</v>
      </c>
      <c r="HU65">
        <v>5</v>
      </c>
      <c r="HV65">
        <v>0</v>
      </c>
      <c r="HW65">
        <v>0</v>
      </c>
      <c r="HX65">
        <v>0</v>
      </c>
      <c r="HY65" t="s">
        <v>422</v>
      </c>
      <c r="HZ65" t="s">
        <v>423</v>
      </c>
      <c r="IA65" t="s">
        <v>424</v>
      </c>
      <c r="IB65" t="s">
        <v>424</v>
      </c>
      <c r="IC65" t="s">
        <v>424</v>
      </c>
      <c r="ID65" t="s">
        <v>424</v>
      </c>
      <c r="IE65">
        <v>0</v>
      </c>
      <c r="IF65">
        <v>100</v>
      </c>
      <c r="IG65">
        <v>100</v>
      </c>
      <c r="IH65">
        <v>-1.444</v>
      </c>
      <c r="II65">
        <v>9.1300000000000006E-2</v>
      </c>
      <c r="IJ65">
        <v>-1.4068152093977839</v>
      </c>
      <c r="IK65">
        <v>-4.1229525807901877E-3</v>
      </c>
      <c r="IL65">
        <v>1.8448211998558991E-6</v>
      </c>
      <c r="IM65">
        <v>-3.7020276670297668E-10</v>
      </c>
      <c r="IN65">
        <v>-0.1768358289768566</v>
      </c>
      <c r="IO65">
        <v>-1.3488639696665739E-2</v>
      </c>
      <c r="IP65">
        <v>1.1588640342490499E-3</v>
      </c>
      <c r="IQ65">
        <v>-1.0624341560077559E-5</v>
      </c>
      <c r="IR65">
        <v>2</v>
      </c>
      <c r="IS65">
        <v>1915</v>
      </c>
      <c r="IT65">
        <v>1</v>
      </c>
      <c r="IU65">
        <v>42</v>
      </c>
      <c r="IV65">
        <v>0.8</v>
      </c>
      <c r="IW65">
        <v>0.6</v>
      </c>
      <c r="IX65">
        <v>0.15625</v>
      </c>
      <c r="IY65">
        <v>2.5708000000000002</v>
      </c>
      <c r="IZ65">
        <v>1.49414</v>
      </c>
      <c r="JA65">
        <v>2.2839399999999999</v>
      </c>
      <c r="JB65">
        <v>1.54419</v>
      </c>
      <c r="JC65">
        <v>2.4877899999999999</v>
      </c>
      <c r="JD65">
        <v>48.393000000000001</v>
      </c>
      <c r="JE65">
        <v>23.973700000000001</v>
      </c>
      <c r="JF65">
        <v>18</v>
      </c>
      <c r="JG65">
        <v>516.02200000000005</v>
      </c>
      <c r="JH65">
        <v>393.81900000000002</v>
      </c>
      <c r="JI65">
        <v>23.617000000000001</v>
      </c>
      <c r="JJ65">
        <v>35.373699999999999</v>
      </c>
      <c r="JK65">
        <v>30</v>
      </c>
      <c r="JL65">
        <v>35.371299999999998</v>
      </c>
      <c r="JM65">
        <v>35.360700000000001</v>
      </c>
      <c r="JN65">
        <v>3.19537</v>
      </c>
      <c r="JO65">
        <v>39.402500000000003</v>
      </c>
      <c r="JP65">
        <v>0</v>
      </c>
      <c r="JQ65">
        <v>23.619</v>
      </c>
      <c r="JR65">
        <v>10</v>
      </c>
      <c r="JS65">
        <v>17.966000000000001</v>
      </c>
      <c r="JT65">
        <v>97.693600000000004</v>
      </c>
      <c r="JU65">
        <v>98.072100000000006</v>
      </c>
    </row>
    <row r="66" spans="1:281" x14ac:dyDescent="0.25">
      <c r="A66">
        <v>50</v>
      </c>
      <c r="B66">
        <v>1691169787.5999999</v>
      </c>
      <c r="C66">
        <v>10542</v>
      </c>
      <c r="D66" t="s">
        <v>671</v>
      </c>
      <c r="E66" t="s">
        <v>672</v>
      </c>
      <c r="F66" t="s">
        <v>413</v>
      </c>
      <c r="G66" t="s">
        <v>636</v>
      </c>
      <c r="H66" t="s">
        <v>637</v>
      </c>
      <c r="I66" t="s">
        <v>415</v>
      </c>
      <c r="J66">
        <v>1691169787.5999999</v>
      </c>
      <c r="K66">
        <f t="shared" si="46"/>
        <v>7.5111944928240391E-3</v>
      </c>
      <c r="L66">
        <f t="shared" si="47"/>
        <v>7.5111944928240391</v>
      </c>
      <c r="M66">
        <f t="shared" si="48"/>
        <v>51.850613091056687</v>
      </c>
      <c r="N66">
        <f t="shared" si="49"/>
        <v>334.71300000000002</v>
      </c>
      <c r="O66">
        <f t="shared" si="50"/>
        <v>142.97405261218154</v>
      </c>
      <c r="P66">
        <f t="shared" si="51"/>
        <v>14.19552669806526</v>
      </c>
      <c r="Q66">
        <f t="shared" si="52"/>
        <v>33.232794628671606</v>
      </c>
      <c r="R66">
        <f t="shared" si="53"/>
        <v>0.48265129077419566</v>
      </c>
      <c r="S66">
        <f t="shared" si="54"/>
        <v>2.918759310247804</v>
      </c>
      <c r="T66">
        <f t="shared" si="55"/>
        <v>0.44229670679078931</v>
      </c>
      <c r="U66">
        <f t="shared" si="56"/>
        <v>0.27977942927781924</v>
      </c>
      <c r="V66">
        <f t="shared" si="57"/>
        <v>344.40129999339888</v>
      </c>
      <c r="W66">
        <f t="shared" si="58"/>
        <v>30.589569901317937</v>
      </c>
      <c r="X66">
        <f t="shared" si="59"/>
        <v>29.9956</v>
      </c>
      <c r="Y66">
        <f t="shared" si="60"/>
        <v>4.2593731373257047</v>
      </c>
      <c r="Z66">
        <f t="shared" si="61"/>
        <v>59.985417582765734</v>
      </c>
      <c r="AA66">
        <f t="shared" si="62"/>
        <v>2.6317623481157999</v>
      </c>
      <c r="AB66">
        <f t="shared" si="63"/>
        <v>4.3873368798084771</v>
      </c>
      <c r="AC66">
        <f t="shared" si="64"/>
        <v>1.6276107892099048</v>
      </c>
      <c r="AD66">
        <f t="shared" si="65"/>
        <v>-331.24367713354013</v>
      </c>
      <c r="AE66">
        <f t="shared" si="66"/>
        <v>81.242981243565481</v>
      </c>
      <c r="AF66">
        <f t="shared" si="67"/>
        <v>6.2046548957449179</v>
      </c>
      <c r="AG66">
        <f t="shared" si="68"/>
        <v>100.60525899916914</v>
      </c>
      <c r="AH66">
        <v>0</v>
      </c>
      <c r="AI66">
        <v>0</v>
      </c>
      <c r="AJ66">
        <f t="shared" si="69"/>
        <v>1</v>
      </c>
      <c r="AK66">
        <f t="shared" si="70"/>
        <v>0</v>
      </c>
      <c r="AL66">
        <f t="shared" si="71"/>
        <v>51940.251804884305</v>
      </c>
      <c r="AM66" t="s">
        <v>416</v>
      </c>
      <c r="AN66">
        <v>10235.299999999999</v>
      </c>
      <c r="AO66">
        <v>594.051923076923</v>
      </c>
      <c r="AP66">
        <v>2007.77</v>
      </c>
      <c r="AQ66">
        <f t="shared" si="72"/>
        <v>0.70412351859180933</v>
      </c>
      <c r="AR66">
        <v>-0.54275787784279261</v>
      </c>
      <c r="AS66" t="s">
        <v>673</v>
      </c>
      <c r="AT66">
        <v>10194</v>
      </c>
      <c r="AU66">
        <v>646.68865384615378</v>
      </c>
      <c r="AV66">
        <v>1050.7176472786889</v>
      </c>
      <c r="AW66">
        <f t="shared" si="73"/>
        <v>0.38452670370479825</v>
      </c>
      <c r="AX66">
        <v>0.5</v>
      </c>
      <c r="AY66">
        <f t="shared" si="74"/>
        <v>1513.2974999966996</v>
      </c>
      <c r="AZ66">
        <f t="shared" si="75"/>
        <v>51.850613091056687</v>
      </c>
      <c r="BA66">
        <f t="shared" si="76"/>
        <v>290.95164969922143</v>
      </c>
      <c r="BB66">
        <f t="shared" si="77"/>
        <v>3.4621990037658659E-2</v>
      </c>
      <c r="BC66">
        <f t="shared" si="78"/>
        <v>0.91085588521334282</v>
      </c>
      <c r="BD66">
        <f t="shared" si="79"/>
        <v>467.94134118378383</v>
      </c>
      <c r="BE66" t="s">
        <v>674</v>
      </c>
      <c r="BF66">
        <v>513.41</v>
      </c>
      <c r="BG66">
        <f t="shared" si="80"/>
        <v>513.41</v>
      </c>
      <c r="BH66">
        <f t="shared" si="81"/>
        <v>0.5113720595350153</v>
      </c>
      <c r="BI66">
        <f t="shared" si="82"/>
        <v>0.75195094556875852</v>
      </c>
      <c r="BJ66">
        <f t="shared" si="83"/>
        <v>0.64044296737152429</v>
      </c>
      <c r="BK66">
        <f t="shared" si="84"/>
        <v>0.8847368480276514</v>
      </c>
      <c r="BL66">
        <f t="shared" si="85"/>
        <v>0.67697539441832155</v>
      </c>
      <c r="BM66">
        <f t="shared" si="86"/>
        <v>0.59697836457835729</v>
      </c>
      <c r="BN66">
        <f t="shared" si="87"/>
        <v>0.40302163542164271</v>
      </c>
      <c r="BO66">
        <v>12567</v>
      </c>
      <c r="BP66">
        <v>290.00000000000011</v>
      </c>
      <c r="BQ66">
        <v>903.57</v>
      </c>
      <c r="BR66">
        <v>245</v>
      </c>
      <c r="BS66">
        <v>10194</v>
      </c>
      <c r="BT66">
        <v>907.01</v>
      </c>
      <c r="BU66">
        <v>-3.44</v>
      </c>
      <c r="BV66">
        <v>300.00000000000011</v>
      </c>
      <c r="BW66">
        <v>24.2</v>
      </c>
      <c r="BX66">
        <v>1050.7176472786889</v>
      </c>
      <c r="BY66">
        <v>3.1245641474932042</v>
      </c>
      <c r="BZ66">
        <v>-146.49469585375101</v>
      </c>
      <c r="CA66">
        <v>2.8357108552903258</v>
      </c>
      <c r="CB66">
        <v>0.98961741604353837</v>
      </c>
      <c r="CC66">
        <v>-6.962591546162405E-3</v>
      </c>
      <c r="CD66">
        <v>289.99999999999989</v>
      </c>
      <c r="CE66">
        <v>887.1</v>
      </c>
      <c r="CF66">
        <v>635</v>
      </c>
      <c r="CG66">
        <v>10173.799999999999</v>
      </c>
      <c r="CH66">
        <v>906.73</v>
      </c>
      <c r="CI66">
        <v>-19.63</v>
      </c>
      <c r="CW66">
        <f t="shared" si="88"/>
        <v>1800.13</v>
      </c>
      <c r="CX66">
        <f t="shared" si="89"/>
        <v>1513.2974999966996</v>
      </c>
      <c r="CY66">
        <f t="shared" si="90"/>
        <v>0.84066011898957271</v>
      </c>
      <c r="CZ66">
        <f t="shared" si="91"/>
        <v>0.19132023797914532</v>
      </c>
      <c r="DA66">
        <v>6</v>
      </c>
      <c r="DB66">
        <v>0.5</v>
      </c>
      <c r="DC66" t="s">
        <v>419</v>
      </c>
      <c r="DD66">
        <v>2</v>
      </c>
      <c r="DE66">
        <v>1691169787.5999999</v>
      </c>
      <c r="DF66">
        <v>334.71300000000002</v>
      </c>
      <c r="DG66">
        <v>399.923</v>
      </c>
      <c r="DH66">
        <v>26.506499999999999</v>
      </c>
      <c r="DI66">
        <v>17.735700000000001</v>
      </c>
      <c r="DJ66">
        <v>336.83499999999998</v>
      </c>
      <c r="DK66">
        <v>26.4284</v>
      </c>
      <c r="DL66">
        <v>500.21199999999999</v>
      </c>
      <c r="DM66">
        <v>99.187799999999996</v>
      </c>
      <c r="DN66">
        <v>9.9633200000000005E-2</v>
      </c>
      <c r="DO66">
        <v>30.511900000000001</v>
      </c>
      <c r="DP66">
        <v>29.9956</v>
      </c>
      <c r="DQ66">
        <v>999.9</v>
      </c>
      <c r="DR66">
        <v>0</v>
      </c>
      <c r="DS66">
        <v>0</v>
      </c>
      <c r="DT66">
        <v>10020</v>
      </c>
      <c r="DU66">
        <v>0</v>
      </c>
      <c r="DV66">
        <v>1634.8</v>
      </c>
      <c r="DW66">
        <v>-65.209500000000006</v>
      </c>
      <c r="DX66">
        <v>343.827</v>
      </c>
      <c r="DY66">
        <v>407.14400000000001</v>
      </c>
      <c r="DZ66">
        <v>8.7708100000000009</v>
      </c>
      <c r="EA66">
        <v>399.923</v>
      </c>
      <c r="EB66">
        <v>17.735700000000001</v>
      </c>
      <c r="EC66">
        <v>2.62913</v>
      </c>
      <c r="ED66">
        <v>1.7591699999999999</v>
      </c>
      <c r="EE66">
        <v>21.848700000000001</v>
      </c>
      <c r="EF66">
        <v>15.428599999999999</v>
      </c>
      <c r="EG66">
        <v>1800.13</v>
      </c>
      <c r="EH66">
        <v>0.97799400000000003</v>
      </c>
      <c r="EI66">
        <v>2.2005899999999998E-2</v>
      </c>
      <c r="EJ66">
        <v>0</v>
      </c>
      <c r="EK66">
        <v>645.26</v>
      </c>
      <c r="EL66">
        <v>0.100005</v>
      </c>
      <c r="EM66">
        <v>16009.7</v>
      </c>
      <c r="EN66">
        <v>14863.6</v>
      </c>
      <c r="EO66">
        <v>48.25</v>
      </c>
      <c r="EP66">
        <v>50.686999999999998</v>
      </c>
      <c r="EQ66">
        <v>49.125</v>
      </c>
      <c r="ER66">
        <v>49.375</v>
      </c>
      <c r="ES66">
        <v>49.436999999999998</v>
      </c>
      <c r="ET66">
        <v>1760.42</v>
      </c>
      <c r="EU66">
        <v>39.61</v>
      </c>
      <c r="EV66">
        <v>0</v>
      </c>
      <c r="EW66">
        <v>165.19999980926511</v>
      </c>
      <c r="EX66">
        <v>0</v>
      </c>
      <c r="EY66">
        <v>646.68865384615378</v>
      </c>
      <c r="EZ66">
        <v>-17.355384665176341</v>
      </c>
      <c r="FA66">
        <v>-434.99829068898742</v>
      </c>
      <c r="FB66">
        <v>16052.457692307689</v>
      </c>
      <c r="FC66">
        <v>15</v>
      </c>
      <c r="FD66">
        <v>1691169721.5999999</v>
      </c>
      <c r="FE66" t="s">
        <v>675</v>
      </c>
      <c r="FF66">
        <v>1691169708.5999999</v>
      </c>
      <c r="FG66">
        <v>1691169721.5999999</v>
      </c>
      <c r="FH66">
        <v>60</v>
      </c>
      <c r="FI66">
        <v>0.47899999999999998</v>
      </c>
      <c r="FJ66">
        <v>-2E-3</v>
      </c>
      <c r="FK66">
        <v>-2.3119999999999998</v>
      </c>
      <c r="FL66">
        <v>-0.11700000000000001</v>
      </c>
      <c r="FM66">
        <v>400</v>
      </c>
      <c r="FN66">
        <v>17</v>
      </c>
      <c r="FO66">
        <v>0.11</v>
      </c>
      <c r="FP66">
        <v>0.04</v>
      </c>
      <c r="FQ66">
        <v>51.909357491849931</v>
      </c>
      <c r="FR66">
        <v>0.66322092458673398</v>
      </c>
      <c r="FS66">
        <v>0.1052003807807536</v>
      </c>
      <c r="FT66">
        <v>1</v>
      </c>
      <c r="FU66">
        <v>0.48415453655597362</v>
      </c>
      <c r="FV66">
        <v>-1.1854880535239261E-2</v>
      </c>
      <c r="FW66">
        <v>1.0125784339892179E-3</v>
      </c>
      <c r="FX66">
        <v>1</v>
      </c>
      <c r="FY66">
        <v>2</v>
      </c>
      <c r="FZ66">
        <v>2</v>
      </c>
      <c r="GA66" t="s">
        <v>421</v>
      </c>
      <c r="GB66">
        <v>2.9161700000000002</v>
      </c>
      <c r="GC66">
        <v>2.8296899999999998</v>
      </c>
      <c r="GD66">
        <v>7.8179299999999993E-2</v>
      </c>
      <c r="GE66">
        <v>8.7710300000000005E-2</v>
      </c>
      <c r="GF66">
        <v>0.12617800000000001</v>
      </c>
      <c r="GG66">
        <v>9.1559500000000002E-2</v>
      </c>
      <c r="GH66">
        <v>23824.2</v>
      </c>
      <c r="GI66">
        <v>29251.7</v>
      </c>
      <c r="GJ66">
        <v>23281.8</v>
      </c>
      <c r="GK66">
        <v>29402.6</v>
      </c>
      <c r="GL66">
        <v>27772.9</v>
      </c>
      <c r="GM66">
        <v>37992.400000000001</v>
      </c>
      <c r="GN66">
        <v>32932</v>
      </c>
      <c r="GO66">
        <v>43605.3</v>
      </c>
      <c r="GP66">
        <v>1.9330000000000001</v>
      </c>
      <c r="GQ66">
        <v>1.7030000000000001</v>
      </c>
      <c r="GR66">
        <v>-6.3806799999999997E-2</v>
      </c>
      <c r="GS66">
        <v>0</v>
      </c>
      <c r="GT66">
        <v>31.033000000000001</v>
      </c>
      <c r="GU66">
        <v>999.9</v>
      </c>
      <c r="GV66">
        <v>29.4</v>
      </c>
      <c r="GW66">
        <v>46.4</v>
      </c>
      <c r="GX66">
        <v>30.698499999999999</v>
      </c>
      <c r="GY66">
        <v>61.764099999999999</v>
      </c>
      <c r="GZ66">
        <v>39.026400000000002</v>
      </c>
      <c r="HA66">
        <v>1</v>
      </c>
      <c r="HB66">
        <v>0.68609799999999999</v>
      </c>
      <c r="HC66">
        <v>5.4011100000000001</v>
      </c>
      <c r="HD66">
        <v>20.185400000000001</v>
      </c>
      <c r="HE66">
        <v>5.2107000000000001</v>
      </c>
      <c r="HF66">
        <v>11.8782</v>
      </c>
      <c r="HG66">
        <v>4.9843999999999999</v>
      </c>
      <c r="HH66">
        <v>3.2839999999999998</v>
      </c>
      <c r="HI66">
        <v>9999</v>
      </c>
      <c r="HJ66">
        <v>9999</v>
      </c>
      <c r="HK66">
        <v>9999</v>
      </c>
      <c r="HL66">
        <v>999.9</v>
      </c>
      <c r="HM66">
        <v>1.8548</v>
      </c>
      <c r="HN66">
        <v>1.8608100000000001</v>
      </c>
      <c r="HO66">
        <v>1.85812</v>
      </c>
      <c r="HP66">
        <v>1.85924</v>
      </c>
      <c r="HQ66">
        <v>1.8586</v>
      </c>
      <c r="HR66">
        <v>1.8591299999999999</v>
      </c>
      <c r="HS66">
        <v>1.85745</v>
      </c>
      <c r="HT66">
        <v>1.8608</v>
      </c>
      <c r="HU66">
        <v>5</v>
      </c>
      <c r="HV66">
        <v>0</v>
      </c>
      <c r="HW66">
        <v>0</v>
      </c>
      <c r="HX66">
        <v>0</v>
      </c>
      <c r="HY66" t="s">
        <v>422</v>
      </c>
      <c r="HZ66" t="s">
        <v>423</v>
      </c>
      <c r="IA66" t="s">
        <v>424</v>
      </c>
      <c r="IB66" t="s">
        <v>424</v>
      </c>
      <c r="IC66" t="s">
        <v>424</v>
      </c>
      <c r="ID66" t="s">
        <v>424</v>
      </c>
      <c r="IE66">
        <v>0</v>
      </c>
      <c r="IF66">
        <v>100</v>
      </c>
      <c r="IG66">
        <v>100</v>
      </c>
      <c r="IH66">
        <v>-2.1219999999999999</v>
      </c>
      <c r="II66">
        <v>7.8100000000000003E-2</v>
      </c>
      <c r="IJ66">
        <v>-0.92752339468169831</v>
      </c>
      <c r="IK66">
        <v>-4.1229525807901877E-3</v>
      </c>
      <c r="IL66">
        <v>1.8448211998558991E-6</v>
      </c>
      <c r="IM66">
        <v>-3.7020276670297668E-10</v>
      </c>
      <c r="IN66">
        <v>-0.17864067896826791</v>
      </c>
      <c r="IO66">
        <v>-1.3488639696665739E-2</v>
      </c>
      <c r="IP66">
        <v>1.1588640342490499E-3</v>
      </c>
      <c r="IQ66">
        <v>-1.0624341560077559E-5</v>
      </c>
      <c r="IR66">
        <v>2</v>
      </c>
      <c r="IS66">
        <v>1915</v>
      </c>
      <c r="IT66">
        <v>1</v>
      </c>
      <c r="IU66">
        <v>42</v>
      </c>
      <c r="IV66">
        <v>1.3</v>
      </c>
      <c r="IW66">
        <v>1.1000000000000001</v>
      </c>
      <c r="IX66">
        <v>1.00098</v>
      </c>
      <c r="IY66">
        <v>2.49878</v>
      </c>
      <c r="IZ66">
        <v>1.49414</v>
      </c>
      <c r="JA66">
        <v>2.2839399999999999</v>
      </c>
      <c r="JB66">
        <v>1.54419</v>
      </c>
      <c r="JC66">
        <v>2.4548299999999998</v>
      </c>
      <c r="JD66">
        <v>48.362299999999998</v>
      </c>
      <c r="JE66">
        <v>23.973700000000001</v>
      </c>
      <c r="JF66">
        <v>18</v>
      </c>
      <c r="JG66">
        <v>515.40700000000004</v>
      </c>
      <c r="JH66">
        <v>393.07</v>
      </c>
      <c r="JI66">
        <v>23.452000000000002</v>
      </c>
      <c r="JJ66">
        <v>35.605899999999998</v>
      </c>
      <c r="JK66">
        <v>30.000599999999999</v>
      </c>
      <c r="JL66">
        <v>35.516399999999997</v>
      </c>
      <c r="JM66">
        <v>35.4985</v>
      </c>
      <c r="JN66">
        <v>20.123799999999999</v>
      </c>
      <c r="JO66">
        <v>40.100999999999999</v>
      </c>
      <c r="JP66">
        <v>0</v>
      </c>
      <c r="JQ66">
        <v>23.448899999999998</v>
      </c>
      <c r="JR66">
        <v>400</v>
      </c>
      <c r="JS66">
        <v>17.831</v>
      </c>
      <c r="JT66">
        <v>97.656700000000001</v>
      </c>
      <c r="JU66">
        <v>98.033000000000001</v>
      </c>
    </row>
    <row r="67" spans="1:281" x14ac:dyDescent="0.25">
      <c r="A67">
        <v>51</v>
      </c>
      <c r="B67">
        <v>1691169894.5999999</v>
      </c>
      <c r="C67">
        <v>10649</v>
      </c>
      <c r="D67" t="s">
        <v>676</v>
      </c>
      <c r="E67" t="s">
        <v>677</v>
      </c>
      <c r="F67" t="s">
        <v>413</v>
      </c>
      <c r="G67" t="s">
        <v>636</v>
      </c>
      <c r="H67" t="s">
        <v>637</v>
      </c>
      <c r="I67" t="s">
        <v>415</v>
      </c>
      <c r="J67">
        <v>1691169894.5999999</v>
      </c>
      <c r="K67">
        <f t="shared" si="46"/>
        <v>6.8806963543232387E-3</v>
      </c>
      <c r="L67">
        <f t="shared" si="47"/>
        <v>6.8806963543232387</v>
      </c>
      <c r="M67">
        <f t="shared" si="48"/>
        <v>52.873968345660764</v>
      </c>
      <c r="N67">
        <f t="shared" si="49"/>
        <v>333.66300000000001</v>
      </c>
      <c r="O67">
        <f t="shared" si="50"/>
        <v>121.36977802894755</v>
      </c>
      <c r="P67">
        <f t="shared" si="51"/>
        <v>12.050631216232507</v>
      </c>
      <c r="Q67">
        <f t="shared" si="52"/>
        <v>33.128920797257997</v>
      </c>
      <c r="R67">
        <f t="shared" si="53"/>
        <v>0.43968773405744044</v>
      </c>
      <c r="S67">
        <f t="shared" si="54"/>
        <v>2.903856367496731</v>
      </c>
      <c r="T67">
        <f t="shared" si="55"/>
        <v>0.40576979705728627</v>
      </c>
      <c r="U67">
        <f t="shared" si="56"/>
        <v>0.25643512792662121</v>
      </c>
      <c r="V67">
        <f t="shared" si="57"/>
        <v>344.3949999934004</v>
      </c>
      <c r="W67">
        <f t="shared" si="58"/>
        <v>30.595845775003351</v>
      </c>
      <c r="X67">
        <f t="shared" si="59"/>
        <v>29.914300000000001</v>
      </c>
      <c r="Y67">
        <f t="shared" si="60"/>
        <v>4.2395224788016357</v>
      </c>
      <c r="Z67">
        <f t="shared" si="61"/>
        <v>60.124985983375659</v>
      </c>
      <c r="AA67">
        <f t="shared" si="62"/>
        <v>2.6139800059385996</v>
      </c>
      <c r="AB67">
        <f t="shared" si="63"/>
        <v>4.3475769069806613</v>
      </c>
      <c r="AC67">
        <f t="shared" si="64"/>
        <v>1.6255424728630361</v>
      </c>
      <c r="AD67">
        <f t="shared" si="65"/>
        <v>-303.4387092256548</v>
      </c>
      <c r="AE67">
        <f t="shared" si="66"/>
        <v>68.664016186894742</v>
      </c>
      <c r="AF67">
        <f t="shared" si="67"/>
        <v>5.2646285838587481</v>
      </c>
      <c r="AG67">
        <f t="shared" si="68"/>
        <v>114.88493553849906</v>
      </c>
      <c r="AH67">
        <v>0</v>
      </c>
      <c r="AI67">
        <v>0</v>
      </c>
      <c r="AJ67">
        <f t="shared" si="69"/>
        <v>1</v>
      </c>
      <c r="AK67">
        <f t="shared" si="70"/>
        <v>0</v>
      </c>
      <c r="AL67">
        <f t="shared" si="71"/>
        <v>51544.079817086218</v>
      </c>
      <c r="AM67" t="s">
        <v>416</v>
      </c>
      <c r="AN67">
        <v>10235.299999999999</v>
      </c>
      <c r="AO67">
        <v>594.051923076923</v>
      </c>
      <c r="AP67">
        <v>2007.77</v>
      </c>
      <c r="AQ67">
        <f t="shared" si="72"/>
        <v>0.70412351859180933</v>
      </c>
      <c r="AR67">
        <v>-0.54275787784279261</v>
      </c>
      <c r="AS67" t="s">
        <v>678</v>
      </c>
      <c r="AT67">
        <v>10191.9</v>
      </c>
      <c r="AU67">
        <v>654.83980769230777</v>
      </c>
      <c r="AV67">
        <v>1074.0336723498069</v>
      </c>
      <c r="AW67">
        <f t="shared" si="73"/>
        <v>0.39029862419524775</v>
      </c>
      <c r="AX67">
        <v>0.5</v>
      </c>
      <c r="AY67">
        <f t="shared" si="74"/>
        <v>1513.2719999967003</v>
      </c>
      <c r="AZ67">
        <f t="shared" si="75"/>
        <v>52.873968345660764</v>
      </c>
      <c r="BA67">
        <f t="shared" si="76"/>
        <v>295.31398981595152</v>
      </c>
      <c r="BB67">
        <f t="shared" si="77"/>
        <v>3.5298826796253437E-2</v>
      </c>
      <c r="BC67">
        <f t="shared" si="78"/>
        <v>0.86937342067435686</v>
      </c>
      <c r="BD67">
        <f t="shared" si="79"/>
        <v>472.50962061453254</v>
      </c>
      <c r="BE67" t="s">
        <v>679</v>
      </c>
      <c r="BF67">
        <v>520.29999999999995</v>
      </c>
      <c r="BG67">
        <f t="shared" si="80"/>
        <v>520.29999999999995</v>
      </c>
      <c r="BH67">
        <f t="shared" si="81"/>
        <v>0.51556453638769995</v>
      </c>
      <c r="BI67">
        <f t="shared" si="82"/>
        <v>0.75703155793040566</v>
      </c>
      <c r="BJ67">
        <f t="shared" si="83"/>
        <v>0.62773456113413584</v>
      </c>
      <c r="BK67">
        <f t="shared" si="84"/>
        <v>0.8733537583304547</v>
      </c>
      <c r="BL67">
        <f t="shared" si="85"/>
        <v>0.66048269658010417</v>
      </c>
      <c r="BM67">
        <f t="shared" si="86"/>
        <v>0.60149599178959146</v>
      </c>
      <c r="BN67">
        <f t="shared" si="87"/>
        <v>0.39850400821040854</v>
      </c>
      <c r="BO67">
        <v>12569</v>
      </c>
      <c r="BP67">
        <v>290.00000000000011</v>
      </c>
      <c r="BQ67">
        <v>928.93</v>
      </c>
      <c r="BR67">
        <v>245</v>
      </c>
      <c r="BS67">
        <v>10191.9</v>
      </c>
      <c r="BT67">
        <v>930.67</v>
      </c>
      <c r="BU67">
        <v>-1.74</v>
      </c>
      <c r="BV67">
        <v>300.00000000000011</v>
      </c>
      <c r="BW67">
        <v>24.2</v>
      </c>
      <c r="BX67">
        <v>1074.0336723498069</v>
      </c>
      <c r="BY67">
        <v>2.1923597404867761</v>
      </c>
      <c r="BZ67">
        <v>-146.1119676091069</v>
      </c>
      <c r="CA67">
        <v>1.98924946396469</v>
      </c>
      <c r="CB67">
        <v>0.99483682547387298</v>
      </c>
      <c r="CC67">
        <v>-6.9612622914349259E-3</v>
      </c>
      <c r="CD67">
        <v>289.99999999999989</v>
      </c>
      <c r="CE67">
        <v>913.3</v>
      </c>
      <c r="CF67">
        <v>645</v>
      </c>
      <c r="CG67">
        <v>10171</v>
      </c>
      <c r="CH67">
        <v>930.38</v>
      </c>
      <c r="CI67">
        <v>-17.079999999999998</v>
      </c>
      <c r="CW67">
        <f t="shared" si="88"/>
        <v>1800.1</v>
      </c>
      <c r="CX67">
        <f t="shared" si="89"/>
        <v>1513.2719999967003</v>
      </c>
      <c r="CY67">
        <f t="shared" si="90"/>
        <v>0.84065996333353721</v>
      </c>
      <c r="CZ67">
        <f t="shared" si="91"/>
        <v>0.19131992666707429</v>
      </c>
      <c r="DA67">
        <v>6</v>
      </c>
      <c r="DB67">
        <v>0.5</v>
      </c>
      <c r="DC67" t="s">
        <v>419</v>
      </c>
      <c r="DD67">
        <v>2</v>
      </c>
      <c r="DE67">
        <v>1691169894.5999999</v>
      </c>
      <c r="DF67">
        <v>333.66300000000001</v>
      </c>
      <c r="DG67">
        <v>399.83499999999998</v>
      </c>
      <c r="DH67">
        <v>26.327100000000002</v>
      </c>
      <c r="DI67">
        <v>18.291499999999999</v>
      </c>
      <c r="DJ67">
        <v>335.89800000000002</v>
      </c>
      <c r="DK67">
        <v>26.260100000000001</v>
      </c>
      <c r="DL67">
        <v>500.24</v>
      </c>
      <c r="DM67">
        <v>99.187299999999993</v>
      </c>
      <c r="DN67">
        <v>0.10126599999999999</v>
      </c>
      <c r="DO67">
        <v>30.352900000000002</v>
      </c>
      <c r="DP67">
        <v>29.914300000000001</v>
      </c>
      <c r="DQ67">
        <v>999.9</v>
      </c>
      <c r="DR67">
        <v>0</v>
      </c>
      <c r="DS67">
        <v>0</v>
      </c>
      <c r="DT67">
        <v>9935</v>
      </c>
      <c r="DU67">
        <v>0</v>
      </c>
      <c r="DV67">
        <v>678.76800000000003</v>
      </c>
      <c r="DW67">
        <v>-66.1721</v>
      </c>
      <c r="DX67">
        <v>342.685</v>
      </c>
      <c r="DY67">
        <v>407.28500000000003</v>
      </c>
      <c r="DZ67">
        <v>8.0355799999999995</v>
      </c>
      <c r="EA67">
        <v>399.83499999999998</v>
      </c>
      <c r="EB67">
        <v>18.291499999999999</v>
      </c>
      <c r="EC67">
        <v>2.6113200000000001</v>
      </c>
      <c r="ED67">
        <v>1.81429</v>
      </c>
      <c r="EE67">
        <v>21.737500000000001</v>
      </c>
      <c r="EF67">
        <v>15.910500000000001</v>
      </c>
      <c r="EG67">
        <v>1800.1</v>
      </c>
      <c r="EH67">
        <v>0.97800200000000004</v>
      </c>
      <c r="EI67">
        <v>2.1998500000000001E-2</v>
      </c>
      <c r="EJ67">
        <v>0</v>
      </c>
      <c r="EK67">
        <v>658.83</v>
      </c>
      <c r="EL67">
        <v>0.100005</v>
      </c>
      <c r="EM67">
        <v>14115.8</v>
      </c>
      <c r="EN67">
        <v>14863.4</v>
      </c>
      <c r="EO67">
        <v>48.375</v>
      </c>
      <c r="EP67">
        <v>50.75</v>
      </c>
      <c r="EQ67">
        <v>49.25</v>
      </c>
      <c r="ER67">
        <v>49.5</v>
      </c>
      <c r="ES67">
        <v>49.561999999999998</v>
      </c>
      <c r="ET67">
        <v>1760.4</v>
      </c>
      <c r="EU67">
        <v>39.6</v>
      </c>
      <c r="EV67">
        <v>0</v>
      </c>
      <c r="EW67">
        <v>105</v>
      </c>
      <c r="EX67">
        <v>0</v>
      </c>
      <c r="EY67">
        <v>654.83980769230777</v>
      </c>
      <c r="EZ67">
        <v>19.768375999853991</v>
      </c>
      <c r="FA67">
        <v>134.09572634738791</v>
      </c>
      <c r="FB67">
        <v>14102.65</v>
      </c>
      <c r="FC67">
        <v>15</v>
      </c>
      <c r="FD67">
        <v>1691169861.0999999</v>
      </c>
      <c r="FE67" t="s">
        <v>680</v>
      </c>
      <c r="FF67">
        <v>1691169861.0999999</v>
      </c>
      <c r="FG67">
        <v>1691169852.0999999</v>
      </c>
      <c r="FH67">
        <v>61</v>
      </c>
      <c r="FI67">
        <v>-0.11700000000000001</v>
      </c>
      <c r="FJ67">
        <v>-7.0000000000000001E-3</v>
      </c>
      <c r="FK67">
        <v>-2.4289999999999998</v>
      </c>
      <c r="FL67">
        <v>-0.11700000000000001</v>
      </c>
      <c r="FM67">
        <v>400</v>
      </c>
      <c r="FN67">
        <v>18</v>
      </c>
      <c r="FO67">
        <v>0.12</v>
      </c>
      <c r="FP67">
        <v>0.08</v>
      </c>
      <c r="FQ67">
        <v>52.725958108339547</v>
      </c>
      <c r="FR67">
        <v>-0.60376930770505843</v>
      </c>
      <c r="FS67">
        <v>0.14494622232849319</v>
      </c>
      <c r="FT67">
        <v>1</v>
      </c>
      <c r="FU67">
        <v>0.44708251743618499</v>
      </c>
      <c r="FV67">
        <v>-3.3820849101793768E-2</v>
      </c>
      <c r="FW67">
        <v>3.029162288589279E-3</v>
      </c>
      <c r="FX67">
        <v>1</v>
      </c>
      <c r="FY67">
        <v>2</v>
      </c>
      <c r="FZ67">
        <v>2</v>
      </c>
      <c r="GA67" t="s">
        <v>421</v>
      </c>
      <c r="GB67">
        <v>2.91608</v>
      </c>
      <c r="GC67">
        <v>2.8305899999999999</v>
      </c>
      <c r="GD67">
        <v>7.7979000000000007E-2</v>
      </c>
      <c r="GE67">
        <v>8.7674000000000002E-2</v>
      </c>
      <c r="GF67">
        <v>0.12557599999999999</v>
      </c>
      <c r="GG67">
        <v>9.3595700000000004E-2</v>
      </c>
      <c r="GH67">
        <v>23824.3</v>
      </c>
      <c r="GI67">
        <v>29245.8</v>
      </c>
      <c r="GJ67">
        <v>23277.200000000001</v>
      </c>
      <c r="GK67">
        <v>29396.1</v>
      </c>
      <c r="GL67">
        <v>27786.9</v>
      </c>
      <c r="GM67">
        <v>37901</v>
      </c>
      <c r="GN67">
        <v>32925.1</v>
      </c>
      <c r="GO67">
        <v>43597.7</v>
      </c>
      <c r="GP67">
        <v>1.931</v>
      </c>
      <c r="GQ67">
        <v>1.7015</v>
      </c>
      <c r="GR67">
        <v>-5.2154100000000002E-2</v>
      </c>
      <c r="GS67">
        <v>0</v>
      </c>
      <c r="GT67">
        <v>30.762599999999999</v>
      </c>
      <c r="GU67">
        <v>999.9</v>
      </c>
      <c r="GV67">
        <v>29.3</v>
      </c>
      <c r="GW67">
        <v>46.4</v>
      </c>
      <c r="GX67">
        <v>30.594799999999999</v>
      </c>
      <c r="GY67">
        <v>61.684100000000001</v>
      </c>
      <c r="GZ67">
        <v>38.790100000000002</v>
      </c>
      <c r="HA67">
        <v>1</v>
      </c>
      <c r="HB67">
        <v>0.69268300000000005</v>
      </c>
      <c r="HC67">
        <v>4.3946500000000004</v>
      </c>
      <c r="HD67">
        <v>20.2135</v>
      </c>
      <c r="HE67">
        <v>5.2100999999999997</v>
      </c>
      <c r="HF67">
        <v>11.8782</v>
      </c>
      <c r="HG67">
        <v>4.9836</v>
      </c>
      <c r="HH67">
        <v>3.2839999999999998</v>
      </c>
      <c r="HI67">
        <v>9999</v>
      </c>
      <c r="HJ67">
        <v>9999</v>
      </c>
      <c r="HK67">
        <v>9999</v>
      </c>
      <c r="HL67">
        <v>999.9</v>
      </c>
      <c r="HM67">
        <v>1.85483</v>
      </c>
      <c r="HN67">
        <v>1.8608100000000001</v>
      </c>
      <c r="HO67">
        <v>1.8581099999999999</v>
      </c>
      <c r="HP67">
        <v>1.85928</v>
      </c>
      <c r="HQ67">
        <v>1.8586499999999999</v>
      </c>
      <c r="HR67">
        <v>1.8591299999999999</v>
      </c>
      <c r="HS67">
        <v>1.85745</v>
      </c>
      <c r="HT67">
        <v>1.8607499999999999</v>
      </c>
      <c r="HU67">
        <v>5</v>
      </c>
      <c r="HV67">
        <v>0</v>
      </c>
      <c r="HW67">
        <v>0</v>
      </c>
      <c r="HX67">
        <v>0</v>
      </c>
      <c r="HY67" t="s">
        <v>422</v>
      </c>
      <c r="HZ67" t="s">
        <v>423</v>
      </c>
      <c r="IA67" t="s">
        <v>424</v>
      </c>
      <c r="IB67" t="s">
        <v>424</v>
      </c>
      <c r="IC67" t="s">
        <v>424</v>
      </c>
      <c r="ID67" t="s">
        <v>424</v>
      </c>
      <c r="IE67">
        <v>0</v>
      </c>
      <c r="IF67">
        <v>100</v>
      </c>
      <c r="IG67">
        <v>100</v>
      </c>
      <c r="IH67">
        <v>-2.2349999999999999</v>
      </c>
      <c r="II67">
        <v>6.7000000000000004E-2</v>
      </c>
      <c r="IJ67">
        <v>-1.04451882064913</v>
      </c>
      <c r="IK67">
        <v>-4.1229525807901877E-3</v>
      </c>
      <c r="IL67">
        <v>1.8448211998558991E-6</v>
      </c>
      <c r="IM67">
        <v>-3.7020276670297668E-10</v>
      </c>
      <c r="IN67">
        <v>-0.18552194027810351</v>
      </c>
      <c r="IO67">
        <v>-1.3488639696665739E-2</v>
      </c>
      <c r="IP67">
        <v>1.1588640342490499E-3</v>
      </c>
      <c r="IQ67">
        <v>-1.0624341560077559E-5</v>
      </c>
      <c r="IR67">
        <v>2</v>
      </c>
      <c r="IS67">
        <v>1915</v>
      </c>
      <c r="IT67">
        <v>1</v>
      </c>
      <c r="IU67">
        <v>42</v>
      </c>
      <c r="IV67">
        <v>0.6</v>
      </c>
      <c r="IW67">
        <v>0.7</v>
      </c>
      <c r="IX67">
        <v>1.0022</v>
      </c>
      <c r="IY67">
        <v>2.50244</v>
      </c>
      <c r="IZ67">
        <v>1.49414</v>
      </c>
      <c r="JA67">
        <v>2.2839399999999999</v>
      </c>
      <c r="JB67">
        <v>1.54419</v>
      </c>
      <c r="JC67">
        <v>2.3828100000000001</v>
      </c>
      <c r="JD67">
        <v>48.393000000000001</v>
      </c>
      <c r="JE67">
        <v>23.982399999999998</v>
      </c>
      <c r="JF67">
        <v>18</v>
      </c>
      <c r="JG67">
        <v>515.05799999999999</v>
      </c>
      <c r="JH67">
        <v>392.86099999999999</v>
      </c>
      <c r="JI67">
        <v>24.043199999999999</v>
      </c>
      <c r="JJ67">
        <v>35.753700000000002</v>
      </c>
      <c r="JK67">
        <v>29.9999</v>
      </c>
      <c r="JL67">
        <v>35.643500000000003</v>
      </c>
      <c r="JM67">
        <v>35.613</v>
      </c>
      <c r="JN67">
        <v>20.1265</v>
      </c>
      <c r="JO67">
        <v>38.008200000000002</v>
      </c>
      <c r="JP67">
        <v>0</v>
      </c>
      <c r="JQ67">
        <v>24.042899999999999</v>
      </c>
      <c r="JR67">
        <v>400</v>
      </c>
      <c r="JS67">
        <v>18.337700000000002</v>
      </c>
      <c r="JT67">
        <v>97.636899999999997</v>
      </c>
      <c r="JU67">
        <v>98.013999999999996</v>
      </c>
    </row>
    <row r="68" spans="1:281" x14ac:dyDescent="0.25">
      <c r="A68">
        <v>52</v>
      </c>
      <c r="B68">
        <v>1691169999.5999999</v>
      </c>
      <c r="C68">
        <v>10754</v>
      </c>
      <c r="D68" t="s">
        <v>681</v>
      </c>
      <c r="E68" t="s">
        <v>682</v>
      </c>
      <c r="F68" t="s">
        <v>413</v>
      </c>
      <c r="G68" t="s">
        <v>636</v>
      </c>
      <c r="H68" t="s">
        <v>637</v>
      </c>
      <c r="I68" t="s">
        <v>415</v>
      </c>
      <c r="J68">
        <v>1691169999.5999999</v>
      </c>
      <c r="K68">
        <f t="shared" si="46"/>
        <v>6.2259409708931585E-3</v>
      </c>
      <c r="L68">
        <f t="shared" si="47"/>
        <v>6.2259409708931583</v>
      </c>
      <c r="M68">
        <f t="shared" si="48"/>
        <v>58.882320679590592</v>
      </c>
      <c r="N68">
        <f t="shared" si="49"/>
        <v>426.07100000000003</v>
      </c>
      <c r="O68">
        <f t="shared" si="50"/>
        <v>162.9478265059021</v>
      </c>
      <c r="P68">
        <f t="shared" si="51"/>
        <v>16.177772912385027</v>
      </c>
      <c r="Q68">
        <f t="shared" si="52"/>
        <v>42.301146510249005</v>
      </c>
      <c r="R68">
        <f t="shared" si="53"/>
        <v>0.39277768977907163</v>
      </c>
      <c r="S68">
        <f t="shared" si="54"/>
        <v>2.9116480601600596</v>
      </c>
      <c r="T68">
        <f t="shared" si="55"/>
        <v>0.36553786598313315</v>
      </c>
      <c r="U68">
        <f t="shared" si="56"/>
        <v>0.23075093727249285</v>
      </c>
      <c r="V68">
        <f t="shared" si="57"/>
        <v>344.3835999934002</v>
      </c>
      <c r="W68">
        <f t="shared" si="58"/>
        <v>30.798719124927992</v>
      </c>
      <c r="X68">
        <f t="shared" si="59"/>
        <v>29.935700000000001</v>
      </c>
      <c r="Y68">
        <f t="shared" si="60"/>
        <v>4.2447397869414738</v>
      </c>
      <c r="Z68">
        <f t="shared" si="61"/>
        <v>59.970157573141613</v>
      </c>
      <c r="AA68">
        <f t="shared" si="62"/>
        <v>2.6121370734657003</v>
      </c>
      <c r="AB68">
        <f t="shared" si="63"/>
        <v>4.3557282141202487</v>
      </c>
      <c r="AC68">
        <f t="shared" si="64"/>
        <v>1.6326027134757735</v>
      </c>
      <c r="AD68">
        <f t="shared" si="65"/>
        <v>-274.56399681638828</v>
      </c>
      <c r="AE68">
        <f t="shared" si="66"/>
        <v>70.622049321685111</v>
      </c>
      <c r="AF68">
        <f t="shared" si="67"/>
        <v>5.4017113368957697</v>
      </c>
      <c r="AG68">
        <f t="shared" si="68"/>
        <v>145.84336383559275</v>
      </c>
      <c r="AH68">
        <v>0</v>
      </c>
      <c r="AI68">
        <v>0</v>
      </c>
      <c r="AJ68">
        <f t="shared" si="69"/>
        <v>1</v>
      </c>
      <c r="AK68">
        <f t="shared" si="70"/>
        <v>0</v>
      </c>
      <c r="AL68">
        <f t="shared" si="71"/>
        <v>51759.564018948033</v>
      </c>
      <c r="AM68" t="s">
        <v>416</v>
      </c>
      <c r="AN68">
        <v>10235.299999999999</v>
      </c>
      <c r="AO68">
        <v>594.051923076923</v>
      </c>
      <c r="AP68">
        <v>2007.77</v>
      </c>
      <c r="AQ68">
        <f t="shared" si="72"/>
        <v>0.70412351859180933</v>
      </c>
      <c r="AR68">
        <v>-0.54275787784279261</v>
      </c>
      <c r="AS68" t="s">
        <v>683</v>
      </c>
      <c r="AT68">
        <v>10187.700000000001</v>
      </c>
      <c r="AU68">
        <v>690.34519230769229</v>
      </c>
      <c r="AV68">
        <v>1179.1949344195259</v>
      </c>
      <c r="AW68">
        <f t="shared" si="73"/>
        <v>0.4145622813012475</v>
      </c>
      <c r="AX68">
        <v>0.5</v>
      </c>
      <c r="AY68">
        <f t="shared" si="74"/>
        <v>1513.2215999967002</v>
      </c>
      <c r="AZ68">
        <f t="shared" si="75"/>
        <v>58.882320679590592</v>
      </c>
      <c r="BA68">
        <f t="shared" si="76"/>
        <v>313.66229930447793</v>
      </c>
      <c r="BB68">
        <f t="shared" si="77"/>
        <v>3.9270572504095221E-2</v>
      </c>
      <c r="BC68">
        <f t="shared" si="78"/>
        <v>0.70266165618185172</v>
      </c>
      <c r="BD68">
        <f t="shared" si="79"/>
        <v>491.80511840801302</v>
      </c>
      <c r="BE68" t="s">
        <v>684</v>
      </c>
      <c r="BF68">
        <v>531.85</v>
      </c>
      <c r="BG68">
        <f t="shared" si="80"/>
        <v>531.85</v>
      </c>
      <c r="BH68">
        <f t="shared" si="81"/>
        <v>0.54897194308097141</v>
      </c>
      <c r="BI68">
        <f t="shared" si="82"/>
        <v>0.75516114534855383</v>
      </c>
      <c r="BJ68">
        <f t="shared" si="83"/>
        <v>0.56139564853140689</v>
      </c>
      <c r="BK68">
        <f t="shared" si="84"/>
        <v>0.83543635083357548</v>
      </c>
      <c r="BL68">
        <f t="shared" si="85"/>
        <v>0.58609639298370408</v>
      </c>
      <c r="BM68">
        <f t="shared" si="86"/>
        <v>0.58178496733068807</v>
      </c>
      <c r="BN68">
        <f t="shared" si="87"/>
        <v>0.41821503266931193</v>
      </c>
      <c r="BO68">
        <v>12571</v>
      </c>
      <c r="BP68">
        <v>290.00000000000011</v>
      </c>
      <c r="BQ68">
        <v>1016.64</v>
      </c>
      <c r="BR68">
        <v>285</v>
      </c>
      <c r="BS68">
        <v>10187.700000000001</v>
      </c>
      <c r="BT68">
        <v>1017.85</v>
      </c>
      <c r="BU68">
        <v>-1.21</v>
      </c>
      <c r="BV68">
        <v>300.00000000000011</v>
      </c>
      <c r="BW68">
        <v>24.2</v>
      </c>
      <c r="BX68">
        <v>1179.1949344195259</v>
      </c>
      <c r="BY68">
        <v>2.6468768442294639</v>
      </c>
      <c r="BZ68">
        <v>-164.37601943389259</v>
      </c>
      <c r="CA68">
        <v>2.40177068953437</v>
      </c>
      <c r="CB68">
        <v>0.99405768348820667</v>
      </c>
      <c r="CC68">
        <v>-6.9615775305895506E-3</v>
      </c>
      <c r="CD68">
        <v>289.99999999999989</v>
      </c>
      <c r="CE68">
        <v>1000.71</v>
      </c>
      <c r="CF68">
        <v>615</v>
      </c>
      <c r="CG68">
        <v>10173.5</v>
      </c>
      <c r="CH68">
        <v>1017.62</v>
      </c>
      <c r="CI68">
        <v>-16.91</v>
      </c>
      <c r="CW68">
        <f t="shared" si="88"/>
        <v>1800.04</v>
      </c>
      <c r="CX68">
        <f t="shared" si="89"/>
        <v>1513.2215999967002</v>
      </c>
      <c r="CY68">
        <f t="shared" si="90"/>
        <v>0.84065998533182607</v>
      </c>
      <c r="CZ68">
        <f t="shared" si="91"/>
        <v>0.19131997066365203</v>
      </c>
      <c r="DA68">
        <v>6</v>
      </c>
      <c r="DB68">
        <v>0.5</v>
      </c>
      <c r="DC68" t="s">
        <v>419</v>
      </c>
      <c r="DD68">
        <v>2</v>
      </c>
      <c r="DE68">
        <v>1691169999.5999999</v>
      </c>
      <c r="DF68">
        <v>426.07100000000003</v>
      </c>
      <c r="DG68">
        <v>499.88600000000002</v>
      </c>
      <c r="DH68">
        <v>26.310300000000002</v>
      </c>
      <c r="DI68">
        <v>19.038399999999999</v>
      </c>
      <c r="DJ68">
        <v>428.31400000000002</v>
      </c>
      <c r="DK68">
        <v>26.240600000000001</v>
      </c>
      <c r="DL68">
        <v>500.18299999999999</v>
      </c>
      <c r="DM68">
        <v>99.181399999999996</v>
      </c>
      <c r="DN68">
        <v>0.100519</v>
      </c>
      <c r="DO68">
        <v>30.3856</v>
      </c>
      <c r="DP68">
        <v>29.935700000000001</v>
      </c>
      <c r="DQ68">
        <v>999.9</v>
      </c>
      <c r="DR68">
        <v>0</v>
      </c>
      <c r="DS68">
        <v>0</v>
      </c>
      <c r="DT68">
        <v>9980</v>
      </c>
      <c r="DU68">
        <v>0</v>
      </c>
      <c r="DV68">
        <v>617.95899999999995</v>
      </c>
      <c r="DW68">
        <v>-73.8155</v>
      </c>
      <c r="DX68">
        <v>437.584</v>
      </c>
      <c r="DY68">
        <v>509.58800000000002</v>
      </c>
      <c r="DZ68">
        <v>7.2719399999999998</v>
      </c>
      <c r="EA68">
        <v>499.88600000000002</v>
      </c>
      <c r="EB68">
        <v>19.038399999999999</v>
      </c>
      <c r="EC68">
        <v>2.6095000000000002</v>
      </c>
      <c r="ED68">
        <v>1.88825</v>
      </c>
      <c r="EE68">
        <v>21.725999999999999</v>
      </c>
      <c r="EF68">
        <v>16.537199999999999</v>
      </c>
      <c r="EG68">
        <v>1800.04</v>
      </c>
      <c r="EH68">
        <v>0.97800200000000004</v>
      </c>
      <c r="EI68">
        <v>2.1998500000000001E-2</v>
      </c>
      <c r="EJ68">
        <v>0</v>
      </c>
      <c r="EK68">
        <v>691.505</v>
      </c>
      <c r="EL68">
        <v>0.100005</v>
      </c>
      <c r="EM68">
        <v>14650.6</v>
      </c>
      <c r="EN68">
        <v>14862.9</v>
      </c>
      <c r="EO68">
        <v>48.311999999999998</v>
      </c>
      <c r="EP68">
        <v>50.436999999999998</v>
      </c>
      <c r="EQ68">
        <v>49.186999999999998</v>
      </c>
      <c r="ER68">
        <v>49.25</v>
      </c>
      <c r="ES68">
        <v>49.436999999999998</v>
      </c>
      <c r="ET68">
        <v>1760.34</v>
      </c>
      <c r="EU68">
        <v>39.6</v>
      </c>
      <c r="EV68">
        <v>0</v>
      </c>
      <c r="EW68">
        <v>102.7999999523163</v>
      </c>
      <c r="EX68">
        <v>0</v>
      </c>
      <c r="EY68">
        <v>690.34519230769229</v>
      </c>
      <c r="EZ68">
        <v>3.667863308245666</v>
      </c>
      <c r="FA68">
        <v>110.55726503911841</v>
      </c>
      <c r="FB68">
        <v>14639.369230769231</v>
      </c>
      <c r="FC68">
        <v>15</v>
      </c>
      <c r="FD68">
        <v>1691169963.5999999</v>
      </c>
      <c r="FE68" t="s">
        <v>685</v>
      </c>
      <c r="FF68">
        <v>1691169957.5999999</v>
      </c>
      <c r="FG68">
        <v>1691169963.5999999</v>
      </c>
      <c r="FH68">
        <v>62</v>
      </c>
      <c r="FI68">
        <v>0.25800000000000001</v>
      </c>
      <c r="FJ68">
        <v>3.0000000000000001E-3</v>
      </c>
      <c r="FK68">
        <v>-2.44</v>
      </c>
      <c r="FL68">
        <v>-0.104</v>
      </c>
      <c r="FM68">
        <v>500</v>
      </c>
      <c r="FN68">
        <v>18</v>
      </c>
      <c r="FO68">
        <v>0.1</v>
      </c>
      <c r="FP68">
        <v>0.04</v>
      </c>
      <c r="FQ68">
        <v>58.64534541007734</v>
      </c>
      <c r="FR68">
        <v>-0.39459943543777343</v>
      </c>
      <c r="FS68">
        <v>0.14290550661034451</v>
      </c>
      <c r="FT68">
        <v>1</v>
      </c>
      <c r="FU68">
        <v>0.39487110496466338</v>
      </c>
      <c r="FV68">
        <v>-3.2742437043590422E-2</v>
      </c>
      <c r="FW68">
        <v>2.5607225624565879E-3</v>
      </c>
      <c r="FX68">
        <v>1</v>
      </c>
      <c r="FY68">
        <v>2</v>
      </c>
      <c r="FZ68">
        <v>2</v>
      </c>
      <c r="GA68" t="s">
        <v>421</v>
      </c>
      <c r="GB68">
        <v>2.9159299999999999</v>
      </c>
      <c r="GC68">
        <v>2.8302299999999998</v>
      </c>
      <c r="GD68">
        <v>9.4122899999999995E-2</v>
      </c>
      <c r="GE68">
        <v>0.10363700000000001</v>
      </c>
      <c r="GF68">
        <v>0.125498</v>
      </c>
      <c r="GG68">
        <v>9.6319199999999994E-2</v>
      </c>
      <c r="GH68">
        <v>23406</v>
      </c>
      <c r="GI68">
        <v>28733</v>
      </c>
      <c r="GJ68">
        <v>23275.8</v>
      </c>
      <c r="GK68">
        <v>29394.9</v>
      </c>
      <c r="GL68">
        <v>27790.7</v>
      </c>
      <c r="GM68">
        <v>37789</v>
      </c>
      <c r="GN68">
        <v>32925</v>
      </c>
      <c r="GO68">
        <v>43597</v>
      </c>
      <c r="GP68">
        <v>1.9295</v>
      </c>
      <c r="GQ68">
        <v>1.7042999999999999</v>
      </c>
      <c r="GR68">
        <v>-2.0265600000000002E-2</v>
      </c>
      <c r="GS68">
        <v>0</v>
      </c>
      <c r="GT68">
        <v>30.2654</v>
      </c>
      <c r="GU68">
        <v>999.9</v>
      </c>
      <c r="GV68">
        <v>29.2</v>
      </c>
      <c r="GW68">
        <v>46.4</v>
      </c>
      <c r="GX68">
        <v>30.492599999999999</v>
      </c>
      <c r="GY68">
        <v>61.414099999999998</v>
      </c>
      <c r="GZ68">
        <v>38.762</v>
      </c>
      <c r="HA68">
        <v>1</v>
      </c>
      <c r="HB68">
        <v>0.69232700000000003</v>
      </c>
      <c r="HC68">
        <v>3.98956</v>
      </c>
      <c r="HD68">
        <v>20.222300000000001</v>
      </c>
      <c r="HE68">
        <v>5.2100999999999997</v>
      </c>
      <c r="HF68">
        <v>11.8782</v>
      </c>
      <c r="HG68">
        <v>4.9836</v>
      </c>
      <c r="HH68">
        <v>3.2839999999999998</v>
      </c>
      <c r="HI68">
        <v>9999</v>
      </c>
      <c r="HJ68">
        <v>9999</v>
      </c>
      <c r="HK68">
        <v>9999</v>
      </c>
      <c r="HL68">
        <v>999.9</v>
      </c>
      <c r="HM68">
        <v>1.8548100000000001</v>
      </c>
      <c r="HN68">
        <v>1.8608100000000001</v>
      </c>
      <c r="HO68">
        <v>1.85809</v>
      </c>
      <c r="HP68">
        <v>1.8592500000000001</v>
      </c>
      <c r="HQ68">
        <v>1.8586</v>
      </c>
      <c r="HR68">
        <v>1.8591299999999999</v>
      </c>
      <c r="HS68">
        <v>1.85745</v>
      </c>
      <c r="HT68">
        <v>1.8608</v>
      </c>
      <c r="HU68">
        <v>5</v>
      </c>
      <c r="HV68">
        <v>0</v>
      </c>
      <c r="HW68">
        <v>0</v>
      </c>
      <c r="HX68">
        <v>0</v>
      </c>
      <c r="HY68" t="s">
        <v>422</v>
      </c>
      <c r="HZ68" t="s">
        <v>423</v>
      </c>
      <c r="IA68" t="s">
        <v>424</v>
      </c>
      <c r="IB68" t="s">
        <v>424</v>
      </c>
      <c r="IC68" t="s">
        <v>424</v>
      </c>
      <c r="ID68" t="s">
        <v>424</v>
      </c>
      <c r="IE68">
        <v>0</v>
      </c>
      <c r="IF68">
        <v>100</v>
      </c>
      <c r="IG68">
        <v>100</v>
      </c>
      <c r="IH68">
        <v>-2.2429999999999999</v>
      </c>
      <c r="II68">
        <v>6.9699999999999998E-2</v>
      </c>
      <c r="IJ68">
        <v>-0.78679585042740774</v>
      </c>
      <c r="IK68">
        <v>-4.1229525807901877E-3</v>
      </c>
      <c r="IL68">
        <v>1.8448211998558991E-6</v>
      </c>
      <c r="IM68">
        <v>-3.7020276670297668E-10</v>
      </c>
      <c r="IN68">
        <v>-0.18229723069762691</v>
      </c>
      <c r="IO68">
        <v>-1.3488639696665739E-2</v>
      </c>
      <c r="IP68">
        <v>1.1588640342490499E-3</v>
      </c>
      <c r="IQ68">
        <v>-1.0624341560077559E-5</v>
      </c>
      <c r="IR68">
        <v>2</v>
      </c>
      <c r="IS68">
        <v>1915</v>
      </c>
      <c r="IT68">
        <v>1</v>
      </c>
      <c r="IU68">
        <v>42</v>
      </c>
      <c r="IV68">
        <v>0.7</v>
      </c>
      <c r="IW68">
        <v>0.6</v>
      </c>
      <c r="IX68">
        <v>1.2011700000000001</v>
      </c>
      <c r="IY68">
        <v>2.49268</v>
      </c>
      <c r="IZ68">
        <v>1.49414</v>
      </c>
      <c r="JA68">
        <v>2.2839399999999999</v>
      </c>
      <c r="JB68">
        <v>1.54419</v>
      </c>
      <c r="JC68">
        <v>2.3925800000000002</v>
      </c>
      <c r="JD68">
        <v>48.331600000000002</v>
      </c>
      <c r="JE68">
        <v>23.991199999999999</v>
      </c>
      <c r="JF68">
        <v>18</v>
      </c>
      <c r="JG68">
        <v>514.226</v>
      </c>
      <c r="JH68">
        <v>394.74</v>
      </c>
      <c r="JI68">
        <v>24.514700000000001</v>
      </c>
      <c r="JJ68">
        <v>35.753700000000002</v>
      </c>
      <c r="JK68">
        <v>29.997199999999999</v>
      </c>
      <c r="JL68">
        <v>35.6663</v>
      </c>
      <c r="JM68">
        <v>35.632599999999996</v>
      </c>
      <c r="JN68">
        <v>24.100899999999999</v>
      </c>
      <c r="JO68">
        <v>35.209600000000002</v>
      </c>
      <c r="JP68">
        <v>0</v>
      </c>
      <c r="JQ68">
        <v>24.582100000000001</v>
      </c>
      <c r="JR68">
        <v>500</v>
      </c>
      <c r="JS68">
        <v>19.0794</v>
      </c>
      <c r="JT68">
        <v>97.634200000000007</v>
      </c>
      <c r="JU68">
        <v>98.011600000000001</v>
      </c>
    </row>
    <row r="69" spans="1:281" x14ac:dyDescent="0.25">
      <c r="A69">
        <v>53</v>
      </c>
      <c r="B69">
        <v>1691170108.0999999</v>
      </c>
      <c r="C69">
        <v>10862.5</v>
      </c>
      <c r="D69" t="s">
        <v>686</v>
      </c>
      <c r="E69" t="s">
        <v>687</v>
      </c>
      <c r="F69" t="s">
        <v>413</v>
      </c>
      <c r="G69" t="s">
        <v>636</v>
      </c>
      <c r="H69" t="s">
        <v>637</v>
      </c>
      <c r="I69" t="s">
        <v>415</v>
      </c>
      <c r="J69">
        <v>1691170108.0999999</v>
      </c>
      <c r="K69">
        <f t="shared" si="46"/>
        <v>5.5324383864870843E-3</v>
      </c>
      <c r="L69">
        <f t="shared" si="47"/>
        <v>5.5324383864870841</v>
      </c>
      <c r="M69">
        <f t="shared" si="48"/>
        <v>61.835060828246434</v>
      </c>
      <c r="N69">
        <f t="shared" si="49"/>
        <v>621.62900000000002</v>
      </c>
      <c r="O69">
        <f t="shared" si="50"/>
        <v>303.17016235613505</v>
      </c>
      <c r="P69">
        <f t="shared" si="51"/>
        <v>30.094973862997577</v>
      </c>
      <c r="Q69">
        <f t="shared" si="52"/>
        <v>61.707617801467798</v>
      </c>
      <c r="R69">
        <f t="shared" si="53"/>
        <v>0.34140047711301702</v>
      </c>
      <c r="S69">
        <f t="shared" si="54"/>
        <v>2.9266972439620389</v>
      </c>
      <c r="T69">
        <f t="shared" si="55"/>
        <v>0.32071850531945778</v>
      </c>
      <c r="U69">
        <f t="shared" si="56"/>
        <v>0.20220276660389941</v>
      </c>
      <c r="V69">
        <f t="shared" si="57"/>
        <v>344.37409999340002</v>
      </c>
      <c r="W69">
        <f t="shared" si="58"/>
        <v>30.986481682057342</v>
      </c>
      <c r="X69">
        <f t="shared" si="59"/>
        <v>29.991099999999999</v>
      </c>
      <c r="Y69">
        <f t="shared" si="60"/>
        <v>4.2582722785124734</v>
      </c>
      <c r="Z69">
        <f t="shared" si="61"/>
        <v>59.775139823938737</v>
      </c>
      <c r="AA69">
        <f t="shared" si="62"/>
        <v>2.60508950632242</v>
      </c>
      <c r="AB69">
        <f t="shared" si="63"/>
        <v>4.3581487454407162</v>
      </c>
      <c r="AC69">
        <f t="shared" si="64"/>
        <v>1.6531827721900534</v>
      </c>
      <c r="AD69">
        <f t="shared" si="65"/>
        <v>-243.98053284408041</v>
      </c>
      <c r="AE69">
        <f t="shared" si="66"/>
        <v>63.77633395422172</v>
      </c>
      <c r="AF69">
        <f t="shared" si="67"/>
        <v>4.8545784483092094</v>
      </c>
      <c r="AG69">
        <f t="shared" si="68"/>
        <v>169.02447955185053</v>
      </c>
      <c r="AH69">
        <v>0</v>
      </c>
      <c r="AI69">
        <v>0</v>
      </c>
      <c r="AJ69">
        <f t="shared" si="69"/>
        <v>1</v>
      </c>
      <c r="AK69">
        <f t="shared" si="70"/>
        <v>0</v>
      </c>
      <c r="AL69">
        <f t="shared" si="71"/>
        <v>52185.815139280836</v>
      </c>
      <c r="AM69" t="s">
        <v>416</v>
      </c>
      <c r="AN69">
        <v>10235.299999999999</v>
      </c>
      <c r="AO69">
        <v>594.051923076923</v>
      </c>
      <c r="AP69">
        <v>2007.77</v>
      </c>
      <c r="AQ69">
        <f t="shared" si="72"/>
        <v>0.70412351859180933</v>
      </c>
      <c r="AR69">
        <v>-0.54275787784279261</v>
      </c>
      <c r="AS69" t="s">
        <v>688</v>
      </c>
      <c r="AT69">
        <v>10193.700000000001</v>
      </c>
      <c r="AU69">
        <v>702.0159615384614</v>
      </c>
      <c r="AV69">
        <v>1224.9387380664709</v>
      </c>
      <c r="AW69">
        <f t="shared" si="73"/>
        <v>0.42689708495416467</v>
      </c>
      <c r="AX69">
        <v>0.5</v>
      </c>
      <c r="AY69">
        <f t="shared" si="74"/>
        <v>1513.1795999967001</v>
      </c>
      <c r="AZ69">
        <f t="shared" si="75"/>
        <v>61.835060828246434</v>
      </c>
      <c r="BA69">
        <f t="shared" si="76"/>
        <v>322.98598012535007</v>
      </c>
      <c r="BB69">
        <f t="shared" si="77"/>
        <v>4.1223010610389715E-2</v>
      </c>
      <c r="BC69">
        <f t="shared" si="78"/>
        <v>0.63907788822909195</v>
      </c>
      <c r="BD69">
        <f t="shared" si="79"/>
        <v>499.58612370809476</v>
      </c>
      <c r="BE69" t="s">
        <v>689</v>
      </c>
      <c r="BF69">
        <v>537.08000000000004</v>
      </c>
      <c r="BG69">
        <f t="shared" si="80"/>
        <v>537.08000000000004</v>
      </c>
      <c r="BH69">
        <f t="shared" si="81"/>
        <v>0.5615454199384986</v>
      </c>
      <c r="BI69">
        <f t="shared" si="82"/>
        <v>0.76021826515995661</v>
      </c>
      <c r="BJ69">
        <f t="shared" si="83"/>
        <v>0.53228842375587582</v>
      </c>
      <c r="BK69">
        <f t="shared" si="84"/>
        <v>0.8288694011407941</v>
      </c>
      <c r="BL69">
        <f t="shared" si="85"/>
        <v>0.55373930256118831</v>
      </c>
      <c r="BM69">
        <f t="shared" si="86"/>
        <v>0.58160789529247769</v>
      </c>
      <c r="BN69">
        <f t="shared" si="87"/>
        <v>0.41839210470752231</v>
      </c>
      <c r="BO69">
        <v>12573</v>
      </c>
      <c r="BP69">
        <v>290.00000000000011</v>
      </c>
      <c r="BQ69">
        <v>1057.99</v>
      </c>
      <c r="BR69">
        <v>245</v>
      </c>
      <c r="BS69">
        <v>10193.700000000001</v>
      </c>
      <c r="BT69">
        <v>1060.26</v>
      </c>
      <c r="BU69">
        <v>-2.27</v>
      </c>
      <c r="BV69">
        <v>300.00000000000011</v>
      </c>
      <c r="BW69">
        <v>24.2</v>
      </c>
      <c r="BX69">
        <v>1224.9387380664709</v>
      </c>
      <c r="BY69">
        <v>2.9768591267544582</v>
      </c>
      <c r="BZ69">
        <v>-167.86804142826131</v>
      </c>
      <c r="CA69">
        <v>2.7015833877379549</v>
      </c>
      <c r="CB69">
        <v>0.99280019732980984</v>
      </c>
      <c r="CC69">
        <v>-6.9623325917686314E-3</v>
      </c>
      <c r="CD69">
        <v>289.99999999999989</v>
      </c>
      <c r="CE69">
        <v>1044.44</v>
      </c>
      <c r="CF69">
        <v>645</v>
      </c>
      <c r="CG69">
        <v>10173</v>
      </c>
      <c r="CH69">
        <v>1059.93</v>
      </c>
      <c r="CI69">
        <v>-15.49</v>
      </c>
      <c r="CW69">
        <f t="shared" si="88"/>
        <v>1799.99</v>
      </c>
      <c r="CX69">
        <f t="shared" si="89"/>
        <v>1513.1795999967001</v>
      </c>
      <c r="CY69">
        <f t="shared" si="90"/>
        <v>0.84066000366485372</v>
      </c>
      <c r="CZ69">
        <f t="shared" si="91"/>
        <v>0.19132000732970739</v>
      </c>
      <c r="DA69">
        <v>6</v>
      </c>
      <c r="DB69">
        <v>0.5</v>
      </c>
      <c r="DC69" t="s">
        <v>419</v>
      </c>
      <c r="DD69">
        <v>2</v>
      </c>
      <c r="DE69">
        <v>1691170108.0999999</v>
      </c>
      <c r="DF69">
        <v>621.62900000000002</v>
      </c>
      <c r="DG69">
        <v>699.93499999999995</v>
      </c>
      <c r="DH69">
        <v>26.243099999999998</v>
      </c>
      <c r="DI69">
        <v>19.7803</v>
      </c>
      <c r="DJ69">
        <v>624.08500000000004</v>
      </c>
      <c r="DK69">
        <v>26.171700000000001</v>
      </c>
      <c r="DL69">
        <v>500.14699999999999</v>
      </c>
      <c r="DM69">
        <v>99.168099999999995</v>
      </c>
      <c r="DN69">
        <v>9.9498199999999995E-2</v>
      </c>
      <c r="DO69">
        <v>30.395299999999999</v>
      </c>
      <c r="DP69">
        <v>29.991099999999999</v>
      </c>
      <c r="DQ69">
        <v>999.9</v>
      </c>
      <c r="DR69">
        <v>0</v>
      </c>
      <c r="DS69">
        <v>0</v>
      </c>
      <c r="DT69">
        <v>10067.5</v>
      </c>
      <c r="DU69">
        <v>0</v>
      </c>
      <c r="DV69">
        <v>608.952</v>
      </c>
      <c r="DW69">
        <v>-78.305899999999994</v>
      </c>
      <c r="DX69">
        <v>638.38199999999995</v>
      </c>
      <c r="DY69">
        <v>714.05899999999997</v>
      </c>
      <c r="DZ69">
        <v>6.4628300000000003</v>
      </c>
      <c r="EA69">
        <v>699.93499999999995</v>
      </c>
      <c r="EB69">
        <v>19.7803</v>
      </c>
      <c r="EC69">
        <v>2.6024799999999999</v>
      </c>
      <c r="ED69">
        <v>1.96157</v>
      </c>
      <c r="EE69">
        <v>21.681999999999999</v>
      </c>
      <c r="EF69">
        <v>17.137499999999999</v>
      </c>
      <c r="EG69">
        <v>1799.99</v>
      </c>
      <c r="EH69">
        <v>0.97799800000000003</v>
      </c>
      <c r="EI69">
        <v>2.20022E-2</v>
      </c>
      <c r="EJ69">
        <v>0</v>
      </c>
      <c r="EK69">
        <v>700.35500000000002</v>
      </c>
      <c r="EL69">
        <v>0.100005</v>
      </c>
      <c r="EM69">
        <v>14823.7</v>
      </c>
      <c r="EN69">
        <v>14862.4</v>
      </c>
      <c r="EO69">
        <v>48.125</v>
      </c>
      <c r="EP69">
        <v>50</v>
      </c>
      <c r="EQ69">
        <v>48.936999999999998</v>
      </c>
      <c r="ER69">
        <v>48.875</v>
      </c>
      <c r="ES69">
        <v>49.25</v>
      </c>
      <c r="ET69">
        <v>1760.29</v>
      </c>
      <c r="EU69">
        <v>39.6</v>
      </c>
      <c r="EV69">
        <v>0</v>
      </c>
      <c r="EW69">
        <v>106.19999980926509</v>
      </c>
      <c r="EX69">
        <v>0</v>
      </c>
      <c r="EY69">
        <v>702.0159615384614</v>
      </c>
      <c r="EZ69">
        <v>-4.273675111615467</v>
      </c>
      <c r="FA69">
        <v>61.528204872482782</v>
      </c>
      <c r="FB69">
        <v>14813.826923076929</v>
      </c>
      <c r="FC69">
        <v>15</v>
      </c>
      <c r="FD69">
        <v>1691170070.5999999</v>
      </c>
      <c r="FE69" t="s">
        <v>690</v>
      </c>
      <c r="FF69">
        <v>1691170062.0999999</v>
      </c>
      <c r="FG69">
        <v>1691170070.5999999</v>
      </c>
      <c r="FH69">
        <v>63</v>
      </c>
      <c r="FI69">
        <v>0.27500000000000002</v>
      </c>
      <c r="FJ69">
        <v>3.0000000000000001E-3</v>
      </c>
      <c r="FK69">
        <v>-2.6259999999999999</v>
      </c>
      <c r="FL69">
        <v>-8.7999999999999995E-2</v>
      </c>
      <c r="FM69">
        <v>700</v>
      </c>
      <c r="FN69">
        <v>19</v>
      </c>
      <c r="FO69">
        <v>0.14000000000000001</v>
      </c>
      <c r="FP69">
        <v>0.04</v>
      </c>
      <c r="FQ69">
        <v>61.687972484409848</v>
      </c>
      <c r="FR69">
        <v>-0.43264065044680111</v>
      </c>
      <c r="FS69">
        <v>0.1443263793195875</v>
      </c>
      <c r="FT69">
        <v>1</v>
      </c>
      <c r="FU69">
        <v>0.3456389487039353</v>
      </c>
      <c r="FV69">
        <v>-2.7257085605975121E-2</v>
      </c>
      <c r="FW69">
        <v>2.2636056016935441E-3</v>
      </c>
      <c r="FX69">
        <v>1</v>
      </c>
      <c r="FY69">
        <v>2</v>
      </c>
      <c r="FZ69">
        <v>2</v>
      </c>
      <c r="GA69" t="s">
        <v>421</v>
      </c>
      <c r="GB69">
        <v>2.9159999999999999</v>
      </c>
      <c r="GC69">
        <v>2.8299699999999999</v>
      </c>
      <c r="GD69">
        <v>0.123679</v>
      </c>
      <c r="GE69">
        <v>0.13148299999999999</v>
      </c>
      <c r="GF69">
        <v>0.125279</v>
      </c>
      <c r="GG69">
        <v>9.9001500000000006E-2</v>
      </c>
      <c r="GH69">
        <v>22651.7</v>
      </c>
      <c r="GI69">
        <v>27850.2</v>
      </c>
      <c r="GJ69">
        <v>23285</v>
      </c>
      <c r="GK69">
        <v>29404.9</v>
      </c>
      <c r="GL69">
        <v>27810.1</v>
      </c>
      <c r="GM69">
        <v>37690.9</v>
      </c>
      <c r="GN69">
        <v>32937.5</v>
      </c>
      <c r="GO69">
        <v>43609.2</v>
      </c>
      <c r="GP69">
        <v>1.9307000000000001</v>
      </c>
      <c r="GQ69">
        <v>1.7098</v>
      </c>
      <c r="GR69">
        <v>4.8428799999999999E-3</v>
      </c>
      <c r="GS69">
        <v>0</v>
      </c>
      <c r="GT69">
        <v>29.912199999999999</v>
      </c>
      <c r="GU69">
        <v>999.9</v>
      </c>
      <c r="GV69">
        <v>29.2</v>
      </c>
      <c r="GW69">
        <v>46.3</v>
      </c>
      <c r="GX69">
        <v>30.342600000000001</v>
      </c>
      <c r="GY69">
        <v>61.074100000000001</v>
      </c>
      <c r="GZ69">
        <v>39.0505</v>
      </c>
      <c r="HA69">
        <v>1</v>
      </c>
      <c r="HB69">
        <v>0.67636200000000002</v>
      </c>
      <c r="HC69">
        <v>3.8717199999999998</v>
      </c>
      <c r="HD69">
        <v>20.2254</v>
      </c>
      <c r="HE69">
        <v>5.2088999999999999</v>
      </c>
      <c r="HF69">
        <v>11.8782</v>
      </c>
      <c r="HG69">
        <v>4.9842000000000004</v>
      </c>
      <c r="HH69">
        <v>3.2839999999999998</v>
      </c>
      <c r="HI69">
        <v>9999</v>
      </c>
      <c r="HJ69">
        <v>9999</v>
      </c>
      <c r="HK69">
        <v>9999</v>
      </c>
      <c r="HL69">
        <v>999.9</v>
      </c>
      <c r="HM69">
        <v>1.85486</v>
      </c>
      <c r="HN69">
        <v>1.8608100000000001</v>
      </c>
      <c r="HO69">
        <v>1.85822</v>
      </c>
      <c r="HP69">
        <v>1.85928</v>
      </c>
      <c r="HQ69">
        <v>1.85867</v>
      </c>
      <c r="HR69">
        <v>1.8591599999999999</v>
      </c>
      <c r="HS69">
        <v>1.85745</v>
      </c>
      <c r="HT69">
        <v>1.8608100000000001</v>
      </c>
      <c r="HU69">
        <v>5</v>
      </c>
      <c r="HV69">
        <v>0</v>
      </c>
      <c r="HW69">
        <v>0</v>
      </c>
      <c r="HX69">
        <v>0</v>
      </c>
      <c r="HY69" t="s">
        <v>422</v>
      </c>
      <c r="HZ69" t="s">
        <v>423</v>
      </c>
      <c r="IA69" t="s">
        <v>424</v>
      </c>
      <c r="IB69" t="s">
        <v>424</v>
      </c>
      <c r="IC69" t="s">
        <v>424</v>
      </c>
      <c r="ID69" t="s">
        <v>424</v>
      </c>
      <c r="IE69">
        <v>0</v>
      </c>
      <c r="IF69">
        <v>100</v>
      </c>
      <c r="IG69">
        <v>100</v>
      </c>
      <c r="IH69">
        <v>-2.456</v>
      </c>
      <c r="II69">
        <v>7.1400000000000005E-2</v>
      </c>
      <c r="IJ69">
        <v>-0.51132080115129908</v>
      </c>
      <c r="IK69">
        <v>-4.1229525807901877E-3</v>
      </c>
      <c r="IL69">
        <v>1.8448211998558991E-6</v>
      </c>
      <c r="IM69">
        <v>-3.7020276670297668E-10</v>
      </c>
      <c r="IN69">
        <v>-0.17889607895809029</v>
      </c>
      <c r="IO69">
        <v>-1.3488639696665739E-2</v>
      </c>
      <c r="IP69">
        <v>1.1588640342490499E-3</v>
      </c>
      <c r="IQ69">
        <v>-1.0624341560077559E-5</v>
      </c>
      <c r="IR69">
        <v>2</v>
      </c>
      <c r="IS69">
        <v>1915</v>
      </c>
      <c r="IT69">
        <v>1</v>
      </c>
      <c r="IU69">
        <v>42</v>
      </c>
      <c r="IV69">
        <v>0.8</v>
      </c>
      <c r="IW69">
        <v>0.6</v>
      </c>
      <c r="IX69">
        <v>1.58081</v>
      </c>
      <c r="IY69">
        <v>2.4853499999999999</v>
      </c>
      <c r="IZ69">
        <v>1.49414</v>
      </c>
      <c r="JA69">
        <v>2.2839399999999999</v>
      </c>
      <c r="JB69">
        <v>1.54419</v>
      </c>
      <c r="JC69">
        <v>2.47437</v>
      </c>
      <c r="JD69">
        <v>48.239600000000003</v>
      </c>
      <c r="JE69">
        <v>23.991199999999999</v>
      </c>
      <c r="JF69">
        <v>18</v>
      </c>
      <c r="JG69">
        <v>514.24</v>
      </c>
      <c r="JH69">
        <v>397.577</v>
      </c>
      <c r="JI69">
        <v>24.798999999999999</v>
      </c>
      <c r="JJ69">
        <v>35.5974</v>
      </c>
      <c r="JK69">
        <v>29.9986</v>
      </c>
      <c r="JL69">
        <v>35.564399999999999</v>
      </c>
      <c r="JM69">
        <v>35.534799999999997</v>
      </c>
      <c r="JN69">
        <v>31.710799999999999</v>
      </c>
      <c r="JO69">
        <v>31.9634</v>
      </c>
      <c r="JP69">
        <v>0</v>
      </c>
      <c r="JQ69">
        <v>24.8095</v>
      </c>
      <c r="JR69">
        <v>700</v>
      </c>
      <c r="JS69">
        <v>19.962399999999999</v>
      </c>
      <c r="JT69">
        <v>97.671899999999994</v>
      </c>
      <c r="JU69">
        <v>98.041300000000007</v>
      </c>
    </row>
    <row r="70" spans="1:281" x14ac:dyDescent="0.25">
      <c r="A70">
        <v>54</v>
      </c>
      <c r="B70">
        <v>1691170208</v>
      </c>
      <c r="C70">
        <v>10962.400000095369</v>
      </c>
      <c r="D70" t="s">
        <v>691</v>
      </c>
      <c r="E70" t="s">
        <v>692</v>
      </c>
      <c r="F70" t="s">
        <v>413</v>
      </c>
      <c r="G70" t="s">
        <v>636</v>
      </c>
      <c r="H70" t="s">
        <v>637</v>
      </c>
      <c r="I70" t="s">
        <v>415</v>
      </c>
      <c r="J70">
        <v>1691170208</v>
      </c>
      <c r="K70">
        <f t="shared" si="46"/>
        <v>4.5710441071492988E-3</v>
      </c>
      <c r="L70">
        <f t="shared" si="47"/>
        <v>4.5710441071492989</v>
      </c>
      <c r="M70">
        <f t="shared" si="48"/>
        <v>62.467156837449195</v>
      </c>
      <c r="N70">
        <f t="shared" si="49"/>
        <v>820.726</v>
      </c>
      <c r="O70">
        <f t="shared" si="50"/>
        <v>421.54261063580395</v>
      </c>
      <c r="P70">
        <f t="shared" si="51"/>
        <v>41.843853609578524</v>
      </c>
      <c r="Q70">
        <f t="shared" si="52"/>
        <v>81.468249546059198</v>
      </c>
      <c r="R70">
        <f t="shared" si="53"/>
        <v>0.27335009954731865</v>
      </c>
      <c r="S70">
        <f t="shared" si="54"/>
        <v>2.9266318261328115</v>
      </c>
      <c r="T70">
        <f t="shared" si="55"/>
        <v>0.25991692157042401</v>
      </c>
      <c r="U70">
        <f t="shared" si="56"/>
        <v>0.16359996654053763</v>
      </c>
      <c r="V70">
        <f t="shared" si="57"/>
        <v>344.35189999339786</v>
      </c>
      <c r="W70">
        <f t="shared" si="58"/>
        <v>31.145885129648565</v>
      </c>
      <c r="X70">
        <f t="shared" si="59"/>
        <v>30.035799999999998</v>
      </c>
      <c r="Y70">
        <f t="shared" si="60"/>
        <v>4.2692184858852098</v>
      </c>
      <c r="Z70">
        <f t="shared" si="61"/>
        <v>59.593183039817688</v>
      </c>
      <c r="AA70">
        <f t="shared" si="62"/>
        <v>2.5837729701924799</v>
      </c>
      <c r="AB70">
        <f t="shared" si="63"/>
        <v>4.3356854566169254</v>
      </c>
      <c r="AC70">
        <f t="shared" si="64"/>
        <v>1.6854455156927299</v>
      </c>
      <c r="AD70">
        <f t="shared" si="65"/>
        <v>-201.58304512528409</v>
      </c>
      <c r="AE70">
        <f t="shared" si="66"/>
        <v>42.490308850320339</v>
      </c>
      <c r="AF70">
        <f t="shared" si="67"/>
        <v>3.2336550922732874</v>
      </c>
      <c r="AG70">
        <f t="shared" si="68"/>
        <v>188.4928188107074</v>
      </c>
      <c r="AH70">
        <v>0</v>
      </c>
      <c r="AI70">
        <v>0</v>
      </c>
      <c r="AJ70">
        <f t="shared" si="69"/>
        <v>1</v>
      </c>
      <c r="AK70">
        <f t="shared" si="70"/>
        <v>0</v>
      </c>
      <c r="AL70">
        <f t="shared" si="71"/>
        <v>52199.387043516224</v>
      </c>
      <c r="AM70" t="s">
        <v>416</v>
      </c>
      <c r="AN70">
        <v>10235.299999999999</v>
      </c>
      <c r="AO70">
        <v>594.051923076923</v>
      </c>
      <c r="AP70">
        <v>2007.77</v>
      </c>
      <c r="AQ70">
        <f t="shared" si="72"/>
        <v>0.70412351859180933</v>
      </c>
      <c r="AR70">
        <v>-0.54275787784279261</v>
      </c>
      <c r="AS70" t="s">
        <v>693</v>
      </c>
      <c r="AT70">
        <v>10190.1</v>
      </c>
      <c r="AU70">
        <v>701.35269230769211</v>
      </c>
      <c r="AV70">
        <v>1232.167687077565</v>
      </c>
      <c r="AW70">
        <f t="shared" si="73"/>
        <v>0.43079769120455602</v>
      </c>
      <c r="AX70">
        <v>0.5</v>
      </c>
      <c r="AY70">
        <f t="shared" si="74"/>
        <v>1513.0790999966989</v>
      </c>
      <c r="AZ70">
        <f t="shared" si="75"/>
        <v>62.467156837449195</v>
      </c>
      <c r="BA70">
        <f t="shared" si="76"/>
        <v>325.91549144422271</v>
      </c>
      <c r="BB70">
        <f t="shared" si="77"/>
        <v>4.164350344633632E-2</v>
      </c>
      <c r="BC70">
        <f t="shared" si="78"/>
        <v>0.62946165611759852</v>
      </c>
      <c r="BD70">
        <f t="shared" si="79"/>
        <v>500.78438663801853</v>
      </c>
      <c r="BE70" t="s">
        <v>694</v>
      </c>
      <c r="BF70">
        <v>540.72</v>
      </c>
      <c r="BG70">
        <f t="shared" si="80"/>
        <v>540.72</v>
      </c>
      <c r="BH70">
        <f t="shared" si="81"/>
        <v>0.56116362596517133</v>
      </c>
      <c r="BI70">
        <f t="shared" si="82"/>
        <v>0.76768641314484187</v>
      </c>
      <c r="BJ70">
        <f t="shared" si="83"/>
        <v>0.52868158067034865</v>
      </c>
      <c r="BK70">
        <f t="shared" si="84"/>
        <v>0.83184748711103595</v>
      </c>
      <c r="BL70">
        <f t="shared" si="85"/>
        <v>0.54862587214737646</v>
      </c>
      <c r="BM70">
        <f t="shared" si="86"/>
        <v>0.59186113045327549</v>
      </c>
      <c r="BN70">
        <f t="shared" si="87"/>
        <v>0.40813886954672451</v>
      </c>
      <c r="BO70">
        <v>12575</v>
      </c>
      <c r="BP70">
        <v>290.00000000000011</v>
      </c>
      <c r="BQ70">
        <v>1064.71</v>
      </c>
      <c r="BR70">
        <v>295</v>
      </c>
      <c r="BS70">
        <v>10190.1</v>
      </c>
      <c r="BT70">
        <v>1065.9100000000001</v>
      </c>
      <c r="BU70">
        <v>-1.2</v>
      </c>
      <c r="BV70">
        <v>300.00000000000011</v>
      </c>
      <c r="BW70">
        <v>24.2</v>
      </c>
      <c r="BX70">
        <v>1232.167687077565</v>
      </c>
      <c r="BY70">
        <v>2.7212656262313102</v>
      </c>
      <c r="BZ70">
        <v>-169.42051499760001</v>
      </c>
      <c r="CA70">
        <v>2.4699080955373089</v>
      </c>
      <c r="CB70">
        <v>0.99408423640420795</v>
      </c>
      <c r="CC70">
        <v>-6.962821357063405E-3</v>
      </c>
      <c r="CD70">
        <v>289.99999999999989</v>
      </c>
      <c r="CE70">
        <v>1049.3900000000001</v>
      </c>
      <c r="CF70">
        <v>625</v>
      </c>
      <c r="CG70">
        <v>10175.5</v>
      </c>
      <c r="CH70">
        <v>1065.67</v>
      </c>
      <c r="CI70">
        <v>-16.28</v>
      </c>
      <c r="CW70">
        <f t="shared" si="88"/>
        <v>1799.87</v>
      </c>
      <c r="CX70">
        <f t="shared" si="89"/>
        <v>1513.0790999966989</v>
      </c>
      <c r="CY70">
        <f t="shared" si="90"/>
        <v>0.84066021434698002</v>
      </c>
      <c r="CZ70">
        <f t="shared" si="91"/>
        <v>0.19132042869396004</v>
      </c>
      <c r="DA70">
        <v>6</v>
      </c>
      <c r="DB70">
        <v>0.5</v>
      </c>
      <c r="DC70" t="s">
        <v>419</v>
      </c>
      <c r="DD70">
        <v>2</v>
      </c>
      <c r="DE70">
        <v>1691170208</v>
      </c>
      <c r="DF70">
        <v>820.726</v>
      </c>
      <c r="DG70">
        <v>900.17100000000005</v>
      </c>
      <c r="DH70">
        <v>26.029399999999999</v>
      </c>
      <c r="DI70">
        <v>20.688099999999999</v>
      </c>
      <c r="DJ70">
        <v>823.34400000000005</v>
      </c>
      <c r="DK70">
        <v>26.0684</v>
      </c>
      <c r="DL70">
        <v>500.11</v>
      </c>
      <c r="DM70">
        <v>99.164400000000001</v>
      </c>
      <c r="DN70">
        <v>9.92392E-2</v>
      </c>
      <c r="DO70">
        <v>30.305099999999999</v>
      </c>
      <c r="DP70">
        <v>30.035799999999998</v>
      </c>
      <c r="DQ70">
        <v>999.9</v>
      </c>
      <c r="DR70">
        <v>0</v>
      </c>
      <c r="DS70">
        <v>0</v>
      </c>
      <c r="DT70">
        <v>10067.5</v>
      </c>
      <c r="DU70">
        <v>0</v>
      </c>
      <c r="DV70">
        <v>1034.77</v>
      </c>
      <c r="DW70">
        <v>-79.688999999999993</v>
      </c>
      <c r="DX70">
        <v>842.50300000000004</v>
      </c>
      <c r="DY70">
        <v>919.18700000000001</v>
      </c>
      <c r="DZ70">
        <v>5.4491500000000004</v>
      </c>
      <c r="EA70">
        <v>900.17100000000005</v>
      </c>
      <c r="EB70">
        <v>20.688099999999999</v>
      </c>
      <c r="EC70">
        <v>2.5918800000000002</v>
      </c>
      <c r="ED70">
        <v>2.05152</v>
      </c>
      <c r="EE70">
        <v>21.615300000000001</v>
      </c>
      <c r="EF70">
        <v>17.8477</v>
      </c>
      <c r="EG70">
        <v>1799.87</v>
      </c>
      <c r="EH70">
        <v>0.97799400000000003</v>
      </c>
      <c r="EI70">
        <v>2.2005899999999998E-2</v>
      </c>
      <c r="EJ70">
        <v>0</v>
      </c>
      <c r="EK70">
        <v>701.47500000000002</v>
      </c>
      <c r="EL70">
        <v>0.100005</v>
      </c>
      <c r="EM70">
        <v>15677.2</v>
      </c>
      <c r="EN70">
        <v>14861.5</v>
      </c>
      <c r="EO70">
        <v>47.936999999999998</v>
      </c>
      <c r="EP70">
        <v>49.75</v>
      </c>
      <c r="EQ70">
        <v>48.75</v>
      </c>
      <c r="ER70">
        <v>48.561999999999998</v>
      </c>
      <c r="ES70">
        <v>49</v>
      </c>
      <c r="ET70">
        <v>1760.16</v>
      </c>
      <c r="EU70">
        <v>39.61</v>
      </c>
      <c r="EV70">
        <v>0</v>
      </c>
      <c r="EW70">
        <v>97.799999952316284</v>
      </c>
      <c r="EX70">
        <v>0</v>
      </c>
      <c r="EY70">
        <v>701.35269230769211</v>
      </c>
      <c r="EZ70">
        <v>0.55179488030038493</v>
      </c>
      <c r="FA70">
        <v>1770.806839924069</v>
      </c>
      <c r="FB70">
        <v>15326.473076923079</v>
      </c>
      <c r="FC70">
        <v>15</v>
      </c>
      <c r="FD70">
        <v>1691170243.5</v>
      </c>
      <c r="FE70" t="s">
        <v>695</v>
      </c>
      <c r="FF70">
        <v>1691170243.5</v>
      </c>
      <c r="FG70">
        <v>1691170234</v>
      </c>
      <c r="FH70">
        <v>64</v>
      </c>
      <c r="FI70">
        <v>0.38500000000000001</v>
      </c>
      <c r="FJ70">
        <v>1.6E-2</v>
      </c>
      <c r="FK70">
        <v>-2.6179999999999999</v>
      </c>
      <c r="FL70">
        <v>-3.9E-2</v>
      </c>
      <c r="FM70">
        <v>900</v>
      </c>
      <c r="FN70">
        <v>21</v>
      </c>
      <c r="FO70">
        <v>0.15</v>
      </c>
      <c r="FP70">
        <v>0.09</v>
      </c>
      <c r="FQ70">
        <v>62.507259907754261</v>
      </c>
      <c r="FR70">
        <v>-0.27549604548783319</v>
      </c>
      <c r="FS70">
        <v>0.11119913271735669</v>
      </c>
      <c r="FT70">
        <v>1</v>
      </c>
      <c r="FU70">
        <v>0.28406309534892249</v>
      </c>
      <c r="FV70">
        <v>-2.6072337334803741E-2</v>
      </c>
      <c r="FW70">
        <v>2.2430770200808771E-3</v>
      </c>
      <c r="FX70">
        <v>1</v>
      </c>
      <c r="FY70">
        <v>2</v>
      </c>
      <c r="FZ70">
        <v>2</v>
      </c>
      <c r="GA70" t="s">
        <v>421</v>
      </c>
      <c r="GB70">
        <v>2.91608</v>
      </c>
      <c r="GC70">
        <v>2.8297099999999999</v>
      </c>
      <c r="GD70">
        <v>0.149287</v>
      </c>
      <c r="GE70">
        <v>0.15555099999999999</v>
      </c>
      <c r="GF70">
        <v>0.12496699999999999</v>
      </c>
      <c r="GG70">
        <v>0.102245</v>
      </c>
      <c r="GH70">
        <v>21997.599999999999</v>
      </c>
      <c r="GI70">
        <v>27085.1</v>
      </c>
      <c r="GJ70">
        <v>23293.3</v>
      </c>
      <c r="GK70">
        <v>29412.2</v>
      </c>
      <c r="GL70">
        <v>27829.8</v>
      </c>
      <c r="GM70">
        <v>37566.5</v>
      </c>
      <c r="GN70">
        <v>32947.300000000003</v>
      </c>
      <c r="GO70">
        <v>43618.7</v>
      </c>
      <c r="GP70">
        <v>1.9317</v>
      </c>
      <c r="GQ70">
        <v>1.7143999999999999</v>
      </c>
      <c r="GR70">
        <v>1.5377999999999999E-2</v>
      </c>
      <c r="GS70">
        <v>0</v>
      </c>
      <c r="GT70">
        <v>29.785599999999999</v>
      </c>
      <c r="GU70">
        <v>999.9</v>
      </c>
      <c r="GV70">
        <v>29.2</v>
      </c>
      <c r="GW70">
        <v>46.2</v>
      </c>
      <c r="GX70">
        <v>30.186499999999999</v>
      </c>
      <c r="GY70">
        <v>61.274099999999997</v>
      </c>
      <c r="GZ70">
        <v>38.998399999999997</v>
      </c>
      <c r="HA70">
        <v>1</v>
      </c>
      <c r="HB70">
        <v>0.66527400000000003</v>
      </c>
      <c r="HC70">
        <v>4.4212100000000003</v>
      </c>
      <c r="HD70">
        <v>20.212299999999999</v>
      </c>
      <c r="HE70">
        <v>5.2095000000000002</v>
      </c>
      <c r="HF70">
        <v>11.8782</v>
      </c>
      <c r="HG70">
        <v>4.9836</v>
      </c>
      <c r="HH70">
        <v>3.2839999999999998</v>
      </c>
      <c r="HI70">
        <v>9999</v>
      </c>
      <c r="HJ70">
        <v>9999</v>
      </c>
      <c r="HK70">
        <v>9999</v>
      </c>
      <c r="HL70">
        <v>999.9</v>
      </c>
      <c r="HM70">
        <v>1.85486</v>
      </c>
      <c r="HN70">
        <v>1.8608100000000001</v>
      </c>
      <c r="HO70">
        <v>1.8582000000000001</v>
      </c>
      <c r="HP70">
        <v>1.85928</v>
      </c>
      <c r="HQ70">
        <v>1.85867</v>
      </c>
      <c r="HR70">
        <v>1.8591800000000001</v>
      </c>
      <c r="HS70">
        <v>1.85747</v>
      </c>
      <c r="HT70">
        <v>1.8608100000000001</v>
      </c>
      <c r="HU70">
        <v>5</v>
      </c>
      <c r="HV70">
        <v>0</v>
      </c>
      <c r="HW70">
        <v>0</v>
      </c>
      <c r="HX70">
        <v>0</v>
      </c>
      <c r="HY70" t="s">
        <v>422</v>
      </c>
      <c r="HZ70" t="s">
        <v>423</v>
      </c>
      <c r="IA70" t="s">
        <v>424</v>
      </c>
      <c r="IB70" t="s">
        <v>424</v>
      </c>
      <c r="IC70" t="s">
        <v>424</v>
      </c>
      <c r="ID70" t="s">
        <v>424</v>
      </c>
      <c r="IE70">
        <v>0</v>
      </c>
      <c r="IF70">
        <v>100</v>
      </c>
      <c r="IG70">
        <v>100</v>
      </c>
      <c r="IH70">
        <v>-2.6179999999999999</v>
      </c>
      <c r="II70">
        <v>-3.9E-2</v>
      </c>
      <c r="IJ70">
        <v>-0.51132080115129908</v>
      </c>
      <c r="IK70">
        <v>-4.1229525807901877E-3</v>
      </c>
      <c r="IL70">
        <v>1.8448211998558991E-6</v>
      </c>
      <c r="IM70">
        <v>-3.7020276670297668E-10</v>
      </c>
      <c r="IN70">
        <v>-0.17889607895809029</v>
      </c>
      <c r="IO70">
        <v>-1.3488639696665739E-2</v>
      </c>
      <c r="IP70">
        <v>1.1588640342490499E-3</v>
      </c>
      <c r="IQ70">
        <v>-1.0624341560077559E-5</v>
      </c>
      <c r="IR70">
        <v>2</v>
      </c>
      <c r="IS70">
        <v>1915</v>
      </c>
      <c r="IT70">
        <v>1</v>
      </c>
      <c r="IU70">
        <v>42</v>
      </c>
      <c r="IV70">
        <v>2.4</v>
      </c>
      <c r="IW70">
        <v>2.2999999999999998</v>
      </c>
      <c r="IX70">
        <v>1.94336</v>
      </c>
      <c r="IY70">
        <v>2.4841299999999999</v>
      </c>
      <c r="IZ70">
        <v>1.49414</v>
      </c>
      <c r="JA70">
        <v>2.2839399999999999</v>
      </c>
      <c r="JB70">
        <v>1.54419</v>
      </c>
      <c r="JC70">
        <v>2.4902299999999999</v>
      </c>
      <c r="JD70">
        <v>48.0869</v>
      </c>
      <c r="JE70">
        <v>23.982399999999998</v>
      </c>
      <c r="JF70">
        <v>18</v>
      </c>
      <c r="JG70">
        <v>513.81799999999998</v>
      </c>
      <c r="JH70">
        <v>399.64600000000002</v>
      </c>
      <c r="JI70">
        <v>24.202200000000001</v>
      </c>
      <c r="JJ70">
        <v>35.422499999999999</v>
      </c>
      <c r="JK70">
        <v>29.999400000000001</v>
      </c>
      <c r="JL70">
        <v>35.424900000000001</v>
      </c>
      <c r="JM70">
        <v>35.405099999999997</v>
      </c>
      <c r="JN70">
        <v>38.946399999999997</v>
      </c>
      <c r="JO70">
        <v>29.139600000000002</v>
      </c>
      <c r="JP70">
        <v>0</v>
      </c>
      <c r="JQ70">
        <v>24.2089</v>
      </c>
      <c r="JR70">
        <v>900</v>
      </c>
      <c r="JS70">
        <v>20.789200000000001</v>
      </c>
      <c r="JT70">
        <v>97.703400000000002</v>
      </c>
      <c r="JU70">
        <v>98.063900000000004</v>
      </c>
    </row>
    <row r="71" spans="1:281" x14ac:dyDescent="0.25">
      <c r="A71">
        <v>55</v>
      </c>
      <c r="B71">
        <v>1691170343</v>
      </c>
      <c r="C71">
        <v>11097.400000095369</v>
      </c>
      <c r="D71" t="s">
        <v>696</v>
      </c>
      <c r="E71" t="s">
        <v>697</v>
      </c>
      <c r="F71" t="s">
        <v>413</v>
      </c>
      <c r="G71" t="s">
        <v>636</v>
      </c>
      <c r="H71" t="s">
        <v>637</v>
      </c>
      <c r="I71" t="s">
        <v>415</v>
      </c>
      <c r="J71">
        <v>1691170343</v>
      </c>
      <c r="K71">
        <f t="shared" si="46"/>
        <v>4.0359157956570612E-3</v>
      </c>
      <c r="L71">
        <f t="shared" si="47"/>
        <v>4.0359157956570613</v>
      </c>
      <c r="M71">
        <f t="shared" si="48"/>
        <v>61.661147088684167</v>
      </c>
      <c r="N71">
        <f t="shared" si="49"/>
        <v>1120.75</v>
      </c>
      <c r="O71">
        <f t="shared" si="50"/>
        <v>672.14258053379683</v>
      </c>
      <c r="P71">
        <f t="shared" si="51"/>
        <v>66.717021759437557</v>
      </c>
      <c r="Q71">
        <f t="shared" si="52"/>
        <v>111.24589380649999</v>
      </c>
      <c r="R71">
        <f t="shared" si="53"/>
        <v>0.24202099697597682</v>
      </c>
      <c r="S71">
        <f t="shared" si="54"/>
        <v>2.9055606763240984</v>
      </c>
      <c r="T71">
        <f t="shared" si="55"/>
        <v>0.23135324206691862</v>
      </c>
      <c r="U71">
        <f t="shared" si="56"/>
        <v>0.14551504500127521</v>
      </c>
      <c r="V71">
        <f t="shared" si="57"/>
        <v>344.37469999339834</v>
      </c>
      <c r="W71">
        <f t="shared" si="58"/>
        <v>31.125313392713508</v>
      </c>
      <c r="X71">
        <f t="shared" si="59"/>
        <v>29.978400000000001</v>
      </c>
      <c r="Y71">
        <f t="shared" si="60"/>
        <v>4.2551667476066841</v>
      </c>
      <c r="Z71">
        <f t="shared" si="61"/>
        <v>60.152085422157988</v>
      </c>
      <c r="AA71">
        <f t="shared" si="62"/>
        <v>2.5832373515278002</v>
      </c>
      <c r="AB71">
        <f t="shared" si="63"/>
        <v>4.2945100463237198</v>
      </c>
      <c r="AC71">
        <f t="shared" si="64"/>
        <v>1.6719293960788839</v>
      </c>
      <c r="AD71">
        <f t="shared" si="65"/>
        <v>-177.98388658847639</v>
      </c>
      <c r="AE71">
        <f t="shared" si="66"/>
        <v>25.110127325272078</v>
      </c>
      <c r="AF71">
        <f t="shared" si="67"/>
        <v>1.9226924764079047</v>
      </c>
      <c r="AG71">
        <f t="shared" si="68"/>
        <v>193.42363320660195</v>
      </c>
      <c r="AH71">
        <v>0</v>
      </c>
      <c r="AI71">
        <v>0</v>
      </c>
      <c r="AJ71">
        <f t="shared" si="69"/>
        <v>1</v>
      </c>
      <c r="AK71">
        <f t="shared" si="70"/>
        <v>0</v>
      </c>
      <c r="AL71">
        <f t="shared" si="71"/>
        <v>51628.31034319321</v>
      </c>
      <c r="AM71" t="s">
        <v>416</v>
      </c>
      <c r="AN71">
        <v>10235.299999999999</v>
      </c>
      <c r="AO71">
        <v>594.051923076923</v>
      </c>
      <c r="AP71">
        <v>2007.77</v>
      </c>
      <c r="AQ71">
        <f t="shared" si="72"/>
        <v>0.70412351859180933</v>
      </c>
      <c r="AR71">
        <v>-0.54275787784279261</v>
      </c>
      <c r="AS71" t="s">
        <v>698</v>
      </c>
      <c r="AT71">
        <v>10191.9</v>
      </c>
      <c r="AU71">
        <v>698.79634615384634</v>
      </c>
      <c r="AV71">
        <v>1233.020693385942</v>
      </c>
      <c r="AW71">
        <f t="shared" si="73"/>
        <v>0.4332647052054629</v>
      </c>
      <c r="AX71">
        <v>0.5</v>
      </c>
      <c r="AY71">
        <f t="shared" si="74"/>
        <v>1513.1798999966993</v>
      </c>
      <c r="AZ71">
        <f t="shared" si="75"/>
        <v>61.661147088684167</v>
      </c>
      <c r="BA71">
        <f t="shared" si="76"/>
        <v>327.80372164745086</v>
      </c>
      <c r="BB71">
        <f t="shared" si="77"/>
        <v>4.1108069811568768E-2</v>
      </c>
      <c r="BC71">
        <f t="shared" si="78"/>
        <v>0.62833439111760103</v>
      </c>
      <c r="BD71">
        <f t="shared" si="79"/>
        <v>500.92522979409813</v>
      </c>
      <c r="BE71" t="s">
        <v>699</v>
      </c>
      <c r="BF71">
        <v>539.77</v>
      </c>
      <c r="BG71">
        <f t="shared" si="80"/>
        <v>539.77</v>
      </c>
      <c r="BH71">
        <f t="shared" si="81"/>
        <v>0.56223767946849112</v>
      </c>
      <c r="BI71">
        <f t="shared" si="82"/>
        <v>0.77060773588680098</v>
      </c>
      <c r="BJ71">
        <f t="shared" si="83"/>
        <v>0.52775838325208313</v>
      </c>
      <c r="BK71">
        <f t="shared" si="84"/>
        <v>0.83607270348084983</v>
      </c>
      <c r="BL71">
        <f t="shared" si="85"/>
        <v>0.54802249420215454</v>
      </c>
      <c r="BM71">
        <f t="shared" si="86"/>
        <v>0.59523914211772821</v>
      </c>
      <c r="BN71">
        <f t="shared" si="87"/>
        <v>0.40476085788227179</v>
      </c>
      <c r="BO71">
        <v>12577</v>
      </c>
      <c r="BP71">
        <v>290.00000000000011</v>
      </c>
      <c r="BQ71">
        <v>1064.97</v>
      </c>
      <c r="BR71">
        <v>275</v>
      </c>
      <c r="BS71">
        <v>10191.9</v>
      </c>
      <c r="BT71">
        <v>1066.73</v>
      </c>
      <c r="BU71">
        <v>-1.76</v>
      </c>
      <c r="BV71">
        <v>300.00000000000011</v>
      </c>
      <c r="BW71">
        <v>24.2</v>
      </c>
      <c r="BX71">
        <v>1233.020693385942</v>
      </c>
      <c r="BY71">
        <v>2.9684282581664969</v>
      </c>
      <c r="BZ71">
        <v>-169.47916169868299</v>
      </c>
      <c r="CA71">
        <v>2.694430869303583</v>
      </c>
      <c r="CB71">
        <v>0.99297256628485442</v>
      </c>
      <c r="CC71">
        <v>-6.9632351501668606E-3</v>
      </c>
      <c r="CD71">
        <v>289.99999999999989</v>
      </c>
      <c r="CE71">
        <v>1050.99</v>
      </c>
      <c r="CF71">
        <v>635</v>
      </c>
      <c r="CG71">
        <v>10175.6</v>
      </c>
      <c r="CH71">
        <v>1066.47</v>
      </c>
      <c r="CI71">
        <v>-15.48</v>
      </c>
      <c r="CW71">
        <f t="shared" si="88"/>
        <v>1799.99</v>
      </c>
      <c r="CX71">
        <f t="shared" si="89"/>
        <v>1513.1798999966993</v>
      </c>
      <c r="CY71">
        <f t="shared" si="90"/>
        <v>0.84066017033244589</v>
      </c>
      <c r="CZ71">
        <f t="shared" si="91"/>
        <v>0.19132034066489165</v>
      </c>
      <c r="DA71">
        <v>6</v>
      </c>
      <c r="DB71">
        <v>0.5</v>
      </c>
      <c r="DC71" t="s">
        <v>419</v>
      </c>
      <c r="DD71">
        <v>2</v>
      </c>
      <c r="DE71">
        <v>1691170343</v>
      </c>
      <c r="DF71">
        <v>1120.75</v>
      </c>
      <c r="DG71">
        <v>1200.1400000000001</v>
      </c>
      <c r="DH71">
        <v>26.024899999999999</v>
      </c>
      <c r="DI71">
        <v>21.309699999999999</v>
      </c>
      <c r="DJ71">
        <v>1123.42</v>
      </c>
      <c r="DK71">
        <v>25.9405</v>
      </c>
      <c r="DL71">
        <v>500.197</v>
      </c>
      <c r="DM71">
        <v>99.159400000000005</v>
      </c>
      <c r="DN71">
        <v>0.10082199999999999</v>
      </c>
      <c r="DO71">
        <v>30.1387</v>
      </c>
      <c r="DP71">
        <v>29.978400000000001</v>
      </c>
      <c r="DQ71">
        <v>999.9</v>
      </c>
      <c r="DR71">
        <v>0</v>
      </c>
      <c r="DS71">
        <v>0</v>
      </c>
      <c r="DT71">
        <v>9947.5</v>
      </c>
      <c r="DU71">
        <v>0</v>
      </c>
      <c r="DV71">
        <v>724.57799999999997</v>
      </c>
      <c r="DW71">
        <v>-79.3947</v>
      </c>
      <c r="DX71">
        <v>1150.69</v>
      </c>
      <c r="DY71">
        <v>1226.27</v>
      </c>
      <c r="DZ71">
        <v>4.7151500000000004</v>
      </c>
      <c r="EA71">
        <v>1200.1400000000001</v>
      </c>
      <c r="EB71">
        <v>21.309699999999999</v>
      </c>
      <c r="EC71">
        <v>2.5806100000000001</v>
      </c>
      <c r="ED71">
        <v>2.1130599999999999</v>
      </c>
      <c r="EE71">
        <v>21.544</v>
      </c>
      <c r="EF71">
        <v>18.318000000000001</v>
      </c>
      <c r="EG71">
        <v>1799.99</v>
      </c>
      <c r="EH71">
        <v>0.97799400000000003</v>
      </c>
      <c r="EI71">
        <v>2.2005899999999998E-2</v>
      </c>
      <c r="EJ71">
        <v>0</v>
      </c>
      <c r="EK71">
        <v>697.72</v>
      </c>
      <c r="EL71">
        <v>0.100005</v>
      </c>
      <c r="EM71">
        <v>14938.3</v>
      </c>
      <c r="EN71">
        <v>14862.4</v>
      </c>
      <c r="EO71">
        <v>47.811999999999998</v>
      </c>
      <c r="EP71">
        <v>49.625</v>
      </c>
      <c r="EQ71">
        <v>48.561999999999998</v>
      </c>
      <c r="ER71">
        <v>48.436999999999998</v>
      </c>
      <c r="ES71">
        <v>48.875</v>
      </c>
      <c r="ET71">
        <v>1760.28</v>
      </c>
      <c r="EU71">
        <v>39.61</v>
      </c>
      <c r="EV71">
        <v>0</v>
      </c>
      <c r="EW71">
        <v>132.5999999046326</v>
      </c>
      <c r="EX71">
        <v>0</v>
      </c>
      <c r="EY71">
        <v>698.79634615384634</v>
      </c>
      <c r="EZ71">
        <v>-6.9297435054590668</v>
      </c>
      <c r="FA71">
        <v>62.341880169845084</v>
      </c>
      <c r="FB71">
        <v>14929.403846153849</v>
      </c>
      <c r="FC71">
        <v>15</v>
      </c>
      <c r="FD71">
        <v>1691170313.5</v>
      </c>
      <c r="FE71" t="s">
        <v>700</v>
      </c>
      <c r="FF71">
        <v>1691170313</v>
      </c>
      <c r="FG71">
        <v>1691170313.5</v>
      </c>
      <c r="FH71">
        <v>65</v>
      </c>
      <c r="FI71">
        <v>0.28299999999999997</v>
      </c>
      <c r="FJ71">
        <v>3.0000000000000001E-3</v>
      </c>
      <c r="FK71">
        <v>-2.78</v>
      </c>
      <c r="FL71">
        <v>-2.7E-2</v>
      </c>
      <c r="FM71">
        <v>1200</v>
      </c>
      <c r="FN71">
        <v>21</v>
      </c>
      <c r="FO71">
        <v>0.11</v>
      </c>
      <c r="FP71">
        <v>0.06</v>
      </c>
      <c r="FQ71">
        <v>61.606009511087329</v>
      </c>
      <c r="FR71">
        <v>-0.51849539595265004</v>
      </c>
      <c r="FS71">
        <v>0.13868011433875849</v>
      </c>
      <c r="FT71">
        <v>1</v>
      </c>
      <c r="FU71">
        <v>0.2479056613781272</v>
      </c>
      <c r="FV71">
        <v>-3.8813324864686548E-2</v>
      </c>
      <c r="FW71">
        <v>3.15223798032209E-3</v>
      </c>
      <c r="FX71">
        <v>1</v>
      </c>
      <c r="FY71">
        <v>2</v>
      </c>
      <c r="FZ71">
        <v>2</v>
      </c>
      <c r="GA71" t="s">
        <v>421</v>
      </c>
      <c r="GB71">
        <v>2.9164400000000001</v>
      </c>
      <c r="GC71">
        <v>2.8302499999999999</v>
      </c>
      <c r="GD71">
        <v>0.182255</v>
      </c>
      <c r="GE71">
        <v>0.186753</v>
      </c>
      <c r="GF71">
        <v>0.124565</v>
      </c>
      <c r="GG71">
        <v>0.10444100000000001</v>
      </c>
      <c r="GH71">
        <v>21149.1</v>
      </c>
      <c r="GI71">
        <v>26087.9</v>
      </c>
      <c r="GJ71">
        <v>23298.7</v>
      </c>
      <c r="GK71">
        <v>29417.599999999999</v>
      </c>
      <c r="GL71">
        <v>27852</v>
      </c>
      <c r="GM71">
        <v>37483.9</v>
      </c>
      <c r="GN71">
        <v>32955.800000000003</v>
      </c>
      <c r="GO71">
        <v>43625.1</v>
      </c>
      <c r="GP71">
        <v>1.9327000000000001</v>
      </c>
      <c r="GQ71">
        <v>1.7190000000000001</v>
      </c>
      <c r="GR71">
        <v>1.1056699999999999E-2</v>
      </c>
      <c r="GS71">
        <v>0</v>
      </c>
      <c r="GT71">
        <v>29.798400000000001</v>
      </c>
      <c r="GU71">
        <v>999.9</v>
      </c>
      <c r="GV71">
        <v>29.2</v>
      </c>
      <c r="GW71">
        <v>46.1</v>
      </c>
      <c r="GX71">
        <v>30.033200000000001</v>
      </c>
      <c r="GY71">
        <v>61.424199999999999</v>
      </c>
      <c r="GZ71">
        <v>38.2652</v>
      </c>
      <c r="HA71">
        <v>1</v>
      </c>
      <c r="HB71">
        <v>0.65333300000000005</v>
      </c>
      <c r="HC71">
        <v>4.2848800000000002</v>
      </c>
      <c r="HD71">
        <v>20.216999999999999</v>
      </c>
      <c r="HE71">
        <v>5.2095000000000002</v>
      </c>
      <c r="HF71">
        <v>11.8782</v>
      </c>
      <c r="HG71">
        <v>4.9843999999999999</v>
      </c>
      <c r="HH71">
        <v>3.2839999999999998</v>
      </c>
      <c r="HI71">
        <v>9999</v>
      </c>
      <c r="HJ71">
        <v>9999</v>
      </c>
      <c r="HK71">
        <v>9999</v>
      </c>
      <c r="HL71">
        <v>999.9</v>
      </c>
      <c r="HM71">
        <v>1.85486</v>
      </c>
      <c r="HN71">
        <v>1.8608100000000001</v>
      </c>
      <c r="HO71">
        <v>1.8582000000000001</v>
      </c>
      <c r="HP71">
        <v>1.85928</v>
      </c>
      <c r="HQ71">
        <v>1.8586400000000001</v>
      </c>
      <c r="HR71">
        <v>1.85914</v>
      </c>
      <c r="HS71">
        <v>1.85747</v>
      </c>
      <c r="HT71">
        <v>1.8608100000000001</v>
      </c>
      <c r="HU71">
        <v>5</v>
      </c>
      <c r="HV71">
        <v>0</v>
      </c>
      <c r="HW71">
        <v>0</v>
      </c>
      <c r="HX71">
        <v>0</v>
      </c>
      <c r="HY71" t="s">
        <v>422</v>
      </c>
      <c r="HZ71" t="s">
        <v>423</v>
      </c>
      <c r="IA71" t="s">
        <v>424</v>
      </c>
      <c r="IB71" t="s">
        <v>424</v>
      </c>
      <c r="IC71" t="s">
        <v>424</v>
      </c>
      <c r="ID71" t="s">
        <v>424</v>
      </c>
      <c r="IE71">
        <v>0</v>
      </c>
      <c r="IF71">
        <v>100</v>
      </c>
      <c r="IG71">
        <v>100</v>
      </c>
      <c r="IH71">
        <v>-2.67</v>
      </c>
      <c r="II71">
        <v>8.4400000000000003E-2</v>
      </c>
      <c r="IJ71">
        <v>0.15497302507973251</v>
      </c>
      <c r="IK71">
        <v>-4.1229525807901877E-3</v>
      </c>
      <c r="IL71">
        <v>1.8448211998558991E-6</v>
      </c>
      <c r="IM71">
        <v>-3.7020276670297668E-10</v>
      </c>
      <c r="IN71">
        <v>-0.16012964496963469</v>
      </c>
      <c r="IO71">
        <v>-1.3488639696665739E-2</v>
      </c>
      <c r="IP71">
        <v>1.1588640342490499E-3</v>
      </c>
      <c r="IQ71">
        <v>-1.0624341560077559E-5</v>
      </c>
      <c r="IR71">
        <v>2</v>
      </c>
      <c r="IS71">
        <v>1915</v>
      </c>
      <c r="IT71">
        <v>1</v>
      </c>
      <c r="IU71">
        <v>42</v>
      </c>
      <c r="IV71">
        <v>0.5</v>
      </c>
      <c r="IW71">
        <v>0.5</v>
      </c>
      <c r="IX71">
        <v>2.4572799999999999</v>
      </c>
      <c r="IY71">
        <v>2.47803</v>
      </c>
      <c r="IZ71">
        <v>1.49414</v>
      </c>
      <c r="JA71">
        <v>2.2827099999999998</v>
      </c>
      <c r="JB71">
        <v>1.54419</v>
      </c>
      <c r="JC71">
        <v>2.34619</v>
      </c>
      <c r="JD71">
        <v>47.9651</v>
      </c>
      <c r="JE71">
        <v>23.982399999999998</v>
      </c>
      <c r="JF71">
        <v>18</v>
      </c>
      <c r="JG71">
        <v>513.50400000000002</v>
      </c>
      <c r="JH71">
        <v>401.74700000000001</v>
      </c>
      <c r="JI71">
        <v>24.059000000000001</v>
      </c>
      <c r="JJ71">
        <v>35.286099999999998</v>
      </c>
      <c r="JK71">
        <v>29.999500000000001</v>
      </c>
      <c r="JL71">
        <v>35.299300000000002</v>
      </c>
      <c r="JM71">
        <v>35.280299999999997</v>
      </c>
      <c r="JN71">
        <v>49.231200000000001</v>
      </c>
      <c r="JO71">
        <v>26.5199</v>
      </c>
      <c r="JP71">
        <v>0</v>
      </c>
      <c r="JQ71">
        <v>24.062999999999999</v>
      </c>
      <c r="JR71">
        <v>1200</v>
      </c>
      <c r="JS71">
        <v>21.330200000000001</v>
      </c>
      <c r="JT71">
        <v>97.727400000000003</v>
      </c>
      <c r="JU71">
        <v>98.079800000000006</v>
      </c>
    </row>
    <row r="72" spans="1:281" x14ac:dyDescent="0.25">
      <c r="A72">
        <v>56</v>
      </c>
      <c r="B72">
        <v>1691170451</v>
      </c>
      <c r="C72">
        <v>11205.400000095369</v>
      </c>
      <c r="D72" t="s">
        <v>701</v>
      </c>
      <c r="E72" t="s">
        <v>702</v>
      </c>
      <c r="F72" t="s">
        <v>413</v>
      </c>
      <c r="G72" t="s">
        <v>636</v>
      </c>
      <c r="H72" t="s">
        <v>637</v>
      </c>
      <c r="I72" t="s">
        <v>415</v>
      </c>
      <c r="J72">
        <v>1691170451</v>
      </c>
      <c r="K72">
        <f t="shared" si="46"/>
        <v>3.3797758591024899E-3</v>
      </c>
      <c r="L72">
        <f t="shared" si="47"/>
        <v>3.37977585910249</v>
      </c>
      <c r="M72">
        <f t="shared" si="48"/>
        <v>61.345418628007444</v>
      </c>
      <c r="N72">
        <f t="shared" si="49"/>
        <v>1420.66</v>
      </c>
      <c r="O72">
        <f t="shared" si="50"/>
        <v>879.24446556037856</v>
      </c>
      <c r="P72">
        <f t="shared" si="51"/>
        <v>87.274072941840714</v>
      </c>
      <c r="Q72">
        <f t="shared" si="52"/>
        <v>141.01514348064003</v>
      </c>
      <c r="R72">
        <f t="shared" si="53"/>
        <v>0.19901346418976401</v>
      </c>
      <c r="S72">
        <f t="shared" si="54"/>
        <v>2.9178264627260653</v>
      </c>
      <c r="T72">
        <f t="shared" si="55"/>
        <v>0.1917683093076715</v>
      </c>
      <c r="U72">
        <f t="shared" si="56"/>
        <v>0.12048416654870399</v>
      </c>
      <c r="V72">
        <f t="shared" si="57"/>
        <v>344.38989999339861</v>
      </c>
      <c r="W72">
        <f t="shared" si="58"/>
        <v>31.2123190371323</v>
      </c>
      <c r="X72">
        <f t="shared" si="59"/>
        <v>29.9968</v>
      </c>
      <c r="Y72">
        <f t="shared" si="60"/>
        <v>4.2596667415615386</v>
      </c>
      <c r="Z72">
        <f t="shared" si="61"/>
        <v>60.130829360936019</v>
      </c>
      <c r="AA72">
        <f t="shared" si="62"/>
        <v>2.5704646844448003</v>
      </c>
      <c r="AB72">
        <f t="shared" si="63"/>
        <v>4.2747866805820278</v>
      </c>
      <c r="AC72">
        <f t="shared" si="64"/>
        <v>1.6892020571167383</v>
      </c>
      <c r="AD72">
        <f t="shared" si="65"/>
        <v>-149.04811538641979</v>
      </c>
      <c r="AE72">
        <f t="shared" si="66"/>
        <v>9.7057715779484219</v>
      </c>
      <c r="AF72">
        <f t="shared" si="67"/>
        <v>0.73982430236352503</v>
      </c>
      <c r="AG72">
        <f t="shared" si="68"/>
        <v>205.78738048729073</v>
      </c>
      <c r="AH72">
        <v>0</v>
      </c>
      <c r="AI72">
        <v>0</v>
      </c>
      <c r="AJ72">
        <f t="shared" si="69"/>
        <v>1</v>
      </c>
      <c r="AK72">
        <f t="shared" si="70"/>
        <v>0</v>
      </c>
      <c r="AL72">
        <f t="shared" si="71"/>
        <v>51990.783128337527</v>
      </c>
      <c r="AM72" t="s">
        <v>416</v>
      </c>
      <c r="AN72">
        <v>10235.299999999999</v>
      </c>
      <c r="AO72">
        <v>594.051923076923</v>
      </c>
      <c r="AP72">
        <v>2007.77</v>
      </c>
      <c r="AQ72">
        <f t="shared" si="72"/>
        <v>0.70412351859180933</v>
      </c>
      <c r="AR72">
        <v>-0.54275787784279261</v>
      </c>
      <c r="AS72" t="s">
        <v>703</v>
      </c>
      <c r="AT72">
        <v>10196</v>
      </c>
      <c r="AU72">
        <v>695.55959999999993</v>
      </c>
      <c r="AV72">
        <v>1233.240106823343</v>
      </c>
      <c r="AW72">
        <f t="shared" si="73"/>
        <v>0.43599012377916746</v>
      </c>
      <c r="AX72">
        <v>0.5</v>
      </c>
      <c r="AY72">
        <f t="shared" si="74"/>
        <v>1513.2470999966993</v>
      </c>
      <c r="AZ72">
        <f t="shared" si="75"/>
        <v>61.345418628007444</v>
      </c>
      <c r="BA72">
        <f t="shared" si="76"/>
        <v>329.88039521801358</v>
      </c>
      <c r="BB72">
        <f t="shared" si="77"/>
        <v>4.08976012615423E-2</v>
      </c>
      <c r="BC72">
        <f t="shared" si="78"/>
        <v>0.62804468399242996</v>
      </c>
      <c r="BD72">
        <f t="shared" si="79"/>
        <v>500.96143928509559</v>
      </c>
      <c r="BE72" t="s">
        <v>704</v>
      </c>
      <c r="BF72">
        <v>541.55999999999995</v>
      </c>
      <c r="BG72">
        <f t="shared" si="80"/>
        <v>541.55999999999995</v>
      </c>
      <c r="BH72">
        <f t="shared" si="81"/>
        <v>0.560864103426717</v>
      </c>
      <c r="BI72">
        <f t="shared" si="82"/>
        <v>0.777354302255028</v>
      </c>
      <c r="BJ72">
        <f t="shared" si="83"/>
        <v>0.52825304231771508</v>
      </c>
      <c r="BK72">
        <f t="shared" si="84"/>
        <v>0.84119281378432487</v>
      </c>
      <c r="BL72">
        <f t="shared" si="85"/>
        <v>0.54786729109555032</v>
      </c>
      <c r="BM72">
        <f t="shared" si="86"/>
        <v>0.60524503713158873</v>
      </c>
      <c r="BN72">
        <f t="shared" si="87"/>
        <v>0.39475496286841127</v>
      </c>
      <c r="BO72">
        <v>12579</v>
      </c>
      <c r="BP72">
        <v>290.00000000000011</v>
      </c>
      <c r="BQ72">
        <v>1063.42</v>
      </c>
      <c r="BR72">
        <v>245</v>
      </c>
      <c r="BS72">
        <v>10196</v>
      </c>
      <c r="BT72">
        <v>1065.6500000000001</v>
      </c>
      <c r="BU72">
        <v>-2.23</v>
      </c>
      <c r="BV72">
        <v>300.00000000000011</v>
      </c>
      <c r="BW72">
        <v>24.2</v>
      </c>
      <c r="BX72">
        <v>1233.240106823343</v>
      </c>
      <c r="BY72">
        <v>3.4663319074154741</v>
      </c>
      <c r="BZ72">
        <v>-170.87323637428941</v>
      </c>
      <c r="CA72">
        <v>3.1465562746385989</v>
      </c>
      <c r="CB72">
        <v>0.990594607860805</v>
      </c>
      <c r="CC72">
        <v>-6.9634578420467259E-3</v>
      </c>
      <c r="CD72">
        <v>289.99999999999989</v>
      </c>
      <c r="CE72">
        <v>1050.68</v>
      </c>
      <c r="CF72">
        <v>635</v>
      </c>
      <c r="CG72">
        <v>10176.200000000001</v>
      </c>
      <c r="CH72">
        <v>1065.33</v>
      </c>
      <c r="CI72">
        <v>-14.65</v>
      </c>
      <c r="CW72">
        <f t="shared" si="88"/>
        <v>1800.07</v>
      </c>
      <c r="CX72">
        <f t="shared" si="89"/>
        <v>1513.2470999966993</v>
      </c>
      <c r="CY72">
        <f t="shared" si="90"/>
        <v>0.84066014099268327</v>
      </c>
      <c r="CZ72">
        <f t="shared" si="91"/>
        <v>0.19132028198536646</v>
      </c>
      <c r="DA72">
        <v>6</v>
      </c>
      <c r="DB72">
        <v>0.5</v>
      </c>
      <c r="DC72" t="s">
        <v>419</v>
      </c>
      <c r="DD72">
        <v>2</v>
      </c>
      <c r="DE72">
        <v>1691170451</v>
      </c>
      <c r="DF72">
        <v>1420.66</v>
      </c>
      <c r="DG72">
        <v>1499.98</v>
      </c>
      <c r="DH72">
        <v>25.8962</v>
      </c>
      <c r="DI72">
        <v>21.9483</v>
      </c>
      <c r="DJ72">
        <v>1423.92</v>
      </c>
      <c r="DK72">
        <v>25.8171</v>
      </c>
      <c r="DL72">
        <v>500.35500000000002</v>
      </c>
      <c r="DM72">
        <v>99.159700000000001</v>
      </c>
      <c r="DN72">
        <v>0.100604</v>
      </c>
      <c r="DO72">
        <v>30.058499999999999</v>
      </c>
      <c r="DP72">
        <v>29.9968</v>
      </c>
      <c r="DQ72">
        <v>999.9</v>
      </c>
      <c r="DR72">
        <v>0</v>
      </c>
      <c r="DS72">
        <v>0</v>
      </c>
      <c r="DT72">
        <v>10017.5</v>
      </c>
      <c r="DU72">
        <v>0</v>
      </c>
      <c r="DV72">
        <v>643.13599999999997</v>
      </c>
      <c r="DW72">
        <v>-79.319699999999997</v>
      </c>
      <c r="DX72">
        <v>1458.43</v>
      </c>
      <c r="DY72">
        <v>1533.64</v>
      </c>
      <c r="DZ72">
        <v>3.9479799999999998</v>
      </c>
      <c r="EA72">
        <v>1499.98</v>
      </c>
      <c r="EB72">
        <v>21.9483</v>
      </c>
      <c r="EC72">
        <v>2.56786</v>
      </c>
      <c r="ED72">
        <v>2.17638</v>
      </c>
      <c r="EE72">
        <v>21.463100000000001</v>
      </c>
      <c r="EF72">
        <v>18.7895</v>
      </c>
      <c r="EG72">
        <v>1800.07</v>
      </c>
      <c r="EH72">
        <v>0.97799400000000003</v>
      </c>
      <c r="EI72">
        <v>2.2005899999999998E-2</v>
      </c>
      <c r="EJ72">
        <v>0</v>
      </c>
      <c r="EK72">
        <v>693.26</v>
      </c>
      <c r="EL72">
        <v>0.100005</v>
      </c>
      <c r="EM72">
        <v>14723.8</v>
      </c>
      <c r="EN72">
        <v>14863.1</v>
      </c>
      <c r="EO72">
        <v>47.686999999999998</v>
      </c>
      <c r="EP72">
        <v>49.625</v>
      </c>
      <c r="EQ72">
        <v>48.5</v>
      </c>
      <c r="ER72">
        <v>48.375</v>
      </c>
      <c r="ES72">
        <v>48.811999999999998</v>
      </c>
      <c r="ET72">
        <v>1760.36</v>
      </c>
      <c r="EU72">
        <v>39.61</v>
      </c>
      <c r="EV72">
        <v>0</v>
      </c>
      <c r="EW72">
        <v>105.5999999046326</v>
      </c>
      <c r="EX72">
        <v>0</v>
      </c>
      <c r="EY72">
        <v>695.55959999999993</v>
      </c>
      <c r="EZ72">
        <v>-10.417692262432229</v>
      </c>
      <c r="FA72">
        <v>-90.953846141838852</v>
      </c>
      <c r="FB72">
        <v>14733.852000000001</v>
      </c>
      <c r="FC72">
        <v>15</v>
      </c>
      <c r="FD72">
        <v>1691170422</v>
      </c>
      <c r="FE72" t="s">
        <v>705</v>
      </c>
      <c r="FF72">
        <v>1691170422</v>
      </c>
      <c r="FG72">
        <v>1691170409.5</v>
      </c>
      <c r="FH72">
        <v>66</v>
      </c>
      <c r="FI72">
        <v>-0.22</v>
      </c>
      <c r="FJ72">
        <v>-2E-3</v>
      </c>
      <c r="FK72">
        <v>-3.351</v>
      </c>
      <c r="FL72">
        <v>-2.4E-2</v>
      </c>
      <c r="FM72">
        <v>1500</v>
      </c>
      <c r="FN72">
        <v>21</v>
      </c>
      <c r="FO72">
        <v>0.14000000000000001</v>
      </c>
      <c r="FP72">
        <v>7.0000000000000007E-2</v>
      </c>
      <c r="FQ72">
        <v>61.631321863881752</v>
      </c>
      <c r="FR72">
        <v>-0.45690389023850853</v>
      </c>
      <c r="FS72">
        <v>0.19275035066033</v>
      </c>
      <c r="FT72">
        <v>1</v>
      </c>
      <c r="FU72">
        <v>0.19948031646072259</v>
      </c>
      <c r="FV72">
        <v>1.9963139298406998E-2</v>
      </c>
      <c r="FW72">
        <v>2.1239005377961112E-3</v>
      </c>
      <c r="FX72">
        <v>1</v>
      </c>
      <c r="FY72">
        <v>2</v>
      </c>
      <c r="FZ72">
        <v>2</v>
      </c>
      <c r="GA72" t="s">
        <v>421</v>
      </c>
      <c r="GB72">
        <v>2.9169200000000002</v>
      </c>
      <c r="GC72">
        <v>2.8306399999999998</v>
      </c>
      <c r="GD72">
        <v>0.210623</v>
      </c>
      <c r="GE72">
        <v>0.213811</v>
      </c>
      <c r="GF72">
        <v>0.124172</v>
      </c>
      <c r="GG72">
        <v>0.106666</v>
      </c>
      <c r="GH72">
        <v>20416.8</v>
      </c>
      <c r="GI72">
        <v>25220.2</v>
      </c>
      <c r="GJ72">
        <v>23302</v>
      </c>
      <c r="GK72">
        <v>29420.2</v>
      </c>
      <c r="GL72">
        <v>27870.400000000001</v>
      </c>
      <c r="GM72">
        <v>37397.199999999997</v>
      </c>
      <c r="GN72">
        <v>32960.199999999997</v>
      </c>
      <c r="GO72">
        <v>43628.800000000003</v>
      </c>
      <c r="GP72">
        <v>1.9339999999999999</v>
      </c>
      <c r="GQ72">
        <v>1.7224999999999999</v>
      </c>
      <c r="GR72">
        <v>6.7353200000000004E-3</v>
      </c>
      <c r="GS72">
        <v>0</v>
      </c>
      <c r="GT72">
        <v>29.8871</v>
      </c>
      <c r="GU72">
        <v>999.9</v>
      </c>
      <c r="GV72">
        <v>29.2</v>
      </c>
      <c r="GW72">
        <v>45.9</v>
      </c>
      <c r="GX72">
        <v>29.726500000000001</v>
      </c>
      <c r="GY72">
        <v>61.904200000000003</v>
      </c>
      <c r="GZ72">
        <v>38.910299999999999</v>
      </c>
      <c r="HA72">
        <v>1</v>
      </c>
      <c r="HB72">
        <v>0.65024400000000004</v>
      </c>
      <c r="HC72">
        <v>4.8386100000000001</v>
      </c>
      <c r="HD72">
        <v>20.202500000000001</v>
      </c>
      <c r="HE72">
        <v>5.2100999999999997</v>
      </c>
      <c r="HF72">
        <v>11.8782</v>
      </c>
      <c r="HG72">
        <v>4.9854000000000003</v>
      </c>
      <c r="HH72">
        <v>3.2839999999999998</v>
      </c>
      <c r="HI72">
        <v>9999</v>
      </c>
      <c r="HJ72">
        <v>9999</v>
      </c>
      <c r="HK72">
        <v>9999</v>
      </c>
      <c r="HL72">
        <v>999.9</v>
      </c>
      <c r="HM72">
        <v>1.8548100000000001</v>
      </c>
      <c r="HN72">
        <v>1.8608100000000001</v>
      </c>
      <c r="HO72">
        <v>1.8582000000000001</v>
      </c>
      <c r="HP72">
        <v>1.8592599999999999</v>
      </c>
      <c r="HQ72">
        <v>1.8586100000000001</v>
      </c>
      <c r="HR72">
        <v>1.8591299999999999</v>
      </c>
      <c r="HS72">
        <v>1.85745</v>
      </c>
      <c r="HT72">
        <v>1.8608100000000001</v>
      </c>
      <c r="HU72">
        <v>5</v>
      </c>
      <c r="HV72">
        <v>0</v>
      </c>
      <c r="HW72">
        <v>0</v>
      </c>
      <c r="HX72">
        <v>0</v>
      </c>
      <c r="HY72" t="s">
        <v>422</v>
      </c>
      <c r="HZ72" t="s">
        <v>423</v>
      </c>
      <c r="IA72" t="s">
        <v>424</v>
      </c>
      <c r="IB72" t="s">
        <v>424</v>
      </c>
      <c r="IC72" t="s">
        <v>424</v>
      </c>
      <c r="ID72" t="s">
        <v>424</v>
      </c>
      <c r="IE72">
        <v>0</v>
      </c>
      <c r="IF72">
        <v>100</v>
      </c>
      <c r="IG72">
        <v>100</v>
      </c>
      <c r="IH72">
        <v>-3.26</v>
      </c>
      <c r="II72">
        <v>7.9100000000000004E-2</v>
      </c>
      <c r="IJ72">
        <v>-6.4431574333677855E-2</v>
      </c>
      <c r="IK72">
        <v>-4.1229525807901877E-3</v>
      </c>
      <c r="IL72">
        <v>1.8448211998558991E-6</v>
      </c>
      <c r="IM72">
        <v>-3.7020276670297668E-10</v>
      </c>
      <c r="IN72">
        <v>-0.16220245943032641</v>
      </c>
      <c r="IO72">
        <v>-1.3488639696665739E-2</v>
      </c>
      <c r="IP72">
        <v>1.1588640342490499E-3</v>
      </c>
      <c r="IQ72">
        <v>-1.0624341560077559E-5</v>
      </c>
      <c r="IR72">
        <v>2</v>
      </c>
      <c r="IS72">
        <v>1915</v>
      </c>
      <c r="IT72">
        <v>1</v>
      </c>
      <c r="IU72">
        <v>42</v>
      </c>
      <c r="IV72">
        <v>0.5</v>
      </c>
      <c r="IW72">
        <v>0.7</v>
      </c>
      <c r="IX72">
        <v>2.94312</v>
      </c>
      <c r="IY72">
        <v>2.4584999999999999</v>
      </c>
      <c r="IZ72">
        <v>1.49414</v>
      </c>
      <c r="JA72">
        <v>2.2827099999999998</v>
      </c>
      <c r="JB72">
        <v>1.54419</v>
      </c>
      <c r="JC72">
        <v>2.49756</v>
      </c>
      <c r="JD72">
        <v>47.874000000000002</v>
      </c>
      <c r="JE72">
        <v>23.982399999999998</v>
      </c>
      <c r="JF72">
        <v>18</v>
      </c>
      <c r="JG72">
        <v>513.72</v>
      </c>
      <c r="JH72">
        <v>403.44499999999999</v>
      </c>
      <c r="JI72">
        <v>23.3916</v>
      </c>
      <c r="JJ72">
        <v>35.208599999999997</v>
      </c>
      <c r="JK72">
        <v>29.999099999999999</v>
      </c>
      <c r="JL72">
        <v>35.216000000000001</v>
      </c>
      <c r="JM72">
        <v>35.199599999999997</v>
      </c>
      <c r="JN72">
        <v>58.944299999999998</v>
      </c>
      <c r="JO72">
        <v>24.358699999999999</v>
      </c>
      <c r="JP72">
        <v>0</v>
      </c>
      <c r="JQ72">
        <v>23.414300000000001</v>
      </c>
      <c r="JR72">
        <v>1500</v>
      </c>
      <c r="JS72">
        <v>21.9283</v>
      </c>
      <c r="JT72">
        <v>97.740899999999996</v>
      </c>
      <c r="JU72">
        <v>98.088300000000004</v>
      </c>
    </row>
    <row r="73" spans="1:281" x14ac:dyDescent="0.25">
      <c r="A73">
        <v>57</v>
      </c>
      <c r="B73">
        <v>1691172702.0999999</v>
      </c>
      <c r="C73">
        <v>13456.5</v>
      </c>
      <c r="D73" t="s">
        <v>706</v>
      </c>
      <c r="E73" t="s">
        <v>707</v>
      </c>
      <c r="F73" t="s">
        <v>413</v>
      </c>
      <c r="G73" t="s">
        <v>708</v>
      </c>
      <c r="H73" t="s">
        <v>565</v>
      </c>
      <c r="I73" t="s">
        <v>31</v>
      </c>
      <c r="J73">
        <v>1691172702.0999999</v>
      </c>
      <c r="K73">
        <f t="shared" si="46"/>
        <v>4.8582336964752273E-3</v>
      </c>
      <c r="L73">
        <f t="shared" si="47"/>
        <v>4.8582336964752271</v>
      </c>
      <c r="M73">
        <f t="shared" si="48"/>
        <v>43.823345780123319</v>
      </c>
      <c r="N73">
        <f t="shared" si="49"/>
        <v>345.43900000000002</v>
      </c>
      <c r="O73">
        <f t="shared" si="50"/>
        <v>88.565243163317689</v>
      </c>
      <c r="P73">
        <f t="shared" si="51"/>
        <v>8.7894336648087474</v>
      </c>
      <c r="Q73">
        <f t="shared" si="52"/>
        <v>34.282220285207998</v>
      </c>
      <c r="R73">
        <f t="shared" si="53"/>
        <v>0.29285087047985692</v>
      </c>
      <c r="S73">
        <f t="shared" si="54"/>
        <v>2.9127098009976864</v>
      </c>
      <c r="T73">
        <f t="shared" si="55"/>
        <v>0.27742126225066227</v>
      </c>
      <c r="U73">
        <f t="shared" si="56"/>
        <v>0.1747068028748871</v>
      </c>
      <c r="V73">
        <f t="shared" si="57"/>
        <v>344.41719999340251</v>
      </c>
      <c r="W73">
        <f t="shared" si="58"/>
        <v>30.894684633031861</v>
      </c>
      <c r="X73">
        <f t="shared" si="59"/>
        <v>30.002700000000001</v>
      </c>
      <c r="Y73">
        <f t="shared" si="60"/>
        <v>4.2611105522817798</v>
      </c>
      <c r="Z73">
        <f t="shared" si="61"/>
        <v>60.19741016976505</v>
      </c>
      <c r="AA73">
        <f t="shared" si="62"/>
        <v>2.5830929854632001</v>
      </c>
      <c r="AB73">
        <f t="shared" si="63"/>
        <v>4.2910367375914005</v>
      </c>
      <c r="AC73">
        <f t="shared" si="64"/>
        <v>1.6780175668185797</v>
      </c>
      <c r="AD73">
        <f t="shared" si="65"/>
        <v>-214.24810601455752</v>
      </c>
      <c r="AE73">
        <f t="shared" si="66"/>
        <v>19.141958315470127</v>
      </c>
      <c r="AF73">
        <f t="shared" si="67"/>
        <v>1.4621836476059995</v>
      </c>
      <c r="AG73">
        <f t="shared" si="68"/>
        <v>150.77323594192114</v>
      </c>
      <c r="AH73">
        <v>0</v>
      </c>
      <c r="AI73">
        <v>0</v>
      </c>
      <c r="AJ73">
        <f t="shared" si="69"/>
        <v>1</v>
      </c>
      <c r="AK73">
        <f t="shared" si="70"/>
        <v>0</v>
      </c>
      <c r="AL73">
        <f t="shared" si="71"/>
        <v>51833.492518103441</v>
      </c>
      <c r="AM73" t="s">
        <v>416</v>
      </c>
      <c r="AN73">
        <v>10235.299999999999</v>
      </c>
      <c r="AO73">
        <v>594.051923076923</v>
      </c>
      <c r="AP73">
        <v>2007.77</v>
      </c>
      <c r="AQ73">
        <f t="shared" si="72"/>
        <v>0.70412351859180933</v>
      </c>
      <c r="AR73">
        <v>-0.54275787784279261</v>
      </c>
      <c r="AS73" t="s">
        <v>709</v>
      </c>
      <c r="AT73">
        <v>10185.5</v>
      </c>
      <c r="AU73">
        <v>745.49979999999994</v>
      </c>
      <c r="AV73">
        <v>1075.0171430533339</v>
      </c>
      <c r="AW73">
        <f t="shared" si="73"/>
        <v>0.30652287285151314</v>
      </c>
      <c r="AX73">
        <v>0.5</v>
      </c>
      <c r="AY73">
        <f t="shared" si="74"/>
        <v>1513.3724999967012</v>
      </c>
      <c r="AZ73">
        <f t="shared" si="75"/>
        <v>43.823345780123319</v>
      </c>
      <c r="BA73">
        <f t="shared" si="76"/>
        <v>231.94164319673271</v>
      </c>
      <c r="BB73">
        <f t="shared" si="77"/>
        <v>2.9316049854257838E-2</v>
      </c>
      <c r="BC73">
        <f t="shared" si="78"/>
        <v>0.86766323958090608</v>
      </c>
      <c r="BD73">
        <f t="shared" si="79"/>
        <v>472.69987044518922</v>
      </c>
      <c r="BE73" t="s">
        <v>710</v>
      </c>
      <c r="BF73">
        <v>567.32000000000005</v>
      </c>
      <c r="BG73">
        <f t="shared" si="80"/>
        <v>567.32000000000005</v>
      </c>
      <c r="BH73">
        <f t="shared" si="81"/>
        <v>0.47226888085834551</v>
      </c>
      <c r="BI73">
        <f t="shared" si="82"/>
        <v>0.64904313046078732</v>
      </c>
      <c r="BJ73">
        <f t="shared" si="83"/>
        <v>0.64754268245802782</v>
      </c>
      <c r="BK73">
        <f t="shared" si="84"/>
        <v>0.6851167805220828</v>
      </c>
      <c r="BL73">
        <f t="shared" si="85"/>
        <v>0.65978703404343531</v>
      </c>
      <c r="BM73">
        <f t="shared" si="86"/>
        <v>0.49391716640703848</v>
      </c>
      <c r="BN73">
        <f t="shared" si="87"/>
        <v>0.50608283359296147</v>
      </c>
      <c r="BO73">
        <v>12581</v>
      </c>
      <c r="BP73">
        <v>290.00000000000011</v>
      </c>
      <c r="BQ73">
        <v>982.06</v>
      </c>
      <c r="BR73">
        <v>275</v>
      </c>
      <c r="BS73">
        <v>10185.5</v>
      </c>
      <c r="BT73">
        <v>982.01</v>
      </c>
      <c r="BU73">
        <v>0.05</v>
      </c>
      <c r="BV73">
        <v>300.00000000000011</v>
      </c>
      <c r="BW73">
        <v>24.2</v>
      </c>
      <c r="BX73">
        <v>1075.0171430533339</v>
      </c>
      <c r="BY73">
        <v>2.826069555667353</v>
      </c>
      <c r="BZ73">
        <v>-94.729202754420513</v>
      </c>
      <c r="CA73">
        <v>2.563518919071305</v>
      </c>
      <c r="CB73">
        <v>0.9799068460156527</v>
      </c>
      <c r="CC73">
        <v>-6.9591038932146814E-3</v>
      </c>
      <c r="CD73">
        <v>289.99999999999989</v>
      </c>
      <c r="CE73">
        <v>975.85</v>
      </c>
      <c r="CF73">
        <v>645</v>
      </c>
      <c r="CG73">
        <v>10168</v>
      </c>
      <c r="CH73">
        <v>981.85</v>
      </c>
      <c r="CI73">
        <v>-6</v>
      </c>
      <c r="CW73">
        <f t="shared" si="88"/>
        <v>1800.22</v>
      </c>
      <c r="CX73">
        <f t="shared" si="89"/>
        <v>1513.3724999967012</v>
      </c>
      <c r="CY73">
        <f t="shared" si="90"/>
        <v>0.84065975269506021</v>
      </c>
      <c r="CZ73">
        <f t="shared" si="91"/>
        <v>0.19131950539012038</v>
      </c>
      <c r="DA73">
        <v>6</v>
      </c>
      <c r="DB73">
        <v>0.5</v>
      </c>
      <c r="DC73" t="s">
        <v>419</v>
      </c>
      <c r="DD73">
        <v>2</v>
      </c>
      <c r="DE73">
        <v>1691172702.0999999</v>
      </c>
      <c r="DF73">
        <v>345.43900000000002</v>
      </c>
      <c r="DG73">
        <v>400.02800000000002</v>
      </c>
      <c r="DH73">
        <v>26.028099999999998</v>
      </c>
      <c r="DI73">
        <v>20.351299999999998</v>
      </c>
      <c r="DJ73">
        <v>347.85599999999999</v>
      </c>
      <c r="DK73">
        <v>25.962</v>
      </c>
      <c r="DL73">
        <v>500.11799999999999</v>
      </c>
      <c r="DM73">
        <v>99.142300000000006</v>
      </c>
      <c r="DN73">
        <v>0.100172</v>
      </c>
      <c r="DO73">
        <v>30.124600000000001</v>
      </c>
      <c r="DP73">
        <v>30.002700000000001</v>
      </c>
      <c r="DQ73">
        <v>999.9</v>
      </c>
      <c r="DR73">
        <v>0</v>
      </c>
      <c r="DS73">
        <v>0</v>
      </c>
      <c r="DT73">
        <v>9990</v>
      </c>
      <c r="DU73">
        <v>0</v>
      </c>
      <c r="DV73">
        <v>1733.94</v>
      </c>
      <c r="DW73">
        <v>-54.588799999999999</v>
      </c>
      <c r="DX73">
        <v>354.67</v>
      </c>
      <c r="DY73">
        <v>408.33800000000002</v>
      </c>
      <c r="DZ73">
        <v>5.6767599999999998</v>
      </c>
      <c r="EA73">
        <v>400.02800000000002</v>
      </c>
      <c r="EB73">
        <v>20.351299999999998</v>
      </c>
      <c r="EC73">
        <v>2.5804900000000002</v>
      </c>
      <c r="ED73">
        <v>2.0176799999999999</v>
      </c>
      <c r="EE73">
        <v>21.543299999999999</v>
      </c>
      <c r="EF73">
        <v>17.5838</v>
      </c>
      <c r="EG73">
        <v>1800.22</v>
      </c>
      <c r="EH73">
        <v>0.97800500000000001</v>
      </c>
      <c r="EI73">
        <v>2.1994799999999998E-2</v>
      </c>
      <c r="EJ73">
        <v>0</v>
      </c>
      <c r="EK73">
        <v>745.8</v>
      </c>
      <c r="EL73">
        <v>0.100005</v>
      </c>
      <c r="EM73">
        <v>17830.900000000001</v>
      </c>
      <c r="EN73">
        <v>14864.3</v>
      </c>
      <c r="EO73">
        <v>48.811999999999998</v>
      </c>
      <c r="EP73">
        <v>51.25</v>
      </c>
      <c r="EQ73">
        <v>49.811999999999998</v>
      </c>
      <c r="ER73">
        <v>49.436999999999998</v>
      </c>
      <c r="ES73">
        <v>49.75</v>
      </c>
      <c r="ET73">
        <v>1760.53</v>
      </c>
      <c r="EU73">
        <v>39.590000000000003</v>
      </c>
      <c r="EV73">
        <v>0</v>
      </c>
      <c r="EW73">
        <v>2248.7999999523158</v>
      </c>
      <c r="EX73">
        <v>0</v>
      </c>
      <c r="EY73">
        <v>745.49979999999994</v>
      </c>
      <c r="EZ73">
        <v>3.3265385951763151</v>
      </c>
      <c r="FA73">
        <v>-212.99230797777861</v>
      </c>
      <c r="FB73">
        <v>17871.86</v>
      </c>
      <c r="FC73">
        <v>15</v>
      </c>
      <c r="FD73">
        <v>1691172660.0999999</v>
      </c>
      <c r="FE73" t="s">
        <v>711</v>
      </c>
      <c r="FF73">
        <v>1691172648.0999999</v>
      </c>
      <c r="FG73">
        <v>1691172660.0999999</v>
      </c>
      <c r="FH73">
        <v>68</v>
      </c>
      <c r="FI73">
        <v>-0.152</v>
      </c>
      <c r="FJ73">
        <v>-0.03</v>
      </c>
      <c r="FK73">
        <v>-2.5760000000000001</v>
      </c>
      <c r="FL73">
        <v>-6.7000000000000004E-2</v>
      </c>
      <c r="FM73">
        <v>400</v>
      </c>
      <c r="FN73">
        <v>20</v>
      </c>
      <c r="FO73">
        <v>0.1</v>
      </c>
      <c r="FP73">
        <v>0.04</v>
      </c>
      <c r="FQ73">
        <v>43.59985580817505</v>
      </c>
      <c r="FR73">
        <v>0.2488938434675993</v>
      </c>
      <c r="FS73">
        <v>7.2121466606171844E-2</v>
      </c>
      <c r="FT73">
        <v>1</v>
      </c>
      <c r="FU73">
        <v>0.29297908922829258</v>
      </c>
      <c r="FV73">
        <v>1.057238080238119E-2</v>
      </c>
      <c r="FW73">
        <v>1.4652357074419571E-3</v>
      </c>
      <c r="FX73">
        <v>1</v>
      </c>
      <c r="FY73">
        <v>2</v>
      </c>
      <c r="FZ73">
        <v>2</v>
      </c>
      <c r="GA73" t="s">
        <v>421</v>
      </c>
      <c r="GB73">
        <v>2.91567</v>
      </c>
      <c r="GC73">
        <v>2.8299699999999999</v>
      </c>
      <c r="GD73">
        <v>8.0107300000000006E-2</v>
      </c>
      <c r="GE73">
        <v>8.7658E-2</v>
      </c>
      <c r="GF73">
        <v>0.124484</v>
      </c>
      <c r="GG73">
        <v>0.10095800000000001</v>
      </c>
      <c r="GH73">
        <v>23787.5</v>
      </c>
      <c r="GI73">
        <v>29231.9</v>
      </c>
      <c r="GJ73">
        <v>23295.3</v>
      </c>
      <c r="GK73">
        <v>29382.1</v>
      </c>
      <c r="GL73">
        <v>27846.2</v>
      </c>
      <c r="GM73">
        <v>37579.300000000003</v>
      </c>
      <c r="GN73">
        <v>32953.5</v>
      </c>
      <c r="GO73">
        <v>43579.6</v>
      </c>
      <c r="GP73">
        <v>1.9269000000000001</v>
      </c>
      <c r="GQ73">
        <v>1.7166999999999999</v>
      </c>
      <c r="GR73">
        <v>-3.3885199999999997E-2</v>
      </c>
      <c r="GS73">
        <v>0</v>
      </c>
      <c r="GT73">
        <v>30.553799999999999</v>
      </c>
      <c r="GU73">
        <v>999.9</v>
      </c>
      <c r="GV73">
        <v>31.8</v>
      </c>
      <c r="GW73">
        <v>44.1</v>
      </c>
      <c r="GX73">
        <v>29.509699999999999</v>
      </c>
      <c r="GY73">
        <v>61.897399999999998</v>
      </c>
      <c r="GZ73">
        <v>38.850200000000001</v>
      </c>
      <c r="HA73">
        <v>1</v>
      </c>
      <c r="HB73">
        <v>0.70423800000000003</v>
      </c>
      <c r="HC73">
        <v>5.1065199999999997</v>
      </c>
      <c r="HD73">
        <v>20.238299999999999</v>
      </c>
      <c r="HE73">
        <v>5.2107000000000001</v>
      </c>
      <c r="HF73">
        <v>11.8782</v>
      </c>
      <c r="HG73">
        <v>4.9847999999999999</v>
      </c>
      <c r="HH73">
        <v>3.2839999999999998</v>
      </c>
      <c r="HI73">
        <v>9999</v>
      </c>
      <c r="HJ73">
        <v>9999</v>
      </c>
      <c r="HK73">
        <v>9999</v>
      </c>
      <c r="HL73">
        <v>999.9</v>
      </c>
      <c r="HM73">
        <v>1.8547100000000001</v>
      </c>
      <c r="HN73">
        <v>1.86066</v>
      </c>
      <c r="HO73">
        <v>1.85806</v>
      </c>
      <c r="HP73">
        <v>1.8591299999999999</v>
      </c>
      <c r="HQ73">
        <v>1.8585199999999999</v>
      </c>
      <c r="HR73">
        <v>1.8591299999999999</v>
      </c>
      <c r="HS73">
        <v>1.85745</v>
      </c>
      <c r="HT73">
        <v>1.8607499999999999</v>
      </c>
      <c r="HU73">
        <v>5</v>
      </c>
      <c r="HV73">
        <v>0</v>
      </c>
      <c r="HW73">
        <v>0</v>
      </c>
      <c r="HX73">
        <v>0</v>
      </c>
      <c r="HY73" t="s">
        <v>422</v>
      </c>
      <c r="HZ73" t="s">
        <v>423</v>
      </c>
      <c r="IA73" t="s">
        <v>424</v>
      </c>
      <c r="IB73" t="s">
        <v>424</v>
      </c>
      <c r="IC73" t="s">
        <v>424</v>
      </c>
      <c r="ID73" t="s">
        <v>424</v>
      </c>
      <c r="IE73">
        <v>0</v>
      </c>
      <c r="IF73">
        <v>100</v>
      </c>
      <c r="IG73">
        <v>100</v>
      </c>
      <c r="IH73">
        <v>-2.4169999999999998</v>
      </c>
      <c r="II73">
        <v>6.6100000000000006E-2</v>
      </c>
      <c r="IJ73">
        <v>-1.190776239950929</v>
      </c>
      <c r="IK73">
        <v>-4.1229525807901877E-3</v>
      </c>
      <c r="IL73">
        <v>1.8448211998558991E-6</v>
      </c>
      <c r="IM73">
        <v>-3.7020276670297668E-10</v>
      </c>
      <c r="IN73">
        <v>-0.17888058188819081</v>
      </c>
      <c r="IO73">
        <v>-1.3488639696665739E-2</v>
      </c>
      <c r="IP73">
        <v>1.1588640342490499E-3</v>
      </c>
      <c r="IQ73">
        <v>-1.0624341560077559E-5</v>
      </c>
      <c r="IR73">
        <v>2</v>
      </c>
      <c r="IS73">
        <v>1915</v>
      </c>
      <c r="IT73">
        <v>1</v>
      </c>
      <c r="IU73">
        <v>42</v>
      </c>
      <c r="IV73">
        <v>0.9</v>
      </c>
      <c r="IW73">
        <v>0.7</v>
      </c>
      <c r="IX73">
        <v>1.00342</v>
      </c>
      <c r="IY73">
        <v>2.47437</v>
      </c>
      <c r="IZ73">
        <v>1.49414</v>
      </c>
      <c r="JA73">
        <v>2.2839399999999999</v>
      </c>
      <c r="JB73">
        <v>1.54419</v>
      </c>
      <c r="JC73">
        <v>2.49146</v>
      </c>
      <c r="JD73">
        <v>46.24</v>
      </c>
      <c r="JE73">
        <v>15.611800000000001</v>
      </c>
      <c r="JF73">
        <v>18</v>
      </c>
      <c r="JG73">
        <v>513.26800000000003</v>
      </c>
      <c r="JH73">
        <v>403.28500000000003</v>
      </c>
      <c r="JI73">
        <v>23.212</v>
      </c>
      <c r="JJ73">
        <v>35.862900000000003</v>
      </c>
      <c r="JK73">
        <v>30.000399999999999</v>
      </c>
      <c r="JL73">
        <v>35.767499999999998</v>
      </c>
      <c r="JM73">
        <v>35.740200000000002</v>
      </c>
      <c r="JN73">
        <v>20.155100000000001</v>
      </c>
      <c r="JO73">
        <v>33.620699999999999</v>
      </c>
      <c r="JP73">
        <v>0</v>
      </c>
      <c r="JQ73">
        <v>23.205400000000001</v>
      </c>
      <c r="JR73">
        <v>400</v>
      </c>
      <c r="JS73">
        <v>20.2529</v>
      </c>
      <c r="JT73">
        <v>97.717699999999994</v>
      </c>
      <c r="JU73">
        <v>97.9709</v>
      </c>
    </row>
    <row r="74" spans="1:281" x14ac:dyDescent="0.25">
      <c r="A74">
        <v>58</v>
      </c>
      <c r="B74">
        <v>1691172806.5999999</v>
      </c>
      <c r="C74">
        <v>13561</v>
      </c>
      <c r="D74" t="s">
        <v>712</v>
      </c>
      <c r="E74" t="s">
        <v>713</v>
      </c>
      <c r="F74" t="s">
        <v>413</v>
      </c>
      <c r="G74" t="s">
        <v>708</v>
      </c>
      <c r="H74" t="s">
        <v>565</v>
      </c>
      <c r="I74" t="s">
        <v>31</v>
      </c>
      <c r="J74">
        <v>1691172806.5999999</v>
      </c>
      <c r="K74">
        <f t="shared" si="46"/>
        <v>4.9421413588557382E-3</v>
      </c>
      <c r="L74">
        <f t="shared" si="47"/>
        <v>4.9421413588557384</v>
      </c>
      <c r="M74">
        <f t="shared" si="48"/>
        <v>34.38857974223874</v>
      </c>
      <c r="N74">
        <f t="shared" si="49"/>
        <v>257.18299999999999</v>
      </c>
      <c r="O74">
        <f t="shared" si="50"/>
        <v>60.708211564623561</v>
      </c>
      <c r="P74">
        <f t="shared" si="51"/>
        <v>6.0249956722375808</v>
      </c>
      <c r="Q74">
        <f t="shared" si="52"/>
        <v>25.524165875379399</v>
      </c>
      <c r="R74">
        <f t="shared" si="53"/>
        <v>0.30043225207661606</v>
      </c>
      <c r="S74">
        <f t="shared" si="54"/>
        <v>2.9149746735080311</v>
      </c>
      <c r="T74">
        <f t="shared" si="55"/>
        <v>0.28422903328879717</v>
      </c>
      <c r="U74">
        <f t="shared" si="56"/>
        <v>0.1790260810279645</v>
      </c>
      <c r="V74">
        <f t="shared" si="57"/>
        <v>344.41339999340244</v>
      </c>
      <c r="W74">
        <f t="shared" si="58"/>
        <v>30.857938331849972</v>
      </c>
      <c r="X74">
        <f t="shared" si="59"/>
        <v>30.000299999999999</v>
      </c>
      <c r="Y74">
        <f t="shared" si="60"/>
        <v>4.2605231879961432</v>
      </c>
      <c r="Z74">
        <f t="shared" si="61"/>
        <v>60.511877573319005</v>
      </c>
      <c r="AA74">
        <f t="shared" si="62"/>
        <v>2.5944568338404199</v>
      </c>
      <c r="AB74">
        <f t="shared" si="63"/>
        <v>4.2875166626533039</v>
      </c>
      <c r="AC74">
        <f t="shared" si="64"/>
        <v>1.6660663541557232</v>
      </c>
      <c r="AD74">
        <f t="shared" si="65"/>
        <v>-217.94843392553807</v>
      </c>
      <c r="AE74">
        <f t="shared" si="66"/>
        <v>17.286732605798058</v>
      </c>
      <c r="AF74">
        <f t="shared" si="67"/>
        <v>1.3193347498195083</v>
      </c>
      <c r="AG74">
        <f t="shared" si="68"/>
        <v>145.07103342348194</v>
      </c>
      <c r="AH74">
        <v>0</v>
      </c>
      <c r="AI74">
        <v>0</v>
      </c>
      <c r="AJ74">
        <f t="shared" si="69"/>
        <v>1</v>
      </c>
      <c r="AK74">
        <f t="shared" si="70"/>
        <v>0</v>
      </c>
      <c r="AL74">
        <f t="shared" si="71"/>
        <v>51900.4542296578</v>
      </c>
      <c r="AM74" t="s">
        <v>416</v>
      </c>
      <c r="AN74">
        <v>10235.299999999999</v>
      </c>
      <c r="AO74">
        <v>594.051923076923</v>
      </c>
      <c r="AP74">
        <v>2007.77</v>
      </c>
      <c r="AQ74">
        <f t="shared" si="72"/>
        <v>0.70412351859180933</v>
      </c>
      <c r="AR74">
        <v>-0.54275787784279261</v>
      </c>
      <c r="AS74" t="s">
        <v>714</v>
      </c>
      <c r="AT74">
        <v>10186.9</v>
      </c>
      <c r="AU74">
        <v>725.53719999999998</v>
      </c>
      <c r="AV74">
        <v>987.84322625446578</v>
      </c>
      <c r="AW74">
        <f t="shared" si="73"/>
        <v>0.26553406378968925</v>
      </c>
      <c r="AX74">
        <v>0.5</v>
      </c>
      <c r="AY74">
        <f t="shared" si="74"/>
        <v>1513.3556999967011</v>
      </c>
      <c r="AZ74">
        <f t="shared" si="75"/>
        <v>34.38857974223874</v>
      </c>
      <c r="BA74">
        <f t="shared" si="76"/>
        <v>200.92374448970693</v>
      </c>
      <c r="BB74">
        <f t="shared" si="77"/>
        <v>2.3082040540870648E-2</v>
      </c>
      <c r="BC74">
        <f t="shared" si="78"/>
        <v>1.0324783798059913</v>
      </c>
      <c r="BD74">
        <f t="shared" si="79"/>
        <v>455.04271294907028</v>
      </c>
      <c r="BE74" t="s">
        <v>715</v>
      </c>
      <c r="BF74">
        <v>554.35</v>
      </c>
      <c r="BG74">
        <f t="shared" si="80"/>
        <v>554.35</v>
      </c>
      <c r="BH74">
        <f t="shared" si="81"/>
        <v>0.4388279584586624</v>
      </c>
      <c r="BI74">
        <f t="shared" si="82"/>
        <v>0.60509832765065863</v>
      </c>
      <c r="BJ74">
        <f t="shared" si="83"/>
        <v>0.7017426303102573</v>
      </c>
      <c r="BK74">
        <f t="shared" si="84"/>
        <v>0.66610416263104677</v>
      </c>
      <c r="BL74">
        <f t="shared" si="85"/>
        <v>0.72144990602750159</v>
      </c>
      <c r="BM74">
        <f t="shared" si="86"/>
        <v>0.46232813139442419</v>
      </c>
      <c r="BN74">
        <f t="shared" si="87"/>
        <v>0.53767186860557581</v>
      </c>
      <c r="BO74">
        <v>12583</v>
      </c>
      <c r="BP74">
        <v>290.00000000000011</v>
      </c>
      <c r="BQ74">
        <v>911.76</v>
      </c>
      <c r="BR74">
        <v>255</v>
      </c>
      <c r="BS74">
        <v>10186.9</v>
      </c>
      <c r="BT74">
        <v>913.03</v>
      </c>
      <c r="BU74">
        <v>-1.27</v>
      </c>
      <c r="BV74">
        <v>300.00000000000011</v>
      </c>
      <c r="BW74">
        <v>24.2</v>
      </c>
      <c r="BX74">
        <v>987.84322625446578</v>
      </c>
      <c r="BY74">
        <v>2.1152427596185901</v>
      </c>
      <c r="BZ74">
        <v>-76.211181828293476</v>
      </c>
      <c r="CA74">
        <v>1.918556664400507</v>
      </c>
      <c r="CB74">
        <v>0.98256463559705909</v>
      </c>
      <c r="CC74">
        <v>-6.958380422691886E-3</v>
      </c>
      <c r="CD74">
        <v>289.99999999999989</v>
      </c>
      <c r="CE74">
        <v>909.34</v>
      </c>
      <c r="CF74">
        <v>665</v>
      </c>
      <c r="CG74">
        <v>10165.9</v>
      </c>
      <c r="CH74">
        <v>912.88</v>
      </c>
      <c r="CI74">
        <v>-3.54</v>
      </c>
      <c r="CW74">
        <f t="shared" si="88"/>
        <v>1800.2</v>
      </c>
      <c r="CX74">
        <f t="shared" si="89"/>
        <v>1513.3556999967011</v>
      </c>
      <c r="CY74">
        <f t="shared" si="90"/>
        <v>0.84065976002483123</v>
      </c>
      <c r="CZ74">
        <f t="shared" si="91"/>
        <v>0.19131952004966249</v>
      </c>
      <c r="DA74">
        <v>6</v>
      </c>
      <c r="DB74">
        <v>0.5</v>
      </c>
      <c r="DC74" t="s">
        <v>419</v>
      </c>
      <c r="DD74">
        <v>2</v>
      </c>
      <c r="DE74">
        <v>1691172806.5999999</v>
      </c>
      <c r="DF74">
        <v>257.18299999999999</v>
      </c>
      <c r="DG74">
        <v>299.99799999999999</v>
      </c>
      <c r="DH74">
        <v>26.1419</v>
      </c>
      <c r="DI74">
        <v>20.363199999999999</v>
      </c>
      <c r="DJ74">
        <v>259.245</v>
      </c>
      <c r="DK74">
        <v>26.0749</v>
      </c>
      <c r="DL74">
        <v>499.726</v>
      </c>
      <c r="DM74">
        <v>99.146699999999996</v>
      </c>
      <c r="DN74">
        <v>9.8451800000000006E-2</v>
      </c>
      <c r="DO74">
        <v>30.110299999999999</v>
      </c>
      <c r="DP74">
        <v>30.000299999999999</v>
      </c>
      <c r="DQ74">
        <v>999.9</v>
      </c>
      <c r="DR74">
        <v>0</v>
      </c>
      <c r="DS74">
        <v>0</v>
      </c>
      <c r="DT74">
        <v>10002.5</v>
      </c>
      <c r="DU74">
        <v>0</v>
      </c>
      <c r="DV74">
        <v>1819.34</v>
      </c>
      <c r="DW74">
        <v>-42.815100000000001</v>
      </c>
      <c r="DX74">
        <v>264.08699999999999</v>
      </c>
      <c r="DY74">
        <v>306.23399999999998</v>
      </c>
      <c r="DZ74">
        <v>5.7786799999999996</v>
      </c>
      <c r="EA74">
        <v>299.99799999999999</v>
      </c>
      <c r="EB74">
        <v>20.363199999999999</v>
      </c>
      <c r="EC74">
        <v>2.5918800000000002</v>
      </c>
      <c r="ED74">
        <v>2.0189400000000002</v>
      </c>
      <c r="EE74">
        <v>21.615300000000001</v>
      </c>
      <c r="EF74">
        <v>17.593699999999998</v>
      </c>
      <c r="EG74">
        <v>1800.2</v>
      </c>
      <c r="EH74">
        <v>0.97800500000000001</v>
      </c>
      <c r="EI74">
        <v>2.1994799999999998E-2</v>
      </c>
      <c r="EJ74">
        <v>0</v>
      </c>
      <c r="EK74">
        <v>724.57</v>
      </c>
      <c r="EL74">
        <v>0.100005</v>
      </c>
      <c r="EM74">
        <v>17541.3</v>
      </c>
      <c r="EN74">
        <v>14864.2</v>
      </c>
      <c r="EO74">
        <v>48.811999999999998</v>
      </c>
      <c r="EP74">
        <v>51.311999999999998</v>
      </c>
      <c r="EQ74">
        <v>49.811999999999998</v>
      </c>
      <c r="ER74">
        <v>49.5</v>
      </c>
      <c r="ES74">
        <v>49.811999999999998</v>
      </c>
      <c r="ET74">
        <v>1760.51</v>
      </c>
      <c r="EU74">
        <v>39.590000000000003</v>
      </c>
      <c r="EV74">
        <v>0</v>
      </c>
      <c r="EW74">
        <v>102.6000001430511</v>
      </c>
      <c r="EX74">
        <v>0</v>
      </c>
      <c r="EY74">
        <v>725.53719999999998</v>
      </c>
      <c r="EZ74">
        <v>0.78461534725016224</v>
      </c>
      <c r="FA74">
        <v>-154.3307691215432</v>
      </c>
      <c r="FB74">
        <v>17582.603999999999</v>
      </c>
      <c r="FC74">
        <v>15</v>
      </c>
      <c r="FD74">
        <v>1691172774.5999999</v>
      </c>
      <c r="FE74" t="s">
        <v>716</v>
      </c>
      <c r="FF74">
        <v>1691172763.0999999</v>
      </c>
      <c r="FG74">
        <v>1691172774.5999999</v>
      </c>
      <c r="FH74">
        <v>69</v>
      </c>
      <c r="FI74">
        <v>0.08</v>
      </c>
      <c r="FJ74">
        <v>-2E-3</v>
      </c>
      <c r="FK74">
        <v>-2.198</v>
      </c>
      <c r="FL74">
        <v>-6.6000000000000003E-2</v>
      </c>
      <c r="FM74">
        <v>300</v>
      </c>
      <c r="FN74">
        <v>20</v>
      </c>
      <c r="FO74">
        <v>0.19</v>
      </c>
      <c r="FP74">
        <v>7.0000000000000007E-2</v>
      </c>
      <c r="FQ74">
        <v>34.291074138614633</v>
      </c>
      <c r="FR74">
        <v>-0.69665612913179897</v>
      </c>
      <c r="FS74">
        <v>8.6809969453340657E-2</v>
      </c>
      <c r="FT74">
        <v>1</v>
      </c>
      <c r="FU74">
        <v>0.29154000333928781</v>
      </c>
      <c r="FV74">
        <v>2.417217406698096E-2</v>
      </c>
      <c r="FW74">
        <v>2.032721203177692E-3</v>
      </c>
      <c r="FX74">
        <v>1</v>
      </c>
      <c r="FY74">
        <v>2</v>
      </c>
      <c r="FZ74">
        <v>2</v>
      </c>
      <c r="GA74" t="s">
        <v>421</v>
      </c>
      <c r="GB74">
        <v>2.9146399999999999</v>
      </c>
      <c r="GC74">
        <v>2.8283499999999999</v>
      </c>
      <c r="GD74">
        <v>6.3063999999999995E-2</v>
      </c>
      <c r="GE74">
        <v>6.9803100000000007E-2</v>
      </c>
      <c r="GF74">
        <v>0.12485400000000001</v>
      </c>
      <c r="GG74">
        <v>0.100993</v>
      </c>
      <c r="GH74">
        <v>24225.599999999999</v>
      </c>
      <c r="GI74">
        <v>29800</v>
      </c>
      <c r="GJ74">
        <v>23293.5</v>
      </c>
      <c r="GK74">
        <v>29378.7</v>
      </c>
      <c r="GL74">
        <v>27831.3</v>
      </c>
      <c r="GM74">
        <v>37572.5</v>
      </c>
      <c r="GN74">
        <v>32951.300000000003</v>
      </c>
      <c r="GO74">
        <v>43575.6</v>
      </c>
      <c r="GP74">
        <v>1.9238999999999999</v>
      </c>
      <c r="GQ74">
        <v>1.7161999999999999</v>
      </c>
      <c r="GR74">
        <v>-4.0024499999999998E-2</v>
      </c>
      <c r="GS74">
        <v>0</v>
      </c>
      <c r="GT74">
        <v>30.651299999999999</v>
      </c>
      <c r="GU74">
        <v>999.9</v>
      </c>
      <c r="GV74">
        <v>31.9</v>
      </c>
      <c r="GW74">
        <v>44.1</v>
      </c>
      <c r="GX74">
        <v>29.601299999999998</v>
      </c>
      <c r="GY74">
        <v>61.967399999999998</v>
      </c>
      <c r="GZ74">
        <v>39.054499999999997</v>
      </c>
      <c r="HA74">
        <v>1</v>
      </c>
      <c r="HB74">
        <v>0.71304900000000004</v>
      </c>
      <c r="HC74">
        <v>5.7660900000000002</v>
      </c>
      <c r="HD74">
        <v>20.2163</v>
      </c>
      <c r="HE74">
        <v>5.1993200000000002</v>
      </c>
      <c r="HF74">
        <v>11.8782</v>
      </c>
      <c r="HG74">
        <v>4.9805999999999999</v>
      </c>
      <c r="HH74">
        <v>3.2816000000000001</v>
      </c>
      <c r="HI74">
        <v>9999</v>
      </c>
      <c r="HJ74">
        <v>9999</v>
      </c>
      <c r="HK74">
        <v>9999</v>
      </c>
      <c r="HL74">
        <v>999.9</v>
      </c>
      <c r="HM74">
        <v>1.8546899999999999</v>
      </c>
      <c r="HN74">
        <v>1.86066</v>
      </c>
      <c r="HO74">
        <v>1.85806</v>
      </c>
      <c r="HP74">
        <v>1.8591299999999999</v>
      </c>
      <c r="HQ74">
        <v>1.8585100000000001</v>
      </c>
      <c r="HR74">
        <v>1.8591</v>
      </c>
      <c r="HS74">
        <v>1.8573</v>
      </c>
      <c r="HT74">
        <v>1.86066</v>
      </c>
      <c r="HU74">
        <v>5</v>
      </c>
      <c r="HV74">
        <v>0</v>
      </c>
      <c r="HW74">
        <v>0</v>
      </c>
      <c r="HX74">
        <v>0</v>
      </c>
      <c r="HY74" t="s">
        <v>422</v>
      </c>
      <c r="HZ74" t="s">
        <v>423</v>
      </c>
      <c r="IA74" t="s">
        <v>424</v>
      </c>
      <c r="IB74" t="s">
        <v>424</v>
      </c>
      <c r="IC74" t="s">
        <v>424</v>
      </c>
      <c r="ID74" t="s">
        <v>424</v>
      </c>
      <c r="IE74">
        <v>0</v>
      </c>
      <c r="IF74">
        <v>100</v>
      </c>
      <c r="IG74">
        <v>100</v>
      </c>
      <c r="IH74">
        <v>-2.0619999999999998</v>
      </c>
      <c r="II74">
        <v>6.7000000000000004E-2</v>
      </c>
      <c r="IJ74">
        <v>-1.110656543691344</v>
      </c>
      <c r="IK74">
        <v>-4.1229525807901877E-3</v>
      </c>
      <c r="IL74">
        <v>1.8448211998558991E-6</v>
      </c>
      <c r="IM74">
        <v>-3.7020276670297668E-10</v>
      </c>
      <c r="IN74">
        <v>-0.1808481839595816</v>
      </c>
      <c r="IO74">
        <v>-1.3488639696665739E-2</v>
      </c>
      <c r="IP74">
        <v>1.1588640342490499E-3</v>
      </c>
      <c r="IQ74">
        <v>-1.0624341560077559E-5</v>
      </c>
      <c r="IR74">
        <v>2</v>
      </c>
      <c r="IS74">
        <v>1915</v>
      </c>
      <c r="IT74">
        <v>1</v>
      </c>
      <c r="IU74">
        <v>42</v>
      </c>
      <c r="IV74">
        <v>0.7</v>
      </c>
      <c r="IW74">
        <v>0.5</v>
      </c>
      <c r="IX74">
        <v>0.79711900000000002</v>
      </c>
      <c r="IY74">
        <v>2.47803</v>
      </c>
      <c r="IZ74">
        <v>1.49414</v>
      </c>
      <c r="JA74">
        <v>2.2839399999999999</v>
      </c>
      <c r="JB74">
        <v>1.54419</v>
      </c>
      <c r="JC74">
        <v>2.4841299999999999</v>
      </c>
      <c r="JD74">
        <v>46.210799999999999</v>
      </c>
      <c r="JE74">
        <v>15.541700000000001</v>
      </c>
      <c r="JF74">
        <v>18</v>
      </c>
      <c r="JG74">
        <v>511.65600000000001</v>
      </c>
      <c r="JH74">
        <v>403.29899999999998</v>
      </c>
      <c r="JI74">
        <v>22.693100000000001</v>
      </c>
      <c r="JJ74">
        <v>35.915999999999997</v>
      </c>
      <c r="JK74">
        <v>30.0001</v>
      </c>
      <c r="JL74">
        <v>35.82</v>
      </c>
      <c r="JM74">
        <v>35.791699999999999</v>
      </c>
      <c r="JN74">
        <v>16.0307</v>
      </c>
      <c r="JO74">
        <v>33.574300000000001</v>
      </c>
      <c r="JP74">
        <v>0</v>
      </c>
      <c r="JQ74">
        <v>22.7028</v>
      </c>
      <c r="JR74">
        <v>300</v>
      </c>
      <c r="JS74">
        <v>20.3035</v>
      </c>
      <c r="JT74">
        <v>97.710499999999996</v>
      </c>
      <c r="JU74">
        <v>97.961100000000002</v>
      </c>
    </row>
    <row r="75" spans="1:281" x14ac:dyDescent="0.25">
      <c r="A75">
        <v>59</v>
      </c>
      <c r="B75">
        <v>1691172961.5999999</v>
      </c>
      <c r="C75">
        <v>13716</v>
      </c>
      <c r="D75" t="s">
        <v>717</v>
      </c>
      <c r="E75" t="s">
        <v>718</v>
      </c>
      <c r="F75" t="s">
        <v>413</v>
      </c>
      <c r="G75" t="s">
        <v>708</v>
      </c>
      <c r="H75" t="s">
        <v>565</v>
      </c>
      <c r="I75" t="s">
        <v>31</v>
      </c>
      <c r="J75">
        <v>1691172961.5999999</v>
      </c>
      <c r="K75">
        <f t="shared" si="46"/>
        <v>5.8090669403810767E-3</v>
      </c>
      <c r="L75">
        <f t="shared" si="47"/>
        <v>5.8090669403810766</v>
      </c>
      <c r="M75">
        <f t="shared" si="48"/>
        <v>25.424046439910615</v>
      </c>
      <c r="N75">
        <f t="shared" si="49"/>
        <v>168.38499999999999</v>
      </c>
      <c r="O75">
        <f t="shared" si="50"/>
        <v>44.398315644268649</v>
      </c>
      <c r="P75">
        <f t="shared" si="51"/>
        <v>4.4061130860175624</v>
      </c>
      <c r="Q75">
        <f t="shared" si="52"/>
        <v>16.710619338209998</v>
      </c>
      <c r="R75">
        <f t="shared" si="53"/>
        <v>0.35546899138902749</v>
      </c>
      <c r="S75">
        <f t="shared" si="54"/>
        <v>2.9153024911392045</v>
      </c>
      <c r="T75">
        <f t="shared" si="55"/>
        <v>0.3330257730047706</v>
      </c>
      <c r="U75">
        <f t="shared" si="56"/>
        <v>0.21003935089819753</v>
      </c>
      <c r="V75">
        <f t="shared" si="57"/>
        <v>344.38679999340189</v>
      </c>
      <c r="W75">
        <f t="shared" si="58"/>
        <v>30.657499826592812</v>
      </c>
      <c r="X75">
        <f t="shared" si="59"/>
        <v>29.980699999999999</v>
      </c>
      <c r="Y75">
        <f t="shared" si="60"/>
        <v>4.2557290201808513</v>
      </c>
      <c r="Z75">
        <f t="shared" si="61"/>
        <v>60.185883016405462</v>
      </c>
      <c r="AA75">
        <f t="shared" si="62"/>
        <v>2.5843032102768002</v>
      </c>
      <c r="AB75">
        <f t="shared" si="63"/>
        <v>4.2938693938782473</v>
      </c>
      <c r="AC75">
        <f t="shared" si="64"/>
        <v>1.6714258099040511</v>
      </c>
      <c r="AD75">
        <f t="shared" si="65"/>
        <v>-256.17985207080551</v>
      </c>
      <c r="AE75">
        <f t="shared" si="66"/>
        <v>24.424185040016955</v>
      </c>
      <c r="AF75">
        <f t="shared" si="67"/>
        <v>1.8639174417933062</v>
      </c>
      <c r="AG75">
        <f t="shared" si="68"/>
        <v>114.49505040440665</v>
      </c>
      <c r="AH75">
        <v>0</v>
      </c>
      <c r="AI75">
        <v>0</v>
      </c>
      <c r="AJ75">
        <f t="shared" si="69"/>
        <v>1</v>
      </c>
      <c r="AK75">
        <f t="shared" si="70"/>
        <v>0</v>
      </c>
      <c r="AL75">
        <f t="shared" si="71"/>
        <v>51905.23032485049</v>
      </c>
      <c r="AM75" t="s">
        <v>416</v>
      </c>
      <c r="AN75">
        <v>10235.299999999999</v>
      </c>
      <c r="AO75">
        <v>594.051923076923</v>
      </c>
      <c r="AP75">
        <v>2007.77</v>
      </c>
      <c r="AQ75">
        <f t="shared" si="72"/>
        <v>0.70412351859180933</v>
      </c>
      <c r="AR75">
        <v>-0.54275787784279261</v>
      </c>
      <c r="AS75" t="s">
        <v>719</v>
      </c>
      <c r="AT75">
        <v>10185.799999999999</v>
      </c>
      <c r="AU75">
        <v>719.20884615384614</v>
      </c>
      <c r="AV75">
        <v>902.51840985939805</v>
      </c>
      <c r="AW75">
        <f t="shared" si="73"/>
        <v>0.20310894681263003</v>
      </c>
      <c r="AX75">
        <v>0.5</v>
      </c>
      <c r="AY75">
        <f t="shared" si="74"/>
        <v>1513.2380999967008</v>
      </c>
      <c r="AZ75">
        <f t="shared" si="75"/>
        <v>25.424046439910615</v>
      </c>
      <c r="BA75">
        <f t="shared" si="76"/>
        <v>153.67609838353761</v>
      </c>
      <c r="BB75">
        <f t="shared" si="77"/>
        <v>1.7159761122727494E-2</v>
      </c>
      <c r="BC75">
        <f t="shared" si="78"/>
        <v>1.2246305206259307</v>
      </c>
      <c r="BD75">
        <f t="shared" si="79"/>
        <v>436.05281942997431</v>
      </c>
      <c r="BE75" t="s">
        <v>720</v>
      </c>
      <c r="BF75">
        <v>545.85</v>
      </c>
      <c r="BG75">
        <f t="shared" si="80"/>
        <v>545.85</v>
      </c>
      <c r="BH75">
        <f t="shared" si="81"/>
        <v>0.39519239271247975</v>
      </c>
      <c r="BI75">
        <f t="shared" si="82"/>
        <v>0.513949535866701</v>
      </c>
      <c r="BJ75">
        <f t="shared" si="83"/>
        <v>0.75602740925673206</v>
      </c>
      <c r="BK75">
        <f t="shared" si="84"/>
        <v>0.59426087293177643</v>
      </c>
      <c r="BL75">
        <f t="shared" si="85"/>
        <v>0.78180480831521593</v>
      </c>
      <c r="BM75">
        <f t="shared" si="86"/>
        <v>0.39006660673474047</v>
      </c>
      <c r="BN75">
        <f t="shared" si="87"/>
        <v>0.60993339326525953</v>
      </c>
      <c r="BO75">
        <v>12585</v>
      </c>
      <c r="BP75">
        <v>290.00000000000011</v>
      </c>
      <c r="BQ75">
        <v>853.07</v>
      </c>
      <c r="BR75">
        <v>255</v>
      </c>
      <c r="BS75">
        <v>10185.799999999999</v>
      </c>
      <c r="BT75">
        <v>853.87</v>
      </c>
      <c r="BU75">
        <v>-0.8</v>
      </c>
      <c r="BV75">
        <v>300.00000000000011</v>
      </c>
      <c r="BW75">
        <v>24.2</v>
      </c>
      <c r="BX75">
        <v>902.51840985939805</v>
      </c>
      <c r="BY75">
        <v>1.7235642339392261</v>
      </c>
      <c r="BZ75">
        <v>-49.556292779699582</v>
      </c>
      <c r="CA75">
        <v>1.5631357859627939</v>
      </c>
      <c r="CB75">
        <v>0.97289679830967668</v>
      </c>
      <c r="CC75">
        <v>-6.9575995550611794E-3</v>
      </c>
      <c r="CD75">
        <v>289.99999999999989</v>
      </c>
      <c r="CE75">
        <v>852.56</v>
      </c>
      <c r="CF75">
        <v>665</v>
      </c>
      <c r="CG75">
        <v>10164.799999999999</v>
      </c>
      <c r="CH75">
        <v>853.77</v>
      </c>
      <c r="CI75">
        <v>-1.21</v>
      </c>
      <c r="CW75">
        <f t="shared" si="88"/>
        <v>1800.06</v>
      </c>
      <c r="CX75">
        <f t="shared" si="89"/>
        <v>1513.2380999967008</v>
      </c>
      <c r="CY75">
        <f t="shared" si="90"/>
        <v>0.84065981133778922</v>
      </c>
      <c r="CZ75">
        <f t="shared" si="91"/>
        <v>0.19131962267557853</v>
      </c>
      <c r="DA75">
        <v>6</v>
      </c>
      <c r="DB75">
        <v>0.5</v>
      </c>
      <c r="DC75" t="s">
        <v>419</v>
      </c>
      <c r="DD75">
        <v>2</v>
      </c>
      <c r="DE75">
        <v>1691172961.5999999</v>
      </c>
      <c r="DF75">
        <v>168.38499999999999</v>
      </c>
      <c r="DG75">
        <v>200.066</v>
      </c>
      <c r="DH75">
        <v>26.040800000000001</v>
      </c>
      <c r="DI75">
        <v>19.251799999999999</v>
      </c>
      <c r="DJ75">
        <v>170.20400000000001</v>
      </c>
      <c r="DK75">
        <v>25.975999999999999</v>
      </c>
      <c r="DL75">
        <v>500.02600000000001</v>
      </c>
      <c r="DM75">
        <v>99.140500000000003</v>
      </c>
      <c r="DN75">
        <v>0.100046</v>
      </c>
      <c r="DO75">
        <v>30.136099999999999</v>
      </c>
      <c r="DP75">
        <v>29.980699999999999</v>
      </c>
      <c r="DQ75">
        <v>999.9</v>
      </c>
      <c r="DR75">
        <v>0</v>
      </c>
      <c r="DS75">
        <v>0</v>
      </c>
      <c r="DT75">
        <v>10005</v>
      </c>
      <c r="DU75">
        <v>0</v>
      </c>
      <c r="DV75">
        <v>1764.83</v>
      </c>
      <c r="DW75">
        <v>-31.680599999999998</v>
      </c>
      <c r="DX75">
        <v>172.887</v>
      </c>
      <c r="DY75">
        <v>203.99299999999999</v>
      </c>
      <c r="DZ75">
        <v>6.7889999999999997</v>
      </c>
      <c r="EA75">
        <v>200.066</v>
      </c>
      <c r="EB75">
        <v>19.251799999999999</v>
      </c>
      <c r="EC75">
        <v>2.5817000000000001</v>
      </c>
      <c r="ED75">
        <v>1.90863</v>
      </c>
      <c r="EE75">
        <v>21.550899999999999</v>
      </c>
      <c r="EF75">
        <v>16.706</v>
      </c>
      <c r="EG75">
        <v>1800.06</v>
      </c>
      <c r="EH75">
        <v>0.97800500000000001</v>
      </c>
      <c r="EI75">
        <v>2.1994799999999998E-2</v>
      </c>
      <c r="EJ75">
        <v>0</v>
      </c>
      <c r="EK75">
        <v>719.49</v>
      </c>
      <c r="EL75">
        <v>0.100005</v>
      </c>
      <c r="EM75">
        <v>17337.5</v>
      </c>
      <c r="EN75">
        <v>14863</v>
      </c>
      <c r="EO75">
        <v>48.875</v>
      </c>
      <c r="EP75">
        <v>51.375</v>
      </c>
      <c r="EQ75">
        <v>49.936999999999998</v>
      </c>
      <c r="ER75">
        <v>49.561999999999998</v>
      </c>
      <c r="ES75">
        <v>49.875</v>
      </c>
      <c r="ET75">
        <v>1760.37</v>
      </c>
      <c r="EU75">
        <v>39.590000000000003</v>
      </c>
      <c r="EV75">
        <v>0</v>
      </c>
      <c r="EW75">
        <v>152.60000014305109</v>
      </c>
      <c r="EX75">
        <v>0</v>
      </c>
      <c r="EY75">
        <v>719.20884615384614</v>
      </c>
      <c r="EZ75">
        <v>-0.89230771965662625</v>
      </c>
      <c r="FA75">
        <v>-33.227350307271529</v>
      </c>
      <c r="FB75">
        <v>17348.20384615385</v>
      </c>
      <c r="FC75">
        <v>15</v>
      </c>
      <c r="FD75">
        <v>1691172898.0999999</v>
      </c>
      <c r="FE75" t="s">
        <v>721</v>
      </c>
      <c r="FF75">
        <v>1691172887.0999999</v>
      </c>
      <c r="FG75">
        <v>1691172898.0999999</v>
      </c>
      <c r="FH75">
        <v>70</v>
      </c>
      <c r="FI75">
        <v>-5.8000000000000003E-2</v>
      </c>
      <c r="FJ75">
        <v>0</v>
      </c>
      <c r="FK75">
        <v>-1.929</v>
      </c>
      <c r="FL75">
        <v>-7.0000000000000007E-2</v>
      </c>
      <c r="FM75">
        <v>200</v>
      </c>
      <c r="FN75">
        <v>20</v>
      </c>
      <c r="FO75">
        <v>0.27</v>
      </c>
      <c r="FP75">
        <v>0.05</v>
      </c>
      <c r="FQ75">
        <v>25.267842096119029</v>
      </c>
      <c r="FR75">
        <v>0.44375163198847689</v>
      </c>
      <c r="FS75">
        <v>6.5041712991814479E-2</v>
      </c>
      <c r="FT75">
        <v>1</v>
      </c>
      <c r="FU75">
        <v>0.34845128457516389</v>
      </c>
      <c r="FV75">
        <v>6.4645501998844843E-3</v>
      </c>
      <c r="FW75">
        <v>1.3388321932865581E-3</v>
      </c>
      <c r="FX75">
        <v>1</v>
      </c>
      <c r="FY75">
        <v>2</v>
      </c>
      <c r="FZ75">
        <v>2</v>
      </c>
      <c r="GA75" t="s">
        <v>421</v>
      </c>
      <c r="GB75">
        <v>2.9152499999999999</v>
      </c>
      <c r="GC75">
        <v>2.8299699999999999</v>
      </c>
      <c r="GD75">
        <v>4.3735299999999998E-2</v>
      </c>
      <c r="GE75">
        <v>4.9495999999999998E-2</v>
      </c>
      <c r="GF75">
        <v>0.124483</v>
      </c>
      <c r="GG75">
        <v>9.6993300000000005E-2</v>
      </c>
      <c r="GH75">
        <v>24720.9</v>
      </c>
      <c r="GI75">
        <v>30443.9</v>
      </c>
      <c r="GJ75">
        <v>23290.400000000001</v>
      </c>
      <c r="GK75">
        <v>29373.7</v>
      </c>
      <c r="GL75">
        <v>27838.1</v>
      </c>
      <c r="GM75">
        <v>37730.699999999997</v>
      </c>
      <c r="GN75">
        <v>32946.699999999997</v>
      </c>
      <c r="GO75">
        <v>43569</v>
      </c>
      <c r="GP75">
        <v>1.9241999999999999</v>
      </c>
      <c r="GQ75">
        <v>1.7128000000000001</v>
      </c>
      <c r="GR75">
        <v>-4.6491600000000001E-2</v>
      </c>
      <c r="GS75">
        <v>0</v>
      </c>
      <c r="GT75">
        <v>30.736799999999999</v>
      </c>
      <c r="GU75">
        <v>999.9</v>
      </c>
      <c r="GV75">
        <v>32.1</v>
      </c>
      <c r="GW75">
        <v>44</v>
      </c>
      <c r="GX75">
        <v>29.635000000000002</v>
      </c>
      <c r="GY75">
        <v>61.917400000000001</v>
      </c>
      <c r="GZ75">
        <v>38.353400000000001</v>
      </c>
      <c r="HA75">
        <v>1</v>
      </c>
      <c r="HB75">
        <v>0.71912600000000004</v>
      </c>
      <c r="HC75">
        <v>5.08833</v>
      </c>
      <c r="HD75">
        <v>20.2392</v>
      </c>
      <c r="HE75">
        <v>5.2107000000000001</v>
      </c>
      <c r="HF75">
        <v>11.8782</v>
      </c>
      <c r="HG75">
        <v>4.9843999999999999</v>
      </c>
      <c r="HH75">
        <v>3.2839999999999998</v>
      </c>
      <c r="HI75">
        <v>9999</v>
      </c>
      <c r="HJ75">
        <v>9999</v>
      </c>
      <c r="HK75">
        <v>9999</v>
      </c>
      <c r="HL75">
        <v>999.9</v>
      </c>
      <c r="HM75">
        <v>1.8547100000000001</v>
      </c>
      <c r="HN75">
        <v>1.8607199999999999</v>
      </c>
      <c r="HO75">
        <v>1.85806</v>
      </c>
      <c r="HP75">
        <v>1.8591299999999999</v>
      </c>
      <c r="HQ75">
        <v>1.8585400000000001</v>
      </c>
      <c r="HR75">
        <v>1.8591299999999999</v>
      </c>
      <c r="HS75">
        <v>1.8574299999999999</v>
      </c>
      <c r="HT75">
        <v>1.8607499999999999</v>
      </c>
      <c r="HU75">
        <v>5</v>
      </c>
      <c r="HV75">
        <v>0</v>
      </c>
      <c r="HW75">
        <v>0</v>
      </c>
      <c r="HX75">
        <v>0</v>
      </c>
      <c r="HY75" t="s">
        <v>422</v>
      </c>
      <c r="HZ75" t="s">
        <v>423</v>
      </c>
      <c r="IA75" t="s">
        <v>424</v>
      </c>
      <c r="IB75" t="s">
        <v>424</v>
      </c>
      <c r="IC75" t="s">
        <v>424</v>
      </c>
      <c r="ID75" t="s">
        <v>424</v>
      </c>
      <c r="IE75">
        <v>0</v>
      </c>
      <c r="IF75">
        <v>100</v>
      </c>
      <c r="IG75">
        <v>100</v>
      </c>
      <c r="IH75">
        <v>-1.819</v>
      </c>
      <c r="II75">
        <v>6.4799999999999996E-2</v>
      </c>
      <c r="IJ75">
        <v>-1.1684908829594181</v>
      </c>
      <c r="IK75">
        <v>-4.1229525807901877E-3</v>
      </c>
      <c r="IL75">
        <v>1.8448211998558991E-6</v>
      </c>
      <c r="IM75">
        <v>-3.7020276670297668E-10</v>
      </c>
      <c r="IN75">
        <v>-0.18058166473558629</v>
      </c>
      <c r="IO75">
        <v>-1.3488639696665739E-2</v>
      </c>
      <c r="IP75">
        <v>1.1588640342490499E-3</v>
      </c>
      <c r="IQ75">
        <v>-1.0624341560077559E-5</v>
      </c>
      <c r="IR75">
        <v>2</v>
      </c>
      <c r="IS75">
        <v>1915</v>
      </c>
      <c r="IT75">
        <v>1</v>
      </c>
      <c r="IU75">
        <v>42</v>
      </c>
      <c r="IV75">
        <v>1.2</v>
      </c>
      <c r="IW75">
        <v>1.1000000000000001</v>
      </c>
      <c r="IX75">
        <v>0.58227499999999999</v>
      </c>
      <c r="IY75">
        <v>2.49268</v>
      </c>
      <c r="IZ75">
        <v>1.49414</v>
      </c>
      <c r="JA75">
        <v>2.2851599999999999</v>
      </c>
      <c r="JB75">
        <v>1.54419</v>
      </c>
      <c r="JC75">
        <v>2.4255399999999998</v>
      </c>
      <c r="JD75">
        <v>46.24</v>
      </c>
      <c r="JE75">
        <v>15.4892</v>
      </c>
      <c r="JF75">
        <v>18</v>
      </c>
      <c r="JG75">
        <v>512.70299999999997</v>
      </c>
      <c r="JH75">
        <v>401.82</v>
      </c>
      <c r="JI75">
        <v>23.19</v>
      </c>
      <c r="JJ75">
        <v>36.045999999999999</v>
      </c>
      <c r="JK75">
        <v>30.0002</v>
      </c>
      <c r="JL75">
        <v>35.928600000000003</v>
      </c>
      <c r="JM75">
        <v>35.8977</v>
      </c>
      <c r="JN75">
        <v>11.726000000000001</v>
      </c>
      <c r="JO75">
        <v>37.259799999999998</v>
      </c>
      <c r="JP75">
        <v>0</v>
      </c>
      <c r="JQ75">
        <v>23.1938</v>
      </c>
      <c r="JR75">
        <v>200</v>
      </c>
      <c r="JS75">
        <v>19.2254</v>
      </c>
      <c r="JT75">
        <v>97.697199999999995</v>
      </c>
      <c r="JU75">
        <v>97.945400000000006</v>
      </c>
    </row>
    <row r="76" spans="1:281" x14ac:dyDescent="0.25">
      <c r="A76">
        <v>60</v>
      </c>
      <c r="B76">
        <v>1691173089.0999999</v>
      </c>
      <c r="C76">
        <v>13843.5</v>
      </c>
      <c r="D76" t="s">
        <v>722</v>
      </c>
      <c r="E76" t="s">
        <v>723</v>
      </c>
      <c r="F76" t="s">
        <v>413</v>
      </c>
      <c r="G76" t="s">
        <v>708</v>
      </c>
      <c r="H76" t="s">
        <v>565</v>
      </c>
      <c r="I76" t="s">
        <v>31</v>
      </c>
      <c r="J76">
        <v>1691173089.0999999</v>
      </c>
      <c r="K76">
        <f t="shared" si="46"/>
        <v>6.5380684077241125E-3</v>
      </c>
      <c r="L76">
        <f t="shared" si="47"/>
        <v>6.5380684077241122</v>
      </c>
      <c r="M76">
        <f t="shared" si="48"/>
        <v>16.949957157810761</v>
      </c>
      <c r="N76">
        <f t="shared" si="49"/>
        <v>98.776700000000005</v>
      </c>
      <c r="O76">
        <f t="shared" si="50"/>
        <v>27.288749525224322</v>
      </c>
      <c r="P76">
        <f t="shared" si="51"/>
        <v>2.7082003955296328</v>
      </c>
      <c r="Q76">
        <f t="shared" si="52"/>
        <v>9.8028345989926002</v>
      </c>
      <c r="R76">
        <f t="shared" si="53"/>
        <v>0.41477489125270273</v>
      </c>
      <c r="S76">
        <f t="shared" si="54"/>
        <v>2.9126992175970434</v>
      </c>
      <c r="T76">
        <f t="shared" si="55"/>
        <v>0.3845345350987428</v>
      </c>
      <c r="U76">
        <f t="shared" si="56"/>
        <v>0.24286707492558651</v>
      </c>
      <c r="V76">
        <f t="shared" si="57"/>
        <v>344.38869999340187</v>
      </c>
      <c r="W76">
        <f t="shared" si="58"/>
        <v>30.535134836291341</v>
      </c>
      <c r="X76">
        <f t="shared" si="59"/>
        <v>29.957699999999999</v>
      </c>
      <c r="Y76">
        <f t="shared" si="60"/>
        <v>4.2501092071700093</v>
      </c>
      <c r="Z76">
        <f t="shared" si="61"/>
        <v>60.808434139937297</v>
      </c>
      <c r="AA76">
        <f t="shared" si="62"/>
        <v>2.6211499907847999</v>
      </c>
      <c r="AB76">
        <f t="shared" si="63"/>
        <v>4.3105040079683636</v>
      </c>
      <c r="AC76">
        <f t="shared" si="64"/>
        <v>1.6289592163852094</v>
      </c>
      <c r="AD76">
        <f t="shared" si="65"/>
        <v>-288.32881678063336</v>
      </c>
      <c r="AE76">
        <f t="shared" si="66"/>
        <v>38.597836405852632</v>
      </c>
      <c r="AF76">
        <f t="shared" si="67"/>
        <v>2.948852270709764</v>
      </c>
      <c r="AG76">
        <f t="shared" si="68"/>
        <v>97.606571889330922</v>
      </c>
      <c r="AH76">
        <v>0</v>
      </c>
      <c r="AI76">
        <v>0</v>
      </c>
      <c r="AJ76">
        <f t="shared" si="69"/>
        <v>1</v>
      </c>
      <c r="AK76">
        <f t="shared" si="70"/>
        <v>0</v>
      </c>
      <c r="AL76">
        <f t="shared" si="71"/>
        <v>51819.690730966431</v>
      </c>
      <c r="AM76" t="s">
        <v>416</v>
      </c>
      <c r="AN76">
        <v>10235.299999999999</v>
      </c>
      <c r="AO76">
        <v>594.051923076923</v>
      </c>
      <c r="AP76">
        <v>2007.77</v>
      </c>
      <c r="AQ76">
        <f t="shared" si="72"/>
        <v>0.70412351859180933</v>
      </c>
      <c r="AR76">
        <v>-0.54275787784279261</v>
      </c>
      <c r="AS76" t="s">
        <v>724</v>
      </c>
      <c r="AT76">
        <v>10182.4</v>
      </c>
      <c r="AU76">
        <v>728.99740000000008</v>
      </c>
      <c r="AV76">
        <v>863.20434704268678</v>
      </c>
      <c r="AW76">
        <f t="shared" si="73"/>
        <v>0.15547529099277113</v>
      </c>
      <c r="AX76">
        <v>0.5</v>
      </c>
      <c r="AY76">
        <f t="shared" si="74"/>
        <v>1513.246499996701</v>
      </c>
      <c r="AZ76">
        <f t="shared" si="75"/>
        <v>16.949957157810761</v>
      </c>
      <c r="BA76">
        <f t="shared" si="76"/>
        <v>117.63621996538977</v>
      </c>
      <c r="BB76">
        <f t="shared" si="77"/>
        <v>1.1559726082757626E-2</v>
      </c>
      <c r="BC76">
        <f t="shared" si="78"/>
        <v>1.3259498250658284</v>
      </c>
      <c r="BD76">
        <f t="shared" si="79"/>
        <v>426.66416178098746</v>
      </c>
      <c r="BE76" t="s">
        <v>725</v>
      </c>
      <c r="BF76">
        <v>552.95000000000005</v>
      </c>
      <c r="BG76">
        <f t="shared" si="80"/>
        <v>552.95000000000005</v>
      </c>
      <c r="BH76">
        <f t="shared" si="81"/>
        <v>0.35942166893112759</v>
      </c>
      <c r="BI76">
        <f t="shared" si="82"/>
        <v>0.43257072244735273</v>
      </c>
      <c r="BJ76">
        <f t="shared" si="83"/>
        <v>0.78674038915969902</v>
      </c>
      <c r="BK76">
        <f t="shared" si="84"/>
        <v>0.49862804527355042</v>
      </c>
      <c r="BL76">
        <f t="shared" si="85"/>
        <v>0.80961379191559357</v>
      </c>
      <c r="BM76">
        <f t="shared" si="86"/>
        <v>0.32810813999784316</v>
      </c>
      <c r="BN76">
        <f t="shared" si="87"/>
        <v>0.67189186000215684</v>
      </c>
      <c r="BO76">
        <v>12587</v>
      </c>
      <c r="BP76">
        <v>290.00000000000011</v>
      </c>
      <c r="BQ76">
        <v>828.81</v>
      </c>
      <c r="BR76">
        <v>285</v>
      </c>
      <c r="BS76">
        <v>10182.4</v>
      </c>
      <c r="BT76">
        <v>829.89</v>
      </c>
      <c r="BU76">
        <v>-1.08</v>
      </c>
      <c r="BV76">
        <v>300.00000000000011</v>
      </c>
      <c r="BW76">
        <v>24.2</v>
      </c>
      <c r="BX76">
        <v>863.20434704268678</v>
      </c>
      <c r="BY76">
        <v>1.857882006915816</v>
      </c>
      <c r="BZ76">
        <v>-33.923856757249197</v>
      </c>
      <c r="CA76">
        <v>1.6849643021801779</v>
      </c>
      <c r="CB76">
        <v>0.93538694122593002</v>
      </c>
      <c r="CC76">
        <v>-6.9575793103448221E-3</v>
      </c>
      <c r="CD76">
        <v>289.99999999999989</v>
      </c>
      <c r="CE76">
        <v>828.24</v>
      </c>
      <c r="CF76">
        <v>655</v>
      </c>
      <c r="CG76">
        <v>10165.4</v>
      </c>
      <c r="CH76">
        <v>829.83</v>
      </c>
      <c r="CI76">
        <v>-1.59</v>
      </c>
      <c r="CW76">
        <f t="shared" si="88"/>
        <v>1800.07</v>
      </c>
      <c r="CX76">
        <f t="shared" si="89"/>
        <v>1513.246499996701</v>
      </c>
      <c r="CY76">
        <f t="shared" si="90"/>
        <v>0.8406598076723133</v>
      </c>
      <c r="CZ76">
        <f t="shared" si="91"/>
        <v>0.19131961534462655</v>
      </c>
      <c r="DA76">
        <v>6</v>
      </c>
      <c r="DB76">
        <v>0.5</v>
      </c>
      <c r="DC76" t="s">
        <v>419</v>
      </c>
      <c r="DD76">
        <v>2</v>
      </c>
      <c r="DE76">
        <v>1691173089.0999999</v>
      </c>
      <c r="DF76">
        <v>98.776700000000005</v>
      </c>
      <c r="DG76">
        <v>119.879</v>
      </c>
      <c r="DH76">
        <v>26.4116</v>
      </c>
      <c r="DI76">
        <v>18.777699999999999</v>
      </c>
      <c r="DJ76">
        <v>100.34099999999999</v>
      </c>
      <c r="DK76">
        <v>26.3399</v>
      </c>
      <c r="DL76">
        <v>500.29899999999998</v>
      </c>
      <c r="DM76">
        <v>99.1417</v>
      </c>
      <c r="DN76">
        <v>0.100678</v>
      </c>
      <c r="DO76">
        <v>30.203499999999998</v>
      </c>
      <c r="DP76">
        <v>29.957699999999999</v>
      </c>
      <c r="DQ76">
        <v>999.9</v>
      </c>
      <c r="DR76">
        <v>0</v>
      </c>
      <c r="DS76">
        <v>0</v>
      </c>
      <c r="DT76">
        <v>9990</v>
      </c>
      <c r="DU76">
        <v>0</v>
      </c>
      <c r="DV76">
        <v>1791.93</v>
      </c>
      <c r="DW76">
        <v>-21.102</v>
      </c>
      <c r="DX76">
        <v>101.456</v>
      </c>
      <c r="DY76">
        <v>122.173</v>
      </c>
      <c r="DZ76">
        <v>7.6338499999999998</v>
      </c>
      <c r="EA76">
        <v>119.879</v>
      </c>
      <c r="EB76">
        <v>18.777699999999999</v>
      </c>
      <c r="EC76">
        <v>2.61849</v>
      </c>
      <c r="ED76">
        <v>1.8616600000000001</v>
      </c>
      <c r="EE76">
        <v>21.782399999999999</v>
      </c>
      <c r="EF76">
        <v>16.314299999999999</v>
      </c>
      <c r="EG76">
        <v>1800.07</v>
      </c>
      <c r="EH76">
        <v>0.97800500000000001</v>
      </c>
      <c r="EI76">
        <v>2.1994799999999998E-2</v>
      </c>
      <c r="EJ76">
        <v>0</v>
      </c>
      <c r="EK76">
        <v>728.13</v>
      </c>
      <c r="EL76">
        <v>0.100005</v>
      </c>
      <c r="EM76">
        <v>17526.400000000001</v>
      </c>
      <c r="EN76">
        <v>14863.1</v>
      </c>
      <c r="EO76">
        <v>48.936999999999998</v>
      </c>
      <c r="EP76">
        <v>51.436999999999998</v>
      </c>
      <c r="EQ76">
        <v>49.936999999999998</v>
      </c>
      <c r="ER76">
        <v>49.625</v>
      </c>
      <c r="ES76">
        <v>49.936999999999998</v>
      </c>
      <c r="ET76">
        <v>1760.38</v>
      </c>
      <c r="EU76">
        <v>39.590000000000003</v>
      </c>
      <c r="EV76">
        <v>0</v>
      </c>
      <c r="EW76">
        <v>125.4000000953674</v>
      </c>
      <c r="EX76">
        <v>0</v>
      </c>
      <c r="EY76">
        <v>728.99740000000008</v>
      </c>
      <c r="EZ76">
        <v>2.1369231007038332</v>
      </c>
      <c r="FA76">
        <v>-54.699999815411751</v>
      </c>
      <c r="FB76">
        <v>17547.371999999999</v>
      </c>
      <c r="FC76">
        <v>15</v>
      </c>
      <c r="FD76">
        <v>1691173055.5999999</v>
      </c>
      <c r="FE76" t="s">
        <v>726</v>
      </c>
      <c r="FF76">
        <v>1691172887.0999999</v>
      </c>
      <c r="FG76">
        <v>1691173055.5999999</v>
      </c>
      <c r="FH76">
        <v>71</v>
      </c>
      <c r="FI76">
        <v>-5.8000000000000003E-2</v>
      </c>
      <c r="FJ76">
        <v>-2E-3</v>
      </c>
      <c r="FK76">
        <v>-1.929</v>
      </c>
      <c r="FL76">
        <v>-8.8999999999999996E-2</v>
      </c>
      <c r="FM76">
        <v>200</v>
      </c>
      <c r="FN76">
        <v>19</v>
      </c>
      <c r="FO76">
        <v>0.27</v>
      </c>
      <c r="FP76">
        <v>0.87</v>
      </c>
      <c r="FQ76">
        <v>16.822679117884231</v>
      </c>
      <c r="FR76">
        <v>-0.60708758718036415</v>
      </c>
      <c r="FS76">
        <v>0.1136883559480434</v>
      </c>
      <c r="FT76">
        <v>1</v>
      </c>
      <c r="FU76">
        <v>0.41279547758310581</v>
      </c>
      <c r="FV76">
        <v>4.5806055309095532E-2</v>
      </c>
      <c r="FW76">
        <v>3.7286480587772788E-3</v>
      </c>
      <c r="FX76">
        <v>1</v>
      </c>
      <c r="FY76">
        <v>2</v>
      </c>
      <c r="FZ76">
        <v>2</v>
      </c>
      <c r="GA76" t="s">
        <v>421</v>
      </c>
      <c r="GB76">
        <v>2.91588</v>
      </c>
      <c r="GC76">
        <v>2.8304800000000001</v>
      </c>
      <c r="GD76">
        <v>2.67978E-2</v>
      </c>
      <c r="GE76">
        <v>3.1046500000000001E-2</v>
      </c>
      <c r="GF76">
        <v>0.12568699999999999</v>
      </c>
      <c r="GG76">
        <v>9.5259099999999999E-2</v>
      </c>
      <c r="GH76">
        <v>25156.799999999999</v>
      </c>
      <c r="GI76">
        <v>31032.1</v>
      </c>
      <c r="GJ76">
        <v>23289.599999999999</v>
      </c>
      <c r="GK76">
        <v>29372.3</v>
      </c>
      <c r="GL76">
        <v>27798.1</v>
      </c>
      <c r="GM76">
        <v>37799</v>
      </c>
      <c r="GN76">
        <v>32946</v>
      </c>
      <c r="GO76">
        <v>43567.3</v>
      </c>
      <c r="GP76">
        <v>1.9253</v>
      </c>
      <c r="GQ76">
        <v>1.7103999999999999</v>
      </c>
      <c r="GR76">
        <v>-4.8071099999999999E-2</v>
      </c>
      <c r="GS76">
        <v>0</v>
      </c>
      <c r="GT76">
        <v>30.739599999999999</v>
      </c>
      <c r="GU76">
        <v>999.9</v>
      </c>
      <c r="GV76">
        <v>32.200000000000003</v>
      </c>
      <c r="GW76">
        <v>44</v>
      </c>
      <c r="GX76">
        <v>29.725899999999999</v>
      </c>
      <c r="GY76">
        <v>61.8675</v>
      </c>
      <c r="GZ76">
        <v>38.5777</v>
      </c>
      <c r="HA76">
        <v>1</v>
      </c>
      <c r="HB76">
        <v>0.72219500000000003</v>
      </c>
      <c r="HC76">
        <v>4.8957499999999996</v>
      </c>
      <c r="HD76">
        <v>20.244199999999999</v>
      </c>
      <c r="HE76">
        <v>5.2107000000000001</v>
      </c>
      <c r="HF76">
        <v>11.8782</v>
      </c>
      <c r="HG76">
        <v>4.9843999999999999</v>
      </c>
      <c r="HH76">
        <v>3.2839999999999998</v>
      </c>
      <c r="HI76">
        <v>9999</v>
      </c>
      <c r="HJ76">
        <v>9999</v>
      </c>
      <c r="HK76">
        <v>9999</v>
      </c>
      <c r="HL76">
        <v>999.9</v>
      </c>
      <c r="HM76">
        <v>1.8547100000000001</v>
      </c>
      <c r="HN76">
        <v>1.8606799999999999</v>
      </c>
      <c r="HO76">
        <v>1.85806</v>
      </c>
      <c r="HP76">
        <v>1.8591299999999999</v>
      </c>
      <c r="HQ76">
        <v>1.8585199999999999</v>
      </c>
      <c r="HR76">
        <v>1.8591299999999999</v>
      </c>
      <c r="HS76">
        <v>1.85737</v>
      </c>
      <c r="HT76">
        <v>1.86069</v>
      </c>
      <c r="HU76">
        <v>5</v>
      </c>
      <c r="HV76">
        <v>0</v>
      </c>
      <c r="HW76">
        <v>0</v>
      </c>
      <c r="HX76">
        <v>0</v>
      </c>
      <c r="HY76" t="s">
        <v>422</v>
      </c>
      <c r="HZ76" t="s">
        <v>423</v>
      </c>
      <c r="IA76" t="s">
        <v>424</v>
      </c>
      <c r="IB76" t="s">
        <v>424</v>
      </c>
      <c r="IC76" t="s">
        <v>424</v>
      </c>
      <c r="ID76" t="s">
        <v>424</v>
      </c>
      <c r="IE76">
        <v>0</v>
      </c>
      <c r="IF76">
        <v>100</v>
      </c>
      <c r="IG76">
        <v>100</v>
      </c>
      <c r="IH76">
        <v>-1.5640000000000001</v>
      </c>
      <c r="II76">
        <v>7.17E-2</v>
      </c>
      <c r="IJ76">
        <v>-1.1684908829594181</v>
      </c>
      <c r="IK76">
        <v>-4.1229525807901877E-3</v>
      </c>
      <c r="IL76">
        <v>1.8448211998558991E-6</v>
      </c>
      <c r="IM76">
        <v>-3.7020276670297668E-10</v>
      </c>
      <c r="IN76">
        <v>-0.18288611576338959</v>
      </c>
      <c r="IO76">
        <v>-1.3488639696665739E-2</v>
      </c>
      <c r="IP76">
        <v>1.1588640342490499E-3</v>
      </c>
      <c r="IQ76">
        <v>-1.0624341560077559E-5</v>
      </c>
      <c r="IR76">
        <v>2</v>
      </c>
      <c r="IS76">
        <v>1915</v>
      </c>
      <c r="IT76">
        <v>1</v>
      </c>
      <c r="IU76">
        <v>42</v>
      </c>
      <c r="IV76">
        <v>3.4</v>
      </c>
      <c r="IW76">
        <v>0.6</v>
      </c>
      <c r="IX76">
        <v>0.404053</v>
      </c>
      <c r="IY76">
        <v>2.50244</v>
      </c>
      <c r="IZ76">
        <v>1.49414</v>
      </c>
      <c r="JA76">
        <v>2.2851599999999999</v>
      </c>
      <c r="JB76">
        <v>1.54419</v>
      </c>
      <c r="JC76">
        <v>2.4853499999999999</v>
      </c>
      <c r="JD76">
        <v>46.269100000000002</v>
      </c>
      <c r="JE76">
        <v>15.445399999999999</v>
      </c>
      <c r="JF76">
        <v>18</v>
      </c>
      <c r="JG76">
        <v>513.98299999999995</v>
      </c>
      <c r="JH76">
        <v>400.73899999999998</v>
      </c>
      <c r="JI76">
        <v>23.418299999999999</v>
      </c>
      <c r="JJ76">
        <v>36.102899999999998</v>
      </c>
      <c r="JK76">
        <v>30.0001</v>
      </c>
      <c r="JL76">
        <v>35.997900000000001</v>
      </c>
      <c r="JM76">
        <v>35.966999999999999</v>
      </c>
      <c r="JN76">
        <v>8.1606900000000007</v>
      </c>
      <c r="JO76">
        <v>39.314799999999998</v>
      </c>
      <c r="JP76">
        <v>0</v>
      </c>
      <c r="JQ76">
        <v>23.450900000000001</v>
      </c>
      <c r="JR76">
        <v>120</v>
      </c>
      <c r="JS76">
        <v>18.614899999999999</v>
      </c>
      <c r="JT76">
        <v>97.694800000000001</v>
      </c>
      <c r="JU76">
        <v>97.941199999999995</v>
      </c>
    </row>
    <row r="77" spans="1:281" x14ac:dyDescent="0.25">
      <c r="A77">
        <v>61</v>
      </c>
      <c r="B77">
        <v>1691173189.5999999</v>
      </c>
      <c r="C77">
        <v>13944</v>
      </c>
      <c r="D77" t="s">
        <v>727</v>
      </c>
      <c r="E77" t="s">
        <v>728</v>
      </c>
      <c r="F77" t="s">
        <v>413</v>
      </c>
      <c r="G77" t="s">
        <v>708</v>
      </c>
      <c r="H77" t="s">
        <v>565</v>
      </c>
      <c r="I77" t="s">
        <v>31</v>
      </c>
      <c r="J77">
        <v>1691173189.5999999</v>
      </c>
      <c r="K77">
        <f t="shared" si="46"/>
        <v>6.9201738386514486E-3</v>
      </c>
      <c r="L77">
        <f t="shared" si="47"/>
        <v>6.9201738386514489</v>
      </c>
      <c r="M77">
        <f t="shared" si="48"/>
        <v>10.717588286161234</v>
      </c>
      <c r="N77">
        <f t="shared" si="49"/>
        <v>56.637799999999999</v>
      </c>
      <c r="O77">
        <f t="shared" si="50"/>
        <v>13.919852144308518</v>
      </c>
      <c r="P77">
        <f t="shared" si="51"/>
        <v>1.3813948378010885</v>
      </c>
      <c r="Q77">
        <f t="shared" si="52"/>
        <v>5.6206893387442003</v>
      </c>
      <c r="R77">
        <f t="shared" si="53"/>
        <v>0.43988061265347916</v>
      </c>
      <c r="S77">
        <f t="shared" si="54"/>
        <v>2.9152724895521338</v>
      </c>
      <c r="T77">
        <f t="shared" si="55"/>
        <v>0.40605612625044146</v>
      </c>
      <c r="U77">
        <f t="shared" si="56"/>
        <v>0.25660698712481844</v>
      </c>
      <c r="V77">
        <f t="shared" si="57"/>
        <v>344.40199999340223</v>
      </c>
      <c r="W77">
        <f t="shared" si="58"/>
        <v>30.540921058264111</v>
      </c>
      <c r="X77">
        <f t="shared" si="59"/>
        <v>30.001999999999999</v>
      </c>
      <c r="Y77">
        <f t="shared" si="60"/>
        <v>4.2609392304091465</v>
      </c>
      <c r="Z77">
        <f t="shared" si="61"/>
        <v>60.607886451089534</v>
      </c>
      <c r="AA77">
        <f t="shared" si="62"/>
        <v>2.6283697685028002</v>
      </c>
      <c r="AB77">
        <f t="shared" si="63"/>
        <v>4.3366794693028776</v>
      </c>
      <c r="AC77">
        <f t="shared" si="64"/>
        <v>1.6325694619063462</v>
      </c>
      <c r="AD77">
        <f t="shared" si="65"/>
        <v>-305.17966628452888</v>
      </c>
      <c r="AE77">
        <f t="shared" si="66"/>
        <v>48.266345147263515</v>
      </c>
      <c r="AF77">
        <f t="shared" si="67"/>
        <v>3.6870001002712209</v>
      </c>
      <c r="AG77">
        <f t="shared" si="68"/>
        <v>91.175678956408092</v>
      </c>
      <c r="AH77">
        <v>0</v>
      </c>
      <c r="AI77">
        <v>0</v>
      </c>
      <c r="AJ77">
        <f t="shared" si="69"/>
        <v>1</v>
      </c>
      <c r="AK77">
        <f t="shared" si="70"/>
        <v>0</v>
      </c>
      <c r="AL77">
        <f t="shared" si="71"/>
        <v>51874.735335624733</v>
      </c>
      <c r="AM77" t="s">
        <v>416</v>
      </c>
      <c r="AN77">
        <v>10235.299999999999</v>
      </c>
      <c r="AO77">
        <v>594.051923076923</v>
      </c>
      <c r="AP77">
        <v>2007.77</v>
      </c>
      <c r="AQ77">
        <f t="shared" si="72"/>
        <v>0.70412351859180933</v>
      </c>
      <c r="AR77">
        <v>-0.54275787784279261</v>
      </c>
      <c r="AS77" t="s">
        <v>729</v>
      </c>
      <c r="AT77">
        <v>10183.799999999999</v>
      </c>
      <c r="AU77">
        <v>739.16419999999994</v>
      </c>
      <c r="AV77">
        <v>840.00980731636253</v>
      </c>
      <c r="AW77">
        <f t="shared" si="73"/>
        <v>0.12005289276150366</v>
      </c>
      <c r="AX77">
        <v>0.5</v>
      </c>
      <c r="AY77">
        <f t="shared" si="74"/>
        <v>1513.3052999967013</v>
      </c>
      <c r="AZ77">
        <f t="shared" si="75"/>
        <v>10.717588286161234</v>
      </c>
      <c r="BA77">
        <f t="shared" si="76"/>
        <v>90.838339447959555</v>
      </c>
      <c r="BB77">
        <f t="shared" si="77"/>
        <v>7.440895213958857E-3</v>
      </c>
      <c r="BC77">
        <f t="shared" si="78"/>
        <v>1.3901744747651954</v>
      </c>
      <c r="BD77">
        <f t="shared" si="79"/>
        <v>420.91938868702573</v>
      </c>
      <c r="BE77" t="s">
        <v>730</v>
      </c>
      <c r="BF77">
        <v>568.92999999999995</v>
      </c>
      <c r="BG77">
        <f t="shared" si="80"/>
        <v>568.92999999999995</v>
      </c>
      <c r="BH77">
        <f t="shared" si="81"/>
        <v>0.32271028856484429</v>
      </c>
      <c r="BI77">
        <f t="shared" si="82"/>
        <v>0.37201445697750235</v>
      </c>
      <c r="BJ77">
        <f t="shared" si="83"/>
        <v>0.811598365824996</v>
      </c>
      <c r="BK77">
        <f t="shared" si="84"/>
        <v>0.41001168809124078</v>
      </c>
      <c r="BL77">
        <f t="shared" si="85"/>
        <v>0.82602055653503348</v>
      </c>
      <c r="BM77">
        <f t="shared" si="86"/>
        <v>0.28633716974957718</v>
      </c>
      <c r="BN77">
        <f t="shared" si="87"/>
        <v>0.71366283025042287</v>
      </c>
      <c r="BO77">
        <v>12589</v>
      </c>
      <c r="BP77">
        <v>290.00000000000011</v>
      </c>
      <c r="BQ77">
        <v>813.13</v>
      </c>
      <c r="BR77">
        <v>275</v>
      </c>
      <c r="BS77">
        <v>10183.799999999999</v>
      </c>
      <c r="BT77">
        <v>813.87</v>
      </c>
      <c r="BU77">
        <v>-0.74</v>
      </c>
      <c r="BV77">
        <v>300.00000000000011</v>
      </c>
      <c r="BW77">
        <v>24.2</v>
      </c>
      <c r="BX77">
        <v>840.00980731636253</v>
      </c>
      <c r="BY77">
        <v>1.8588041554399579</v>
      </c>
      <c r="BZ77">
        <v>-26.62155727566957</v>
      </c>
      <c r="CA77">
        <v>1.6858451175523259</v>
      </c>
      <c r="CB77">
        <v>0.89904916722062334</v>
      </c>
      <c r="CC77">
        <v>-6.9576714126807623E-3</v>
      </c>
      <c r="CD77">
        <v>289.99999999999989</v>
      </c>
      <c r="CE77">
        <v>812.06</v>
      </c>
      <c r="CF77">
        <v>645</v>
      </c>
      <c r="CG77">
        <v>10166.299999999999</v>
      </c>
      <c r="CH77">
        <v>813.82</v>
      </c>
      <c r="CI77">
        <v>-1.76</v>
      </c>
      <c r="CW77">
        <f t="shared" si="88"/>
        <v>1800.14</v>
      </c>
      <c r="CX77">
        <f t="shared" si="89"/>
        <v>1513.3052999967013</v>
      </c>
      <c r="CY77">
        <f t="shared" si="90"/>
        <v>0.8406597820151217</v>
      </c>
      <c r="CZ77">
        <f t="shared" si="91"/>
        <v>0.19131956403024333</v>
      </c>
      <c r="DA77">
        <v>6</v>
      </c>
      <c r="DB77">
        <v>0.5</v>
      </c>
      <c r="DC77" t="s">
        <v>419</v>
      </c>
      <c r="DD77">
        <v>2</v>
      </c>
      <c r="DE77">
        <v>1691173189.5999999</v>
      </c>
      <c r="DF77">
        <v>56.637799999999999</v>
      </c>
      <c r="DG77">
        <v>69.965000000000003</v>
      </c>
      <c r="DH77">
        <v>26.485199999999999</v>
      </c>
      <c r="DI77">
        <v>18.403500000000001</v>
      </c>
      <c r="DJ77">
        <v>58.1995</v>
      </c>
      <c r="DK77">
        <v>26.431999999999999</v>
      </c>
      <c r="DL77">
        <v>500.15899999999999</v>
      </c>
      <c r="DM77">
        <v>99.138800000000003</v>
      </c>
      <c r="DN77">
        <v>0.10038900000000001</v>
      </c>
      <c r="DO77">
        <v>30.309100000000001</v>
      </c>
      <c r="DP77">
        <v>30.001999999999999</v>
      </c>
      <c r="DQ77">
        <v>999.9</v>
      </c>
      <c r="DR77">
        <v>0</v>
      </c>
      <c r="DS77">
        <v>0</v>
      </c>
      <c r="DT77">
        <v>10005</v>
      </c>
      <c r="DU77">
        <v>0</v>
      </c>
      <c r="DV77">
        <v>1736.13</v>
      </c>
      <c r="DW77">
        <v>-13.327299999999999</v>
      </c>
      <c r="DX77">
        <v>58.178600000000003</v>
      </c>
      <c r="DY77">
        <v>71.276799999999994</v>
      </c>
      <c r="DZ77">
        <v>8.0817099999999993</v>
      </c>
      <c r="EA77">
        <v>69.965000000000003</v>
      </c>
      <c r="EB77">
        <v>18.403500000000001</v>
      </c>
      <c r="EC77">
        <v>2.6257100000000002</v>
      </c>
      <c r="ED77">
        <v>1.8245</v>
      </c>
      <c r="EE77">
        <v>21.827400000000001</v>
      </c>
      <c r="EF77">
        <v>15.9983</v>
      </c>
      <c r="EG77">
        <v>1800.14</v>
      </c>
      <c r="EH77">
        <v>0.97800500000000001</v>
      </c>
      <c r="EI77">
        <v>2.1994799999999998E-2</v>
      </c>
      <c r="EJ77">
        <v>0</v>
      </c>
      <c r="EK77">
        <v>740.41</v>
      </c>
      <c r="EL77">
        <v>0.100005</v>
      </c>
      <c r="EM77">
        <v>17582.2</v>
      </c>
      <c r="EN77">
        <v>14863.7</v>
      </c>
      <c r="EO77">
        <v>48.875</v>
      </c>
      <c r="EP77">
        <v>51.436999999999998</v>
      </c>
      <c r="EQ77">
        <v>49.936999999999998</v>
      </c>
      <c r="ER77">
        <v>49.5</v>
      </c>
      <c r="ES77">
        <v>49.875</v>
      </c>
      <c r="ET77">
        <v>1760.45</v>
      </c>
      <c r="EU77">
        <v>39.590000000000003</v>
      </c>
      <c r="EV77">
        <v>0</v>
      </c>
      <c r="EW77">
        <v>98.599999904632568</v>
      </c>
      <c r="EX77">
        <v>0</v>
      </c>
      <c r="EY77">
        <v>739.16419999999994</v>
      </c>
      <c r="EZ77">
        <v>-2.343076787295348</v>
      </c>
      <c r="FA77">
        <v>-981.82307547051619</v>
      </c>
      <c r="FB77">
        <v>17682.867999999999</v>
      </c>
      <c r="FC77">
        <v>15</v>
      </c>
      <c r="FD77">
        <v>1691173155.0999999</v>
      </c>
      <c r="FE77" t="s">
        <v>731</v>
      </c>
      <c r="FF77">
        <v>1691173150.5999999</v>
      </c>
      <c r="FG77">
        <v>1691173155.0999999</v>
      </c>
      <c r="FH77">
        <v>72</v>
      </c>
      <c r="FI77">
        <v>-0.16</v>
      </c>
      <c r="FJ77">
        <v>-2.1000000000000001E-2</v>
      </c>
      <c r="FK77">
        <v>-1.6140000000000001</v>
      </c>
      <c r="FL77">
        <v>-0.125</v>
      </c>
      <c r="FM77">
        <v>70</v>
      </c>
      <c r="FN77">
        <v>18</v>
      </c>
      <c r="FO77">
        <v>0.31</v>
      </c>
      <c r="FP77">
        <v>0.12</v>
      </c>
      <c r="FQ77">
        <v>10.586687665696241</v>
      </c>
      <c r="FR77">
        <v>-0.39694672617516152</v>
      </c>
      <c r="FS77">
        <v>7.6829130988119831E-2</v>
      </c>
      <c r="FT77">
        <v>1</v>
      </c>
      <c r="FU77">
        <v>0.43582470979285121</v>
      </c>
      <c r="FV77">
        <v>3.7025387655207631E-2</v>
      </c>
      <c r="FW77">
        <v>3.2335295754566248E-3</v>
      </c>
      <c r="FX77">
        <v>1</v>
      </c>
      <c r="FY77">
        <v>2</v>
      </c>
      <c r="FZ77">
        <v>2</v>
      </c>
      <c r="GA77" t="s">
        <v>421</v>
      </c>
      <c r="GB77">
        <v>2.9155500000000001</v>
      </c>
      <c r="GC77">
        <v>2.8303199999999999</v>
      </c>
      <c r="GD77">
        <v>1.58341E-2</v>
      </c>
      <c r="GE77">
        <v>1.8543500000000001E-2</v>
      </c>
      <c r="GF77">
        <v>0.12598999999999999</v>
      </c>
      <c r="GG77">
        <v>9.3884999999999996E-2</v>
      </c>
      <c r="GH77">
        <v>25440.799999999999</v>
      </c>
      <c r="GI77">
        <v>31435</v>
      </c>
      <c r="GJ77">
        <v>23290.7</v>
      </c>
      <c r="GK77">
        <v>29375.4</v>
      </c>
      <c r="GL77">
        <v>27788.7</v>
      </c>
      <c r="GM77">
        <v>37857.800000000003</v>
      </c>
      <c r="GN77">
        <v>32947.5</v>
      </c>
      <c r="GO77">
        <v>43571</v>
      </c>
      <c r="GP77">
        <v>1.9245000000000001</v>
      </c>
      <c r="GQ77">
        <v>1.7105999999999999</v>
      </c>
      <c r="GR77">
        <v>-4.1380500000000001E-2</v>
      </c>
      <c r="GS77">
        <v>0</v>
      </c>
      <c r="GT77">
        <v>30.6751</v>
      </c>
      <c r="GU77">
        <v>999.9</v>
      </c>
      <c r="GV77">
        <v>32.200000000000003</v>
      </c>
      <c r="GW77">
        <v>44</v>
      </c>
      <c r="GX77">
        <v>29.726500000000001</v>
      </c>
      <c r="GY77">
        <v>61.737499999999997</v>
      </c>
      <c r="GZ77">
        <v>39.014400000000002</v>
      </c>
      <c r="HA77">
        <v>1</v>
      </c>
      <c r="HB77">
        <v>0.71969499999999997</v>
      </c>
      <c r="HC77">
        <v>4.7868700000000004</v>
      </c>
      <c r="HD77">
        <v>20.247699999999998</v>
      </c>
      <c r="HE77">
        <v>5.2112999999999996</v>
      </c>
      <c r="HF77">
        <v>11.8782</v>
      </c>
      <c r="HG77">
        <v>4.9837999999999996</v>
      </c>
      <c r="HH77">
        <v>3.2839999999999998</v>
      </c>
      <c r="HI77">
        <v>9999</v>
      </c>
      <c r="HJ77">
        <v>9999</v>
      </c>
      <c r="HK77">
        <v>9999</v>
      </c>
      <c r="HL77">
        <v>999.9</v>
      </c>
      <c r="HM77">
        <v>1.8547100000000001</v>
      </c>
      <c r="HN77">
        <v>1.8606799999999999</v>
      </c>
      <c r="HO77">
        <v>1.85806</v>
      </c>
      <c r="HP77">
        <v>1.85924</v>
      </c>
      <c r="HQ77">
        <v>1.8585400000000001</v>
      </c>
      <c r="HR77">
        <v>1.8591299999999999</v>
      </c>
      <c r="HS77">
        <v>1.85745</v>
      </c>
      <c r="HT77">
        <v>1.86077</v>
      </c>
      <c r="HU77">
        <v>5</v>
      </c>
      <c r="HV77">
        <v>0</v>
      </c>
      <c r="HW77">
        <v>0</v>
      </c>
      <c r="HX77">
        <v>0</v>
      </c>
      <c r="HY77" t="s">
        <v>422</v>
      </c>
      <c r="HZ77" t="s">
        <v>423</v>
      </c>
      <c r="IA77" t="s">
        <v>424</v>
      </c>
      <c r="IB77" t="s">
        <v>424</v>
      </c>
      <c r="IC77" t="s">
        <v>424</v>
      </c>
      <c r="ID77" t="s">
        <v>424</v>
      </c>
      <c r="IE77">
        <v>0</v>
      </c>
      <c r="IF77">
        <v>100</v>
      </c>
      <c r="IG77">
        <v>100</v>
      </c>
      <c r="IH77">
        <v>-1.5620000000000001</v>
      </c>
      <c r="II77">
        <v>5.3199999999999997E-2</v>
      </c>
      <c r="IJ77">
        <v>-1.3279969805070631</v>
      </c>
      <c r="IK77">
        <v>-4.1229525807901877E-3</v>
      </c>
      <c r="IL77">
        <v>1.8448211998558991E-6</v>
      </c>
      <c r="IM77">
        <v>-3.7020276670297668E-10</v>
      </c>
      <c r="IN77">
        <v>-0.20372561432846251</v>
      </c>
      <c r="IO77">
        <v>-1.3488639696665739E-2</v>
      </c>
      <c r="IP77">
        <v>1.1588640342490499E-3</v>
      </c>
      <c r="IQ77">
        <v>-1.0624341560077559E-5</v>
      </c>
      <c r="IR77">
        <v>2</v>
      </c>
      <c r="IS77">
        <v>1915</v>
      </c>
      <c r="IT77">
        <v>1</v>
      </c>
      <c r="IU77">
        <v>42</v>
      </c>
      <c r="IV77">
        <v>0.7</v>
      </c>
      <c r="IW77">
        <v>0.6</v>
      </c>
      <c r="IX77">
        <v>0.29174800000000001</v>
      </c>
      <c r="IY77">
        <v>2.51709</v>
      </c>
      <c r="IZ77">
        <v>1.49414</v>
      </c>
      <c r="JA77">
        <v>2.2851599999999999</v>
      </c>
      <c r="JB77">
        <v>1.54419</v>
      </c>
      <c r="JC77">
        <v>2.4841299999999999</v>
      </c>
      <c r="JD77">
        <v>46.269100000000002</v>
      </c>
      <c r="JE77">
        <v>15.4016</v>
      </c>
      <c r="JF77">
        <v>18</v>
      </c>
      <c r="JG77">
        <v>513.49400000000003</v>
      </c>
      <c r="JH77">
        <v>400.90899999999999</v>
      </c>
      <c r="JI77">
        <v>23.697800000000001</v>
      </c>
      <c r="JJ77">
        <v>36.0794</v>
      </c>
      <c r="JK77">
        <v>30.0001</v>
      </c>
      <c r="JL77">
        <v>36.0045</v>
      </c>
      <c r="JM77">
        <v>35.973599999999998</v>
      </c>
      <c r="JN77">
        <v>5.9163800000000002</v>
      </c>
      <c r="JO77">
        <v>40.342300000000002</v>
      </c>
      <c r="JP77">
        <v>0</v>
      </c>
      <c r="JQ77">
        <v>23.6952</v>
      </c>
      <c r="JR77">
        <v>70</v>
      </c>
      <c r="JS77">
        <v>18.284400000000002</v>
      </c>
      <c r="JT77">
        <v>97.699299999999994</v>
      </c>
      <c r="JU77">
        <v>97.950299999999999</v>
      </c>
    </row>
    <row r="78" spans="1:281" x14ac:dyDescent="0.25">
      <c r="A78">
        <v>62</v>
      </c>
      <c r="B78">
        <v>1691173300.5999999</v>
      </c>
      <c r="C78">
        <v>14055</v>
      </c>
      <c r="D78" t="s">
        <v>732</v>
      </c>
      <c r="E78" t="s">
        <v>733</v>
      </c>
      <c r="F78" t="s">
        <v>413</v>
      </c>
      <c r="G78" t="s">
        <v>708</v>
      </c>
      <c r="H78" t="s">
        <v>565</v>
      </c>
      <c r="I78" t="s">
        <v>31</v>
      </c>
      <c r="J78">
        <v>1691173300.5999999</v>
      </c>
      <c r="K78">
        <f t="shared" si="46"/>
        <v>7.5301845177903727E-3</v>
      </c>
      <c r="L78">
        <f t="shared" si="47"/>
        <v>7.5301845177903726</v>
      </c>
      <c r="M78">
        <f t="shared" si="48"/>
        <v>5.039090807746951</v>
      </c>
      <c r="N78">
        <f t="shared" si="49"/>
        <v>23.622399999999999</v>
      </c>
      <c r="O78">
        <f t="shared" si="50"/>
        <v>5.3630164682087891</v>
      </c>
      <c r="P78">
        <f t="shared" si="51"/>
        <v>0.53224083510734888</v>
      </c>
      <c r="Q78">
        <f t="shared" si="52"/>
        <v>2.3443534021888</v>
      </c>
      <c r="R78">
        <f t="shared" si="53"/>
        <v>0.48663030719997152</v>
      </c>
      <c r="S78">
        <f t="shared" si="54"/>
        <v>2.9232006102022208</v>
      </c>
      <c r="T78">
        <f t="shared" si="55"/>
        <v>0.44569452436538942</v>
      </c>
      <c r="U78">
        <f t="shared" si="56"/>
        <v>0.28194947359250888</v>
      </c>
      <c r="V78">
        <f t="shared" si="57"/>
        <v>344.37729999340172</v>
      </c>
      <c r="W78">
        <f t="shared" si="58"/>
        <v>30.441489493225014</v>
      </c>
      <c r="X78">
        <f t="shared" si="59"/>
        <v>29.998799999999999</v>
      </c>
      <c r="Y78">
        <f t="shared" si="60"/>
        <v>4.260156121150076</v>
      </c>
      <c r="Z78">
        <f t="shared" si="61"/>
        <v>60.70690258907441</v>
      </c>
      <c r="AA78">
        <f t="shared" si="62"/>
        <v>2.6417146397844</v>
      </c>
      <c r="AB78">
        <f t="shared" si="63"/>
        <v>4.3515885790882649</v>
      </c>
      <c r="AC78">
        <f t="shared" si="64"/>
        <v>1.618441481365676</v>
      </c>
      <c r="AD78">
        <f t="shared" si="65"/>
        <v>-332.08113723455546</v>
      </c>
      <c r="AE78">
        <f t="shared" si="66"/>
        <v>58.341887898231711</v>
      </c>
      <c r="AF78">
        <f t="shared" si="67"/>
        <v>4.4458175208478092</v>
      </c>
      <c r="AG78">
        <f t="shared" si="68"/>
        <v>75.08386817792578</v>
      </c>
      <c r="AH78">
        <v>0</v>
      </c>
      <c r="AI78">
        <v>0</v>
      </c>
      <c r="AJ78">
        <f t="shared" si="69"/>
        <v>1</v>
      </c>
      <c r="AK78">
        <f t="shared" si="70"/>
        <v>0</v>
      </c>
      <c r="AL78">
        <f t="shared" si="71"/>
        <v>52090.158479397898</v>
      </c>
      <c r="AM78" t="s">
        <v>416</v>
      </c>
      <c r="AN78">
        <v>10235.299999999999</v>
      </c>
      <c r="AO78">
        <v>594.051923076923</v>
      </c>
      <c r="AP78">
        <v>2007.77</v>
      </c>
      <c r="AQ78">
        <f t="shared" si="72"/>
        <v>0.70412351859180933</v>
      </c>
      <c r="AR78">
        <v>-0.54275787784279261</v>
      </c>
      <c r="AS78" t="s">
        <v>734</v>
      </c>
      <c r="AT78">
        <v>10198.299999999999</v>
      </c>
      <c r="AU78">
        <v>748.69560000000001</v>
      </c>
      <c r="AV78">
        <v>811.15182752401734</v>
      </c>
      <c r="AW78">
        <f t="shared" si="73"/>
        <v>7.6996963336272706E-2</v>
      </c>
      <c r="AX78">
        <v>0.5</v>
      </c>
      <c r="AY78">
        <f t="shared" si="74"/>
        <v>1513.1960999967009</v>
      </c>
      <c r="AZ78">
        <f t="shared" si="75"/>
        <v>5.039090807746951</v>
      </c>
      <c r="BA78">
        <f t="shared" si="76"/>
        <v>58.255752316018416</v>
      </c>
      <c r="BB78">
        <f t="shared" si="77"/>
        <v>3.6887807770598362E-3</v>
      </c>
      <c r="BC78">
        <f t="shared" si="78"/>
        <v>1.4752086254044123</v>
      </c>
      <c r="BD78">
        <f t="shared" si="79"/>
        <v>413.54708340691167</v>
      </c>
      <c r="BE78" t="s">
        <v>735</v>
      </c>
      <c r="BF78">
        <v>590.01</v>
      </c>
      <c r="BG78">
        <f t="shared" si="80"/>
        <v>590.01</v>
      </c>
      <c r="BH78">
        <f t="shared" si="81"/>
        <v>0.27262692386336218</v>
      </c>
      <c r="BI78">
        <f t="shared" si="82"/>
        <v>0.28242611641270893</v>
      </c>
      <c r="BJ78">
        <f t="shared" si="83"/>
        <v>0.84402026610708625</v>
      </c>
      <c r="BK78">
        <f t="shared" si="84"/>
        <v>0.28768426998196789</v>
      </c>
      <c r="BL78">
        <f t="shared" si="85"/>
        <v>0.84643338159783099</v>
      </c>
      <c r="BM78">
        <f t="shared" si="86"/>
        <v>0.22256606415833402</v>
      </c>
      <c r="BN78">
        <f t="shared" si="87"/>
        <v>0.77743393584166598</v>
      </c>
      <c r="BO78">
        <v>12591</v>
      </c>
      <c r="BP78">
        <v>290.00000000000011</v>
      </c>
      <c r="BQ78">
        <v>795.11</v>
      </c>
      <c r="BR78">
        <v>165</v>
      </c>
      <c r="BS78">
        <v>10198.299999999999</v>
      </c>
      <c r="BT78">
        <v>794.46</v>
      </c>
      <c r="BU78">
        <v>0.65</v>
      </c>
      <c r="BV78">
        <v>300.00000000000011</v>
      </c>
      <c r="BW78">
        <v>24.2</v>
      </c>
      <c r="BX78">
        <v>811.15182752401734</v>
      </c>
      <c r="BY78">
        <v>1.679733442405859</v>
      </c>
      <c r="BZ78">
        <v>-17.01989305321268</v>
      </c>
      <c r="CA78">
        <v>1.5233763398355189</v>
      </c>
      <c r="CB78">
        <v>0.81678309914482283</v>
      </c>
      <c r="CC78">
        <v>-6.957532146829825E-3</v>
      </c>
      <c r="CD78">
        <v>289.99999999999989</v>
      </c>
      <c r="CE78">
        <v>792.11</v>
      </c>
      <c r="CF78">
        <v>755</v>
      </c>
      <c r="CG78">
        <v>10159.700000000001</v>
      </c>
      <c r="CH78">
        <v>794.4</v>
      </c>
      <c r="CI78">
        <v>-2.29</v>
      </c>
      <c r="CW78">
        <f t="shared" si="88"/>
        <v>1800.01</v>
      </c>
      <c r="CX78">
        <f t="shared" si="89"/>
        <v>1513.1960999967009</v>
      </c>
      <c r="CY78">
        <f t="shared" si="90"/>
        <v>0.84065982966578012</v>
      </c>
      <c r="CZ78">
        <f t="shared" si="91"/>
        <v>0.19131965933156023</v>
      </c>
      <c r="DA78">
        <v>6</v>
      </c>
      <c r="DB78">
        <v>0.5</v>
      </c>
      <c r="DC78" t="s">
        <v>419</v>
      </c>
      <c r="DD78">
        <v>2</v>
      </c>
      <c r="DE78">
        <v>1691173300.5999999</v>
      </c>
      <c r="DF78">
        <v>23.622399999999999</v>
      </c>
      <c r="DG78">
        <v>29.8795</v>
      </c>
      <c r="DH78">
        <v>26.6187</v>
      </c>
      <c r="DI78">
        <v>17.8276</v>
      </c>
      <c r="DJ78">
        <v>25.201899999999998</v>
      </c>
      <c r="DK78">
        <v>26.551400000000001</v>
      </c>
      <c r="DL78">
        <v>500.26100000000002</v>
      </c>
      <c r="DM78">
        <v>99.142799999999994</v>
      </c>
      <c r="DN78">
        <v>0.100012</v>
      </c>
      <c r="DO78">
        <v>30.369</v>
      </c>
      <c r="DP78">
        <v>29.998799999999999</v>
      </c>
      <c r="DQ78">
        <v>999.9</v>
      </c>
      <c r="DR78">
        <v>0</v>
      </c>
      <c r="DS78">
        <v>0</v>
      </c>
      <c r="DT78">
        <v>10050</v>
      </c>
      <c r="DU78">
        <v>0</v>
      </c>
      <c r="DV78">
        <v>1684.61</v>
      </c>
      <c r="DW78">
        <v>-6.2571099999999999</v>
      </c>
      <c r="DX78">
        <v>24.2684</v>
      </c>
      <c r="DY78">
        <v>30.421900000000001</v>
      </c>
      <c r="DZ78">
        <v>8.7910199999999996</v>
      </c>
      <c r="EA78">
        <v>29.8795</v>
      </c>
      <c r="EB78">
        <v>17.8276</v>
      </c>
      <c r="EC78">
        <v>2.6390500000000001</v>
      </c>
      <c r="ED78">
        <v>1.7674799999999999</v>
      </c>
      <c r="EE78">
        <v>21.910399999999999</v>
      </c>
      <c r="EF78">
        <v>15.5021</v>
      </c>
      <c r="EG78">
        <v>1800.01</v>
      </c>
      <c r="EH78">
        <v>0.97800500000000001</v>
      </c>
      <c r="EI78">
        <v>2.1995299999999999E-2</v>
      </c>
      <c r="EJ78">
        <v>0</v>
      </c>
      <c r="EK78">
        <v>746.26499999999999</v>
      </c>
      <c r="EL78">
        <v>0.100005</v>
      </c>
      <c r="EM78">
        <v>17695.3</v>
      </c>
      <c r="EN78">
        <v>14862.6</v>
      </c>
      <c r="EO78">
        <v>48.936999999999998</v>
      </c>
      <c r="EP78">
        <v>51.5</v>
      </c>
      <c r="EQ78">
        <v>50</v>
      </c>
      <c r="ER78">
        <v>49.625</v>
      </c>
      <c r="ES78">
        <v>49.936999999999998</v>
      </c>
      <c r="ET78">
        <v>1760.32</v>
      </c>
      <c r="EU78">
        <v>39.590000000000003</v>
      </c>
      <c r="EV78">
        <v>0</v>
      </c>
      <c r="EW78">
        <v>108.6000001430511</v>
      </c>
      <c r="EX78">
        <v>0</v>
      </c>
      <c r="EY78">
        <v>748.69560000000001</v>
      </c>
      <c r="EZ78">
        <v>-10.69153839572134</v>
      </c>
      <c r="FA78">
        <v>-279.71538403236138</v>
      </c>
      <c r="FB78">
        <v>17719.036</v>
      </c>
      <c r="FC78">
        <v>15</v>
      </c>
      <c r="FD78">
        <v>1691173266.0999999</v>
      </c>
      <c r="FE78" t="s">
        <v>736</v>
      </c>
      <c r="FF78">
        <v>1691173249.5999999</v>
      </c>
      <c r="FG78">
        <v>1691173266.0999999</v>
      </c>
      <c r="FH78">
        <v>73</v>
      </c>
      <c r="FI78">
        <v>-0.14899999999999999</v>
      </c>
      <c r="FJ78">
        <v>1.0999999999999999E-2</v>
      </c>
      <c r="FK78">
        <v>-1.605</v>
      </c>
      <c r="FL78">
        <v>-0.11899999999999999</v>
      </c>
      <c r="FM78">
        <v>30</v>
      </c>
      <c r="FN78">
        <v>18</v>
      </c>
      <c r="FO78">
        <v>1.1499999999999999</v>
      </c>
      <c r="FP78">
        <v>0.03</v>
      </c>
      <c r="FQ78">
        <v>5.0425792060952448</v>
      </c>
      <c r="FR78">
        <v>-0.33816835328059208</v>
      </c>
      <c r="FS78">
        <v>0.10914418233575369</v>
      </c>
      <c r="FT78">
        <v>1</v>
      </c>
      <c r="FU78">
        <v>0.48447671393829878</v>
      </c>
      <c r="FV78">
        <v>-5.6889849365543092E-3</v>
      </c>
      <c r="FW78">
        <v>1.908229543335885E-3</v>
      </c>
      <c r="FX78">
        <v>1</v>
      </c>
      <c r="FY78">
        <v>2</v>
      </c>
      <c r="FZ78">
        <v>2</v>
      </c>
      <c r="GA78" t="s">
        <v>421</v>
      </c>
      <c r="GB78">
        <v>2.91581</v>
      </c>
      <c r="GC78">
        <v>2.83033</v>
      </c>
      <c r="GD78">
        <v>6.9289599999999996E-3</v>
      </c>
      <c r="GE78">
        <v>8.0238199999999992E-3</v>
      </c>
      <c r="GF78">
        <v>0.126392</v>
      </c>
      <c r="GG78">
        <v>9.17573E-2</v>
      </c>
      <c r="GH78">
        <v>25673.200000000001</v>
      </c>
      <c r="GI78">
        <v>31771.7</v>
      </c>
      <c r="GJ78">
        <v>23293.3</v>
      </c>
      <c r="GK78">
        <v>29375.9</v>
      </c>
      <c r="GL78">
        <v>27778.3</v>
      </c>
      <c r="GM78">
        <v>37946.1</v>
      </c>
      <c r="GN78">
        <v>32951.199999999997</v>
      </c>
      <c r="GO78">
        <v>43572.2</v>
      </c>
      <c r="GP78">
        <v>1.9255</v>
      </c>
      <c r="GQ78">
        <v>1.7104999999999999</v>
      </c>
      <c r="GR78">
        <v>-4.9009900000000002E-2</v>
      </c>
      <c r="GS78">
        <v>0</v>
      </c>
      <c r="GT78">
        <v>30.7959</v>
      </c>
      <c r="GU78">
        <v>999.9</v>
      </c>
      <c r="GV78">
        <v>32.299999999999997</v>
      </c>
      <c r="GW78">
        <v>43.9</v>
      </c>
      <c r="GX78">
        <v>29.6648</v>
      </c>
      <c r="GY78">
        <v>61.677500000000002</v>
      </c>
      <c r="GZ78">
        <v>38.998399999999997</v>
      </c>
      <c r="HA78">
        <v>1</v>
      </c>
      <c r="HB78">
        <v>0.71638199999999996</v>
      </c>
      <c r="HC78">
        <v>4.3151099999999998</v>
      </c>
      <c r="HD78">
        <v>20.261700000000001</v>
      </c>
      <c r="HE78">
        <v>5.2112999999999996</v>
      </c>
      <c r="HF78">
        <v>11.8782</v>
      </c>
      <c r="HG78">
        <v>4.9836</v>
      </c>
      <c r="HH78">
        <v>3.2839999999999998</v>
      </c>
      <c r="HI78">
        <v>9999</v>
      </c>
      <c r="HJ78">
        <v>9999</v>
      </c>
      <c r="HK78">
        <v>9999</v>
      </c>
      <c r="HL78">
        <v>999.9</v>
      </c>
      <c r="HM78">
        <v>1.8547100000000001</v>
      </c>
      <c r="HN78">
        <v>1.8606799999999999</v>
      </c>
      <c r="HO78">
        <v>1.85806</v>
      </c>
      <c r="HP78">
        <v>1.8591299999999999</v>
      </c>
      <c r="HQ78">
        <v>1.8585400000000001</v>
      </c>
      <c r="HR78">
        <v>1.8591299999999999</v>
      </c>
      <c r="HS78">
        <v>1.8574299999999999</v>
      </c>
      <c r="HT78">
        <v>1.8607199999999999</v>
      </c>
      <c r="HU78">
        <v>5</v>
      </c>
      <c r="HV78">
        <v>0</v>
      </c>
      <c r="HW78">
        <v>0</v>
      </c>
      <c r="HX78">
        <v>0</v>
      </c>
      <c r="HY78" t="s">
        <v>422</v>
      </c>
      <c r="HZ78" t="s">
        <v>423</v>
      </c>
      <c r="IA78" t="s">
        <v>424</v>
      </c>
      <c r="IB78" t="s">
        <v>424</v>
      </c>
      <c r="IC78" t="s">
        <v>424</v>
      </c>
      <c r="ID78" t="s">
        <v>424</v>
      </c>
      <c r="IE78">
        <v>0</v>
      </c>
      <c r="IF78">
        <v>100</v>
      </c>
      <c r="IG78">
        <v>100</v>
      </c>
      <c r="IH78">
        <v>-1.579</v>
      </c>
      <c r="II78">
        <v>6.7299999999999999E-2</v>
      </c>
      <c r="IJ78">
        <v>-1.4767065058800619</v>
      </c>
      <c r="IK78">
        <v>-4.1229525807901877E-3</v>
      </c>
      <c r="IL78">
        <v>1.8448211998558991E-6</v>
      </c>
      <c r="IM78">
        <v>-3.7020276670297668E-10</v>
      </c>
      <c r="IN78">
        <v>-0.1927060875632885</v>
      </c>
      <c r="IO78">
        <v>-1.3488639696665739E-2</v>
      </c>
      <c r="IP78">
        <v>1.1588640342490499E-3</v>
      </c>
      <c r="IQ78">
        <v>-1.0624341560077559E-5</v>
      </c>
      <c r="IR78">
        <v>2</v>
      </c>
      <c r="IS78">
        <v>1915</v>
      </c>
      <c r="IT78">
        <v>1</v>
      </c>
      <c r="IU78">
        <v>42</v>
      </c>
      <c r="IV78">
        <v>0.8</v>
      </c>
      <c r="IW78">
        <v>0.6</v>
      </c>
      <c r="IX78">
        <v>0.20263700000000001</v>
      </c>
      <c r="IY78">
        <v>2.5451700000000002</v>
      </c>
      <c r="IZ78">
        <v>1.49414</v>
      </c>
      <c r="JA78">
        <v>2.2851599999999999</v>
      </c>
      <c r="JB78">
        <v>1.54419</v>
      </c>
      <c r="JC78">
        <v>2.4169900000000002</v>
      </c>
      <c r="JD78">
        <v>46.298200000000001</v>
      </c>
      <c r="JE78">
        <v>15.3316</v>
      </c>
      <c r="JF78">
        <v>18</v>
      </c>
      <c r="JG78">
        <v>514.21400000000006</v>
      </c>
      <c r="JH78">
        <v>400.90899999999999</v>
      </c>
      <c r="JI78">
        <v>23.661200000000001</v>
      </c>
      <c r="JJ78">
        <v>36.076099999999997</v>
      </c>
      <c r="JK78">
        <v>29.997</v>
      </c>
      <c r="JL78">
        <v>36.010800000000003</v>
      </c>
      <c r="JM78">
        <v>35.983499999999999</v>
      </c>
      <c r="JN78">
        <v>4.1187800000000001</v>
      </c>
      <c r="JO78">
        <v>41.904499999999999</v>
      </c>
      <c r="JP78">
        <v>0</v>
      </c>
      <c r="JQ78">
        <v>23.7422</v>
      </c>
      <c r="JR78">
        <v>30</v>
      </c>
      <c r="JS78">
        <v>17.7576</v>
      </c>
      <c r="JT78">
        <v>97.710099999999997</v>
      </c>
      <c r="JU78">
        <v>97.952799999999996</v>
      </c>
    </row>
    <row r="79" spans="1:281" x14ac:dyDescent="0.25">
      <c r="A79">
        <v>63</v>
      </c>
      <c r="B79">
        <v>1691173405.5</v>
      </c>
      <c r="C79">
        <v>14159.900000095369</v>
      </c>
      <c r="D79" t="s">
        <v>737</v>
      </c>
      <c r="E79" t="s">
        <v>738</v>
      </c>
      <c r="F79" t="s">
        <v>413</v>
      </c>
      <c r="G79" t="s">
        <v>708</v>
      </c>
      <c r="H79" t="s">
        <v>565</v>
      </c>
      <c r="I79" t="s">
        <v>31</v>
      </c>
      <c r="J79">
        <v>1691173405.5</v>
      </c>
      <c r="K79">
        <f t="shared" si="46"/>
        <v>7.6538382251551181E-3</v>
      </c>
      <c r="L79">
        <f t="shared" si="47"/>
        <v>7.653838225155118</v>
      </c>
      <c r="M79">
        <f t="shared" si="48"/>
        <v>1.9958319684000405</v>
      </c>
      <c r="N79">
        <f t="shared" si="49"/>
        <v>7.4542700000000002</v>
      </c>
      <c r="O79">
        <f t="shared" si="50"/>
        <v>0.32271189364422892</v>
      </c>
      <c r="P79">
        <f t="shared" si="51"/>
        <v>3.2029168998089254E-2</v>
      </c>
      <c r="Q79">
        <f t="shared" si="52"/>
        <v>0.73983661057934003</v>
      </c>
      <c r="R79">
        <f t="shared" si="53"/>
        <v>0.49061155737706302</v>
      </c>
      <c r="S79">
        <f t="shared" si="54"/>
        <v>2.9154648466733404</v>
      </c>
      <c r="T79">
        <f t="shared" si="55"/>
        <v>0.44893355714979594</v>
      </c>
      <c r="U79">
        <f t="shared" si="56"/>
        <v>0.28403243987337801</v>
      </c>
      <c r="V79">
        <f t="shared" si="57"/>
        <v>344.39629999340201</v>
      </c>
      <c r="W79">
        <f t="shared" si="58"/>
        <v>30.449852265499956</v>
      </c>
      <c r="X79">
        <f t="shared" si="59"/>
        <v>30.020900000000001</v>
      </c>
      <c r="Y79">
        <f t="shared" si="60"/>
        <v>4.2655670286228329</v>
      </c>
      <c r="Z79">
        <f t="shared" si="61"/>
        <v>60.350174619046882</v>
      </c>
      <c r="AA79">
        <f t="shared" si="62"/>
        <v>2.6322599889029998</v>
      </c>
      <c r="AB79">
        <f t="shared" si="63"/>
        <v>4.3616443622886267</v>
      </c>
      <c r="AC79">
        <f t="shared" si="64"/>
        <v>1.633307039719833</v>
      </c>
      <c r="AD79">
        <f t="shared" si="65"/>
        <v>-337.53426572934069</v>
      </c>
      <c r="AE79">
        <f t="shared" si="66"/>
        <v>61.048145252100682</v>
      </c>
      <c r="AF79">
        <f t="shared" si="67"/>
        <v>4.6658258636192471</v>
      </c>
      <c r="AG79">
        <f t="shared" si="68"/>
        <v>72.576005379781265</v>
      </c>
      <c r="AH79">
        <v>0</v>
      </c>
      <c r="AI79">
        <v>0</v>
      </c>
      <c r="AJ79">
        <f t="shared" si="69"/>
        <v>1</v>
      </c>
      <c r="AK79">
        <f t="shared" si="70"/>
        <v>0</v>
      </c>
      <c r="AL79">
        <f t="shared" si="71"/>
        <v>51863.305442636731</v>
      </c>
      <c r="AM79" t="s">
        <v>416</v>
      </c>
      <c r="AN79">
        <v>10235.299999999999</v>
      </c>
      <c r="AO79">
        <v>594.051923076923</v>
      </c>
      <c r="AP79">
        <v>2007.77</v>
      </c>
      <c r="AQ79">
        <f t="shared" si="72"/>
        <v>0.70412351859180933</v>
      </c>
      <c r="AR79">
        <v>-0.54275787784279261</v>
      </c>
      <c r="AS79" t="s">
        <v>739</v>
      </c>
      <c r="AT79">
        <v>10202.6</v>
      </c>
      <c r="AU79">
        <v>753.52840000000015</v>
      </c>
      <c r="AV79">
        <v>806.43543096756002</v>
      </c>
      <c r="AW79">
        <f t="shared" si="73"/>
        <v>6.5606034824241433E-2</v>
      </c>
      <c r="AX79">
        <v>0.5</v>
      </c>
      <c r="AY79">
        <f t="shared" si="74"/>
        <v>1513.2800999967008</v>
      </c>
      <c r="AZ79">
        <f t="shared" si="75"/>
        <v>1.9958319684000405</v>
      </c>
      <c r="BA79">
        <f t="shared" si="76"/>
        <v>49.640153469607554</v>
      </c>
      <c r="BB79">
        <f t="shared" si="77"/>
        <v>1.6775412868036577E-3</v>
      </c>
      <c r="BC79">
        <f t="shared" si="78"/>
        <v>1.4896847570190219</v>
      </c>
      <c r="BD79">
        <f t="shared" si="79"/>
        <v>412.31767698070894</v>
      </c>
      <c r="BE79" t="s">
        <v>740</v>
      </c>
      <c r="BF79">
        <v>601.13</v>
      </c>
      <c r="BG79">
        <f t="shared" si="80"/>
        <v>601.13</v>
      </c>
      <c r="BH79">
        <f t="shared" si="81"/>
        <v>0.25458384277738755</v>
      </c>
      <c r="BI79">
        <f t="shared" si="82"/>
        <v>0.25769913011175838</v>
      </c>
      <c r="BJ79">
        <f t="shared" si="83"/>
        <v>0.8540455049141501</v>
      </c>
      <c r="BK79">
        <f t="shared" si="84"/>
        <v>0.24911082547333843</v>
      </c>
      <c r="BL79">
        <f t="shared" si="85"/>
        <v>0.84976954644812597</v>
      </c>
      <c r="BM79">
        <f t="shared" si="86"/>
        <v>0.20558041088309517</v>
      </c>
      <c r="BN79">
        <f t="shared" si="87"/>
        <v>0.7944195891169048</v>
      </c>
      <c r="BO79">
        <v>12593</v>
      </c>
      <c r="BP79">
        <v>290.00000000000011</v>
      </c>
      <c r="BQ79">
        <v>789.07</v>
      </c>
      <c r="BR79">
        <v>135</v>
      </c>
      <c r="BS79">
        <v>10202.6</v>
      </c>
      <c r="BT79">
        <v>787.95</v>
      </c>
      <c r="BU79">
        <v>1.1200000000000001</v>
      </c>
      <c r="BV79">
        <v>300.00000000000011</v>
      </c>
      <c r="BW79">
        <v>24.2</v>
      </c>
      <c r="BX79">
        <v>806.43543096756002</v>
      </c>
      <c r="BY79">
        <v>1.6030964600066031</v>
      </c>
      <c r="BZ79">
        <v>-18.86226980407822</v>
      </c>
      <c r="CA79">
        <v>1.4537773300535191</v>
      </c>
      <c r="CB79">
        <v>0.85739159223577222</v>
      </c>
      <c r="CC79">
        <v>-6.9571590656284854E-3</v>
      </c>
      <c r="CD79">
        <v>289.99999999999989</v>
      </c>
      <c r="CE79">
        <v>785.7</v>
      </c>
      <c r="CF79">
        <v>705</v>
      </c>
      <c r="CG79">
        <v>10161.700000000001</v>
      </c>
      <c r="CH79">
        <v>787.87</v>
      </c>
      <c r="CI79">
        <v>-2.17</v>
      </c>
      <c r="CW79">
        <f t="shared" si="88"/>
        <v>1800.11</v>
      </c>
      <c r="CX79">
        <f t="shared" si="89"/>
        <v>1513.2800999967008</v>
      </c>
      <c r="CY79">
        <f t="shared" si="90"/>
        <v>0.8406597930108165</v>
      </c>
      <c r="CZ79">
        <f t="shared" si="91"/>
        <v>0.19131958602163315</v>
      </c>
      <c r="DA79">
        <v>6</v>
      </c>
      <c r="DB79">
        <v>0.5</v>
      </c>
      <c r="DC79" t="s">
        <v>419</v>
      </c>
      <c r="DD79">
        <v>2</v>
      </c>
      <c r="DE79">
        <v>1691173405.5</v>
      </c>
      <c r="DF79">
        <v>7.4542700000000002</v>
      </c>
      <c r="DG79">
        <v>9.9172600000000006</v>
      </c>
      <c r="DH79">
        <v>26.5215</v>
      </c>
      <c r="DI79">
        <v>17.5822</v>
      </c>
      <c r="DJ79">
        <v>9.0229300000000006</v>
      </c>
      <c r="DK79">
        <v>26.4635</v>
      </c>
      <c r="DL79">
        <v>500.096</v>
      </c>
      <c r="DM79">
        <v>99.149699999999996</v>
      </c>
      <c r="DN79">
        <v>0.100342</v>
      </c>
      <c r="DO79">
        <v>30.409300000000002</v>
      </c>
      <c r="DP79">
        <v>30.020900000000001</v>
      </c>
      <c r="DQ79">
        <v>999.9</v>
      </c>
      <c r="DR79">
        <v>0</v>
      </c>
      <c r="DS79">
        <v>0</v>
      </c>
      <c r="DT79">
        <v>10005</v>
      </c>
      <c r="DU79">
        <v>0</v>
      </c>
      <c r="DV79">
        <v>1587.71</v>
      </c>
      <c r="DW79">
        <v>-2.46299</v>
      </c>
      <c r="DX79">
        <v>7.6573500000000001</v>
      </c>
      <c r="DY79">
        <v>10.0947</v>
      </c>
      <c r="DZ79">
        <v>8.9392700000000005</v>
      </c>
      <c r="EA79">
        <v>9.9172600000000006</v>
      </c>
      <c r="EB79">
        <v>17.5822</v>
      </c>
      <c r="EC79">
        <v>2.6295999999999999</v>
      </c>
      <c r="ED79">
        <v>1.7432700000000001</v>
      </c>
      <c r="EE79">
        <v>21.851700000000001</v>
      </c>
      <c r="EF79">
        <v>15.2872</v>
      </c>
      <c r="EG79">
        <v>1800.11</v>
      </c>
      <c r="EH79">
        <v>0.97800500000000001</v>
      </c>
      <c r="EI79">
        <v>2.1994799999999998E-2</v>
      </c>
      <c r="EJ79">
        <v>0</v>
      </c>
      <c r="EK79">
        <v>756.64499999999998</v>
      </c>
      <c r="EL79">
        <v>0.100005</v>
      </c>
      <c r="EM79">
        <v>17616.8</v>
      </c>
      <c r="EN79">
        <v>14863.5</v>
      </c>
      <c r="EO79">
        <v>49</v>
      </c>
      <c r="EP79">
        <v>51.561999999999998</v>
      </c>
      <c r="EQ79">
        <v>50.061999999999998</v>
      </c>
      <c r="ER79">
        <v>49.75</v>
      </c>
      <c r="ES79">
        <v>50</v>
      </c>
      <c r="ET79">
        <v>1760.42</v>
      </c>
      <c r="EU79">
        <v>39.590000000000003</v>
      </c>
      <c r="EV79">
        <v>0</v>
      </c>
      <c r="EW79">
        <v>102.6000001430511</v>
      </c>
      <c r="EX79">
        <v>0</v>
      </c>
      <c r="EY79">
        <v>753.52840000000015</v>
      </c>
      <c r="EZ79">
        <v>-1.5330769013024801</v>
      </c>
      <c r="FA79">
        <v>656.8538456554694</v>
      </c>
      <c r="FB79">
        <v>17626.684000000001</v>
      </c>
      <c r="FC79">
        <v>15</v>
      </c>
      <c r="FD79">
        <v>1691173369.5</v>
      </c>
      <c r="FE79" t="s">
        <v>741</v>
      </c>
      <c r="FF79">
        <v>1691173360</v>
      </c>
      <c r="FG79">
        <v>1691173369.5</v>
      </c>
      <c r="FH79">
        <v>74</v>
      </c>
      <c r="FI79">
        <v>-5.5E-2</v>
      </c>
      <c r="FJ79">
        <v>-7.0000000000000001E-3</v>
      </c>
      <c r="FK79">
        <v>-1.579</v>
      </c>
      <c r="FL79">
        <v>-0.13600000000000001</v>
      </c>
      <c r="FM79">
        <v>10</v>
      </c>
      <c r="FN79">
        <v>17</v>
      </c>
      <c r="FO79">
        <v>0.8</v>
      </c>
      <c r="FP79">
        <v>0.02</v>
      </c>
      <c r="FQ79">
        <v>1.872785035600486</v>
      </c>
      <c r="FR79">
        <v>-0.6266464413383015</v>
      </c>
      <c r="FS79">
        <v>0.19704997178241321</v>
      </c>
      <c r="FT79">
        <v>1</v>
      </c>
      <c r="FU79">
        <v>0.49498405525480099</v>
      </c>
      <c r="FV79">
        <v>2.0992582298793539E-3</v>
      </c>
      <c r="FW79">
        <v>1.77123909415249E-3</v>
      </c>
      <c r="FX79">
        <v>1</v>
      </c>
      <c r="FY79">
        <v>2</v>
      </c>
      <c r="FZ79">
        <v>2</v>
      </c>
      <c r="GA79" t="s">
        <v>421</v>
      </c>
      <c r="GB79">
        <v>2.91534</v>
      </c>
      <c r="GC79">
        <v>2.8302700000000001</v>
      </c>
      <c r="GD79">
        <v>2.48928E-3</v>
      </c>
      <c r="GE79">
        <v>2.6739400000000001E-3</v>
      </c>
      <c r="GF79">
        <v>0.12609500000000001</v>
      </c>
      <c r="GG79">
        <v>9.0839400000000001E-2</v>
      </c>
      <c r="GH79">
        <v>25784.799999999999</v>
      </c>
      <c r="GI79">
        <v>31939.599999999999</v>
      </c>
      <c r="GJ79">
        <v>23290.9</v>
      </c>
      <c r="GK79">
        <v>29373.5</v>
      </c>
      <c r="GL79">
        <v>27785.7</v>
      </c>
      <c r="GM79">
        <v>37980.699999999997</v>
      </c>
      <c r="GN79">
        <v>32949</v>
      </c>
      <c r="GO79">
        <v>43568.9</v>
      </c>
      <c r="GP79">
        <v>1.9252</v>
      </c>
      <c r="GQ79">
        <v>1.7097</v>
      </c>
      <c r="GR79">
        <v>-5.2452100000000002E-2</v>
      </c>
      <c r="GS79">
        <v>0</v>
      </c>
      <c r="GT79">
        <v>30.873799999999999</v>
      </c>
      <c r="GU79">
        <v>999.9</v>
      </c>
      <c r="GV79">
        <v>32.200000000000003</v>
      </c>
      <c r="GW79">
        <v>43.9</v>
      </c>
      <c r="GX79">
        <v>29.571000000000002</v>
      </c>
      <c r="GY79">
        <v>61.917499999999997</v>
      </c>
      <c r="GZ79">
        <v>38.830100000000002</v>
      </c>
      <c r="HA79">
        <v>1</v>
      </c>
      <c r="HB79">
        <v>0.72856699999999996</v>
      </c>
      <c r="HC79">
        <v>5.4388500000000004</v>
      </c>
      <c r="HD79">
        <v>20.228100000000001</v>
      </c>
      <c r="HE79">
        <v>5.2077099999999996</v>
      </c>
      <c r="HF79">
        <v>11.8782</v>
      </c>
      <c r="HG79">
        <v>4.984</v>
      </c>
      <c r="HH79">
        <v>3.2839999999999998</v>
      </c>
      <c r="HI79">
        <v>9999</v>
      </c>
      <c r="HJ79">
        <v>9999</v>
      </c>
      <c r="HK79">
        <v>9999</v>
      </c>
      <c r="HL79">
        <v>999.9</v>
      </c>
      <c r="HM79">
        <v>1.8546800000000001</v>
      </c>
      <c r="HN79">
        <v>1.86066</v>
      </c>
      <c r="HO79">
        <v>1.85806</v>
      </c>
      <c r="HP79">
        <v>1.8591299999999999</v>
      </c>
      <c r="HQ79">
        <v>1.8585199999999999</v>
      </c>
      <c r="HR79">
        <v>1.85907</v>
      </c>
      <c r="HS79">
        <v>1.8573299999999999</v>
      </c>
      <c r="HT79">
        <v>1.86066</v>
      </c>
      <c r="HU79">
        <v>5</v>
      </c>
      <c r="HV79">
        <v>0</v>
      </c>
      <c r="HW79">
        <v>0</v>
      </c>
      <c r="HX79">
        <v>0</v>
      </c>
      <c r="HY79" t="s">
        <v>422</v>
      </c>
      <c r="HZ79" t="s">
        <v>423</v>
      </c>
      <c r="IA79" t="s">
        <v>424</v>
      </c>
      <c r="IB79" t="s">
        <v>424</v>
      </c>
      <c r="IC79" t="s">
        <v>424</v>
      </c>
      <c r="ID79" t="s">
        <v>424</v>
      </c>
      <c r="IE79">
        <v>0</v>
      </c>
      <c r="IF79">
        <v>100</v>
      </c>
      <c r="IG79">
        <v>100</v>
      </c>
      <c r="IH79">
        <v>-1.569</v>
      </c>
      <c r="II79">
        <v>5.8000000000000003E-2</v>
      </c>
      <c r="IJ79">
        <v>-1.531607817005709</v>
      </c>
      <c r="IK79">
        <v>-4.1229525807901877E-3</v>
      </c>
      <c r="IL79">
        <v>1.8448211998558991E-6</v>
      </c>
      <c r="IM79">
        <v>-3.7020276670297668E-10</v>
      </c>
      <c r="IN79">
        <v>-0.1997687673992084</v>
      </c>
      <c r="IO79">
        <v>-1.3488639696665739E-2</v>
      </c>
      <c r="IP79">
        <v>1.1588640342490499E-3</v>
      </c>
      <c r="IQ79">
        <v>-1.0624341560077559E-5</v>
      </c>
      <c r="IR79">
        <v>2</v>
      </c>
      <c r="IS79">
        <v>1915</v>
      </c>
      <c r="IT79">
        <v>1</v>
      </c>
      <c r="IU79">
        <v>42</v>
      </c>
      <c r="IV79">
        <v>0.8</v>
      </c>
      <c r="IW79">
        <v>0.6</v>
      </c>
      <c r="IX79">
        <v>0.157471</v>
      </c>
      <c r="IY79">
        <v>2.5622600000000002</v>
      </c>
      <c r="IZ79">
        <v>1.49414</v>
      </c>
      <c r="JA79">
        <v>2.2851599999999999</v>
      </c>
      <c r="JB79">
        <v>1.54419</v>
      </c>
      <c r="JC79">
        <v>2.49512</v>
      </c>
      <c r="JD79">
        <v>46.327399999999997</v>
      </c>
      <c r="JE79">
        <v>15.244</v>
      </c>
      <c r="JF79">
        <v>18</v>
      </c>
      <c r="JG79">
        <v>514.327</v>
      </c>
      <c r="JH79">
        <v>400.65600000000001</v>
      </c>
      <c r="JI79">
        <v>23.471699999999998</v>
      </c>
      <c r="JJ79">
        <v>36.133099999999999</v>
      </c>
      <c r="JK79">
        <v>30.000299999999999</v>
      </c>
      <c r="JL79">
        <v>36.050899999999999</v>
      </c>
      <c r="JM79">
        <v>36.023200000000003</v>
      </c>
      <c r="JN79">
        <v>3.2174499999999999</v>
      </c>
      <c r="JO79">
        <v>42.127299999999998</v>
      </c>
      <c r="JP79">
        <v>0</v>
      </c>
      <c r="JQ79">
        <v>23.477499999999999</v>
      </c>
      <c r="JR79">
        <v>10</v>
      </c>
      <c r="JS79">
        <v>17.613499999999998</v>
      </c>
      <c r="JT79">
        <v>97.702299999999994</v>
      </c>
      <c r="JU79">
        <v>97.944999999999993</v>
      </c>
    </row>
    <row r="80" spans="1:281" x14ac:dyDescent="0.25">
      <c r="A80">
        <v>64</v>
      </c>
      <c r="B80">
        <v>1691173561.5</v>
      </c>
      <c r="C80">
        <v>14315.900000095369</v>
      </c>
      <c r="D80" t="s">
        <v>742</v>
      </c>
      <c r="E80" t="s">
        <v>743</v>
      </c>
      <c r="F80" t="s">
        <v>413</v>
      </c>
      <c r="G80" t="s">
        <v>708</v>
      </c>
      <c r="H80" t="s">
        <v>565</v>
      </c>
      <c r="I80" t="s">
        <v>31</v>
      </c>
      <c r="J80">
        <v>1691173561.5</v>
      </c>
      <c r="K80">
        <f t="shared" si="46"/>
        <v>7.1494601950015313E-3</v>
      </c>
      <c r="L80">
        <f t="shared" si="47"/>
        <v>7.1494601950015308</v>
      </c>
      <c r="M80">
        <f t="shared" si="48"/>
        <v>44.517438446079638</v>
      </c>
      <c r="N80">
        <f t="shared" si="49"/>
        <v>343.62299999999999</v>
      </c>
      <c r="O80">
        <f t="shared" si="50"/>
        <v>164.91355158714123</v>
      </c>
      <c r="P80">
        <f t="shared" si="51"/>
        <v>16.367693742575195</v>
      </c>
      <c r="Q80">
        <f t="shared" si="52"/>
        <v>34.104632231711996</v>
      </c>
      <c r="R80">
        <f t="shared" si="53"/>
        <v>0.44483748650269062</v>
      </c>
      <c r="S80">
        <f t="shared" si="54"/>
        <v>2.9106564962976433</v>
      </c>
      <c r="T80">
        <f t="shared" si="55"/>
        <v>0.41022822522298585</v>
      </c>
      <c r="U80">
        <f t="shared" si="56"/>
        <v>0.25927739005535111</v>
      </c>
      <c r="V80">
        <f t="shared" si="57"/>
        <v>344.36209999340144</v>
      </c>
      <c r="W80">
        <f t="shared" si="58"/>
        <v>30.58086271697757</v>
      </c>
      <c r="X80">
        <f t="shared" si="59"/>
        <v>30.069400000000002</v>
      </c>
      <c r="Y80">
        <f t="shared" si="60"/>
        <v>4.2774626436169259</v>
      </c>
      <c r="Z80">
        <f t="shared" si="61"/>
        <v>59.789439721282747</v>
      </c>
      <c r="AA80">
        <f t="shared" si="62"/>
        <v>2.6077280584992</v>
      </c>
      <c r="AB80">
        <f t="shared" si="63"/>
        <v>4.3615194767763459</v>
      </c>
      <c r="AC80">
        <f t="shared" si="64"/>
        <v>1.6697345851177259</v>
      </c>
      <c r="AD80">
        <f t="shared" si="65"/>
        <v>-315.29119459956752</v>
      </c>
      <c r="AE80">
        <f t="shared" si="66"/>
        <v>53.258414841838103</v>
      </c>
      <c r="AF80">
        <f t="shared" si="67"/>
        <v>4.0781596390336281</v>
      </c>
      <c r="AG80">
        <f t="shared" si="68"/>
        <v>86.407479874705658</v>
      </c>
      <c r="AH80">
        <v>0</v>
      </c>
      <c r="AI80">
        <v>0</v>
      </c>
      <c r="AJ80">
        <f t="shared" si="69"/>
        <v>1</v>
      </c>
      <c r="AK80">
        <f t="shared" si="70"/>
        <v>0</v>
      </c>
      <c r="AL80">
        <f t="shared" si="71"/>
        <v>51726.783169509414</v>
      </c>
      <c r="AM80" t="s">
        <v>416</v>
      </c>
      <c r="AN80">
        <v>10235.299999999999</v>
      </c>
      <c r="AO80">
        <v>594.051923076923</v>
      </c>
      <c r="AP80">
        <v>2007.77</v>
      </c>
      <c r="AQ80">
        <f t="shared" si="72"/>
        <v>0.70412351859180933</v>
      </c>
      <c r="AR80">
        <v>-0.54275787784279261</v>
      </c>
      <c r="AS80" t="s">
        <v>744</v>
      </c>
      <c r="AT80">
        <v>10182.799999999999</v>
      </c>
      <c r="AU80">
        <v>727.15320000000008</v>
      </c>
      <c r="AV80">
        <v>1061.3342371002709</v>
      </c>
      <c r="AW80">
        <f t="shared" si="73"/>
        <v>0.31486879949647628</v>
      </c>
      <c r="AX80">
        <v>0.5</v>
      </c>
      <c r="AY80">
        <f t="shared" si="74"/>
        <v>1513.1288999967007</v>
      </c>
      <c r="AZ80">
        <f t="shared" si="75"/>
        <v>44.517438446079638</v>
      </c>
      <c r="BA80">
        <f t="shared" si="76"/>
        <v>238.21854011269244</v>
      </c>
      <c r="BB80">
        <f t="shared" si="77"/>
        <v>2.9779482979950145E-2</v>
      </c>
      <c r="BC80">
        <f t="shared" si="78"/>
        <v>0.8917414795602352</v>
      </c>
      <c r="BD80">
        <f t="shared" si="79"/>
        <v>470.03530286954452</v>
      </c>
      <c r="BE80" t="s">
        <v>745</v>
      </c>
      <c r="BF80">
        <v>559.47</v>
      </c>
      <c r="BG80">
        <f t="shared" si="80"/>
        <v>559.47</v>
      </c>
      <c r="BH80">
        <f t="shared" si="81"/>
        <v>0.47286162978350865</v>
      </c>
      <c r="BI80">
        <f t="shared" si="82"/>
        <v>0.66587936018541705</v>
      </c>
      <c r="BJ80">
        <f t="shared" si="83"/>
        <v>0.65348046875628607</v>
      </c>
      <c r="BK80">
        <f t="shared" si="84"/>
        <v>0.71515875322337441</v>
      </c>
      <c r="BL80">
        <f t="shared" si="85"/>
        <v>0.6694657006576753</v>
      </c>
      <c r="BM80">
        <f t="shared" si="86"/>
        <v>0.51232604854511432</v>
      </c>
      <c r="BN80">
        <f t="shared" si="87"/>
        <v>0.48767395145488568</v>
      </c>
      <c r="BO80">
        <v>12595</v>
      </c>
      <c r="BP80">
        <v>290.00000000000011</v>
      </c>
      <c r="BQ80">
        <v>954.94</v>
      </c>
      <c r="BR80">
        <v>285</v>
      </c>
      <c r="BS80">
        <v>10182.799999999999</v>
      </c>
      <c r="BT80">
        <v>957.21</v>
      </c>
      <c r="BU80">
        <v>-2.27</v>
      </c>
      <c r="BV80">
        <v>300.00000000000011</v>
      </c>
      <c r="BW80">
        <v>24.2</v>
      </c>
      <c r="BX80">
        <v>1061.3342371002709</v>
      </c>
      <c r="BY80">
        <v>3.5948767092056091</v>
      </c>
      <c r="BZ80">
        <v>-106.02809010445171</v>
      </c>
      <c r="CA80">
        <v>3.2603626725002228</v>
      </c>
      <c r="CB80">
        <v>0.97420715236176603</v>
      </c>
      <c r="CC80">
        <v>-6.9584436040044531E-3</v>
      </c>
      <c r="CD80">
        <v>289.99999999999989</v>
      </c>
      <c r="CE80">
        <v>944.76</v>
      </c>
      <c r="CF80">
        <v>645</v>
      </c>
      <c r="CG80">
        <v>10166.299999999999</v>
      </c>
      <c r="CH80">
        <v>957.04</v>
      </c>
      <c r="CI80">
        <v>-12.28</v>
      </c>
      <c r="CW80">
        <f t="shared" si="88"/>
        <v>1799.93</v>
      </c>
      <c r="CX80">
        <f t="shared" si="89"/>
        <v>1513.1288999967007</v>
      </c>
      <c r="CY80">
        <f t="shared" si="90"/>
        <v>0.84065985899268347</v>
      </c>
      <c r="CZ80">
        <f t="shared" si="91"/>
        <v>0.1913197179853669</v>
      </c>
      <c r="DA80">
        <v>6</v>
      </c>
      <c r="DB80">
        <v>0.5</v>
      </c>
      <c r="DC80" t="s">
        <v>419</v>
      </c>
      <c r="DD80">
        <v>2</v>
      </c>
      <c r="DE80">
        <v>1691173561.5</v>
      </c>
      <c r="DF80">
        <v>343.62299999999999</v>
      </c>
      <c r="DG80">
        <v>399.98500000000001</v>
      </c>
      <c r="DH80">
        <v>26.2743</v>
      </c>
      <c r="DI80">
        <v>17.921399999999998</v>
      </c>
      <c r="DJ80">
        <v>345.899</v>
      </c>
      <c r="DK80">
        <v>26.223199999999999</v>
      </c>
      <c r="DL80">
        <v>500.06200000000001</v>
      </c>
      <c r="DM80">
        <v>99.15</v>
      </c>
      <c r="DN80">
        <v>0.100144</v>
      </c>
      <c r="DO80">
        <v>30.408799999999999</v>
      </c>
      <c r="DP80">
        <v>30.069400000000002</v>
      </c>
      <c r="DQ80">
        <v>999.9</v>
      </c>
      <c r="DR80">
        <v>0</v>
      </c>
      <c r="DS80">
        <v>0</v>
      </c>
      <c r="DT80">
        <v>9977.5</v>
      </c>
      <c r="DU80">
        <v>0</v>
      </c>
      <c r="DV80">
        <v>1727.01</v>
      </c>
      <c r="DW80">
        <v>-56.362099999999998</v>
      </c>
      <c r="DX80">
        <v>352.89499999999998</v>
      </c>
      <c r="DY80">
        <v>407.28399999999999</v>
      </c>
      <c r="DZ80">
        <v>8.3528300000000009</v>
      </c>
      <c r="EA80">
        <v>399.98500000000001</v>
      </c>
      <c r="EB80">
        <v>17.921399999999998</v>
      </c>
      <c r="EC80">
        <v>2.6050900000000001</v>
      </c>
      <c r="ED80">
        <v>1.77691</v>
      </c>
      <c r="EE80">
        <v>21.698399999999999</v>
      </c>
      <c r="EF80">
        <v>15.585100000000001</v>
      </c>
      <c r="EG80">
        <v>1799.93</v>
      </c>
      <c r="EH80">
        <v>0.97800500000000001</v>
      </c>
      <c r="EI80">
        <v>2.1994799999999998E-2</v>
      </c>
      <c r="EJ80">
        <v>0</v>
      </c>
      <c r="EK80">
        <v>727.47</v>
      </c>
      <c r="EL80">
        <v>0.100005</v>
      </c>
      <c r="EM80">
        <v>17434.5</v>
      </c>
      <c r="EN80">
        <v>14862</v>
      </c>
      <c r="EO80">
        <v>49.125</v>
      </c>
      <c r="EP80">
        <v>51.561999999999998</v>
      </c>
      <c r="EQ80">
        <v>50.125</v>
      </c>
      <c r="ER80">
        <v>49.811999999999998</v>
      </c>
      <c r="ES80">
        <v>50.061999999999998</v>
      </c>
      <c r="ET80">
        <v>1760.24</v>
      </c>
      <c r="EU80">
        <v>39.590000000000003</v>
      </c>
      <c r="EV80">
        <v>0</v>
      </c>
      <c r="EW80">
        <v>153.5999999046326</v>
      </c>
      <c r="EX80">
        <v>0</v>
      </c>
      <c r="EY80">
        <v>727.15320000000008</v>
      </c>
      <c r="EZ80">
        <v>-6.9661538863621137</v>
      </c>
      <c r="FA80">
        <v>-99.530769100849312</v>
      </c>
      <c r="FB80">
        <v>17464.132000000001</v>
      </c>
      <c r="FC80">
        <v>15</v>
      </c>
      <c r="FD80">
        <v>1691173502.5</v>
      </c>
      <c r="FE80" t="s">
        <v>746</v>
      </c>
      <c r="FF80">
        <v>1691173488.5</v>
      </c>
      <c r="FG80">
        <v>1691173502.5</v>
      </c>
      <c r="FH80">
        <v>75</v>
      </c>
      <c r="FI80">
        <v>0.47599999999999998</v>
      </c>
      <c r="FJ80">
        <v>-1E-3</v>
      </c>
      <c r="FK80">
        <v>-2.4409999999999998</v>
      </c>
      <c r="FL80">
        <v>-0.14099999999999999</v>
      </c>
      <c r="FM80">
        <v>400</v>
      </c>
      <c r="FN80">
        <v>17</v>
      </c>
      <c r="FO80">
        <v>0.13</v>
      </c>
      <c r="FP80">
        <v>0.04</v>
      </c>
      <c r="FQ80">
        <v>44.604579853560118</v>
      </c>
      <c r="FR80">
        <v>0.54368849164628097</v>
      </c>
      <c r="FS80">
        <v>0.1064693951085476</v>
      </c>
      <c r="FT80">
        <v>1</v>
      </c>
      <c r="FU80">
        <v>0.45073999690090077</v>
      </c>
      <c r="FV80">
        <v>-4.0896443273714708E-2</v>
      </c>
      <c r="FW80">
        <v>3.661536747946306E-3</v>
      </c>
      <c r="FX80">
        <v>1</v>
      </c>
      <c r="FY80">
        <v>2</v>
      </c>
      <c r="FZ80">
        <v>2</v>
      </c>
      <c r="GA80" t="s">
        <v>421</v>
      </c>
      <c r="GB80">
        <v>2.9151400000000001</v>
      </c>
      <c r="GC80">
        <v>2.8298299999999998</v>
      </c>
      <c r="GD80">
        <v>7.9683599999999993E-2</v>
      </c>
      <c r="GE80">
        <v>8.7556999999999996E-2</v>
      </c>
      <c r="GF80">
        <v>0.12526699999999999</v>
      </c>
      <c r="GG80">
        <v>9.2085399999999998E-2</v>
      </c>
      <c r="GH80">
        <v>23788.7</v>
      </c>
      <c r="GI80">
        <v>29220.1</v>
      </c>
      <c r="GJ80">
        <v>23286.9</v>
      </c>
      <c r="GK80">
        <v>29368.7</v>
      </c>
      <c r="GL80">
        <v>27813.599999999999</v>
      </c>
      <c r="GM80">
        <v>37933.800000000003</v>
      </c>
      <c r="GN80">
        <v>32942.199999999997</v>
      </c>
      <c r="GO80">
        <v>43563.199999999997</v>
      </c>
      <c r="GP80">
        <v>1.9236</v>
      </c>
      <c r="GQ80">
        <v>1.7099</v>
      </c>
      <c r="GR80">
        <v>-5.126E-2</v>
      </c>
      <c r="GS80">
        <v>0</v>
      </c>
      <c r="GT80">
        <v>30.902899999999999</v>
      </c>
      <c r="GU80">
        <v>999.9</v>
      </c>
      <c r="GV80">
        <v>32.1</v>
      </c>
      <c r="GW80">
        <v>43.9</v>
      </c>
      <c r="GX80">
        <v>29.4785</v>
      </c>
      <c r="GY80">
        <v>61.887599999999999</v>
      </c>
      <c r="GZ80">
        <v>38.3093</v>
      </c>
      <c r="HA80">
        <v>1</v>
      </c>
      <c r="HB80">
        <v>0.74005100000000001</v>
      </c>
      <c r="HC80">
        <v>5.7990899999999996</v>
      </c>
      <c r="HD80">
        <v>20.2163</v>
      </c>
      <c r="HE80">
        <v>5.2095000000000002</v>
      </c>
      <c r="HF80">
        <v>11.8782</v>
      </c>
      <c r="HG80">
        <v>4.9836</v>
      </c>
      <c r="HH80">
        <v>3.2839999999999998</v>
      </c>
      <c r="HI80">
        <v>9999</v>
      </c>
      <c r="HJ80">
        <v>9999</v>
      </c>
      <c r="HK80">
        <v>9999</v>
      </c>
      <c r="HL80">
        <v>999.9</v>
      </c>
      <c r="HM80">
        <v>1.8545499999999999</v>
      </c>
      <c r="HN80">
        <v>1.86066</v>
      </c>
      <c r="HO80">
        <v>1.8580399999999999</v>
      </c>
      <c r="HP80">
        <v>1.8591299999999999</v>
      </c>
      <c r="HQ80">
        <v>1.8584700000000001</v>
      </c>
      <c r="HR80">
        <v>1.8590100000000001</v>
      </c>
      <c r="HS80">
        <v>1.8573</v>
      </c>
      <c r="HT80">
        <v>1.86066</v>
      </c>
      <c r="HU80">
        <v>5</v>
      </c>
      <c r="HV80">
        <v>0</v>
      </c>
      <c r="HW80">
        <v>0</v>
      </c>
      <c r="HX80">
        <v>0</v>
      </c>
      <c r="HY80" t="s">
        <v>422</v>
      </c>
      <c r="HZ80" t="s">
        <v>423</v>
      </c>
      <c r="IA80" t="s">
        <v>424</v>
      </c>
      <c r="IB80" t="s">
        <v>424</v>
      </c>
      <c r="IC80" t="s">
        <v>424</v>
      </c>
      <c r="ID80" t="s">
        <v>424</v>
      </c>
      <c r="IE80">
        <v>0</v>
      </c>
      <c r="IF80">
        <v>100</v>
      </c>
      <c r="IG80">
        <v>100</v>
      </c>
      <c r="IH80">
        <v>-2.2759999999999998</v>
      </c>
      <c r="II80">
        <v>5.11E-2</v>
      </c>
      <c r="IJ80">
        <v>-1.05539151339811</v>
      </c>
      <c r="IK80">
        <v>-4.1229525807901877E-3</v>
      </c>
      <c r="IL80">
        <v>1.8448211998558991E-6</v>
      </c>
      <c r="IM80">
        <v>-3.7020276670297668E-10</v>
      </c>
      <c r="IN80">
        <v>-0.2005734365387801</v>
      </c>
      <c r="IO80">
        <v>-1.3488639696665739E-2</v>
      </c>
      <c r="IP80">
        <v>1.1588640342490499E-3</v>
      </c>
      <c r="IQ80">
        <v>-1.0624341560077559E-5</v>
      </c>
      <c r="IR80">
        <v>2</v>
      </c>
      <c r="IS80">
        <v>1915</v>
      </c>
      <c r="IT80">
        <v>1</v>
      </c>
      <c r="IU80">
        <v>42</v>
      </c>
      <c r="IV80">
        <v>1.2</v>
      </c>
      <c r="IW80">
        <v>1</v>
      </c>
      <c r="IX80">
        <v>1.00098</v>
      </c>
      <c r="IY80">
        <v>2.49268</v>
      </c>
      <c r="IZ80">
        <v>1.49414</v>
      </c>
      <c r="JA80">
        <v>2.2851599999999999</v>
      </c>
      <c r="JB80">
        <v>1.54419</v>
      </c>
      <c r="JC80">
        <v>2.4536099999999998</v>
      </c>
      <c r="JD80">
        <v>46.3566</v>
      </c>
      <c r="JE80">
        <v>15.1302</v>
      </c>
      <c r="JF80">
        <v>18</v>
      </c>
      <c r="JG80">
        <v>513.91600000000005</v>
      </c>
      <c r="JH80">
        <v>401.33800000000002</v>
      </c>
      <c r="JI80">
        <v>23.213999999999999</v>
      </c>
      <c r="JJ80">
        <v>36.244</v>
      </c>
      <c r="JK80">
        <v>30.001100000000001</v>
      </c>
      <c r="JL80">
        <v>36.1372</v>
      </c>
      <c r="JM80">
        <v>36.109400000000001</v>
      </c>
      <c r="JN80">
        <v>20.110199999999999</v>
      </c>
      <c r="JO80">
        <v>40.735900000000001</v>
      </c>
      <c r="JP80">
        <v>0</v>
      </c>
      <c r="JQ80">
        <v>23.208100000000002</v>
      </c>
      <c r="JR80">
        <v>400</v>
      </c>
      <c r="JS80">
        <v>18.007200000000001</v>
      </c>
      <c r="JT80">
        <v>97.683400000000006</v>
      </c>
      <c r="JU80">
        <v>97.930899999999994</v>
      </c>
    </row>
    <row r="81" spans="1:281" x14ac:dyDescent="0.25">
      <c r="A81">
        <v>65</v>
      </c>
      <c r="B81">
        <v>1691173667</v>
      </c>
      <c r="C81">
        <v>14421.400000095369</v>
      </c>
      <c r="D81" t="s">
        <v>747</v>
      </c>
      <c r="E81" t="s">
        <v>748</v>
      </c>
      <c r="F81" t="s">
        <v>413</v>
      </c>
      <c r="G81" t="s">
        <v>708</v>
      </c>
      <c r="H81" t="s">
        <v>565</v>
      </c>
      <c r="I81" t="s">
        <v>31</v>
      </c>
      <c r="J81">
        <v>1691173667</v>
      </c>
      <c r="K81">
        <f t="shared" ref="K81:K112" si="92">(L81)/1000</f>
        <v>6.670899861985333E-3</v>
      </c>
      <c r="L81">
        <f t="shared" ref="L81:L112" si="93">1000*DL81*AJ81*(DH81-DI81)/(100*DA81*(1000-AJ81*DH81))</f>
        <v>6.6708998619853332</v>
      </c>
      <c r="M81">
        <f t="shared" ref="M81:M112" si="94">DL81*AJ81*(DG81-DF81*(1000-AJ81*DI81)/(1000-AJ81*DH81))/(100*DA81)</f>
        <v>43.858094821576273</v>
      </c>
      <c r="N81">
        <f t="shared" ref="N81:N112" si="95">DF81 - IF(AJ81&gt;1, M81*DA81*100/(AL81*DT81), 0)</f>
        <v>344.47699999999998</v>
      </c>
      <c r="O81">
        <f t="shared" ref="O81:O112" si="96">((U81-K81/2)*N81-M81)/(U81+K81/2)</f>
        <v>157.76537600493603</v>
      </c>
      <c r="P81">
        <f t="shared" ref="P81:P112" si="97">O81*(DM81+DN81)/1000</f>
        <v>15.657501936208357</v>
      </c>
      <c r="Q81">
        <f t="shared" ref="Q81:Q112" si="98">(DF81 - IF(AJ81&gt;1, M81*DA81*100/(AL81*DT81), 0))*(DM81+DN81)/1000</f>
        <v>34.187788417596103</v>
      </c>
      <c r="R81">
        <f t="shared" ref="R81:R112" si="99">2/((1/T81-1/S81)+SIGN(T81)*SQRT((1/T81-1/S81)*(1/T81-1/S81) + 4*DB81/((DB81+1)*(DB81+1))*(2*1/T81*1/S81-1/S81*1/S81)))</f>
        <v>0.41660174989768889</v>
      </c>
      <c r="S81">
        <f t="shared" ref="S81:S112" si="100">IF(LEFT(DC81,1)&lt;&gt;"0",IF(LEFT(DC81,1)="1",3,DD81),$D$5+$E$5*(DT81*DM81/($K$5*1000))+$F$5*(DT81*DM81/($K$5*1000))*MAX(MIN(DA81,$J$5),$I$5)*MAX(MIN(DA81,$J$5),$I$5)+$G$5*MAX(MIN(DA81,$J$5),$I$5)*(DT81*DM81/($K$5*1000))+$H$5*(DT81*DM81/($K$5*1000))*(DT81*DM81/($K$5*1000)))</f>
        <v>2.9127680089340071</v>
      </c>
      <c r="T81">
        <f t="shared" ref="T81:T112" si="101">K81*(1000-(1000*0.61365*EXP(17.502*X81/(240.97+X81))/(DM81+DN81)+DH81)/2)/(1000*0.61365*EXP(17.502*X81/(240.97+X81))/(DM81+DN81)-DH81)</f>
        <v>0.38610558034023867</v>
      </c>
      <c r="U81">
        <f t="shared" ref="U81:U112" si="102">1/((DB81+1)/(R81/1.6)+1/(S81/1.37)) + DB81/((DB81+1)/(R81/1.6) + DB81/(S81/1.37))</f>
        <v>0.24386965388489834</v>
      </c>
      <c r="V81">
        <f t="shared" ref="V81:V112" si="103">(CW81*CZ81)</f>
        <v>344.36019999340135</v>
      </c>
      <c r="W81">
        <f t="shared" ref="W81:W112" si="104">(DO81+(V81+2*0.95*0.0000000567*(((DO81+$B$7)+273)^4-(DO81+273)^4)-44100*K81)/(1.84*29.3*S81+8*0.95*0.0000000567*(DO81+273)^3))</f>
        <v>30.536898559005486</v>
      </c>
      <c r="X81">
        <f t="shared" ref="X81:X112" si="105">($C$7*DP81+$D$7*DQ81+$E$7*W81)</f>
        <v>30.005700000000001</v>
      </c>
      <c r="Y81">
        <f t="shared" ref="Y81:Y112" si="106">0.61365*EXP(17.502*X81/(240.97+X81))</f>
        <v>4.2618448568767686</v>
      </c>
      <c r="Z81">
        <f t="shared" ref="Z81:Z112" si="107">(AA81/AB81*100)</f>
        <v>60.341192796355401</v>
      </c>
      <c r="AA81">
        <f t="shared" ref="AA81:AA112" si="108">DH81*(DM81+DN81)/1000</f>
        <v>2.6064743609369696</v>
      </c>
      <c r="AB81">
        <f t="shared" ref="AB81:AB112" si="109">0.61365*EXP(17.502*DO81/(240.97+DO81))</f>
        <v>4.3195605524960721</v>
      </c>
      <c r="AC81">
        <f t="shared" ref="AC81:AC112" si="110">(Y81-DH81*(DM81+DN81)/1000)</f>
        <v>1.655370495939799</v>
      </c>
      <c r="AD81">
        <f t="shared" ref="AD81:AD112" si="111">(-K81*44100)</f>
        <v>-294.18668391355317</v>
      </c>
      <c r="AE81">
        <f t="shared" ref="AE81:AE112" si="112">2*29.3*S81*0.92*(DO81-X81)</f>
        <v>36.808570101609341</v>
      </c>
      <c r="AF81">
        <f t="shared" ref="AF81:AF112" si="113">2*0.95*0.0000000567*(((DO81+$B$7)+273)^4-(X81+273)^4)</f>
        <v>2.8132644943015501</v>
      </c>
      <c r="AG81">
        <f t="shared" ref="AG81:AG112" si="114">V81+AF81+AD81+AE81</f>
        <v>89.795350675759096</v>
      </c>
      <c r="AH81">
        <v>0</v>
      </c>
      <c r="AI81">
        <v>0</v>
      </c>
      <c r="AJ81">
        <f t="shared" ref="AJ81:AJ112" si="115">IF(AH81*$H$13&gt;=AL81,1,(AL81/(AL81-AH81*$H$13)))</f>
        <v>1</v>
      </c>
      <c r="AK81">
        <f t="shared" ref="AK81:AK112" si="116">(AJ81-1)*100</f>
        <v>0</v>
      </c>
      <c r="AL81">
        <f t="shared" ref="AL81:AL112" si="117">MAX(0,($B$13+$C$13*DT81)/(1+$D$13*DT81)*DM81/(DO81+273)*$E$13)</f>
        <v>51815.474496905088</v>
      </c>
      <c r="AM81" t="s">
        <v>416</v>
      </c>
      <c r="AN81">
        <v>10235.299999999999</v>
      </c>
      <c r="AO81">
        <v>594.051923076923</v>
      </c>
      <c r="AP81">
        <v>2007.77</v>
      </c>
      <c r="AQ81">
        <f t="shared" ref="AQ81:AQ112" si="118">1-AO81/AP81</f>
        <v>0.70412351859180933</v>
      </c>
      <c r="AR81">
        <v>-0.54275787784279261</v>
      </c>
      <c r="AS81" t="s">
        <v>749</v>
      </c>
      <c r="AT81">
        <v>10185.1</v>
      </c>
      <c r="AU81">
        <v>718.26038461538474</v>
      </c>
      <c r="AV81">
        <v>1043.1060042237721</v>
      </c>
      <c r="AW81">
        <f t="shared" ref="AW81:AW112" si="119">1-AU81/AV81</f>
        <v>0.31142148381182155</v>
      </c>
      <c r="AX81">
        <v>0.5</v>
      </c>
      <c r="AY81">
        <f t="shared" ref="AY81:AY112" si="120">CX81</f>
        <v>1513.1204999967006</v>
      </c>
      <c r="AZ81">
        <f t="shared" ref="AZ81:AZ112" si="121">M81</f>
        <v>43.858094821576273</v>
      </c>
      <c r="BA81">
        <f t="shared" ref="BA81:BA112" si="122">AW81*AX81*AY81</f>
        <v>235.60911564752891</v>
      </c>
      <c r="BB81">
        <f t="shared" ref="BB81:BB112" si="123">(AZ81-AR81)/AY81</f>
        <v>2.9343897395822664E-2</v>
      </c>
      <c r="BC81">
        <f t="shared" ref="BC81:BC112" si="124">(AP81-AV81)/AV81</f>
        <v>0.92479958112606508</v>
      </c>
      <c r="BD81">
        <f t="shared" ref="BD81:BD112" si="125">AO81/(AQ81+AO81/AV81)</f>
        <v>466.42555586792838</v>
      </c>
      <c r="BE81" t="s">
        <v>750</v>
      </c>
      <c r="BF81">
        <v>561.51</v>
      </c>
      <c r="BG81">
        <f t="shared" ref="BG81:BG112" si="126">IF(BF81&lt;&gt;0, BF81, BD81)</f>
        <v>561.51</v>
      </c>
      <c r="BH81">
        <f t="shared" ref="BH81:BH112" si="127">1-BG81/AV81</f>
        <v>0.46169421158892865</v>
      </c>
      <c r="BI81">
        <f t="shared" ref="BI81:BI112" si="128">(AV81-AU81)/(AV81-BG81)</f>
        <v>0.67451892615257003</v>
      </c>
      <c r="BJ81">
        <f t="shared" ref="BJ81:BJ112" si="129">(AP81-AV81)/(AP81-BG81)</f>
        <v>0.66700592962277039</v>
      </c>
      <c r="BK81">
        <f t="shared" ref="BK81:BK112" si="130">(AV81-AU81)/(AV81-AO81)</f>
        <v>0.72339977131208111</v>
      </c>
      <c r="BL81">
        <f t="shared" ref="BL81:BL112" si="131">(AP81-AV81)/(AP81-AO81)</f>
        <v>0.68235952522853471</v>
      </c>
      <c r="BM81">
        <f t="shared" ref="BM81:BM112" si="132">(BI81*BG81/AU81)</f>
        <v>0.52731450924547763</v>
      </c>
      <c r="BN81">
        <f t="shared" ref="BN81:BN112" si="133">(1-BM81)</f>
        <v>0.47268549075452237</v>
      </c>
      <c r="BO81">
        <v>12597</v>
      </c>
      <c r="BP81">
        <v>290.00000000000011</v>
      </c>
      <c r="BQ81">
        <v>942.4</v>
      </c>
      <c r="BR81">
        <v>265</v>
      </c>
      <c r="BS81">
        <v>10185.1</v>
      </c>
      <c r="BT81">
        <v>943.03</v>
      </c>
      <c r="BU81">
        <v>-0.63</v>
      </c>
      <c r="BV81">
        <v>300.00000000000011</v>
      </c>
      <c r="BW81">
        <v>24.2</v>
      </c>
      <c r="BX81">
        <v>1043.1060042237721</v>
      </c>
      <c r="BY81">
        <v>1.6629888844385039</v>
      </c>
      <c r="BZ81">
        <v>-101.92921455469509</v>
      </c>
      <c r="CA81">
        <v>1.508234511136328</v>
      </c>
      <c r="CB81">
        <v>0.99390681878917453</v>
      </c>
      <c r="CC81">
        <v>-6.9584335928809778E-3</v>
      </c>
      <c r="CD81">
        <v>289.99999999999989</v>
      </c>
      <c r="CE81">
        <v>933.74</v>
      </c>
      <c r="CF81">
        <v>675</v>
      </c>
      <c r="CG81">
        <v>10164.4</v>
      </c>
      <c r="CH81">
        <v>942.83</v>
      </c>
      <c r="CI81">
        <v>-9.09</v>
      </c>
      <c r="CW81">
        <f t="shared" ref="CW81:CW112" si="134">$B$11*DU81+$C$11*DV81+$F$11*EG81*(1-EJ81)</f>
        <v>1799.92</v>
      </c>
      <c r="CX81">
        <f t="shared" ref="CX81:CX112" si="135">CW81*CY81</f>
        <v>1513.1204999967006</v>
      </c>
      <c r="CY81">
        <f t="shared" ref="CY81:CY112" si="136">($B$11*$D$9+$C$11*$D$9+$F$11*((ET81+EL81)/MAX(ET81+EL81+EU81, 0.1)*$I$9+EU81/MAX(ET81+EL81+EU81, 0.1)*$J$9))/($B$11+$C$11+$F$11)</f>
        <v>0.84065986265872961</v>
      </c>
      <c r="CZ81">
        <f t="shared" ref="CZ81:CZ112" si="137">($B$11*$K$9+$C$11*$K$9+$F$11*((ET81+EL81)/MAX(ET81+EL81+EU81, 0.1)*$P$9+EU81/MAX(ET81+EL81+EU81, 0.1)*$Q$9))/($B$11+$C$11+$F$11)</f>
        <v>0.1913197253174593</v>
      </c>
      <c r="DA81">
        <v>6</v>
      </c>
      <c r="DB81">
        <v>0.5</v>
      </c>
      <c r="DC81" t="s">
        <v>419</v>
      </c>
      <c r="DD81">
        <v>2</v>
      </c>
      <c r="DE81">
        <v>1691173667</v>
      </c>
      <c r="DF81">
        <v>344.47699999999998</v>
      </c>
      <c r="DG81">
        <v>399.88600000000002</v>
      </c>
      <c r="DH81">
        <v>26.262899999999998</v>
      </c>
      <c r="DI81">
        <v>18.465</v>
      </c>
      <c r="DJ81">
        <v>346.96</v>
      </c>
      <c r="DK81">
        <v>26.209399999999999</v>
      </c>
      <c r="DL81">
        <v>499.80399999999997</v>
      </c>
      <c r="DM81">
        <v>99.145600000000002</v>
      </c>
      <c r="DN81">
        <v>9.98893E-2</v>
      </c>
      <c r="DO81">
        <v>30.240100000000002</v>
      </c>
      <c r="DP81">
        <v>30.005700000000001</v>
      </c>
      <c r="DQ81">
        <v>999.9</v>
      </c>
      <c r="DR81">
        <v>0</v>
      </c>
      <c r="DS81">
        <v>0</v>
      </c>
      <c r="DT81">
        <v>9990</v>
      </c>
      <c r="DU81">
        <v>0</v>
      </c>
      <c r="DV81">
        <v>1760.09</v>
      </c>
      <c r="DW81">
        <v>-55.408700000000003</v>
      </c>
      <c r="DX81">
        <v>353.76799999999997</v>
      </c>
      <c r="DY81">
        <v>407.40899999999999</v>
      </c>
      <c r="DZ81">
        <v>7.7979099999999999</v>
      </c>
      <c r="EA81">
        <v>399.88600000000002</v>
      </c>
      <c r="EB81">
        <v>18.465</v>
      </c>
      <c r="EC81">
        <v>2.60385</v>
      </c>
      <c r="ED81">
        <v>1.8307199999999999</v>
      </c>
      <c r="EE81">
        <v>21.6906</v>
      </c>
      <c r="EF81">
        <v>16.051600000000001</v>
      </c>
      <c r="EG81">
        <v>1799.92</v>
      </c>
      <c r="EH81">
        <v>0.97800500000000001</v>
      </c>
      <c r="EI81">
        <v>2.1994799999999998E-2</v>
      </c>
      <c r="EJ81">
        <v>0</v>
      </c>
      <c r="EK81">
        <v>719.89</v>
      </c>
      <c r="EL81">
        <v>0.100005</v>
      </c>
      <c r="EM81">
        <v>17380.7</v>
      </c>
      <c r="EN81">
        <v>14861.9</v>
      </c>
      <c r="EO81">
        <v>49.061999999999998</v>
      </c>
      <c r="EP81">
        <v>51.561999999999998</v>
      </c>
      <c r="EQ81">
        <v>50.125</v>
      </c>
      <c r="ER81">
        <v>49.75</v>
      </c>
      <c r="ES81">
        <v>50.061999999999998</v>
      </c>
      <c r="ET81">
        <v>1760.23</v>
      </c>
      <c r="EU81">
        <v>39.590000000000003</v>
      </c>
      <c r="EV81">
        <v>0</v>
      </c>
      <c r="EW81">
        <v>103.2000000476837</v>
      </c>
      <c r="EX81">
        <v>0</v>
      </c>
      <c r="EY81">
        <v>718.26038461538474</v>
      </c>
      <c r="EZ81">
        <v>6.4666667250395733</v>
      </c>
      <c r="FA81">
        <v>156.71111072177769</v>
      </c>
      <c r="FB81">
        <v>17373.276923076919</v>
      </c>
      <c r="FC81">
        <v>15</v>
      </c>
      <c r="FD81">
        <v>1691173634.5</v>
      </c>
      <c r="FE81" t="s">
        <v>751</v>
      </c>
      <c r="FF81">
        <v>1691173634.5</v>
      </c>
      <c r="FG81">
        <v>1691173627</v>
      </c>
      <c r="FH81">
        <v>76</v>
      </c>
      <c r="FI81">
        <v>-0.20399999999999999</v>
      </c>
      <c r="FJ81">
        <v>3.0000000000000001E-3</v>
      </c>
      <c r="FK81">
        <v>-2.645</v>
      </c>
      <c r="FL81">
        <v>-0.125</v>
      </c>
      <c r="FM81">
        <v>400</v>
      </c>
      <c r="FN81">
        <v>18</v>
      </c>
      <c r="FO81">
        <v>0.18</v>
      </c>
      <c r="FP81">
        <v>0.03</v>
      </c>
      <c r="FQ81">
        <v>43.781759828832087</v>
      </c>
      <c r="FR81">
        <v>0.3462404393291208</v>
      </c>
      <c r="FS81">
        <v>0.11157770688110941</v>
      </c>
      <c r="FT81">
        <v>1</v>
      </c>
      <c r="FU81">
        <v>0.41432293995741359</v>
      </c>
      <c r="FV81">
        <v>4.5762653860417717E-2</v>
      </c>
      <c r="FW81">
        <v>3.5881914597707489E-3</v>
      </c>
      <c r="FX81">
        <v>1</v>
      </c>
      <c r="FY81">
        <v>2</v>
      </c>
      <c r="FZ81">
        <v>2</v>
      </c>
      <c r="GA81" t="s">
        <v>421</v>
      </c>
      <c r="GB81">
        <v>2.9144399999999999</v>
      </c>
      <c r="GC81">
        <v>2.8296800000000002</v>
      </c>
      <c r="GD81">
        <v>7.9865000000000005E-2</v>
      </c>
      <c r="GE81">
        <v>8.7533100000000003E-2</v>
      </c>
      <c r="GF81">
        <v>0.12520300000000001</v>
      </c>
      <c r="GG81">
        <v>9.4079499999999996E-2</v>
      </c>
      <c r="GH81">
        <v>23784.1</v>
      </c>
      <c r="GI81">
        <v>29220.3</v>
      </c>
      <c r="GJ81">
        <v>23287.1</v>
      </c>
      <c r="GK81">
        <v>29368.400000000001</v>
      </c>
      <c r="GL81">
        <v>27817.3</v>
      </c>
      <c r="GM81">
        <v>37851.1</v>
      </c>
      <c r="GN81">
        <v>32943.9</v>
      </c>
      <c r="GO81">
        <v>43563.199999999997</v>
      </c>
      <c r="GP81">
        <v>1.9218999999999999</v>
      </c>
      <c r="GQ81">
        <v>1.7112000000000001</v>
      </c>
      <c r="GR81">
        <v>-5.0738499999999999E-2</v>
      </c>
      <c r="GS81">
        <v>0</v>
      </c>
      <c r="GT81">
        <v>30.8308</v>
      </c>
      <c r="GU81">
        <v>999.9</v>
      </c>
      <c r="GV81">
        <v>32.1</v>
      </c>
      <c r="GW81">
        <v>43.9</v>
      </c>
      <c r="GX81">
        <v>29.477399999999999</v>
      </c>
      <c r="GY81">
        <v>61.937600000000003</v>
      </c>
      <c r="GZ81">
        <v>38.810099999999998</v>
      </c>
      <c r="HA81">
        <v>1</v>
      </c>
      <c r="HB81">
        <v>0.74174799999999996</v>
      </c>
      <c r="HC81">
        <v>5.8725899999999998</v>
      </c>
      <c r="HD81">
        <v>20.213799999999999</v>
      </c>
      <c r="HE81">
        <v>5.2017199999999999</v>
      </c>
      <c r="HF81">
        <v>11.8782</v>
      </c>
      <c r="HG81">
        <v>4.9805999999999999</v>
      </c>
      <c r="HH81">
        <v>3.2818999999999998</v>
      </c>
      <c r="HI81">
        <v>9999</v>
      </c>
      <c r="HJ81">
        <v>9999</v>
      </c>
      <c r="HK81">
        <v>9999</v>
      </c>
      <c r="HL81">
        <v>999.9</v>
      </c>
      <c r="HM81">
        <v>1.8545499999999999</v>
      </c>
      <c r="HN81">
        <v>1.86056</v>
      </c>
      <c r="HO81">
        <v>1.85791</v>
      </c>
      <c r="HP81">
        <v>1.8590899999999999</v>
      </c>
      <c r="HQ81">
        <v>1.8583700000000001</v>
      </c>
      <c r="HR81">
        <v>1.8589800000000001</v>
      </c>
      <c r="HS81">
        <v>1.8573</v>
      </c>
      <c r="HT81">
        <v>1.8606100000000001</v>
      </c>
      <c r="HU81">
        <v>5</v>
      </c>
      <c r="HV81">
        <v>0</v>
      </c>
      <c r="HW81">
        <v>0</v>
      </c>
      <c r="HX81">
        <v>0</v>
      </c>
      <c r="HY81" t="s">
        <v>422</v>
      </c>
      <c r="HZ81" t="s">
        <v>423</v>
      </c>
      <c r="IA81" t="s">
        <v>424</v>
      </c>
      <c r="IB81" t="s">
        <v>424</v>
      </c>
      <c r="IC81" t="s">
        <v>424</v>
      </c>
      <c r="ID81" t="s">
        <v>424</v>
      </c>
      <c r="IE81">
        <v>0</v>
      </c>
      <c r="IF81">
        <v>100</v>
      </c>
      <c r="IG81">
        <v>100</v>
      </c>
      <c r="IH81">
        <v>-2.4830000000000001</v>
      </c>
      <c r="II81">
        <v>5.3499999999999999E-2</v>
      </c>
      <c r="IJ81">
        <v>-1.259016105717762</v>
      </c>
      <c r="IK81">
        <v>-4.1229525807901877E-3</v>
      </c>
      <c r="IL81">
        <v>1.8448211998558991E-6</v>
      </c>
      <c r="IM81">
        <v>-3.7020276670297668E-10</v>
      </c>
      <c r="IN81">
        <v>-0.19767383659758631</v>
      </c>
      <c r="IO81">
        <v>-1.3488639696665739E-2</v>
      </c>
      <c r="IP81">
        <v>1.1588640342490499E-3</v>
      </c>
      <c r="IQ81">
        <v>-1.0624341560077559E-5</v>
      </c>
      <c r="IR81">
        <v>2</v>
      </c>
      <c r="IS81">
        <v>1915</v>
      </c>
      <c r="IT81">
        <v>1</v>
      </c>
      <c r="IU81">
        <v>42</v>
      </c>
      <c r="IV81">
        <v>0.5</v>
      </c>
      <c r="IW81">
        <v>0.7</v>
      </c>
      <c r="IX81">
        <v>1.00098</v>
      </c>
      <c r="IY81">
        <v>2.49756</v>
      </c>
      <c r="IZ81">
        <v>1.49414</v>
      </c>
      <c r="JA81">
        <v>2.2851599999999999</v>
      </c>
      <c r="JB81">
        <v>1.54419</v>
      </c>
      <c r="JC81">
        <v>2.33521</v>
      </c>
      <c r="JD81">
        <v>46.385800000000003</v>
      </c>
      <c r="JE81">
        <v>15.0426</v>
      </c>
      <c r="JF81">
        <v>18</v>
      </c>
      <c r="JG81">
        <v>513.07799999999997</v>
      </c>
      <c r="JH81">
        <v>402.40300000000002</v>
      </c>
      <c r="JI81">
        <v>22.7272</v>
      </c>
      <c r="JJ81">
        <v>36.2879</v>
      </c>
      <c r="JK81">
        <v>30.0002</v>
      </c>
      <c r="JL81">
        <v>36.177100000000003</v>
      </c>
      <c r="JM81">
        <v>36.145899999999997</v>
      </c>
      <c r="JN81">
        <v>20.106400000000001</v>
      </c>
      <c r="JO81">
        <v>39.185000000000002</v>
      </c>
      <c r="JP81">
        <v>0</v>
      </c>
      <c r="JQ81">
        <v>22.718599999999999</v>
      </c>
      <c r="JR81">
        <v>400</v>
      </c>
      <c r="JS81">
        <v>18.502099999999999</v>
      </c>
      <c r="JT81">
        <v>97.686800000000005</v>
      </c>
      <c r="JU81">
        <v>97.930599999999998</v>
      </c>
    </row>
    <row r="82" spans="1:281" x14ac:dyDescent="0.25">
      <c r="A82">
        <v>66</v>
      </c>
      <c r="B82">
        <v>1691173766.5</v>
      </c>
      <c r="C82">
        <v>14520.900000095369</v>
      </c>
      <c r="D82" t="s">
        <v>752</v>
      </c>
      <c r="E82" t="s">
        <v>753</v>
      </c>
      <c r="F82" t="s">
        <v>413</v>
      </c>
      <c r="G82" t="s">
        <v>708</v>
      </c>
      <c r="H82" t="s">
        <v>565</v>
      </c>
      <c r="I82" t="s">
        <v>31</v>
      </c>
      <c r="J82">
        <v>1691173766.5</v>
      </c>
      <c r="K82">
        <f t="shared" si="92"/>
        <v>6.0396894089049047E-3</v>
      </c>
      <c r="L82">
        <f t="shared" si="93"/>
        <v>6.0396894089049047</v>
      </c>
      <c r="M82">
        <f t="shared" si="94"/>
        <v>49.028612794021868</v>
      </c>
      <c r="N82">
        <f t="shared" si="95"/>
        <v>437.93599999999998</v>
      </c>
      <c r="O82">
        <f t="shared" si="96"/>
        <v>203.35195180312931</v>
      </c>
      <c r="P82">
        <f t="shared" si="97"/>
        <v>20.181216085983035</v>
      </c>
      <c r="Q82">
        <f t="shared" si="98"/>
        <v>43.461992714913599</v>
      </c>
      <c r="R82">
        <f t="shared" si="99"/>
        <v>0.36840942805103705</v>
      </c>
      <c r="S82">
        <f t="shared" si="100"/>
        <v>2.9157872938055274</v>
      </c>
      <c r="T82">
        <f t="shared" si="101"/>
        <v>0.34436543197924435</v>
      </c>
      <c r="U82">
        <f t="shared" si="102"/>
        <v>0.21725775137332459</v>
      </c>
      <c r="V82">
        <f t="shared" si="103"/>
        <v>344.41719999340251</v>
      </c>
      <c r="W82">
        <f t="shared" si="104"/>
        <v>30.605287192361356</v>
      </c>
      <c r="X82">
        <f t="shared" si="105"/>
        <v>30.039300000000001</v>
      </c>
      <c r="Y82">
        <f t="shared" si="106"/>
        <v>4.2700766057308863</v>
      </c>
      <c r="Z82">
        <f t="shared" si="107"/>
        <v>60.283450876647592</v>
      </c>
      <c r="AA82">
        <f t="shared" si="108"/>
        <v>2.5896514196189102</v>
      </c>
      <c r="AB82">
        <f t="shared" si="109"/>
        <v>4.295791601111012</v>
      </c>
      <c r="AC82">
        <f t="shared" si="110"/>
        <v>1.6804251861119761</v>
      </c>
      <c r="AD82">
        <f t="shared" si="111"/>
        <v>-266.35030293270631</v>
      </c>
      <c r="AE82">
        <f t="shared" si="112"/>
        <v>16.442693711448776</v>
      </c>
      <c r="AF82">
        <f t="shared" si="113"/>
        <v>1.2550182742895604</v>
      </c>
      <c r="AG82">
        <f t="shared" si="114"/>
        <v>95.764609046434543</v>
      </c>
      <c r="AH82">
        <v>0</v>
      </c>
      <c r="AI82">
        <v>0</v>
      </c>
      <c r="AJ82">
        <f t="shared" si="115"/>
        <v>1</v>
      </c>
      <c r="AK82">
        <f t="shared" si="116"/>
        <v>0</v>
      </c>
      <c r="AL82">
        <f t="shared" si="117"/>
        <v>51917.746054228584</v>
      </c>
      <c r="AM82" t="s">
        <v>416</v>
      </c>
      <c r="AN82">
        <v>10235.299999999999</v>
      </c>
      <c r="AO82">
        <v>594.051923076923</v>
      </c>
      <c r="AP82">
        <v>2007.77</v>
      </c>
      <c r="AQ82">
        <f t="shared" si="118"/>
        <v>0.70412351859180933</v>
      </c>
      <c r="AR82">
        <v>-0.54275787784279261</v>
      </c>
      <c r="AS82" t="s">
        <v>754</v>
      </c>
      <c r="AT82">
        <v>10194.5</v>
      </c>
      <c r="AU82">
        <v>741.70539999999994</v>
      </c>
      <c r="AV82">
        <v>1116.209929821287</v>
      </c>
      <c r="AW82">
        <f t="shared" si="119"/>
        <v>0.33551442234638407</v>
      </c>
      <c r="AX82">
        <v>0.5</v>
      </c>
      <c r="AY82">
        <f t="shared" si="120"/>
        <v>1513.3724999967012</v>
      </c>
      <c r="AZ82">
        <f t="shared" si="121"/>
        <v>49.028612794021868</v>
      </c>
      <c r="BA82">
        <f t="shared" si="122"/>
        <v>253.87915006564816</v>
      </c>
      <c r="BB82">
        <f t="shared" si="123"/>
        <v>3.275556458966495E-2</v>
      </c>
      <c r="BC82">
        <f t="shared" si="124"/>
        <v>0.79873870170771366</v>
      </c>
      <c r="BD82">
        <f t="shared" si="125"/>
        <v>480.49702400835719</v>
      </c>
      <c r="BE82" t="s">
        <v>755</v>
      </c>
      <c r="BF82">
        <v>570.85</v>
      </c>
      <c r="BG82">
        <f t="shared" si="126"/>
        <v>570.85</v>
      </c>
      <c r="BH82">
        <f t="shared" si="127"/>
        <v>0.48858186551754013</v>
      </c>
      <c r="BI82">
        <f t="shared" si="128"/>
        <v>0.68671075622297961</v>
      </c>
      <c r="BJ82">
        <f t="shared" si="129"/>
        <v>0.62046604555487639</v>
      </c>
      <c r="BK82">
        <f t="shared" si="130"/>
        <v>0.71722452779439128</v>
      </c>
      <c r="BL82">
        <f t="shared" si="131"/>
        <v>0.63064912639383641</v>
      </c>
      <c r="BM82">
        <f t="shared" si="132"/>
        <v>0.52852363645982348</v>
      </c>
      <c r="BN82">
        <f t="shared" si="133"/>
        <v>0.47147636354017652</v>
      </c>
      <c r="BO82">
        <v>12599</v>
      </c>
      <c r="BP82">
        <v>290.00000000000011</v>
      </c>
      <c r="BQ82">
        <v>1006.16</v>
      </c>
      <c r="BR82">
        <v>195</v>
      </c>
      <c r="BS82">
        <v>10194.5</v>
      </c>
      <c r="BT82">
        <v>1006.27</v>
      </c>
      <c r="BU82">
        <v>-0.11</v>
      </c>
      <c r="BV82">
        <v>300.00000000000011</v>
      </c>
      <c r="BW82">
        <v>24.2</v>
      </c>
      <c r="BX82">
        <v>1116.209929821287</v>
      </c>
      <c r="BY82">
        <v>2.249504487796663</v>
      </c>
      <c r="BZ82">
        <v>-112.0814129429079</v>
      </c>
      <c r="CA82">
        <v>2.0402068746391699</v>
      </c>
      <c r="CB82">
        <v>0.99080760701918369</v>
      </c>
      <c r="CC82">
        <v>-6.9586820912124611E-3</v>
      </c>
      <c r="CD82">
        <v>289.99999999999989</v>
      </c>
      <c r="CE82">
        <v>997.41</v>
      </c>
      <c r="CF82">
        <v>645</v>
      </c>
      <c r="CG82">
        <v>10166.4</v>
      </c>
      <c r="CH82">
        <v>1005.96</v>
      </c>
      <c r="CI82">
        <v>-8.5500000000000007</v>
      </c>
      <c r="CW82">
        <f t="shared" si="134"/>
        <v>1800.22</v>
      </c>
      <c r="CX82">
        <f t="shared" si="135"/>
        <v>1513.3724999967012</v>
      </c>
      <c r="CY82">
        <f t="shared" si="136"/>
        <v>0.84065975269506021</v>
      </c>
      <c r="CZ82">
        <f t="shared" si="137"/>
        <v>0.19131950539012038</v>
      </c>
      <c r="DA82">
        <v>6</v>
      </c>
      <c r="DB82">
        <v>0.5</v>
      </c>
      <c r="DC82" t="s">
        <v>419</v>
      </c>
      <c r="DD82">
        <v>2</v>
      </c>
      <c r="DE82">
        <v>1691173766.5</v>
      </c>
      <c r="DF82">
        <v>437.93599999999998</v>
      </c>
      <c r="DG82">
        <v>499.93900000000002</v>
      </c>
      <c r="DH82">
        <v>26.094100000000001</v>
      </c>
      <c r="DI82">
        <v>19.036200000000001</v>
      </c>
      <c r="DJ82">
        <v>440.40300000000002</v>
      </c>
      <c r="DK82">
        <v>26.042300000000001</v>
      </c>
      <c r="DL82">
        <v>500.04300000000001</v>
      </c>
      <c r="DM82">
        <v>99.143199999999993</v>
      </c>
      <c r="DN82">
        <v>9.9595100000000006E-2</v>
      </c>
      <c r="DO82">
        <v>30.143899999999999</v>
      </c>
      <c r="DP82">
        <v>30.039300000000001</v>
      </c>
      <c r="DQ82">
        <v>999.9</v>
      </c>
      <c r="DR82">
        <v>0</v>
      </c>
      <c r="DS82">
        <v>0</v>
      </c>
      <c r="DT82">
        <v>10007.5</v>
      </c>
      <c r="DU82">
        <v>0</v>
      </c>
      <c r="DV82">
        <v>1770.2</v>
      </c>
      <c r="DW82">
        <v>-62.002800000000001</v>
      </c>
      <c r="DX82">
        <v>449.67</v>
      </c>
      <c r="DY82">
        <v>509.64100000000002</v>
      </c>
      <c r="DZ82">
        <v>7.0579099999999997</v>
      </c>
      <c r="EA82">
        <v>499.93900000000002</v>
      </c>
      <c r="EB82">
        <v>19.036200000000001</v>
      </c>
      <c r="EC82">
        <v>2.5870600000000001</v>
      </c>
      <c r="ED82">
        <v>1.88731</v>
      </c>
      <c r="EE82">
        <v>21.584800000000001</v>
      </c>
      <c r="EF82">
        <v>16.529299999999999</v>
      </c>
      <c r="EG82">
        <v>1800.22</v>
      </c>
      <c r="EH82">
        <v>0.97800900000000002</v>
      </c>
      <c r="EI82">
        <v>2.19911E-2</v>
      </c>
      <c r="EJ82">
        <v>0</v>
      </c>
      <c r="EK82">
        <v>743.71</v>
      </c>
      <c r="EL82">
        <v>0.100005</v>
      </c>
      <c r="EM82">
        <v>17809.599999999999</v>
      </c>
      <c r="EN82">
        <v>14864.4</v>
      </c>
      <c r="EO82">
        <v>49.125</v>
      </c>
      <c r="EP82">
        <v>51.625</v>
      </c>
      <c r="EQ82">
        <v>50.186999999999998</v>
      </c>
      <c r="ER82">
        <v>49.75</v>
      </c>
      <c r="ES82">
        <v>50.061999999999998</v>
      </c>
      <c r="ET82">
        <v>1760.53</v>
      </c>
      <c r="EU82">
        <v>39.590000000000003</v>
      </c>
      <c r="EV82">
        <v>0</v>
      </c>
      <c r="EW82">
        <v>97.199999809265137</v>
      </c>
      <c r="EX82">
        <v>0</v>
      </c>
      <c r="EY82">
        <v>741.70539999999994</v>
      </c>
      <c r="EZ82">
        <v>18.854615453861101</v>
      </c>
      <c r="FA82">
        <v>199.9846161035276</v>
      </c>
      <c r="FB82">
        <v>17784.144</v>
      </c>
      <c r="FC82">
        <v>15</v>
      </c>
      <c r="FD82">
        <v>1691173735.5</v>
      </c>
      <c r="FE82" t="s">
        <v>756</v>
      </c>
      <c r="FF82">
        <v>1691173729.5</v>
      </c>
      <c r="FG82">
        <v>1691173735.5</v>
      </c>
      <c r="FH82">
        <v>77</v>
      </c>
      <c r="FI82">
        <v>0.28100000000000003</v>
      </c>
      <c r="FJ82">
        <v>3.0000000000000001E-3</v>
      </c>
      <c r="FK82">
        <v>-2.6320000000000001</v>
      </c>
      <c r="FL82">
        <v>-0.11600000000000001</v>
      </c>
      <c r="FM82">
        <v>500</v>
      </c>
      <c r="FN82">
        <v>18</v>
      </c>
      <c r="FO82">
        <v>0.11</v>
      </c>
      <c r="FP82">
        <v>0.03</v>
      </c>
      <c r="FQ82">
        <v>48.902397670122852</v>
      </c>
      <c r="FR82">
        <v>0.62480809776569246</v>
      </c>
      <c r="FS82">
        <v>9.4812496039503008E-2</v>
      </c>
      <c r="FT82">
        <v>1</v>
      </c>
      <c r="FU82">
        <v>0.36865823787908519</v>
      </c>
      <c r="FV82">
        <v>1.4213793839580781E-2</v>
      </c>
      <c r="FW82">
        <v>1.7641975145638029E-3</v>
      </c>
      <c r="FX82">
        <v>1</v>
      </c>
      <c r="FY82">
        <v>2</v>
      </c>
      <c r="FZ82">
        <v>2</v>
      </c>
      <c r="GA82" t="s">
        <v>421</v>
      </c>
      <c r="GB82">
        <v>2.91499</v>
      </c>
      <c r="GC82">
        <v>2.8295400000000002</v>
      </c>
      <c r="GD82">
        <v>9.5947900000000003E-2</v>
      </c>
      <c r="GE82">
        <v>0.10347000000000001</v>
      </c>
      <c r="GF82">
        <v>0.124627</v>
      </c>
      <c r="GG82">
        <v>9.6150799999999995E-2</v>
      </c>
      <c r="GH82">
        <v>23367.3</v>
      </c>
      <c r="GI82">
        <v>28708.9</v>
      </c>
      <c r="GJ82">
        <v>23285.9</v>
      </c>
      <c r="GK82">
        <v>29367.4</v>
      </c>
      <c r="GL82">
        <v>27835.7</v>
      </c>
      <c r="GM82">
        <v>37766</v>
      </c>
      <c r="GN82">
        <v>32942.199999999997</v>
      </c>
      <c r="GO82">
        <v>43562</v>
      </c>
      <c r="GP82">
        <v>1.9213</v>
      </c>
      <c r="GQ82">
        <v>1.7105999999999999</v>
      </c>
      <c r="GR82">
        <v>-5.2154100000000002E-2</v>
      </c>
      <c r="GS82">
        <v>0</v>
      </c>
      <c r="GT82">
        <v>30.8873</v>
      </c>
      <c r="GU82">
        <v>999.9</v>
      </c>
      <c r="GV82">
        <v>32.1</v>
      </c>
      <c r="GW82">
        <v>43.9</v>
      </c>
      <c r="GX82">
        <v>29.478100000000001</v>
      </c>
      <c r="GY82">
        <v>61.667700000000004</v>
      </c>
      <c r="GZ82">
        <v>38.4495</v>
      </c>
      <c r="HA82">
        <v>1</v>
      </c>
      <c r="HB82">
        <v>0.74957300000000004</v>
      </c>
      <c r="HC82">
        <v>6.4608600000000003</v>
      </c>
      <c r="HD82">
        <v>20.1938</v>
      </c>
      <c r="HE82">
        <v>5.2095000000000002</v>
      </c>
      <c r="HF82">
        <v>11.8782</v>
      </c>
      <c r="HG82">
        <v>4.9836</v>
      </c>
      <c r="HH82">
        <v>3.2839999999999998</v>
      </c>
      <c r="HI82">
        <v>9999</v>
      </c>
      <c r="HJ82">
        <v>9999</v>
      </c>
      <c r="HK82">
        <v>9999</v>
      </c>
      <c r="HL82">
        <v>999.9</v>
      </c>
      <c r="HM82">
        <v>1.8545499999999999</v>
      </c>
      <c r="HN82">
        <v>1.8605499999999999</v>
      </c>
      <c r="HO82">
        <v>1.8579300000000001</v>
      </c>
      <c r="HP82">
        <v>1.8590899999999999</v>
      </c>
      <c r="HQ82">
        <v>1.8583700000000001</v>
      </c>
      <c r="HR82">
        <v>1.8589800000000001</v>
      </c>
      <c r="HS82">
        <v>1.8573</v>
      </c>
      <c r="HT82">
        <v>1.86066</v>
      </c>
      <c r="HU82">
        <v>5</v>
      </c>
      <c r="HV82">
        <v>0</v>
      </c>
      <c r="HW82">
        <v>0</v>
      </c>
      <c r="HX82">
        <v>0</v>
      </c>
      <c r="HY82" t="s">
        <v>422</v>
      </c>
      <c r="HZ82" t="s">
        <v>423</v>
      </c>
      <c r="IA82" t="s">
        <v>424</v>
      </c>
      <c r="IB82" t="s">
        <v>424</v>
      </c>
      <c r="IC82" t="s">
        <v>424</v>
      </c>
      <c r="ID82" t="s">
        <v>424</v>
      </c>
      <c r="IE82">
        <v>0</v>
      </c>
      <c r="IF82">
        <v>100</v>
      </c>
      <c r="IG82">
        <v>100</v>
      </c>
      <c r="IH82">
        <v>-2.4670000000000001</v>
      </c>
      <c r="II82">
        <v>5.1799999999999999E-2</v>
      </c>
      <c r="IJ82">
        <v>-0.97786681841877732</v>
      </c>
      <c r="IK82">
        <v>-4.1229525807901877E-3</v>
      </c>
      <c r="IL82">
        <v>1.8448211998558991E-6</v>
      </c>
      <c r="IM82">
        <v>-3.7020276670297668E-10</v>
      </c>
      <c r="IN82">
        <v>-0.19514512639189621</v>
      </c>
      <c r="IO82">
        <v>-1.3488639696665739E-2</v>
      </c>
      <c r="IP82">
        <v>1.1588640342490499E-3</v>
      </c>
      <c r="IQ82">
        <v>-1.0624341560077559E-5</v>
      </c>
      <c r="IR82">
        <v>2</v>
      </c>
      <c r="IS82">
        <v>1915</v>
      </c>
      <c r="IT82">
        <v>1</v>
      </c>
      <c r="IU82">
        <v>42</v>
      </c>
      <c r="IV82">
        <v>0.6</v>
      </c>
      <c r="IW82">
        <v>0.5</v>
      </c>
      <c r="IX82">
        <v>1.1987300000000001</v>
      </c>
      <c r="IY82">
        <v>2.4902299999999999</v>
      </c>
      <c r="IZ82">
        <v>1.49414</v>
      </c>
      <c r="JA82">
        <v>2.2851599999999999</v>
      </c>
      <c r="JB82">
        <v>1.54419</v>
      </c>
      <c r="JC82">
        <v>2.49878</v>
      </c>
      <c r="JD82">
        <v>46.385800000000003</v>
      </c>
      <c r="JE82">
        <v>14.981400000000001</v>
      </c>
      <c r="JF82">
        <v>18</v>
      </c>
      <c r="JG82">
        <v>513.01</v>
      </c>
      <c r="JH82">
        <v>402.29899999999998</v>
      </c>
      <c r="JI82">
        <v>22.360900000000001</v>
      </c>
      <c r="JJ82">
        <v>36.3352</v>
      </c>
      <c r="JK82">
        <v>30.001000000000001</v>
      </c>
      <c r="JL82">
        <v>36.220500000000001</v>
      </c>
      <c r="JM82">
        <v>36.1892</v>
      </c>
      <c r="JN82">
        <v>24.0656</v>
      </c>
      <c r="JO82">
        <v>37.020499999999998</v>
      </c>
      <c r="JP82">
        <v>0</v>
      </c>
      <c r="JQ82">
        <v>22.345400000000001</v>
      </c>
      <c r="JR82">
        <v>500</v>
      </c>
      <c r="JS82">
        <v>18.935300000000002</v>
      </c>
      <c r="JT82">
        <v>97.681600000000003</v>
      </c>
      <c r="JU82">
        <v>97.927499999999995</v>
      </c>
    </row>
    <row r="83" spans="1:281" x14ac:dyDescent="0.25">
      <c r="A83">
        <v>67</v>
      </c>
      <c r="B83">
        <v>1691173885</v>
      </c>
      <c r="C83">
        <v>14639.400000095369</v>
      </c>
      <c r="D83" t="s">
        <v>757</v>
      </c>
      <c r="E83" t="s">
        <v>758</v>
      </c>
      <c r="F83" t="s">
        <v>413</v>
      </c>
      <c r="G83" t="s">
        <v>708</v>
      </c>
      <c r="H83" t="s">
        <v>565</v>
      </c>
      <c r="I83" t="s">
        <v>31</v>
      </c>
      <c r="J83">
        <v>1691173885</v>
      </c>
      <c r="K83">
        <f t="shared" si="92"/>
        <v>5.4323950727173968E-3</v>
      </c>
      <c r="L83">
        <f t="shared" si="93"/>
        <v>5.4323950727173971</v>
      </c>
      <c r="M83">
        <f t="shared" si="94"/>
        <v>51.419045743203895</v>
      </c>
      <c r="N83">
        <f t="shared" si="95"/>
        <v>634.18399999999997</v>
      </c>
      <c r="O83">
        <f t="shared" si="96"/>
        <v>350.02853825592234</v>
      </c>
      <c r="P83">
        <f t="shared" si="97"/>
        <v>34.736901792196846</v>
      </c>
      <c r="Q83">
        <f t="shared" si="98"/>
        <v>62.936546362615999</v>
      </c>
      <c r="R83">
        <f t="shared" si="99"/>
        <v>0.32045299900439567</v>
      </c>
      <c r="S83">
        <f t="shared" si="100"/>
        <v>2.9131085846156992</v>
      </c>
      <c r="T83">
        <f t="shared" si="101"/>
        <v>0.30207808446795176</v>
      </c>
      <c r="U83">
        <f t="shared" si="102"/>
        <v>0.19036185714278422</v>
      </c>
      <c r="V83">
        <f t="shared" si="103"/>
        <v>344.32349999340238</v>
      </c>
      <c r="W83">
        <f t="shared" si="104"/>
        <v>30.61700988658048</v>
      </c>
      <c r="X83">
        <f t="shared" si="105"/>
        <v>30.024699999999999</v>
      </c>
      <c r="Y83">
        <f t="shared" si="106"/>
        <v>4.2664980141067295</v>
      </c>
      <c r="Z83">
        <f t="shared" si="107"/>
        <v>59.698963928542923</v>
      </c>
      <c r="AA83">
        <f t="shared" si="108"/>
        <v>2.5430499474147998</v>
      </c>
      <c r="AB83">
        <f t="shared" si="109"/>
        <v>4.2597890818653408</v>
      </c>
      <c r="AC83">
        <f t="shared" si="110"/>
        <v>1.7234480666919296</v>
      </c>
      <c r="AD83">
        <f t="shared" si="111"/>
        <v>-239.5686227068372</v>
      </c>
      <c r="AE83">
        <f t="shared" si="112"/>
        <v>-4.3032113743781775</v>
      </c>
      <c r="AF83">
        <f t="shared" si="113"/>
        <v>-0.32849018589224288</v>
      </c>
      <c r="AG83">
        <f t="shared" si="114"/>
        <v>100.12317572629476</v>
      </c>
      <c r="AH83">
        <v>0</v>
      </c>
      <c r="AI83">
        <v>0</v>
      </c>
      <c r="AJ83">
        <f t="shared" si="115"/>
        <v>1</v>
      </c>
      <c r="AK83">
        <f t="shared" si="116"/>
        <v>0</v>
      </c>
      <c r="AL83">
        <f t="shared" si="117"/>
        <v>51866.567729572787</v>
      </c>
      <c r="AM83" t="s">
        <v>416</v>
      </c>
      <c r="AN83">
        <v>10235.299999999999</v>
      </c>
      <c r="AO83">
        <v>594.051923076923</v>
      </c>
      <c r="AP83">
        <v>2007.77</v>
      </c>
      <c r="AQ83">
        <f t="shared" si="118"/>
        <v>0.70412351859180933</v>
      </c>
      <c r="AR83">
        <v>-0.54275787784279261</v>
      </c>
      <c r="AS83" t="s">
        <v>759</v>
      </c>
      <c r="AT83">
        <v>10187.200000000001</v>
      </c>
      <c r="AU83">
        <v>751.39134615384614</v>
      </c>
      <c r="AV83">
        <v>1153.8990000213</v>
      </c>
      <c r="AW83">
        <f t="shared" si="119"/>
        <v>0.34882399053992064</v>
      </c>
      <c r="AX83">
        <v>0.5</v>
      </c>
      <c r="AY83">
        <f t="shared" si="120"/>
        <v>1512.9605999967014</v>
      </c>
      <c r="AZ83">
        <f t="shared" si="121"/>
        <v>51.419045743203895</v>
      </c>
      <c r="BA83">
        <f t="shared" si="122"/>
        <v>263.87847701026101</v>
      </c>
      <c r="BB83">
        <f t="shared" si="123"/>
        <v>3.4344452605811399E-2</v>
      </c>
      <c r="BC83">
        <f t="shared" si="124"/>
        <v>0.73998764186721555</v>
      </c>
      <c r="BD83">
        <f t="shared" si="125"/>
        <v>487.34926714023214</v>
      </c>
      <c r="BE83" t="s">
        <v>760</v>
      </c>
      <c r="BF83">
        <v>574.24</v>
      </c>
      <c r="BG83">
        <f t="shared" si="126"/>
        <v>574.24</v>
      </c>
      <c r="BH83">
        <f t="shared" si="127"/>
        <v>0.50234812579835841</v>
      </c>
      <c r="BI83">
        <f t="shared" si="128"/>
        <v>0.69438696518584797</v>
      </c>
      <c r="BJ83">
        <f t="shared" si="129"/>
        <v>0.59564222581927129</v>
      </c>
      <c r="BK83">
        <f t="shared" si="130"/>
        <v>0.71895999897744323</v>
      </c>
      <c r="BL83">
        <f t="shared" si="131"/>
        <v>0.603989588813301</v>
      </c>
      <c r="BM83">
        <f t="shared" si="132"/>
        <v>0.53067522394206412</v>
      </c>
      <c r="BN83">
        <f t="shared" si="133"/>
        <v>0.46932477605793588</v>
      </c>
      <c r="BO83">
        <v>12601</v>
      </c>
      <c r="BP83">
        <v>290.00000000000011</v>
      </c>
      <c r="BQ83">
        <v>1034.26</v>
      </c>
      <c r="BR83">
        <v>245</v>
      </c>
      <c r="BS83">
        <v>10187.200000000001</v>
      </c>
      <c r="BT83">
        <v>1034.3699999999999</v>
      </c>
      <c r="BU83">
        <v>-0.11</v>
      </c>
      <c r="BV83">
        <v>300.00000000000011</v>
      </c>
      <c r="BW83">
        <v>24.2</v>
      </c>
      <c r="BX83">
        <v>1153.8990000213</v>
      </c>
      <c r="BY83">
        <v>3.0564141384769079</v>
      </c>
      <c r="BZ83">
        <v>-121.77089822238869</v>
      </c>
      <c r="CA83">
        <v>2.77190052043508</v>
      </c>
      <c r="CB83">
        <v>0.98569886362309356</v>
      </c>
      <c r="CC83">
        <v>-6.9583951056729652E-3</v>
      </c>
      <c r="CD83">
        <v>289.99999999999989</v>
      </c>
      <c r="CE83">
        <v>1025.83</v>
      </c>
      <c r="CF83">
        <v>655</v>
      </c>
      <c r="CG83">
        <v>10165.299999999999</v>
      </c>
      <c r="CH83">
        <v>1034.1099999999999</v>
      </c>
      <c r="CI83">
        <v>-8.2799999999999994</v>
      </c>
      <c r="CW83">
        <f t="shared" si="134"/>
        <v>1799.73</v>
      </c>
      <c r="CX83">
        <f t="shared" si="135"/>
        <v>1512.9605999967014</v>
      </c>
      <c r="CY83">
        <f t="shared" si="136"/>
        <v>0.84065976562967848</v>
      </c>
      <c r="CZ83">
        <f t="shared" si="137"/>
        <v>0.19131953125935688</v>
      </c>
      <c r="DA83">
        <v>6</v>
      </c>
      <c r="DB83">
        <v>0.5</v>
      </c>
      <c r="DC83" t="s">
        <v>419</v>
      </c>
      <c r="DD83">
        <v>2</v>
      </c>
      <c r="DE83">
        <v>1691173885</v>
      </c>
      <c r="DF83">
        <v>634.18399999999997</v>
      </c>
      <c r="DG83">
        <v>700.02800000000002</v>
      </c>
      <c r="DH83">
        <v>25.6252</v>
      </c>
      <c r="DI83">
        <v>19.2727</v>
      </c>
      <c r="DJ83">
        <v>637.00800000000004</v>
      </c>
      <c r="DK83">
        <v>25.581900000000001</v>
      </c>
      <c r="DL83">
        <v>499.947</v>
      </c>
      <c r="DM83">
        <v>99.140100000000004</v>
      </c>
      <c r="DN83">
        <v>0.10009899999999999</v>
      </c>
      <c r="DO83">
        <v>29.997299999999999</v>
      </c>
      <c r="DP83">
        <v>30.024699999999999</v>
      </c>
      <c r="DQ83">
        <v>999.9</v>
      </c>
      <c r="DR83">
        <v>0</v>
      </c>
      <c r="DS83">
        <v>0</v>
      </c>
      <c r="DT83">
        <v>9992.5</v>
      </c>
      <c r="DU83">
        <v>0</v>
      </c>
      <c r="DV83">
        <v>1796.7</v>
      </c>
      <c r="DW83">
        <v>-65.843599999999995</v>
      </c>
      <c r="DX83">
        <v>650.86300000000006</v>
      </c>
      <c r="DY83">
        <v>713.78399999999999</v>
      </c>
      <c r="DZ83">
        <v>6.3525400000000003</v>
      </c>
      <c r="EA83">
        <v>700.02800000000002</v>
      </c>
      <c r="EB83">
        <v>19.2727</v>
      </c>
      <c r="EC83">
        <v>2.5404900000000001</v>
      </c>
      <c r="ED83">
        <v>1.9107000000000001</v>
      </c>
      <c r="EE83">
        <v>21.2883</v>
      </c>
      <c r="EF83">
        <v>16.723099999999999</v>
      </c>
      <c r="EG83">
        <v>1799.73</v>
      </c>
      <c r="EH83">
        <v>0.97800500000000001</v>
      </c>
      <c r="EI83">
        <v>2.1994799999999998E-2</v>
      </c>
      <c r="EJ83">
        <v>0</v>
      </c>
      <c r="EK83">
        <v>749.38</v>
      </c>
      <c r="EL83">
        <v>0.100005</v>
      </c>
      <c r="EM83">
        <v>17955.8</v>
      </c>
      <c r="EN83">
        <v>14860.3</v>
      </c>
      <c r="EO83">
        <v>49.186999999999998</v>
      </c>
      <c r="EP83">
        <v>51.686999999999998</v>
      </c>
      <c r="EQ83">
        <v>50.186999999999998</v>
      </c>
      <c r="ER83">
        <v>49.875</v>
      </c>
      <c r="ES83">
        <v>50.125</v>
      </c>
      <c r="ET83">
        <v>1760.05</v>
      </c>
      <c r="EU83">
        <v>39.58</v>
      </c>
      <c r="EV83">
        <v>0</v>
      </c>
      <c r="EW83">
        <v>116.4000000953674</v>
      </c>
      <c r="EX83">
        <v>0</v>
      </c>
      <c r="EY83">
        <v>751.39134615384614</v>
      </c>
      <c r="EZ83">
        <v>6.9666666123281908</v>
      </c>
      <c r="FA83">
        <v>-24.700854738085528</v>
      </c>
      <c r="FB83">
        <v>17959.373076923079</v>
      </c>
      <c r="FC83">
        <v>15</v>
      </c>
      <c r="FD83">
        <v>1691173845</v>
      </c>
      <c r="FE83" t="s">
        <v>761</v>
      </c>
      <c r="FF83">
        <v>1691173838</v>
      </c>
      <c r="FG83">
        <v>1691173845</v>
      </c>
      <c r="FH83">
        <v>78</v>
      </c>
      <c r="FI83">
        <v>0.127</v>
      </c>
      <c r="FJ83">
        <v>3.0000000000000001E-3</v>
      </c>
      <c r="FK83">
        <v>-2.9660000000000002</v>
      </c>
      <c r="FL83">
        <v>-0.105</v>
      </c>
      <c r="FM83">
        <v>700</v>
      </c>
      <c r="FN83">
        <v>19</v>
      </c>
      <c r="FO83">
        <v>0.12</v>
      </c>
      <c r="FP83">
        <v>0.04</v>
      </c>
      <c r="FQ83">
        <v>51.140086729173213</v>
      </c>
      <c r="FR83">
        <v>-3.0908326317083618E-3</v>
      </c>
      <c r="FS83">
        <v>0.12954097494267491</v>
      </c>
      <c r="FT83">
        <v>1</v>
      </c>
      <c r="FU83">
        <v>0.32620635816337962</v>
      </c>
      <c r="FV83">
        <v>-4.2000428307685328E-2</v>
      </c>
      <c r="FW83">
        <v>3.0775446195864119E-3</v>
      </c>
      <c r="FX83">
        <v>1</v>
      </c>
      <c r="FY83">
        <v>2</v>
      </c>
      <c r="FZ83">
        <v>2</v>
      </c>
      <c r="GA83" t="s">
        <v>421</v>
      </c>
      <c r="GB83">
        <v>2.9146399999999999</v>
      </c>
      <c r="GC83">
        <v>2.8299099999999999</v>
      </c>
      <c r="GD83">
        <v>0.12520300000000001</v>
      </c>
      <c r="GE83">
        <v>0.13123699999999999</v>
      </c>
      <c r="GF83">
        <v>0.123046</v>
      </c>
      <c r="GG83">
        <v>9.6984899999999999E-2</v>
      </c>
      <c r="GH83">
        <v>22608.5</v>
      </c>
      <c r="GI83">
        <v>27813.200000000001</v>
      </c>
      <c r="GJ83">
        <v>23283.5</v>
      </c>
      <c r="GK83">
        <v>29361.4</v>
      </c>
      <c r="GL83">
        <v>27886.6</v>
      </c>
      <c r="GM83">
        <v>37727.699999999997</v>
      </c>
      <c r="GN83">
        <v>32939.699999999997</v>
      </c>
      <c r="GO83">
        <v>43553.9</v>
      </c>
      <c r="GP83">
        <v>1.9188000000000001</v>
      </c>
      <c r="GQ83">
        <v>1.7102999999999999</v>
      </c>
      <c r="GR83">
        <v>-5.1110999999999997E-2</v>
      </c>
      <c r="GS83">
        <v>0</v>
      </c>
      <c r="GT83">
        <v>30.855799999999999</v>
      </c>
      <c r="GU83">
        <v>999.9</v>
      </c>
      <c r="GV83">
        <v>32</v>
      </c>
      <c r="GW83">
        <v>43.9</v>
      </c>
      <c r="GX83">
        <v>29.391500000000001</v>
      </c>
      <c r="GY83">
        <v>61.767699999999998</v>
      </c>
      <c r="GZ83">
        <v>38.3093</v>
      </c>
      <c r="HA83">
        <v>1</v>
      </c>
      <c r="HB83">
        <v>0.75969500000000001</v>
      </c>
      <c r="HC83">
        <v>6.7035499999999999</v>
      </c>
      <c r="HD83">
        <v>20.186</v>
      </c>
      <c r="HE83">
        <v>5.2100999999999997</v>
      </c>
      <c r="HF83">
        <v>11.8782</v>
      </c>
      <c r="HG83">
        <v>4.9842000000000004</v>
      </c>
      <c r="HH83">
        <v>3.2839999999999998</v>
      </c>
      <c r="HI83">
        <v>9999</v>
      </c>
      <c r="HJ83">
        <v>9999</v>
      </c>
      <c r="HK83">
        <v>9999</v>
      </c>
      <c r="HL83">
        <v>999.9</v>
      </c>
      <c r="HM83">
        <v>1.8545499999999999</v>
      </c>
      <c r="HN83">
        <v>1.86052</v>
      </c>
      <c r="HO83">
        <v>1.8579300000000001</v>
      </c>
      <c r="HP83">
        <v>1.8590500000000001</v>
      </c>
      <c r="HQ83">
        <v>1.85843</v>
      </c>
      <c r="HR83">
        <v>1.8589800000000001</v>
      </c>
      <c r="HS83">
        <v>1.8573</v>
      </c>
      <c r="HT83">
        <v>1.86066</v>
      </c>
      <c r="HU83">
        <v>5</v>
      </c>
      <c r="HV83">
        <v>0</v>
      </c>
      <c r="HW83">
        <v>0</v>
      </c>
      <c r="HX83">
        <v>0</v>
      </c>
      <c r="HY83" t="s">
        <v>422</v>
      </c>
      <c r="HZ83" t="s">
        <v>423</v>
      </c>
      <c r="IA83" t="s">
        <v>424</v>
      </c>
      <c r="IB83" t="s">
        <v>424</v>
      </c>
      <c r="IC83" t="s">
        <v>424</v>
      </c>
      <c r="ID83" t="s">
        <v>424</v>
      </c>
      <c r="IE83">
        <v>0</v>
      </c>
      <c r="IF83">
        <v>100</v>
      </c>
      <c r="IG83">
        <v>100</v>
      </c>
      <c r="IH83">
        <v>-2.8239999999999998</v>
      </c>
      <c r="II83">
        <v>4.3299999999999998E-2</v>
      </c>
      <c r="IJ83">
        <v>-0.85073245036580714</v>
      </c>
      <c r="IK83">
        <v>-4.1229525807901877E-3</v>
      </c>
      <c r="IL83">
        <v>1.8448211998558991E-6</v>
      </c>
      <c r="IM83">
        <v>-3.7020276670297668E-10</v>
      </c>
      <c r="IN83">
        <v>-0.1920926903551721</v>
      </c>
      <c r="IO83">
        <v>-1.3488639696665739E-2</v>
      </c>
      <c r="IP83">
        <v>1.1588640342490499E-3</v>
      </c>
      <c r="IQ83">
        <v>-1.0624341560077559E-5</v>
      </c>
      <c r="IR83">
        <v>2</v>
      </c>
      <c r="IS83">
        <v>1915</v>
      </c>
      <c r="IT83">
        <v>1</v>
      </c>
      <c r="IU83">
        <v>42</v>
      </c>
      <c r="IV83">
        <v>0.8</v>
      </c>
      <c r="IW83">
        <v>0.7</v>
      </c>
      <c r="IX83">
        <v>1.5771500000000001</v>
      </c>
      <c r="IY83">
        <v>2.48169</v>
      </c>
      <c r="IZ83">
        <v>1.49414</v>
      </c>
      <c r="JA83">
        <v>2.2851599999999999</v>
      </c>
      <c r="JB83">
        <v>1.54419</v>
      </c>
      <c r="JC83">
        <v>2.47803</v>
      </c>
      <c r="JD83">
        <v>46.444200000000002</v>
      </c>
      <c r="JE83">
        <v>14.9201</v>
      </c>
      <c r="JF83">
        <v>18</v>
      </c>
      <c r="JG83">
        <v>511.96800000000002</v>
      </c>
      <c r="JH83">
        <v>402.62400000000002</v>
      </c>
      <c r="JI83">
        <v>22.011099999999999</v>
      </c>
      <c r="JJ83">
        <v>36.440300000000001</v>
      </c>
      <c r="JK83">
        <v>30.000900000000001</v>
      </c>
      <c r="JL83">
        <v>36.304099999999998</v>
      </c>
      <c r="JM83">
        <v>36.2697</v>
      </c>
      <c r="JN83">
        <v>31.645900000000001</v>
      </c>
      <c r="JO83">
        <v>36.812899999999999</v>
      </c>
      <c r="JP83">
        <v>0</v>
      </c>
      <c r="JQ83">
        <v>21.9907</v>
      </c>
      <c r="JR83">
        <v>700</v>
      </c>
      <c r="JS83">
        <v>19.180199999999999</v>
      </c>
      <c r="JT83">
        <v>97.673000000000002</v>
      </c>
      <c r="JU83">
        <v>97.908600000000007</v>
      </c>
    </row>
    <row r="84" spans="1:281" x14ac:dyDescent="0.25">
      <c r="A84">
        <v>68</v>
      </c>
      <c r="B84">
        <v>1691174013</v>
      </c>
      <c r="C84">
        <v>14767.400000095369</v>
      </c>
      <c r="D84" t="s">
        <v>762</v>
      </c>
      <c r="E84" t="s">
        <v>763</v>
      </c>
      <c r="F84" t="s">
        <v>413</v>
      </c>
      <c r="G84" t="s">
        <v>708</v>
      </c>
      <c r="H84" t="s">
        <v>565</v>
      </c>
      <c r="I84" t="s">
        <v>31</v>
      </c>
      <c r="J84">
        <v>1691174013</v>
      </c>
      <c r="K84">
        <f t="shared" si="92"/>
        <v>4.7376101168976467E-3</v>
      </c>
      <c r="L84">
        <f t="shared" si="93"/>
        <v>4.7376101168976463</v>
      </c>
      <c r="M84">
        <f t="shared" si="94"/>
        <v>51.416983037655186</v>
      </c>
      <c r="N84">
        <f t="shared" si="95"/>
        <v>833.59</v>
      </c>
      <c r="O84">
        <f t="shared" si="96"/>
        <v>496.41344671416726</v>
      </c>
      <c r="P84">
        <f t="shared" si="97"/>
        <v>49.25971467212576</v>
      </c>
      <c r="Q84">
        <f t="shared" si="98"/>
        <v>82.718157264544999</v>
      </c>
      <c r="R84">
        <f t="shared" si="99"/>
        <v>0.27031106971917157</v>
      </c>
      <c r="S84">
        <f t="shared" si="100"/>
        <v>2.9177618443657445</v>
      </c>
      <c r="T84">
        <f t="shared" si="101"/>
        <v>0.2571293448749728</v>
      </c>
      <c r="U84">
        <f t="shared" si="102"/>
        <v>0.16183658501226772</v>
      </c>
      <c r="V84">
        <f t="shared" si="103"/>
        <v>344.37849999339835</v>
      </c>
      <c r="W84">
        <f t="shared" si="104"/>
        <v>30.676776013906196</v>
      </c>
      <c r="X84">
        <f t="shared" si="105"/>
        <v>30.017800000000001</v>
      </c>
      <c r="Y84">
        <f t="shared" si="106"/>
        <v>4.2648076715964551</v>
      </c>
      <c r="Z84">
        <f t="shared" si="107"/>
        <v>59.068025884701051</v>
      </c>
      <c r="AA84">
        <f t="shared" si="108"/>
        <v>2.4987811818057</v>
      </c>
      <c r="AB84">
        <f t="shared" si="109"/>
        <v>4.2303448344172585</v>
      </c>
      <c r="AC84">
        <f t="shared" si="110"/>
        <v>1.7660264897907552</v>
      </c>
      <c r="AD84">
        <f t="shared" si="111"/>
        <v>-208.92860615518623</v>
      </c>
      <c r="AE84">
        <f t="shared" si="112"/>
        <v>-22.211095569346785</v>
      </c>
      <c r="AF84">
        <f t="shared" si="113"/>
        <v>-1.6917344766294722</v>
      </c>
      <c r="AG84">
        <f t="shared" si="114"/>
        <v>111.54706379223589</v>
      </c>
      <c r="AH84">
        <v>0</v>
      </c>
      <c r="AI84">
        <v>0</v>
      </c>
      <c r="AJ84">
        <f t="shared" si="115"/>
        <v>1</v>
      </c>
      <c r="AK84">
        <f t="shared" si="116"/>
        <v>0</v>
      </c>
      <c r="AL84">
        <f t="shared" si="117"/>
        <v>52019.550680177585</v>
      </c>
      <c r="AM84" t="s">
        <v>416</v>
      </c>
      <c r="AN84">
        <v>10235.299999999999</v>
      </c>
      <c r="AO84">
        <v>594.051923076923</v>
      </c>
      <c r="AP84">
        <v>2007.77</v>
      </c>
      <c r="AQ84">
        <f t="shared" si="118"/>
        <v>0.70412351859180933</v>
      </c>
      <c r="AR84">
        <v>-0.54275787784279261</v>
      </c>
      <c r="AS84" t="s">
        <v>764</v>
      </c>
      <c r="AT84">
        <v>10181.700000000001</v>
      </c>
      <c r="AU84">
        <v>749.93340000000012</v>
      </c>
      <c r="AV84">
        <v>1153.674390095166</v>
      </c>
      <c r="AW84">
        <f t="shared" si="119"/>
        <v>0.34996095394113891</v>
      </c>
      <c r="AX84">
        <v>0.5</v>
      </c>
      <c r="AY84">
        <f t="shared" si="120"/>
        <v>1513.1966999966994</v>
      </c>
      <c r="AZ84">
        <f t="shared" si="121"/>
        <v>51.416983037655186</v>
      </c>
      <c r="BA84">
        <f t="shared" si="122"/>
        <v>264.77988031571414</v>
      </c>
      <c r="BB84">
        <f t="shared" si="123"/>
        <v>3.4337730789137537E-2</v>
      </c>
      <c r="BC84">
        <f t="shared" si="124"/>
        <v>0.74032640165859975</v>
      </c>
      <c r="BD84">
        <f t="shared" si="125"/>
        <v>487.30919681927469</v>
      </c>
      <c r="BE84" t="s">
        <v>765</v>
      </c>
      <c r="BF84">
        <v>572.57000000000005</v>
      </c>
      <c r="BG84">
        <f t="shared" si="126"/>
        <v>572.57000000000005</v>
      </c>
      <c r="BH84">
        <f t="shared" si="127"/>
        <v>0.50369878631632881</v>
      </c>
      <c r="BI84">
        <f t="shared" si="128"/>
        <v>0.69478220604915109</v>
      </c>
      <c r="BJ84">
        <f t="shared" si="129"/>
        <v>0.59510563677873052</v>
      </c>
      <c r="BK84">
        <f t="shared" si="130"/>
        <v>0.72145243246998592</v>
      </c>
      <c r="BL84">
        <f t="shared" si="131"/>
        <v>0.60414846768017016</v>
      </c>
      <c r="BM84">
        <f t="shared" si="132"/>
        <v>0.53046236868175556</v>
      </c>
      <c r="BN84">
        <f t="shared" si="133"/>
        <v>0.46953763131824444</v>
      </c>
      <c r="BO84">
        <v>12603</v>
      </c>
      <c r="BP84">
        <v>290.00000000000011</v>
      </c>
      <c r="BQ84">
        <v>1036.48</v>
      </c>
      <c r="BR84">
        <v>295</v>
      </c>
      <c r="BS84">
        <v>10181.700000000001</v>
      </c>
      <c r="BT84">
        <v>1036.58</v>
      </c>
      <c r="BU84">
        <v>-0.1</v>
      </c>
      <c r="BV84">
        <v>300.00000000000011</v>
      </c>
      <c r="BW84">
        <v>24.2</v>
      </c>
      <c r="BX84">
        <v>1153.674390095166</v>
      </c>
      <c r="BY84">
        <v>2.3539424900470882</v>
      </c>
      <c r="BZ84">
        <v>-119.2169346700328</v>
      </c>
      <c r="CA84">
        <v>2.1346569655929022</v>
      </c>
      <c r="CB84">
        <v>0.99110272550286427</v>
      </c>
      <c r="CC84">
        <v>-6.9580449388209143E-3</v>
      </c>
      <c r="CD84">
        <v>289.99999999999989</v>
      </c>
      <c r="CE84">
        <v>1027.68</v>
      </c>
      <c r="CF84">
        <v>625</v>
      </c>
      <c r="CG84">
        <v>10166.4</v>
      </c>
      <c r="CH84">
        <v>1036.4100000000001</v>
      </c>
      <c r="CI84">
        <v>-8.73</v>
      </c>
      <c r="CW84">
        <f t="shared" si="134"/>
        <v>1800.01</v>
      </c>
      <c r="CX84">
        <f t="shared" si="135"/>
        <v>1513.1966999966994</v>
      </c>
      <c r="CY84">
        <f t="shared" si="136"/>
        <v>0.84066016299726076</v>
      </c>
      <c r="CZ84">
        <f t="shared" si="137"/>
        <v>0.19132032599452134</v>
      </c>
      <c r="DA84">
        <v>6</v>
      </c>
      <c r="DB84">
        <v>0.5</v>
      </c>
      <c r="DC84" t="s">
        <v>419</v>
      </c>
      <c r="DD84">
        <v>2</v>
      </c>
      <c r="DE84">
        <v>1691174013</v>
      </c>
      <c r="DF84">
        <v>833.59</v>
      </c>
      <c r="DG84">
        <v>900.00699999999995</v>
      </c>
      <c r="DH84">
        <v>25.1814</v>
      </c>
      <c r="DI84">
        <v>19.641300000000001</v>
      </c>
      <c r="DJ84">
        <v>836.57399999999996</v>
      </c>
      <c r="DK84">
        <v>25.148700000000002</v>
      </c>
      <c r="DL84">
        <v>500.16899999999998</v>
      </c>
      <c r="DM84">
        <v>99.131299999999996</v>
      </c>
      <c r="DN84">
        <v>9.99255E-2</v>
      </c>
      <c r="DO84">
        <v>29.8766</v>
      </c>
      <c r="DP84">
        <v>30.017800000000001</v>
      </c>
      <c r="DQ84">
        <v>999.9</v>
      </c>
      <c r="DR84">
        <v>0</v>
      </c>
      <c r="DS84">
        <v>0</v>
      </c>
      <c r="DT84">
        <v>10020</v>
      </c>
      <c r="DU84">
        <v>0</v>
      </c>
      <c r="DV84">
        <v>1776.6</v>
      </c>
      <c r="DW84">
        <v>-66.417400000000001</v>
      </c>
      <c r="DX84">
        <v>855.12300000000005</v>
      </c>
      <c r="DY84">
        <v>918.03899999999999</v>
      </c>
      <c r="DZ84">
        <v>5.5400799999999997</v>
      </c>
      <c r="EA84">
        <v>900.00699999999995</v>
      </c>
      <c r="EB84">
        <v>19.641300000000001</v>
      </c>
      <c r="EC84">
        <v>2.49627</v>
      </c>
      <c r="ED84">
        <v>1.9470700000000001</v>
      </c>
      <c r="EE84">
        <v>21.002199999999998</v>
      </c>
      <c r="EF84">
        <v>17.020299999999999</v>
      </c>
      <c r="EG84">
        <v>1800.01</v>
      </c>
      <c r="EH84">
        <v>0.977993</v>
      </c>
      <c r="EI84">
        <v>2.2006899999999999E-2</v>
      </c>
      <c r="EJ84">
        <v>0</v>
      </c>
      <c r="EK84">
        <v>748.43499999999995</v>
      </c>
      <c r="EL84">
        <v>0.100005</v>
      </c>
      <c r="EM84">
        <v>17841.3</v>
      </c>
      <c r="EN84">
        <v>14862.6</v>
      </c>
      <c r="EO84">
        <v>49.25</v>
      </c>
      <c r="EP84">
        <v>51.875</v>
      </c>
      <c r="EQ84">
        <v>50.311999999999998</v>
      </c>
      <c r="ER84">
        <v>50</v>
      </c>
      <c r="ES84">
        <v>50.186999999999998</v>
      </c>
      <c r="ET84">
        <v>1760.3</v>
      </c>
      <c r="EU84">
        <v>39.61</v>
      </c>
      <c r="EV84">
        <v>0</v>
      </c>
      <c r="EW84">
        <v>125.6000001430511</v>
      </c>
      <c r="EX84">
        <v>0</v>
      </c>
      <c r="EY84">
        <v>749.93340000000012</v>
      </c>
      <c r="EZ84">
        <v>-1.2607693744592761</v>
      </c>
      <c r="FA84">
        <v>23.584615721504239</v>
      </c>
      <c r="FB84">
        <v>17830.504000000001</v>
      </c>
      <c r="FC84">
        <v>15</v>
      </c>
      <c r="FD84">
        <v>1691173978</v>
      </c>
      <c r="FE84" t="s">
        <v>766</v>
      </c>
      <c r="FF84">
        <v>1691173978</v>
      </c>
      <c r="FG84">
        <v>1691173971.5</v>
      </c>
      <c r="FH84">
        <v>79</v>
      </c>
      <c r="FI84">
        <v>0.24099999999999999</v>
      </c>
      <c r="FJ84">
        <v>0</v>
      </c>
      <c r="FK84">
        <v>-3.1019999999999999</v>
      </c>
      <c r="FL84">
        <v>-8.8999999999999996E-2</v>
      </c>
      <c r="FM84">
        <v>900</v>
      </c>
      <c r="FN84">
        <v>20</v>
      </c>
      <c r="FO84">
        <v>0.2</v>
      </c>
      <c r="FP84">
        <v>0.05</v>
      </c>
      <c r="FQ84">
        <v>51.382142884429989</v>
      </c>
      <c r="FR84">
        <v>-0.4638000455325072</v>
      </c>
      <c r="FS84">
        <v>0.1619408330812723</v>
      </c>
      <c r="FT84">
        <v>1</v>
      </c>
      <c r="FU84">
        <v>0.27052616982014649</v>
      </c>
      <c r="FV84">
        <v>1.321306805056699E-2</v>
      </c>
      <c r="FW84">
        <v>2.1249448109618009E-3</v>
      </c>
      <c r="FX84">
        <v>1</v>
      </c>
      <c r="FY84">
        <v>2</v>
      </c>
      <c r="FZ84">
        <v>2</v>
      </c>
      <c r="GA84" t="s">
        <v>421</v>
      </c>
      <c r="GB84">
        <v>2.9150399999999999</v>
      </c>
      <c r="GC84">
        <v>2.8299799999999999</v>
      </c>
      <c r="GD84">
        <v>0.150475</v>
      </c>
      <c r="GE84">
        <v>0.155138</v>
      </c>
      <c r="GF84">
        <v>0.12153</v>
      </c>
      <c r="GG84">
        <v>9.8274200000000006E-2</v>
      </c>
      <c r="GH84">
        <v>21948.799999999999</v>
      </c>
      <c r="GI84">
        <v>27040</v>
      </c>
      <c r="GJ84">
        <v>23277.5</v>
      </c>
      <c r="GK84">
        <v>29354.400000000001</v>
      </c>
      <c r="GL84">
        <v>27929.5</v>
      </c>
      <c r="GM84">
        <v>37669.9</v>
      </c>
      <c r="GN84">
        <v>32930.300000000003</v>
      </c>
      <c r="GO84">
        <v>43545.4</v>
      </c>
      <c r="GP84">
        <v>1.9176</v>
      </c>
      <c r="GQ84">
        <v>1.7087000000000001</v>
      </c>
      <c r="GR84">
        <v>-5.2973600000000003E-2</v>
      </c>
      <c r="GS84">
        <v>0</v>
      </c>
      <c r="GT84">
        <v>30.879200000000001</v>
      </c>
      <c r="GU84">
        <v>999.9</v>
      </c>
      <c r="GV84">
        <v>31.9</v>
      </c>
      <c r="GW84">
        <v>43.9</v>
      </c>
      <c r="GX84">
        <v>29.298300000000001</v>
      </c>
      <c r="GY84">
        <v>61.717700000000001</v>
      </c>
      <c r="GZ84">
        <v>38.4375</v>
      </c>
      <c r="HA84">
        <v>1</v>
      </c>
      <c r="HB84">
        <v>0.77341499999999996</v>
      </c>
      <c r="HC84">
        <v>6.9841199999999999</v>
      </c>
      <c r="HD84">
        <v>20.174800000000001</v>
      </c>
      <c r="HE84">
        <v>5.2107000000000001</v>
      </c>
      <c r="HF84">
        <v>11.8782</v>
      </c>
      <c r="HG84">
        <v>4.9843999999999999</v>
      </c>
      <c r="HH84">
        <v>3.2839999999999998</v>
      </c>
      <c r="HI84">
        <v>9999</v>
      </c>
      <c r="HJ84">
        <v>9999</v>
      </c>
      <c r="HK84">
        <v>9999</v>
      </c>
      <c r="HL84">
        <v>999.9</v>
      </c>
      <c r="HM84">
        <v>1.8545499999999999</v>
      </c>
      <c r="HN84">
        <v>1.86052</v>
      </c>
      <c r="HO84">
        <v>1.85791</v>
      </c>
      <c r="HP84">
        <v>1.85903</v>
      </c>
      <c r="HQ84">
        <v>1.8583700000000001</v>
      </c>
      <c r="HR84">
        <v>1.8589599999999999</v>
      </c>
      <c r="HS84">
        <v>1.8573</v>
      </c>
      <c r="HT84">
        <v>1.8606100000000001</v>
      </c>
      <c r="HU84">
        <v>5</v>
      </c>
      <c r="HV84">
        <v>0</v>
      </c>
      <c r="HW84">
        <v>0</v>
      </c>
      <c r="HX84">
        <v>0</v>
      </c>
      <c r="HY84" t="s">
        <v>422</v>
      </c>
      <c r="HZ84" t="s">
        <v>423</v>
      </c>
      <c r="IA84" t="s">
        <v>424</v>
      </c>
      <c r="IB84" t="s">
        <v>424</v>
      </c>
      <c r="IC84" t="s">
        <v>424</v>
      </c>
      <c r="ID84" t="s">
        <v>424</v>
      </c>
      <c r="IE84">
        <v>0</v>
      </c>
      <c r="IF84">
        <v>100</v>
      </c>
      <c r="IG84">
        <v>100</v>
      </c>
      <c r="IH84">
        <v>-2.984</v>
      </c>
      <c r="II84">
        <v>3.27E-2</v>
      </c>
      <c r="IJ84">
        <v>-0.60996471144109021</v>
      </c>
      <c r="IK84">
        <v>-4.1229525807901877E-3</v>
      </c>
      <c r="IL84">
        <v>1.8448211998558991E-6</v>
      </c>
      <c r="IM84">
        <v>-3.7020276670297668E-10</v>
      </c>
      <c r="IN84">
        <v>-0.192037941810073</v>
      </c>
      <c r="IO84">
        <v>-1.3488639696665739E-2</v>
      </c>
      <c r="IP84">
        <v>1.1588640342490499E-3</v>
      </c>
      <c r="IQ84">
        <v>-1.0624341560077559E-5</v>
      </c>
      <c r="IR84">
        <v>2</v>
      </c>
      <c r="IS84">
        <v>1915</v>
      </c>
      <c r="IT84">
        <v>1</v>
      </c>
      <c r="IU84">
        <v>42</v>
      </c>
      <c r="IV84">
        <v>0.6</v>
      </c>
      <c r="IW84">
        <v>0.7</v>
      </c>
      <c r="IX84">
        <v>1.93726</v>
      </c>
      <c r="IY84">
        <v>2.4706999999999999</v>
      </c>
      <c r="IZ84">
        <v>1.49414</v>
      </c>
      <c r="JA84">
        <v>2.2851599999999999</v>
      </c>
      <c r="JB84">
        <v>1.54419</v>
      </c>
      <c r="JC84">
        <v>2.48169</v>
      </c>
      <c r="JD84">
        <v>46.5321</v>
      </c>
      <c r="JE84">
        <v>14.8238</v>
      </c>
      <c r="JF84">
        <v>18</v>
      </c>
      <c r="JG84">
        <v>512.09</v>
      </c>
      <c r="JH84">
        <v>402.35500000000002</v>
      </c>
      <c r="JI84">
        <v>21.6555</v>
      </c>
      <c r="JJ84">
        <v>36.5869</v>
      </c>
      <c r="JK84">
        <v>30.0002</v>
      </c>
      <c r="JL84">
        <v>36.424999999999997</v>
      </c>
      <c r="JM84">
        <v>36.387</v>
      </c>
      <c r="JN84">
        <v>38.824199999999998</v>
      </c>
      <c r="JO84">
        <v>35.525599999999997</v>
      </c>
      <c r="JP84">
        <v>0</v>
      </c>
      <c r="JQ84">
        <v>21.647500000000001</v>
      </c>
      <c r="JR84">
        <v>900</v>
      </c>
      <c r="JS84">
        <v>19.569299999999998</v>
      </c>
      <c r="JT84">
        <v>97.6464</v>
      </c>
      <c r="JU84">
        <v>97.887799999999999</v>
      </c>
    </row>
    <row r="85" spans="1:281" x14ac:dyDescent="0.25">
      <c r="A85">
        <v>69</v>
      </c>
      <c r="B85">
        <v>1691174137.5</v>
      </c>
      <c r="C85">
        <v>14891.900000095369</v>
      </c>
      <c r="D85" t="s">
        <v>767</v>
      </c>
      <c r="E85" t="s">
        <v>768</v>
      </c>
      <c r="F85" t="s">
        <v>413</v>
      </c>
      <c r="G85" t="s">
        <v>708</v>
      </c>
      <c r="H85" t="s">
        <v>565</v>
      </c>
      <c r="I85" t="s">
        <v>31</v>
      </c>
      <c r="J85">
        <v>1691174137.5</v>
      </c>
      <c r="K85">
        <f t="shared" si="92"/>
        <v>3.8874344655066232E-3</v>
      </c>
      <c r="L85">
        <f t="shared" si="93"/>
        <v>3.8874344655066233</v>
      </c>
      <c r="M85">
        <f t="shared" si="94"/>
        <v>50.754635679416097</v>
      </c>
      <c r="N85">
        <f t="shared" si="95"/>
        <v>1133.44</v>
      </c>
      <c r="O85">
        <f t="shared" si="96"/>
        <v>716.07334714567014</v>
      </c>
      <c r="P85">
        <f t="shared" si="97"/>
        <v>71.06164887215462</v>
      </c>
      <c r="Q85">
        <f t="shared" si="98"/>
        <v>112.48025864768</v>
      </c>
      <c r="R85">
        <f t="shared" si="99"/>
        <v>0.21567226772329526</v>
      </c>
      <c r="S85">
        <f t="shared" si="100"/>
        <v>2.9121927647815293</v>
      </c>
      <c r="T85">
        <f t="shared" si="101"/>
        <v>0.20717549625038031</v>
      </c>
      <c r="U85">
        <f t="shared" si="102"/>
        <v>0.1302201943369912</v>
      </c>
      <c r="V85">
        <f t="shared" si="103"/>
        <v>344.35949999339806</v>
      </c>
      <c r="W85">
        <f t="shared" si="104"/>
        <v>30.804537469123844</v>
      </c>
      <c r="X85">
        <f t="shared" si="105"/>
        <v>29.993600000000001</v>
      </c>
      <c r="Y85">
        <f t="shared" si="106"/>
        <v>4.258883836125265</v>
      </c>
      <c r="Z85">
        <f t="shared" si="107"/>
        <v>58.467298735467786</v>
      </c>
      <c r="AA85">
        <f t="shared" si="108"/>
        <v>2.4598209160837001</v>
      </c>
      <c r="AB85">
        <f t="shared" si="109"/>
        <v>4.207173872035769</v>
      </c>
      <c r="AC85">
        <f t="shared" si="110"/>
        <v>1.7990629200415649</v>
      </c>
      <c r="AD85">
        <f t="shared" si="111"/>
        <v>-171.43585992884209</v>
      </c>
      <c r="AE85">
        <f t="shared" si="112"/>
        <v>-33.362953971166974</v>
      </c>
      <c r="AF85">
        <f t="shared" si="113"/>
        <v>-2.5444800234080804</v>
      </c>
      <c r="AG85">
        <f t="shared" si="114"/>
        <v>137.01620606998091</v>
      </c>
      <c r="AH85">
        <v>0</v>
      </c>
      <c r="AI85">
        <v>0</v>
      </c>
      <c r="AJ85">
        <f t="shared" si="115"/>
        <v>1</v>
      </c>
      <c r="AK85">
        <f t="shared" si="116"/>
        <v>0</v>
      </c>
      <c r="AL85">
        <f t="shared" si="117"/>
        <v>51877.483074624804</v>
      </c>
      <c r="AM85" t="s">
        <v>416</v>
      </c>
      <c r="AN85">
        <v>10235.299999999999</v>
      </c>
      <c r="AO85">
        <v>594.051923076923</v>
      </c>
      <c r="AP85">
        <v>2007.77</v>
      </c>
      <c r="AQ85">
        <f t="shared" si="118"/>
        <v>0.70412351859180933</v>
      </c>
      <c r="AR85">
        <v>-0.54275787784279261</v>
      </c>
      <c r="AS85" t="s">
        <v>769</v>
      </c>
      <c r="AT85">
        <v>10191.6</v>
      </c>
      <c r="AU85">
        <v>747.12</v>
      </c>
      <c r="AV85">
        <v>1150.8749656479949</v>
      </c>
      <c r="AW85">
        <f t="shared" si="119"/>
        <v>0.35082435338287377</v>
      </c>
      <c r="AX85">
        <v>0.5</v>
      </c>
      <c r="AY85">
        <f t="shared" si="120"/>
        <v>1513.1126999966989</v>
      </c>
      <c r="AZ85">
        <f t="shared" si="121"/>
        <v>50.754635679416097</v>
      </c>
      <c r="BA85">
        <f t="shared" si="122"/>
        <v>265.4183922858781</v>
      </c>
      <c r="BB85">
        <f t="shared" si="123"/>
        <v>3.390189875306103E-2</v>
      </c>
      <c r="BC85">
        <f t="shared" si="124"/>
        <v>0.74455962630965233</v>
      </c>
      <c r="BD85">
        <f t="shared" si="125"/>
        <v>486.80902342897423</v>
      </c>
      <c r="BE85" t="s">
        <v>770</v>
      </c>
      <c r="BF85">
        <v>573.19000000000005</v>
      </c>
      <c r="BG85">
        <f t="shared" si="126"/>
        <v>573.19000000000005</v>
      </c>
      <c r="BH85">
        <f t="shared" si="127"/>
        <v>0.50195284708685273</v>
      </c>
      <c r="BI85">
        <f t="shared" si="128"/>
        <v>0.69891894312170477</v>
      </c>
      <c r="BJ85">
        <f t="shared" si="129"/>
        <v>0.59731422043525284</v>
      </c>
      <c r="BK85">
        <f t="shared" si="130"/>
        <v>0.72510462890274574</v>
      </c>
      <c r="BL85">
        <f t="shared" si="131"/>
        <v>0.60612865347029887</v>
      </c>
      <c r="BM85">
        <f t="shared" si="132"/>
        <v>0.53621017909831081</v>
      </c>
      <c r="BN85">
        <f t="shared" si="133"/>
        <v>0.46378982090168919</v>
      </c>
      <c r="BO85">
        <v>12605</v>
      </c>
      <c r="BP85">
        <v>290.00000000000011</v>
      </c>
      <c r="BQ85">
        <v>1032.21</v>
      </c>
      <c r="BR85">
        <v>205</v>
      </c>
      <c r="BS85">
        <v>10191.6</v>
      </c>
      <c r="BT85">
        <v>1033.1500000000001</v>
      </c>
      <c r="BU85">
        <v>-0.94</v>
      </c>
      <c r="BV85">
        <v>300.00000000000011</v>
      </c>
      <c r="BW85">
        <v>24.2</v>
      </c>
      <c r="BX85">
        <v>1150.8749656479949</v>
      </c>
      <c r="BY85">
        <v>1.8292396355482461</v>
      </c>
      <c r="BZ85">
        <v>-119.9805053903688</v>
      </c>
      <c r="CA85">
        <v>1.6587867878781231</v>
      </c>
      <c r="CB85">
        <v>0.99467647083927646</v>
      </c>
      <c r="CC85">
        <v>-6.9577775305895437E-3</v>
      </c>
      <c r="CD85">
        <v>289.99999999999989</v>
      </c>
      <c r="CE85">
        <v>1024.24</v>
      </c>
      <c r="CF85">
        <v>685</v>
      </c>
      <c r="CG85">
        <v>10162.4</v>
      </c>
      <c r="CH85">
        <v>1032.81</v>
      </c>
      <c r="CI85">
        <v>-8.57</v>
      </c>
      <c r="CW85">
        <f t="shared" si="134"/>
        <v>1799.91</v>
      </c>
      <c r="CX85">
        <f t="shared" si="135"/>
        <v>1513.1126999966989</v>
      </c>
      <c r="CY85">
        <f t="shared" si="136"/>
        <v>0.84066019967481642</v>
      </c>
      <c r="CZ85">
        <f t="shared" si="137"/>
        <v>0.19132039934963305</v>
      </c>
      <c r="DA85">
        <v>6</v>
      </c>
      <c r="DB85">
        <v>0.5</v>
      </c>
      <c r="DC85" t="s">
        <v>419</v>
      </c>
      <c r="DD85">
        <v>2</v>
      </c>
      <c r="DE85">
        <v>1691174137.5</v>
      </c>
      <c r="DF85">
        <v>1133.44</v>
      </c>
      <c r="DG85">
        <v>1199.6199999999999</v>
      </c>
      <c r="DH85">
        <v>24.787099999999999</v>
      </c>
      <c r="DI85">
        <v>20.238700000000001</v>
      </c>
      <c r="DJ85">
        <v>1136.52</v>
      </c>
      <c r="DK85">
        <v>24.7605</v>
      </c>
      <c r="DL85">
        <v>500.09800000000001</v>
      </c>
      <c r="DM85">
        <v>99.137799999999999</v>
      </c>
      <c r="DN85">
        <v>0.100147</v>
      </c>
      <c r="DO85">
        <v>29.781099999999999</v>
      </c>
      <c r="DP85">
        <v>29.993600000000001</v>
      </c>
      <c r="DQ85">
        <v>999.9</v>
      </c>
      <c r="DR85">
        <v>0</v>
      </c>
      <c r="DS85">
        <v>0</v>
      </c>
      <c r="DT85">
        <v>9987.5</v>
      </c>
      <c r="DU85">
        <v>0</v>
      </c>
      <c r="DV85">
        <v>1841.68</v>
      </c>
      <c r="DW85">
        <v>-66.187299999999993</v>
      </c>
      <c r="DX85">
        <v>1162.24</v>
      </c>
      <c r="DY85">
        <v>1224.4000000000001</v>
      </c>
      <c r="DZ85">
        <v>4.5484200000000001</v>
      </c>
      <c r="EA85">
        <v>1199.6199999999999</v>
      </c>
      <c r="EB85">
        <v>20.238700000000001</v>
      </c>
      <c r="EC85">
        <v>2.4573399999999999</v>
      </c>
      <c r="ED85">
        <v>2.0064199999999999</v>
      </c>
      <c r="EE85">
        <v>20.746700000000001</v>
      </c>
      <c r="EF85">
        <v>17.495100000000001</v>
      </c>
      <c r="EG85">
        <v>1799.91</v>
      </c>
      <c r="EH85">
        <v>0.977993</v>
      </c>
      <c r="EI85">
        <v>2.2006899999999999E-2</v>
      </c>
      <c r="EJ85">
        <v>0</v>
      </c>
      <c r="EK85">
        <v>746.11</v>
      </c>
      <c r="EL85">
        <v>0.100005</v>
      </c>
      <c r="EM85">
        <v>17894.400000000001</v>
      </c>
      <c r="EN85">
        <v>14861.8</v>
      </c>
      <c r="EO85">
        <v>49.311999999999998</v>
      </c>
      <c r="EP85">
        <v>51.936999999999998</v>
      </c>
      <c r="EQ85">
        <v>50.375</v>
      </c>
      <c r="ER85">
        <v>50.061999999999998</v>
      </c>
      <c r="ES85">
        <v>50.25</v>
      </c>
      <c r="ET85">
        <v>1760.2</v>
      </c>
      <c r="EU85">
        <v>39.61</v>
      </c>
      <c r="EV85">
        <v>0</v>
      </c>
      <c r="EW85">
        <v>122.4000000953674</v>
      </c>
      <c r="EX85">
        <v>0</v>
      </c>
      <c r="EY85">
        <v>747.12</v>
      </c>
      <c r="EZ85">
        <v>-4.9948718121203246</v>
      </c>
      <c r="FA85">
        <v>-62.557264723975841</v>
      </c>
      <c r="FB85">
        <v>17887.030769230769</v>
      </c>
      <c r="FC85">
        <v>15</v>
      </c>
      <c r="FD85">
        <v>1691174101.5</v>
      </c>
      <c r="FE85" t="s">
        <v>771</v>
      </c>
      <c r="FF85">
        <v>1691174101</v>
      </c>
      <c r="FG85">
        <v>1691174101.5</v>
      </c>
      <c r="FH85">
        <v>80</v>
      </c>
      <c r="FI85">
        <v>0.374</v>
      </c>
      <c r="FJ85">
        <v>3.0000000000000001E-3</v>
      </c>
      <c r="FK85">
        <v>-3.1709999999999998</v>
      </c>
      <c r="FL85">
        <v>-7.5999999999999998E-2</v>
      </c>
      <c r="FM85">
        <v>1200</v>
      </c>
      <c r="FN85">
        <v>20</v>
      </c>
      <c r="FO85">
        <v>0.16</v>
      </c>
      <c r="FP85">
        <v>0.06</v>
      </c>
      <c r="FQ85">
        <v>50.577591551642641</v>
      </c>
      <c r="FR85">
        <v>-0.43376561436904398</v>
      </c>
      <c r="FS85">
        <v>0.18764346818648281</v>
      </c>
      <c r="FT85">
        <v>1</v>
      </c>
      <c r="FU85">
        <v>0.22047602962268631</v>
      </c>
      <c r="FV85">
        <v>-3.6443409321216938E-2</v>
      </c>
      <c r="FW85">
        <v>2.756848807266649E-3</v>
      </c>
      <c r="FX85">
        <v>1</v>
      </c>
      <c r="FY85">
        <v>2</v>
      </c>
      <c r="FZ85">
        <v>2</v>
      </c>
      <c r="GA85" t="s">
        <v>421</v>
      </c>
      <c r="GB85">
        <v>2.9147699999999999</v>
      </c>
      <c r="GC85">
        <v>2.82992</v>
      </c>
      <c r="GD85">
        <v>0.18305299999999999</v>
      </c>
      <c r="GE85">
        <v>0.18618399999999999</v>
      </c>
      <c r="GF85">
        <v>0.120184</v>
      </c>
      <c r="GG85">
        <v>0.100384</v>
      </c>
      <c r="GH85">
        <v>21103.7</v>
      </c>
      <c r="GI85">
        <v>26042.9</v>
      </c>
      <c r="GJ85">
        <v>23275.9</v>
      </c>
      <c r="GK85">
        <v>29353.4</v>
      </c>
      <c r="GL85">
        <v>27974.400000000001</v>
      </c>
      <c r="GM85">
        <v>37586.1</v>
      </c>
      <c r="GN85">
        <v>32929.1</v>
      </c>
      <c r="GO85">
        <v>43545</v>
      </c>
      <c r="GP85">
        <v>1.9155</v>
      </c>
      <c r="GQ85">
        <v>1.7094</v>
      </c>
      <c r="GR85">
        <v>-5.0812999999999997E-2</v>
      </c>
      <c r="GS85">
        <v>0</v>
      </c>
      <c r="GT85">
        <v>30.82</v>
      </c>
      <c r="GU85">
        <v>999.9</v>
      </c>
      <c r="GV85">
        <v>31.9</v>
      </c>
      <c r="GW85">
        <v>44</v>
      </c>
      <c r="GX85">
        <v>29.4498</v>
      </c>
      <c r="GY85">
        <v>61.707799999999999</v>
      </c>
      <c r="GZ85">
        <v>38.173099999999998</v>
      </c>
      <c r="HA85">
        <v>1</v>
      </c>
      <c r="HB85">
        <v>0.78010199999999996</v>
      </c>
      <c r="HC85">
        <v>6.91296</v>
      </c>
      <c r="HD85">
        <v>20.177600000000002</v>
      </c>
      <c r="HE85">
        <v>5.2112999999999996</v>
      </c>
      <c r="HF85">
        <v>11.8782</v>
      </c>
      <c r="HG85">
        <v>4.9846000000000004</v>
      </c>
      <c r="HH85">
        <v>3.2839999999999998</v>
      </c>
      <c r="HI85">
        <v>9999</v>
      </c>
      <c r="HJ85">
        <v>9999</v>
      </c>
      <c r="HK85">
        <v>9999</v>
      </c>
      <c r="HL85">
        <v>999.9</v>
      </c>
      <c r="HM85">
        <v>1.8545499999999999</v>
      </c>
      <c r="HN85">
        <v>1.8605</v>
      </c>
      <c r="HO85">
        <v>1.85791</v>
      </c>
      <c r="HP85">
        <v>1.8590100000000001</v>
      </c>
      <c r="HQ85">
        <v>1.8583700000000001</v>
      </c>
      <c r="HR85">
        <v>1.8589199999999999</v>
      </c>
      <c r="HS85">
        <v>1.85721</v>
      </c>
      <c r="HT85">
        <v>1.8605799999999999</v>
      </c>
      <c r="HU85">
        <v>5</v>
      </c>
      <c r="HV85">
        <v>0</v>
      </c>
      <c r="HW85">
        <v>0</v>
      </c>
      <c r="HX85">
        <v>0</v>
      </c>
      <c r="HY85" t="s">
        <v>422</v>
      </c>
      <c r="HZ85" t="s">
        <v>423</v>
      </c>
      <c r="IA85" t="s">
        <v>424</v>
      </c>
      <c r="IB85" t="s">
        <v>424</v>
      </c>
      <c r="IC85" t="s">
        <v>424</v>
      </c>
      <c r="ID85" t="s">
        <v>424</v>
      </c>
      <c r="IE85">
        <v>0</v>
      </c>
      <c r="IF85">
        <v>100</v>
      </c>
      <c r="IG85">
        <v>100</v>
      </c>
      <c r="IH85">
        <v>-3.08</v>
      </c>
      <c r="II85">
        <v>2.6599999999999999E-2</v>
      </c>
      <c r="IJ85">
        <v>-0.2359580218327397</v>
      </c>
      <c r="IK85">
        <v>-4.1229525807901877E-3</v>
      </c>
      <c r="IL85">
        <v>1.8448211998558991E-6</v>
      </c>
      <c r="IM85">
        <v>-3.7020276670297668E-10</v>
      </c>
      <c r="IN85">
        <v>-0.18858320136337109</v>
      </c>
      <c r="IO85">
        <v>-1.3488639696665739E-2</v>
      </c>
      <c r="IP85">
        <v>1.1588640342490499E-3</v>
      </c>
      <c r="IQ85">
        <v>-1.0624341560077559E-5</v>
      </c>
      <c r="IR85">
        <v>2</v>
      </c>
      <c r="IS85">
        <v>1915</v>
      </c>
      <c r="IT85">
        <v>1</v>
      </c>
      <c r="IU85">
        <v>42</v>
      </c>
      <c r="IV85">
        <v>0.6</v>
      </c>
      <c r="IW85">
        <v>0.6</v>
      </c>
      <c r="IX85">
        <v>2.4499499999999999</v>
      </c>
      <c r="IY85">
        <v>2.4645999999999999</v>
      </c>
      <c r="IZ85">
        <v>1.49414</v>
      </c>
      <c r="JA85">
        <v>2.2851599999999999</v>
      </c>
      <c r="JB85">
        <v>1.54419</v>
      </c>
      <c r="JC85">
        <v>2.4157700000000002</v>
      </c>
      <c r="JD85">
        <v>46.561500000000002</v>
      </c>
      <c r="JE85">
        <v>14.78</v>
      </c>
      <c r="JF85">
        <v>18</v>
      </c>
      <c r="JG85">
        <v>511.392</v>
      </c>
      <c r="JH85">
        <v>403.41</v>
      </c>
      <c r="JI85">
        <v>21.453199999999999</v>
      </c>
      <c r="JJ85">
        <v>36.693100000000001</v>
      </c>
      <c r="JK85">
        <v>30.0002</v>
      </c>
      <c r="JL85">
        <v>36.518799999999999</v>
      </c>
      <c r="JM85">
        <v>36.481000000000002</v>
      </c>
      <c r="JN85">
        <v>49.082599999999999</v>
      </c>
      <c r="JO85">
        <v>33.531399999999998</v>
      </c>
      <c r="JP85">
        <v>0</v>
      </c>
      <c r="JQ85">
        <v>21.458400000000001</v>
      </c>
      <c r="JR85">
        <v>1200</v>
      </c>
      <c r="JS85">
        <v>20.184000000000001</v>
      </c>
      <c r="JT85">
        <v>97.641499999999994</v>
      </c>
      <c r="JU85">
        <v>97.885999999999996</v>
      </c>
    </row>
    <row r="86" spans="1:281" x14ac:dyDescent="0.25">
      <c r="A86">
        <v>70</v>
      </c>
      <c r="B86">
        <v>1691174265</v>
      </c>
      <c r="C86">
        <v>15019.400000095369</v>
      </c>
      <c r="D86" t="s">
        <v>772</v>
      </c>
      <c r="E86" t="s">
        <v>773</v>
      </c>
      <c r="F86" t="s">
        <v>413</v>
      </c>
      <c r="G86" t="s">
        <v>708</v>
      </c>
      <c r="H86" t="s">
        <v>565</v>
      </c>
      <c r="I86" t="s">
        <v>31</v>
      </c>
      <c r="J86">
        <v>1691174265</v>
      </c>
      <c r="K86">
        <f t="shared" si="92"/>
        <v>3.0627555288725902E-3</v>
      </c>
      <c r="L86">
        <f t="shared" si="93"/>
        <v>3.0627555288725903</v>
      </c>
      <c r="M86">
        <f t="shared" si="94"/>
        <v>50.451360664045318</v>
      </c>
      <c r="N86">
        <f t="shared" si="95"/>
        <v>1434.16</v>
      </c>
      <c r="O86">
        <f t="shared" si="96"/>
        <v>900.74511643719006</v>
      </c>
      <c r="P86">
        <f t="shared" si="97"/>
        <v>89.385722211748316</v>
      </c>
      <c r="Q86">
        <f t="shared" si="98"/>
        <v>142.31931434084001</v>
      </c>
      <c r="R86">
        <f t="shared" si="99"/>
        <v>0.16645712702502838</v>
      </c>
      <c r="S86">
        <f t="shared" si="100"/>
        <v>2.9095264810684527</v>
      </c>
      <c r="T86">
        <f t="shared" si="101"/>
        <v>0.16134176771488101</v>
      </c>
      <c r="U86">
        <f t="shared" si="102"/>
        <v>0.10128510490852108</v>
      </c>
      <c r="V86">
        <f t="shared" si="103"/>
        <v>344.37469999339834</v>
      </c>
      <c r="W86">
        <f t="shared" si="104"/>
        <v>30.982958968372817</v>
      </c>
      <c r="X86">
        <f t="shared" si="105"/>
        <v>30.002199999999998</v>
      </c>
      <c r="Y86">
        <f t="shared" si="106"/>
        <v>4.2609881789030473</v>
      </c>
      <c r="Z86">
        <f t="shared" si="107"/>
        <v>58.142458126706032</v>
      </c>
      <c r="AA86">
        <f t="shared" si="108"/>
        <v>2.4408115687162999</v>
      </c>
      <c r="AB86">
        <f t="shared" si="109"/>
        <v>4.1979848244413747</v>
      </c>
      <c r="AC86">
        <f t="shared" si="110"/>
        <v>1.8201766101867474</v>
      </c>
      <c r="AD86">
        <f t="shared" si="111"/>
        <v>-135.06751882328123</v>
      </c>
      <c r="AE86">
        <f t="shared" si="112"/>
        <v>-40.642009275831619</v>
      </c>
      <c r="AF86">
        <f t="shared" si="113"/>
        <v>-3.1020180172774365</v>
      </c>
      <c r="AG86">
        <f t="shared" si="114"/>
        <v>165.56315387700806</v>
      </c>
      <c r="AH86">
        <v>0</v>
      </c>
      <c r="AI86">
        <v>0</v>
      </c>
      <c r="AJ86">
        <f t="shared" si="115"/>
        <v>1</v>
      </c>
      <c r="AK86">
        <f t="shared" si="116"/>
        <v>0</v>
      </c>
      <c r="AL86">
        <f t="shared" si="117"/>
        <v>51808.066666425453</v>
      </c>
      <c r="AM86" t="s">
        <v>416</v>
      </c>
      <c r="AN86">
        <v>10235.299999999999</v>
      </c>
      <c r="AO86">
        <v>594.051923076923</v>
      </c>
      <c r="AP86">
        <v>2007.77</v>
      </c>
      <c r="AQ86">
        <f t="shared" si="118"/>
        <v>0.70412351859180933</v>
      </c>
      <c r="AR86">
        <v>-0.54275787784279261</v>
      </c>
      <c r="AS86" t="s">
        <v>774</v>
      </c>
      <c r="AT86">
        <v>10188.6</v>
      </c>
      <c r="AU86">
        <v>744.16340000000014</v>
      </c>
      <c r="AV86">
        <v>1145.370491102361</v>
      </c>
      <c r="AW86">
        <f t="shared" si="119"/>
        <v>0.35028586315002708</v>
      </c>
      <c r="AX86">
        <v>0.5</v>
      </c>
      <c r="AY86">
        <f t="shared" si="120"/>
        <v>1513.1798999966993</v>
      </c>
      <c r="AZ86">
        <f t="shared" si="121"/>
        <v>50.451360664045318</v>
      </c>
      <c r="BA86">
        <f t="shared" si="122"/>
        <v>265.02276368580772</v>
      </c>
      <c r="BB86">
        <f t="shared" si="123"/>
        <v>3.369997086400589E-2</v>
      </c>
      <c r="BC86">
        <f t="shared" si="124"/>
        <v>0.75294371174834718</v>
      </c>
      <c r="BD86">
        <f t="shared" si="125"/>
        <v>485.82143265376902</v>
      </c>
      <c r="BE86" t="s">
        <v>775</v>
      </c>
      <c r="BF86">
        <v>574.37</v>
      </c>
      <c r="BG86">
        <f t="shared" si="126"/>
        <v>574.37</v>
      </c>
      <c r="BH86">
        <f t="shared" si="127"/>
        <v>0.49852907468639429</v>
      </c>
      <c r="BI86">
        <f t="shared" si="128"/>
        <v>0.7026387846493779</v>
      </c>
      <c r="BJ86">
        <f t="shared" si="129"/>
        <v>0.60164609243591383</v>
      </c>
      <c r="BK86">
        <f t="shared" si="130"/>
        <v>0.72772279834378639</v>
      </c>
      <c r="BL86">
        <f t="shared" si="131"/>
        <v>0.61002226891986167</v>
      </c>
      <c r="BM86">
        <f t="shared" si="132"/>
        <v>0.5423199242788117</v>
      </c>
      <c r="BN86">
        <f t="shared" si="133"/>
        <v>0.4576800757211883</v>
      </c>
      <c r="BO86">
        <v>12607</v>
      </c>
      <c r="BP86">
        <v>290.00000000000011</v>
      </c>
      <c r="BQ86">
        <v>1028.54</v>
      </c>
      <c r="BR86">
        <v>225</v>
      </c>
      <c r="BS86">
        <v>10188.6</v>
      </c>
      <c r="BT86">
        <v>1028.8399999999999</v>
      </c>
      <c r="BU86">
        <v>-0.3</v>
      </c>
      <c r="BV86">
        <v>300.00000000000011</v>
      </c>
      <c r="BW86">
        <v>24.2</v>
      </c>
      <c r="BX86">
        <v>1145.370491102361</v>
      </c>
      <c r="BY86">
        <v>2.7092150762300058</v>
      </c>
      <c r="BZ86">
        <v>-118.7313978186238</v>
      </c>
      <c r="CA86">
        <v>2.4567219025719318</v>
      </c>
      <c r="CB86">
        <v>0.98815422182371826</v>
      </c>
      <c r="CC86">
        <v>-6.9576186874304802E-3</v>
      </c>
      <c r="CD86">
        <v>289.99999999999989</v>
      </c>
      <c r="CE86">
        <v>1020.99</v>
      </c>
      <c r="CF86">
        <v>655</v>
      </c>
      <c r="CG86">
        <v>10164</v>
      </c>
      <c r="CH86">
        <v>1028.55</v>
      </c>
      <c r="CI86">
        <v>-7.56</v>
      </c>
      <c r="CW86">
        <f t="shared" si="134"/>
        <v>1799.99</v>
      </c>
      <c r="CX86">
        <f t="shared" si="135"/>
        <v>1513.1798999966993</v>
      </c>
      <c r="CY86">
        <f t="shared" si="136"/>
        <v>0.84066017033244589</v>
      </c>
      <c r="CZ86">
        <f t="shared" si="137"/>
        <v>0.19132034066489165</v>
      </c>
      <c r="DA86">
        <v>6</v>
      </c>
      <c r="DB86">
        <v>0.5</v>
      </c>
      <c r="DC86" t="s">
        <v>419</v>
      </c>
      <c r="DD86">
        <v>2</v>
      </c>
      <c r="DE86">
        <v>1691174265</v>
      </c>
      <c r="DF86">
        <v>1434.16</v>
      </c>
      <c r="DG86">
        <v>1500</v>
      </c>
      <c r="DH86">
        <v>24.5962</v>
      </c>
      <c r="DI86">
        <v>21.009799999999998</v>
      </c>
      <c r="DJ86">
        <v>1437.89</v>
      </c>
      <c r="DK86">
        <v>24.5685</v>
      </c>
      <c r="DL86">
        <v>499.79199999999997</v>
      </c>
      <c r="DM86">
        <v>99.135599999999997</v>
      </c>
      <c r="DN86">
        <v>9.9711499999999995E-2</v>
      </c>
      <c r="DO86">
        <v>29.743099999999998</v>
      </c>
      <c r="DP86">
        <v>30.002199999999998</v>
      </c>
      <c r="DQ86">
        <v>999.9</v>
      </c>
      <c r="DR86">
        <v>0</v>
      </c>
      <c r="DS86">
        <v>0</v>
      </c>
      <c r="DT86">
        <v>9972.5</v>
      </c>
      <c r="DU86">
        <v>0</v>
      </c>
      <c r="DV86">
        <v>1889.55</v>
      </c>
      <c r="DW86">
        <v>-65.838999999999999</v>
      </c>
      <c r="DX86">
        <v>1470.32</v>
      </c>
      <c r="DY86">
        <v>1532.19</v>
      </c>
      <c r="DZ86">
        <v>3.5863800000000001</v>
      </c>
      <c r="EA86">
        <v>1500</v>
      </c>
      <c r="EB86">
        <v>21.009799999999998</v>
      </c>
      <c r="EC86">
        <v>2.4383599999999999</v>
      </c>
      <c r="ED86">
        <v>2.0828199999999999</v>
      </c>
      <c r="EE86">
        <v>20.620799999999999</v>
      </c>
      <c r="EF86">
        <v>18.0884</v>
      </c>
      <c r="EG86">
        <v>1799.99</v>
      </c>
      <c r="EH86">
        <v>0.977993</v>
      </c>
      <c r="EI86">
        <v>2.2006899999999999E-2</v>
      </c>
      <c r="EJ86">
        <v>0</v>
      </c>
      <c r="EK86">
        <v>746.11500000000001</v>
      </c>
      <c r="EL86">
        <v>0.100005</v>
      </c>
      <c r="EM86">
        <v>17926.599999999999</v>
      </c>
      <c r="EN86">
        <v>14862.4</v>
      </c>
      <c r="EO86">
        <v>49.311999999999998</v>
      </c>
      <c r="EP86">
        <v>51.936999999999998</v>
      </c>
      <c r="EQ86">
        <v>50.375</v>
      </c>
      <c r="ER86">
        <v>50</v>
      </c>
      <c r="ES86">
        <v>50.25</v>
      </c>
      <c r="ET86">
        <v>1760.28</v>
      </c>
      <c r="EU86">
        <v>39.61</v>
      </c>
      <c r="EV86">
        <v>0</v>
      </c>
      <c r="EW86">
        <v>125.6000001430511</v>
      </c>
      <c r="EX86">
        <v>0</v>
      </c>
      <c r="EY86">
        <v>744.16340000000014</v>
      </c>
      <c r="EZ86">
        <v>1.7050000178978859</v>
      </c>
      <c r="FA86">
        <v>-60.099999822367749</v>
      </c>
      <c r="FB86">
        <v>17942.376</v>
      </c>
      <c r="FC86">
        <v>15</v>
      </c>
      <c r="FD86">
        <v>1691174232.5</v>
      </c>
      <c r="FE86" t="s">
        <v>776</v>
      </c>
      <c r="FF86">
        <v>1691174232.5</v>
      </c>
      <c r="FG86">
        <v>1691174221.5</v>
      </c>
      <c r="FH86">
        <v>81</v>
      </c>
      <c r="FI86">
        <v>-0.28399999999999997</v>
      </c>
      <c r="FJ86">
        <v>6.0000000000000001E-3</v>
      </c>
      <c r="FK86">
        <v>-3.8069999999999999</v>
      </c>
      <c r="FL86">
        <v>-5.7000000000000002E-2</v>
      </c>
      <c r="FM86">
        <v>1500</v>
      </c>
      <c r="FN86">
        <v>21</v>
      </c>
      <c r="FO86">
        <v>0.19</v>
      </c>
      <c r="FP86">
        <v>0.06</v>
      </c>
      <c r="FQ86">
        <v>50.377516769395783</v>
      </c>
      <c r="FR86">
        <v>-0.54942060703249307</v>
      </c>
      <c r="FS86">
        <v>0.1908258846327516</v>
      </c>
      <c r="FT86">
        <v>1</v>
      </c>
      <c r="FU86">
        <v>0.17053405017939469</v>
      </c>
      <c r="FV86">
        <v>-2.6096759459310771E-2</v>
      </c>
      <c r="FW86">
        <v>1.913953739035621E-3</v>
      </c>
      <c r="FX86">
        <v>1</v>
      </c>
      <c r="FY86">
        <v>2</v>
      </c>
      <c r="FZ86">
        <v>2</v>
      </c>
      <c r="GA86" t="s">
        <v>421</v>
      </c>
      <c r="GB86">
        <v>2.9139300000000001</v>
      </c>
      <c r="GC86">
        <v>2.8293499999999998</v>
      </c>
      <c r="GD86">
        <v>0.211198</v>
      </c>
      <c r="GE86">
        <v>0.213176</v>
      </c>
      <c r="GF86">
        <v>0.119503</v>
      </c>
      <c r="GG86">
        <v>0.103072</v>
      </c>
      <c r="GH86">
        <v>20373.400000000001</v>
      </c>
      <c r="GI86">
        <v>25173</v>
      </c>
      <c r="GJ86">
        <v>23274.799999999999</v>
      </c>
      <c r="GK86">
        <v>29349.8</v>
      </c>
      <c r="GL86">
        <v>27997</v>
      </c>
      <c r="GM86">
        <v>37474.6</v>
      </c>
      <c r="GN86">
        <v>32927.199999999997</v>
      </c>
      <c r="GO86">
        <v>43540.800000000003</v>
      </c>
      <c r="GP86">
        <v>1.9124000000000001</v>
      </c>
      <c r="GQ86">
        <v>1.7112000000000001</v>
      </c>
      <c r="GR86">
        <v>-4.8637399999999997E-2</v>
      </c>
      <c r="GS86">
        <v>0</v>
      </c>
      <c r="GT86">
        <v>30.793199999999999</v>
      </c>
      <c r="GU86">
        <v>999.9</v>
      </c>
      <c r="GV86">
        <v>31.9</v>
      </c>
      <c r="GW86">
        <v>44</v>
      </c>
      <c r="GX86">
        <v>29.4526</v>
      </c>
      <c r="GY86">
        <v>61.927799999999998</v>
      </c>
      <c r="GZ86">
        <v>38.409500000000001</v>
      </c>
      <c r="HA86">
        <v>1</v>
      </c>
      <c r="HB86">
        <v>0.78417700000000001</v>
      </c>
      <c r="HC86">
        <v>6.7292199999999998</v>
      </c>
      <c r="HD86">
        <v>20.183599999999998</v>
      </c>
      <c r="HE86">
        <v>5.2011200000000004</v>
      </c>
      <c r="HF86">
        <v>11.8782</v>
      </c>
      <c r="HG86">
        <v>4.9812000000000003</v>
      </c>
      <c r="HH86">
        <v>3.2818999999999998</v>
      </c>
      <c r="HI86">
        <v>9999</v>
      </c>
      <c r="HJ86">
        <v>9999</v>
      </c>
      <c r="HK86">
        <v>9999</v>
      </c>
      <c r="HL86">
        <v>999.9</v>
      </c>
      <c r="HM86">
        <v>1.8546899999999999</v>
      </c>
      <c r="HN86">
        <v>1.86066</v>
      </c>
      <c r="HO86">
        <v>1.85802</v>
      </c>
      <c r="HP86">
        <v>1.8591299999999999</v>
      </c>
      <c r="HQ86">
        <v>1.8584400000000001</v>
      </c>
      <c r="HR86">
        <v>1.8589800000000001</v>
      </c>
      <c r="HS86">
        <v>1.8573</v>
      </c>
      <c r="HT86">
        <v>1.86066</v>
      </c>
      <c r="HU86">
        <v>5</v>
      </c>
      <c r="HV86">
        <v>0</v>
      </c>
      <c r="HW86">
        <v>0</v>
      </c>
      <c r="HX86">
        <v>0</v>
      </c>
      <c r="HY86" t="s">
        <v>422</v>
      </c>
      <c r="HZ86" t="s">
        <v>423</v>
      </c>
      <c r="IA86" t="s">
        <v>424</v>
      </c>
      <c r="IB86" t="s">
        <v>424</v>
      </c>
      <c r="IC86" t="s">
        <v>424</v>
      </c>
      <c r="ID86" t="s">
        <v>424</v>
      </c>
      <c r="IE86">
        <v>0</v>
      </c>
      <c r="IF86">
        <v>100</v>
      </c>
      <c r="IG86">
        <v>100</v>
      </c>
      <c r="IH86">
        <v>-3.73</v>
      </c>
      <c r="II86">
        <v>2.7699999999999999E-2</v>
      </c>
      <c r="IJ86">
        <v>-0.51970629231011722</v>
      </c>
      <c r="IK86">
        <v>-4.1229525807901877E-3</v>
      </c>
      <c r="IL86">
        <v>1.8448211998558991E-6</v>
      </c>
      <c r="IM86">
        <v>-3.7020276670297668E-10</v>
      </c>
      <c r="IN86">
        <v>-0.18280337047761311</v>
      </c>
      <c r="IO86">
        <v>-1.3488639696665739E-2</v>
      </c>
      <c r="IP86">
        <v>1.1588640342490499E-3</v>
      </c>
      <c r="IQ86">
        <v>-1.0624341560077559E-5</v>
      </c>
      <c r="IR86">
        <v>2</v>
      </c>
      <c r="IS86">
        <v>1915</v>
      </c>
      <c r="IT86">
        <v>1</v>
      </c>
      <c r="IU86">
        <v>42</v>
      </c>
      <c r="IV86">
        <v>0.5</v>
      </c>
      <c r="IW86">
        <v>0.7</v>
      </c>
      <c r="IX86">
        <v>2.9333499999999999</v>
      </c>
      <c r="IY86">
        <v>2.4536099999999998</v>
      </c>
      <c r="IZ86">
        <v>1.49414</v>
      </c>
      <c r="JA86">
        <v>2.2851599999999999</v>
      </c>
      <c r="JB86">
        <v>1.54419</v>
      </c>
      <c r="JC86">
        <v>2.36572</v>
      </c>
      <c r="JD86">
        <v>46.561500000000002</v>
      </c>
      <c r="JE86">
        <v>14.744899999999999</v>
      </c>
      <c r="JF86">
        <v>18</v>
      </c>
      <c r="JG86">
        <v>509.82900000000001</v>
      </c>
      <c r="JH86">
        <v>405.00099999999998</v>
      </c>
      <c r="JI86">
        <v>21.490500000000001</v>
      </c>
      <c r="JJ86">
        <v>36.751600000000003</v>
      </c>
      <c r="JK86">
        <v>30</v>
      </c>
      <c r="JL86">
        <v>36.5871</v>
      </c>
      <c r="JM86">
        <v>36.548499999999997</v>
      </c>
      <c r="JN86">
        <v>58.7425</v>
      </c>
      <c r="JO86">
        <v>30.8673</v>
      </c>
      <c r="JP86">
        <v>0</v>
      </c>
      <c r="JQ86">
        <v>21.527699999999999</v>
      </c>
      <c r="JR86">
        <v>1500</v>
      </c>
      <c r="JS86">
        <v>21.035499999999999</v>
      </c>
      <c r="JT86">
        <v>97.636300000000006</v>
      </c>
      <c r="JU86">
        <v>97.875399999999999</v>
      </c>
    </row>
    <row r="87" spans="1:281" x14ac:dyDescent="0.25">
      <c r="A87">
        <v>71</v>
      </c>
      <c r="B87">
        <v>1691176421.5999999</v>
      </c>
      <c r="C87">
        <v>17176</v>
      </c>
      <c r="D87" t="s">
        <v>777</v>
      </c>
      <c r="E87" t="s">
        <v>778</v>
      </c>
      <c r="F87" t="s">
        <v>413</v>
      </c>
      <c r="G87" t="s">
        <v>779</v>
      </c>
      <c r="H87" t="s">
        <v>493</v>
      </c>
      <c r="I87" t="s">
        <v>31</v>
      </c>
      <c r="J87">
        <v>1691176421.5999999</v>
      </c>
      <c r="K87">
        <f t="shared" si="92"/>
        <v>4.6798969778166092E-3</v>
      </c>
      <c r="L87">
        <f t="shared" si="93"/>
        <v>4.6798969778166093</v>
      </c>
      <c r="M87">
        <f t="shared" si="94"/>
        <v>42.856517324677391</v>
      </c>
      <c r="N87">
        <f t="shared" si="95"/>
        <v>346.50799999999998</v>
      </c>
      <c r="O87">
        <f t="shared" si="96"/>
        <v>81.066072083817559</v>
      </c>
      <c r="P87">
        <f t="shared" si="97"/>
        <v>8.0448292678949134</v>
      </c>
      <c r="Q87">
        <f t="shared" si="98"/>
        <v>34.386736994947995</v>
      </c>
      <c r="R87">
        <f t="shared" si="99"/>
        <v>0.27623212643235628</v>
      </c>
      <c r="S87">
        <f t="shared" si="100"/>
        <v>2.9148176220300801</v>
      </c>
      <c r="T87">
        <f t="shared" si="101"/>
        <v>0.2624692296820717</v>
      </c>
      <c r="U87">
        <f t="shared" si="102"/>
        <v>0.1652226495370952</v>
      </c>
      <c r="V87">
        <f t="shared" si="103"/>
        <v>344.33669999339753</v>
      </c>
      <c r="W87">
        <f t="shared" si="104"/>
        <v>30.895213384097396</v>
      </c>
      <c r="X87">
        <f t="shared" si="105"/>
        <v>29.997299999999999</v>
      </c>
      <c r="Y87">
        <f t="shared" si="106"/>
        <v>4.2597890818653408</v>
      </c>
      <c r="Z87">
        <f t="shared" si="107"/>
        <v>59.604879069559537</v>
      </c>
      <c r="AA87">
        <f t="shared" si="108"/>
        <v>2.5510697970446006</v>
      </c>
      <c r="AB87">
        <f t="shared" si="109"/>
        <v>4.2799680778942184</v>
      </c>
      <c r="AC87">
        <f t="shared" si="110"/>
        <v>1.7087192848207402</v>
      </c>
      <c r="AD87">
        <f t="shared" si="111"/>
        <v>-206.38345672171246</v>
      </c>
      <c r="AE87">
        <f t="shared" si="112"/>
        <v>12.932922200680299</v>
      </c>
      <c r="AF87">
        <f t="shared" si="113"/>
        <v>0.98693761687343695</v>
      </c>
      <c r="AG87">
        <f t="shared" si="114"/>
        <v>151.87310308923881</v>
      </c>
      <c r="AH87">
        <v>0</v>
      </c>
      <c r="AI87">
        <v>0</v>
      </c>
      <c r="AJ87">
        <f t="shared" si="115"/>
        <v>1</v>
      </c>
      <c r="AK87">
        <f t="shared" si="116"/>
        <v>0</v>
      </c>
      <c r="AL87">
        <f t="shared" si="117"/>
        <v>51901.052042746385</v>
      </c>
      <c r="AM87" t="s">
        <v>416</v>
      </c>
      <c r="AN87">
        <v>10235.299999999999</v>
      </c>
      <c r="AO87">
        <v>594.051923076923</v>
      </c>
      <c r="AP87">
        <v>2007.77</v>
      </c>
      <c r="AQ87">
        <f t="shared" si="118"/>
        <v>0.70412351859180933</v>
      </c>
      <c r="AR87">
        <v>-0.54275787784279261</v>
      </c>
      <c r="AS87" t="s">
        <v>780</v>
      </c>
      <c r="AT87">
        <v>10165.9</v>
      </c>
      <c r="AU87">
        <v>685.77359999999987</v>
      </c>
      <c r="AV87">
        <v>992.68365422580496</v>
      </c>
      <c r="AW87">
        <f t="shared" si="119"/>
        <v>0.30917206394938024</v>
      </c>
      <c r="AX87">
        <v>0.5</v>
      </c>
      <c r="AY87">
        <f t="shared" si="120"/>
        <v>1513.0118999966987</v>
      </c>
      <c r="AZ87">
        <f t="shared" si="121"/>
        <v>42.856517324677391</v>
      </c>
      <c r="BA87">
        <f t="shared" si="122"/>
        <v>233.89050595097632</v>
      </c>
      <c r="BB87">
        <f t="shared" si="123"/>
        <v>2.8684027668662012E-2</v>
      </c>
      <c r="BC87">
        <f t="shared" si="124"/>
        <v>1.0225678054161795</v>
      </c>
      <c r="BD87">
        <f t="shared" si="125"/>
        <v>456.06710400229775</v>
      </c>
      <c r="BE87" t="s">
        <v>781</v>
      </c>
      <c r="BF87">
        <v>532.20000000000005</v>
      </c>
      <c r="BG87">
        <f t="shared" si="126"/>
        <v>532.20000000000005</v>
      </c>
      <c r="BH87">
        <f t="shared" si="127"/>
        <v>0.46387754272526693</v>
      </c>
      <c r="BI87">
        <f t="shared" si="128"/>
        <v>0.66649500239438952</v>
      </c>
      <c r="BJ87">
        <f t="shared" si="129"/>
        <v>0.68792828925377658</v>
      </c>
      <c r="BK87">
        <f t="shared" si="130"/>
        <v>0.76990874093557682</v>
      </c>
      <c r="BL87">
        <f t="shared" si="131"/>
        <v>0.7180260069840132</v>
      </c>
      <c r="BM87">
        <f t="shared" si="132"/>
        <v>0.51723869258643695</v>
      </c>
      <c r="BN87">
        <f t="shared" si="133"/>
        <v>0.48276130741356305</v>
      </c>
      <c r="BO87">
        <v>12609</v>
      </c>
      <c r="BP87">
        <v>290.00000000000011</v>
      </c>
      <c r="BQ87">
        <v>904.44</v>
      </c>
      <c r="BR87">
        <v>285</v>
      </c>
      <c r="BS87">
        <v>10165.9</v>
      </c>
      <c r="BT87">
        <v>905.6</v>
      </c>
      <c r="BU87">
        <v>-1.1599999999999999</v>
      </c>
      <c r="BV87">
        <v>300.00000000000011</v>
      </c>
      <c r="BW87">
        <v>24.2</v>
      </c>
      <c r="BX87">
        <v>992.68365422580496</v>
      </c>
      <c r="BY87">
        <v>2.3888416663561811</v>
      </c>
      <c r="BZ87">
        <v>-88.533398977642676</v>
      </c>
      <c r="CA87">
        <v>2.162861817244103</v>
      </c>
      <c r="CB87">
        <v>0.98356370985105535</v>
      </c>
      <c r="CC87">
        <v>-6.9483368186874271E-3</v>
      </c>
      <c r="CD87">
        <v>289.99999999999989</v>
      </c>
      <c r="CE87">
        <v>901.75</v>
      </c>
      <c r="CF87">
        <v>655</v>
      </c>
      <c r="CG87">
        <v>10148.1</v>
      </c>
      <c r="CH87">
        <v>905.44</v>
      </c>
      <c r="CI87">
        <v>-3.69</v>
      </c>
      <c r="CW87">
        <f t="shared" si="134"/>
        <v>1799.79</v>
      </c>
      <c r="CX87">
        <f t="shared" si="135"/>
        <v>1513.0118999966987</v>
      </c>
      <c r="CY87">
        <f t="shared" si="136"/>
        <v>0.84066024369326353</v>
      </c>
      <c r="CZ87">
        <f t="shared" si="137"/>
        <v>0.19132048738652707</v>
      </c>
      <c r="DA87">
        <v>6</v>
      </c>
      <c r="DB87">
        <v>0.5</v>
      </c>
      <c r="DC87" t="s">
        <v>419</v>
      </c>
      <c r="DD87">
        <v>2</v>
      </c>
      <c r="DE87">
        <v>1691176421.5999999</v>
      </c>
      <c r="DF87">
        <v>346.50799999999998</v>
      </c>
      <c r="DG87">
        <v>399.86799999999999</v>
      </c>
      <c r="DH87">
        <v>25.706600000000002</v>
      </c>
      <c r="DI87">
        <v>20.236499999999999</v>
      </c>
      <c r="DJ87">
        <v>349.08800000000002</v>
      </c>
      <c r="DK87">
        <v>25.6938</v>
      </c>
      <c r="DL87">
        <v>500.12900000000002</v>
      </c>
      <c r="DM87">
        <v>99.137799999999999</v>
      </c>
      <c r="DN87">
        <v>0.100131</v>
      </c>
      <c r="DO87">
        <v>30.079599999999999</v>
      </c>
      <c r="DP87">
        <v>29.997299999999999</v>
      </c>
      <c r="DQ87">
        <v>999.9</v>
      </c>
      <c r="DR87">
        <v>0</v>
      </c>
      <c r="DS87">
        <v>0</v>
      </c>
      <c r="DT87">
        <v>10002.5</v>
      </c>
      <c r="DU87">
        <v>0</v>
      </c>
      <c r="DV87">
        <v>1842.52</v>
      </c>
      <c r="DW87">
        <v>-53.359499999999997</v>
      </c>
      <c r="DX87">
        <v>355.65100000000001</v>
      </c>
      <c r="DY87">
        <v>408.12700000000001</v>
      </c>
      <c r="DZ87">
        <v>5.4700899999999999</v>
      </c>
      <c r="EA87">
        <v>399.86799999999999</v>
      </c>
      <c r="EB87">
        <v>20.236499999999999</v>
      </c>
      <c r="EC87">
        <v>2.5484900000000001</v>
      </c>
      <c r="ED87">
        <v>2.0062000000000002</v>
      </c>
      <c r="EE87">
        <v>21.339600000000001</v>
      </c>
      <c r="EF87">
        <v>17.493400000000001</v>
      </c>
      <c r="EG87">
        <v>1799.79</v>
      </c>
      <c r="EH87">
        <v>0.97799100000000005</v>
      </c>
      <c r="EI87">
        <v>2.2008699999999999E-2</v>
      </c>
      <c r="EJ87">
        <v>0</v>
      </c>
      <c r="EK87">
        <v>682.08500000000004</v>
      </c>
      <c r="EL87">
        <v>0.100005</v>
      </c>
      <c r="EM87">
        <v>17200.099999999999</v>
      </c>
      <c r="EN87">
        <v>14860.8</v>
      </c>
      <c r="EO87">
        <v>50.5</v>
      </c>
      <c r="EP87">
        <v>53.125</v>
      </c>
      <c r="EQ87">
        <v>51.436999999999998</v>
      </c>
      <c r="ER87">
        <v>51.936999999999998</v>
      </c>
      <c r="ES87">
        <v>51.5</v>
      </c>
      <c r="ET87">
        <v>1760.08</v>
      </c>
      <c r="EU87">
        <v>39.61</v>
      </c>
      <c r="EV87">
        <v>0</v>
      </c>
      <c r="EW87">
        <v>2154.7999999523158</v>
      </c>
      <c r="EX87">
        <v>0</v>
      </c>
      <c r="EY87">
        <v>685.77359999999987</v>
      </c>
      <c r="EZ87">
        <v>-7.7011537831305974</v>
      </c>
      <c r="FA87">
        <v>6282.6692427001817</v>
      </c>
      <c r="FB87">
        <v>16849.324000000001</v>
      </c>
      <c r="FC87">
        <v>15</v>
      </c>
      <c r="FD87">
        <v>1691176364.0999999</v>
      </c>
      <c r="FE87" t="s">
        <v>782</v>
      </c>
      <c r="FF87">
        <v>1691176362.0999999</v>
      </c>
      <c r="FG87">
        <v>1691176364.0999999</v>
      </c>
      <c r="FH87">
        <v>84</v>
      </c>
      <c r="FI87">
        <v>1.7999999999999999E-2</v>
      </c>
      <c r="FJ87">
        <v>4.0000000000000001E-3</v>
      </c>
      <c r="FK87">
        <v>-2.7349999999999999</v>
      </c>
      <c r="FL87">
        <v>-0.14199999999999999</v>
      </c>
      <c r="FM87">
        <v>400</v>
      </c>
      <c r="FN87">
        <v>19</v>
      </c>
      <c r="FO87">
        <v>0.19</v>
      </c>
      <c r="FP87">
        <v>0.03</v>
      </c>
      <c r="FQ87">
        <v>42.982556823692242</v>
      </c>
      <c r="FR87">
        <v>-0.47635096186182257</v>
      </c>
      <c r="FS87">
        <v>0.1105244069974201</v>
      </c>
      <c r="FT87">
        <v>1</v>
      </c>
      <c r="FU87">
        <v>0.27759046854224839</v>
      </c>
      <c r="FV87">
        <v>-1.6571276095559539E-2</v>
      </c>
      <c r="FW87">
        <v>1.7636736938552141E-3</v>
      </c>
      <c r="FX87">
        <v>1</v>
      </c>
      <c r="FY87">
        <v>2</v>
      </c>
      <c r="FZ87">
        <v>2</v>
      </c>
      <c r="GA87" t="s">
        <v>421</v>
      </c>
      <c r="GB87">
        <v>2.9130699999999998</v>
      </c>
      <c r="GC87">
        <v>2.8300299999999998</v>
      </c>
      <c r="GD87">
        <v>7.9810900000000004E-2</v>
      </c>
      <c r="GE87">
        <v>8.7081400000000003E-2</v>
      </c>
      <c r="GF87">
        <v>0.122866</v>
      </c>
      <c r="GG87">
        <v>9.9966899999999997E-2</v>
      </c>
      <c r="GH87">
        <v>23714.799999999999</v>
      </c>
      <c r="GI87">
        <v>29128.2</v>
      </c>
      <c r="GJ87">
        <v>23223.9</v>
      </c>
      <c r="GK87">
        <v>29270.7</v>
      </c>
      <c r="GL87">
        <v>27827.4</v>
      </c>
      <c r="GM87">
        <v>37504.800000000003</v>
      </c>
      <c r="GN87">
        <v>32857.800000000003</v>
      </c>
      <c r="GO87">
        <v>43441.3</v>
      </c>
      <c r="GP87">
        <v>1.8992</v>
      </c>
      <c r="GQ87">
        <v>1.6633</v>
      </c>
      <c r="GR87">
        <v>-4.6789600000000001E-2</v>
      </c>
      <c r="GS87">
        <v>0</v>
      </c>
      <c r="GT87">
        <v>30.758299999999998</v>
      </c>
      <c r="GU87">
        <v>999.9</v>
      </c>
      <c r="GV87">
        <v>29.1</v>
      </c>
      <c r="GW87">
        <v>46</v>
      </c>
      <c r="GX87">
        <v>29.7836</v>
      </c>
      <c r="GY87">
        <v>61.889200000000002</v>
      </c>
      <c r="GZ87">
        <v>35.100200000000001</v>
      </c>
      <c r="HA87">
        <v>1</v>
      </c>
      <c r="HB87">
        <v>0.92829300000000003</v>
      </c>
      <c r="HC87">
        <v>5.7234499999999997</v>
      </c>
      <c r="HD87">
        <v>20.168099999999999</v>
      </c>
      <c r="HE87">
        <v>5.2095000000000002</v>
      </c>
      <c r="HF87">
        <v>11.8788</v>
      </c>
      <c r="HG87">
        <v>4.9829999999999997</v>
      </c>
      <c r="HH87">
        <v>3.2839999999999998</v>
      </c>
      <c r="HI87">
        <v>9999</v>
      </c>
      <c r="HJ87">
        <v>9999</v>
      </c>
      <c r="HK87">
        <v>9999</v>
      </c>
      <c r="HL87">
        <v>999.9</v>
      </c>
      <c r="HM87">
        <v>1.85486</v>
      </c>
      <c r="HN87">
        <v>1.8608</v>
      </c>
      <c r="HO87">
        <v>1.85812</v>
      </c>
      <c r="HP87">
        <v>1.85921</v>
      </c>
      <c r="HQ87">
        <v>1.85856</v>
      </c>
      <c r="HR87">
        <v>1.8591299999999999</v>
      </c>
      <c r="HS87">
        <v>1.8574299999999999</v>
      </c>
      <c r="HT87">
        <v>1.86073</v>
      </c>
      <c r="HU87">
        <v>5</v>
      </c>
      <c r="HV87">
        <v>0</v>
      </c>
      <c r="HW87">
        <v>0</v>
      </c>
      <c r="HX87">
        <v>0</v>
      </c>
      <c r="HY87" t="s">
        <v>422</v>
      </c>
      <c r="HZ87" t="s">
        <v>423</v>
      </c>
      <c r="IA87" t="s">
        <v>424</v>
      </c>
      <c r="IB87" t="s">
        <v>424</v>
      </c>
      <c r="IC87" t="s">
        <v>424</v>
      </c>
      <c r="ID87" t="s">
        <v>424</v>
      </c>
      <c r="IE87">
        <v>0</v>
      </c>
      <c r="IF87">
        <v>100</v>
      </c>
      <c r="IG87">
        <v>100</v>
      </c>
      <c r="IH87">
        <v>-2.58</v>
      </c>
      <c r="II87">
        <v>1.2800000000000001E-2</v>
      </c>
      <c r="IJ87">
        <v>-1.3491103510446769</v>
      </c>
      <c r="IK87">
        <v>-4.1229525807901877E-3</v>
      </c>
      <c r="IL87">
        <v>1.8448211998558991E-6</v>
      </c>
      <c r="IM87">
        <v>-3.7020276670297668E-10</v>
      </c>
      <c r="IN87">
        <v>-0.22549628346391121</v>
      </c>
      <c r="IO87">
        <v>-1.3488639696665739E-2</v>
      </c>
      <c r="IP87">
        <v>1.1588640342490499E-3</v>
      </c>
      <c r="IQ87">
        <v>-1.0624341560077559E-5</v>
      </c>
      <c r="IR87">
        <v>2</v>
      </c>
      <c r="IS87">
        <v>1915</v>
      </c>
      <c r="IT87">
        <v>1</v>
      </c>
      <c r="IU87">
        <v>42</v>
      </c>
      <c r="IV87">
        <v>1</v>
      </c>
      <c r="IW87">
        <v>1</v>
      </c>
      <c r="IX87">
        <v>1.0083</v>
      </c>
      <c r="IY87">
        <v>2.5</v>
      </c>
      <c r="IZ87">
        <v>1.49414</v>
      </c>
      <c r="JA87">
        <v>2.2863799999999999</v>
      </c>
      <c r="JB87">
        <v>1.54419</v>
      </c>
      <c r="JC87">
        <v>2.49756</v>
      </c>
      <c r="JD87">
        <v>50.672899999999998</v>
      </c>
      <c r="JE87">
        <v>23.8598</v>
      </c>
      <c r="JF87">
        <v>18</v>
      </c>
      <c r="JG87">
        <v>513.779</v>
      </c>
      <c r="JH87">
        <v>385.21100000000001</v>
      </c>
      <c r="JI87">
        <v>22.881699999999999</v>
      </c>
      <c r="JJ87">
        <v>38.387099999999997</v>
      </c>
      <c r="JK87">
        <v>29.999400000000001</v>
      </c>
      <c r="JL87">
        <v>38.294199999999996</v>
      </c>
      <c r="JM87">
        <v>38.259599999999999</v>
      </c>
      <c r="JN87">
        <v>20.2667</v>
      </c>
      <c r="JO87">
        <v>32.8245</v>
      </c>
      <c r="JP87">
        <v>0</v>
      </c>
      <c r="JQ87">
        <v>22.861899999999999</v>
      </c>
      <c r="JR87">
        <v>400</v>
      </c>
      <c r="JS87">
        <v>20.245999999999999</v>
      </c>
      <c r="JT87">
        <v>97.427300000000002</v>
      </c>
      <c r="JU87">
        <v>97.6357</v>
      </c>
    </row>
    <row r="88" spans="1:281" x14ac:dyDescent="0.25">
      <c r="A88">
        <v>72</v>
      </c>
      <c r="B88">
        <v>1691176546.0999999</v>
      </c>
      <c r="C88">
        <v>17300.5</v>
      </c>
      <c r="D88" t="s">
        <v>783</v>
      </c>
      <c r="E88" t="s">
        <v>784</v>
      </c>
      <c r="F88" t="s">
        <v>413</v>
      </c>
      <c r="G88" t="s">
        <v>779</v>
      </c>
      <c r="H88" t="s">
        <v>493</v>
      </c>
      <c r="I88" t="s">
        <v>31</v>
      </c>
      <c r="J88">
        <v>1691176546.0999999</v>
      </c>
      <c r="K88">
        <f t="shared" si="92"/>
        <v>5.3192516649391381E-3</v>
      </c>
      <c r="L88">
        <f t="shared" si="93"/>
        <v>5.3192516649391379</v>
      </c>
      <c r="M88">
        <f t="shared" si="94"/>
        <v>32.955061763332097</v>
      </c>
      <c r="N88">
        <f t="shared" si="95"/>
        <v>258.81900000000002</v>
      </c>
      <c r="O88">
        <f t="shared" si="96"/>
        <v>83.180272120533544</v>
      </c>
      <c r="P88">
        <f t="shared" si="97"/>
        <v>8.2551734950802356</v>
      </c>
      <c r="Q88">
        <f t="shared" si="98"/>
        <v>25.686327951982502</v>
      </c>
      <c r="R88">
        <f t="shared" si="99"/>
        <v>0.32477772562364809</v>
      </c>
      <c r="S88">
        <f t="shared" si="100"/>
        <v>2.9149358526752667</v>
      </c>
      <c r="T88">
        <f t="shared" si="101"/>
        <v>0.30593025059789108</v>
      </c>
      <c r="U88">
        <f t="shared" si="102"/>
        <v>0.19280856944824579</v>
      </c>
      <c r="V88">
        <f t="shared" si="103"/>
        <v>344.41269999339903</v>
      </c>
      <c r="W88">
        <f t="shared" si="104"/>
        <v>30.706849365742649</v>
      </c>
      <c r="X88">
        <f t="shared" si="105"/>
        <v>29.9694</v>
      </c>
      <c r="Y88">
        <f t="shared" si="106"/>
        <v>4.2529671728697371</v>
      </c>
      <c r="Z88">
        <f t="shared" si="107"/>
        <v>60.517700222917192</v>
      </c>
      <c r="AA88">
        <f t="shared" si="108"/>
        <v>2.5868540610712496</v>
      </c>
      <c r="AB88">
        <f t="shared" si="109"/>
        <v>4.2745412524642576</v>
      </c>
      <c r="AC88">
        <f t="shared" si="110"/>
        <v>1.6661131117984875</v>
      </c>
      <c r="AD88">
        <f t="shared" si="111"/>
        <v>-234.57899842381599</v>
      </c>
      <c r="AE88">
        <f t="shared" si="112"/>
        <v>13.84491691083881</v>
      </c>
      <c r="AF88">
        <f t="shared" si="113"/>
        <v>1.0562294861057122</v>
      </c>
      <c r="AG88">
        <f t="shared" si="114"/>
        <v>124.73484796652758</v>
      </c>
      <c r="AH88">
        <v>0</v>
      </c>
      <c r="AI88">
        <v>0</v>
      </c>
      <c r="AJ88">
        <f t="shared" si="115"/>
        <v>1</v>
      </c>
      <c r="AK88">
        <f t="shared" si="116"/>
        <v>0</v>
      </c>
      <c r="AL88">
        <f t="shared" si="117"/>
        <v>51908.344715700208</v>
      </c>
      <c r="AM88" t="s">
        <v>416</v>
      </c>
      <c r="AN88">
        <v>10235.299999999999</v>
      </c>
      <c r="AO88">
        <v>594.051923076923</v>
      </c>
      <c r="AP88">
        <v>2007.77</v>
      </c>
      <c r="AQ88">
        <f t="shared" si="118"/>
        <v>0.70412351859180933</v>
      </c>
      <c r="AR88">
        <v>-0.54275787784279261</v>
      </c>
      <c r="AS88" t="s">
        <v>785</v>
      </c>
      <c r="AT88">
        <v>10166</v>
      </c>
      <c r="AU88">
        <v>681.46730769230771</v>
      </c>
      <c r="AV88">
        <v>916.79886967022435</v>
      </c>
      <c r="AW88">
        <f t="shared" si="119"/>
        <v>0.25668832037561984</v>
      </c>
      <c r="AX88">
        <v>0.5</v>
      </c>
      <c r="AY88">
        <f t="shared" si="120"/>
        <v>1513.3478999966994</v>
      </c>
      <c r="AZ88">
        <f t="shared" si="121"/>
        <v>32.955061763332097</v>
      </c>
      <c r="BA88">
        <f t="shared" si="122"/>
        <v>194.22936529706215</v>
      </c>
      <c r="BB88">
        <f t="shared" si="123"/>
        <v>2.2134910050258735E-2</v>
      </c>
      <c r="BC88">
        <f t="shared" si="124"/>
        <v>1.1899787035319989</v>
      </c>
      <c r="BD88">
        <f t="shared" si="125"/>
        <v>439.3593383572898</v>
      </c>
      <c r="BE88" t="s">
        <v>786</v>
      </c>
      <c r="BF88">
        <v>525.16999999999996</v>
      </c>
      <c r="BG88">
        <f t="shared" si="126"/>
        <v>525.16999999999996</v>
      </c>
      <c r="BH88">
        <f t="shared" si="127"/>
        <v>0.42716988712158277</v>
      </c>
      <c r="BI88">
        <f t="shared" si="128"/>
        <v>0.60090453029185587</v>
      </c>
      <c r="BJ88">
        <f t="shared" si="129"/>
        <v>0.73584994626316991</v>
      </c>
      <c r="BK88">
        <f t="shared" si="130"/>
        <v>0.72915193919545196</v>
      </c>
      <c r="BL88">
        <f t="shared" si="131"/>
        <v>0.77170345922452077</v>
      </c>
      <c r="BM88">
        <f t="shared" si="132"/>
        <v>0.46308462432633896</v>
      </c>
      <c r="BN88">
        <f t="shared" si="133"/>
        <v>0.5369153756736611</v>
      </c>
      <c r="BO88">
        <v>12611</v>
      </c>
      <c r="BP88">
        <v>290.00000000000011</v>
      </c>
      <c r="BQ88">
        <v>852.97</v>
      </c>
      <c r="BR88">
        <v>295</v>
      </c>
      <c r="BS88">
        <v>10166</v>
      </c>
      <c r="BT88">
        <v>853.4</v>
      </c>
      <c r="BU88">
        <v>-0.43</v>
      </c>
      <c r="BV88">
        <v>300.00000000000011</v>
      </c>
      <c r="BW88">
        <v>24.2</v>
      </c>
      <c r="BX88">
        <v>916.79886967022435</v>
      </c>
      <c r="BY88">
        <v>1.6668263933004679</v>
      </c>
      <c r="BZ88">
        <v>-64.455738276195476</v>
      </c>
      <c r="CA88">
        <v>1.5091773980495811</v>
      </c>
      <c r="CB88">
        <v>0.98488181825579246</v>
      </c>
      <c r="CC88">
        <v>-6.9480694104560696E-3</v>
      </c>
      <c r="CD88">
        <v>289.99999999999989</v>
      </c>
      <c r="CE88">
        <v>851.26</v>
      </c>
      <c r="CF88">
        <v>695</v>
      </c>
      <c r="CG88">
        <v>10145.9</v>
      </c>
      <c r="CH88">
        <v>853.27</v>
      </c>
      <c r="CI88">
        <v>-2.0099999999999998</v>
      </c>
      <c r="CW88">
        <f t="shared" si="134"/>
        <v>1800.19</v>
      </c>
      <c r="CX88">
        <f t="shared" si="135"/>
        <v>1513.3478999966994</v>
      </c>
      <c r="CY88">
        <f t="shared" si="136"/>
        <v>0.84066009698792876</v>
      </c>
      <c r="CZ88">
        <f t="shared" si="137"/>
        <v>0.19132019397585756</v>
      </c>
      <c r="DA88">
        <v>6</v>
      </c>
      <c r="DB88">
        <v>0.5</v>
      </c>
      <c r="DC88" t="s">
        <v>419</v>
      </c>
      <c r="DD88">
        <v>2</v>
      </c>
      <c r="DE88">
        <v>1691176546.0999999</v>
      </c>
      <c r="DF88">
        <v>258.81900000000002</v>
      </c>
      <c r="DG88">
        <v>300.01499999999999</v>
      </c>
      <c r="DH88">
        <v>26.0655</v>
      </c>
      <c r="DI88">
        <v>19.8491</v>
      </c>
      <c r="DJ88">
        <v>261.02999999999997</v>
      </c>
      <c r="DK88">
        <v>26.018699999999999</v>
      </c>
      <c r="DL88">
        <v>500.02600000000001</v>
      </c>
      <c r="DM88">
        <v>99.144499999999994</v>
      </c>
      <c r="DN88">
        <v>9.9867499999999998E-2</v>
      </c>
      <c r="DO88">
        <v>30.057500000000001</v>
      </c>
      <c r="DP88">
        <v>29.9694</v>
      </c>
      <c r="DQ88">
        <v>999.9</v>
      </c>
      <c r="DR88">
        <v>0</v>
      </c>
      <c r="DS88">
        <v>0</v>
      </c>
      <c r="DT88">
        <v>10002.5</v>
      </c>
      <c r="DU88">
        <v>0</v>
      </c>
      <c r="DV88">
        <v>1261.6600000000001</v>
      </c>
      <c r="DW88">
        <v>-41.196399999999997</v>
      </c>
      <c r="DX88">
        <v>265.745</v>
      </c>
      <c r="DY88">
        <v>306.09100000000001</v>
      </c>
      <c r="DZ88">
        <v>6.2164000000000001</v>
      </c>
      <c r="EA88">
        <v>300.01499999999999</v>
      </c>
      <c r="EB88">
        <v>19.8491</v>
      </c>
      <c r="EC88">
        <v>2.58426</v>
      </c>
      <c r="ED88">
        <v>1.96793</v>
      </c>
      <c r="EE88">
        <v>21.5671</v>
      </c>
      <c r="EF88">
        <v>17.188700000000001</v>
      </c>
      <c r="EG88">
        <v>1800.19</v>
      </c>
      <c r="EH88">
        <v>0.97799499999999995</v>
      </c>
      <c r="EI88">
        <v>2.2005E-2</v>
      </c>
      <c r="EJ88">
        <v>0</v>
      </c>
      <c r="EK88">
        <v>678.9</v>
      </c>
      <c r="EL88">
        <v>0.100005</v>
      </c>
      <c r="EM88">
        <v>15957.8</v>
      </c>
      <c r="EN88">
        <v>14864.1</v>
      </c>
      <c r="EO88">
        <v>50.375</v>
      </c>
      <c r="EP88">
        <v>52.686999999999998</v>
      </c>
      <c r="EQ88">
        <v>51.25</v>
      </c>
      <c r="ER88">
        <v>51.625</v>
      </c>
      <c r="ES88">
        <v>51.375</v>
      </c>
      <c r="ET88">
        <v>1760.48</v>
      </c>
      <c r="EU88">
        <v>39.61</v>
      </c>
      <c r="EV88">
        <v>0</v>
      </c>
      <c r="EW88">
        <v>122.6000001430511</v>
      </c>
      <c r="EX88">
        <v>0</v>
      </c>
      <c r="EY88">
        <v>681.46730769230771</v>
      </c>
      <c r="EZ88">
        <v>-6.8017093501834296</v>
      </c>
      <c r="FA88">
        <v>4299.5794911823923</v>
      </c>
      <c r="FB88">
        <v>15060.55769230769</v>
      </c>
      <c r="FC88">
        <v>15</v>
      </c>
      <c r="FD88">
        <v>1691176514.5999999</v>
      </c>
      <c r="FE88" t="s">
        <v>787</v>
      </c>
      <c r="FF88">
        <v>1691176505.0999999</v>
      </c>
      <c r="FG88">
        <v>1691176514.5999999</v>
      </c>
      <c r="FH88">
        <v>85</v>
      </c>
      <c r="FI88">
        <v>9.5000000000000001E-2</v>
      </c>
      <c r="FJ88">
        <v>2.5999999999999999E-2</v>
      </c>
      <c r="FK88">
        <v>-2.343</v>
      </c>
      <c r="FL88">
        <v>-0.08</v>
      </c>
      <c r="FM88">
        <v>300</v>
      </c>
      <c r="FN88">
        <v>20</v>
      </c>
      <c r="FO88">
        <v>0.16</v>
      </c>
      <c r="FP88">
        <v>0.05</v>
      </c>
      <c r="FQ88">
        <v>33.034331261719167</v>
      </c>
      <c r="FR88">
        <v>0.61475222859906165</v>
      </c>
      <c r="FS88">
        <v>9.4089628352659826E-2</v>
      </c>
      <c r="FT88">
        <v>1</v>
      </c>
      <c r="FU88">
        <v>0.32480916388773062</v>
      </c>
      <c r="FV88">
        <v>3.6659411442017287E-2</v>
      </c>
      <c r="FW88">
        <v>3.362118814545251E-3</v>
      </c>
      <c r="FX88">
        <v>1</v>
      </c>
      <c r="FY88">
        <v>2</v>
      </c>
      <c r="FZ88">
        <v>2</v>
      </c>
      <c r="GA88" t="s">
        <v>421</v>
      </c>
      <c r="GB88">
        <v>2.9130199999999999</v>
      </c>
      <c r="GC88">
        <v>2.8297699999999999</v>
      </c>
      <c r="GD88">
        <v>6.3031000000000004E-2</v>
      </c>
      <c r="GE88">
        <v>6.93796E-2</v>
      </c>
      <c r="GF88">
        <v>0.124011</v>
      </c>
      <c r="GG88">
        <v>9.8639500000000005E-2</v>
      </c>
      <c r="GH88">
        <v>24161.5</v>
      </c>
      <c r="GI88">
        <v>29709.7</v>
      </c>
      <c r="GJ88">
        <v>23237.599999999999</v>
      </c>
      <c r="GK88">
        <v>29286.799999999999</v>
      </c>
      <c r="GL88">
        <v>27804.9</v>
      </c>
      <c r="GM88">
        <v>37574.800000000003</v>
      </c>
      <c r="GN88">
        <v>32876.400000000001</v>
      </c>
      <c r="GO88">
        <v>43462.1</v>
      </c>
      <c r="GP88">
        <v>1.9003000000000001</v>
      </c>
      <c r="GQ88">
        <v>1.6664000000000001</v>
      </c>
      <c r="GR88">
        <v>-5.2750100000000001E-2</v>
      </c>
      <c r="GS88">
        <v>0</v>
      </c>
      <c r="GT88">
        <v>30.827300000000001</v>
      </c>
      <c r="GU88">
        <v>999.9</v>
      </c>
      <c r="GV88">
        <v>28.9</v>
      </c>
      <c r="GW88">
        <v>46</v>
      </c>
      <c r="GX88">
        <v>29.578600000000002</v>
      </c>
      <c r="GY88">
        <v>61.599200000000003</v>
      </c>
      <c r="GZ88">
        <v>35.292499999999997</v>
      </c>
      <c r="HA88">
        <v>1</v>
      </c>
      <c r="HB88">
        <v>0.90980700000000003</v>
      </c>
      <c r="HC88">
        <v>6.40259</v>
      </c>
      <c r="HD88">
        <v>20.145099999999999</v>
      </c>
      <c r="HE88">
        <v>5.2100999999999997</v>
      </c>
      <c r="HF88">
        <v>11.8782</v>
      </c>
      <c r="HG88">
        <v>4.9832000000000001</v>
      </c>
      <c r="HH88">
        <v>3.2841</v>
      </c>
      <c r="HI88">
        <v>9999</v>
      </c>
      <c r="HJ88">
        <v>9999</v>
      </c>
      <c r="HK88">
        <v>9999</v>
      </c>
      <c r="HL88">
        <v>999.9</v>
      </c>
      <c r="HM88">
        <v>1.85486</v>
      </c>
      <c r="HN88">
        <v>1.8608100000000001</v>
      </c>
      <c r="HO88">
        <v>1.8581700000000001</v>
      </c>
      <c r="HP88">
        <v>1.8592599999999999</v>
      </c>
      <c r="HQ88">
        <v>1.85863</v>
      </c>
      <c r="HR88">
        <v>1.8591299999999999</v>
      </c>
      <c r="HS88">
        <v>1.85745</v>
      </c>
      <c r="HT88">
        <v>1.8607499999999999</v>
      </c>
      <c r="HU88">
        <v>5</v>
      </c>
      <c r="HV88">
        <v>0</v>
      </c>
      <c r="HW88">
        <v>0</v>
      </c>
      <c r="HX88">
        <v>0</v>
      </c>
      <c r="HY88" t="s">
        <v>422</v>
      </c>
      <c r="HZ88" t="s">
        <v>423</v>
      </c>
      <c r="IA88" t="s">
        <v>424</v>
      </c>
      <c r="IB88" t="s">
        <v>424</v>
      </c>
      <c r="IC88" t="s">
        <v>424</v>
      </c>
      <c r="ID88" t="s">
        <v>424</v>
      </c>
      <c r="IE88">
        <v>0</v>
      </c>
      <c r="IF88">
        <v>100</v>
      </c>
      <c r="IG88">
        <v>100</v>
      </c>
      <c r="IH88">
        <v>-2.2109999999999999</v>
      </c>
      <c r="II88">
        <v>4.6800000000000001E-2</v>
      </c>
      <c r="IJ88">
        <v>-1.2546221392526069</v>
      </c>
      <c r="IK88">
        <v>-4.1229525807901877E-3</v>
      </c>
      <c r="IL88">
        <v>1.8448211998558991E-6</v>
      </c>
      <c r="IM88">
        <v>-3.7020276670297668E-10</v>
      </c>
      <c r="IN88">
        <v>-0.19955267914244429</v>
      </c>
      <c r="IO88">
        <v>-1.3488639696665739E-2</v>
      </c>
      <c r="IP88">
        <v>1.1588640342490499E-3</v>
      </c>
      <c r="IQ88">
        <v>-1.0624341560077559E-5</v>
      </c>
      <c r="IR88">
        <v>2</v>
      </c>
      <c r="IS88">
        <v>1915</v>
      </c>
      <c r="IT88">
        <v>1</v>
      </c>
      <c r="IU88">
        <v>42</v>
      </c>
      <c r="IV88">
        <v>0.7</v>
      </c>
      <c r="IW88">
        <v>0.5</v>
      </c>
      <c r="IX88">
        <v>0.80444300000000002</v>
      </c>
      <c r="IY88">
        <v>2.49146</v>
      </c>
      <c r="IZ88">
        <v>1.49414</v>
      </c>
      <c r="JA88">
        <v>2.2851599999999999</v>
      </c>
      <c r="JB88">
        <v>1.54419</v>
      </c>
      <c r="JC88">
        <v>2.3962400000000001</v>
      </c>
      <c r="JD88">
        <v>50.477499999999999</v>
      </c>
      <c r="JE88">
        <v>23.851099999999999</v>
      </c>
      <c r="JF88">
        <v>18</v>
      </c>
      <c r="JG88">
        <v>513.327</v>
      </c>
      <c r="JH88">
        <v>386.20100000000002</v>
      </c>
      <c r="JI88">
        <v>22.425899999999999</v>
      </c>
      <c r="JJ88">
        <v>38.190199999999997</v>
      </c>
      <c r="JK88">
        <v>30.0015</v>
      </c>
      <c r="JL88">
        <v>38.133400000000002</v>
      </c>
      <c r="JM88">
        <v>38.099699999999999</v>
      </c>
      <c r="JN88">
        <v>16.168099999999999</v>
      </c>
      <c r="JO88">
        <v>33.949800000000003</v>
      </c>
      <c r="JP88">
        <v>0</v>
      </c>
      <c r="JQ88">
        <v>22.383199999999999</v>
      </c>
      <c r="JR88">
        <v>300</v>
      </c>
      <c r="JS88">
        <v>19.7788</v>
      </c>
      <c r="JT88">
        <v>97.483500000000006</v>
      </c>
      <c r="JU88">
        <v>97.685199999999995</v>
      </c>
    </row>
    <row r="89" spans="1:281" x14ac:dyDescent="0.25">
      <c r="A89">
        <v>73</v>
      </c>
      <c r="B89">
        <v>1691176730.5999999</v>
      </c>
      <c r="C89">
        <v>17485</v>
      </c>
      <c r="D89" t="s">
        <v>788</v>
      </c>
      <c r="E89" t="s">
        <v>789</v>
      </c>
      <c r="F89" t="s">
        <v>413</v>
      </c>
      <c r="G89" t="s">
        <v>779</v>
      </c>
      <c r="H89" t="s">
        <v>493</v>
      </c>
      <c r="I89" t="s">
        <v>31</v>
      </c>
      <c r="J89">
        <v>1691176730.5999999</v>
      </c>
      <c r="K89">
        <f t="shared" si="92"/>
        <v>6.2091923240143567E-3</v>
      </c>
      <c r="L89">
        <f t="shared" si="93"/>
        <v>6.2091923240143565</v>
      </c>
      <c r="M89">
        <f t="shared" si="94"/>
        <v>25.936092225225707</v>
      </c>
      <c r="N89">
        <f t="shared" si="95"/>
        <v>167.61699999999999</v>
      </c>
      <c r="O89">
        <f t="shared" si="96"/>
        <v>41.666375577405503</v>
      </c>
      <c r="P89">
        <f t="shared" si="97"/>
        <v>4.1351786733516613</v>
      </c>
      <c r="Q89">
        <f t="shared" si="98"/>
        <v>16.6351460640855</v>
      </c>
      <c r="R89">
        <f t="shared" si="99"/>
        <v>0.35728443348962446</v>
      </c>
      <c r="S89">
        <f t="shared" si="100"/>
        <v>2.9223799698228792</v>
      </c>
      <c r="T89">
        <f t="shared" si="101"/>
        <v>0.33467039087994205</v>
      </c>
      <c r="U89">
        <f t="shared" si="102"/>
        <v>0.21108138773979712</v>
      </c>
      <c r="V89">
        <f t="shared" si="103"/>
        <v>344.38679999340189</v>
      </c>
      <c r="W89">
        <f t="shared" si="104"/>
        <v>30.686117717371971</v>
      </c>
      <c r="X89">
        <f t="shared" si="105"/>
        <v>30.151</v>
      </c>
      <c r="Y89">
        <f t="shared" si="106"/>
        <v>4.2975419544672686</v>
      </c>
      <c r="Z89">
        <f t="shared" si="107"/>
        <v>58.227164072943097</v>
      </c>
      <c r="AA89">
        <f t="shared" si="108"/>
        <v>2.5194727983515999</v>
      </c>
      <c r="AB89">
        <f t="shared" si="109"/>
        <v>4.3269715062807679</v>
      </c>
      <c r="AC89">
        <f t="shared" si="110"/>
        <v>1.7780691561156687</v>
      </c>
      <c r="AD89">
        <f t="shared" si="111"/>
        <v>-273.82538148903313</v>
      </c>
      <c r="AE89">
        <f t="shared" si="112"/>
        <v>18.748610523037801</v>
      </c>
      <c r="AF89">
        <f t="shared" si="113"/>
        <v>1.4294742581708735</v>
      </c>
      <c r="AG89">
        <f t="shared" si="114"/>
        <v>90.739503285577456</v>
      </c>
      <c r="AH89">
        <v>0</v>
      </c>
      <c r="AI89">
        <v>0</v>
      </c>
      <c r="AJ89">
        <f t="shared" si="115"/>
        <v>1</v>
      </c>
      <c r="AK89">
        <f t="shared" si="116"/>
        <v>0</v>
      </c>
      <c r="AL89">
        <f t="shared" si="117"/>
        <v>52083.851255448913</v>
      </c>
      <c r="AM89" t="s">
        <v>416</v>
      </c>
      <c r="AN89">
        <v>10235.299999999999</v>
      </c>
      <c r="AO89">
        <v>594.051923076923</v>
      </c>
      <c r="AP89">
        <v>2007.77</v>
      </c>
      <c r="AQ89">
        <f t="shared" si="118"/>
        <v>0.70412351859180933</v>
      </c>
      <c r="AR89">
        <v>-0.54275787784279261</v>
      </c>
      <c r="AS89" t="s">
        <v>790</v>
      </c>
      <c r="AT89">
        <v>10167.799999999999</v>
      </c>
      <c r="AU89">
        <v>687.1898076923078</v>
      </c>
      <c r="AV89">
        <v>867.33045100792731</v>
      </c>
      <c r="AW89">
        <f t="shared" si="119"/>
        <v>0.20769551340700365</v>
      </c>
      <c r="AX89">
        <v>0.5</v>
      </c>
      <c r="AY89">
        <f t="shared" si="120"/>
        <v>1513.2380999967008</v>
      </c>
      <c r="AZ89">
        <f t="shared" si="121"/>
        <v>25.936092225225707</v>
      </c>
      <c r="BA89">
        <f t="shared" si="122"/>
        <v>157.14638204292675</v>
      </c>
      <c r="BB89">
        <f t="shared" si="123"/>
        <v>1.7498138662465759E-2</v>
      </c>
      <c r="BC89">
        <f t="shared" si="124"/>
        <v>1.3148847105123131</v>
      </c>
      <c r="BD89">
        <f t="shared" si="125"/>
        <v>427.66978823759882</v>
      </c>
      <c r="BE89" t="s">
        <v>791</v>
      </c>
      <c r="BF89">
        <v>530.51</v>
      </c>
      <c r="BG89">
        <f t="shared" si="126"/>
        <v>530.51</v>
      </c>
      <c r="BH89">
        <f t="shared" si="127"/>
        <v>0.38834154919443598</v>
      </c>
      <c r="BI89">
        <f t="shared" si="128"/>
        <v>0.53482691676396976</v>
      </c>
      <c r="BJ89">
        <f t="shared" si="129"/>
        <v>0.77199649959524563</v>
      </c>
      <c r="BK89">
        <f t="shared" si="130"/>
        <v>0.65918330532393798</v>
      </c>
      <c r="BL89">
        <f t="shared" si="131"/>
        <v>0.80669517325138229</v>
      </c>
      <c r="BM89">
        <f t="shared" si="132"/>
        <v>0.41288596605538624</v>
      </c>
      <c r="BN89">
        <f t="shared" si="133"/>
        <v>0.5871140339446137</v>
      </c>
      <c r="BO89">
        <v>12613</v>
      </c>
      <c r="BP89">
        <v>290.00000000000011</v>
      </c>
      <c r="BQ89">
        <v>817.54</v>
      </c>
      <c r="BR89">
        <v>285</v>
      </c>
      <c r="BS89">
        <v>10167.799999999999</v>
      </c>
      <c r="BT89">
        <v>818.69</v>
      </c>
      <c r="BU89">
        <v>-1.1499999999999999</v>
      </c>
      <c r="BV89">
        <v>300.00000000000011</v>
      </c>
      <c r="BW89">
        <v>24.2</v>
      </c>
      <c r="BX89">
        <v>867.33045100792731</v>
      </c>
      <c r="BY89">
        <v>1.9978003074487241</v>
      </c>
      <c r="BZ89">
        <v>-49.457361853204517</v>
      </c>
      <c r="CA89">
        <v>1.8091668962899941</v>
      </c>
      <c r="CB89">
        <v>0.96388572091440794</v>
      </c>
      <c r="CC89">
        <v>-6.9492471635150118E-3</v>
      </c>
      <c r="CD89">
        <v>289.99999999999989</v>
      </c>
      <c r="CE89">
        <v>816.57</v>
      </c>
      <c r="CF89">
        <v>645</v>
      </c>
      <c r="CG89">
        <v>10150.799999999999</v>
      </c>
      <c r="CH89">
        <v>818.61</v>
      </c>
      <c r="CI89">
        <v>-2.04</v>
      </c>
      <c r="CW89">
        <f t="shared" si="134"/>
        <v>1800.06</v>
      </c>
      <c r="CX89">
        <f t="shared" si="135"/>
        <v>1513.2380999967008</v>
      </c>
      <c r="CY89">
        <f t="shared" si="136"/>
        <v>0.84065981133778922</v>
      </c>
      <c r="CZ89">
        <f t="shared" si="137"/>
        <v>0.19131962267557853</v>
      </c>
      <c r="DA89">
        <v>6</v>
      </c>
      <c r="DB89">
        <v>0.5</v>
      </c>
      <c r="DC89" t="s">
        <v>419</v>
      </c>
      <c r="DD89">
        <v>2</v>
      </c>
      <c r="DE89">
        <v>1691176730.5999999</v>
      </c>
      <c r="DF89">
        <v>167.61699999999999</v>
      </c>
      <c r="DG89">
        <v>199.988</v>
      </c>
      <c r="DH89">
        <v>25.386399999999998</v>
      </c>
      <c r="DI89">
        <v>18.1248</v>
      </c>
      <c r="DJ89">
        <v>169.583</v>
      </c>
      <c r="DK89">
        <v>25.360800000000001</v>
      </c>
      <c r="DL89">
        <v>500.01900000000001</v>
      </c>
      <c r="DM89">
        <v>99.145700000000005</v>
      </c>
      <c r="DN89">
        <v>9.9281499999999995E-2</v>
      </c>
      <c r="DO89">
        <v>30.27</v>
      </c>
      <c r="DP89">
        <v>30.151</v>
      </c>
      <c r="DQ89">
        <v>999.9</v>
      </c>
      <c r="DR89">
        <v>0</v>
      </c>
      <c r="DS89">
        <v>0</v>
      </c>
      <c r="DT89">
        <v>10045</v>
      </c>
      <c r="DU89">
        <v>0</v>
      </c>
      <c r="DV89">
        <v>1798.9</v>
      </c>
      <c r="DW89">
        <v>-32.370699999999999</v>
      </c>
      <c r="DX89">
        <v>171.983</v>
      </c>
      <c r="DY89">
        <v>203.68</v>
      </c>
      <c r="DZ89">
        <v>7.2616300000000003</v>
      </c>
      <c r="EA89">
        <v>199.988</v>
      </c>
      <c r="EB89">
        <v>18.1248</v>
      </c>
      <c r="EC89">
        <v>2.5169600000000001</v>
      </c>
      <c r="ED89">
        <v>1.7969999999999999</v>
      </c>
      <c r="EE89">
        <v>21.136600000000001</v>
      </c>
      <c r="EF89">
        <v>15.7607</v>
      </c>
      <c r="EG89">
        <v>1800.06</v>
      </c>
      <c r="EH89">
        <v>0.97800299999999996</v>
      </c>
      <c r="EI89">
        <v>2.1996700000000001E-2</v>
      </c>
      <c r="EJ89">
        <v>0</v>
      </c>
      <c r="EK89">
        <v>688.4</v>
      </c>
      <c r="EL89">
        <v>0.100005</v>
      </c>
      <c r="EM89">
        <v>17164.400000000001</v>
      </c>
      <c r="EN89">
        <v>14863</v>
      </c>
      <c r="EO89">
        <v>50.311999999999998</v>
      </c>
      <c r="EP89">
        <v>52.75</v>
      </c>
      <c r="EQ89">
        <v>51.186999999999998</v>
      </c>
      <c r="ER89">
        <v>51.625</v>
      </c>
      <c r="ES89">
        <v>51.375</v>
      </c>
      <c r="ET89">
        <v>1760.37</v>
      </c>
      <c r="EU89">
        <v>39.590000000000003</v>
      </c>
      <c r="EV89">
        <v>0</v>
      </c>
      <c r="EW89">
        <v>182.60000014305109</v>
      </c>
      <c r="EX89">
        <v>0</v>
      </c>
      <c r="EY89">
        <v>687.1898076923078</v>
      </c>
      <c r="EZ89">
        <v>4.8558974808602304</v>
      </c>
      <c r="FA89">
        <v>-855.74017157654703</v>
      </c>
      <c r="FB89">
        <v>17386.176923076921</v>
      </c>
      <c r="FC89">
        <v>15</v>
      </c>
      <c r="FD89">
        <v>1691176643.5999999</v>
      </c>
      <c r="FE89" t="s">
        <v>792</v>
      </c>
      <c r="FF89">
        <v>1691176642.0999999</v>
      </c>
      <c r="FG89">
        <v>1691176643.5999999</v>
      </c>
      <c r="FH89">
        <v>86</v>
      </c>
      <c r="FI89">
        <v>-6.3E-2</v>
      </c>
      <c r="FJ89">
        <v>-5.0000000000000001E-3</v>
      </c>
      <c r="FK89">
        <v>-2.0779999999999998</v>
      </c>
      <c r="FL89">
        <v>-9.4E-2</v>
      </c>
      <c r="FM89">
        <v>200</v>
      </c>
      <c r="FN89">
        <v>20</v>
      </c>
      <c r="FO89">
        <v>0.17</v>
      </c>
      <c r="FP89">
        <v>7.0000000000000007E-2</v>
      </c>
      <c r="FQ89">
        <v>25.871765509079591</v>
      </c>
      <c r="FR89">
        <v>0.50160312588046341</v>
      </c>
      <c r="FS89">
        <v>6.3996190429802854E-2</v>
      </c>
      <c r="FT89">
        <v>1</v>
      </c>
      <c r="FU89">
        <v>0.35508936861442691</v>
      </c>
      <c r="FV89">
        <v>4.4638596499929982E-2</v>
      </c>
      <c r="FW89">
        <v>3.4738467874322462E-3</v>
      </c>
      <c r="FX89">
        <v>1</v>
      </c>
      <c r="FY89">
        <v>2</v>
      </c>
      <c r="FZ89">
        <v>2</v>
      </c>
      <c r="GA89" t="s">
        <v>421</v>
      </c>
      <c r="GB89">
        <v>2.9131300000000002</v>
      </c>
      <c r="GC89">
        <v>2.8295599999999999</v>
      </c>
      <c r="GD89">
        <v>4.3334600000000001E-2</v>
      </c>
      <c r="GE89">
        <v>4.9190999999999999E-2</v>
      </c>
      <c r="GF89">
        <v>0.121838</v>
      </c>
      <c r="GG89">
        <v>9.2436699999999997E-2</v>
      </c>
      <c r="GH89">
        <v>24673.4</v>
      </c>
      <c r="GI89">
        <v>30359.200000000001</v>
      </c>
      <c r="GJ89">
        <v>23242</v>
      </c>
      <c r="GK89">
        <v>29292</v>
      </c>
      <c r="GL89">
        <v>27876.1</v>
      </c>
      <c r="GM89">
        <v>37832.199999999997</v>
      </c>
      <c r="GN89">
        <v>32882.6</v>
      </c>
      <c r="GO89">
        <v>43468</v>
      </c>
      <c r="GP89">
        <v>1.9031</v>
      </c>
      <c r="GQ89">
        <v>1.6657</v>
      </c>
      <c r="GR89">
        <v>-8.5085599999999997E-2</v>
      </c>
      <c r="GS89">
        <v>0</v>
      </c>
      <c r="GT89">
        <v>31.5337</v>
      </c>
      <c r="GU89">
        <v>999.9</v>
      </c>
      <c r="GV89">
        <v>28.7</v>
      </c>
      <c r="GW89">
        <v>46</v>
      </c>
      <c r="GX89">
        <v>29.371099999999998</v>
      </c>
      <c r="GY89">
        <v>61.859299999999998</v>
      </c>
      <c r="GZ89">
        <v>35.264400000000002</v>
      </c>
      <c r="HA89">
        <v>1</v>
      </c>
      <c r="HB89">
        <v>0.90771299999999999</v>
      </c>
      <c r="HC89">
        <v>7.6730999999999998</v>
      </c>
      <c r="HD89">
        <v>20.0932</v>
      </c>
      <c r="HE89">
        <v>5.2100999999999997</v>
      </c>
      <c r="HF89">
        <v>11.8812</v>
      </c>
      <c r="HG89">
        <v>4.9842000000000004</v>
      </c>
      <c r="HH89">
        <v>3.2839999999999998</v>
      </c>
      <c r="HI89">
        <v>9999</v>
      </c>
      <c r="HJ89">
        <v>9999</v>
      </c>
      <c r="HK89">
        <v>9999</v>
      </c>
      <c r="HL89">
        <v>999.9</v>
      </c>
      <c r="HM89">
        <v>1.8549</v>
      </c>
      <c r="HN89">
        <v>1.8608199999999999</v>
      </c>
      <c r="HO89">
        <v>1.8582000000000001</v>
      </c>
      <c r="HP89">
        <v>1.85928</v>
      </c>
      <c r="HQ89">
        <v>1.8586499999999999</v>
      </c>
      <c r="HR89">
        <v>1.8591599999999999</v>
      </c>
      <c r="HS89">
        <v>1.85745</v>
      </c>
      <c r="HT89">
        <v>1.8608</v>
      </c>
      <c r="HU89">
        <v>5</v>
      </c>
      <c r="HV89">
        <v>0</v>
      </c>
      <c r="HW89">
        <v>0</v>
      </c>
      <c r="HX89">
        <v>0</v>
      </c>
      <c r="HY89" t="s">
        <v>422</v>
      </c>
      <c r="HZ89" t="s">
        <v>423</v>
      </c>
      <c r="IA89" t="s">
        <v>424</v>
      </c>
      <c r="IB89" t="s">
        <v>424</v>
      </c>
      <c r="IC89" t="s">
        <v>424</v>
      </c>
      <c r="ID89" t="s">
        <v>424</v>
      </c>
      <c r="IE89">
        <v>0</v>
      </c>
      <c r="IF89">
        <v>100</v>
      </c>
      <c r="IG89">
        <v>100</v>
      </c>
      <c r="IH89">
        <v>-1.966</v>
      </c>
      <c r="II89">
        <v>2.5600000000000001E-2</v>
      </c>
      <c r="IJ89">
        <v>-1.3174999999999999</v>
      </c>
      <c r="IK89">
        <v>-4.1229500000000002E-3</v>
      </c>
      <c r="IL89">
        <v>1.84482E-6</v>
      </c>
      <c r="IM89">
        <v>-3.70203E-10</v>
      </c>
      <c r="IN89">
        <v>-0.2043954231297945</v>
      </c>
      <c r="IO89">
        <v>-1.3488639696665739E-2</v>
      </c>
      <c r="IP89">
        <v>1.1588640342490499E-3</v>
      </c>
      <c r="IQ89">
        <v>-1.0624341560077559E-5</v>
      </c>
      <c r="IR89">
        <v>2</v>
      </c>
      <c r="IS89">
        <v>1915</v>
      </c>
      <c r="IT89">
        <v>1</v>
      </c>
      <c r="IU89">
        <v>42</v>
      </c>
      <c r="IV89">
        <v>1.5</v>
      </c>
      <c r="IW89">
        <v>1.4</v>
      </c>
      <c r="IX89">
        <v>0.58960000000000001</v>
      </c>
      <c r="IY89">
        <v>2.50122</v>
      </c>
      <c r="IZ89">
        <v>1.49414</v>
      </c>
      <c r="JA89">
        <v>2.2863799999999999</v>
      </c>
      <c r="JB89">
        <v>1.54419</v>
      </c>
      <c r="JC89">
        <v>2.49512</v>
      </c>
      <c r="JD89">
        <v>50.347900000000003</v>
      </c>
      <c r="JE89">
        <v>23.842300000000002</v>
      </c>
      <c r="JF89">
        <v>18</v>
      </c>
      <c r="JG89">
        <v>514.08199999999999</v>
      </c>
      <c r="JH89">
        <v>384.90600000000001</v>
      </c>
      <c r="JI89">
        <v>21.725000000000001</v>
      </c>
      <c r="JJ89">
        <v>38.0717</v>
      </c>
      <c r="JK89">
        <v>29.999700000000001</v>
      </c>
      <c r="JL89">
        <v>37.979500000000002</v>
      </c>
      <c r="JM89">
        <v>37.956200000000003</v>
      </c>
      <c r="JN89">
        <v>11.8713</v>
      </c>
      <c r="JO89">
        <v>40.853299999999997</v>
      </c>
      <c r="JP89">
        <v>0</v>
      </c>
      <c r="JQ89">
        <v>21.7285</v>
      </c>
      <c r="JR89">
        <v>200</v>
      </c>
      <c r="JS89">
        <v>17.997900000000001</v>
      </c>
      <c r="JT89">
        <v>97.501800000000003</v>
      </c>
      <c r="JU89">
        <v>97.700199999999995</v>
      </c>
    </row>
    <row r="90" spans="1:281" x14ac:dyDescent="0.25">
      <c r="A90">
        <v>74</v>
      </c>
      <c r="B90">
        <v>1691176875.0999999</v>
      </c>
      <c r="C90">
        <v>17629.5</v>
      </c>
      <c r="D90" t="s">
        <v>793</v>
      </c>
      <c r="E90" t="s">
        <v>794</v>
      </c>
      <c r="F90" t="s">
        <v>413</v>
      </c>
      <c r="G90" t="s">
        <v>779</v>
      </c>
      <c r="H90" t="s">
        <v>493</v>
      </c>
      <c r="I90" t="s">
        <v>31</v>
      </c>
      <c r="J90">
        <v>1691176875.0999999</v>
      </c>
      <c r="K90">
        <f t="shared" si="92"/>
        <v>7.067893429052936E-3</v>
      </c>
      <c r="L90">
        <f t="shared" si="93"/>
        <v>7.067893429052936</v>
      </c>
      <c r="M90">
        <f t="shared" si="94"/>
        <v>17.465073351762864</v>
      </c>
      <c r="N90">
        <f t="shared" si="95"/>
        <v>98.257199999999997</v>
      </c>
      <c r="O90">
        <f t="shared" si="96"/>
        <v>22.156279574859312</v>
      </c>
      <c r="P90">
        <f t="shared" si="97"/>
        <v>2.1988501812467081</v>
      </c>
      <c r="Q90">
        <f t="shared" si="98"/>
        <v>9.7513150300716003</v>
      </c>
      <c r="R90">
        <f t="shared" si="99"/>
        <v>0.40063366187410637</v>
      </c>
      <c r="S90">
        <f t="shared" si="100"/>
        <v>2.9127168565742694</v>
      </c>
      <c r="T90">
        <f t="shared" si="101"/>
        <v>0.37234496478193152</v>
      </c>
      <c r="U90">
        <f t="shared" si="102"/>
        <v>0.23509056227368311</v>
      </c>
      <c r="V90">
        <f t="shared" si="103"/>
        <v>344.33739999340094</v>
      </c>
      <c r="W90">
        <f t="shared" si="104"/>
        <v>30.365511910681356</v>
      </c>
      <c r="X90">
        <f t="shared" si="105"/>
        <v>30.008400000000002</v>
      </c>
      <c r="Y90">
        <f t="shared" si="106"/>
        <v>4.2625058252990362</v>
      </c>
      <c r="Z90">
        <f t="shared" si="107"/>
        <v>56.760538329203023</v>
      </c>
      <c r="AA90">
        <f t="shared" si="108"/>
        <v>2.4423046056782005</v>
      </c>
      <c r="AB90">
        <f t="shared" si="109"/>
        <v>4.3028214276495795</v>
      </c>
      <c r="AC90">
        <f t="shared" si="110"/>
        <v>1.8202012196208357</v>
      </c>
      <c r="AD90">
        <f t="shared" si="111"/>
        <v>-311.69410022123446</v>
      </c>
      <c r="AE90">
        <f t="shared" si="112"/>
        <v>25.752984152147324</v>
      </c>
      <c r="AF90">
        <f t="shared" si="113"/>
        <v>1.9676917901271553</v>
      </c>
      <c r="AG90">
        <f t="shared" si="114"/>
        <v>60.363975714440954</v>
      </c>
      <c r="AH90">
        <v>0</v>
      </c>
      <c r="AI90">
        <v>0</v>
      </c>
      <c r="AJ90">
        <f t="shared" si="115"/>
        <v>1</v>
      </c>
      <c r="AK90">
        <f t="shared" si="116"/>
        <v>0</v>
      </c>
      <c r="AL90">
        <f t="shared" si="117"/>
        <v>51825.5292298731</v>
      </c>
      <c r="AM90" t="s">
        <v>416</v>
      </c>
      <c r="AN90">
        <v>10235.299999999999</v>
      </c>
      <c r="AO90">
        <v>594.051923076923</v>
      </c>
      <c r="AP90">
        <v>2007.77</v>
      </c>
      <c r="AQ90">
        <f t="shared" si="118"/>
        <v>0.70412351859180933</v>
      </c>
      <c r="AR90">
        <v>-0.54275787784279261</v>
      </c>
      <c r="AS90" t="s">
        <v>795</v>
      </c>
      <c r="AT90">
        <v>10168.4</v>
      </c>
      <c r="AU90">
        <v>701.51139999999998</v>
      </c>
      <c r="AV90">
        <v>837.29817175414451</v>
      </c>
      <c r="AW90">
        <f t="shared" si="119"/>
        <v>0.16217254060124175</v>
      </c>
      <c r="AX90">
        <v>0.5</v>
      </c>
      <c r="AY90">
        <f t="shared" si="120"/>
        <v>1513.0196999967004</v>
      </c>
      <c r="AZ90">
        <f t="shared" si="121"/>
        <v>17.465073351762864</v>
      </c>
      <c r="BA90">
        <f t="shared" si="122"/>
        <v>122.68512436409677</v>
      </c>
      <c r="BB90">
        <f t="shared" si="123"/>
        <v>1.1901914581578103E-2</v>
      </c>
      <c r="BC90">
        <f t="shared" si="124"/>
        <v>1.3979151844959965</v>
      </c>
      <c r="BD90">
        <f t="shared" si="125"/>
        <v>420.23742620880159</v>
      </c>
      <c r="BE90" t="s">
        <v>796</v>
      </c>
      <c r="BF90">
        <v>542.01</v>
      </c>
      <c r="BG90">
        <f t="shared" si="126"/>
        <v>542.01</v>
      </c>
      <c r="BH90">
        <f t="shared" si="127"/>
        <v>0.3526678807091076</v>
      </c>
      <c r="BI90">
        <f t="shared" si="128"/>
        <v>0.45984494044414326</v>
      </c>
      <c r="BJ90">
        <f t="shared" si="129"/>
        <v>0.79854261833168838</v>
      </c>
      <c r="BK90">
        <f t="shared" si="130"/>
        <v>0.55822760882256561</v>
      </c>
      <c r="BL90">
        <f t="shared" si="131"/>
        <v>0.82793864445261889</v>
      </c>
      <c r="BM90">
        <f t="shared" si="132"/>
        <v>0.35529081376315491</v>
      </c>
      <c r="BN90">
        <f t="shared" si="133"/>
        <v>0.64470918623684503</v>
      </c>
      <c r="BO90">
        <v>12615</v>
      </c>
      <c r="BP90">
        <v>290.00000000000011</v>
      </c>
      <c r="BQ90">
        <v>801.38</v>
      </c>
      <c r="BR90">
        <v>285</v>
      </c>
      <c r="BS90">
        <v>10168.4</v>
      </c>
      <c r="BT90">
        <v>802.83</v>
      </c>
      <c r="BU90">
        <v>-1.45</v>
      </c>
      <c r="BV90">
        <v>300.00000000000011</v>
      </c>
      <c r="BW90">
        <v>24.2</v>
      </c>
      <c r="BX90">
        <v>837.29817175414451</v>
      </c>
      <c r="BY90">
        <v>1.651908388660162</v>
      </c>
      <c r="BZ90">
        <v>-35.05099307473342</v>
      </c>
      <c r="CA90">
        <v>1.4960244404901</v>
      </c>
      <c r="CB90">
        <v>0.95146792002388914</v>
      </c>
      <c r="CC90">
        <v>-6.9497190211345976E-3</v>
      </c>
      <c r="CD90">
        <v>289.99999999999989</v>
      </c>
      <c r="CE90">
        <v>801.37</v>
      </c>
      <c r="CF90">
        <v>635</v>
      </c>
      <c r="CG90">
        <v>10152</v>
      </c>
      <c r="CH90">
        <v>802.77</v>
      </c>
      <c r="CI90">
        <v>-1.4</v>
      </c>
      <c r="CW90">
        <f t="shared" si="134"/>
        <v>1799.8</v>
      </c>
      <c r="CX90">
        <f t="shared" si="135"/>
        <v>1513.0196999967004</v>
      </c>
      <c r="CY90">
        <f t="shared" si="136"/>
        <v>0.84065990665446189</v>
      </c>
      <c r="CZ90">
        <f t="shared" si="137"/>
        <v>0.19131981330892373</v>
      </c>
      <c r="DA90">
        <v>6</v>
      </c>
      <c r="DB90">
        <v>0.5</v>
      </c>
      <c r="DC90" t="s">
        <v>419</v>
      </c>
      <c r="DD90">
        <v>2</v>
      </c>
      <c r="DE90">
        <v>1691176875.0999999</v>
      </c>
      <c r="DF90">
        <v>98.257199999999997</v>
      </c>
      <c r="DG90">
        <v>120.048</v>
      </c>
      <c r="DH90">
        <v>24.609400000000001</v>
      </c>
      <c r="DI90">
        <v>16.3369</v>
      </c>
      <c r="DJ90">
        <v>100.117</v>
      </c>
      <c r="DK90">
        <v>24.621600000000001</v>
      </c>
      <c r="DL90">
        <v>500.01499999999999</v>
      </c>
      <c r="DM90">
        <v>99.142700000000005</v>
      </c>
      <c r="DN90">
        <v>0.100053</v>
      </c>
      <c r="DO90">
        <v>30.1724</v>
      </c>
      <c r="DP90">
        <v>30.008400000000002</v>
      </c>
      <c r="DQ90">
        <v>999.9</v>
      </c>
      <c r="DR90">
        <v>0</v>
      </c>
      <c r="DS90">
        <v>0</v>
      </c>
      <c r="DT90">
        <v>9990</v>
      </c>
      <c r="DU90">
        <v>0</v>
      </c>
      <c r="DV90">
        <v>1857.16</v>
      </c>
      <c r="DW90">
        <v>-21.7913</v>
      </c>
      <c r="DX90">
        <v>100.736</v>
      </c>
      <c r="DY90">
        <v>122.042</v>
      </c>
      <c r="DZ90">
        <v>8.2725200000000001</v>
      </c>
      <c r="EA90">
        <v>120.048</v>
      </c>
      <c r="EB90">
        <v>16.3369</v>
      </c>
      <c r="EC90">
        <v>2.4398399999999998</v>
      </c>
      <c r="ED90">
        <v>1.61968</v>
      </c>
      <c r="EE90">
        <v>20.630700000000001</v>
      </c>
      <c r="EF90">
        <v>14.1473</v>
      </c>
      <c r="EG90">
        <v>1799.8</v>
      </c>
      <c r="EH90">
        <v>0.97799999999999998</v>
      </c>
      <c r="EI90">
        <v>2.20004E-2</v>
      </c>
      <c r="EJ90">
        <v>0</v>
      </c>
      <c r="EK90">
        <v>701.27</v>
      </c>
      <c r="EL90">
        <v>0.100005</v>
      </c>
      <c r="EM90">
        <v>17600.599999999999</v>
      </c>
      <c r="EN90">
        <v>14860.9</v>
      </c>
      <c r="EO90">
        <v>50.375</v>
      </c>
      <c r="EP90">
        <v>52.875</v>
      </c>
      <c r="EQ90">
        <v>51.25</v>
      </c>
      <c r="ER90">
        <v>51.811999999999998</v>
      </c>
      <c r="ES90">
        <v>51.436999999999998</v>
      </c>
      <c r="ET90">
        <v>1760.11</v>
      </c>
      <c r="EU90">
        <v>39.590000000000003</v>
      </c>
      <c r="EV90">
        <v>0</v>
      </c>
      <c r="EW90">
        <v>142.4000000953674</v>
      </c>
      <c r="EX90">
        <v>0</v>
      </c>
      <c r="EY90">
        <v>701.51139999999998</v>
      </c>
      <c r="EZ90">
        <v>-3.5865385079519241</v>
      </c>
      <c r="FA90">
        <v>5315.376918112338</v>
      </c>
      <c r="FB90">
        <v>17509.944</v>
      </c>
      <c r="FC90">
        <v>15</v>
      </c>
      <c r="FD90">
        <v>1691176809.5999999</v>
      </c>
      <c r="FE90" t="s">
        <v>797</v>
      </c>
      <c r="FF90">
        <v>1691176793.5999999</v>
      </c>
      <c r="FG90">
        <v>1691176809.5999999</v>
      </c>
      <c r="FH90">
        <v>87</v>
      </c>
      <c r="FI90">
        <v>-0.14699999999999999</v>
      </c>
      <c r="FJ90">
        <v>-0.02</v>
      </c>
      <c r="FK90">
        <v>-1.9410000000000001</v>
      </c>
      <c r="FL90">
        <v>-0.159</v>
      </c>
      <c r="FM90">
        <v>120</v>
      </c>
      <c r="FN90">
        <v>18</v>
      </c>
      <c r="FO90">
        <v>0.22</v>
      </c>
      <c r="FP90">
        <v>0.04</v>
      </c>
      <c r="FQ90">
        <v>17.309039577930442</v>
      </c>
      <c r="FR90">
        <v>0.66950184121455003</v>
      </c>
      <c r="FS90">
        <v>7.1324474679549998E-2</v>
      </c>
      <c r="FT90">
        <v>1</v>
      </c>
      <c r="FU90">
        <v>0.40788225710486942</v>
      </c>
      <c r="FV90">
        <v>-4.7700079752711962E-2</v>
      </c>
      <c r="FW90">
        <v>3.5912238211226019E-3</v>
      </c>
      <c r="FX90">
        <v>1</v>
      </c>
      <c r="FY90">
        <v>2</v>
      </c>
      <c r="FZ90">
        <v>2</v>
      </c>
      <c r="GA90" t="s">
        <v>421</v>
      </c>
      <c r="GB90">
        <v>2.9131100000000001</v>
      </c>
      <c r="GC90">
        <v>2.82985</v>
      </c>
      <c r="GD90">
        <v>2.6579800000000001E-2</v>
      </c>
      <c r="GE90">
        <v>3.0902099999999998E-2</v>
      </c>
      <c r="GF90">
        <v>0.11932</v>
      </c>
      <c r="GG90">
        <v>8.5722800000000002E-2</v>
      </c>
      <c r="GH90">
        <v>25104</v>
      </c>
      <c r="GI90">
        <v>30942.799999999999</v>
      </c>
      <c r="GJ90">
        <v>23241.9</v>
      </c>
      <c r="GK90">
        <v>29293.1</v>
      </c>
      <c r="GL90">
        <v>27954.2</v>
      </c>
      <c r="GM90">
        <v>38107.5</v>
      </c>
      <c r="GN90">
        <v>32882.9</v>
      </c>
      <c r="GO90">
        <v>43469.5</v>
      </c>
      <c r="GP90">
        <v>1.9039999999999999</v>
      </c>
      <c r="GQ90">
        <v>1.6628000000000001</v>
      </c>
      <c r="GR90">
        <v>-0.10728799999999999</v>
      </c>
      <c r="GS90">
        <v>0</v>
      </c>
      <c r="GT90">
        <v>31.751899999999999</v>
      </c>
      <c r="GU90">
        <v>999.9</v>
      </c>
      <c r="GV90">
        <v>28.6</v>
      </c>
      <c r="GW90">
        <v>46.1</v>
      </c>
      <c r="GX90">
        <v>29.4223</v>
      </c>
      <c r="GY90">
        <v>61.789299999999997</v>
      </c>
      <c r="GZ90">
        <v>35.613</v>
      </c>
      <c r="HA90">
        <v>1</v>
      </c>
      <c r="HB90">
        <v>0.91406500000000002</v>
      </c>
      <c r="HC90">
        <v>8.6203099999999999</v>
      </c>
      <c r="HD90">
        <v>20.046900000000001</v>
      </c>
      <c r="HE90">
        <v>5.20411</v>
      </c>
      <c r="HF90">
        <v>11.8842</v>
      </c>
      <c r="HG90">
        <v>4.9817999999999998</v>
      </c>
      <c r="HH90">
        <v>3.2822</v>
      </c>
      <c r="HI90">
        <v>9999</v>
      </c>
      <c r="HJ90">
        <v>9999</v>
      </c>
      <c r="HK90">
        <v>9999</v>
      </c>
      <c r="HL90">
        <v>999.9</v>
      </c>
      <c r="HM90">
        <v>1.8548100000000001</v>
      </c>
      <c r="HN90">
        <v>1.8608</v>
      </c>
      <c r="HO90">
        <v>1.85806</v>
      </c>
      <c r="HP90">
        <v>1.8591800000000001</v>
      </c>
      <c r="HQ90">
        <v>1.8585199999999999</v>
      </c>
      <c r="HR90">
        <v>1.8591200000000001</v>
      </c>
      <c r="HS90">
        <v>1.8574299999999999</v>
      </c>
      <c r="HT90">
        <v>1.86066</v>
      </c>
      <c r="HU90">
        <v>5</v>
      </c>
      <c r="HV90">
        <v>0</v>
      </c>
      <c r="HW90">
        <v>0</v>
      </c>
      <c r="HX90">
        <v>0</v>
      </c>
      <c r="HY90" t="s">
        <v>422</v>
      </c>
      <c r="HZ90" t="s">
        <v>423</v>
      </c>
      <c r="IA90" t="s">
        <v>424</v>
      </c>
      <c r="IB90" t="s">
        <v>424</v>
      </c>
      <c r="IC90" t="s">
        <v>424</v>
      </c>
      <c r="ID90" t="s">
        <v>424</v>
      </c>
      <c r="IE90">
        <v>0</v>
      </c>
      <c r="IF90">
        <v>100</v>
      </c>
      <c r="IG90">
        <v>100</v>
      </c>
      <c r="IH90">
        <v>-1.86</v>
      </c>
      <c r="II90">
        <v>-1.2200000000000001E-2</v>
      </c>
      <c r="IJ90">
        <v>-1.464846510226973</v>
      </c>
      <c r="IK90">
        <v>-4.1229525807901877E-3</v>
      </c>
      <c r="IL90">
        <v>1.8448211998558991E-6</v>
      </c>
      <c r="IM90">
        <v>-3.7020276670297668E-10</v>
      </c>
      <c r="IN90">
        <v>-0.22405066517404251</v>
      </c>
      <c r="IO90">
        <v>-1.3488639696665739E-2</v>
      </c>
      <c r="IP90">
        <v>1.1588640342490499E-3</v>
      </c>
      <c r="IQ90">
        <v>-1.0624341560077559E-5</v>
      </c>
      <c r="IR90">
        <v>2</v>
      </c>
      <c r="IS90">
        <v>1915</v>
      </c>
      <c r="IT90">
        <v>1</v>
      </c>
      <c r="IU90">
        <v>42</v>
      </c>
      <c r="IV90">
        <v>1.4</v>
      </c>
      <c r="IW90">
        <v>1.1000000000000001</v>
      </c>
      <c r="IX90">
        <v>0.41259800000000002</v>
      </c>
      <c r="IY90">
        <v>2.51709</v>
      </c>
      <c r="IZ90">
        <v>1.49414</v>
      </c>
      <c r="JA90">
        <v>2.2863799999999999</v>
      </c>
      <c r="JB90">
        <v>1.54419</v>
      </c>
      <c r="JC90">
        <v>2.4121100000000002</v>
      </c>
      <c r="JD90">
        <v>50.3155</v>
      </c>
      <c r="JE90">
        <v>23.816099999999999</v>
      </c>
      <c r="JF90">
        <v>18</v>
      </c>
      <c r="JG90">
        <v>514.55799999999999</v>
      </c>
      <c r="JH90">
        <v>382.952</v>
      </c>
      <c r="JI90">
        <v>21.297999999999998</v>
      </c>
      <c r="JJ90">
        <v>38.1081</v>
      </c>
      <c r="JK90">
        <v>30.001300000000001</v>
      </c>
      <c r="JL90">
        <v>37.961500000000001</v>
      </c>
      <c r="JM90">
        <v>37.930999999999997</v>
      </c>
      <c r="JN90">
        <v>8.3181899999999995</v>
      </c>
      <c r="JO90">
        <v>46.522100000000002</v>
      </c>
      <c r="JP90">
        <v>0</v>
      </c>
      <c r="JQ90">
        <v>21.2623</v>
      </c>
      <c r="JR90">
        <v>120</v>
      </c>
      <c r="JS90">
        <v>16.1873</v>
      </c>
      <c r="JT90">
        <v>97.502099999999999</v>
      </c>
      <c r="JU90">
        <v>97.703699999999998</v>
      </c>
    </row>
    <row r="91" spans="1:281" x14ac:dyDescent="0.25">
      <c r="A91">
        <v>75</v>
      </c>
      <c r="B91">
        <v>1691176997.5999999</v>
      </c>
      <c r="C91">
        <v>17752</v>
      </c>
      <c r="D91" t="s">
        <v>798</v>
      </c>
      <c r="E91" t="s">
        <v>799</v>
      </c>
      <c r="F91" t="s">
        <v>413</v>
      </c>
      <c r="G91" t="s">
        <v>779</v>
      </c>
      <c r="H91" t="s">
        <v>493</v>
      </c>
      <c r="I91" t="s">
        <v>31</v>
      </c>
      <c r="J91">
        <v>1691176997.5999999</v>
      </c>
      <c r="K91">
        <f t="shared" si="92"/>
        <v>7.8616331789350142E-3</v>
      </c>
      <c r="L91">
        <f t="shared" si="93"/>
        <v>7.8616331789350138</v>
      </c>
      <c r="M91">
        <f t="shared" si="94"/>
        <v>10.955956516111733</v>
      </c>
      <c r="N91">
        <f t="shared" si="95"/>
        <v>56.337400000000002</v>
      </c>
      <c r="O91">
        <f t="shared" si="96"/>
        <v>14.461662475516915</v>
      </c>
      <c r="P91">
        <f t="shared" si="97"/>
        <v>1.4352316977839785</v>
      </c>
      <c r="Q91">
        <f t="shared" si="98"/>
        <v>5.5911429538356003</v>
      </c>
      <c r="R91">
        <f t="shared" si="99"/>
        <v>0.46142869712549839</v>
      </c>
      <c r="S91">
        <f t="shared" si="100"/>
        <v>2.9105436570597396</v>
      </c>
      <c r="T91">
        <f t="shared" si="101"/>
        <v>0.42430367918525419</v>
      </c>
      <c r="U91">
        <f t="shared" si="102"/>
        <v>0.26827598293262345</v>
      </c>
      <c r="V91">
        <f t="shared" si="103"/>
        <v>344.37219999339993</v>
      </c>
      <c r="W91">
        <f t="shared" si="104"/>
        <v>30.218931887759116</v>
      </c>
      <c r="X91">
        <f t="shared" si="105"/>
        <v>30.043800000000001</v>
      </c>
      <c r="Y91">
        <f t="shared" si="106"/>
        <v>4.271180123545613</v>
      </c>
      <c r="Z91">
        <f t="shared" si="107"/>
        <v>57.785971060099051</v>
      </c>
      <c r="AA91">
        <f t="shared" si="108"/>
        <v>2.4950411171070006</v>
      </c>
      <c r="AB91">
        <f t="shared" si="109"/>
        <v>4.317728111745474</v>
      </c>
      <c r="AC91">
        <f t="shared" si="110"/>
        <v>1.7761390064386124</v>
      </c>
      <c r="AD91">
        <f t="shared" si="111"/>
        <v>-346.69802319103411</v>
      </c>
      <c r="AE91">
        <f t="shared" si="112"/>
        <v>29.640909078883595</v>
      </c>
      <c r="AF91">
        <f t="shared" si="113"/>
        <v>2.2675186545866066</v>
      </c>
      <c r="AG91">
        <f t="shared" si="114"/>
        <v>29.582604535835998</v>
      </c>
      <c r="AH91">
        <v>0</v>
      </c>
      <c r="AI91">
        <v>0</v>
      </c>
      <c r="AJ91">
        <f t="shared" si="115"/>
        <v>1</v>
      </c>
      <c r="AK91">
        <f t="shared" si="116"/>
        <v>0</v>
      </c>
      <c r="AL91">
        <f t="shared" si="117"/>
        <v>51753.482257283882</v>
      </c>
      <c r="AM91" t="s">
        <v>416</v>
      </c>
      <c r="AN91">
        <v>10235.299999999999</v>
      </c>
      <c r="AO91">
        <v>594.051923076923</v>
      </c>
      <c r="AP91">
        <v>2007.77</v>
      </c>
      <c r="AQ91">
        <f t="shared" si="118"/>
        <v>0.70412351859180933</v>
      </c>
      <c r="AR91">
        <v>-0.54275787784279261</v>
      </c>
      <c r="AS91" t="s">
        <v>800</v>
      </c>
      <c r="AT91">
        <v>10176</v>
      </c>
      <c r="AU91">
        <v>713.3703999999999</v>
      </c>
      <c r="AV91">
        <v>813.89350530759123</v>
      </c>
      <c r="AW91">
        <f t="shared" si="119"/>
        <v>0.12350891689398735</v>
      </c>
      <c r="AX91">
        <v>0.5</v>
      </c>
      <c r="AY91">
        <f t="shared" si="120"/>
        <v>1513.1711999967001</v>
      </c>
      <c r="AZ91">
        <f t="shared" si="121"/>
        <v>10.955956516111733</v>
      </c>
      <c r="BA91">
        <f t="shared" si="122"/>
        <v>93.445067993383773</v>
      </c>
      <c r="BB91">
        <f t="shared" si="123"/>
        <v>7.5990835630360938E-3</v>
      </c>
      <c r="BC91">
        <f t="shared" si="124"/>
        <v>1.4668706494238608</v>
      </c>
      <c r="BD91">
        <f t="shared" si="125"/>
        <v>414.25853130781138</v>
      </c>
      <c r="BE91" t="s">
        <v>801</v>
      </c>
      <c r="BF91">
        <v>565.91999999999996</v>
      </c>
      <c r="BG91">
        <f t="shared" si="126"/>
        <v>565.91999999999996</v>
      </c>
      <c r="BH91">
        <f t="shared" si="127"/>
        <v>0.30467561626981621</v>
      </c>
      <c r="BI91">
        <f t="shared" si="128"/>
        <v>0.40537841001562025</v>
      </c>
      <c r="BJ91">
        <f t="shared" si="129"/>
        <v>0.82801712708839958</v>
      </c>
      <c r="BK91">
        <f t="shared" si="130"/>
        <v>0.45725246465028491</v>
      </c>
      <c r="BL91">
        <f t="shared" si="131"/>
        <v>0.84449404317645282</v>
      </c>
      <c r="BM91">
        <f t="shared" si="132"/>
        <v>0.32158854614102272</v>
      </c>
      <c r="BN91">
        <f t="shared" si="133"/>
        <v>0.67841145385897728</v>
      </c>
      <c r="BO91">
        <v>12617</v>
      </c>
      <c r="BP91">
        <v>290.00000000000011</v>
      </c>
      <c r="BQ91">
        <v>786.79</v>
      </c>
      <c r="BR91">
        <v>245</v>
      </c>
      <c r="BS91">
        <v>10176</v>
      </c>
      <c r="BT91">
        <v>787.77</v>
      </c>
      <c r="BU91">
        <v>-0.98</v>
      </c>
      <c r="BV91">
        <v>300.00000000000011</v>
      </c>
      <c r="BW91">
        <v>24.2</v>
      </c>
      <c r="BX91">
        <v>813.89350530759123</v>
      </c>
      <c r="BY91">
        <v>1.721769746603792</v>
      </c>
      <c r="BZ91">
        <v>-26.586384848908651</v>
      </c>
      <c r="CA91">
        <v>1.5596774408849761</v>
      </c>
      <c r="CB91">
        <v>0.91210690051427179</v>
      </c>
      <c r="CC91">
        <v>-6.9515859844271393E-3</v>
      </c>
      <c r="CD91">
        <v>289.99999999999989</v>
      </c>
      <c r="CE91">
        <v>786.68</v>
      </c>
      <c r="CF91">
        <v>635</v>
      </c>
      <c r="CG91">
        <v>10154.5</v>
      </c>
      <c r="CH91">
        <v>787.71</v>
      </c>
      <c r="CI91">
        <v>-1.03</v>
      </c>
      <c r="CW91">
        <f t="shared" si="134"/>
        <v>1799.98</v>
      </c>
      <c r="CX91">
        <f t="shared" si="135"/>
        <v>1513.1711999967001</v>
      </c>
      <c r="CY91">
        <f t="shared" si="136"/>
        <v>0.84066000733158153</v>
      </c>
      <c r="CZ91">
        <f t="shared" si="137"/>
        <v>0.1913200146631629</v>
      </c>
      <c r="DA91">
        <v>6</v>
      </c>
      <c r="DB91">
        <v>0.5</v>
      </c>
      <c r="DC91" t="s">
        <v>419</v>
      </c>
      <c r="DD91">
        <v>2</v>
      </c>
      <c r="DE91">
        <v>1691176997.5999999</v>
      </c>
      <c r="DF91">
        <v>56.337400000000002</v>
      </c>
      <c r="DG91">
        <v>70.0107</v>
      </c>
      <c r="DH91">
        <v>25.140499999999999</v>
      </c>
      <c r="DI91">
        <v>15.9473</v>
      </c>
      <c r="DJ91">
        <v>58.034700000000001</v>
      </c>
      <c r="DK91">
        <v>25.1525</v>
      </c>
      <c r="DL91">
        <v>500.19499999999999</v>
      </c>
      <c r="DM91">
        <v>99.143600000000006</v>
      </c>
      <c r="DN91">
        <v>0.10029399999999999</v>
      </c>
      <c r="DO91">
        <v>30.232700000000001</v>
      </c>
      <c r="DP91">
        <v>30.043800000000001</v>
      </c>
      <c r="DQ91">
        <v>999.9</v>
      </c>
      <c r="DR91">
        <v>0</v>
      </c>
      <c r="DS91">
        <v>0</v>
      </c>
      <c r="DT91">
        <v>9977.5</v>
      </c>
      <c r="DU91">
        <v>0</v>
      </c>
      <c r="DV91">
        <v>1373.91</v>
      </c>
      <c r="DW91">
        <v>-13.673400000000001</v>
      </c>
      <c r="DX91">
        <v>57.790300000000002</v>
      </c>
      <c r="DY91">
        <v>71.145300000000006</v>
      </c>
      <c r="DZ91">
        <v>9.1931600000000007</v>
      </c>
      <c r="EA91">
        <v>70.0107</v>
      </c>
      <c r="EB91">
        <v>15.9473</v>
      </c>
      <c r="EC91">
        <v>2.4925199999999998</v>
      </c>
      <c r="ED91">
        <v>1.58108</v>
      </c>
      <c r="EE91">
        <v>20.977699999999999</v>
      </c>
      <c r="EF91">
        <v>13.775600000000001</v>
      </c>
      <c r="EG91">
        <v>1799.98</v>
      </c>
      <c r="EH91">
        <v>0.97799599999999998</v>
      </c>
      <c r="EI91">
        <v>2.2004099999999999E-2</v>
      </c>
      <c r="EJ91">
        <v>0</v>
      </c>
      <c r="EK91">
        <v>713.1</v>
      </c>
      <c r="EL91">
        <v>0.100005</v>
      </c>
      <c r="EM91">
        <v>16647.099999999999</v>
      </c>
      <c r="EN91">
        <v>14862.3</v>
      </c>
      <c r="EO91">
        <v>50.436999999999998</v>
      </c>
      <c r="EP91">
        <v>52.936999999999998</v>
      </c>
      <c r="EQ91">
        <v>51.311999999999998</v>
      </c>
      <c r="ER91">
        <v>51.811999999999998</v>
      </c>
      <c r="ES91">
        <v>51.5</v>
      </c>
      <c r="ET91">
        <v>1760.28</v>
      </c>
      <c r="EU91">
        <v>39.6</v>
      </c>
      <c r="EV91">
        <v>0</v>
      </c>
      <c r="EW91">
        <v>120.6000001430511</v>
      </c>
      <c r="EX91">
        <v>0</v>
      </c>
      <c r="EY91">
        <v>713.3703999999999</v>
      </c>
      <c r="EZ91">
        <v>-3.6384615253171608</v>
      </c>
      <c r="FA91">
        <v>-6568.6769229723468</v>
      </c>
      <c r="FB91">
        <v>17389.508000000002</v>
      </c>
      <c r="FC91">
        <v>15</v>
      </c>
      <c r="FD91">
        <v>1691176960.5999999</v>
      </c>
      <c r="FE91" t="s">
        <v>802</v>
      </c>
      <c r="FF91">
        <v>1691176952.0999999</v>
      </c>
      <c r="FG91">
        <v>1691176960.5999999</v>
      </c>
      <c r="FH91">
        <v>88</v>
      </c>
      <c r="FI91">
        <v>1E-3</v>
      </c>
      <c r="FJ91">
        <v>-1.2999999999999999E-2</v>
      </c>
      <c r="FK91">
        <v>-1.75</v>
      </c>
      <c r="FL91">
        <v>-0.189</v>
      </c>
      <c r="FM91">
        <v>70</v>
      </c>
      <c r="FN91">
        <v>16</v>
      </c>
      <c r="FO91">
        <v>0.5</v>
      </c>
      <c r="FP91">
        <v>0.03</v>
      </c>
      <c r="FQ91">
        <v>10.92786166304357</v>
      </c>
      <c r="FR91">
        <v>0.44265550718993368</v>
      </c>
      <c r="FS91">
        <v>6.2099454473156977E-2</v>
      </c>
      <c r="FT91">
        <v>1</v>
      </c>
      <c r="FU91">
        <v>0.46030106713119118</v>
      </c>
      <c r="FV91">
        <v>4.337600109809827E-2</v>
      </c>
      <c r="FW91">
        <v>3.6010590385360561E-3</v>
      </c>
      <c r="FX91">
        <v>1</v>
      </c>
      <c r="FY91">
        <v>2</v>
      </c>
      <c r="FZ91">
        <v>2</v>
      </c>
      <c r="GA91" t="s">
        <v>421</v>
      </c>
      <c r="GB91">
        <v>2.9135200000000001</v>
      </c>
      <c r="GC91">
        <v>2.8299799999999999</v>
      </c>
      <c r="GD91">
        <v>1.5692899999999999E-2</v>
      </c>
      <c r="GE91">
        <v>1.8441699999999998E-2</v>
      </c>
      <c r="GF91">
        <v>0.12113</v>
      </c>
      <c r="GG91">
        <v>8.4221900000000002E-2</v>
      </c>
      <c r="GH91">
        <v>25384.9</v>
      </c>
      <c r="GI91">
        <v>31339.8</v>
      </c>
      <c r="GJ91">
        <v>23243</v>
      </c>
      <c r="GK91">
        <v>29293.5</v>
      </c>
      <c r="GL91">
        <v>27898.3</v>
      </c>
      <c r="GM91">
        <v>38168.5</v>
      </c>
      <c r="GN91">
        <v>32884.9</v>
      </c>
      <c r="GO91">
        <v>43470.3</v>
      </c>
      <c r="GP91">
        <v>1.9045000000000001</v>
      </c>
      <c r="GQ91">
        <v>1.6609</v>
      </c>
      <c r="GR91">
        <v>-0.11012</v>
      </c>
      <c r="GS91">
        <v>0</v>
      </c>
      <c r="GT91">
        <v>31.832999999999998</v>
      </c>
      <c r="GU91">
        <v>999.9</v>
      </c>
      <c r="GV91">
        <v>28.6</v>
      </c>
      <c r="GW91">
        <v>46.1</v>
      </c>
      <c r="GX91">
        <v>29.420300000000001</v>
      </c>
      <c r="GY91">
        <v>61.859299999999998</v>
      </c>
      <c r="GZ91">
        <v>35.460700000000003</v>
      </c>
      <c r="HA91">
        <v>1</v>
      </c>
      <c r="HB91">
        <v>0.91153499999999998</v>
      </c>
      <c r="HC91">
        <v>7.7697700000000003</v>
      </c>
      <c r="HD91">
        <v>20.090299999999999</v>
      </c>
      <c r="HE91">
        <v>5.2112999999999996</v>
      </c>
      <c r="HF91">
        <v>11.8842</v>
      </c>
      <c r="HG91">
        <v>4.9836</v>
      </c>
      <c r="HH91">
        <v>3.2839999999999998</v>
      </c>
      <c r="HI91">
        <v>9999</v>
      </c>
      <c r="HJ91">
        <v>9999</v>
      </c>
      <c r="HK91">
        <v>9999</v>
      </c>
      <c r="HL91">
        <v>999.9</v>
      </c>
      <c r="HM91">
        <v>1.85486</v>
      </c>
      <c r="HN91">
        <v>1.8608199999999999</v>
      </c>
      <c r="HO91">
        <v>1.8582000000000001</v>
      </c>
      <c r="HP91">
        <v>1.85928</v>
      </c>
      <c r="HQ91">
        <v>1.8586</v>
      </c>
      <c r="HR91">
        <v>1.8591299999999999</v>
      </c>
      <c r="HS91">
        <v>1.85745</v>
      </c>
      <c r="HT91">
        <v>1.8608100000000001</v>
      </c>
      <c r="HU91">
        <v>5</v>
      </c>
      <c r="HV91">
        <v>0</v>
      </c>
      <c r="HW91">
        <v>0</v>
      </c>
      <c r="HX91">
        <v>0</v>
      </c>
      <c r="HY91" t="s">
        <v>422</v>
      </c>
      <c r="HZ91" t="s">
        <v>423</v>
      </c>
      <c r="IA91" t="s">
        <v>424</v>
      </c>
      <c r="IB91" t="s">
        <v>424</v>
      </c>
      <c r="IC91" t="s">
        <v>424</v>
      </c>
      <c r="ID91" t="s">
        <v>424</v>
      </c>
      <c r="IE91">
        <v>0</v>
      </c>
      <c r="IF91">
        <v>100</v>
      </c>
      <c r="IG91">
        <v>100</v>
      </c>
      <c r="IH91">
        <v>-1.6970000000000001</v>
      </c>
      <c r="II91">
        <v>-1.2E-2</v>
      </c>
      <c r="IJ91">
        <v>-1.4641963743052739</v>
      </c>
      <c r="IK91">
        <v>-4.1229525807901877E-3</v>
      </c>
      <c r="IL91">
        <v>1.8448211998558991E-6</v>
      </c>
      <c r="IM91">
        <v>-3.7020276670297668E-10</v>
      </c>
      <c r="IN91">
        <v>-0.23679058925249169</v>
      </c>
      <c r="IO91">
        <v>-1.3488639696665739E-2</v>
      </c>
      <c r="IP91">
        <v>1.1588640342490499E-3</v>
      </c>
      <c r="IQ91">
        <v>-1.0624341560077559E-5</v>
      </c>
      <c r="IR91">
        <v>2</v>
      </c>
      <c r="IS91">
        <v>1915</v>
      </c>
      <c r="IT91">
        <v>1</v>
      </c>
      <c r="IU91">
        <v>42</v>
      </c>
      <c r="IV91">
        <v>0.8</v>
      </c>
      <c r="IW91">
        <v>0.6</v>
      </c>
      <c r="IX91">
        <v>0.30029299999999998</v>
      </c>
      <c r="IY91">
        <v>2.5329600000000001</v>
      </c>
      <c r="IZ91">
        <v>1.49414</v>
      </c>
      <c r="JA91">
        <v>2.2863799999999999</v>
      </c>
      <c r="JB91">
        <v>1.54419</v>
      </c>
      <c r="JC91">
        <v>2.4462899999999999</v>
      </c>
      <c r="JD91">
        <v>50.283200000000001</v>
      </c>
      <c r="JE91">
        <v>23.8248</v>
      </c>
      <c r="JF91">
        <v>18</v>
      </c>
      <c r="JG91">
        <v>515.00800000000004</v>
      </c>
      <c r="JH91">
        <v>381.815</v>
      </c>
      <c r="JI91">
        <v>21.604700000000001</v>
      </c>
      <c r="JJ91">
        <v>38.151899999999998</v>
      </c>
      <c r="JK91">
        <v>30.001200000000001</v>
      </c>
      <c r="JL91">
        <v>37.975900000000003</v>
      </c>
      <c r="JM91">
        <v>37.938200000000002</v>
      </c>
      <c r="JN91">
        <v>6.0848599999999999</v>
      </c>
      <c r="JO91">
        <v>48.877699999999997</v>
      </c>
      <c r="JP91">
        <v>0</v>
      </c>
      <c r="JQ91">
        <v>21.587</v>
      </c>
      <c r="JR91">
        <v>70</v>
      </c>
      <c r="JS91">
        <v>15.7836</v>
      </c>
      <c r="JT91">
        <v>97.507599999999996</v>
      </c>
      <c r="JU91">
        <v>97.705299999999994</v>
      </c>
    </row>
    <row r="92" spans="1:281" x14ac:dyDescent="0.25">
      <c r="A92">
        <v>76</v>
      </c>
      <c r="B92">
        <v>1691177149</v>
      </c>
      <c r="C92">
        <v>17903.400000095371</v>
      </c>
      <c r="D92" t="s">
        <v>803</v>
      </c>
      <c r="E92" t="s">
        <v>804</v>
      </c>
      <c r="F92" t="s">
        <v>413</v>
      </c>
      <c r="G92" t="s">
        <v>779</v>
      </c>
      <c r="H92" t="s">
        <v>493</v>
      </c>
      <c r="I92" t="s">
        <v>31</v>
      </c>
      <c r="J92">
        <v>1691177149</v>
      </c>
      <c r="K92">
        <f t="shared" si="92"/>
        <v>7.7957147340561228E-3</v>
      </c>
      <c r="L92">
        <f t="shared" si="93"/>
        <v>7.7957147340561228</v>
      </c>
      <c r="M92">
        <f t="shared" si="94"/>
        <v>5.3054866329518093</v>
      </c>
      <c r="N92">
        <f t="shared" si="95"/>
        <v>23.4209</v>
      </c>
      <c r="O92">
        <f t="shared" si="96"/>
        <v>4.7654440013170047</v>
      </c>
      <c r="P92">
        <f t="shared" si="97"/>
        <v>0.47295147933057552</v>
      </c>
      <c r="Q92">
        <f t="shared" si="98"/>
        <v>2.3244317421823002</v>
      </c>
      <c r="R92">
        <f t="shared" si="99"/>
        <v>0.50231894326893534</v>
      </c>
      <c r="S92">
        <f t="shared" si="100"/>
        <v>2.9127680089340071</v>
      </c>
      <c r="T92">
        <f t="shared" si="101"/>
        <v>0.45868606081334234</v>
      </c>
      <c r="U92">
        <f t="shared" si="102"/>
        <v>0.29028253085581152</v>
      </c>
      <c r="V92">
        <f t="shared" si="103"/>
        <v>344.41589999340079</v>
      </c>
      <c r="W92">
        <f t="shared" si="104"/>
        <v>30.206396540345278</v>
      </c>
      <c r="X92">
        <f t="shared" si="105"/>
        <v>29.892299999999999</v>
      </c>
      <c r="Y92">
        <f t="shared" si="106"/>
        <v>4.2341647180573716</v>
      </c>
      <c r="Z92">
        <f t="shared" si="107"/>
        <v>60.448751867218185</v>
      </c>
      <c r="AA92">
        <f t="shared" si="108"/>
        <v>2.6055263211003998</v>
      </c>
      <c r="AB92">
        <f t="shared" si="109"/>
        <v>4.3103062356418915</v>
      </c>
      <c r="AC92">
        <f t="shared" si="110"/>
        <v>1.6286383969569718</v>
      </c>
      <c r="AD92">
        <f t="shared" si="111"/>
        <v>-343.79101977187503</v>
      </c>
      <c r="AE92">
        <f t="shared" si="112"/>
        <v>48.743089417830838</v>
      </c>
      <c r="AF92">
        <f t="shared" si="113"/>
        <v>3.7226361857129069</v>
      </c>
      <c r="AG92">
        <f t="shared" si="114"/>
        <v>53.090605825069524</v>
      </c>
      <c r="AH92">
        <v>0</v>
      </c>
      <c r="AI92">
        <v>0</v>
      </c>
      <c r="AJ92">
        <f t="shared" si="115"/>
        <v>1</v>
      </c>
      <c r="AK92">
        <f t="shared" si="116"/>
        <v>0</v>
      </c>
      <c r="AL92">
        <f t="shared" si="117"/>
        <v>51821.865926619212</v>
      </c>
      <c r="AM92" t="s">
        <v>416</v>
      </c>
      <c r="AN92">
        <v>10235.299999999999</v>
      </c>
      <c r="AO92">
        <v>594.051923076923</v>
      </c>
      <c r="AP92">
        <v>2007.77</v>
      </c>
      <c r="AQ92">
        <f t="shared" si="118"/>
        <v>0.70412351859180933</v>
      </c>
      <c r="AR92">
        <v>-0.54275787784279261</v>
      </c>
      <c r="AS92" t="s">
        <v>805</v>
      </c>
      <c r="AT92">
        <v>10178.4</v>
      </c>
      <c r="AU92">
        <v>719.67899999999997</v>
      </c>
      <c r="AV92">
        <v>786.85149229471904</v>
      </c>
      <c r="AW92">
        <f t="shared" si="119"/>
        <v>8.5368704199596634E-2</v>
      </c>
      <c r="AX92">
        <v>0.5</v>
      </c>
      <c r="AY92">
        <f t="shared" si="120"/>
        <v>1513.3643999967005</v>
      </c>
      <c r="AZ92">
        <f t="shared" si="121"/>
        <v>5.3054866329518093</v>
      </c>
      <c r="BA92">
        <f t="shared" si="122"/>
        <v>64.596978904759183</v>
      </c>
      <c r="BB92">
        <f t="shared" si="123"/>
        <v>3.8643994207920797E-3</v>
      </c>
      <c r="BC92">
        <f t="shared" si="124"/>
        <v>1.551650495247431</v>
      </c>
      <c r="BD92">
        <f t="shared" si="125"/>
        <v>407.13672107208311</v>
      </c>
      <c r="BE92" t="s">
        <v>806</v>
      </c>
      <c r="BF92">
        <v>583.66999999999996</v>
      </c>
      <c r="BG92">
        <f t="shared" si="126"/>
        <v>583.66999999999996</v>
      </c>
      <c r="BH92">
        <f t="shared" si="127"/>
        <v>0.25822088956351175</v>
      </c>
      <c r="BI92">
        <f t="shared" si="128"/>
        <v>0.33060340061526833</v>
      </c>
      <c r="BJ92">
        <f t="shared" si="129"/>
        <v>0.85732638698495967</v>
      </c>
      <c r="BK92">
        <f t="shared" si="130"/>
        <v>0.34840582148208876</v>
      </c>
      <c r="BL92">
        <f t="shared" si="131"/>
        <v>0.86362233576483682</v>
      </c>
      <c r="BM92">
        <f t="shared" si="132"/>
        <v>0.26812410371445278</v>
      </c>
      <c r="BN92">
        <f t="shared" si="133"/>
        <v>0.73187589628554717</v>
      </c>
      <c r="BO92">
        <v>12619</v>
      </c>
      <c r="BP92">
        <v>290.00000000000011</v>
      </c>
      <c r="BQ92">
        <v>765.29</v>
      </c>
      <c r="BR92">
        <v>215</v>
      </c>
      <c r="BS92">
        <v>10178.4</v>
      </c>
      <c r="BT92">
        <v>765.12</v>
      </c>
      <c r="BU92">
        <v>0.17</v>
      </c>
      <c r="BV92">
        <v>300.00000000000011</v>
      </c>
      <c r="BW92">
        <v>24.2</v>
      </c>
      <c r="BX92">
        <v>786.85149229471904</v>
      </c>
      <c r="BY92">
        <v>2.0346517362831209</v>
      </c>
      <c r="BZ92">
        <v>-22.11863037878868</v>
      </c>
      <c r="CA92">
        <v>1.842825855104594</v>
      </c>
      <c r="CB92">
        <v>0.8372674686885202</v>
      </c>
      <c r="CC92">
        <v>-6.9501764182425011E-3</v>
      </c>
      <c r="CD92">
        <v>289.99999999999989</v>
      </c>
      <c r="CE92">
        <v>763.24</v>
      </c>
      <c r="CF92">
        <v>655</v>
      </c>
      <c r="CG92">
        <v>10151.700000000001</v>
      </c>
      <c r="CH92">
        <v>765.06</v>
      </c>
      <c r="CI92">
        <v>-1.82</v>
      </c>
      <c r="CW92">
        <f t="shared" si="134"/>
        <v>1800.21</v>
      </c>
      <c r="CX92">
        <f t="shared" si="135"/>
        <v>1513.3643999967005</v>
      </c>
      <c r="CY92">
        <f t="shared" si="136"/>
        <v>0.84065992300714942</v>
      </c>
      <c r="CZ92">
        <f t="shared" si="137"/>
        <v>0.19131984601429877</v>
      </c>
      <c r="DA92">
        <v>6</v>
      </c>
      <c r="DB92">
        <v>0.5</v>
      </c>
      <c r="DC92" t="s">
        <v>419</v>
      </c>
      <c r="DD92">
        <v>2</v>
      </c>
      <c r="DE92">
        <v>1691177149</v>
      </c>
      <c r="DF92">
        <v>23.4209</v>
      </c>
      <c r="DG92">
        <v>30.002199999999998</v>
      </c>
      <c r="DH92">
        <v>26.2532</v>
      </c>
      <c r="DI92">
        <v>17.149999999999999</v>
      </c>
      <c r="DJ92">
        <v>25.1675</v>
      </c>
      <c r="DK92">
        <v>26.229500000000002</v>
      </c>
      <c r="DL92">
        <v>500.33300000000003</v>
      </c>
      <c r="DM92">
        <v>99.145600000000002</v>
      </c>
      <c r="DN92">
        <v>0.10044699999999999</v>
      </c>
      <c r="DO92">
        <v>30.2027</v>
      </c>
      <c r="DP92">
        <v>29.892299999999999</v>
      </c>
      <c r="DQ92">
        <v>999.9</v>
      </c>
      <c r="DR92">
        <v>0</v>
      </c>
      <c r="DS92">
        <v>0</v>
      </c>
      <c r="DT92">
        <v>9990</v>
      </c>
      <c r="DU92">
        <v>0</v>
      </c>
      <c r="DV92">
        <v>658.94200000000001</v>
      </c>
      <c r="DW92">
        <v>-6.5813100000000002</v>
      </c>
      <c r="DX92">
        <v>24.052399999999999</v>
      </c>
      <c r="DY92">
        <v>30.5258</v>
      </c>
      <c r="DZ92">
        <v>9.1032499999999992</v>
      </c>
      <c r="EA92">
        <v>30.002199999999998</v>
      </c>
      <c r="EB92">
        <v>17.149999999999999</v>
      </c>
      <c r="EC92">
        <v>2.6028899999999999</v>
      </c>
      <c r="ED92">
        <v>1.70035</v>
      </c>
      <c r="EE92">
        <v>21.6846</v>
      </c>
      <c r="EF92">
        <v>14.8996</v>
      </c>
      <c r="EG92">
        <v>1800.21</v>
      </c>
      <c r="EH92">
        <v>0.97800299999999996</v>
      </c>
      <c r="EI92">
        <v>2.1996700000000001E-2</v>
      </c>
      <c r="EJ92">
        <v>0</v>
      </c>
      <c r="EK92">
        <v>719.38499999999999</v>
      </c>
      <c r="EL92">
        <v>0.100005</v>
      </c>
      <c r="EM92">
        <v>15184.1</v>
      </c>
      <c r="EN92">
        <v>14864.3</v>
      </c>
      <c r="EO92">
        <v>50.186999999999998</v>
      </c>
      <c r="EP92">
        <v>52.311999999999998</v>
      </c>
      <c r="EQ92">
        <v>51.061999999999998</v>
      </c>
      <c r="ER92">
        <v>51.25</v>
      </c>
      <c r="ES92">
        <v>51.186999999999998</v>
      </c>
      <c r="ET92">
        <v>1760.51</v>
      </c>
      <c r="EU92">
        <v>39.6</v>
      </c>
      <c r="EV92">
        <v>0</v>
      </c>
      <c r="EW92">
        <v>149.60000014305109</v>
      </c>
      <c r="EX92">
        <v>0</v>
      </c>
      <c r="EY92">
        <v>719.67899999999997</v>
      </c>
      <c r="EZ92">
        <v>-2.7088462112820491</v>
      </c>
      <c r="FA92">
        <v>-75.86153833379683</v>
      </c>
      <c r="FB92">
        <v>15191.004000000001</v>
      </c>
      <c r="FC92">
        <v>15</v>
      </c>
      <c r="FD92">
        <v>1691177115.5999999</v>
      </c>
      <c r="FE92" t="s">
        <v>807</v>
      </c>
      <c r="FF92">
        <v>1691177108.5999999</v>
      </c>
      <c r="FG92">
        <v>1691177115.5999999</v>
      </c>
      <c r="FH92">
        <v>89</v>
      </c>
      <c r="FI92">
        <v>-0.18</v>
      </c>
      <c r="FJ92">
        <v>8.9999999999999993E-3</v>
      </c>
      <c r="FK92">
        <v>-1.7729999999999999</v>
      </c>
      <c r="FL92">
        <v>-0.16500000000000001</v>
      </c>
      <c r="FM92">
        <v>30</v>
      </c>
      <c r="FN92">
        <v>17</v>
      </c>
      <c r="FO92">
        <v>0.74</v>
      </c>
      <c r="FP92">
        <v>0.03</v>
      </c>
      <c r="FQ92">
        <v>5.2679373082312324</v>
      </c>
      <c r="FR92">
        <v>-9.2234627408274414E-2</v>
      </c>
      <c r="FS92">
        <v>6.1186555833469873E-2</v>
      </c>
      <c r="FT92">
        <v>1</v>
      </c>
      <c r="FU92">
        <v>0.50576995405444258</v>
      </c>
      <c r="FV92">
        <v>4.0915639248969488E-2</v>
      </c>
      <c r="FW92">
        <v>4.5382894818897061E-3</v>
      </c>
      <c r="FX92">
        <v>1</v>
      </c>
      <c r="FY92">
        <v>2</v>
      </c>
      <c r="FZ92">
        <v>2</v>
      </c>
      <c r="GA92" t="s">
        <v>421</v>
      </c>
      <c r="GB92">
        <v>2.9139599999999999</v>
      </c>
      <c r="GC92">
        <v>2.8302499999999999</v>
      </c>
      <c r="GD92">
        <v>6.87792E-3</v>
      </c>
      <c r="GE92">
        <v>8.0085799999999995E-3</v>
      </c>
      <c r="GF92">
        <v>0.124782</v>
      </c>
      <c r="GG92">
        <v>8.8829000000000005E-2</v>
      </c>
      <c r="GH92">
        <v>25617.4</v>
      </c>
      <c r="GI92">
        <v>31679.200000000001</v>
      </c>
      <c r="GJ92">
        <v>23248</v>
      </c>
      <c r="GK92">
        <v>29299.7</v>
      </c>
      <c r="GL92">
        <v>27788.1</v>
      </c>
      <c r="GM92">
        <v>37985.300000000003</v>
      </c>
      <c r="GN92">
        <v>32891.9</v>
      </c>
      <c r="GO92">
        <v>43479</v>
      </c>
      <c r="GP92">
        <v>1.9052</v>
      </c>
      <c r="GQ92">
        <v>1.6646000000000001</v>
      </c>
      <c r="GR92">
        <v>-6.2361399999999997E-2</v>
      </c>
      <c r="GS92">
        <v>0</v>
      </c>
      <c r="GT92">
        <v>30.906400000000001</v>
      </c>
      <c r="GU92">
        <v>999.9</v>
      </c>
      <c r="GV92">
        <v>28.6</v>
      </c>
      <c r="GW92">
        <v>46.1</v>
      </c>
      <c r="GX92">
        <v>29.417999999999999</v>
      </c>
      <c r="GY92">
        <v>61.929299999999998</v>
      </c>
      <c r="GZ92">
        <v>35.817300000000003</v>
      </c>
      <c r="HA92">
        <v>1</v>
      </c>
      <c r="HB92">
        <v>0.88328300000000004</v>
      </c>
      <c r="HC92">
        <v>5.0851699999999997</v>
      </c>
      <c r="HD92">
        <v>20.188500000000001</v>
      </c>
      <c r="HE92">
        <v>5.2100999999999997</v>
      </c>
      <c r="HF92">
        <v>11.8782</v>
      </c>
      <c r="HG92">
        <v>4.9832000000000001</v>
      </c>
      <c r="HH92">
        <v>3.2839999999999998</v>
      </c>
      <c r="HI92">
        <v>9999</v>
      </c>
      <c r="HJ92">
        <v>9999</v>
      </c>
      <c r="HK92">
        <v>9999</v>
      </c>
      <c r="HL92">
        <v>999.9</v>
      </c>
      <c r="HM92">
        <v>1.85486</v>
      </c>
      <c r="HN92">
        <v>1.8608100000000001</v>
      </c>
      <c r="HO92">
        <v>1.8582000000000001</v>
      </c>
      <c r="HP92">
        <v>1.85928</v>
      </c>
      <c r="HQ92">
        <v>1.8586499999999999</v>
      </c>
      <c r="HR92">
        <v>1.8591599999999999</v>
      </c>
      <c r="HS92">
        <v>1.85745</v>
      </c>
      <c r="HT92">
        <v>1.8608100000000001</v>
      </c>
      <c r="HU92">
        <v>5</v>
      </c>
      <c r="HV92">
        <v>0</v>
      </c>
      <c r="HW92">
        <v>0</v>
      </c>
      <c r="HX92">
        <v>0</v>
      </c>
      <c r="HY92" t="s">
        <v>422</v>
      </c>
      <c r="HZ92" t="s">
        <v>423</v>
      </c>
      <c r="IA92" t="s">
        <v>424</v>
      </c>
      <c r="IB92" t="s">
        <v>424</v>
      </c>
      <c r="IC92" t="s">
        <v>424</v>
      </c>
      <c r="ID92" t="s">
        <v>424</v>
      </c>
      <c r="IE92">
        <v>0</v>
      </c>
      <c r="IF92">
        <v>100</v>
      </c>
      <c r="IG92">
        <v>100</v>
      </c>
      <c r="IH92">
        <v>-1.7470000000000001</v>
      </c>
      <c r="II92">
        <v>2.3699999999999999E-2</v>
      </c>
      <c r="IJ92">
        <v>-1.6440044716166451</v>
      </c>
      <c r="IK92">
        <v>-4.1229525807901877E-3</v>
      </c>
      <c r="IL92">
        <v>1.8448211998558991E-6</v>
      </c>
      <c r="IM92">
        <v>-3.7020276670297668E-10</v>
      </c>
      <c r="IN92">
        <v>-0.2280663507030386</v>
      </c>
      <c r="IO92">
        <v>-1.3488639696665739E-2</v>
      </c>
      <c r="IP92">
        <v>1.1588640342490499E-3</v>
      </c>
      <c r="IQ92">
        <v>-1.0624341560077559E-5</v>
      </c>
      <c r="IR92">
        <v>2</v>
      </c>
      <c r="IS92">
        <v>1915</v>
      </c>
      <c r="IT92">
        <v>1</v>
      </c>
      <c r="IU92">
        <v>42</v>
      </c>
      <c r="IV92">
        <v>0.7</v>
      </c>
      <c r="IW92">
        <v>0.6</v>
      </c>
      <c r="IX92">
        <v>0.21240200000000001</v>
      </c>
      <c r="IY92">
        <v>2.5573700000000001</v>
      </c>
      <c r="IZ92">
        <v>1.49414</v>
      </c>
      <c r="JA92">
        <v>2.2851599999999999</v>
      </c>
      <c r="JB92">
        <v>1.54419</v>
      </c>
      <c r="JC92">
        <v>2.3962400000000001</v>
      </c>
      <c r="JD92">
        <v>50.186399999999999</v>
      </c>
      <c r="JE92">
        <v>23.8598</v>
      </c>
      <c r="JF92">
        <v>18</v>
      </c>
      <c r="JG92">
        <v>514.93899999999996</v>
      </c>
      <c r="JH92">
        <v>383.625</v>
      </c>
      <c r="JI92">
        <v>23.605599999999999</v>
      </c>
      <c r="JJ92">
        <v>38.027999999999999</v>
      </c>
      <c r="JK92">
        <v>29.9985</v>
      </c>
      <c r="JL92">
        <v>37.902999999999999</v>
      </c>
      <c r="JM92">
        <v>37.855899999999998</v>
      </c>
      <c r="JN92">
        <v>4.3072699999999999</v>
      </c>
      <c r="JO92">
        <v>43.986400000000003</v>
      </c>
      <c r="JP92">
        <v>0</v>
      </c>
      <c r="JQ92">
        <v>23.6006</v>
      </c>
      <c r="JR92">
        <v>30</v>
      </c>
      <c r="JS92">
        <v>17.1127</v>
      </c>
      <c r="JT92">
        <v>97.528400000000005</v>
      </c>
      <c r="JU92">
        <v>97.725099999999998</v>
      </c>
    </row>
    <row r="93" spans="1:281" x14ac:dyDescent="0.25">
      <c r="A93">
        <v>77</v>
      </c>
      <c r="B93">
        <v>1691177264</v>
      </c>
      <c r="C93">
        <v>18018.400000095371</v>
      </c>
      <c r="D93" t="s">
        <v>808</v>
      </c>
      <c r="E93" t="s">
        <v>809</v>
      </c>
      <c r="F93" t="s">
        <v>413</v>
      </c>
      <c r="G93" t="s">
        <v>779</v>
      </c>
      <c r="H93" t="s">
        <v>493</v>
      </c>
      <c r="I93" t="s">
        <v>31</v>
      </c>
      <c r="J93">
        <v>1691177264</v>
      </c>
      <c r="K93">
        <f t="shared" si="92"/>
        <v>7.5217398921355282E-3</v>
      </c>
      <c r="L93">
        <f t="shared" si="93"/>
        <v>7.5217398921355283</v>
      </c>
      <c r="M93">
        <f t="shared" si="94"/>
        <v>1.9648446916524638</v>
      </c>
      <c r="N93">
        <f t="shared" si="95"/>
        <v>7.5285399999999996</v>
      </c>
      <c r="O93">
        <f t="shared" si="96"/>
        <v>0.41946227027420457</v>
      </c>
      <c r="P93">
        <f t="shared" si="97"/>
        <v>4.1629582174341505E-2</v>
      </c>
      <c r="Q93">
        <f t="shared" si="98"/>
        <v>0.74717083464488787</v>
      </c>
      <c r="R93">
        <f t="shared" si="99"/>
        <v>0.48420231806747066</v>
      </c>
      <c r="S93">
        <f t="shared" si="100"/>
        <v>2.9153854349049322</v>
      </c>
      <c r="T93">
        <f t="shared" si="101"/>
        <v>0.44355686461198923</v>
      </c>
      <c r="U93">
        <f t="shared" si="102"/>
        <v>0.28058999639028503</v>
      </c>
      <c r="V93">
        <f t="shared" si="103"/>
        <v>344.41399999340081</v>
      </c>
      <c r="W93">
        <f t="shared" si="104"/>
        <v>30.4482875920122</v>
      </c>
      <c r="X93">
        <f t="shared" si="105"/>
        <v>29.961500000000001</v>
      </c>
      <c r="Y93">
        <f t="shared" si="106"/>
        <v>4.251037251759465</v>
      </c>
      <c r="Z93">
        <f t="shared" si="107"/>
        <v>60.339835004380369</v>
      </c>
      <c r="AA93">
        <f t="shared" si="108"/>
        <v>2.6263731590221999</v>
      </c>
      <c r="AB93">
        <f t="shared" si="109"/>
        <v>4.3526356325494397</v>
      </c>
      <c r="AC93">
        <f t="shared" si="110"/>
        <v>1.6246640927372651</v>
      </c>
      <c r="AD93">
        <f t="shared" si="111"/>
        <v>-331.70872924317678</v>
      </c>
      <c r="AE93">
        <f t="shared" si="112"/>
        <v>64.708642663567005</v>
      </c>
      <c r="AF93">
        <f t="shared" si="113"/>
        <v>4.9433914388473541</v>
      </c>
      <c r="AG93">
        <f t="shared" si="114"/>
        <v>82.357304852638393</v>
      </c>
      <c r="AH93">
        <v>0</v>
      </c>
      <c r="AI93">
        <v>0</v>
      </c>
      <c r="AJ93">
        <f t="shared" si="115"/>
        <v>1</v>
      </c>
      <c r="AK93">
        <f t="shared" si="116"/>
        <v>0</v>
      </c>
      <c r="AL93">
        <f t="shared" si="117"/>
        <v>51867.122791054098</v>
      </c>
      <c r="AM93" t="s">
        <v>416</v>
      </c>
      <c r="AN93">
        <v>10235.299999999999</v>
      </c>
      <c r="AO93">
        <v>594.051923076923</v>
      </c>
      <c r="AP93">
        <v>2007.77</v>
      </c>
      <c r="AQ93">
        <f t="shared" si="118"/>
        <v>0.70412351859180933</v>
      </c>
      <c r="AR93">
        <v>-0.54275787784279261</v>
      </c>
      <c r="AS93" t="s">
        <v>810</v>
      </c>
      <c r="AT93">
        <v>10192.5</v>
      </c>
      <c r="AU93">
        <v>722.99673076923079</v>
      </c>
      <c r="AV93">
        <v>773.13661272798049</v>
      </c>
      <c r="AW93">
        <f t="shared" si="119"/>
        <v>6.485255145508273E-2</v>
      </c>
      <c r="AX93">
        <v>0.5</v>
      </c>
      <c r="AY93">
        <f t="shared" si="120"/>
        <v>1513.3559999967006</v>
      </c>
      <c r="AZ93">
        <f t="shared" si="121"/>
        <v>1.9648446916524638</v>
      </c>
      <c r="BA93">
        <f t="shared" si="122"/>
        <v>49.072498929822103</v>
      </c>
      <c r="BB93">
        <f t="shared" si="123"/>
        <v>1.6569812849724214E-3</v>
      </c>
      <c r="BC93">
        <f t="shared" si="124"/>
        <v>1.5969149138024479</v>
      </c>
      <c r="BD93">
        <f t="shared" si="125"/>
        <v>403.43370633835963</v>
      </c>
      <c r="BE93" t="s">
        <v>811</v>
      </c>
      <c r="BF93">
        <v>593.95000000000005</v>
      </c>
      <c r="BG93">
        <f t="shared" si="126"/>
        <v>593.95000000000005</v>
      </c>
      <c r="BH93">
        <f t="shared" si="127"/>
        <v>0.23176578340498954</v>
      </c>
      <c r="BI93">
        <f t="shared" si="128"/>
        <v>0.27981935254764839</v>
      </c>
      <c r="BJ93">
        <f t="shared" si="129"/>
        <v>0.87326066067251806</v>
      </c>
      <c r="BK93">
        <f t="shared" si="130"/>
        <v>0.27997860708498384</v>
      </c>
      <c r="BL93">
        <f t="shared" si="131"/>
        <v>0.87332361906213229</v>
      </c>
      <c r="BM93">
        <f t="shared" si="132"/>
        <v>0.22987476619548339</v>
      </c>
      <c r="BN93">
        <f t="shared" si="133"/>
        <v>0.77012523380451658</v>
      </c>
      <c r="BO93">
        <v>12621</v>
      </c>
      <c r="BP93">
        <v>290.00000000000011</v>
      </c>
      <c r="BQ93">
        <v>758.18</v>
      </c>
      <c r="BR93">
        <v>135</v>
      </c>
      <c r="BS93">
        <v>10192.5</v>
      </c>
      <c r="BT93">
        <v>756.66</v>
      </c>
      <c r="BU93">
        <v>1.52</v>
      </c>
      <c r="BV93">
        <v>300.00000000000011</v>
      </c>
      <c r="BW93">
        <v>24.2</v>
      </c>
      <c r="BX93">
        <v>773.13661272798049</v>
      </c>
      <c r="BY93">
        <v>1.945506973192934</v>
      </c>
      <c r="BZ93">
        <v>-16.796776245836739</v>
      </c>
      <c r="CA93">
        <v>1.7624193344203749</v>
      </c>
      <c r="CB93">
        <v>0.7643709517531353</v>
      </c>
      <c r="CC93">
        <v>-6.9509221357063524E-3</v>
      </c>
      <c r="CD93">
        <v>289.99999999999989</v>
      </c>
      <c r="CE93">
        <v>754.11</v>
      </c>
      <c r="CF93">
        <v>835</v>
      </c>
      <c r="CG93">
        <v>10144.4</v>
      </c>
      <c r="CH93">
        <v>756.58</v>
      </c>
      <c r="CI93">
        <v>-2.4700000000000002</v>
      </c>
      <c r="CW93">
        <f t="shared" si="134"/>
        <v>1800.2</v>
      </c>
      <c r="CX93">
        <f t="shared" si="135"/>
        <v>1513.3559999967006</v>
      </c>
      <c r="CY93">
        <f t="shared" si="136"/>
        <v>0.84065992667298106</v>
      </c>
      <c r="CZ93">
        <f t="shared" si="137"/>
        <v>0.19131985334596199</v>
      </c>
      <c r="DA93">
        <v>6</v>
      </c>
      <c r="DB93">
        <v>0.5</v>
      </c>
      <c r="DC93" t="s">
        <v>419</v>
      </c>
      <c r="DD93">
        <v>2</v>
      </c>
      <c r="DE93">
        <v>1691177264</v>
      </c>
      <c r="DF93">
        <v>7.5285399999999996</v>
      </c>
      <c r="DG93">
        <v>9.9537200000000006</v>
      </c>
      <c r="DH93">
        <v>26.4635</v>
      </c>
      <c r="DI93">
        <v>17.6784</v>
      </c>
      <c r="DJ93">
        <v>9.2647099999999991</v>
      </c>
      <c r="DK93">
        <v>26.433700000000002</v>
      </c>
      <c r="DL93">
        <v>500.12099999999998</v>
      </c>
      <c r="DM93">
        <v>99.145200000000003</v>
      </c>
      <c r="DN93">
        <v>9.9917199999999998E-2</v>
      </c>
      <c r="DO93">
        <v>30.373200000000001</v>
      </c>
      <c r="DP93">
        <v>29.961500000000001</v>
      </c>
      <c r="DQ93">
        <v>999.9</v>
      </c>
      <c r="DR93">
        <v>0</v>
      </c>
      <c r="DS93">
        <v>0</v>
      </c>
      <c r="DT93">
        <v>10005</v>
      </c>
      <c r="DU93">
        <v>0</v>
      </c>
      <c r="DV93">
        <v>637.67600000000004</v>
      </c>
      <c r="DW93">
        <v>-2.4251800000000001</v>
      </c>
      <c r="DX93">
        <v>7.7331899999999996</v>
      </c>
      <c r="DY93">
        <v>10.1328</v>
      </c>
      <c r="DZ93">
        <v>8.7851099999999995</v>
      </c>
      <c r="EA93">
        <v>9.9537200000000006</v>
      </c>
      <c r="EB93">
        <v>17.6784</v>
      </c>
      <c r="EC93">
        <v>2.6237300000000001</v>
      </c>
      <c r="ED93">
        <v>1.7527299999999999</v>
      </c>
      <c r="EE93">
        <v>21.815100000000001</v>
      </c>
      <c r="EF93">
        <v>15.371499999999999</v>
      </c>
      <c r="EG93">
        <v>1800.2</v>
      </c>
      <c r="EH93">
        <v>0.97799999999999998</v>
      </c>
      <c r="EI93">
        <v>2.20004E-2</v>
      </c>
      <c r="EJ93">
        <v>0</v>
      </c>
      <c r="EK93">
        <v>721.375</v>
      </c>
      <c r="EL93">
        <v>0.100005</v>
      </c>
      <c r="EM93">
        <v>15173.6</v>
      </c>
      <c r="EN93">
        <v>14864.2</v>
      </c>
      <c r="EO93">
        <v>49.811999999999998</v>
      </c>
      <c r="EP93">
        <v>51.686999999999998</v>
      </c>
      <c r="EQ93">
        <v>50.625</v>
      </c>
      <c r="ER93">
        <v>50.625</v>
      </c>
      <c r="ES93">
        <v>50.811999999999998</v>
      </c>
      <c r="ET93">
        <v>1760.5</v>
      </c>
      <c r="EU93">
        <v>39.6</v>
      </c>
      <c r="EV93">
        <v>0</v>
      </c>
      <c r="EW93">
        <v>113</v>
      </c>
      <c r="EX93">
        <v>0</v>
      </c>
      <c r="EY93">
        <v>722.99673076923079</v>
      </c>
      <c r="EZ93">
        <v>-5.2018803864754313</v>
      </c>
      <c r="FA93">
        <v>-17.442735053803911</v>
      </c>
      <c r="FB93">
        <v>15173.484615384619</v>
      </c>
      <c r="FC93">
        <v>15</v>
      </c>
      <c r="FD93">
        <v>1691177222.5</v>
      </c>
      <c r="FE93" t="s">
        <v>812</v>
      </c>
      <c r="FF93">
        <v>1691177208.5</v>
      </c>
      <c r="FG93">
        <v>1691177222.5</v>
      </c>
      <c r="FH93">
        <v>90</v>
      </c>
      <c r="FI93">
        <v>-5.3999999999999999E-2</v>
      </c>
      <c r="FJ93">
        <v>1E-3</v>
      </c>
      <c r="FK93">
        <v>-1.746</v>
      </c>
      <c r="FL93">
        <v>-0.16900000000000001</v>
      </c>
      <c r="FM93">
        <v>10</v>
      </c>
      <c r="FN93">
        <v>17</v>
      </c>
      <c r="FO93">
        <v>1.05</v>
      </c>
      <c r="FP93">
        <v>0.03</v>
      </c>
      <c r="FQ93">
        <v>2.0395893919081529</v>
      </c>
      <c r="FR93">
        <v>6.8818576755894673E-2</v>
      </c>
      <c r="FS93">
        <v>4.6761838137489492E-2</v>
      </c>
      <c r="FT93">
        <v>1</v>
      </c>
      <c r="FU93">
        <v>0.48181906033939359</v>
      </c>
      <c r="FV93">
        <v>3.8989050954643431E-2</v>
      </c>
      <c r="FW93">
        <v>3.4684356392284568E-3</v>
      </c>
      <c r="FX93">
        <v>1</v>
      </c>
      <c r="FY93">
        <v>2</v>
      </c>
      <c r="FZ93">
        <v>2</v>
      </c>
      <c r="GA93" t="s">
        <v>421</v>
      </c>
      <c r="GB93">
        <v>2.9138099999999998</v>
      </c>
      <c r="GC93">
        <v>2.82985</v>
      </c>
      <c r="GD93">
        <v>2.5427700000000002E-3</v>
      </c>
      <c r="GE93">
        <v>2.6700399999999998E-3</v>
      </c>
      <c r="GF93">
        <v>0.12554000000000001</v>
      </c>
      <c r="GG93">
        <v>9.0859899999999993E-2</v>
      </c>
      <c r="GH93">
        <v>25746.1</v>
      </c>
      <c r="GI93">
        <v>31869.9</v>
      </c>
      <c r="GJ93">
        <v>23262.400000000001</v>
      </c>
      <c r="GK93">
        <v>29316.799999999999</v>
      </c>
      <c r="GL93">
        <v>27779.200000000001</v>
      </c>
      <c r="GM93">
        <v>37920.699999999997</v>
      </c>
      <c r="GN93">
        <v>32912.199999999997</v>
      </c>
      <c r="GO93">
        <v>43501.4</v>
      </c>
      <c r="GP93">
        <v>1.909</v>
      </c>
      <c r="GQ93">
        <v>1.671</v>
      </c>
      <c r="GR93">
        <v>-3.01003E-2</v>
      </c>
      <c r="GS93">
        <v>0</v>
      </c>
      <c r="GT93">
        <v>30.4512</v>
      </c>
      <c r="GU93">
        <v>999.9</v>
      </c>
      <c r="GV93">
        <v>28.5</v>
      </c>
      <c r="GW93">
        <v>46.1</v>
      </c>
      <c r="GX93">
        <v>29.318100000000001</v>
      </c>
      <c r="GY93">
        <v>61.8294</v>
      </c>
      <c r="GZ93">
        <v>35.164299999999997</v>
      </c>
      <c r="HA93">
        <v>1</v>
      </c>
      <c r="HB93">
        <v>0.84978699999999996</v>
      </c>
      <c r="HC93">
        <v>4.7952599999999999</v>
      </c>
      <c r="HD93">
        <v>20.197500000000002</v>
      </c>
      <c r="HE93">
        <v>5.2107000000000001</v>
      </c>
      <c r="HF93">
        <v>11.8782</v>
      </c>
      <c r="HG93">
        <v>4.9833999999999996</v>
      </c>
      <c r="HH93">
        <v>3.2839999999999998</v>
      </c>
      <c r="HI93">
        <v>9999</v>
      </c>
      <c r="HJ93">
        <v>9999</v>
      </c>
      <c r="HK93">
        <v>9999</v>
      </c>
      <c r="HL93">
        <v>999.9</v>
      </c>
      <c r="HM93">
        <v>1.85486</v>
      </c>
      <c r="HN93">
        <v>1.8608100000000001</v>
      </c>
      <c r="HO93">
        <v>1.8581700000000001</v>
      </c>
      <c r="HP93">
        <v>1.85928</v>
      </c>
      <c r="HQ93">
        <v>1.8586499999999999</v>
      </c>
      <c r="HR93">
        <v>1.8591299999999999</v>
      </c>
      <c r="HS93">
        <v>1.85745</v>
      </c>
      <c r="HT93">
        <v>1.8608100000000001</v>
      </c>
      <c r="HU93">
        <v>5</v>
      </c>
      <c r="HV93">
        <v>0</v>
      </c>
      <c r="HW93">
        <v>0</v>
      </c>
      <c r="HX93">
        <v>0</v>
      </c>
      <c r="HY93" t="s">
        <v>422</v>
      </c>
      <c r="HZ93" t="s">
        <v>423</v>
      </c>
      <c r="IA93" t="s">
        <v>424</v>
      </c>
      <c r="IB93" t="s">
        <v>424</v>
      </c>
      <c r="IC93" t="s">
        <v>424</v>
      </c>
      <c r="ID93" t="s">
        <v>424</v>
      </c>
      <c r="IE93">
        <v>0</v>
      </c>
      <c r="IF93">
        <v>100</v>
      </c>
      <c r="IG93">
        <v>100</v>
      </c>
      <c r="IH93">
        <v>-1.736</v>
      </c>
      <c r="II93">
        <v>2.98E-2</v>
      </c>
      <c r="IJ93">
        <v>-1.698133361662995</v>
      </c>
      <c r="IK93">
        <v>-4.1229525807901877E-3</v>
      </c>
      <c r="IL93">
        <v>1.8448211998558991E-6</v>
      </c>
      <c r="IM93">
        <v>-3.7020276670297668E-10</v>
      </c>
      <c r="IN93">
        <v>-0.22712488448590229</v>
      </c>
      <c r="IO93">
        <v>-1.3488639696665739E-2</v>
      </c>
      <c r="IP93">
        <v>1.1588640342490499E-3</v>
      </c>
      <c r="IQ93">
        <v>-1.0624341560077559E-5</v>
      </c>
      <c r="IR93">
        <v>2</v>
      </c>
      <c r="IS93">
        <v>1915</v>
      </c>
      <c r="IT93">
        <v>1</v>
      </c>
      <c r="IU93">
        <v>42</v>
      </c>
      <c r="IV93">
        <v>0.9</v>
      </c>
      <c r="IW93">
        <v>0.7</v>
      </c>
      <c r="IX93">
        <v>0.167236</v>
      </c>
      <c r="IY93">
        <v>2.5793499999999998</v>
      </c>
      <c r="IZ93">
        <v>1.49414</v>
      </c>
      <c r="JA93">
        <v>2.2851599999999999</v>
      </c>
      <c r="JB93">
        <v>1.54419</v>
      </c>
      <c r="JC93">
        <v>2.3535200000000001</v>
      </c>
      <c r="JD93">
        <v>50.025700000000001</v>
      </c>
      <c r="JE93">
        <v>23.868600000000001</v>
      </c>
      <c r="JF93">
        <v>18</v>
      </c>
      <c r="JG93">
        <v>515.48400000000004</v>
      </c>
      <c r="JH93">
        <v>386.08100000000002</v>
      </c>
      <c r="JI93">
        <v>24.1143</v>
      </c>
      <c r="JJ93">
        <v>37.655000000000001</v>
      </c>
      <c r="JK93">
        <v>29.998200000000001</v>
      </c>
      <c r="JL93">
        <v>37.632399999999997</v>
      </c>
      <c r="JM93">
        <v>37.599600000000002</v>
      </c>
      <c r="JN93">
        <v>3.4153899999999999</v>
      </c>
      <c r="JO93">
        <v>42.290599999999998</v>
      </c>
      <c r="JP93">
        <v>0</v>
      </c>
      <c r="JQ93">
        <v>24.123000000000001</v>
      </c>
      <c r="JR93">
        <v>10</v>
      </c>
      <c r="JS93">
        <v>17.607500000000002</v>
      </c>
      <c r="JT93">
        <v>97.5886</v>
      </c>
      <c r="JU93">
        <v>97.778199999999998</v>
      </c>
    </row>
    <row r="94" spans="1:281" x14ac:dyDescent="0.25">
      <c r="A94">
        <v>78</v>
      </c>
      <c r="B94">
        <v>1691177437.5</v>
      </c>
      <c r="C94">
        <v>18191.900000095371</v>
      </c>
      <c r="D94" t="s">
        <v>813</v>
      </c>
      <c r="E94" t="s">
        <v>814</v>
      </c>
      <c r="F94" t="s">
        <v>413</v>
      </c>
      <c r="G94" t="s">
        <v>779</v>
      </c>
      <c r="H94" t="s">
        <v>493</v>
      </c>
      <c r="I94" t="s">
        <v>31</v>
      </c>
      <c r="J94">
        <v>1691177437.5</v>
      </c>
      <c r="K94">
        <f t="shared" si="92"/>
        <v>6.9960284341562757E-3</v>
      </c>
      <c r="L94">
        <f t="shared" si="93"/>
        <v>6.9960284341562753</v>
      </c>
      <c r="M94">
        <f t="shared" si="94"/>
        <v>46.398369017149435</v>
      </c>
      <c r="N94">
        <f t="shared" si="95"/>
        <v>341.46199999999999</v>
      </c>
      <c r="O94">
        <f t="shared" si="96"/>
        <v>152.15976754868109</v>
      </c>
      <c r="P94">
        <f t="shared" si="97"/>
        <v>15.099672599663553</v>
      </c>
      <c r="Q94">
        <f t="shared" si="98"/>
        <v>33.885201642258998</v>
      </c>
      <c r="R94">
        <f t="shared" si="99"/>
        <v>0.43548966572985626</v>
      </c>
      <c r="S94">
        <f t="shared" si="100"/>
        <v>2.9169712076634786</v>
      </c>
      <c r="T94">
        <f t="shared" si="101"/>
        <v>0.4023275552376292</v>
      </c>
      <c r="U94">
        <f t="shared" si="102"/>
        <v>0.25422344129126867</v>
      </c>
      <c r="V94">
        <f t="shared" si="103"/>
        <v>344.36399999340148</v>
      </c>
      <c r="W94">
        <f t="shared" si="104"/>
        <v>30.805967900610035</v>
      </c>
      <c r="X94">
        <f t="shared" si="105"/>
        <v>30.218800000000002</v>
      </c>
      <c r="Y94">
        <f t="shared" si="106"/>
        <v>4.3142879257857505</v>
      </c>
      <c r="Z94">
        <f t="shared" si="107"/>
        <v>60.099694942634706</v>
      </c>
      <c r="AA94">
        <f t="shared" si="108"/>
        <v>2.6492344598297999</v>
      </c>
      <c r="AB94">
        <f t="shared" si="109"/>
        <v>4.4080664009334827</v>
      </c>
      <c r="AC94">
        <f t="shared" si="110"/>
        <v>1.6650534659559506</v>
      </c>
      <c r="AD94">
        <f t="shared" si="111"/>
        <v>-308.52485394629178</v>
      </c>
      <c r="AE94">
        <f t="shared" si="112"/>
        <v>59.051036781206136</v>
      </c>
      <c r="AF94">
        <f t="shared" si="113"/>
        <v>4.519408679890252</v>
      </c>
      <c r="AG94">
        <f t="shared" si="114"/>
        <v>99.409591508206091</v>
      </c>
      <c r="AH94">
        <v>0</v>
      </c>
      <c r="AI94">
        <v>0</v>
      </c>
      <c r="AJ94">
        <f t="shared" si="115"/>
        <v>1</v>
      </c>
      <c r="AK94">
        <f t="shared" si="116"/>
        <v>0</v>
      </c>
      <c r="AL94">
        <f t="shared" si="117"/>
        <v>51874.207881308335</v>
      </c>
      <c r="AM94" t="s">
        <v>416</v>
      </c>
      <c r="AN94">
        <v>10235.299999999999</v>
      </c>
      <c r="AO94">
        <v>594.051923076923</v>
      </c>
      <c r="AP94">
        <v>2007.77</v>
      </c>
      <c r="AQ94">
        <f t="shared" si="118"/>
        <v>0.70412351859180933</v>
      </c>
      <c r="AR94">
        <v>-0.54275787784279261</v>
      </c>
      <c r="AS94" t="s">
        <v>815</v>
      </c>
      <c r="AT94">
        <v>10179.200000000001</v>
      </c>
      <c r="AU94">
        <v>685.23269230769233</v>
      </c>
      <c r="AV94">
        <v>1043.5583962234659</v>
      </c>
      <c r="AW94">
        <f t="shared" si="119"/>
        <v>0.34336909674870009</v>
      </c>
      <c r="AX94">
        <v>0.5</v>
      </c>
      <c r="AY94">
        <f t="shared" si="120"/>
        <v>1513.1372999967009</v>
      </c>
      <c r="AZ94">
        <f t="shared" si="121"/>
        <v>46.398369017149435</v>
      </c>
      <c r="BA94">
        <f t="shared" si="122"/>
        <v>259.782293978317</v>
      </c>
      <c r="BB94">
        <f t="shared" si="123"/>
        <v>3.1022384350114545E-2</v>
      </c>
      <c r="BC94">
        <f t="shared" si="124"/>
        <v>0.92396516310531351</v>
      </c>
      <c r="BD94">
        <f t="shared" si="125"/>
        <v>466.51598712817412</v>
      </c>
      <c r="BE94" t="s">
        <v>816</v>
      </c>
      <c r="BF94">
        <v>536.51</v>
      </c>
      <c r="BG94">
        <f t="shared" si="126"/>
        <v>536.51</v>
      </c>
      <c r="BH94">
        <f t="shared" si="127"/>
        <v>0.48588406557641972</v>
      </c>
      <c r="BI94">
        <f t="shared" si="128"/>
        <v>0.70668935467424809</v>
      </c>
      <c r="BJ94">
        <f t="shared" si="129"/>
        <v>0.6553645200552819</v>
      </c>
      <c r="BK94">
        <f t="shared" si="130"/>
        <v>0.79715360138752966</v>
      </c>
      <c r="BL94">
        <f t="shared" si="131"/>
        <v>0.68203952366168874</v>
      </c>
      <c r="BM94">
        <f t="shared" si="132"/>
        <v>0.55330971498077863</v>
      </c>
      <c r="BN94">
        <f t="shared" si="133"/>
        <v>0.44669028501922137</v>
      </c>
      <c r="BO94">
        <v>12623</v>
      </c>
      <c r="BP94">
        <v>290.00000000000011</v>
      </c>
      <c r="BQ94">
        <v>917.6</v>
      </c>
      <c r="BR94">
        <v>255</v>
      </c>
      <c r="BS94">
        <v>10179.200000000001</v>
      </c>
      <c r="BT94">
        <v>921.16</v>
      </c>
      <c r="BU94">
        <v>-3.56</v>
      </c>
      <c r="BV94">
        <v>300.00000000000011</v>
      </c>
      <c r="BW94">
        <v>24.2</v>
      </c>
      <c r="BX94">
        <v>1043.5583962234659</v>
      </c>
      <c r="BY94">
        <v>3.4350055923702771</v>
      </c>
      <c r="BZ94">
        <v>-124.5867474613061</v>
      </c>
      <c r="CA94">
        <v>3.11315915033496</v>
      </c>
      <c r="CB94">
        <v>0.98281736351649063</v>
      </c>
      <c r="CC94">
        <v>-6.9539163515016733E-3</v>
      </c>
      <c r="CD94">
        <v>289.99999999999989</v>
      </c>
      <c r="CE94">
        <v>904.57</v>
      </c>
      <c r="CF94">
        <v>625</v>
      </c>
      <c r="CG94">
        <v>10160.299999999999</v>
      </c>
      <c r="CH94">
        <v>920.94</v>
      </c>
      <c r="CI94">
        <v>-16.37</v>
      </c>
      <c r="CW94">
        <f t="shared" si="134"/>
        <v>1799.94</v>
      </c>
      <c r="CX94">
        <f t="shared" si="135"/>
        <v>1513.1372999967009</v>
      </c>
      <c r="CY94">
        <f t="shared" si="136"/>
        <v>0.84065985532667808</v>
      </c>
      <c r="CZ94">
        <f t="shared" si="137"/>
        <v>0.19131971065335593</v>
      </c>
      <c r="DA94">
        <v>6</v>
      </c>
      <c r="DB94">
        <v>0.5</v>
      </c>
      <c r="DC94" t="s">
        <v>419</v>
      </c>
      <c r="DD94">
        <v>2</v>
      </c>
      <c r="DE94">
        <v>1691177437.5</v>
      </c>
      <c r="DF94">
        <v>341.46199999999999</v>
      </c>
      <c r="DG94">
        <v>399.99299999999999</v>
      </c>
      <c r="DH94">
        <v>26.696400000000001</v>
      </c>
      <c r="DI94">
        <v>18.527200000000001</v>
      </c>
      <c r="DJ94">
        <v>344.03199999999998</v>
      </c>
      <c r="DK94">
        <v>26.6371</v>
      </c>
      <c r="DL94">
        <v>500.11700000000002</v>
      </c>
      <c r="DM94">
        <v>99.135999999999996</v>
      </c>
      <c r="DN94">
        <v>9.9644499999999997E-2</v>
      </c>
      <c r="DO94">
        <v>30.5943</v>
      </c>
      <c r="DP94">
        <v>30.218800000000002</v>
      </c>
      <c r="DQ94">
        <v>999.9</v>
      </c>
      <c r="DR94">
        <v>0</v>
      </c>
      <c r="DS94">
        <v>0</v>
      </c>
      <c r="DT94">
        <v>10015</v>
      </c>
      <c r="DU94">
        <v>0</v>
      </c>
      <c r="DV94">
        <v>1855.52</v>
      </c>
      <c r="DW94">
        <v>-58.531199999999998</v>
      </c>
      <c r="DX94">
        <v>350.82799999999997</v>
      </c>
      <c r="DY94">
        <v>407.54399999999998</v>
      </c>
      <c r="DZ94">
        <v>8.1692099999999996</v>
      </c>
      <c r="EA94">
        <v>399.99299999999999</v>
      </c>
      <c r="EB94">
        <v>18.527200000000001</v>
      </c>
      <c r="EC94">
        <v>2.6465700000000001</v>
      </c>
      <c r="ED94">
        <v>1.8367100000000001</v>
      </c>
      <c r="EE94">
        <v>21.957100000000001</v>
      </c>
      <c r="EF94">
        <v>16.102799999999998</v>
      </c>
      <c r="EG94">
        <v>1799.94</v>
      </c>
      <c r="EH94">
        <v>0.97800399999999998</v>
      </c>
      <c r="EI94">
        <v>2.1995799999999999E-2</v>
      </c>
      <c r="EJ94">
        <v>0</v>
      </c>
      <c r="EK94">
        <v>685.54</v>
      </c>
      <c r="EL94">
        <v>0.100005</v>
      </c>
      <c r="EM94">
        <v>17234.400000000001</v>
      </c>
      <c r="EN94">
        <v>14862</v>
      </c>
      <c r="EO94">
        <v>49.375</v>
      </c>
      <c r="EP94">
        <v>51.375</v>
      </c>
      <c r="EQ94">
        <v>50.186999999999998</v>
      </c>
      <c r="ER94">
        <v>50.186999999999998</v>
      </c>
      <c r="ES94">
        <v>50.375</v>
      </c>
      <c r="ET94">
        <v>1760.25</v>
      </c>
      <c r="EU94">
        <v>39.590000000000003</v>
      </c>
      <c r="EV94">
        <v>0</v>
      </c>
      <c r="EW94">
        <v>171.20000004768369</v>
      </c>
      <c r="EX94">
        <v>0</v>
      </c>
      <c r="EY94">
        <v>685.23269230769233</v>
      </c>
      <c r="EZ94">
        <v>-8.7671794063499586</v>
      </c>
      <c r="FA94">
        <v>-1146.7623925320261</v>
      </c>
      <c r="FB94">
        <v>17396.25384615385</v>
      </c>
      <c r="FC94">
        <v>15</v>
      </c>
      <c r="FD94">
        <v>1691177407.5</v>
      </c>
      <c r="FE94" t="s">
        <v>817</v>
      </c>
      <c r="FF94">
        <v>1691177404</v>
      </c>
      <c r="FG94">
        <v>1691177407.5</v>
      </c>
      <c r="FH94">
        <v>91</v>
      </c>
      <c r="FI94">
        <v>0.34399999999999997</v>
      </c>
      <c r="FJ94">
        <v>2.4E-2</v>
      </c>
      <c r="FK94">
        <v>-2.74</v>
      </c>
      <c r="FL94">
        <v>-0.13300000000000001</v>
      </c>
      <c r="FM94">
        <v>400</v>
      </c>
      <c r="FN94">
        <v>18</v>
      </c>
      <c r="FO94">
        <v>0.37</v>
      </c>
      <c r="FP94">
        <v>0.16</v>
      </c>
      <c r="FQ94">
        <v>46.310283671823512</v>
      </c>
      <c r="FR94">
        <v>0.63886846681370002</v>
      </c>
      <c r="FS94">
        <v>9.5507114611485519E-2</v>
      </c>
      <c r="FT94">
        <v>1</v>
      </c>
      <c r="FU94">
        <v>0.44393739771600271</v>
      </c>
      <c r="FV94">
        <v>-4.4186246486824933E-2</v>
      </c>
      <c r="FW94">
        <v>3.6837265351654441E-3</v>
      </c>
      <c r="FX94">
        <v>1</v>
      </c>
      <c r="FY94">
        <v>2</v>
      </c>
      <c r="FZ94">
        <v>2</v>
      </c>
      <c r="GA94" t="s">
        <v>421</v>
      </c>
      <c r="GB94">
        <v>2.91431</v>
      </c>
      <c r="GC94">
        <v>2.8296600000000001</v>
      </c>
      <c r="GD94">
        <v>7.9118300000000003E-2</v>
      </c>
      <c r="GE94">
        <v>8.7315599999999993E-2</v>
      </c>
      <c r="GF94">
        <v>0.12632599999999999</v>
      </c>
      <c r="GG94">
        <v>9.4068200000000005E-2</v>
      </c>
      <c r="GH94">
        <v>23791.9</v>
      </c>
      <c r="GI94">
        <v>29191.9</v>
      </c>
      <c r="GJ94">
        <v>23278.3</v>
      </c>
      <c r="GK94">
        <v>29336.799999999999</v>
      </c>
      <c r="GL94">
        <v>27778.3</v>
      </c>
      <c r="GM94">
        <v>37818.800000000003</v>
      </c>
      <c r="GN94">
        <v>32935.1</v>
      </c>
      <c r="GO94">
        <v>43525.1</v>
      </c>
      <c r="GP94">
        <v>1.9135</v>
      </c>
      <c r="GQ94">
        <v>1.6807000000000001</v>
      </c>
      <c r="GR94">
        <v>-3.6776099999999999E-2</v>
      </c>
      <c r="GS94">
        <v>0</v>
      </c>
      <c r="GT94">
        <v>30.816800000000001</v>
      </c>
      <c r="GU94">
        <v>999.9</v>
      </c>
      <c r="GV94">
        <v>28.5</v>
      </c>
      <c r="GW94">
        <v>46.1</v>
      </c>
      <c r="GX94">
        <v>29.319700000000001</v>
      </c>
      <c r="GY94">
        <v>61.779400000000003</v>
      </c>
      <c r="GZ94">
        <v>35.384599999999999</v>
      </c>
      <c r="HA94">
        <v>1</v>
      </c>
      <c r="HB94">
        <v>0.82893300000000003</v>
      </c>
      <c r="HC94">
        <v>8.4126899999999996</v>
      </c>
      <c r="HD94">
        <v>20.056100000000001</v>
      </c>
      <c r="HE94">
        <v>5.2119</v>
      </c>
      <c r="HF94">
        <v>11.8788</v>
      </c>
      <c r="HG94">
        <v>4.9851999999999999</v>
      </c>
      <c r="HH94">
        <v>3.2839999999999998</v>
      </c>
      <c r="HI94">
        <v>9999</v>
      </c>
      <c r="HJ94">
        <v>9999</v>
      </c>
      <c r="HK94">
        <v>9999</v>
      </c>
      <c r="HL94">
        <v>999.9</v>
      </c>
      <c r="HM94">
        <v>1.85486</v>
      </c>
      <c r="HN94">
        <v>1.8608100000000001</v>
      </c>
      <c r="HO94">
        <v>1.85822</v>
      </c>
      <c r="HP94">
        <v>1.85928</v>
      </c>
      <c r="HQ94">
        <v>1.85867</v>
      </c>
      <c r="HR94">
        <v>1.8591800000000001</v>
      </c>
      <c r="HS94">
        <v>1.85747</v>
      </c>
      <c r="HT94">
        <v>1.8608100000000001</v>
      </c>
      <c r="HU94">
        <v>5</v>
      </c>
      <c r="HV94">
        <v>0</v>
      </c>
      <c r="HW94">
        <v>0</v>
      </c>
      <c r="HX94">
        <v>0</v>
      </c>
      <c r="HY94" t="s">
        <v>422</v>
      </c>
      <c r="HZ94" t="s">
        <v>423</v>
      </c>
      <c r="IA94" t="s">
        <v>424</v>
      </c>
      <c r="IB94" t="s">
        <v>424</v>
      </c>
      <c r="IC94" t="s">
        <v>424</v>
      </c>
      <c r="ID94" t="s">
        <v>424</v>
      </c>
      <c r="IE94">
        <v>0</v>
      </c>
      <c r="IF94">
        <v>100</v>
      </c>
      <c r="IG94">
        <v>100</v>
      </c>
      <c r="IH94">
        <v>-2.57</v>
      </c>
      <c r="II94">
        <v>5.9299999999999999E-2</v>
      </c>
      <c r="IJ94">
        <v>-1.3543717063443279</v>
      </c>
      <c r="IK94">
        <v>-4.1229525807901877E-3</v>
      </c>
      <c r="IL94">
        <v>1.8448211998558991E-6</v>
      </c>
      <c r="IM94">
        <v>-3.7020276670297668E-10</v>
      </c>
      <c r="IN94">
        <v>-0.2029317639671433</v>
      </c>
      <c r="IO94">
        <v>-1.3488639696665739E-2</v>
      </c>
      <c r="IP94">
        <v>1.1588640342490499E-3</v>
      </c>
      <c r="IQ94">
        <v>-1.0624341560077559E-5</v>
      </c>
      <c r="IR94">
        <v>2</v>
      </c>
      <c r="IS94">
        <v>1915</v>
      </c>
      <c r="IT94">
        <v>1</v>
      </c>
      <c r="IU94">
        <v>42</v>
      </c>
      <c r="IV94">
        <v>0.6</v>
      </c>
      <c r="IW94">
        <v>0.5</v>
      </c>
      <c r="IX94">
        <v>1.00952</v>
      </c>
      <c r="IY94">
        <v>2.5061</v>
      </c>
      <c r="IZ94">
        <v>1.49414</v>
      </c>
      <c r="JA94">
        <v>2.2851599999999999</v>
      </c>
      <c r="JB94">
        <v>1.54419</v>
      </c>
      <c r="JC94">
        <v>2.4450699999999999</v>
      </c>
      <c r="JD94">
        <v>49.7699</v>
      </c>
      <c r="JE94">
        <v>23.816099999999999</v>
      </c>
      <c r="JF94">
        <v>18</v>
      </c>
      <c r="JG94">
        <v>515.33299999999997</v>
      </c>
      <c r="JH94">
        <v>389.71600000000001</v>
      </c>
      <c r="JI94">
        <v>22.767800000000001</v>
      </c>
      <c r="JJ94">
        <v>37.161299999999997</v>
      </c>
      <c r="JK94">
        <v>30.001200000000001</v>
      </c>
      <c r="JL94">
        <v>37.209699999999998</v>
      </c>
      <c r="JM94">
        <v>37.198399999999999</v>
      </c>
      <c r="JN94">
        <v>20.283200000000001</v>
      </c>
      <c r="JO94">
        <v>38.888500000000001</v>
      </c>
      <c r="JP94">
        <v>0</v>
      </c>
      <c r="JQ94">
        <v>22.626899999999999</v>
      </c>
      <c r="JR94">
        <v>400</v>
      </c>
      <c r="JS94">
        <v>18.4742</v>
      </c>
      <c r="JT94">
        <v>97.656199999999998</v>
      </c>
      <c r="JU94">
        <v>97.8369</v>
      </c>
    </row>
    <row r="95" spans="1:281" x14ac:dyDescent="0.25">
      <c r="A95">
        <v>79</v>
      </c>
      <c r="B95">
        <v>1691177614</v>
      </c>
      <c r="C95">
        <v>18368.400000095371</v>
      </c>
      <c r="D95" t="s">
        <v>818</v>
      </c>
      <c r="E95" t="s">
        <v>819</v>
      </c>
      <c r="F95" t="s">
        <v>413</v>
      </c>
      <c r="G95" t="s">
        <v>779</v>
      </c>
      <c r="H95" t="s">
        <v>493</v>
      </c>
      <c r="I95" t="s">
        <v>31</v>
      </c>
      <c r="J95">
        <v>1691177614</v>
      </c>
      <c r="K95">
        <f t="shared" si="92"/>
        <v>7.7236290408022523E-3</v>
      </c>
      <c r="L95">
        <f t="shared" si="93"/>
        <v>7.7236290408022521</v>
      </c>
      <c r="M95">
        <f t="shared" si="94"/>
        <v>51.28530047030528</v>
      </c>
      <c r="N95">
        <f t="shared" si="95"/>
        <v>335.52199999999999</v>
      </c>
      <c r="O95">
        <f t="shared" si="96"/>
        <v>130.1011392445034</v>
      </c>
      <c r="P95">
        <f t="shared" si="97"/>
        <v>12.910863668354885</v>
      </c>
      <c r="Q95">
        <f t="shared" si="98"/>
        <v>33.296240331859998</v>
      </c>
      <c r="R95">
        <f t="shared" si="99"/>
        <v>0.44319857913935751</v>
      </c>
      <c r="S95">
        <f t="shared" si="100"/>
        <v>2.9152389579576088</v>
      </c>
      <c r="T95">
        <f t="shared" si="101"/>
        <v>0.40888285697463517</v>
      </c>
      <c r="U95">
        <f t="shared" si="102"/>
        <v>0.258413144970984</v>
      </c>
      <c r="V95">
        <f t="shared" si="103"/>
        <v>344.40389999340232</v>
      </c>
      <c r="W95">
        <f t="shared" si="104"/>
        <v>30.286612485035889</v>
      </c>
      <c r="X95">
        <f t="shared" si="105"/>
        <v>29.998799999999999</v>
      </c>
      <c r="Y95">
        <f t="shared" si="106"/>
        <v>4.260156121150076</v>
      </c>
      <c r="Z95">
        <f t="shared" si="107"/>
        <v>56.61669573784048</v>
      </c>
      <c r="AA95">
        <f t="shared" si="108"/>
        <v>2.4489738941399999</v>
      </c>
      <c r="AB95">
        <f t="shared" si="109"/>
        <v>4.3255330644511583</v>
      </c>
      <c r="AC95">
        <f t="shared" si="110"/>
        <v>1.8111822270100761</v>
      </c>
      <c r="AD95">
        <f t="shared" si="111"/>
        <v>-340.61204069937935</v>
      </c>
      <c r="AE95">
        <f t="shared" si="112"/>
        <v>41.711952660954324</v>
      </c>
      <c r="AF95">
        <f t="shared" si="113"/>
        <v>3.1855971826162195</v>
      </c>
      <c r="AG95">
        <f t="shared" si="114"/>
        <v>48.689409137593515</v>
      </c>
      <c r="AH95">
        <v>0</v>
      </c>
      <c r="AI95">
        <v>0</v>
      </c>
      <c r="AJ95">
        <f t="shared" si="115"/>
        <v>1</v>
      </c>
      <c r="AK95">
        <f t="shared" si="116"/>
        <v>0</v>
      </c>
      <c r="AL95">
        <f t="shared" si="117"/>
        <v>51881.421357943465</v>
      </c>
      <c r="AM95" t="s">
        <v>416</v>
      </c>
      <c r="AN95">
        <v>10235.299999999999</v>
      </c>
      <c r="AO95">
        <v>594.051923076923</v>
      </c>
      <c r="AP95">
        <v>2007.77</v>
      </c>
      <c r="AQ95">
        <f t="shared" si="118"/>
        <v>0.70412351859180933</v>
      </c>
      <c r="AR95">
        <v>-0.54275787784279261</v>
      </c>
      <c r="AS95" t="s">
        <v>820</v>
      </c>
      <c r="AT95">
        <v>10175.6</v>
      </c>
      <c r="AU95">
        <v>693.48199999999997</v>
      </c>
      <c r="AV95">
        <v>1073.37672063179</v>
      </c>
      <c r="AW95">
        <f t="shared" si="119"/>
        <v>0.35392487402576034</v>
      </c>
      <c r="AX95">
        <v>0.5</v>
      </c>
      <c r="AY95">
        <f t="shared" si="120"/>
        <v>1513.3136999967014</v>
      </c>
      <c r="AZ95">
        <f t="shared" si="121"/>
        <v>51.28530047030528</v>
      </c>
      <c r="BA95">
        <f t="shared" si="122"/>
        <v>267.79968031639493</v>
      </c>
      <c r="BB95">
        <f t="shared" si="123"/>
        <v>3.4248059968175169E-2</v>
      </c>
      <c r="BC95">
        <f t="shared" si="124"/>
        <v>0.87051755586633706</v>
      </c>
      <c r="BD95">
        <f t="shared" si="125"/>
        <v>472.38242627888042</v>
      </c>
      <c r="BE95" t="s">
        <v>821</v>
      </c>
      <c r="BF95">
        <v>540.47</v>
      </c>
      <c r="BG95">
        <f t="shared" si="126"/>
        <v>540.47</v>
      </c>
      <c r="BH95">
        <f t="shared" si="127"/>
        <v>0.49647687562864307</v>
      </c>
      <c r="BI95">
        <f t="shared" si="128"/>
        <v>0.71287282731470181</v>
      </c>
      <c r="BJ95">
        <f t="shared" si="129"/>
        <v>0.63681134012690654</v>
      </c>
      <c r="BK95">
        <f t="shared" si="130"/>
        <v>0.79256220952829903</v>
      </c>
      <c r="BL95">
        <f t="shared" si="131"/>
        <v>0.66094739440687789</v>
      </c>
      <c r="BM95">
        <f t="shared" si="132"/>
        <v>0.55558237557539625</v>
      </c>
      <c r="BN95">
        <f t="shared" si="133"/>
        <v>0.44441762442460375</v>
      </c>
      <c r="BO95">
        <v>12625</v>
      </c>
      <c r="BP95">
        <v>290.00000000000011</v>
      </c>
      <c r="BQ95">
        <v>957.03</v>
      </c>
      <c r="BR95">
        <v>285</v>
      </c>
      <c r="BS95">
        <v>10175.6</v>
      </c>
      <c r="BT95">
        <v>956.16</v>
      </c>
      <c r="BU95">
        <v>0.87</v>
      </c>
      <c r="BV95">
        <v>300.00000000000011</v>
      </c>
      <c r="BW95">
        <v>24.2</v>
      </c>
      <c r="BX95">
        <v>1073.37672063179</v>
      </c>
      <c r="BY95">
        <v>2.2633237564070909</v>
      </c>
      <c r="BZ95">
        <v>-119.2779728469576</v>
      </c>
      <c r="CA95">
        <v>2.051217512544862</v>
      </c>
      <c r="CB95">
        <v>0.99178742101680295</v>
      </c>
      <c r="CC95">
        <v>-6.9542892102335907E-3</v>
      </c>
      <c r="CD95">
        <v>289.99999999999989</v>
      </c>
      <c r="CE95">
        <v>945.44</v>
      </c>
      <c r="CF95">
        <v>625</v>
      </c>
      <c r="CG95">
        <v>10160.1</v>
      </c>
      <c r="CH95">
        <v>955.98</v>
      </c>
      <c r="CI95">
        <v>-10.54</v>
      </c>
      <c r="CW95">
        <f t="shared" si="134"/>
        <v>1800.15</v>
      </c>
      <c r="CX95">
        <f t="shared" si="135"/>
        <v>1513.3136999967014</v>
      </c>
      <c r="CY95">
        <f t="shared" si="136"/>
        <v>0.84065977834997152</v>
      </c>
      <c r="CZ95">
        <f t="shared" si="137"/>
        <v>0.19131955669994294</v>
      </c>
      <c r="DA95">
        <v>6</v>
      </c>
      <c r="DB95">
        <v>0.5</v>
      </c>
      <c r="DC95" t="s">
        <v>419</v>
      </c>
      <c r="DD95">
        <v>2</v>
      </c>
      <c r="DE95">
        <v>1691177614</v>
      </c>
      <c r="DF95">
        <v>335.52199999999999</v>
      </c>
      <c r="DG95">
        <v>400.15600000000001</v>
      </c>
      <c r="DH95">
        <v>24.678000000000001</v>
      </c>
      <c r="DI95">
        <v>15.6409</v>
      </c>
      <c r="DJ95">
        <v>338.29500000000002</v>
      </c>
      <c r="DK95">
        <v>24.88</v>
      </c>
      <c r="DL95">
        <v>500.14</v>
      </c>
      <c r="DM95">
        <v>99.136899999999997</v>
      </c>
      <c r="DN95">
        <v>0.10023</v>
      </c>
      <c r="DO95">
        <v>30.264199999999999</v>
      </c>
      <c r="DP95">
        <v>29.998799999999999</v>
      </c>
      <c r="DQ95">
        <v>999.9</v>
      </c>
      <c r="DR95">
        <v>0</v>
      </c>
      <c r="DS95">
        <v>0</v>
      </c>
      <c r="DT95">
        <v>10005</v>
      </c>
      <c r="DU95">
        <v>0</v>
      </c>
      <c r="DV95">
        <v>1684.25</v>
      </c>
      <c r="DW95">
        <v>-64.413899999999998</v>
      </c>
      <c r="DX95">
        <v>344.31400000000002</v>
      </c>
      <c r="DY95">
        <v>406.51400000000001</v>
      </c>
      <c r="DZ95">
        <v>9.2542899999999992</v>
      </c>
      <c r="EA95">
        <v>400.15600000000001</v>
      </c>
      <c r="EB95">
        <v>15.6409</v>
      </c>
      <c r="EC95">
        <v>2.4680399999999998</v>
      </c>
      <c r="ED95">
        <v>1.5505899999999999</v>
      </c>
      <c r="EE95">
        <v>20.8172</v>
      </c>
      <c r="EF95">
        <v>13.4764</v>
      </c>
      <c r="EG95">
        <v>1800.15</v>
      </c>
      <c r="EH95">
        <v>0.97800799999999999</v>
      </c>
      <c r="EI95">
        <v>2.1992100000000001E-2</v>
      </c>
      <c r="EJ95">
        <v>0</v>
      </c>
      <c r="EK95">
        <v>691.28</v>
      </c>
      <c r="EL95">
        <v>0.100005</v>
      </c>
      <c r="EM95">
        <v>17170.7</v>
      </c>
      <c r="EN95">
        <v>14863.8</v>
      </c>
      <c r="EO95">
        <v>49.686999999999998</v>
      </c>
      <c r="EP95">
        <v>52.061999999999998</v>
      </c>
      <c r="EQ95">
        <v>50.5</v>
      </c>
      <c r="ER95">
        <v>50.936999999999998</v>
      </c>
      <c r="ES95">
        <v>50.75</v>
      </c>
      <c r="ET95">
        <v>1760.46</v>
      </c>
      <c r="EU95">
        <v>39.590000000000003</v>
      </c>
      <c r="EV95">
        <v>0</v>
      </c>
      <c r="EW95">
        <v>174.60000014305109</v>
      </c>
      <c r="EX95">
        <v>0</v>
      </c>
      <c r="EY95">
        <v>693.48199999999997</v>
      </c>
      <c r="EZ95">
        <v>3.4796153407821291</v>
      </c>
      <c r="FA95">
        <v>-1528.023077026359</v>
      </c>
      <c r="FB95">
        <v>17054.867999999999</v>
      </c>
      <c r="FC95">
        <v>15</v>
      </c>
      <c r="FD95">
        <v>1691177644.5</v>
      </c>
      <c r="FE95" t="s">
        <v>822</v>
      </c>
      <c r="FF95">
        <v>1691177644.5</v>
      </c>
      <c r="FG95">
        <v>1691177641</v>
      </c>
      <c r="FH95">
        <v>92</v>
      </c>
      <c r="FI95">
        <v>-3.3000000000000002E-2</v>
      </c>
      <c r="FJ95">
        <v>-3.4000000000000002E-2</v>
      </c>
      <c r="FK95">
        <v>-2.7730000000000001</v>
      </c>
      <c r="FL95">
        <v>-0.20200000000000001</v>
      </c>
      <c r="FM95">
        <v>400</v>
      </c>
      <c r="FN95">
        <v>16</v>
      </c>
      <c r="FO95">
        <v>0.12</v>
      </c>
      <c r="FP95">
        <v>0.03</v>
      </c>
      <c r="FQ95">
        <v>50.59920401400354</v>
      </c>
      <c r="FR95">
        <v>0.57251231364548194</v>
      </c>
      <c r="FS95">
        <v>0.1218044249598579</v>
      </c>
      <c r="FT95">
        <v>1</v>
      </c>
      <c r="FU95">
        <v>0.45915897042241299</v>
      </c>
      <c r="FV95">
        <v>2.1265276243516138E-3</v>
      </c>
      <c r="FW95">
        <v>1.139861464851399E-3</v>
      </c>
      <c r="FX95">
        <v>1</v>
      </c>
      <c r="FY95">
        <v>2</v>
      </c>
      <c r="FZ95">
        <v>2</v>
      </c>
      <c r="GA95" t="s">
        <v>421</v>
      </c>
      <c r="GB95">
        <v>2.9141400000000002</v>
      </c>
      <c r="GC95">
        <v>2.8301599999999998</v>
      </c>
      <c r="GD95">
        <v>7.8043500000000002E-2</v>
      </c>
      <c r="GE95">
        <v>8.7303599999999995E-2</v>
      </c>
      <c r="GF95">
        <v>0.120381</v>
      </c>
      <c r="GG95">
        <v>8.3156900000000006E-2</v>
      </c>
      <c r="GH95">
        <v>23810.7</v>
      </c>
      <c r="GI95">
        <v>29179</v>
      </c>
      <c r="GJ95">
        <v>23270.400000000001</v>
      </c>
      <c r="GK95">
        <v>29324.7</v>
      </c>
      <c r="GL95">
        <v>27957.4</v>
      </c>
      <c r="GM95">
        <v>38254.800000000003</v>
      </c>
      <c r="GN95">
        <v>32924</v>
      </c>
      <c r="GO95">
        <v>43508.5</v>
      </c>
      <c r="GP95">
        <v>1.9120999999999999</v>
      </c>
      <c r="GQ95">
        <v>1.6729000000000001</v>
      </c>
      <c r="GR95">
        <v>-9.3996499999999997E-2</v>
      </c>
      <c r="GS95">
        <v>0</v>
      </c>
      <c r="GT95">
        <v>31.526499999999999</v>
      </c>
      <c r="GU95">
        <v>999.9</v>
      </c>
      <c r="GV95">
        <v>28.5</v>
      </c>
      <c r="GW95">
        <v>46.1</v>
      </c>
      <c r="GX95">
        <v>29.319199999999999</v>
      </c>
      <c r="GY95">
        <v>61.839399999999998</v>
      </c>
      <c r="GZ95">
        <v>35.200299999999999</v>
      </c>
      <c r="HA95">
        <v>1</v>
      </c>
      <c r="HB95">
        <v>0.85276399999999997</v>
      </c>
      <c r="HC95">
        <v>8.0848600000000008</v>
      </c>
      <c r="HD95">
        <v>20.078800000000001</v>
      </c>
      <c r="HE95">
        <v>5.2130999999999998</v>
      </c>
      <c r="HF95">
        <v>11.8842</v>
      </c>
      <c r="HG95">
        <v>4.9851999999999999</v>
      </c>
      <c r="HH95">
        <v>3.2839999999999998</v>
      </c>
      <c r="HI95">
        <v>9999</v>
      </c>
      <c r="HJ95">
        <v>9999</v>
      </c>
      <c r="HK95">
        <v>9999</v>
      </c>
      <c r="HL95">
        <v>999.9</v>
      </c>
      <c r="HM95">
        <v>1.85486</v>
      </c>
      <c r="HN95">
        <v>1.8608100000000001</v>
      </c>
      <c r="HO95">
        <v>1.85822</v>
      </c>
      <c r="HP95">
        <v>1.85928</v>
      </c>
      <c r="HQ95">
        <v>1.85867</v>
      </c>
      <c r="HR95">
        <v>1.85924</v>
      </c>
      <c r="HS95">
        <v>1.85745</v>
      </c>
      <c r="HT95">
        <v>1.8608100000000001</v>
      </c>
      <c r="HU95">
        <v>5</v>
      </c>
      <c r="HV95">
        <v>0</v>
      </c>
      <c r="HW95">
        <v>0</v>
      </c>
      <c r="HX95">
        <v>0</v>
      </c>
      <c r="HY95" t="s">
        <v>422</v>
      </c>
      <c r="HZ95" t="s">
        <v>423</v>
      </c>
      <c r="IA95" t="s">
        <v>424</v>
      </c>
      <c r="IB95" t="s">
        <v>424</v>
      </c>
      <c r="IC95" t="s">
        <v>424</v>
      </c>
      <c r="ID95" t="s">
        <v>424</v>
      </c>
      <c r="IE95">
        <v>0</v>
      </c>
      <c r="IF95">
        <v>100</v>
      </c>
      <c r="IG95">
        <v>100</v>
      </c>
      <c r="IH95">
        <v>-2.7730000000000001</v>
      </c>
      <c r="II95">
        <v>-0.20200000000000001</v>
      </c>
      <c r="IJ95">
        <v>-1.3543717063443279</v>
      </c>
      <c r="IK95">
        <v>-4.1229525807901877E-3</v>
      </c>
      <c r="IL95">
        <v>1.8448211998558991E-6</v>
      </c>
      <c r="IM95">
        <v>-3.7020276670297668E-10</v>
      </c>
      <c r="IN95">
        <v>-0.2029317639671433</v>
      </c>
      <c r="IO95">
        <v>-1.3488639696665739E-2</v>
      </c>
      <c r="IP95">
        <v>1.1588640342490499E-3</v>
      </c>
      <c r="IQ95">
        <v>-1.0624341560077559E-5</v>
      </c>
      <c r="IR95">
        <v>2</v>
      </c>
      <c r="IS95">
        <v>1915</v>
      </c>
      <c r="IT95">
        <v>1</v>
      </c>
      <c r="IU95">
        <v>42</v>
      </c>
      <c r="IV95">
        <v>3.5</v>
      </c>
      <c r="IW95">
        <v>3.4</v>
      </c>
      <c r="IX95">
        <v>1.00708</v>
      </c>
      <c r="IY95">
        <v>2.50854</v>
      </c>
      <c r="IZ95">
        <v>1.49414</v>
      </c>
      <c r="JA95">
        <v>2.2851599999999999</v>
      </c>
      <c r="JB95">
        <v>1.54419</v>
      </c>
      <c r="JC95">
        <v>2.3877000000000002</v>
      </c>
      <c r="JD95">
        <v>49.738</v>
      </c>
      <c r="JE95">
        <v>23.8248</v>
      </c>
      <c r="JF95">
        <v>18</v>
      </c>
      <c r="JG95">
        <v>514.97900000000004</v>
      </c>
      <c r="JH95">
        <v>385.29300000000001</v>
      </c>
      <c r="JI95">
        <v>21.451799999999999</v>
      </c>
      <c r="JJ95">
        <v>37.411299999999997</v>
      </c>
      <c r="JK95">
        <v>30.0014</v>
      </c>
      <c r="JL95">
        <v>37.288800000000002</v>
      </c>
      <c r="JM95">
        <v>37.273000000000003</v>
      </c>
      <c r="JN95">
        <v>20.237200000000001</v>
      </c>
      <c r="JO95">
        <v>49.393999999999998</v>
      </c>
      <c r="JP95">
        <v>0</v>
      </c>
      <c r="JQ95">
        <v>21.4483</v>
      </c>
      <c r="JR95">
        <v>400</v>
      </c>
      <c r="JS95">
        <v>15.6187</v>
      </c>
      <c r="JT95">
        <v>97.623000000000005</v>
      </c>
      <c r="JU95">
        <v>97.798400000000001</v>
      </c>
    </row>
    <row r="96" spans="1:281" x14ac:dyDescent="0.25">
      <c r="A96">
        <v>80</v>
      </c>
      <c r="B96">
        <v>1691177735.5</v>
      </c>
      <c r="C96">
        <v>18489.900000095371</v>
      </c>
      <c r="D96" t="s">
        <v>823</v>
      </c>
      <c r="E96" t="s">
        <v>824</v>
      </c>
      <c r="F96" t="s">
        <v>413</v>
      </c>
      <c r="G96" t="s">
        <v>779</v>
      </c>
      <c r="H96" t="s">
        <v>493</v>
      </c>
      <c r="I96" t="s">
        <v>31</v>
      </c>
      <c r="J96">
        <v>1691177735.5</v>
      </c>
      <c r="K96">
        <f t="shared" si="92"/>
        <v>7.4055829761354598E-3</v>
      </c>
      <c r="L96">
        <f t="shared" si="93"/>
        <v>7.4055829761354595</v>
      </c>
      <c r="M96">
        <f t="shared" si="94"/>
        <v>53.141464857628407</v>
      </c>
      <c r="N96">
        <f t="shared" si="95"/>
        <v>432.42599999999999</v>
      </c>
      <c r="O96">
        <f t="shared" si="96"/>
        <v>201.47984711493555</v>
      </c>
      <c r="P96">
        <f t="shared" si="97"/>
        <v>19.993349734752233</v>
      </c>
      <c r="Q96">
        <f t="shared" si="98"/>
        <v>42.910714774703997</v>
      </c>
      <c r="R96">
        <f t="shared" si="99"/>
        <v>0.41004135145599507</v>
      </c>
      <c r="S96">
        <f t="shared" si="100"/>
        <v>2.9125210572439166</v>
      </c>
      <c r="T96">
        <f t="shared" si="101"/>
        <v>0.38045923598655051</v>
      </c>
      <c r="U96">
        <f t="shared" si="102"/>
        <v>0.24026676928529378</v>
      </c>
      <c r="V96">
        <f t="shared" si="103"/>
        <v>344.3835999934002</v>
      </c>
      <c r="W96">
        <f t="shared" si="104"/>
        <v>30.212697559345816</v>
      </c>
      <c r="X96">
        <f t="shared" si="105"/>
        <v>29.998100000000001</v>
      </c>
      <c r="Y96">
        <f t="shared" si="106"/>
        <v>4.2599848327207841</v>
      </c>
      <c r="Z96">
        <f t="shared" si="107"/>
        <v>55.826923665778381</v>
      </c>
      <c r="AA96">
        <f t="shared" si="108"/>
        <v>2.3931902989680003</v>
      </c>
      <c r="AB96">
        <f t="shared" si="109"/>
        <v>4.2868031082913021</v>
      </c>
      <c r="AC96">
        <f t="shared" si="110"/>
        <v>1.8667945337527838</v>
      </c>
      <c r="AD96">
        <f t="shared" si="111"/>
        <v>-326.58620924757378</v>
      </c>
      <c r="AE96">
        <f t="shared" si="112"/>
        <v>17.16226799152766</v>
      </c>
      <c r="AF96">
        <f t="shared" si="113"/>
        <v>1.3109058910356755</v>
      </c>
      <c r="AG96">
        <f t="shared" si="114"/>
        <v>36.270564628389778</v>
      </c>
      <c r="AH96">
        <v>0</v>
      </c>
      <c r="AI96">
        <v>0</v>
      </c>
      <c r="AJ96">
        <f t="shared" si="115"/>
        <v>1</v>
      </c>
      <c r="AK96">
        <f t="shared" si="116"/>
        <v>0</v>
      </c>
      <c r="AL96">
        <f t="shared" si="117"/>
        <v>51830.839356512566</v>
      </c>
      <c r="AM96" t="s">
        <v>416</v>
      </c>
      <c r="AN96">
        <v>10235.299999999999</v>
      </c>
      <c r="AO96">
        <v>594.051923076923</v>
      </c>
      <c r="AP96">
        <v>2007.77</v>
      </c>
      <c r="AQ96">
        <f t="shared" si="118"/>
        <v>0.70412351859180933</v>
      </c>
      <c r="AR96">
        <v>-0.54275787784279261</v>
      </c>
      <c r="AS96" t="s">
        <v>825</v>
      </c>
      <c r="AT96">
        <v>10187</v>
      </c>
      <c r="AU96">
        <v>706.17</v>
      </c>
      <c r="AV96">
        <v>1115.344558920779</v>
      </c>
      <c r="AW96">
        <f t="shared" si="119"/>
        <v>0.36685933117986547</v>
      </c>
      <c r="AX96">
        <v>0.5</v>
      </c>
      <c r="AY96">
        <f t="shared" si="120"/>
        <v>1513.2215999967002</v>
      </c>
      <c r="AZ96">
        <f t="shared" si="121"/>
        <v>53.141464857628407</v>
      </c>
      <c r="BA96">
        <f t="shared" si="122"/>
        <v>277.56973205085768</v>
      </c>
      <c r="BB96">
        <f t="shared" si="123"/>
        <v>3.5476775335210826E-2</v>
      </c>
      <c r="BC96">
        <f t="shared" si="124"/>
        <v>0.80013430284067788</v>
      </c>
      <c r="BD96">
        <f t="shared" si="125"/>
        <v>480.3365946931811</v>
      </c>
      <c r="BE96" t="s">
        <v>826</v>
      </c>
      <c r="BF96">
        <v>549.04</v>
      </c>
      <c r="BG96">
        <f t="shared" si="126"/>
        <v>549.04</v>
      </c>
      <c r="BH96">
        <f t="shared" si="127"/>
        <v>0.50773956298199208</v>
      </c>
      <c r="BI96">
        <f t="shared" si="128"/>
        <v>0.72253446043336356</v>
      </c>
      <c r="BJ96">
        <f t="shared" si="129"/>
        <v>0.61178246905131239</v>
      </c>
      <c r="BK96">
        <f t="shared" si="130"/>
        <v>0.78492296032230935</v>
      </c>
      <c r="BL96">
        <f t="shared" si="131"/>
        <v>0.63126125049031223</v>
      </c>
      <c r="BM96">
        <f t="shared" si="132"/>
        <v>0.56176320171677341</v>
      </c>
      <c r="BN96">
        <f t="shared" si="133"/>
        <v>0.43823679828322659</v>
      </c>
      <c r="BO96">
        <v>12627</v>
      </c>
      <c r="BP96">
        <v>290.00000000000011</v>
      </c>
      <c r="BQ96">
        <v>990.33</v>
      </c>
      <c r="BR96">
        <v>185</v>
      </c>
      <c r="BS96">
        <v>10187</v>
      </c>
      <c r="BT96">
        <v>990.68</v>
      </c>
      <c r="BU96">
        <v>-0.35</v>
      </c>
      <c r="BV96">
        <v>300.00000000000011</v>
      </c>
      <c r="BW96">
        <v>24.2</v>
      </c>
      <c r="BX96">
        <v>1115.344558920779</v>
      </c>
      <c r="BY96">
        <v>2.237234549887515</v>
      </c>
      <c r="BZ96">
        <v>-126.997648923894</v>
      </c>
      <c r="CA96">
        <v>2.0271640489106582</v>
      </c>
      <c r="CB96">
        <v>0.99291634955128183</v>
      </c>
      <c r="CC96">
        <v>-6.9536551724138033E-3</v>
      </c>
      <c r="CD96">
        <v>289.99999999999989</v>
      </c>
      <c r="CE96">
        <v>980.46</v>
      </c>
      <c r="CF96">
        <v>645</v>
      </c>
      <c r="CG96">
        <v>10156.799999999999</v>
      </c>
      <c r="CH96">
        <v>990.31</v>
      </c>
      <c r="CI96">
        <v>-9.85</v>
      </c>
      <c r="CW96">
        <f t="shared" si="134"/>
        <v>1800.04</v>
      </c>
      <c r="CX96">
        <f t="shared" si="135"/>
        <v>1513.2215999967002</v>
      </c>
      <c r="CY96">
        <f t="shared" si="136"/>
        <v>0.84065998533182607</v>
      </c>
      <c r="CZ96">
        <f t="shared" si="137"/>
        <v>0.19131997066365203</v>
      </c>
      <c r="DA96">
        <v>6</v>
      </c>
      <c r="DB96">
        <v>0.5</v>
      </c>
      <c r="DC96" t="s">
        <v>419</v>
      </c>
      <c r="DD96">
        <v>2</v>
      </c>
      <c r="DE96">
        <v>1691177735.5</v>
      </c>
      <c r="DF96">
        <v>432.42599999999999</v>
      </c>
      <c r="DG96">
        <v>499.99900000000002</v>
      </c>
      <c r="DH96">
        <v>24.117000000000001</v>
      </c>
      <c r="DI96">
        <v>15.4497</v>
      </c>
      <c r="DJ96">
        <v>435.38799999999998</v>
      </c>
      <c r="DK96">
        <v>24.327999999999999</v>
      </c>
      <c r="DL96">
        <v>500.29300000000001</v>
      </c>
      <c r="DM96">
        <v>99.131600000000006</v>
      </c>
      <c r="DN96">
        <v>0.10090399999999999</v>
      </c>
      <c r="DO96">
        <v>30.107399999999998</v>
      </c>
      <c r="DP96">
        <v>29.998100000000001</v>
      </c>
      <c r="DQ96">
        <v>999.9</v>
      </c>
      <c r="DR96">
        <v>0</v>
      </c>
      <c r="DS96">
        <v>0</v>
      </c>
      <c r="DT96">
        <v>9990</v>
      </c>
      <c r="DU96">
        <v>0</v>
      </c>
      <c r="DV96">
        <v>604.26300000000003</v>
      </c>
      <c r="DW96">
        <v>-67.474699999999999</v>
      </c>
      <c r="DX96">
        <v>443.29500000000002</v>
      </c>
      <c r="DY96">
        <v>507.84500000000003</v>
      </c>
      <c r="DZ96">
        <v>8.8464700000000001</v>
      </c>
      <c r="EA96">
        <v>499.99900000000002</v>
      </c>
      <c r="EB96">
        <v>15.4497</v>
      </c>
      <c r="EC96">
        <v>2.4085100000000002</v>
      </c>
      <c r="ED96">
        <v>1.53155</v>
      </c>
      <c r="EE96">
        <v>20.421099999999999</v>
      </c>
      <c r="EF96">
        <v>13.286799999999999</v>
      </c>
      <c r="EG96">
        <v>1800.04</v>
      </c>
      <c r="EH96">
        <v>0.97799999999999998</v>
      </c>
      <c r="EI96">
        <v>2.20004E-2</v>
      </c>
      <c r="EJ96">
        <v>0</v>
      </c>
      <c r="EK96">
        <v>707.39499999999998</v>
      </c>
      <c r="EL96">
        <v>0.100005</v>
      </c>
      <c r="EM96">
        <v>14627.8</v>
      </c>
      <c r="EN96">
        <v>14862.8</v>
      </c>
      <c r="EO96">
        <v>49.875</v>
      </c>
      <c r="EP96">
        <v>52.436999999999998</v>
      </c>
      <c r="EQ96">
        <v>50.75</v>
      </c>
      <c r="ER96">
        <v>51.311999999999998</v>
      </c>
      <c r="ES96">
        <v>51</v>
      </c>
      <c r="ET96">
        <v>1760.34</v>
      </c>
      <c r="EU96">
        <v>39.6</v>
      </c>
      <c r="EV96">
        <v>0</v>
      </c>
      <c r="EW96">
        <v>119.6000001430511</v>
      </c>
      <c r="EX96">
        <v>0</v>
      </c>
      <c r="EY96">
        <v>706.17</v>
      </c>
      <c r="EZ96">
        <v>5.1465383170507346</v>
      </c>
      <c r="FA96">
        <v>-9213.8692312423245</v>
      </c>
      <c r="FB96">
        <v>15876.288</v>
      </c>
      <c r="FC96">
        <v>15</v>
      </c>
      <c r="FD96">
        <v>1691177767</v>
      </c>
      <c r="FE96" t="s">
        <v>827</v>
      </c>
      <c r="FF96">
        <v>1691177767</v>
      </c>
      <c r="FG96">
        <v>1691177763.5</v>
      </c>
      <c r="FH96">
        <v>93</v>
      </c>
      <c r="FI96">
        <v>0.08</v>
      </c>
      <c r="FJ96">
        <v>-5.0000000000000001E-3</v>
      </c>
      <c r="FK96">
        <v>-2.9620000000000002</v>
      </c>
      <c r="FL96">
        <v>-0.21099999999999999</v>
      </c>
      <c r="FM96">
        <v>500</v>
      </c>
      <c r="FN96">
        <v>15</v>
      </c>
      <c r="FO96">
        <v>0.12</v>
      </c>
      <c r="FP96">
        <v>0.04</v>
      </c>
      <c r="FQ96">
        <v>53.150000281998459</v>
      </c>
      <c r="FR96">
        <v>-0.37823010078805391</v>
      </c>
      <c r="FS96">
        <v>0.1029950848973674</v>
      </c>
      <c r="FT96">
        <v>1</v>
      </c>
      <c r="FU96">
        <v>0.42920435671481932</v>
      </c>
      <c r="FV96">
        <v>-4.210835882647937E-2</v>
      </c>
      <c r="FW96">
        <v>3.1697070752481011E-3</v>
      </c>
      <c r="FX96">
        <v>1</v>
      </c>
      <c r="FY96">
        <v>2</v>
      </c>
      <c r="FZ96">
        <v>2</v>
      </c>
      <c r="GA96" t="s">
        <v>421</v>
      </c>
      <c r="GB96">
        <v>2.9142100000000002</v>
      </c>
      <c r="GC96">
        <v>2.8307000000000002</v>
      </c>
      <c r="GD96">
        <v>9.4800400000000007E-2</v>
      </c>
      <c r="GE96">
        <v>0.103112</v>
      </c>
      <c r="GF96">
        <v>0.118419</v>
      </c>
      <c r="GG96">
        <v>8.2363500000000006E-2</v>
      </c>
      <c r="GH96">
        <v>23366.799999999999</v>
      </c>
      <c r="GI96">
        <v>28657.599999999999</v>
      </c>
      <c r="GJ96">
        <v>23259.8</v>
      </c>
      <c r="GK96">
        <v>29309.599999999999</v>
      </c>
      <c r="GL96">
        <v>28008.799999999999</v>
      </c>
      <c r="GM96">
        <v>38272.6</v>
      </c>
      <c r="GN96">
        <v>32908.400000000001</v>
      </c>
      <c r="GO96">
        <v>43489.9</v>
      </c>
      <c r="GP96">
        <v>1.9092</v>
      </c>
      <c r="GQ96">
        <v>1.6684000000000001</v>
      </c>
      <c r="GR96">
        <v>-0.104308</v>
      </c>
      <c r="GS96">
        <v>0</v>
      </c>
      <c r="GT96">
        <v>31.693200000000001</v>
      </c>
      <c r="GU96">
        <v>999.9</v>
      </c>
      <c r="GV96">
        <v>28.4</v>
      </c>
      <c r="GW96">
        <v>46.1</v>
      </c>
      <c r="GX96">
        <v>29.217600000000001</v>
      </c>
      <c r="GY96">
        <v>61.8294</v>
      </c>
      <c r="GZ96">
        <v>35.665100000000002</v>
      </c>
      <c r="HA96">
        <v>1</v>
      </c>
      <c r="HB96">
        <v>0.88361800000000001</v>
      </c>
      <c r="HC96">
        <v>8.5276899999999998</v>
      </c>
      <c r="HD96">
        <v>20.057600000000001</v>
      </c>
      <c r="HE96">
        <v>5.2107000000000001</v>
      </c>
      <c r="HF96">
        <v>11.8842</v>
      </c>
      <c r="HG96">
        <v>4.9851999999999999</v>
      </c>
      <c r="HH96">
        <v>3.2839999999999998</v>
      </c>
      <c r="HI96">
        <v>9999</v>
      </c>
      <c r="HJ96">
        <v>9999</v>
      </c>
      <c r="HK96">
        <v>9999</v>
      </c>
      <c r="HL96">
        <v>999.9</v>
      </c>
      <c r="HM96">
        <v>1.85483</v>
      </c>
      <c r="HN96">
        <v>1.8608100000000001</v>
      </c>
      <c r="HO96">
        <v>1.85816</v>
      </c>
      <c r="HP96">
        <v>1.8592599999999999</v>
      </c>
      <c r="HQ96">
        <v>1.8585499999999999</v>
      </c>
      <c r="HR96">
        <v>1.8591299999999999</v>
      </c>
      <c r="HS96">
        <v>1.85745</v>
      </c>
      <c r="HT96">
        <v>1.86077</v>
      </c>
      <c r="HU96">
        <v>5</v>
      </c>
      <c r="HV96">
        <v>0</v>
      </c>
      <c r="HW96">
        <v>0</v>
      </c>
      <c r="HX96">
        <v>0</v>
      </c>
      <c r="HY96" t="s">
        <v>422</v>
      </c>
      <c r="HZ96" t="s">
        <v>423</v>
      </c>
      <c r="IA96" t="s">
        <v>424</v>
      </c>
      <c r="IB96" t="s">
        <v>424</v>
      </c>
      <c r="IC96" t="s">
        <v>424</v>
      </c>
      <c r="ID96" t="s">
        <v>424</v>
      </c>
      <c r="IE96">
        <v>0</v>
      </c>
      <c r="IF96">
        <v>100</v>
      </c>
      <c r="IG96">
        <v>100</v>
      </c>
      <c r="IH96">
        <v>-2.9620000000000002</v>
      </c>
      <c r="II96">
        <v>-0.21099999999999999</v>
      </c>
      <c r="IJ96">
        <v>-1.387488553253303</v>
      </c>
      <c r="IK96">
        <v>-4.1229525807901877E-3</v>
      </c>
      <c r="IL96">
        <v>1.8448211998558991E-6</v>
      </c>
      <c r="IM96">
        <v>-3.7020276670297668E-10</v>
      </c>
      <c r="IN96">
        <v>-0.23663292470001371</v>
      </c>
      <c r="IO96">
        <v>-1.3488639696665739E-2</v>
      </c>
      <c r="IP96">
        <v>1.1588640342490499E-3</v>
      </c>
      <c r="IQ96">
        <v>-1.0624341560077559E-5</v>
      </c>
      <c r="IR96">
        <v>2</v>
      </c>
      <c r="IS96">
        <v>1915</v>
      </c>
      <c r="IT96">
        <v>1</v>
      </c>
      <c r="IU96">
        <v>42</v>
      </c>
      <c r="IV96">
        <v>1.5</v>
      </c>
      <c r="IW96">
        <v>1.6</v>
      </c>
      <c r="IX96">
        <v>1.2048300000000001</v>
      </c>
      <c r="IY96">
        <v>2.50122</v>
      </c>
      <c r="IZ96">
        <v>1.49414</v>
      </c>
      <c r="JA96">
        <v>2.2851599999999999</v>
      </c>
      <c r="JB96">
        <v>1.54419</v>
      </c>
      <c r="JC96">
        <v>2.3791500000000001</v>
      </c>
      <c r="JD96">
        <v>49.8018</v>
      </c>
      <c r="JE96">
        <v>23.816099999999999</v>
      </c>
      <c r="JF96">
        <v>18</v>
      </c>
      <c r="JG96">
        <v>514.63400000000001</v>
      </c>
      <c r="JH96">
        <v>383.68599999999998</v>
      </c>
      <c r="JI96">
        <v>21.0867</v>
      </c>
      <c r="JJ96">
        <v>37.721299999999999</v>
      </c>
      <c r="JK96">
        <v>30.0014</v>
      </c>
      <c r="JL96">
        <v>37.502699999999997</v>
      </c>
      <c r="JM96">
        <v>37.470799999999997</v>
      </c>
      <c r="JN96">
        <v>24.183199999999999</v>
      </c>
      <c r="JO96">
        <v>50.076300000000003</v>
      </c>
      <c r="JP96">
        <v>0</v>
      </c>
      <c r="JQ96">
        <v>21.089300000000001</v>
      </c>
      <c r="JR96">
        <v>500</v>
      </c>
      <c r="JS96">
        <v>15.272500000000001</v>
      </c>
      <c r="JT96">
        <v>97.577500000000001</v>
      </c>
      <c r="JU96">
        <v>97.753100000000003</v>
      </c>
    </row>
    <row r="97" spans="1:281" x14ac:dyDescent="0.25">
      <c r="A97">
        <v>81</v>
      </c>
      <c r="B97">
        <v>1691177858</v>
      </c>
      <c r="C97">
        <v>18612.400000095371</v>
      </c>
      <c r="D97" t="s">
        <v>828</v>
      </c>
      <c r="E97" t="s">
        <v>829</v>
      </c>
      <c r="F97" t="s">
        <v>413</v>
      </c>
      <c r="G97" t="s">
        <v>779</v>
      </c>
      <c r="H97" t="s">
        <v>493</v>
      </c>
      <c r="I97" t="s">
        <v>31</v>
      </c>
      <c r="J97">
        <v>1691177858</v>
      </c>
      <c r="K97">
        <f t="shared" si="92"/>
        <v>5.6412534119093674E-3</v>
      </c>
      <c r="L97">
        <f t="shared" si="93"/>
        <v>5.6412534119093678</v>
      </c>
      <c r="M97">
        <f t="shared" si="94"/>
        <v>53.659531641389243</v>
      </c>
      <c r="N97">
        <f t="shared" si="95"/>
        <v>631.20399999999995</v>
      </c>
      <c r="O97">
        <f t="shared" si="96"/>
        <v>343.64479135382555</v>
      </c>
      <c r="P97">
        <f t="shared" si="97"/>
        <v>34.101501522351128</v>
      </c>
      <c r="Q97">
        <f t="shared" si="98"/>
        <v>62.637364826959995</v>
      </c>
      <c r="R97">
        <f t="shared" si="99"/>
        <v>0.33076549914384973</v>
      </c>
      <c r="S97">
        <f t="shared" si="100"/>
        <v>2.9099451836351449</v>
      </c>
      <c r="T97">
        <f t="shared" si="101"/>
        <v>0.31120771227519256</v>
      </c>
      <c r="U97">
        <f t="shared" si="102"/>
        <v>0.19616557036070398</v>
      </c>
      <c r="V97">
        <f t="shared" si="103"/>
        <v>344.35319999339958</v>
      </c>
      <c r="W97">
        <f t="shared" si="104"/>
        <v>30.473803725636945</v>
      </c>
      <c r="X97">
        <f t="shared" si="105"/>
        <v>29.9163</v>
      </c>
      <c r="Y97">
        <f t="shared" si="106"/>
        <v>4.2400098408202371</v>
      </c>
      <c r="Z97">
        <f t="shared" si="107"/>
        <v>59.045053401303818</v>
      </c>
      <c r="AA97">
        <f t="shared" si="108"/>
        <v>2.5022932803660001</v>
      </c>
      <c r="AB97">
        <f t="shared" si="109"/>
        <v>4.2379388894087189</v>
      </c>
      <c r="AC97">
        <f t="shared" si="110"/>
        <v>1.7377165604542371</v>
      </c>
      <c r="AD97">
        <f t="shared" si="111"/>
        <v>-248.77927546520311</v>
      </c>
      <c r="AE97">
        <f t="shared" si="112"/>
        <v>-1.3334882002908512</v>
      </c>
      <c r="AF97">
        <f t="shared" si="113"/>
        <v>-0.10180409027344607</v>
      </c>
      <c r="AG97">
        <f t="shared" si="114"/>
        <v>94.13863223763218</v>
      </c>
      <c r="AH97">
        <v>0</v>
      </c>
      <c r="AI97">
        <v>0</v>
      </c>
      <c r="AJ97">
        <f t="shared" si="115"/>
        <v>1</v>
      </c>
      <c r="AK97">
        <f t="shared" si="116"/>
        <v>0</v>
      </c>
      <c r="AL97">
        <f t="shared" si="117"/>
        <v>51791.780663291865</v>
      </c>
      <c r="AM97" t="s">
        <v>416</v>
      </c>
      <c r="AN97">
        <v>10235.299999999999</v>
      </c>
      <c r="AO97">
        <v>594.051923076923</v>
      </c>
      <c r="AP97">
        <v>2007.77</v>
      </c>
      <c r="AQ97">
        <f t="shared" si="118"/>
        <v>0.70412351859180933</v>
      </c>
      <c r="AR97">
        <v>-0.54275787784279261</v>
      </c>
      <c r="AS97" t="s">
        <v>830</v>
      </c>
      <c r="AT97">
        <v>10184.299999999999</v>
      </c>
      <c r="AU97">
        <v>706.10711538461533</v>
      </c>
      <c r="AV97">
        <v>1118.5986919530701</v>
      </c>
      <c r="AW97">
        <f t="shared" si="119"/>
        <v>0.36875742796395161</v>
      </c>
      <c r="AX97">
        <v>0.5</v>
      </c>
      <c r="AY97">
        <f t="shared" si="120"/>
        <v>1513.0871999966998</v>
      </c>
      <c r="AZ97">
        <f t="shared" si="121"/>
        <v>53.659531641389243</v>
      </c>
      <c r="BA97">
        <f t="shared" si="122"/>
        <v>278.98107207798012</v>
      </c>
      <c r="BB97">
        <f t="shared" si="123"/>
        <v>3.5822317127096347E-2</v>
      </c>
      <c r="BC97">
        <f t="shared" si="124"/>
        <v>0.79489750385318203</v>
      </c>
      <c r="BD97">
        <f t="shared" si="125"/>
        <v>480.93913726678153</v>
      </c>
      <c r="BE97" t="s">
        <v>831</v>
      </c>
      <c r="BF97">
        <v>548.24</v>
      </c>
      <c r="BG97">
        <f t="shared" si="126"/>
        <v>548.24</v>
      </c>
      <c r="BH97">
        <f t="shared" si="127"/>
        <v>0.5098867860798455</v>
      </c>
      <c r="BI97">
        <f t="shared" si="128"/>
        <v>0.7232143252800558</v>
      </c>
      <c r="BJ97">
        <f t="shared" si="129"/>
        <v>0.60921756184999953</v>
      </c>
      <c r="BK97">
        <f t="shared" si="130"/>
        <v>0.78637711838779789</v>
      </c>
      <c r="BL97">
        <f t="shared" si="131"/>
        <v>0.62895942448595521</v>
      </c>
      <c r="BM97">
        <f t="shared" si="132"/>
        <v>0.5615224844116854</v>
      </c>
      <c r="BN97">
        <f t="shared" si="133"/>
        <v>0.4384775155883146</v>
      </c>
      <c r="BO97">
        <v>12629</v>
      </c>
      <c r="BP97">
        <v>290.00000000000011</v>
      </c>
      <c r="BQ97">
        <v>995.19</v>
      </c>
      <c r="BR97">
        <v>195</v>
      </c>
      <c r="BS97">
        <v>10184.299999999999</v>
      </c>
      <c r="BT97">
        <v>995.72</v>
      </c>
      <c r="BU97">
        <v>-0.53</v>
      </c>
      <c r="BV97">
        <v>300.00000000000011</v>
      </c>
      <c r="BW97">
        <v>24.2</v>
      </c>
      <c r="BX97">
        <v>1118.5986919530701</v>
      </c>
      <c r="BY97">
        <v>2.557360597931909</v>
      </c>
      <c r="BZ97">
        <v>-125.145702967603</v>
      </c>
      <c r="CA97">
        <v>2.3169932122130681</v>
      </c>
      <c r="CB97">
        <v>0.99049335587474174</v>
      </c>
      <c r="CC97">
        <v>-6.9524484983314724E-3</v>
      </c>
      <c r="CD97">
        <v>289.99999999999989</v>
      </c>
      <c r="CE97">
        <v>986.89</v>
      </c>
      <c r="CF97">
        <v>635</v>
      </c>
      <c r="CG97">
        <v>10156.4</v>
      </c>
      <c r="CH97">
        <v>995.38</v>
      </c>
      <c r="CI97">
        <v>-8.49</v>
      </c>
      <c r="CW97">
        <f t="shared" si="134"/>
        <v>1799.88</v>
      </c>
      <c r="CX97">
        <f t="shared" si="135"/>
        <v>1513.0871999966998</v>
      </c>
      <c r="CY97">
        <f t="shared" si="136"/>
        <v>0.84066004400109995</v>
      </c>
      <c r="CZ97">
        <f t="shared" si="137"/>
        <v>0.19132008800219991</v>
      </c>
      <c r="DA97">
        <v>6</v>
      </c>
      <c r="DB97">
        <v>0.5</v>
      </c>
      <c r="DC97" t="s">
        <v>419</v>
      </c>
      <c r="DD97">
        <v>2</v>
      </c>
      <c r="DE97">
        <v>1691177858</v>
      </c>
      <c r="DF97">
        <v>631.20399999999995</v>
      </c>
      <c r="DG97">
        <v>699.86</v>
      </c>
      <c r="DH97">
        <v>25.215900000000001</v>
      </c>
      <c r="DI97">
        <v>18.617899999999999</v>
      </c>
      <c r="DJ97">
        <v>634.49599999999998</v>
      </c>
      <c r="DK97">
        <v>25.341899999999999</v>
      </c>
      <c r="DL97">
        <v>500.06099999999998</v>
      </c>
      <c r="DM97">
        <v>99.134500000000003</v>
      </c>
      <c r="DN97">
        <v>0.10024</v>
      </c>
      <c r="DO97">
        <v>29.907800000000002</v>
      </c>
      <c r="DP97">
        <v>29.9163</v>
      </c>
      <c r="DQ97">
        <v>999.9</v>
      </c>
      <c r="DR97">
        <v>0</v>
      </c>
      <c r="DS97">
        <v>0</v>
      </c>
      <c r="DT97">
        <v>9975</v>
      </c>
      <c r="DU97">
        <v>0</v>
      </c>
      <c r="DV97">
        <v>502.05799999999999</v>
      </c>
      <c r="DW97">
        <v>-68.64</v>
      </c>
      <c r="DX97">
        <v>647.62400000000002</v>
      </c>
      <c r="DY97">
        <v>713.13699999999994</v>
      </c>
      <c r="DZ97">
        <v>6.7120199999999999</v>
      </c>
      <c r="EA97">
        <v>699.86</v>
      </c>
      <c r="EB97">
        <v>18.617899999999999</v>
      </c>
      <c r="EC97">
        <v>2.5110700000000001</v>
      </c>
      <c r="ED97">
        <v>1.8456699999999999</v>
      </c>
      <c r="EE97">
        <v>21.098400000000002</v>
      </c>
      <c r="EF97">
        <v>16.179099999999998</v>
      </c>
      <c r="EG97">
        <v>1799.88</v>
      </c>
      <c r="EH97">
        <v>0.97799999999999998</v>
      </c>
      <c r="EI97">
        <v>2.20004E-2</v>
      </c>
      <c r="EJ97">
        <v>0</v>
      </c>
      <c r="EK97">
        <v>707.89499999999998</v>
      </c>
      <c r="EL97">
        <v>0.100005</v>
      </c>
      <c r="EM97">
        <v>14420.1</v>
      </c>
      <c r="EN97">
        <v>14861.5</v>
      </c>
      <c r="EO97">
        <v>49.686999999999998</v>
      </c>
      <c r="EP97">
        <v>52</v>
      </c>
      <c r="EQ97">
        <v>50.686999999999998</v>
      </c>
      <c r="ER97">
        <v>50.811999999999998</v>
      </c>
      <c r="ES97">
        <v>50.75</v>
      </c>
      <c r="ET97">
        <v>1760.18</v>
      </c>
      <c r="EU97">
        <v>39.6</v>
      </c>
      <c r="EV97">
        <v>0</v>
      </c>
      <c r="EW97">
        <v>120.2000000476837</v>
      </c>
      <c r="EX97">
        <v>0</v>
      </c>
      <c r="EY97">
        <v>706.10711538461533</v>
      </c>
      <c r="EZ97">
        <v>-8.1444445157100152</v>
      </c>
      <c r="FA97">
        <v>-102.7452991514852</v>
      </c>
      <c r="FB97">
        <v>14435.25</v>
      </c>
      <c r="FC97">
        <v>15</v>
      </c>
      <c r="FD97">
        <v>1691177888</v>
      </c>
      <c r="FE97" t="s">
        <v>832</v>
      </c>
      <c r="FF97">
        <v>1691177884.5</v>
      </c>
      <c r="FG97">
        <v>1691177888</v>
      </c>
      <c r="FH97">
        <v>94</v>
      </c>
      <c r="FI97">
        <v>0.13200000000000001</v>
      </c>
      <c r="FJ97">
        <v>3.2000000000000001E-2</v>
      </c>
      <c r="FK97">
        <v>-3.2919999999999998</v>
      </c>
      <c r="FL97">
        <v>-0.126</v>
      </c>
      <c r="FM97">
        <v>700</v>
      </c>
      <c r="FN97">
        <v>19</v>
      </c>
      <c r="FO97">
        <v>0.15</v>
      </c>
      <c r="FP97">
        <v>0.05</v>
      </c>
      <c r="FQ97">
        <v>53.970402847343777</v>
      </c>
      <c r="FR97">
        <v>-0.45475002574575202</v>
      </c>
      <c r="FS97">
        <v>0.1245014228601098</v>
      </c>
      <c r="FT97">
        <v>1</v>
      </c>
      <c r="FU97">
        <v>0.34566426677401052</v>
      </c>
      <c r="FV97">
        <v>-4.1506541573594187E-2</v>
      </c>
      <c r="FW97">
        <v>3.1794631715816139E-3</v>
      </c>
      <c r="FX97">
        <v>1</v>
      </c>
      <c r="FY97">
        <v>2</v>
      </c>
      <c r="FZ97">
        <v>2</v>
      </c>
      <c r="GA97" t="s">
        <v>421</v>
      </c>
      <c r="GB97">
        <v>2.9135800000000001</v>
      </c>
      <c r="GC97">
        <v>2.8299099999999999</v>
      </c>
      <c r="GD97">
        <v>0.1245</v>
      </c>
      <c r="GE97">
        <v>0.13084200000000001</v>
      </c>
      <c r="GF97">
        <v>0.121878</v>
      </c>
      <c r="GG97">
        <v>9.4331499999999999E-2</v>
      </c>
      <c r="GH97">
        <v>22600.5</v>
      </c>
      <c r="GI97">
        <v>27773</v>
      </c>
      <c r="GJ97">
        <v>23260.2</v>
      </c>
      <c r="GK97">
        <v>29311.5</v>
      </c>
      <c r="GL97">
        <v>27902.7</v>
      </c>
      <c r="GM97">
        <v>37786.199999999997</v>
      </c>
      <c r="GN97">
        <v>32908.5</v>
      </c>
      <c r="GO97">
        <v>43494</v>
      </c>
      <c r="GP97">
        <v>1.9074</v>
      </c>
      <c r="GQ97">
        <v>1.6740999999999999</v>
      </c>
      <c r="GR97">
        <v>-3.9190099999999999E-2</v>
      </c>
      <c r="GS97">
        <v>0</v>
      </c>
      <c r="GT97">
        <v>30.553799999999999</v>
      </c>
      <c r="GU97">
        <v>999.9</v>
      </c>
      <c r="GV97">
        <v>28.2</v>
      </c>
      <c r="GW97">
        <v>46.1</v>
      </c>
      <c r="GX97">
        <v>29.013300000000001</v>
      </c>
      <c r="GY97">
        <v>61.859499999999997</v>
      </c>
      <c r="GZ97">
        <v>35.156199999999998</v>
      </c>
      <c r="HA97">
        <v>1</v>
      </c>
      <c r="HB97">
        <v>0.85992900000000005</v>
      </c>
      <c r="HC97">
        <v>4.8883200000000002</v>
      </c>
      <c r="HD97">
        <v>20.195499999999999</v>
      </c>
      <c r="HE97">
        <v>5.2107000000000001</v>
      </c>
      <c r="HF97">
        <v>11.8782</v>
      </c>
      <c r="HG97">
        <v>4.9829999999999997</v>
      </c>
      <c r="HH97">
        <v>3.2839999999999998</v>
      </c>
      <c r="HI97">
        <v>9999</v>
      </c>
      <c r="HJ97">
        <v>9999</v>
      </c>
      <c r="HK97">
        <v>9999</v>
      </c>
      <c r="HL97">
        <v>999.9</v>
      </c>
      <c r="HM97">
        <v>1.85486</v>
      </c>
      <c r="HN97">
        <v>1.8608199999999999</v>
      </c>
      <c r="HO97">
        <v>1.8582000000000001</v>
      </c>
      <c r="HP97">
        <v>1.85928</v>
      </c>
      <c r="HQ97">
        <v>1.85867</v>
      </c>
      <c r="HR97">
        <v>1.8592200000000001</v>
      </c>
      <c r="HS97">
        <v>1.85747</v>
      </c>
      <c r="HT97">
        <v>1.8608100000000001</v>
      </c>
      <c r="HU97">
        <v>5</v>
      </c>
      <c r="HV97">
        <v>0</v>
      </c>
      <c r="HW97">
        <v>0</v>
      </c>
      <c r="HX97">
        <v>0</v>
      </c>
      <c r="HY97" t="s">
        <v>422</v>
      </c>
      <c r="HZ97" t="s">
        <v>423</v>
      </c>
      <c r="IA97" t="s">
        <v>424</v>
      </c>
      <c r="IB97" t="s">
        <v>424</v>
      </c>
      <c r="IC97" t="s">
        <v>424</v>
      </c>
      <c r="ID97" t="s">
        <v>424</v>
      </c>
      <c r="IE97">
        <v>0</v>
      </c>
      <c r="IF97">
        <v>100</v>
      </c>
      <c r="IG97">
        <v>100</v>
      </c>
      <c r="IH97">
        <v>-3.2919999999999998</v>
      </c>
      <c r="II97">
        <v>-0.126</v>
      </c>
      <c r="IJ97">
        <v>-1.307948180426254</v>
      </c>
      <c r="IK97">
        <v>-4.1229525807901877E-3</v>
      </c>
      <c r="IL97">
        <v>1.8448211998558991E-6</v>
      </c>
      <c r="IM97">
        <v>-3.7020276670297668E-10</v>
      </c>
      <c r="IN97">
        <v>-0.24153137154363061</v>
      </c>
      <c r="IO97">
        <v>-1.3488639696665739E-2</v>
      </c>
      <c r="IP97">
        <v>1.1588640342490499E-3</v>
      </c>
      <c r="IQ97">
        <v>-1.0624341560077559E-5</v>
      </c>
      <c r="IR97">
        <v>2</v>
      </c>
      <c r="IS97">
        <v>1915</v>
      </c>
      <c r="IT97">
        <v>1</v>
      </c>
      <c r="IU97">
        <v>42</v>
      </c>
      <c r="IV97">
        <v>1.5</v>
      </c>
      <c r="IW97">
        <v>1.6</v>
      </c>
      <c r="IX97">
        <v>1.58569</v>
      </c>
      <c r="IY97">
        <v>2.4877899999999999</v>
      </c>
      <c r="IZ97">
        <v>1.49414</v>
      </c>
      <c r="JA97">
        <v>2.2851599999999999</v>
      </c>
      <c r="JB97">
        <v>1.54419</v>
      </c>
      <c r="JC97">
        <v>2.4377399999999998</v>
      </c>
      <c r="JD97">
        <v>49.738</v>
      </c>
      <c r="JE97">
        <v>23.877400000000002</v>
      </c>
      <c r="JF97">
        <v>18</v>
      </c>
      <c r="JG97">
        <v>513.86300000000006</v>
      </c>
      <c r="JH97">
        <v>387.48500000000001</v>
      </c>
      <c r="JI97">
        <v>23.309100000000001</v>
      </c>
      <c r="JJ97">
        <v>37.735700000000001</v>
      </c>
      <c r="JK97">
        <v>29.9985</v>
      </c>
      <c r="JL97">
        <v>37.5627</v>
      </c>
      <c r="JM97">
        <v>37.511600000000001</v>
      </c>
      <c r="JN97">
        <v>31.822199999999999</v>
      </c>
      <c r="JO97">
        <v>36.087200000000003</v>
      </c>
      <c r="JP97">
        <v>0</v>
      </c>
      <c r="JQ97">
        <v>23.362200000000001</v>
      </c>
      <c r="JR97">
        <v>700</v>
      </c>
      <c r="JS97">
        <v>18.762699999999999</v>
      </c>
      <c r="JT97">
        <v>97.578400000000002</v>
      </c>
      <c r="JU97">
        <v>97.761300000000006</v>
      </c>
    </row>
    <row r="98" spans="1:281" x14ac:dyDescent="0.25">
      <c r="A98">
        <v>82</v>
      </c>
      <c r="B98">
        <v>1691177999.5</v>
      </c>
      <c r="C98">
        <v>18753.900000095371</v>
      </c>
      <c r="D98" t="s">
        <v>833</v>
      </c>
      <c r="E98" t="s">
        <v>834</v>
      </c>
      <c r="F98" t="s">
        <v>413</v>
      </c>
      <c r="G98" t="s">
        <v>779</v>
      </c>
      <c r="H98" t="s">
        <v>493</v>
      </c>
      <c r="I98" t="s">
        <v>31</v>
      </c>
      <c r="J98">
        <v>1691177999.5</v>
      </c>
      <c r="K98">
        <f t="shared" si="92"/>
        <v>4.167935385537962E-3</v>
      </c>
      <c r="L98">
        <f t="shared" si="93"/>
        <v>4.1679353855379624</v>
      </c>
      <c r="M98">
        <f t="shared" si="94"/>
        <v>53.222999336600651</v>
      </c>
      <c r="N98">
        <f t="shared" si="95"/>
        <v>831.91800000000001</v>
      </c>
      <c r="O98">
        <f t="shared" si="96"/>
        <v>444.87533173308293</v>
      </c>
      <c r="P98">
        <f t="shared" si="97"/>
        <v>44.143338912525714</v>
      </c>
      <c r="Q98">
        <f t="shared" si="98"/>
        <v>82.548155858333999</v>
      </c>
      <c r="R98">
        <f t="shared" si="99"/>
        <v>0.24005728888092209</v>
      </c>
      <c r="S98">
        <f t="shared" si="100"/>
        <v>2.9097970779581468</v>
      </c>
      <c r="T98">
        <f t="shared" si="101"/>
        <v>0.22957247563524863</v>
      </c>
      <c r="U98">
        <f t="shared" si="102"/>
        <v>0.14438665287346558</v>
      </c>
      <c r="V98">
        <f t="shared" si="103"/>
        <v>344.35129999339955</v>
      </c>
      <c r="W98">
        <f t="shared" si="104"/>
        <v>31.037899740275396</v>
      </c>
      <c r="X98">
        <f t="shared" si="105"/>
        <v>30.072600000000001</v>
      </c>
      <c r="Y98">
        <f t="shared" si="106"/>
        <v>4.278248524585055</v>
      </c>
      <c r="Z98">
        <f t="shared" si="107"/>
        <v>59.288954102705773</v>
      </c>
      <c r="AA98">
        <f t="shared" si="108"/>
        <v>2.5386556049484996</v>
      </c>
      <c r="AB98">
        <f t="shared" si="109"/>
        <v>4.2818357034108026</v>
      </c>
      <c r="AC98">
        <f t="shared" si="110"/>
        <v>1.7395929196365554</v>
      </c>
      <c r="AD98">
        <f t="shared" si="111"/>
        <v>-183.80595050222414</v>
      </c>
      <c r="AE98">
        <f t="shared" si="112"/>
        <v>2.2903455089761207</v>
      </c>
      <c r="AF98">
        <f t="shared" si="113"/>
        <v>0.17515434413819458</v>
      </c>
      <c r="AG98">
        <f t="shared" si="114"/>
        <v>163.01084934428974</v>
      </c>
      <c r="AH98">
        <v>0</v>
      </c>
      <c r="AI98">
        <v>0</v>
      </c>
      <c r="AJ98">
        <f t="shared" si="115"/>
        <v>1</v>
      </c>
      <c r="AK98">
        <f t="shared" si="116"/>
        <v>0</v>
      </c>
      <c r="AL98">
        <f t="shared" si="117"/>
        <v>51756.738754890321</v>
      </c>
      <c r="AM98" t="s">
        <v>416</v>
      </c>
      <c r="AN98">
        <v>10235.299999999999</v>
      </c>
      <c r="AO98">
        <v>594.051923076923</v>
      </c>
      <c r="AP98">
        <v>2007.77</v>
      </c>
      <c r="AQ98">
        <f t="shared" si="118"/>
        <v>0.70412351859180933</v>
      </c>
      <c r="AR98">
        <v>-0.54275787784279261</v>
      </c>
      <c r="AS98" t="s">
        <v>835</v>
      </c>
      <c r="AT98">
        <v>10174.5</v>
      </c>
      <c r="AU98">
        <v>701.2876</v>
      </c>
      <c r="AV98">
        <v>1109.293547473638</v>
      </c>
      <c r="AW98">
        <f t="shared" si="119"/>
        <v>0.36780701411529138</v>
      </c>
      <c r="AX98">
        <v>0.5</v>
      </c>
      <c r="AY98">
        <f t="shared" si="120"/>
        <v>1513.0787999966997</v>
      </c>
      <c r="AZ98">
        <f t="shared" si="121"/>
        <v>53.222999336600651</v>
      </c>
      <c r="BA98">
        <f t="shared" si="122"/>
        <v>278.26049777396713</v>
      </c>
      <c r="BB98">
        <f t="shared" si="123"/>
        <v>3.5534010003022129E-2</v>
      </c>
      <c r="BC98">
        <f t="shared" si="124"/>
        <v>0.80995373548561456</v>
      </c>
      <c r="BD98">
        <f t="shared" si="125"/>
        <v>479.21083747368505</v>
      </c>
      <c r="BE98" t="s">
        <v>836</v>
      </c>
      <c r="BF98">
        <v>545.92999999999995</v>
      </c>
      <c r="BG98">
        <f t="shared" si="126"/>
        <v>545.92999999999995</v>
      </c>
      <c r="BH98">
        <f t="shared" si="127"/>
        <v>0.50785795045564908</v>
      </c>
      <c r="BI98">
        <f t="shared" si="128"/>
        <v>0.72423206880052915</v>
      </c>
      <c r="BJ98">
        <f t="shared" si="129"/>
        <v>0.61462024060523857</v>
      </c>
      <c r="BK98">
        <f t="shared" si="130"/>
        <v>0.79187303229113748</v>
      </c>
      <c r="BL98">
        <f t="shared" si="131"/>
        <v>0.63554146133709644</v>
      </c>
      <c r="BM98">
        <f t="shared" si="132"/>
        <v>0.56379153619752131</v>
      </c>
      <c r="BN98">
        <f t="shared" si="133"/>
        <v>0.43620846380247869</v>
      </c>
      <c r="BO98">
        <v>12631</v>
      </c>
      <c r="BP98">
        <v>290.00000000000011</v>
      </c>
      <c r="BQ98">
        <v>988.29</v>
      </c>
      <c r="BR98">
        <v>285</v>
      </c>
      <c r="BS98">
        <v>10174.5</v>
      </c>
      <c r="BT98">
        <v>989.25</v>
      </c>
      <c r="BU98">
        <v>-0.96</v>
      </c>
      <c r="BV98">
        <v>300.00000000000011</v>
      </c>
      <c r="BW98">
        <v>24.2</v>
      </c>
      <c r="BX98">
        <v>1109.293547473638</v>
      </c>
      <c r="BY98">
        <v>2.4372636532032601</v>
      </c>
      <c r="BZ98">
        <v>-122.1411550941116</v>
      </c>
      <c r="CA98">
        <v>2.208630504721838</v>
      </c>
      <c r="CB98">
        <v>0.99092760304327476</v>
      </c>
      <c r="CC98">
        <v>-6.953462513904338E-3</v>
      </c>
      <c r="CD98">
        <v>289.99999999999989</v>
      </c>
      <c r="CE98">
        <v>980.76</v>
      </c>
      <c r="CF98">
        <v>655</v>
      </c>
      <c r="CG98">
        <v>10157.200000000001</v>
      </c>
      <c r="CH98">
        <v>989.04</v>
      </c>
      <c r="CI98">
        <v>-8.2799999999999994</v>
      </c>
      <c r="CW98">
        <f t="shared" si="134"/>
        <v>1799.87</v>
      </c>
      <c r="CX98">
        <f t="shared" si="135"/>
        <v>1513.0787999966997</v>
      </c>
      <c r="CY98">
        <f t="shared" si="136"/>
        <v>0.84066004766827596</v>
      </c>
      <c r="CZ98">
        <f t="shared" si="137"/>
        <v>0.19132009533655184</v>
      </c>
      <c r="DA98">
        <v>6</v>
      </c>
      <c r="DB98">
        <v>0.5</v>
      </c>
      <c r="DC98" t="s">
        <v>419</v>
      </c>
      <c r="DD98">
        <v>2</v>
      </c>
      <c r="DE98">
        <v>1691177999.5</v>
      </c>
      <c r="DF98">
        <v>831.91800000000001</v>
      </c>
      <c r="DG98">
        <v>899.947</v>
      </c>
      <c r="DH98">
        <v>25.584499999999998</v>
      </c>
      <c r="DI98">
        <v>20.710899999999999</v>
      </c>
      <c r="DJ98">
        <v>835.149</v>
      </c>
      <c r="DK98">
        <v>25.642499999999998</v>
      </c>
      <c r="DL98">
        <v>499.99599999999998</v>
      </c>
      <c r="DM98">
        <v>99.126099999999994</v>
      </c>
      <c r="DN98">
        <v>0.100213</v>
      </c>
      <c r="DO98">
        <v>30.087199999999999</v>
      </c>
      <c r="DP98">
        <v>30.072600000000001</v>
      </c>
      <c r="DQ98">
        <v>999.9</v>
      </c>
      <c r="DR98">
        <v>0</v>
      </c>
      <c r="DS98">
        <v>0</v>
      </c>
      <c r="DT98">
        <v>9975</v>
      </c>
      <c r="DU98">
        <v>0</v>
      </c>
      <c r="DV98">
        <v>565.48599999999999</v>
      </c>
      <c r="DW98">
        <v>-68.346599999999995</v>
      </c>
      <c r="DX98">
        <v>853.51</v>
      </c>
      <c r="DY98">
        <v>918.98</v>
      </c>
      <c r="DZ98">
        <v>4.9588299999999998</v>
      </c>
      <c r="EA98">
        <v>899.947</v>
      </c>
      <c r="EB98">
        <v>20.710899999999999</v>
      </c>
      <c r="EC98">
        <v>2.54454</v>
      </c>
      <c r="ED98">
        <v>2.0529899999999999</v>
      </c>
      <c r="EE98">
        <v>21.314299999999999</v>
      </c>
      <c r="EF98">
        <v>17.859100000000002</v>
      </c>
      <c r="EG98">
        <v>1799.87</v>
      </c>
      <c r="EH98">
        <v>0.97799599999999998</v>
      </c>
      <c r="EI98">
        <v>2.2004099999999999E-2</v>
      </c>
      <c r="EJ98">
        <v>0</v>
      </c>
      <c r="EK98">
        <v>701.745</v>
      </c>
      <c r="EL98">
        <v>0.100005</v>
      </c>
      <c r="EM98">
        <v>14425.7</v>
      </c>
      <c r="EN98">
        <v>14861.4</v>
      </c>
      <c r="EO98">
        <v>49.375</v>
      </c>
      <c r="EP98">
        <v>51.375</v>
      </c>
      <c r="EQ98">
        <v>50.25</v>
      </c>
      <c r="ER98">
        <v>50.186999999999998</v>
      </c>
      <c r="ES98">
        <v>50.375</v>
      </c>
      <c r="ET98">
        <v>1760.17</v>
      </c>
      <c r="EU98">
        <v>39.6</v>
      </c>
      <c r="EV98">
        <v>0</v>
      </c>
      <c r="EW98">
        <v>139.20000004768369</v>
      </c>
      <c r="EX98">
        <v>0</v>
      </c>
      <c r="EY98">
        <v>701.2876</v>
      </c>
      <c r="EZ98">
        <v>-6.0580768680310522</v>
      </c>
      <c r="FA98">
        <v>-2783.4692264988362</v>
      </c>
      <c r="FB98">
        <v>14670.504000000001</v>
      </c>
      <c r="FC98">
        <v>15</v>
      </c>
      <c r="FD98">
        <v>1691178039</v>
      </c>
      <c r="FE98" t="s">
        <v>837</v>
      </c>
      <c r="FF98">
        <v>1691178039</v>
      </c>
      <c r="FG98">
        <v>1691178021</v>
      </c>
      <c r="FH98">
        <v>95</v>
      </c>
      <c r="FI98">
        <v>0.437</v>
      </c>
      <c r="FJ98">
        <v>2.5999999999999999E-2</v>
      </c>
      <c r="FK98">
        <v>-3.2309999999999999</v>
      </c>
      <c r="FL98">
        <v>-5.8000000000000003E-2</v>
      </c>
      <c r="FM98">
        <v>900</v>
      </c>
      <c r="FN98">
        <v>21</v>
      </c>
      <c r="FO98">
        <v>0.14000000000000001</v>
      </c>
      <c r="FP98">
        <v>0.2</v>
      </c>
      <c r="FQ98">
        <v>53.577116998773548</v>
      </c>
      <c r="FR98">
        <v>-4.5270813414905159E-2</v>
      </c>
      <c r="FS98">
        <v>0.1321416864912151</v>
      </c>
      <c r="FT98">
        <v>1</v>
      </c>
      <c r="FU98">
        <v>0.24986258108033871</v>
      </c>
      <c r="FV98">
        <v>-3.8561679132373558E-2</v>
      </c>
      <c r="FW98">
        <v>2.8378379769966691E-3</v>
      </c>
      <c r="FX98">
        <v>1</v>
      </c>
      <c r="FY98">
        <v>2</v>
      </c>
      <c r="FZ98">
        <v>2</v>
      </c>
      <c r="GA98" t="s">
        <v>421</v>
      </c>
      <c r="GB98">
        <v>2.9138099999999998</v>
      </c>
      <c r="GC98">
        <v>2.8298800000000002</v>
      </c>
      <c r="GD98">
        <v>0.150033</v>
      </c>
      <c r="GE98">
        <v>0.154862</v>
      </c>
      <c r="GF98">
        <v>0.122959</v>
      </c>
      <c r="GG98">
        <v>0.101852</v>
      </c>
      <c r="GH98">
        <v>21956.400000000001</v>
      </c>
      <c r="GI98">
        <v>27022.400000000001</v>
      </c>
      <c r="GJ98">
        <v>23275.5</v>
      </c>
      <c r="GK98">
        <v>29329</v>
      </c>
      <c r="GL98">
        <v>27888</v>
      </c>
      <c r="GM98">
        <v>37497.1</v>
      </c>
      <c r="GN98">
        <v>32931</v>
      </c>
      <c r="GO98">
        <v>43515.1</v>
      </c>
      <c r="GP98">
        <v>1.9097999999999999</v>
      </c>
      <c r="GQ98">
        <v>1.6847000000000001</v>
      </c>
      <c r="GR98">
        <v>-4.3511399999999999E-3</v>
      </c>
      <c r="GS98">
        <v>0</v>
      </c>
      <c r="GT98">
        <v>30.1434</v>
      </c>
      <c r="GU98">
        <v>999.9</v>
      </c>
      <c r="GV98">
        <v>28</v>
      </c>
      <c r="GW98">
        <v>46</v>
      </c>
      <c r="GX98">
        <v>28.660599999999999</v>
      </c>
      <c r="GY98">
        <v>61.7395</v>
      </c>
      <c r="GZ98">
        <v>34.963900000000002</v>
      </c>
      <c r="HA98">
        <v>1</v>
      </c>
      <c r="HB98">
        <v>0.83237799999999995</v>
      </c>
      <c r="HC98">
        <v>5.9102399999999999</v>
      </c>
      <c r="HD98">
        <v>20.163</v>
      </c>
      <c r="HE98">
        <v>5.2100999999999997</v>
      </c>
      <c r="HF98">
        <v>11.8782</v>
      </c>
      <c r="HG98">
        <v>4.9837999999999996</v>
      </c>
      <c r="HH98">
        <v>3.2839999999999998</v>
      </c>
      <c r="HI98">
        <v>9999</v>
      </c>
      <c r="HJ98">
        <v>9999</v>
      </c>
      <c r="HK98">
        <v>9999</v>
      </c>
      <c r="HL98">
        <v>999.9</v>
      </c>
      <c r="HM98">
        <v>1.85486</v>
      </c>
      <c r="HN98">
        <v>1.8608</v>
      </c>
      <c r="HO98">
        <v>1.8582000000000001</v>
      </c>
      <c r="HP98">
        <v>1.8592599999999999</v>
      </c>
      <c r="HQ98">
        <v>1.8586400000000001</v>
      </c>
      <c r="HR98">
        <v>1.85914</v>
      </c>
      <c r="HS98">
        <v>1.85745</v>
      </c>
      <c r="HT98">
        <v>1.8608100000000001</v>
      </c>
      <c r="HU98">
        <v>5</v>
      </c>
      <c r="HV98">
        <v>0</v>
      </c>
      <c r="HW98">
        <v>0</v>
      </c>
      <c r="HX98">
        <v>0</v>
      </c>
      <c r="HY98" t="s">
        <v>422</v>
      </c>
      <c r="HZ98" t="s">
        <v>423</v>
      </c>
      <c r="IA98" t="s">
        <v>424</v>
      </c>
      <c r="IB98" t="s">
        <v>424</v>
      </c>
      <c r="IC98" t="s">
        <v>424</v>
      </c>
      <c r="ID98" t="s">
        <v>424</v>
      </c>
      <c r="IE98">
        <v>0</v>
      </c>
      <c r="IF98">
        <v>100</v>
      </c>
      <c r="IG98">
        <v>100</v>
      </c>
      <c r="IH98">
        <v>-3.2309999999999999</v>
      </c>
      <c r="II98">
        <v>-5.8000000000000003E-2</v>
      </c>
      <c r="IJ98">
        <v>-1.176039374736616</v>
      </c>
      <c r="IK98">
        <v>-4.1229525807901877E-3</v>
      </c>
      <c r="IL98">
        <v>1.8448211998558991E-6</v>
      </c>
      <c r="IM98">
        <v>-3.7020276670297668E-10</v>
      </c>
      <c r="IN98">
        <v>-0.2097017688058733</v>
      </c>
      <c r="IO98">
        <v>-1.3488639696665739E-2</v>
      </c>
      <c r="IP98">
        <v>1.1588640342490499E-3</v>
      </c>
      <c r="IQ98">
        <v>-1.0624341560077559E-5</v>
      </c>
      <c r="IR98">
        <v>2</v>
      </c>
      <c r="IS98">
        <v>1915</v>
      </c>
      <c r="IT98">
        <v>1</v>
      </c>
      <c r="IU98">
        <v>42</v>
      </c>
      <c r="IV98">
        <v>1.9</v>
      </c>
      <c r="IW98">
        <v>1.9</v>
      </c>
      <c r="IX98">
        <v>1.94824</v>
      </c>
      <c r="IY98">
        <v>2.48291</v>
      </c>
      <c r="IZ98">
        <v>1.49414</v>
      </c>
      <c r="JA98">
        <v>2.2839399999999999</v>
      </c>
      <c r="JB98">
        <v>1.54419</v>
      </c>
      <c r="JC98">
        <v>2.48047</v>
      </c>
      <c r="JD98">
        <v>49.515799999999999</v>
      </c>
      <c r="JE98">
        <v>23.8598</v>
      </c>
      <c r="JF98">
        <v>18</v>
      </c>
      <c r="JG98">
        <v>513.40899999999999</v>
      </c>
      <c r="JH98">
        <v>392.60300000000001</v>
      </c>
      <c r="JI98">
        <v>23.0992</v>
      </c>
      <c r="JJ98">
        <v>37.305399999999999</v>
      </c>
      <c r="JK98">
        <v>30</v>
      </c>
      <c r="JL98">
        <v>37.287399999999998</v>
      </c>
      <c r="JM98">
        <v>37.259399999999999</v>
      </c>
      <c r="JN98">
        <v>39.049500000000002</v>
      </c>
      <c r="JO98">
        <v>26.974299999999999</v>
      </c>
      <c r="JP98">
        <v>0</v>
      </c>
      <c r="JQ98">
        <v>23.113299999999999</v>
      </c>
      <c r="JR98">
        <v>900</v>
      </c>
      <c r="JS98">
        <v>20.834499999999998</v>
      </c>
      <c r="JT98">
        <v>97.644199999999998</v>
      </c>
      <c r="JU98">
        <v>97.813000000000002</v>
      </c>
    </row>
    <row r="99" spans="1:281" x14ac:dyDescent="0.25">
      <c r="A99">
        <v>83</v>
      </c>
      <c r="B99">
        <v>1691178140.5</v>
      </c>
      <c r="C99">
        <v>18894.900000095371</v>
      </c>
      <c r="D99" t="s">
        <v>838</v>
      </c>
      <c r="E99" t="s">
        <v>839</v>
      </c>
      <c r="F99" t="s">
        <v>413</v>
      </c>
      <c r="G99" t="s">
        <v>779</v>
      </c>
      <c r="H99" t="s">
        <v>493</v>
      </c>
      <c r="I99" t="s">
        <v>31</v>
      </c>
      <c r="J99">
        <v>1691178140.5</v>
      </c>
      <c r="K99">
        <f t="shared" si="92"/>
        <v>3.5227692132928112E-3</v>
      </c>
      <c r="L99">
        <f t="shared" si="93"/>
        <v>3.5227692132928112</v>
      </c>
      <c r="M99">
        <f t="shared" si="94"/>
        <v>52.233121647480672</v>
      </c>
      <c r="N99">
        <f t="shared" si="95"/>
        <v>1132.29</v>
      </c>
      <c r="O99">
        <f t="shared" si="96"/>
        <v>684.61714684646006</v>
      </c>
      <c r="P99">
        <f t="shared" si="97"/>
        <v>67.926747999928708</v>
      </c>
      <c r="Q99">
        <f t="shared" si="98"/>
        <v>112.34421727109999</v>
      </c>
      <c r="R99">
        <f t="shared" si="99"/>
        <v>0.20470975329683691</v>
      </c>
      <c r="S99">
        <f t="shared" si="100"/>
        <v>2.920583953937415</v>
      </c>
      <c r="T99">
        <f t="shared" si="101"/>
        <v>0.19705943440460516</v>
      </c>
      <c r="U99">
        <f t="shared" si="102"/>
        <v>0.12382567657867266</v>
      </c>
      <c r="V99">
        <f t="shared" si="103"/>
        <v>344.3791999934017</v>
      </c>
      <c r="W99">
        <f t="shared" si="104"/>
        <v>31.091693200096564</v>
      </c>
      <c r="X99">
        <f t="shared" si="105"/>
        <v>29.988099999999999</v>
      </c>
      <c r="Y99">
        <f t="shared" si="106"/>
        <v>4.2575385104018615</v>
      </c>
      <c r="Z99">
        <f t="shared" si="107"/>
        <v>59.809068274665393</v>
      </c>
      <c r="AA99">
        <f t="shared" si="108"/>
        <v>2.5446393340119999</v>
      </c>
      <c r="AB99">
        <f t="shared" si="109"/>
        <v>4.2546045397765999</v>
      </c>
      <c r="AC99">
        <f t="shared" si="110"/>
        <v>1.7128991763898616</v>
      </c>
      <c r="AD99">
        <f t="shared" si="111"/>
        <v>-155.35412230621299</v>
      </c>
      <c r="AE99">
        <f t="shared" si="112"/>
        <v>-1.8894542654961588</v>
      </c>
      <c r="AF99">
        <f t="shared" si="113"/>
        <v>-0.14382315503631629</v>
      </c>
      <c r="AG99">
        <f t="shared" si="114"/>
        <v>186.99180026665621</v>
      </c>
      <c r="AH99">
        <v>0</v>
      </c>
      <c r="AI99">
        <v>0</v>
      </c>
      <c r="AJ99">
        <f t="shared" si="115"/>
        <v>1</v>
      </c>
      <c r="AK99">
        <f t="shared" si="116"/>
        <v>0</v>
      </c>
      <c r="AL99">
        <f t="shared" si="117"/>
        <v>52082.575528252011</v>
      </c>
      <c r="AM99" t="s">
        <v>416</v>
      </c>
      <c r="AN99">
        <v>10235.299999999999</v>
      </c>
      <c r="AO99">
        <v>594.051923076923</v>
      </c>
      <c r="AP99">
        <v>2007.77</v>
      </c>
      <c r="AQ99">
        <f t="shared" si="118"/>
        <v>0.70412351859180933</v>
      </c>
      <c r="AR99">
        <v>-0.54275787784279261</v>
      </c>
      <c r="AS99" t="s">
        <v>840</v>
      </c>
      <c r="AT99">
        <v>10179.1</v>
      </c>
      <c r="AU99">
        <v>699.22940000000006</v>
      </c>
      <c r="AV99">
        <v>1105.0279223133839</v>
      </c>
      <c r="AW99">
        <f t="shared" si="119"/>
        <v>0.36722920219413258</v>
      </c>
      <c r="AX99">
        <v>0.5</v>
      </c>
      <c r="AY99">
        <f t="shared" si="120"/>
        <v>1513.2044999967009</v>
      </c>
      <c r="AZ99">
        <f t="shared" si="121"/>
        <v>52.233121647480672</v>
      </c>
      <c r="BA99">
        <f t="shared" si="122"/>
        <v>277.84644064517988</v>
      </c>
      <c r="BB99">
        <f t="shared" si="123"/>
        <v>3.4876898347472887E-2</v>
      </c>
      <c r="BC99">
        <f t="shared" si="124"/>
        <v>0.81694051295710157</v>
      </c>
      <c r="BD99">
        <f t="shared" si="125"/>
        <v>478.413040121905</v>
      </c>
      <c r="BE99" t="s">
        <v>841</v>
      </c>
      <c r="BF99">
        <v>548.41</v>
      </c>
      <c r="BG99">
        <f t="shared" si="126"/>
        <v>548.41</v>
      </c>
      <c r="BH99">
        <f t="shared" si="127"/>
        <v>0.50371389815028411</v>
      </c>
      <c r="BI99">
        <f t="shared" si="128"/>
        <v>0.72904321985685794</v>
      </c>
      <c r="BJ99">
        <f t="shared" si="129"/>
        <v>0.618587653277201</v>
      </c>
      <c r="BK99">
        <f t="shared" si="130"/>
        <v>0.79416356721207804</v>
      </c>
      <c r="BL99">
        <f t="shared" si="131"/>
        <v>0.63855877096189662</v>
      </c>
      <c r="BM99">
        <f t="shared" si="132"/>
        <v>0.57179316573602224</v>
      </c>
      <c r="BN99">
        <f t="shared" si="133"/>
        <v>0.42820683426397776</v>
      </c>
      <c r="BO99">
        <v>12633</v>
      </c>
      <c r="BP99">
        <v>290.00000000000011</v>
      </c>
      <c r="BQ99">
        <v>985.81</v>
      </c>
      <c r="BR99">
        <v>265</v>
      </c>
      <c r="BS99">
        <v>10179.1</v>
      </c>
      <c r="BT99">
        <v>987.09</v>
      </c>
      <c r="BU99">
        <v>-1.28</v>
      </c>
      <c r="BV99">
        <v>300.00000000000011</v>
      </c>
      <c r="BW99">
        <v>24.2</v>
      </c>
      <c r="BX99">
        <v>1105.0279223133839</v>
      </c>
      <c r="BY99">
        <v>2.4117558744378531</v>
      </c>
      <c r="BZ99">
        <v>-120.0463648168914</v>
      </c>
      <c r="CA99">
        <v>2.1860447301829891</v>
      </c>
      <c r="CB99">
        <v>0.99080049819762939</v>
      </c>
      <c r="CC99">
        <v>-6.9543884315906492E-3</v>
      </c>
      <c r="CD99">
        <v>289.99999999999989</v>
      </c>
      <c r="CE99">
        <v>979.43</v>
      </c>
      <c r="CF99">
        <v>635</v>
      </c>
      <c r="CG99">
        <v>10161</v>
      </c>
      <c r="CH99">
        <v>986.88</v>
      </c>
      <c r="CI99">
        <v>-7.45</v>
      </c>
      <c r="CW99">
        <f t="shared" si="134"/>
        <v>1800.02</v>
      </c>
      <c r="CX99">
        <f t="shared" si="135"/>
        <v>1513.2044999967009</v>
      </c>
      <c r="CY99">
        <f t="shared" si="136"/>
        <v>0.84065982600010047</v>
      </c>
      <c r="CZ99">
        <f t="shared" si="137"/>
        <v>0.19131965200020096</v>
      </c>
      <c r="DA99">
        <v>6</v>
      </c>
      <c r="DB99">
        <v>0.5</v>
      </c>
      <c r="DC99" t="s">
        <v>419</v>
      </c>
      <c r="DD99">
        <v>2</v>
      </c>
      <c r="DE99">
        <v>1691178140.5</v>
      </c>
      <c r="DF99">
        <v>1132.29</v>
      </c>
      <c r="DG99">
        <v>1199.73</v>
      </c>
      <c r="DH99">
        <v>25.646799999999999</v>
      </c>
      <c r="DI99">
        <v>21.529499999999999</v>
      </c>
      <c r="DJ99">
        <v>1135.57</v>
      </c>
      <c r="DK99">
        <v>25.5914</v>
      </c>
      <c r="DL99">
        <v>500.19499999999999</v>
      </c>
      <c r="DM99">
        <v>99.118099999999998</v>
      </c>
      <c r="DN99">
        <v>0.10049</v>
      </c>
      <c r="DO99">
        <v>29.976099999999999</v>
      </c>
      <c r="DP99">
        <v>29.988099999999999</v>
      </c>
      <c r="DQ99">
        <v>999.9</v>
      </c>
      <c r="DR99">
        <v>0</v>
      </c>
      <c r="DS99">
        <v>0</v>
      </c>
      <c r="DT99">
        <v>10037.5</v>
      </c>
      <c r="DU99">
        <v>0</v>
      </c>
      <c r="DV99">
        <v>1478.26</v>
      </c>
      <c r="DW99">
        <v>-67.437600000000003</v>
      </c>
      <c r="DX99">
        <v>1162.0999999999999</v>
      </c>
      <c r="DY99">
        <v>1226.1300000000001</v>
      </c>
      <c r="DZ99">
        <v>4.1173000000000002</v>
      </c>
      <c r="EA99">
        <v>1199.73</v>
      </c>
      <c r="EB99">
        <v>21.529499999999999</v>
      </c>
      <c r="EC99">
        <v>2.5420699999999998</v>
      </c>
      <c r="ED99">
        <v>2.1339700000000001</v>
      </c>
      <c r="EE99">
        <v>21.298400000000001</v>
      </c>
      <c r="EF99">
        <v>18.475000000000001</v>
      </c>
      <c r="EG99">
        <v>1800.02</v>
      </c>
      <c r="EH99">
        <v>0.97800399999999998</v>
      </c>
      <c r="EI99">
        <v>2.1995799999999999E-2</v>
      </c>
      <c r="EJ99">
        <v>0</v>
      </c>
      <c r="EK99">
        <v>698.35</v>
      </c>
      <c r="EL99">
        <v>0.100005</v>
      </c>
      <c r="EM99">
        <v>16557.3</v>
      </c>
      <c r="EN99">
        <v>14862.8</v>
      </c>
      <c r="EO99">
        <v>49.061999999999998</v>
      </c>
      <c r="EP99">
        <v>51</v>
      </c>
      <c r="EQ99">
        <v>49.936999999999998</v>
      </c>
      <c r="ER99">
        <v>49.75</v>
      </c>
      <c r="ES99">
        <v>50.061999999999998</v>
      </c>
      <c r="ET99">
        <v>1760.33</v>
      </c>
      <c r="EU99">
        <v>39.590000000000003</v>
      </c>
      <c r="EV99">
        <v>0</v>
      </c>
      <c r="EW99">
        <v>138.60000014305109</v>
      </c>
      <c r="EX99">
        <v>0</v>
      </c>
      <c r="EY99">
        <v>699.22940000000006</v>
      </c>
      <c r="EZ99">
        <v>-3.729615475122579</v>
      </c>
      <c r="FA99">
        <v>4690.7846154860954</v>
      </c>
      <c r="FB99">
        <v>16309.212</v>
      </c>
      <c r="FC99">
        <v>15</v>
      </c>
      <c r="FD99">
        <v>1691178107.5</v>
      </c>
      <c r="FE99" t="s">
        <v>842</v>
      </c>
      <c r="FF99">
        <v>1691178107.5</v>
      </c>
      <c r="FG99">
        <v>1691178104</v>
      </c>
      <c r="FH99">
        <v>96</v>
      </c>
      <c r="FI99">
        <v>0.30199999999999999</v>
      </c>
      <c r="FJ99">
        <v>4.0000000000000001E-3</v>
      </c>
      <c r="FK99">
        <v>-3.37</v>
      </c>
      <c r="FL99">
        <v>-4.4999999999999998E-2</v>
      </c>
      <c r="FM99">
        <v>1200</v>
      </c>
      <c r="FN99">
        <v>21</v>
      </c>
      <c r="FO99">
        <v>0.25</v>
      </c>
      <c r="FP99">
        <v>0.1</v>
      </c>
      <c r="FQ99">
        <v>52.557847111350263</v>
      </c>
      <c r="FR99">
        <v>-0.2954611627499642</v>
      </c>
      <c r="FS99">
        <v>9.296955037479003E-2</v>
      </c>
      <c r="FT99">
        <v>1</v>
      </c>
      <c r="FU99">
        <v>0.20841301963914019</v>
      </c>
      <c r="FV99">
        <v>-6.8199903515380248E-4</v>
      </c>
      <c r="FW99">
        <v>1.8081071644625701E-3</v>
      </c>
      <c r="FX99">
        <v>1</v>
      </c>
      <c r="FY99">
        <v>2</v>
      </c>
      <c r="FZ99">
        <v>2</v>
      </c>
      <c r="GA99" t="s">
        <v>421</v>
      </c>
      <c r="GB99">
        <v>2.9146800000000002</v>
      </c>
      <c r="GC99">
        <v>2.8307000000000002</v>
      </c>
      <c r="GD99">
        <v>0.18276500000000001</v>
      </c>
      <c r="GE99">
        <v>0.186006</v>
      </c>
      <c r="GF99">
        <v>0.122854</v>
      </c>
      <c r="GG99">
        <v>0.10474899999999999</v>
      </c>
      <c r="GH99">
        <v>21120.7</v>
      </c>
      <c r="GI99">
        <v>26039</v>
      </c>
      <c r="GJ99">
        <v>23287.200000000001</v>
      </c>
      <c r="GK99">
        <v>29343.9</v>
      </c>
      <c r="GL99">
        <v>27906.3</v>
      </c>
      <c r="GM99">
        <v>37397.1</v>
      </c>
      <c r="GN99">
        <v>32946.9</v>
      </c>
      <c r="GO99">
        <v>43534.3</v>
      </c>
      <c r="GP99">
        <v>1.9131</v>
      </c>
      <c r="GQ99">
        <v>1.6920999999999999</v>
      </c>
      <c r="GR99">
        <v>1.06394E-2</v>
      </c>
      <c r="GS99">
        <v>0</v>
      </c>
      <c r="GT99">
        <v>29.814900000000002</v>
      </c>
      <c r="GU99">
        <v>999.9</v>
      </c>
      <c r="GV99">
        <v>27.9</v>
      </c>
      <c r="GW99">
        <v>45.9</v>
      </c>
      <c r="GX99">
        <v>28.413499999999999</v>
      </c>
      <c r="GY99">
        <v>61.499499999999998</v>
      </c>
      <c r="GZ99">
        <v>34.8718</v>
      </c>
      <c r="HA99">
        <v>1</v>
      </c>
      <c r="HB99">
        <v>0.79241899999999998</v>
      </c>
      <c r="HC99">
        <v>4.5218600000000002</v>
      </c>
      <c r="HD99">
        <v>20.205500000000001</v>
      </c>
      <c r="HE99">
        <v>5.2071100000000001</v>
      </c>
      <c r="HF99">
        <v>11.8782</v>
      </c>
      <c r="HG99">
        <v>4.9817999999999998</v>
      </c>
      <c r="HH99">
        <v>3.2833999999999999</v>
      </c>
      <c r="HI99">
        <v>9999</v>
      </c>
      <c r="HJ99">
        <v>9999</v>
      </c>
      <c r="HK99">
        <v>9999</v>
      </c>
      <c r="HL99">
        <v>999.9</v>
      </c>
      <c r="HM99">
        <v>1.85486</v>
      </c>
      <c r="HN99">
        <v>1.8608100000000001</v>
      </c>
      <c r="HO99">
        <v>1.85809</v>
      </c>
      <c r="HP99">
        <v>1.85928</v>
      </c>
      <c r="HQ99">
        <v>1.8586100000000001</v>
      </c>
      <c r="HR99">
        <v>1.8591299999999999</v>
      </c>
      <c r="HS99">
        <v>1.85745</v>
      </c>
      <c r="HT99">
        <v>1.8608100000000001</v>
      </c>
      <c r="HU99">
        <v>5</v>
      </c>
      <c r="HV99">
        <v>0</v>
      </c>
      <c r="HW99">
        <v>0</v>
      </c>
      <c r="HX99">
        <v>0</v>
      </c>
      <c r="HY99" t="s">
        <v>422</v>
      </c>
      <c r="HZ99" t="s">
        <v>423</v>
      </c>
      <c r="IA99" t="s">
        <v>424</v>
      </c>
      <c r="IB99" t="s">
        <v>424</v>
      </c>
      <c r="IC99" t="s">
        <v>424</v>
      </c>
      <c r="ID99" t="s">
        <v>424</v>
      </c>
      <c r="IE99">
        <v>0</v>
      </c>
      <c r="IF99">
        <v>100</v>
      </c>
      <c r="IG99">
        <v>100</v>
      </c>
      <c r="IH99">
        <v>-3.28</v>
      </c>
      <c r="II99">
        <v>5.5399999999999998E-2</v>
      </c>
      <c r="IJ99">
        <v>-0.43515474050472802</v>
      </c>
      <c r="IK99">
        <v>-4.1229525807901877E-3</v>
      </c>
      <c r="IL99">
        <v>1.8448211998558991E-6</v>
      </c>
      <c r="IM99">
        <v>-3.7020276670297668E-10</v>
      </c>
      <c r="IN99">
        <v>-0.1802053210651933</v>
      </c>
      <c r="IO99">
        <v>-1.3488639696665739E-2</v>
      </c>
      <c r="IP99">
        <v>1.1588640342490499E-3</v>
      </c>
      <c r="IQ99">
        <v>-1.0624341560077559E-5</v>
      </c>
      <c r="IR99">
        <v>2</v>
      </c>
      <c r="IS99">
        <v>1915</v>
      </c>
      <c r="IT99">
        <v>1</v>
      </c>
      <c r="IU99">
        <v>42</v>
      </c>
      <c r="IV99">
        <v>0.6</v>
      </c>
      <c r="IW99">
        <v>0.6</v>
      </c>
      <c r="IX99">
        <v>2.4621599999999999</v>
      </c>
      <c r="IY99">
        <v>2.4706999999999999</v>
      </c>
      <c r="IZ99">
        <v>1.49414</v>
      </c>
      <c r="JA99">
        <v>2.2839399999999999</v>
      </c>
      <c r="JB99">
        <v>1.54419</v>
      </c>
      <c r="JC99">
        <v>2.5268600000000001</v>
      </c>
      <c r="JD99">
        <v>49.294899999999998</v>
      </c>
      <c r="JE99">
        <v>23.886099999999999</v>
      </c>
      <c r="JF99">
        <v>18</v>
      </c>
      <c r="JG99">
        <v>513.54100000000005</v>
      </c>
      <c r="JH99">
        <v>395.62400000000002</v>
      </c>
      <c r="JI99">
        <v>23.645399999999999</v>
      </c>
      <c r="JJ99">
        <v>36.966000000000001</v>
      </c>
      <c r="JK99">
        <v>29.998799999999999</v>
      </c>
      <c r="JL99">
        <v>37.011200000000002</v>
      </c>
      <c r="JM99">
        <v>36.991799999999998</v>
      </c>
      <c r="JN99">
        <v>49.326000000000001</v>
      </c>
      <c r="JO99">
        <v>24.209199999999999</v>
      </c>
      <c r="JP99">
        <v>0</v>
      </c>
      <c r="JQ99">
        <v>23.6401</v>
      </c>
      <c r="JR99">
        <v>1200</v>
      </c>
      <c r="JS99">
        <v>21.5791</v>
      </c>
      <c r="JT99">
        <v>97.692099999999996</v>
      </c>
      <c r="JU99">
        <v>97.858800000000002</v>
      </c>
    </row>
    <row r="100" spans="1:281" x14ac:dyDescent="0.25">
      <c r="A100">
        <v>84</v>
      </c>
      <c r="B100">
        <v>1691178263.5</v>
      </c>
      <c r="C100">
        <v>19017.900000095371</v>
      </c>
      <c r="D100" t="s">
        <v>843</v>
      </c>
      <c r="E100" t="s">
        <v>844</v>
      </c>
      <c r="F100" t="s">
        <v>413</v>
      </c>
      <c r="G100" t="s">
        <v>779</v>
      </c>
      <c r="H100" t="s">
        <v>493</v>
      </c>
      <c r="I100" t="s">
        <v>31</v>
      </c>
      <c r="J100">
        <v>1691178263.5</v>
      </c>
      <c r="K100">
        <f t="shared" si="92"/>
        <v>3.3216742301851072E-3</v>
      </c>
      <c r="L100">
        <f t="shared" si="93"/>
        <v>3.3216742301851072</v>
      </c>
      <c r="M100">
        <f t="shared" si="94"/>
        <v>53.623052923956948</v>
      </c>
      <c r="N100">
        <f t="shared" si="95"/>
        <v>1430.028</v>
      </c>
      <c r="O100">
        <f t="shared" si="96"/>
        <v>912.04864569706535</v>
      </c>
      <c r="P100">
        <f t="shared" si="97"/>
        <v>90.486869778208487</v>
      </c>
      <c r="Q100">
        <f t="shared" si="98"/>
        <v>141.877034767476</v>
      </c>
      <c r="R100">
        <f t="shared" si="99"/>
        <v>0.18294958572197337</v>
      </c>
      <c r="S100">
        <f t="shared" si="100"/>
        <v>2.9121876353946901</v>
      </c>
      <c r="T100">
        <f t="shared" si="101"/>
        <v>0.17679596585102011</v>
      </c>
      <c r="U100">
        <f t="shared" si="102"/>
        <v>0.11103311409181442</v>
      </c>
      <c r="V100">
        <f t="shared" si="103"/>
        <v>344.35259999340127</v>
      </c>
      <c r="W100">
        <f t="shared" si="104"/>
        <v>31.205455312424345</v>
      </c>
      <c r="X100">
        <f t="shared" si="105"/>
        <v>30.1753</v>
      </c>
      <c r="Y100">
        <f t="shared" si="106"/>
        <v>4.3035373049409511</v>
      </c>
      <c r="Z100">
        <f t="shared" si="107"/>
        <v>58.643710022997865</v>
      </c>
      <c r="AA100">
        <f t="shared" si="108"/>
        <v>2.5034555922644</v>
      </c>
      <c r="AB100">
        <f t="shared" si="109"/>
        <v>4.2689243079652339</v>
      </c>
      <c r="AC100">
        <f t="shared" si="110"/>
        <v>1.8000817126765511</v>
      </c>
      <c r="AD100">
        <f t="shared" si="111"/>
        <v>-146.48583355116324</v>
      </c>
      <c r="AE100">
        <f t="shared" si="112"/>
        <v>-22.09016167377521</v>
      </c>
      <c r="AF100">
        <f t="shared" si="113"/>
        <v>-1.6883786767966691</v>
      </c>
      <c r="AG100">
        <f t="shared" si="114"/>
        <v>174.08822609166614</v>
      </c>
      <c r="AH100">
        <v>0</v>
      </c>
      <c r="AI100">
        <v>0</v>
      </c>
      <c r="AJ100">
        <f t="shared" si="115"/>
        <v>1</v>
      </c>
      <c r="AK100">
        <f t="shared" si="116"/>
        <v>0</v>
      </c>
      <c r="AL100">
        <f t="shared" si="117"/>
        <v>51833.406804255603</v>
      </c>
      <c r="AM100" t="s">
        <v>416</v>
      </c>
      <c r="AN100">
        <v>10235.299999999999</v>
      </c>
      <c r="AO100">
        <v>594.051923076923</v>
      </c>
      <c r="AP100">
        <v>2007.77</v>
      </c>
      <c r="AQ100">
        <f t="shared" si="118"/>
        <v>0.70412351859180933</v>
      </c>
      <c r="AR100">
        <v>-0.54275787784279261</v>
      </c>
      <c r="AS100" t="s">
        <v>845</v>
      </c>
      <c r="AT100">
        <v>10182.6</v>
      </c>
      <c r="AU100">
        <v>700.65300000000013</v>
      </c>
      <c r="AV100">
        <v>1118.501272717308</v>
      </c>
      <c r="AW100">
        <f t="shared" si="119"/>
        <v>0.37357871904980444</v>
      </c>
      <c r="AX100">
        <v>0.5</v>
      </c>
      <c r="AY100">
        <f t="shared" si="120"/>
        <v>1513.0868999967006</v>
      </c>
      <c r="AZ100">
        <f t="shared" si="121"/>
        <v>53.623052923956948</v>
      </c>
      <c r="BA100">
        <f t="shared" si="122"/>
        <v>282.62853295590349</v>
      </c>
      <c r="BB100">
        <f t="shared" si="123"/>
        <v>3.5798215424320871E-2</v>
      </c>
      <c r="BC100">
        <f t="shared" si="124"/>
        <v>0.7950538358550866</v>
      </c>
      <c r="BD100">
        <f t="shared" si="125"/>
        <v>480.9211279222913</v>
      </c>
      <c r="BE100" t="s">
        <v>846</v>
      </c>
      <c r="BF100">
        <v>548.37</v>
      </c>
      <c r="BG100">
        <f t="shared" si="126"/>
        <v>548.37</v>
      </c>
      <c r="BH100">
        <f t="shared" si="127"/>
        <v>0.50972787123632002</v>
      </c>
      <c r="BI100">
        <f t="shared" si="128"/>
        <v>0.7328983564185092</v>
      </c>
      <c r="BJ100">
        <f t="shared" si="129"/>
        <v>0.60933858248779771</v>
      </c>
      <c r="BK100">
        <f t="shared" si="130"/>
        <v>0.79673713582412964</v>
      </c>
      <c r="BL100">
        <f t="shared" si="131"/>
        <v>0.62902833443154649</v>
      </c>
      <c r="BM100">
        <f t="shared" si="132"/>
        <v>0.57360700904615813</v>
      </c>
      <c r="BN100">
        <f t="shared" si="133"/>
        <v>0.42639299095384187</v>
      </c>
      <c r="BO100">
        <v>12635</v>
      </c>
      <c r="BP100">
        <v>290.00000000000011</v>
      </c>
      <c r="BQ100">
        <v>992.92</v>
      </c>
      <c r="BR100">
        <v>245</v>
      </c>
      <c r="BS100">
        <v>10182.6</v>
      </c>
      <c r="BT100">
        <v>994.84</v>
      </c>
      <c r="BU100">
        <v>-1.92</v>
      </c>
      <c r="BV100">
        <v>300.00000000000011</v>
      </c>
      <c r="BW100">
        <v>24.2</v>
      </c>
      <c r="BX100">
        <v>1118.501272717308</v>
      </c>
      <c r="BY100">
        <v>2.4795239009720609</v>
      </c>
      <c r="BZ100">
        <v>-125.9210889326387</v>
      </c>
      <c r="CA100">
        <v>2.24771020957122</v>
      </c>
      <c r="CB100">
        <v>0.99115731172269506</v>
      </c>
      <c r="CC100">
        <v>-6.9551147942157896E-3</v>
      </c>
      <c r="CD100">
        <v>289.99999999999989</v>
      </c>
      <c r="CE100">
        <v>986.81</v>
      </c>
      <c r="CF100">
        <v>635</v>
      </c>
      <c r="CG100">
        <v>10162.1</v>
      </c>
      <c r="CH100">
        <v>994.59</v>
      </c>
      <c r="CI100">
        <v>-7.78</v>
      </c>
      <c r="CW100">
        <f t="shared" si="134"/>
        <v>1799.88</v>
      </c>
      <c r="CX100">
        <f t="shared" si="135"/>
        <v>1513.0868999967006</v>
      </c>
      <c r="CY100">
        <f t="shared" si="136"/>
        <v>0.84065987732332181</v>
      </c>
      <c r="CZ100">
        <f t="shared" si="137"/>
        <v>0.1913197546466438</v>
      </c>
      <c r="DA100">
        <v>6</v>
      </c>
      <c r="DB100">
        <v>0.5</v>
      </c>
      <c r="DC100" t="s">
        <v>419</v>
      </c>
      <c r="DD100">
        <v>2</v>
      </c>
      <c r="DE100">
        <v>1691178263.5</v>
      </c>
      <c r="DF100">
        <v>1430.028</v>
      </c>
      <c r="DG100">
        <v>1500.05</v>
      </c>
      <c r="DH100">
        <v>25.2332</v>
      </c>
      <c r="DI100">
        <v>21.3492</v>
      </c>
      <c r="DJ100">
        <v>1434.1</v>
      </c>
      <c r="DK100">
        <v>25.280200000000001</v>
      </c>
      <c r="DL100">
        <v>500.18400000000003</v>
      </c>
      <c r="DM100">
        <v>99.112700000000004</v>
      </c>
      <c r="DN100">
        <v>0.100067</v>
      </c>
      <c r="DO100">
        <v>30.034600000000001</v>
      </c>
      <c r="DP100">
        <v>30.1753</v>
      </c>
      <c r="DQ100">
        <v>999.9</v>
      </c>
      <c r="DR100">
        <v>0</v>
      </c>
      <c r="DS100">
        <v>0</v>
      </c>
      <c r="DT100">
        <v>9990</v>
      </c>
      <c r="DU100">
        <v>0</v>
      </c>
      <c r="DV100">
        <v>1755.37</v>
      </c>
      <c r="DW100">
        <v>-69.596800000000002</v>
      </c>
      <c r="DX100">
        <v>1467.62</v>
      </c>
      <c r="DY100">
        <v>1532.77</v>
      </c>
      <c r="DZ100">
        <v>3.9787699999999999</v>
      </c>
      <c r="EA100">
        <v>1500.05</v>
      </c>
      <c r="EB100">
        <v>21.3492</v>
      </c>
      <c r="EC100">
        <v>2.5103200000000001</v>
      </c>
      <c r="ED100">
        <v>2.11598</v>
      </c>
      <c r="EE100">
        <v>21.093599999999999</v>
      </c>
      <c r="EF100">
        <v>18.34</v>
      </c>
      <c r="EG100">
        <v>1799.88</v>
      </c>
      <c r="EH100">
        <v>0.97800100000000001</v>
      </c>
      <c r="EI100">
        <v>2.1999500000000002E-2</v>
      </c>
      <c r="EJ100">
        <v>0</v>
      </c>
      <c r="EK100">
        <v>699.84500000000003</v>
      </c>
      <c r="EL100">
        <v>0.100005</v>
      </c>
      <c r="EM100">
        <v>17286</v>
      </c>
      <c r="EN100">
        <v>14861.5</v>
      </c>
      <c r="EO100">
        <v>49</v>
      </c>
      <c r="EP100">
        <v>51.186999999999998</v>
      </c>
      <c r="EQ100">
        <v>49.875</v>
      </c>
      <c r="ER100">
        <v>50</v>
      </c>
      <c r="ES100">
        <v>50.061999999999998</v>
      </c>
      <c r="ET100">
        <v>1760.19</v>
      </c>
      <c r="EU100">
        <v>39.590000000000003</v>
      </c>
      <c r="EV100">
        <v>0</v>
      </c>
      <c r="EW100">
        <v>120.6000001430511</v>
      </c>
      <c r="EX100">
        <v>0</v>
      </c>
      <c r="EY100">
        <v>700.65300000000013</v>
      </c>
      <c r="EZ100">
        <v>-1.7015385970075629</v>
      </c>
      <c r="FA100">
        <v>-56.492307623236563</v>
      </c>
      <c r="FB100">
        <v>17296.348000000002</v>
      </c>
      <c r="FC100">
        <v>15</v>
      </c>
      <c r="FD100">
        <v>1691178300.5</v>
      </c>
      <c r="FE100" t="s">
        <v>847</v>
      </c>
      <c r="FF100">
        <v>1691178300.5</v>
      </c>
      <c r="FG100">
        <v>1691178295</v>
      </c>
      <c r="FH100">
        <v>97</v>
      </c>
      <c r="FI100">
        <v>-0.35099999999999998</v>
      </c>
      <c r="FJ100">
        <v>-2E-3</v>
      </c>
      <c r="FK100">
        <v>-4.0720000000000001</v>
      </c>
      <c r="FL100">
        <v>-4.7E-2</v>
      </c>
      <c r="FM100">
        <v>1500</v>
      </c>
      <c r="FN100">
        <v>21</v>
      </c>
      <c r="FO100">
        <v>0.22</v>
      </c>
      <c r="FP100">
        <v>7.0000000000000007E-2</v>
      </c>
      <c r="FQ100">
        <v>52.801998315909543</v>
      </c>
      <c r="FR100">
        <v>-0.44025469596864941</v>
      </c>
      <c r="FS100">
        <v>0.14617631018434271</v>
      </c>
      <c r="FT100">
        <v>1</v>
      </c>
      <c r="FU100">
        <v>0.189106620353476</v>
      </c>
      <c r="FV100">
        <v>1.181844079054698E-2</v>
      </c>
      <c r="FW100">
        <v>1.2616410547277919E-3</v>
      </c>
      <c r="FX100">
        <v>1</v>
      </c>
      <c r="FY100">
        <v>2</v>
      </c>
      <c r="FZ100">
        <v>2</v>
      </c>
      <c r="GA100" t="s">
        <v>421</v>
      </c>
      <c r="GB100">
        <v>2.9148499999999999</v>
      </c>
      <c r="GC100">
        <v>2.82986</v>
      </c>
      <c r="GD100">
        <v>0.210757</v>
      </c>
      <c r="GE100">
        <v>0.21304500000000001</v>
      </c>
      <c r="GF100">
        <v>0.121851</v>
      </c>
      <c r="GG100">
        <v>0.104169</v>
      </c>
      <c r="GH100">
        <v>20403.599999999999</v>
      </c>
      <c r="GI100">
        <v>25180.9</v>
      </c>
      <c r="GJ100">
        <v>23296.3</v>
      </c>
      <c r="GK100">
        <v>29354.2</v>
      </c>
      <c r="GL100">
        <v>27951.4</v>
      </c>
      <c r="GM100">
        <v>37434.1</v>
      </c>
      <c r="GN100">
        <v>32960.9</v>
      </c>
      <c r="GO100">
        <v>43546.3</v>
      </c>
      <c r="GP100">
        <v>1.9149</v>
      </c>
      <c r="GQ100">
        <v>1.6971000000000001</v>
      </c>
      <c r="GR100">
        <v>-2.8908300000000001E-2</v>
      </c>
      <c r="GS100">
        <v>0</v>
      </c>
      <c r="GT100">
        <v>30.645499999999998</v>
      </c>
      <c r="GU100">
        <v>999.9</v>
      </c>
      <c r="GV100">
        <v>27.7</v>
      </c>
      <c r="GW100">
        <v>45.9</v>
      </c>
      <c r="GX100">
        <v>28.214099999999998</v>
      </c>
      <c r="GY100">
        <v>61.8596</v>
      </c>
      <c r="GZ100">
        <v>35.236400000000003</v>
      </c>
      <c r="HA100">
        <v>1</v>
      </c>
      <c r="HB100">
        <v>0.78654500000000005</v>
      </c>
      <c r="HC100">
        <v>6.7204300000000003</v>
      </c>
      <c r="HD100">
        <v>20.1355</v>
      </c>
      <c r="HE100">
        <v>5.2107000000000001</v>
      </c>
      <c r="HF100">
        <v>11.8782</v>
      </c>
      <c r="HG100">
        <v>4.984</v>
      </c>
      <c r="HH100">
        <v>3.2839999999999998</v>
      </c>
      <c r="HI100">
        <v>9999</v>
      </c>
      <c r="HJ100">
        <v>9999</v>
      </c>
      <c r="HK100">
        <v>9999</v>
      </c>
      <c r="HL100">
        <v>999.9</v>
      </c>
      <c r="HM100">
        <v>1.85486</v>
      </c>
      <c r="HN100">
        <v>1.8608100000000001</v>
      </c>
      <c r="HO100">
        <v>1.8581700000000001</v>
      </c>
      <c r="HP100">
        <v>1.85928</v>
      </c>
      <c r="HQ100">
        <v>1.8586400000000001</v>
      </c>
      <c r="HR100">
        <v>1.8591299999999999</v>
      </c>
      <c r="HS100">
        <v>1.85747</v>
      </c>
      <c r="HT100">
        <v>1.8608100000000001</v>
      </c>
      <c r="HU100">
        <v>5</v>
      </c>
      <c r="HV100">
        <v>0</v>
      </c>
      <c r="HW100">
        <v>0</v>
      </c>
      <c r="HX100">
        <v>0</v>
      </c>
      <c r="HY100" t="s">
        <v>422</v>
      </c>
      <c r="HZ100" t="s">
        <v>423</v>
      </c>
      <c r="IA100" t="s">
        <v>424</v>
      </c>
      <c r="IB100" t="s">
        <v>424</v>
      </c>
      <c r="IC100" t="s">
        <v>424</v>
      </c>
      <c r="ID100" t="s">
        <v>424</v>
      </c>
      <c r="IE100">
        <v>0</v>
      </c>
      <c r="IF100">
        <v>100</v>
      </c>
      <c r="IG100">
        <v>100</v>
      </c>
      <c r="IH100">
        <v>-4.0720000000000001</v>
      </c>
      <c r="II100">
        <v>-4.7E-2</v>
      </c>
      <c r="IJ100">
        <v>-0.43515474050472802</v>
      </c>
      <c r="IK100">
        <v>-4.1229525807901877E-3</v>
      </c>
      <c r="IL100">
        <v>1.8448211998558991E-6</v>
      </c>
      <c r="IM100">
        <v>-3.7020276670297668E-10</v>
      </c>
      <c r="IN100">
        <v>-0.1802053210651933</v>
      </c>
      <c r="IO100">
        <v>-1.3488639696665739E-2</v>
      </c>
      <c r="IP100">
        <v>1.1588640342490499E-3</v>
      </c>
      <c r="IQ100">
        <v>-1.0624341560077559E-5</v>
      </c>
      <c r="IR100">
        <v>2</v>
      </c>
      <c r="IS100">
        <v>1915</v>
      </c>
      <c r="IT100">
        <v>1</v>
      </c>
      <c r="IU100">
        <v>42</v>
      </c>
      <c r="IV100">
        <v>2.6</v>
      </c>
      <c r="IW100">
        <v>2.7</v>
      </c>
      <c r="IX100">
        <v>2.94434</v>
      </c>
      <c r="IY100">
        <v>2.4597199999999999</v>
      </c>
      <c r="IZ100">
        <v>1.49414</v>
      </c>
      <c r="JA100">
        <v>2.2839399999999999</v>
      </c>
      <c r="JB100">
        <v>1.54419</v>
      </c>
      <c r="JC100">
        <v>2.4877899999999999</v>
      </c>
      <c r="JD100">
        <v>49.169199999999996</v>
      </c>
      <c r="JE100">
        <v>23.8598</v>
      </c>
      <c r="JF100">
        <v>18</v>
      </c>
      <c r="JG100">
        <v>513.14800000000002</v>
      </c>
      <c r="JH100">
        <v>397.54700000000003</v>
      </c>
      <c r="JI100">
        <v>21.772099999999998</v>
      </c>
      <c r="JJ100">
        <v>36.768799999999999</v>
      </c>
      <c r="JK100">
        <v>29.9999</v>
      </c>
      <c r="JL100">
        <v>36.800199999999997</v>
      </c>
      <c r="JM100">
        <v>36.792700000000004</v>
      </c>
      <c r="JN100">
        <v>58.9816</v>
      </c>
      <c r="JO100">
        <v>24.573</v>
      </c>
      <c r="JP100">
        <v>0</v>
      </c>
      <c r="JQ100">
        <v>21.735299999999999</v>
      </c>
      <c r="JR100">
        <v>1500</v>
      </c>
      <c r="JS100">
        <v>21.243200000000002</v>
      </c>
      <c r="JT100">
        <v>97.732100000000003</v>
      </c>
      <c r="JU100">
        <v>97.888800000000003</v>
      </c>
    </row>
    <row r="101" spans="1:281" x14ac:dyDescent="0.25">
      <c r="A101">
        <v>85</v>
      </c>
      <c r="B101">
        <v>1691181902</v>
      </c>
      <c r="C101">
        <v>22656.400000095371</v>
      </c>
      <c r="D101" t="s">
        <v>848</v>
      </c>
      <c r="E101" t="s">
        <v>849</v>
      </c>
      <c r="F101" t="s">
        <v>413</v>
      </c>
      <c r="G101" t="s">
        <v>708</v>
      </c>
      <c r="H101" t="s">
        <v>637</v>
      </c>
      <c r="I101" t="s">
        <v>31</v>
      </c>
      <c r="J101">
        <v>1691181902</v>
      </c>
      <c r="K101">
        <f t="shared" si="92"/>
        <v>4.2178978408251343E-3</v>
      </c>
      <c r="L101">
        <f t="shared" si="93"/>
        <v>4.2178978408251346</v>
      </c>
      <c r="M101">
        <f t="shared" si="94"/>
        <v>40.941876816079741</v>
      </c>
      <c r="N101">
        <f t="shared" si="95"/>
        <v>349.09</v>
      </c>
      <c r="O101">
        <f t="shared" si="96"/>
        <v>58.069739196329309</v>
      </c>
      <c r="P101">
        <f t="shared" si="97"/>
        <v>5.7572331811992701</v>
      </c>
      <c r="Q101">
        <f t="shared" si="98"/>
        <v>34.609980327789991</v>
      </c>
      <c r="R101">
        <f t="shared" si="99"/>
        <v>0.23876857751868119</v>
      </c>
      <c r="S101">
        <f t="shared" si="100"/>
        <v>2.9065668101225044</v>
      </c>
      <c r="T101">
        <f t="shared" si="101"/>
        <v>0.22838242787497801</v>
      </c>
      <c r="U101">
        <f t="shared" si="102"/>
        <v>0.14363452150396147</v>
      </c>
      <c r="V101">
        <f t="shared" si="103"/>
        <v>344.37219999339993</v>
      </c>
      <c r="W101">
        <f t="shared" si="104"/>
        <v>30.885936624481456</v>
      </c>
      <c r="X101">
        <f t="shared" si="105"/>
        <v>30.012</v>
      </c>
      <c r="Y101">
        <f t="shared" si="106"/>
        <v>4.2633872554958057</v>
      </c>
      <c r="Z101">
        <f t="shared" si="107"/>
        <v>58.73439690659071</v>
      </c>
      <c r="AA101">
        <f t="shared" si="108"/>
        <v>2.4947560685960997</v>
      </c>
      <c r="AB101">
        <f t="shared" si="109"/>
        <v>4.2475213843834627</v>
      </c>
      <c r="AC101">
        <f t="shared" si="110"/>
        <v>1.768631186899706</v>
      </c>
      <c r="AD101">
        <f t="shared" si="111"/>
        <v>-186.00929478038842</v>
      </c>
      <c r="AE101">
        <f t="shared" si="112"/>
        <v>-10.169754058389595</v>
      </c>
      <c r="AF101">
        <f t="shared" si="113"/>
        <v>-0.77782393248636639</v>
      </c>
      <c r="AG101">
        <f t="shared" si="114"/>
        <v>147.41532722213557</v>
      </c>
      <c r="AH101">
        <v>0</v>
      </c>
      <c r="AI101">
        <v>0</v>
      </c>
      <c r="AJ101">
        <f t="shared" si="115"/>
        <v>1</v>
      </c>
      <c r="AK101">
        <f t="shared" si="116"/>
        <v>0</v>
      </c>
      <c r="AL101">
        <f t="shared" si="117"/>
        <v>51687.114091652147</v>
      </c>
      <c r="AM101" t="s">
        <v>416</v>
      </c>
      <c r="AN101">
        <v>10235.299999999999</v>
      </c>
      <c r="AO101">
        <v>594.051923076923</v>
      </c>
      <c r="AP101">
        <v>2007.77</v>
      </c>
      <c r="AQ101">
        <f t="shared" si="118"/>
        <v>0.70412351859180933</v>
      </c>
      <c r="AR101">
        <v>-0.54275787784279261</v>
      </c>
      <c r="AS101" t="s">
        <v>850</v>
      </c>
      <c r="AT101">
        <v>10204.1</v>
      </c>
      <c r="AU101">
        <v>697.6386</v>
      </c>
      <c r="AV101">
        <v>999.73649810890527</v>
      </c>
      <c r="AW101">
        <f t="shared" si="119"/>
        <v>0.30217752245751917</v>
      </c>
      <c r="AX101">
        <v>0.5</v>
      </c>
      <c r="AY101">
        <f t="shared" si="120"/>
        <v>1513.1711999967001</v>
      </c>
      <c r="AZ101">
        <f t="shared" si="121"/>
        <v>40.941876816079741</v>
      </c>
      <c r="BA101">
        <f t="shared" si="122"/>
        <v>228.62316213453704</v>
      </c>
      <c r="BB101">
        <f t="shared" si="123"/>
        <v>2.7415691426067985E-2</v>
      </c>
      <c r="BC101">
        <f t="shared" si="124"/>
        <v>1.0082991906346161</v>
      </c>
      <c r="BD101">
        <f t="shared" si="125"/>
        <v>457.55008381626101</v>
      </c>
      <c r="BE101" t="s">
        <v>851</v>
      </c>
      <c r="BF101">
        <v>541.42999999999995</v>
      </c>
      <c r="BG101">
        <f t="shared" si="126"/>
        <v>541.42999999999995</v>
      </c>
      <c r="BH101">
        <f t="shared" si="127"/>
        <v>0.45842729456795339</v>
      </c>
      <c r="BI101">
        <f t="shared" si="128"/>
        <v>0.65916128039956157</v>
      </c>
      <c r="BJ101">
        <f t="shared" si="129"/>
        <v>0.68744868304151463</v>
      </c>
      <c r="BK101">
        <f t="shared" si="130"/>
        <v>0.74466202735238152</v>
      </c>
      <c r="BL101">
        <f t="shared" si="131"/>
        <v>0.71303714534446294</v>
      </c>
      <c r="BM101">
        <f t="shared" si="132"/>
        <v>0.51156815584277382</v>
      </c>
      <c r="BN101">
        <f t="shared" si="133"/>
        <v>0.48843184415722618</v>
      </c>
      <c r="BO101">
        <v>12637</v>
      </c>
      <c r="BP101">
        <v>290.00000000000011</v>
      </c>
      <c r="BQ101">
        <v>917.33</v>
      </c>
      <c r="BR101">
        <v>255</v>
      </c>
      <c r="BS101">
        <v>10204.1</v>
      </c>
      <c r="BT101">
        <v>916.94</v>
      </c>
      <c r="BU101">
        <v>0.39</v>
      </c>
      <c r="BV101">
        <v>300.00000000000011</v>
      </c>
      <c r="BW101">
        <v>24.2</v>
      </c>
      <c r="BX101">
        <v>999.73649810890527</v>
      </c>
      <c r="BY101">
        <v>2.5228226458637009</v>
      </c>
      <c r="BZ101">
        <v>-84.489076372987213</v>
      </c>
      <c r="CA101">
        <v>2.2920150028635931</v>
      </c>
      <c r="CB101">
        <v>0.9798101199260697</v>
      </c>
      <c r="CC101">
        <v>-6.9711248053392722E-3</v>
      </c>
      <c r="CD101">
        <v>289.99999999999989</v>
      </c>
      <c r="CE101">
        <v>913.89</v>
      </c>
      <c r="CF101">
        <v>645</v>
      </c>
      <c r="CG101">
        <v>10183.799999999999</v>
      </c>
      <c r="CH101">
        <v>916.77</v>
      </c>
      <c r="CI101">
        <v>-2.88</v>
      </c>
      <c r="CW101">
        <f t="shared" si="134"/>
        <v>1799.98</v>
      </c>
      <c r="CX101">
        <f t="shared" si="135"/>
        <v>1513.1711999967001</v>
      </c>
      <c r="CY101">
        <f t="shared" si="136"/>
        <v>0.84066000733158153</v>
      </c>
      <c r="CZ101">
        <f t="shared" si="137"/>
        <v>0.1913200146631629</v>
      </c>
      <c r="DA101">
        <v>6</v>
      </c>
      <c r="DB101">
        <v>0.5</v>
      </c>
      <c r="DC101" t="s">
        <v>419</v>
      </c>
      <c r="DD101">
        <v>2</v>
      </c>
      <c r="DE101">
        <v>1691181902</v>
      </c>
      <c r="DF101">
        <v>349.09</v>
      </c>
      <c r="DG101">
        <v>399.95400000000001</v>
      </c>
      <c r="DH101">
        <v>25.1631</v>
      </c>
      <c r="DI101">
        <v>20.232199999999999</v>
      </c>
      <c r="DJ101">
        <v>352.286</v>
      </c>
      <c r="DK101">
        <v>25.243099999999998</v>
      </c>
      <c r="DL101">
        <v>500.32600000000002</v>
      </c>
      <c r="DM101">
        <v>99.042299999999997</v>
      </c>
      <c r="DN101">
        <v>0.101131</v>
      </c>
      <c r="DO101">
        <v>29.947099999999999</v>
      </c>
      <c r="DP101">
        <v>30.012</v>
      </c>
      <c r="DQ101">
        <v>999.9</v>
      </c>
      <c r="DR101">
        <v>0</v>
      </c>
      <c r="DS101">
        <v>0</v>
      </c>
      <c r="DT101">
        <v>9965</v>
      </c>
      <c r="DU101">
        <v>0</v>
      </c>
      <c r="DV101">
        <v>1320.54</v>
      </c>
      <c r="DW101">
        <v>-50.690100000000001</v>
      </c>
      <c r="DX101">
        <v>358.31099999999998</v>
      </c>
      <c r="DY101">
        <v>408.214</v>
      </c>
      <c r="DZ101">
        <v>5.01708</v>
      </c>
      <c r="EA101">
        <v>399.95400000000001</v>
      </c>
      <c r="EB101">
        <v>20.232199999999999</v>
      </c>
      <c r="EC101">
        <v>2.50075</v>
      </c>
      <c r="ED101">
        <v>2.0038499999999999</v>
      </c>
      <c r="EE101">
        <v>21.031400000000001</v>
      </c>
      <c r="EF101">
        <v>17.474799999999998</v>
      </c>
      <c r="EG101">
        <v>1799.98</v>
      </c>
      <c r="EH101">
        <v>0.97799999999999998</v>
      </c>
      <c r="EI101">
        <v>2.20003E-2</v>
      </c>
      <c r="EJ101">
        <v>0</v>
      </c>
      <c r="EK101">
        <v>699.06500000000005</v>
      </c>
      <c r="EL101">
        <v>0.100005</v>
      </c>
      <c r="EM101">
        <v>16123.4</v>
      </c>
      <c r="EN101">
        <v>14862.3</v>
      </c>
      <c r="EO101">
        <v>49.5</v>
      </c>
      <c r="EP101">
        <v>51.436999999999998</v>
      </c>
      <c r="EQ101">
        <v>50.5</v>
      </c>
      <c r="ER101">
        <v>49.936999999999998</v>
      </c>
      <c r="ES101">
        <v>50.375</v>
      </c>
      <c r="ET101">
        <v>1760.28</v>
      </c>
      <c r="EU101">
        <v>39.6</v>
      </c>
      <c r="EV101">
        <v>0</v>
      </c>
      <c r="EW101">
        <v>3636.6000001430511</v>
      </c>
      <c r="EX101">
        <v>0</v>
      </c>
      <c r="EY101">
        <v>697.6386</v>
      </c>
      <c r="EZ101">
        <v>1.2588460877925041</v>
      </c>
      <c r="FA101">
        <v>75.476923190645337</v>
      </c>
      <c r="FB101">
        <v>16118.596</v>
      </c>
      <c r="FC101">
        <v>15</v>
      </c>
      <c r="FD101">
        <v>1691181931</v>
      </c>
      <c r="FE101" t="s">
        <v>852</v>
      </c>
      <c r="FF101">
        <v>1691181931</v>
      </c>
      <c r="FG101">
        <v>1691181931</v>
      </c>
      <c r="FH101">
        <v>101</v>
      </c>
      <c r="FI101">
        <v>-2.8000000000000001E-2</v>
      </c>
      <c r="FJ101">
        <v>2.7E-2</v>
      </c>
      <c r="FK101">
        <v>-3.1960000000000002</v>
      </c>
      <c r="FL101">
        <v>-0.08</v>
      </c>
      <c r="FM101">
        <v>400</v>
      </c>
      <c r="FN101">
        <v>20</v>
      </c>
      <c r="FO101">
        <v>0.1</v>
      </c>
      <c r="FP101">
        <v>0.06</v>
      </c>
      <c r="FQ101">
        <v>40.757451782838238</v>
      </c>
      <c r="FR101">
        <v>0.1264234268863639</v>
      </c>
      <c r="FS101">
        <v>0.1018122005864973</v>
      </c>
      <c r="FT101">
        <v>1</v>
      </c>
      <c r="FU101">
        <v>0.2480944870436084</v>
      </c>
      <c r="FV101">
        <v>-4.487351758397215E-2</v>
      </c>
      <c r="FW101">
        <v>3.3764232236698278E-3</v>
      </c>
      <c r="FX101">
        <v>1</v>
      </c>
      <c r="FY101">
        <v>2</v>
      </c>
      <c r="FZ101">
        <v>2</v>
      </c>
      <c r="GA101" t="s">
        <v>421</v>
      </c>
      <c r="GB101">
        <v>2.9142999999999999</v>
      </c>
      <c r="GC101">
        <v>2.8307099999999998</v>
      </c>
      <c r="GD101">
        <v>8.0443600000000004E-2</v>
      </c>
      <c r="GE101">
        <v>8.7154200000000001E-2</v>
      </c>
      <c r="GF101">
        <v>0.12141</v>
      </c>
      <c r="GG101">
        <v>0.100007</v>
      </c>
      <c r="GH101">
        <v>23782.2</v>
      </c>
      <c r="GI101">
        <v>29166.7</v>
      </c>
      <c r="GJ101">
        <v>23303.7</v>
      </c>
      <c r="GK101">
        <v>29308.400000000001</v>
      </c>
      <c r="GL101">
        <v>27967.3</v>
      </c>
      <c r="GM101">
        <v>37543.4</v>
      </c>
      <c r="GN101">
        <v>32972.400000000001</v>
      </c>
      <c r="GO101">
        <v>43489.2</v>
      </c>
      <c r="GP101">
        <v>1.9001999999999999</v>
      </c>
      <c r="GQ101">
        <v>1.6894</v>
      </c>
      <c r="GR101">
        <v>-5.08428E-2</v>
      </c>
      <c r="GS101">
        <v>0</v>
      </c>
      <c r="GT101">
        <v>30.838799999999999</v>
      </c>
      <c r="GU101">
        <v>999.9</v>
      </c>
      <c r="GV101">
        <v>29.9</v>
      </c>
      <c r="GW101">
        <v>44.2</v>
      </c>
      <c r="GX101">
        <v>27.916399999999999</v>
      </c>
      <c r="GY101">
        <v>61.9422</v>
      </c>
      <c r="GZ101">
        <v>35.705100000000002</v>
      </c>
      <c r="HA101">
        <v>1</v>
      </c>
      <c r="HB101">
        <v>0.87097599999999997</v>
      </c>
      <c r="HC101">
        <v>7.1666999999999996</v>
      </c>
      <c r="HD101">
        <v>20.118099999999998</v>
      </c>
      <c r="HE101">
        <v>5.2100999999999997</v>
      </c>
      <c r="HF101">
        <v>11.8812</v>
      </c>
      <c r="HG101">
        <v>4.9837999999999996</v>
      </c>
      <c r="HH101">
        <v>3.2839999999999998</v>
      </c>
      <c r="HI101">
        <v>9999</v>
      </c>
      <c r="HJ101">
        <v>9999</v>
      </c>
      <c r="HK101">
        <v>9999</v>
      </c>
      <c r="HL101">
        <v>999.9</v>
      </c>
      <c r="HM101">
        <v>1.85477</v>
      </c>
      <c r="HN101">
        <v>1.8608100000000001</v>
      </c>
      <c r="HO101">
        <v>1.85816</v>
      </c>
      <c r="HP101">
        <v>1.85928</v>
      </c>
      <c r="HQ101">
        <v>1.85867</v>
      </c>
      <c r="HR101">
        <v>1.8591899999999999</v>
      </c>
      <c r="HS101">
        <v>1.85747</v>
      </c>
      <c r="HT101">
        <v>1.86084</v>
      </c>
      <c r="HU101">
        <v>5</v>
      </c>
      <c r="HV101">
        <v>0</v>
      </c>
      <c r="HW101">
        <v>0</v>
      </c>
      <c r="HX101">
        <v>0</v>
      </c>
      <c r="HY101" t="s">
        <v>422</v>
      </c>
      <c r="HZ101" t="s">
        <v>423</v>
      </c>
      <c r="IA101" t="s">
        <v>424</v>
      </c>
      <c r="IB101" t="s">
        <v>424</v>
      </c>
      <c r="IC101" t="s">
        <v>424</v>
      </c>
      <c r="ID101" t="s">
        <v>424</v>
      </c>
      <c r="IE101">
        <v>0</v>
      </c>
      <c r="IF101">
        <v>100</v>
      </c>
      <c r="IG101">
        <v>100</v>
      </c>
      <c r="IH101">
        <v>-3.1960000000000002</v>
      </c>
      <c r="II101">
        <v>-0.08</v>
      </c>
      <c r="IJ101">
        <v>-1.7816895142931499</v>
      </c>
      <c r="IK101">
        <v>-4.1229525807901877E-3</v>
      </c>
      <c r="IL101">
        <v>1.8448211998558991E-6</v>
      </c>
      <c r="IM101">
        <v>-3.7020276670297668E-10</v>
      </c>
      <c r="IN101">
        <v>-0.2208425261355009</v>
      </c>
      <c r="IO101">
        <v>-1.3488639696665739E-2</v>
      </c>
      <c r="IP101">
        <v>1.1588640342490499E-3</v>
      </c>
      <c r="IQ101">
        <v>-1.0624341560077559E-5</v>
      </c>
      <c r="IR101">
        <v>2</v>
      </c>
      <c r="IS101">
        <v>1915</v>
      </c>
      <c r="IT101">
        <v>1</v>
      </c>
      <c r="IU101">
        <v>42</v>
      </c>
      <c r="IV101">
        <v>16.8</v>
      </c>
      <c r="IW101">
        <v>16.8</v>
      </c>
      <c r="IX101">
        <v>1.01074</v>
      </c>
      <c r="IY101">
        <v>2.4841299999999999</v>
      </c>
      <c r="IZ101">
        <v>1.49414</v>
      </c>
      <c r="JA101">
        <v>2.2851599999999999</v>
      </c>
      <c r="JB101">
        <v>1.54419</v>
      </c>
      <c r="JC101">
        <v>2.47559</v>
      </c>
      <c r="JD101">
        <v>47.004100000000001</v>
      </c>
      <c r="JE101">
        <v>23.9649</v>
      </c>
      <c r="JF101">
        <v>18</v>
      </c>
      <c r="JG101">
        <v>509.51100000000002</v>
      </c>
      <c r="JH101">
        <v>397.75799999999998</v>
      </c>
      <c r="JI101">
        <v>21.7119</v>
      </c>
      <c r="JJ101">
        <v>37.646099999999997</v>
      </c>
      <c r="JK101">
        <v>29.999600000000001</v>
      </c>
      <c r="JL101">
        <v>37.633400000000002</v>
      </c>
      <c r="JM101">
        <v>37.610500000000002</v>
      </c>
      <c r="JN101">
        <v>20.300999999999998</v>
      </c>
      <c r="JO101">
        <v>28.171900000000001</v>
      </c>
      <c r="JP101">
        <v>0</v>
      </c>
      <c r="JQ101">
        <v>21.754200000000001</v>
      </c>
      <c r="JR101">
        <v>400</v>
      </c>
      <c r="JS101">
        <v>19.990200000000002</v>
      </c>
      <c r="JT101">
        <v>97.765100000000004</v>
      </c>
      <c r="JU101">
        <v>97.750600000000006</v>
      </c>
    </row>
    <row r="102" spans="1:281" x14ac:dyDescent="0.25">
      <c r="A102">
        <v>86</v>
      </c>
      <c r="B102">
        <v>1691182108</v>
      </c>
      <c r="C102">
        <v>22862.400000095371</v>
      </c>
      <c r="D102" t="s">
        <v>853</v>
      </c>
      <c r="E102" t="s">
        <v>854</v>
      </c>
      <c r="F102" t="s">
        <v>413</v>
      </c>
      <c r="G102" t="s">
        <v>708</v>
      </c>
      <c r="H102" t="s">
        <v>637</v>
      </c>
      <c r="I102" t="s">
        <v>31</v>
      </c>
      <c r="J102">
        <v>1691182108</v>
      </c>
      <c r="K102">
        <f t="shared" si="92"/>
        <v>5.2502378776631631E-3</v>
      </c>
      <c r="L102">
        <f t="shared" si="93"/>
        <v>5.2502378776631629</v>
      </c>
      <c r="M102">
        <f t="shared" si="94"/>
        <v>33.522275937132804</v>
      </c>
      <c r="N102">
        <f t="shared" si="95"/>
        <v>258.21199999999999</v>
      </c>
      <c r="O102">
        <f t="shared" si="96"/>
        <v>65.241961419853681</v>
      </c>
      <c r="P102">
        <f t="shared" si="97"/>
        <v>6.4674253990863493</v>
      </c>
      <c r="Q102">
        <f t="shared" si="98"/>
        <v>25.596515046537199</v>
      </c>
      <c r="R102">
        <f t="shared" si="99"/>
        <v>0.29882046564083731</v>
      </c>
      <c r="S102">
        <f t="shared" si="100"/>
        <v>2.9177235735028675</v>
      </c>
      <c r="T102">
        <f t="shared" si="101"/>
        <v>0.28279989278680029</v>
      </c>
      <c r="U102">
        <f t="shared" si="102"/>
        <v>0.17811770837585589</v>
      </c>
      <c r="V102">
        <f t="shared" si="103"/>
        <v>344.34369999339935</v>
      </c>
      <c r="W102">
        <f t="shared" si="104"/>
        <v>30.631586047328017</v>
      </c>
      <c r="X102">
        <f t="shared" si="105"/>
        <v>30.0124</v>
      </c>
      <c r="Y102">
        <f t="shared" si="106"/>
        <v>4.2634852019889324</v>
      </c>
      <c r="Z102">
        <f t="shared" si="107"/>
        <v>58.462006104384713</v>
      </c>
      <c r="AA102">
        <f t="shared" si="108"/>
        <v>2.4857700325912901</v>
      </c>
      <c r="AB102">
        <f t="shared" si="109"/>
        <v>4.2519410438172676</v>
      </c>
      <c r="AC102">
        <f t="shared" si="110"/>
        <v>1.7777151693976423</v>
      </c>
      <c r="AD102">
        <f t="shared" si="111"/>
        <v>-231.53549040494551</v>
      </c>
      <c r="AE102">
        <f t="shared" si="112"/>
        <v>-7.4245747875092274</v>
      </c>
      <c r="AF102">
        <f t="shared" si="113"/>
        <v>-0.56574194299344893</v>
      </c>
      <c r="AG102">
        <f t="shared" si="114"/>
        <v>104.81789285795118</v>
      </c>
      <c r="AH102">
        <v>0</v>
      </c>
      <c r="AI102">
        <v>0</v>
      </c>
      <c r="AJ102">
        <f t="shared" si="115"/>
        <v>1</v>
      </c>
      <c r="AK102">
        <f t="shared" si="116"/>
        <v>0</v>
      </c>
      <c r="AL102">
        <f t="shared" si="117"/>
        <v>52001.049591151655</v>
      </c>
      <c r="AM102" t="s">
        <v>416</v>
      </c>
      <c r="AN102">
        <v>10235.299999999999</v>
      </c>
      <c r="AO102">
        <v>594.051923076923</v>
      </c>
      <c r="AP102">
        <v>2007.77</v>
      </c>
      <c r="AQ102">
        <f t="shared" si="118"/>
        <v>0.70412351859180933</v>
      </c>
      <c r="AR102">
        <v>-0.54275787784279261</v>
      </c>
      <c r="AS102" t="s">
        <v>855</v>
      </c>
      <c r="AT102">
        <v>10205.1</v>
      </c>
      <c r="AU102">
        <v>686.01639999999998</v>
      </c>
      <c r="AV102">
        <v>932.35371244757903</v>
      </c>
      <c r="AW102">
        <f t="shared" si="119"/>
        <v>0.26421014810023535</v>
      </c>
      <c r="AX102">
        <v>0.5</v>
      </c>
      <c r="AY102">
        <f t="shared" si="120"/>
        <v>1513.0451999966995</v>
      </c>
      <c r="AZ102">
        <f t="shared" si="121"/>
        <v>33.522275937132804</v>
      </c>
      <c r="BA102">
        <f t="shared" si="122"/>
        <v>199.88094818673909</v>
      </c>
      <c r="BB102">
        <f t="shared" si="123"/>
        <v>2.2514220867327631E-2</v>
      </c>
      <c r="BC102">
        <f t="shared" si="124"/>
        <v>1.1534423826438998</v>
      </c>
      <c r="BD102">
        <f t="shared" si="125"/>
        <v>442.90042711730075</v>
      </c>
      <c r="BE102" t="s">
        <v>856</v>
      </c>
      <c r="BF102">
        <v>531.85</v>
      </c>
      <c r="BG102">
        <f t="shared" si="126"/>
        <v>531.85</v>
      </c>
      <c r="BH102">
        <f t="shared" si="127"/>
        <v>0.42956198607950202</v>
      </c>
      <c r="BI102">
        <f t="shared" si="128"/>
        <v>0.61506873667200168</v>
      </c>
      <c r="BJ102">
        <f t="shared" si="129"/>
        <v>0.72864131358909756</v>
      </c>
      <c r="BK102">
        <f t="shared" si="130"/>
        <v>0.72815846734314116</v>
      </c>
      <c r="BL102">
        <f t="shared" si="131"/>
        <v>0.76070066946660142</v>
      </c>
      <c r="BM102">
        <f t="shared" si="132"/>
        <v>0.4768461914307065</v>
      </c>
      <c r="BN102">
        <f t="shared" si="133"/>
        <v>0.5231538085692935</v>
      </c>
      <c r="BO102">
        <v>12639</v>
      </c>
      <c r="BP102">
        <v>290.00000000000011</v>
      </c>
      <c r="BQ102">
        <v>861.38</v>
      </c>
      <c r="BR102">
        <v>255</v>
      </c>
      <c r="BS102">
        <v>10205.1</v>
      </c>
      <c r="BT102">
        <v>862.37</v>
      </c>
      <c r="BU102">
        <v>-0.99</v>
      </c>
      <c r="BV102">
        <v>300.00000000000011</v>
      </c>
      <c r="BW102">
        <v>24.2</v>
      </c>
      <c r="BX102">
        <v>932.35371244757903</v>
      </c>
      <c r="BY102">
        <v>2.145859144713766</v>
      </c>
      <c r="BZ102">
        <v>-71.419999598679937</v>
      </c>
      <c r="CA102">
        <v>1.949755178959929</v>
      </c>
      <c r="CB102">
        <v>0.97955867861511403</v>
      </c>
      <c r="CC102">
        <v>-6.9715775305895424E-3</v>
      </c>
      <c r="CD102">
        <v>289.99999999999989</v>
      </c>
      <c r="CE102">
        <v>860.41</v>
      </c>
      <c r="CF102">
        <v>695</v>
      </c>
      <c r="CG102">
        <v>10182</v>
      </c>
      <c r="CH102">
        <v>862.21</v>
      </c>
      <c r="CI102">
        <v>-1.8</v>
      </c>
      <c r="CW102">
        <f t="shared" si="134"/>
        <v>1799.83</v>
      </c>
      <c r="CX102">
        <f t="shared" si="135"/>
        <v>1513.0451999966995</v>
      </c>
      <c r="CY102">
        <f t="shared" si="136"/>
        <v>0.84066006233738721</v>
      </c>
      <c r="CZ102">
        <f t="shared" si="137"/>
        <v>0.19132012467477449</v>
      </c>
      <c r="DA102">
        <v>6</v>
      </c>
      <c r="DB102">
        <v>0.5</v>
      </c>
      <c r="DC102" t="s">
        <v>419</v>
      </c>
      <c r="DD102">
        <v>2</v>
      </c>
      <c r="DE102">
        <v>1691182108</v>
      </c>
      <c r="DF102">
        <v>258.21199999999999</v>
      </c>
      <c r="DG102">
        <v>300.05599999999998</v>
      </c>
      <c r="DH102">
        <v>25.075900000000001</v>
      </c>
      <c r="DI102">
        <v>18.934999999999999</v>
      </c>
      <c r="DJ102">
        <v>260.78899999999999</v>
      </c>
      <c r="DK102">
        <v>25.055399999999999</v>
      </c>
      <c r="DL102">
        <v>500.11399999999998</v>
      </c>
      <c r="DM102">
        <v>99.030299999999997</v>
      </c>
      <c r="DN102">
        <v>9.9543099999999995E-2</v>
      </c>
      <c r="DO102">
        <v>29.965199999999999</v>
      </c>
      <c r="DP102">
        <v>30.0124</v>
      </c>
      <c r="DQ102">
        <v>999.9</v>
      </c>
      <c r="DR102">
        <v>0</v>
      </c>
      <c r="DS102">
        <v>0</v>
      </c>
      <c r="DT102">
        <v>10030</v>
      </c>
      <c r="DU102">
        <v>0</v>
      </c>
      <c r="DV102">
        <v>1329.24</v>
      </c>
      <c r="DW102">
        <v>-41.8431</v>
      </c>
      <c r="DX102">
        <v>264.85399999999998</v>
      </c>
      <c r="DY102">
        <v>305.84699999999998</v>
      </c>
      <c r="DZ102">
        <v>6.1408199999999997</v>
      </c>
      <c r="EA102">
        <v>300.05599999999998</v>
      </c>
      <c r="EB102">
        <v>18.934999999999999</v>
      </c>
      <c r="EC102">
        <v>2.4832700000000001</v>
      </c>
      <c r="ED102">
        <v>1.87514</v>
      </c>
      <c r="EE102">
        <v>20.917300000000001</v>
      </c>
      <c r="EF102">
        <v>16.427700000000002</v>
      </c>
      <c r="EG102">
        <v>1799.83</v>
      </c>
      <c r="EH102">
        <v>0.97799599999999998</v>
      </c>
      <c r="EI102">
        <v>2.2003999999999999E-2</v>
      </c>
      <c r="EJ102">
        <v>0</v>
      </c>
      <c r="EK102">
        <v>686</v>
      </c>
      <c r="EL102">
        <v>0.100005</v>
      </c>
      <c r="EM102">
        <v>15893</v>
      </c>
      <c r="EN102">
        <v>14861.1</v>
      </c>
      <c r="EO102">
        <v>49.375</v>
      </c>
      <c r="EP102">
        <v>51.311999999999998</v>
      </c>
      <c r="EQ102">
        <v>50.375</v>
      </c>
      <c r="ER102">
        <v>49.75</v>
      </c>
      <c r="ES102">
        <v>50.25</v>
      </c>
      <c r="ET102">
        <v>1760.13</v>
      </c>
      <c r="EU102">
        <v>39.6</v>
      </c>
      <c r="EV102">
        <v>0</v>
      </c>
      <c r="EW102">
        <v>204</v>
      </c>
      <c r="EX102">
        <v>0</v>
      </c>
      <c r="EY102">
        <v>686.01639999999998</v>
      </c>
      <c r="EZ102">
        <v>-1.053076972297956</v>
      </c>
      <c r="FA102">
        <v>17.876923008680681</v>
      </c>
      <c r="FB102">
        <v>15895.523999999999</v>
      </c>
      <c r="FC102">
        <v>15</v>
      </c>
      <c r="FD102">
        <v>1691182073</v>
      </c>
      <c r="FE102" t="s">
        <v>857</v>
      </c>
      <c r="FF102">
        <v>1691182063</v>
      </c>
      <c r="FG102">
        <v>1691182073</v>
      </c>
      <c r="FH102">
        <v>102</v>
      </c>
      <c r="FI102">
        <v>0.189</v>
      </c>
      <c r="FJ102">
        <v>-8.0000000000000002E-3</v>
      </c>
      <c r="FK102">
        <v>-2.71</v>
      </c>
      <c r="FL102">
        <v>-0.113</v>
      </c>
      <c r="FM102">
        <v>300</v>
      </c>
      <c r="FN102">
        <v>19</v>
      </c>
      <c r="FO102">
        <v>0.21</v>
      </c>
      <c r="FP102">
        <v>0.05</v>
      </c>
      <c r="FQ102">
        <v>33.389459674275841</v>
      </c>
      <c r="FR102">
        <v>0.60201984582431678</v>
      </c>
      <c r="FS102">
        <v>9.1352672876015131E-2</v>
      </c>
      <c r="FT102">
        <v>1</v>
      </c>
      <c r="FU102">
        <v>0.29206636546025688</v>
      </c>
      <c r="FV102">
        <v>4.8513794590750968E-2</v>
      </c>
      <c r="FW102">
        <v>3.6398355208613672E-3</v>
      </c>
      <c r="FX102">
        <v>1</v>
      </c>
      <c r="FY102">
        <v>2</v>
      </c>
      <c r="FZ102">
        <v>2</v>
      </c>
      <c r="GA102" t="s">
        <v>421</v>
      </c>
      <c r="GB102">
        <v>2.91404</v>
      </c>
      <c r="GC102">
        <v>2.8296899999999998</v>
      </c>
      <c r="GD102">
        <v>6.3032299999999999E-2</v>
      </c>
      <c r="GE102">
        <v>6.9436700000000004E-2</v>
      </c>
      <c r="GF102">
        <v>0.120822</v>
      </c>
      <c r="GG102">
        <v>9.5413799999999993E-2</v>
      </c>
      <c r="GH102">
        <v>24242.1</v>
      </c>
      <c r="GI102">
        <v>29744.2</v>
      </c>
      <c r="GJ102">
        <v>23312.9</v>
      </c>
      <c r="GK102">
        <v>29319.1</v>
      </c>
      <c r="GL102">
        <v>27993.200000000001</v>
      </c>
      <c r="GM102">
        <v>37741.5</v>
      </c>
      <c r="GN102">
        <v>32984.1</v>
      </c>
      <c r="GO102">
        <v>43502.3</v>
      </c>
      <c r="GP102">
        <v>1.9034</v>
      </c>
      <c r="GQ102">
        <v>1.6917</v>
      </c>
      <c r="GR102">
        <v>-6.4462400000000003E-2</v>
      </c>
      <c r="GS102">
        <v>0</v>
      </c>
      <c r="GT102">
        <v>31.060500000000001</v>
      </c>
      <c r="GU102">
        <v>999.9</v>
      </c>
      <c r="GV102">
        <v>29.9</v>
      </c>
      <c r="GW102">
        <v>44.1</v>
      </c>
      <c r="GX102">
        <v>27.777000000000001</v>
      </c>
      <c r="GY102">
        <v>61.652299999999997</v>
      </c>
      <c r="GZ102">
        <v>35.284500000000001</v>
      </c>
      <c r="HA102">
        <v>1</v>
      </c>
      <c r="HB102">
        <v>0.84898399999999996</v>
      </c>
      <c r="HC102">
        <v>7.2158699999999998</v>
      </c>
      <c r="HD102">
        <v>20.118600000000001</v>
      </c>
      <c r="HE102">
        <v>5.2107000000000001</v>
      </c>
      <c r="HF102">
        <v>11.880599999999999</v>
      </c>
      <c r="HG102">
        <v>4.984</v>
      </c>
      <c r="HH102">
        <v>3.2839999999999998</v>
      </c>
      <c r="HI102">
        <v>9999</v>
      </c>
      <c r="HJ102">
        <v>9999</v>
      </c>
      <c r="HK102">
        <v>9999</v>
      </c>
      <c r="HL102">
        <v>999.9</v>
      </c>
      <c r="HM102">
        <v>1.85483</v>
      </c>
      <c r="HN102">
        <v>1.86084</v>
      </c>
      <c r="HO102">
        <v>1.85822</v>
      </c>
      <c r="HP102">
        <v>1.8593</v>
      </c>
      <c r="HQ102">
        <v>1.85867</v>
      </c>
      <c r="HR102">
        <v>1.8592599999999999</v>
      </c>
      <c r="HS102">
        <v>1.8575600000000001</v>
      </c>
      <c r="HT102">
        <v>1.86086</v>
      </c>
      <c r="HU102">
        <v>5</v>
      </c>
      <c r="HV102">
        <v>0</v>
      </c>
      <c r="HW102">
        <v>0</v>
      </c>
      <c r="HX102">
        <v>0</v>
      </c>
      <c r="HY102" t="s">
        <v>422</v>
      </c>
      <c r="HZ102" t="s">
        <v>423</v>
      </c>
      <c r="IA102" t="s">
        <v>424</v>
      </c>
      <c r="IB102" t="s">
        <v>424</v>
      </c>
      <c r="IC102" t="s">
        <v>424</v>
      </c>
      <c r="ID102" t="s">
        <v>424</v>
      </c>
      <c r="IE102">
        <v>0</v>
      </c>
      <c r="IF102">
        <v>100</v>
      </c>
      <c r="IG102">
        <v>100</v>
      </c>
      <c r="IH102">
        <v>-2.577</v>
      </c>
      <c r="II102">
        <v>2.0500000000000001E-2</v>
      </c>
      <c r="IJ102">
        <v>-1.620060171217097</v>
      </c>
      <c r="IK102">
        <v>-4.1229525807901877E-3</v>
      </c>
      <c r="IL102">
        <v>1.8448211998558991E-6</v>
      </c>
      <c r="IM102">
        <v>-3.7020276670297668E-10</v>
      </c>
      <c r="IN102">
        <v>-0.20196383039065829</v>
      </c>
      <c r="IO102">
        <v>-1.3488639696665739E-2</v>
      </c>
      <c r="IP102">
        <v>1.1588640342490499E-3</v>
      </c>
      <c r="IQ102">
        <v>-1.0624341560077559E-5</v>
      </c>
      <c r="IR102">
        <v>2</v>
      </c>
      <c r="IS102">
        <v>1915</v>
      </c>
      <c r="IT102">
        <v>1</v>
      </c>
      <c r="IU102">
        <v>42</v>
      </c>
      <c r="IV102">
        <v>0.8</v>
      </c>
      <c r="IW102">
        <v>0.6</v>
      </c>
      <c r="IX102">
        <v>0.80444300000000002</v>
      </c>
      <c r="IY102">
        <v>2.4853499999999999</v>
      </c>
      <c r="IZ102">
        <v>1.49414</v>
      </c>
      <c r="JA102">
        <v>2.2851599999999999</v>
      </c>
      <c r="JB102">
        <v>1.54419</v>
      </c>
      <c r="JC102">
        <v>2.4218799999999998</v>
      </c>
      <c r="JD102">
        <v>46.915100000000002</v>
      </c>
      <c r="JE102">
        <v>23.868600000000001</v>
      </c>
      <c r="JF102">
        <v>18</v>
      </c>
      <c r="JG102">
        <v>509.928</v>
      </c>
      <c r="JH102">
        <v>397.779</v>
      </c>
      <c r="JI102">
        <v>21.520199999999999</v>
      </c>
      <c r="JJ102">
        <v>37.411299999999997</v>
      </c>
      <c r="JK102">
        <v>30.0001</v>
      </c>
      <c r="JL102">
        <v>37.400799999999997</v>
      </c>
      <c r="JM102">
        <v>37.3782</v>
      </c>
      <c r="JN102">
        <v>16.1647</v>
      </c>
      <c r="JO102">
        <v>33.269500000000001</v>
      </c>
      <c r="JP102">
        <v>0</v>
      </c>
      <c r="JQ102">
        <v>21.519600000000001</v>
      </c>
      <c r="JR102">
        <v>300</v>
      </c>
      <c r="JS102">
        <v>18.7837</v>
      </c>
      <c r="JT102">
        <v>97.801299999999998</v>
      </c>
      <c r="JU102">
        <v>97.782499999999999</v>
      </c>
    </row>
    <row r="103" spans="1:281" x14ac:dyDescent="0.25">
      <c r="A103">
        <v>87</v>
      </c>
      <c r="B103">
        <v>1691182267.5</v>
      </c>
      <c r="C103">
        <v>23021.900000095371</v>
      </c>
      <c r="D103" t="s">
        <v>858</v>
      </c>
      <c r="E103" t="s">
        <v>859</v>
      </c>
      <c r="F103" t="s">
        <v>413</v>
      </c>
      <c r="G103" t="s">
        <v>708</v>
      </c>
      <c r="H103" t="s">
        <v>637</v>
      </c>
      <c r="I103" t="s">
        <v>31</v>
      </c>
      <c r="J103">
        <v>1691182267.5</v>
      </c>
      <c r="K103">
        <f t="shared" si="92"/>
        <v>5.8475526650982584E-3</v>
      </c>
      <c r="L103">
        <f t="shared" si="93"/>
        <v>5.8475526650982586</v>
      </c>
      <c r="M103">
        <f t="shared" si="94"/>
        <v>24.331947405787407</v>
      </c>
      <c r="N103">
        <f t="shared" si="95"/>
        <v>169.642</v>
      </c>
      <c r="O103">
        <f t="shared" si="96"/>
        <v>43.307438506957197</v>
      </c>
      <c r="P103">
        <f t="shared" si="97"/>
        <v>4.2929849179028352</v>
      </c>
      <c r="Q103">
        <f t="shared" si="98"/>
        <v>16.816292363397999</v>
      </c>
      <c r="R103">
        <f t="shared" si="99"/>
        <v>0.33318154946582945</v>
      </c>
      <c r="S103">
        <f t="shared" si="100"/>
        <v>2.9106893579366542</v>
      </c>
      <c r="T103">
        <f t="shared" si="101"/>
        <v>0.31335094364481708</v>
      </c>
      <c r="U103">
        <f t="shared" si="102"/>
        <v>0.19752760954094034</v>
      </c>
      <c r="V103">
        <f t="shared" si="103"/>
        <v>344.38039999339844</v>
      </c>
      <c r="W103">
        <f t="shared" si="104"/>
        <v>30.490239252355288</v>
      </c>
      <c r="X103">
        <f t="shared" si="105"/>
        <v>29.984999999999999</v>
      </c>
      <c r="Y103">
        <f t="shared" si="106"/>
        <v>4.2567803991207187</v>
      </c>
      <c r="Z103">
        <f t="shared" si="107"/>
        <v>58.040510920937841</v>
      </c>
      <c r="AA103">
        <f t="shared" si="108"/>
        <v>2.4696779567660001</v>
      </c>
      <c r="AB103">
        <f t="shared" si="109"/>
        <v>4.2550934124790336</v>
      </c>
      <c r="AC103">
        <f t="shared" si="110"/>
        <v>1.7871024423547186</v>
      </c>
      <c r="AD103">
        <f t="shared" si="111"/>
        <v>-257.87707253083317</v>
      </c>
      <c r="AE103">
        <f t="shared" si="112"/>
        <v>-1.0827554841887648</v>
      </c>
      <c r="AF103">
        <f t="shared" si="113"/>
        <v>-8.2697863761550305E-2</v>
      </c>
      <c r="AG103">
        <f t="shared" si="114"/>
        <v>85.337874114614948</v>
      </c>
      <c r="AH103">
        <v>0</v>
      </c>
      <c r="AI103">
        <v>0</v>
      </c>
      <c r="AJ103">
        <f t="shared" si="115"/>
        <v>1</v>
      </c>
      <c r="AK103">
        <f t="shared" si="116"/>
        <v>0</v>
      </c>
      <c r="AL103">
        <f t="shared" si="117"/>
        <v>51798.663999947777</v>
      </c>
      <c r="AM103" t="s">
        <v>416</v>
      </c>
      <c r="AN103">
        <v>10235.299999999999</v>
      </c>
      <c r="AO103">
        <v>594.051923076923</v>
      </c>
      <c r="AP103">
        <v>2007.77</v>
      </c>
      <c r="AQ103">
        <f t="shared" si="118"/>
        <v>0.70412351859180933</v>
      </c>
      <c r="AR103">
        <v>-0.54275787784279261</v>
      </c>
      <c r="AS103" t="s">
        <v>860</v>
      </c>
      <c r="AT103">
        <v>10202.9</v>
      </c>
      <c r="AU103">
        <v>690.07249999999999</v>
      </c>
      <c r="AV103">
        <v>872.30498026824068</v>
      </c>
      <c r="AW103">
        <f t="shared" si="119"/>
        <v>0.20890913658684229</v>
      </c>
      <c r="AX103">
        <v>0.5</v>
      </c>
      <c r="AY103">
        <f t="shared" si="120"/>
        <v>1513.2050999966993</v>
      </c>
      <c r="AZ103">
        <f t="shared" si="121"/>
        <v>24.331947405787407</v>
      </c>
      <c r="BA103">
        <f t="shared" si="122"/>
        <v>158.0611854595584</v>
      </c>
      <c r="BB103">
        <f t="shared" si="123"/>
        <v>1.6438422844123678E-2</v>
      </c>
      <c r="BC103">
        <f t="shared" si="124"/>
        <v>1.3016835228690253</v>
      </c>
      <c r="BD103">
        <f t="shared" si="125"/>
        <v>428.87576550459414</v>
      </c>
      <c r="BE103" t="s">
        <v>861</v>
      </c>
      <c r="BF103">
        <v>528.33000000000004</v>
      </c>
      <c r="BG103">
        <f t="shared" si="126"/>
        <v>528.33000000000004</v>
      </c>
      <c r="BH103">
        <f t="shared" si="127"/>
        <v>0.39432880477475396</v>
      </c>
      <c r="BI103">
        <f t="shared" si="128"/>
        <v>0.52978411431590477</v>
      </c>
      <c r="BJ103">
        <f t="shared" si="129"/>
        <v>0.76749649849386192</v>
      </c>
      <c r="BK103">
        <f t="shared" si="130"/>
        <v>0.65491636321157687</v>
      </c>
      <c r="BL103">
        <f t="shared" si="131"/>
        <v>0.8031764170428316</v>
      </c>
      <c r="BM103">
        <f t="shared" si="132"/>
        <v>0.40561077439909859</v>
      </c>
      <c r="BN103">
        <f t="shared" si="133"/>
        <v>0.59438922560090135</v>
      </c>
      <c r="BO103">
        <v>12641</v>
      </c>
      <c r="BP103">
        <v>290.00000000000011</v>
      </c>
      <c r="BQ103">
        <v>824.25</v>
      </c>
      <c r="BR103">
        <v>275</v>
      </c>
      <c r="BS103">
        <v>10202.9</v>
      </c>
      <c r="BT103">
        <v>824.22</v>
      </c>
      <c r="BU103">
        <v>0.03</v>
      </c>
      <c r="BV103">
        <v>300.00000000000011</v>
      </c>
      <c r="BW103">
        <v>24.2</v>
      </c>
      <c r="BX103">
        <v>872.30498026824068</v>
      </c>
      <c r="BY103">
        <v>2.1317609998427471</v>
      </c>
      <c r="BZ103">
        <v>-49.06030533671413</v>
      </c>
      <c r="CA103">
        <v>1.9369828040005399</v>
      </c>
      <c r="CB103">
        <v>0.95817887974481497</v>
      </c>
      <c r="CC103">
        <v>-6.9714989988876571E-3</v>
      </c>
      <c r="CD103">
        <v>289.99999999999989</v>
      </c>
      <c r="CE103">
        <v>823.46</v>
      </c>
      <c r="CF103">
        <v>665</v>
      </c>
      <c r="CG103">
        <v>10183.9</v>
      </c>
      <c r="CH103">
        <v>824.13</v>
      </c>
      <c r="CI103">
        <v>-0.67</v>
      </c>
      <c r="CW103">
        <f t="shared" si="134"/>
        <v>1800.02</v>
      </c>
      <c r="CX103">
        <f t="shared" si="135"/>
        <v>1513.2050999966993</v>
      </c>
      <c r="CY103">
        <f t="shared" si="136"/>
        <v>0.84066015932972926</v>
      </c>
      <c r="CZ103">
        <f t="shared" si="137"/>
        <v>0.19132031865945848</v>
      </c>
      <c r="DA103">
        <v>6</v>
      </c>
      <c r="DB103">
        <v>0.5</v>
      </c>
      <c r="DC103" t="s">
        <v>419</v>
      </c>
      <c r="DD103">
        <v>2</v>
      </c>
      <c r="DE103">
        <v>1691182267.5</v>
      </c>
      <c r="DF103">
        <v>169.642</v>
      </c>
      <c r="DG103">
        <v>200.01900000000001</v>
      </c>
      <c r="DH103">
        <v>24.914000000000001</v>
      </c>
      <c r="DI103">
        <v>18.074400000000001</v>
      </c>
      <c r="DJ103">
        <v>171.904</v>
      </c>
      <c r="DK103">
        <v>24.895299999999999</v>
      </c>
      <c r="DL103">
        <v>500.19299999999998</v>
      </c>
      <c r="DM103">
        <v>99.027799999999999</v>
      </c>
      <c r="DN103">
        <v>0.10031900000000001</v>
      </c>
      <c r="DO103">
        <v>29.978100000000001</v>
      </c>
      <c r="DP103">
        <v>29.984999999999999</v>
      </c>
      <c r="DQ103">
        <v>999.9</v>
      </c>
      <c r="DR103">
        <v>0</v>
      </c>
      <c r="DS103">
        <v>0</v>
      </c>
      <c r="DT103">
        <v>9990</v>
      </c>
      <c r="DU103">
        <v>0</v>
      </c>
      <c r="DV103">
        <v>1316.83</v>
      </c>
      <c r="DW103">
        <v>-30.376799999999999</v>
      </c>
      <c r="DX103">
        <v>173.976</v>
      </c>
      <c r="DY103">
        <v>203.7</v>
      </c>
      <c r="DZ103">
        <v>6.8396499999999998</v>
      </c>
      <c r="EA103">
        <v>200.01900000000001</v>
      </c>
      <c r="EB103">
        <v>18.074400000000001</v>
      </c>
      <c r="EC103">
        <v>2.4671799999999999</v>
      </c>
      <c r="ED103">
        <v>1.7898700000000001</v>
      </c>
      <c r="EE103">
        <v>20.811599999999999</v>
      </c>
      <c r="EF103">
        <v>15.698600000000001</v>
      </c>
      <c r="EG103">
        <v>1800.02</v>
      </c>
      <c r="EH103">
        <v>0.97799599999999998</v>
      </c>
      <c r="EI103">
        <v>2.2003999999999999E-2</v>
      </c>
      <c r="EJ103">
        <v>0</v>
      </c>
      <c r="EK103">
        <v>688.96</v>
      </c>
      <c r="EL103">
        <v>0.100005</v>
      </c>
      <c r="EM103">
        <v>15936.3</v>
      </c>
      <c r="EN103">
        <v>14862.6</v>
      </c>
      <c r="EO103">
        <v>49.311999999999998</v>
      </c>
      <c r="EP103">
        <v>51.311999999999998</v>
      </c>
      <c r="EQ103">
        <v>50.375</v>
      </c>
      <c r="ER103">
        <v>49.75</v>
      </c>
      <c r="ES103">
        <v>50.186999999999998</v>
      </c>
      <c r="ET103">
        <v>1760.31</v>
      </c>
      <c r="EU103">
        <v>39.61</v>
      </c>
      <c r="EV103">
        <v>0</v>
      </c>
      <c r="EW103">
        <v>157.4000000953674</v>
      </c>
      <c r="EX103">
        <v>0</v>
      </c>
      <c r="EY103">
        <v>690.07249999999999</v>
      </c>
      <c r="EZ103">
        <v>-4.541367526633115</v>
      </c>
      <c r="FA103">
        <v>-133.41538393548461</v>
      </c>
      <c r="FB103">
        <v>15929.053846153851</v>
      </c>
      <c r="FC103">
        <v>15</v>
      </c>
      <c r="FD103">
        <v>1691182185</v>
      </c>
      <c r="FE103" t="s">
        <v>862</v>
      </c>
      <c r="FF103">
        <v>1691182176</v>
      </c>
      <c r="FG103">
        <v>1691182185</v>
      </c>
      <c r="FH103">
        <v>103</v>
      </c>
      <c r="FI103">
        <v>1.4E-2</v>
      </c>
      <c r="FJ103">
        <v>2E-3</v>
      </c>
      <c r="FK103">
        <v>-2.3679999999999999</v>
      </c>
      <c r="FL103">
        <v>-0.11</v>
      </c>
      <c r="FM103">
        <v>200</v>
      </c>
      <c r="FN103">
        <v>19</v>
      </c>
      <c r="FO103">
        <v>0.21</v>
      </c>
      <c r="FP103">
        <v>0.06</v>
      </c>
      <c r="FQ103">
        <v>24.247766301284351</v>
      </c>
      <c r="FR103">
        <v>0.55746194781048641</v>
      </c>
      <c r="FS103">
        <v>6.6758953006450933E-2</v>
      </c>
      <c r="FT103">
        <v>1</v>
      </c>
      <c r="FU103">
        <v>0.33270975592354779</v>
      </c>
      <c r="FV103">
        <v>4.6247230620405939E-3</v>
      </c>
      <c r="FW103">
        <v>5.6452150107885843E-4</v>
      </c>
      <c r="FX103">
        <v>1</v>
      </c>
      <c r="FY103">
        <v>2</v>
      </c>
      <c r="FZ103">
        <v>2</v>
      </c>
      <c r="GA103" t="s">
        <v>421</v>
      </c>
      <c r="GB103">
        <v>2.9143400000000002</v>
      </c>
      <c r="GC103">
        <v>2.83012</v>
      </c>
      <c r="GD103">
        <v>4.3903699999999997E-2</v>
      </c>
      <c r="GE103">
        <v>4.92369E-2</v>
      </c>
      <c r="GF103">
        <v>0.120305</v>
      </c>
      <c r="GG103">
        <v>9.2291499999999999E-2</v>
      </c>
      <c r="GH103">
        <v>24742.6</v>
      </c>
      <c r="GI103">
        <v>30395.4</v>
      </c>
      <c r="GJ103">
        <v>23318.799999999999</v>
      </c>
      <c r="GK103">
        <v>29324.9</v>
      </c>
      <c r="GL103">
        <v>28014.5</v>
      </c>
      <c r="GM103">
        <v>37874.5</v>
      </c>
      <c r="GN103">
        <v>32992.400000000001</v>
      </c>
      <c r="GO103">
        <v>43509.9</v>
      </c>
      <c r="GP103">
        <v>1.9056</v>
      </c>
      <c r="GQ103">
        <v>1.6914</v>
      </c>
      <c r="GR103">
        <v>-6.63102E-2</v>
      </c>
      <c r="GS103">
        <v>0</v>
      </c>
      <c r="GT103">
        <v>31.063099999999999</v>
      </c>
      <c r="GU103">
        <v>999.9</v>
      </c>
      <c r="GV103">
        <v>29.9</v>
      </c>
      <c r="GW103">
        <v>44.1</v>
      </c>
      <c r="GX103">
        <v>27.774899999999999</v>
      </c>
      <c r="GY103">
        <v>61.682299999999998</v>
      </c>
      <c r="GZ103">
        <v>35.132199999999997</v>
      </c>
      <c r="HA103">
        <v>1</v>
      </c>
      <c r="HB103">
        <v>0.83490799999999998</v>
      </c>
      <c r="HC103">
        <v>6.5565600000000002</v>
      </c>
      <c r="HD103">
        <v>20.1434</v>
      </c>
      <c r="HE103">
        <v>5.2107000000000001</v>
      </c>
      <c r="HF103">
        <v>11.8788</v>
      </c>
      <c r="HG103">
        <v>4.9842000000000004</v>
      </c>
      <c r="HH103">
        <v>3.2839999999999998</v>
      </c>
      <c r="HI103">
        <v>9999</v>
      </c>
      <c r="HJ103">
        <v>9999</v>
      </c>
      <c r="HK103">
        <v>9999</v>
      </c>
      <c r="HL103">
        <v>999.9</v>
      </c>
      <c r="HM103">
        <v>1.85486</v>
      </c>
      <c r="HN103">
        <v>1.8608100000000001</v>
      </c>
      <c r="HO103">
        <v>1.85822</v>
      </c>
      <c r="HP103">
        <v>1.85934</v>
      </c>
      <c r="HQ103">
        <v>1.85867</v>
      </c>
      <c r="HR103">
        <v>1.85928</v>
      </c>
      <c r="HS103">
        <v>1.8575999999999999</v>
      </c>
      <c r="HT103">
        <v>1.86093</v>
      </c>
      <c r="HU103">
        <v>5</v>
      </c>
      <c r="HV103">
        <v>0</v>
      </c>
      <c r="HW103">
        <v>0</v>
      </c>
      <c r="HX103">
        <v>0</v>
      </c>
      <c r="HY103" t="s">
        <v>422</v>
      </c>
      <c r="HZ103" t="s">
        <v>423</v>
      </c>
      <c r="IA103" t="s">
        <v>424</v>
      </c>
      <c r="IB103" t="s">
        <v>424</v>
      </c>
      <c r="IC103" t="s">
        <v>424</v>
      </c>
      <c r="ID103" t="s">
        <v>424</v>
      </c>
      <c r="IE103">
        <v>0</v>
      </c>
      <c r="IF103">
        <v>100</v>
      </c>
      <c r="IG103">
        <v>100</v>
      </c>
      <c r="IH103">
        <v>-2.262</v>
      </c>
      <c r="II103">
        <v>1.8700000000000001E-2</v>
      </c>
      <c r="IJ103">
        <v>-1.606061140983613</v>
      </c>
      <c r="IK103">
        <v>-4.1229525807901877E-3</v>
      </c>
      <c r="IL103">
        <v>1.8448211998558991E-6</v>
      </c>
      <c r="IM103">
        <v>-3.7020276670297668E-10</v>
      </c>
      <c r="IN103">
        <v>-0.19980585558795519</v>
      </c>
      <c r="IO103">
        <v>-1.3488639696665739E-2</v>
      </c>
      <c r="IP103">
        <v>1.1588640342490499E-3</v>
      </c>
      <c r="IQ103">
        <v>-1.0624341560077559E-5</v>
      </c>
      <c r="IR103">
        <v>2</v>
      </c>
      <c r="IS103">
        <v>1915</v>
      </c>
      <c r="IT103">
        <v>1</v>
      </c>
      <c r="IU103">
        <v>42</v>
      </c>
      <c r="IV103">
        <v>1.5</v>
      </c>
      <c r="IW103">
        <v>1.4</v>
      </c>
      <c r="IX103">
        <v>0.58960000000000001</v>
      </c>
      <c r="IY103">
        <v>2.49268</v>
      </c>
      <c r="IZ103">
        <v>1.49414</v>
      </c>
      <c r="JA103">
        <v>2.2851599999999999</v>
      </c>
      <c r="JB103">
        <v>1.54419</v>
      </c>
      <c r="JC103">
        <v>2.35107</v>
      </c>
      <c r="JD103">
        <v>47.122900000000001</v>
      </c>
      <c r="JE103">
        <v>23.868600000000001</v>
      </c>
      <c r="JF103">
        <v>18</v>
      </c>
      <c r="JG103">
        <v>510.55099999999999</v>
      </c>
      <c r="JH103">
        <v>396.89</v>
      </c>
      <c r="JI103">
        <v>21.813600000000001</v>
      </c>
      <c r="JJ103">
        <v>37.316000000000003</v>
      </c>
      <c r="JK103">
        <v>30</v>
      </c>
      <c r="JL103">
        <v>37.286000000000001</v>
      </c>
      <c r="JM103">
        <v>37.266300000000001</v>
      </c>
      <c r="JN103">
        <v>11.863899999999999</v>
      </c>
      <c r="JO103">
        <v>35.323999999999998</v>
      </c>
      <c r="JP103">
        <v>0</v>
      </c>
      <c r="JQ103">
        <v>21.8096</v>
      </c>
      <c r="JR103">
        <v>200</v>
      </c>
      <c r="JS103">
        <v>18.2761</v>
      </c>
      <c r="JT103">
        <v>97.825900000000004</v>
      </c>
      <c r="JU103">
        <v>97.8005</v>
      </c>
    </row>
    <row r="104" spans="1:281" x14ac:dyDescent="0.25">
      <c r="A104">
        <v>88</v>
      </c>
      <c r="B104">
        <v>1691182408.5</v>
      </c>
      <c r="C104">
        <v>23162.900000095371</v>
      </c>
      <c r="D104" t="s">
        <v>863</v>
      </c>
      <c r="E104" t="s">
        <v>864</v>
      </c>
      <c r="F104" t="s">
        <v>413</v>
      </c>
      <c r="G104" t="s">
        <v>708</v>
      </c>
      <c r="H104" t="s">
        <v>637</v>
      </c>
      <c r="I104" t="s">
        <v>31</v>
      </c>
      <c r="J104">
        <v>1691182408.5</v>
      </c>
      <c r="K104">
        <f t="shared" si="92"/>
        <v>6.4947676738328335E-3</v>
      </c>
      <c r="L104">
        <f t="shared" si="93"/>
        <v>6.4947676738328335</v>
      </c>
      <c r="M104">
        <f t="shared" si="94"/>
        <v>16.248011603841196</v>
      </c>
      <c r="N104">
        <f t="shared" si="95"/>
        <v>99.734099999999998</v>
      </c>
      <c r="O104">
        <f t="shared" si="96"/>
        <v>25.684661492891177</v>
      </c>
      <c r="P104">
        <f t="shared" si="97"/>
        <v>2.546008865682988</v>
      </c>
      <c r="Q104">
        <f t="shared" si="98"/>
        <v>9.8862078786279906</v>
      </c>
      <c r="R104">
        <f t="shared" si="99"/>
        <v>0.38223126992294398</v>
      </c>
      <c r="S104">
        <f t="shared" si="100"/>
        <v>2.9128386686435488</v>
      </c>
      <c r="T104">
        <f t="shared" si="101"/>
        <v>0.35639282748709195</v>
      </c>
      <c r="U104">
        <f t="shared" si="102"/>
        <v>0.22492127960106489</v>
      </c>
      <c r="V104">
        <f t="shared" si="103"/>
        <v>344.39369999339868</v>
      </c>
      <c r="W104">
        <f t="shared" si="104"/>
        <v>30.391083059788439</v>
      </c>
      <c r="X104">
        <f t="shared" si="105"/>
        <v>29.9663</v>
      </c>
      <c r="Y104">
        <f t="shared" si="106"/>
        <v>4.2522097710450675</v>
      </c>
      <c r="Z104">
        <f t="shared" si="107"/>
        <v>58.689973833182009</v>
      </c>
      <c r="AA104">
        <f t="shared" si="108"/>
        <v>2.5073735028351098</v>
      </c>
      <c r="AB104">
        <f t="shared" si="109"/>
        <v>4.2722348283234313</v>
      </c>
      <c r="AC104">
        <f t="shared" si="110"/>
        <v>1.7448362682099576</v>
      </c>
      <c r="AD104">
        <f t="shared" si="111"/>
        <v>-286.41925441602797</v>
      </c>
      <c r="AE104">
        <f t="shared" si="112"/>
        <v>12.84562318926011</v>
      </c>
      <c r="AF104">
        <f t="shared" si="113"/>
        <v>0.98063820148872005</v>
      </c>
      <c r="AG104">
        <f t="shared" si="114"/>
        <v>71.800706968119542</v>
      </c>
      <c r="AH104">
        <v>0</v>
      </c>
      <c r="AI104">
        <v>0</v>
      </c>
      <c r="AJ104">
        <f t="shared" si="115"/>
        <v>1</v>
      </c>
      <c r="AK104">
        <f t="shared" si="116"/>
        <v>0</v>
      </c>
      <c r="AL104">
        <f t="shared" si="117"/>
        <v>51847.753660768169</v>
      </c>
      <c r="AM104" t="s">
        <v>416</v>
      </c>
      <c r="AN104">
        <v>10235.299999999999</v>
      </c>
      <c r="AO104">
        <v>594.051923076923</v>
      </c>
      <c r="AP104">
        <v>2007.77</v>
      </c>
      <c r="AQ104">
        <f t="shared" si="118"/>
        <v>0.70412351859180933</v>
      </c>
      <c r="AR104">
        <v>-0.54275787784279261</v>
      </c>
      <c r="AS104" t="s">
        <v>865</v>
      </c>
      <c r="AT104">
        <v>10205.5</v>
      </c>
      <c r="AU104">
        <v>700.98961538461538</v>
      </c>
      <c r="AV104">
        <v>839.52407408917304</v>
      </c>
      <c r="AW104">
        <f t="shared" si="119"/>
        <v>0.16501546885937513</v>
      </c>
      <c r="AX104">
        <v>0.5</v>
      </c>
      <c r="AY104">
        <f t="shared" si="120"/>
        <v>1513.2638999966994</v>
      </c>
      <c r="AZ104">
        <f t="shared" si="121"/>
        <v>16.248011603841196</v>
      </c>
      <c r="BA104">
        <f t="shared" si="122"/>
        <v>124.85597598296094</v>
      </c>
      <c r="BB104">
        <f t="shared" si="123"/>
        <v>1.1095731208363994E-2</v>
      </c>
      <c r="BC104">
        <f t="shared" si="124"/>
        <v>1.3915573858656702</v>
      </c>
      <c r="BD104">
        <f t="shared" si="125"/>
        <v>420.79739081058034</v>
      </c>
      <c r="BE104" t="s">
        <v>866</v>
      </c>
      <c r="BF104">
        <v>539.96</v>
      </c>
      <c r="BG104">
        <f t="shared" si="126"/>
        <v>539.96</v>
      </c>
      <c r="BH104">
        <f t="shared" si="127"/>
        <v>0.35682606769100678</v>
      </c>
      <c r="BI104">
        <f t="shared" si="128"/>
        <v>0.46245351391275075</v>
      </c>
      <c r="BJ104">
        <f t="shared" si="129"/>
        <v>0.79591086442443293</v>
      </c>
      <c r="BK104">
        <f t="shared" si="130"/>
        <v>0.56435916715311729</v>
      </c>
      <c r="BL104">
        <f t="shared" si="131"/>
        <v>0.82636414217287624</v>
      </c>
      <c r="BM104">
        <f t="shared" si="132"/>
        <v>0.35621982678776387</v>
      </c>
      <c r="BN104">
        <f t="shared" si="133"/>
        <v>0.64378017321223613</v>
      </c>
      <c r="BO104">
        <v>12643</v>
      </c>
      <c r="BP104">
        <v>290.00000000000011</v>
      </c>
      <c r="BQ104">
        <v>800.54</v>
      </c>
      <c r="BR104">
        <v>255</v>
      </c>
      <c r="BS104">
        <v>10205.5</v>
      </c>
      <c r="BT104">
        <v>801.65</v>
      </c>
      <c r="BU104">
        <v>-1.1100000000000001</v>
      </c>
      <c r="BV104">
        <v>300.00000000000011</v>
      </c>
      <c r="BW104">
        <v>24.2</v>
      </c>
      <c r="BX104">
        <v>839.52407408917304</v>
      </c>
      <c r="BY104">
        <v>1.9553466952694649</v>
      </c>
      <c r="BZ104">
        <v>-38.650567245859293</v>
      </c>
      <c r="CA104">
        <v>1.776735886748591</v>
      </c>
      <c r="CB104">
        <v>0.9441366601218022</v>
      </c>
      <c r="CC104">
        <v>-6.971626473859854E-3</v>
      </c>
      <c r="CD104">
        <v>289.99999999999989</v>
      </c>
      <c r="CE104">
        <v>798.16</v>
      </c>
      <c r="CF104">
        <v>665</v>
      </c>
      <c r="CG104">
        <v>10184.200000000001</v>
      </c>
      <c r="CH104">
        <v>801.57</v>
      </c>
      <c r="CI104">
        <v>-3.41</v>
      </c>
      <c r="CW104">
        <f t="shared" si="134"/>
        <v>1800.09</v>
      </c>
      <c r="CX104">
        <f t="shared" si="135"/>
        <v>1513.2638999966994</v>
      </c>
      <c r="CY104">
        <f t="shared" si="136"/>
        <v>0.84066013365815007</v>
      </c>
      <c r="CZ104">
        <f t="shared" si="137"/>
        <v>0.19132026731630014</v>
      </c>
      <c r="DA104">
        <v>6</v>
      </c>
      <c r="DB104">
        <v>0.5</v>
      </c>
      <c r="DC104" t="s">
        <v>419</v>
      </c>
      <c r="DD104">
        <v>2</v>
      </c>
      <c r="DE104">
        <v>1691182408.5</v>
      </c>
      <c r="DF104">
        <v>99.734099999999998</v>
      </c>
      <c r="DG104">
        <v>120.008</v>
      </c>
      <c r="DH104">
        <v>25.294899999999998</v>
      </c>
      <c r="DI104">
        <v>17.698699999999999</v>
      </c>
      <c r="DJ104">
        <v>101.852</v>
      </c>
      <c r="DK104">
        <v>25.268999999999998</v>
      </c>
      <c r="DL104">
        <v>500.02499999999998</v>
      </c>
      <c r="DM104">
        <v>99.025700000000001</v>
      </c>
      <c r="DN104">
        <v>9.9953899999999998E-2</v>
      </c>
      <c r="DO104">
        <v>30.048100000000002</v>
      </c>
      <c r="DP104">
        <v>29.9663</v>
      </c>
      <c r="DQ104">
        <v>999.9</v>
      </c>
      <c r="DR104">
        <v>0</v>
      </c>
      <c r="DS104">
        <v>0</v>
      </c>
      <c r="DT104">
        <v>10002.5</v>
      </c>
      <c r="DU104">
        <v>0</v>
      </c>
      <c r="DV104">
        <v>1310.01</v>
      </c>
      <c r="DW104">
        <v>-20.274000000000001</v>
      </c>
      <c r="DX104">
        <v>102.322</v>
      </c>
      <c r="DY104">
        <v>122.17</v>
      </c>
      <c r="DZ104">
        <v>7.5962699999999996</v>
      </c>
      <c r="EA104">
        <v>120.008</v>
      </c>
      <c r="EB104">
        <v>17.698699999999999</v>
      </c>
      <c r="EC104">
        <v>2.5048499999999998</v>
      </c>
      <c r="ED104">
        <v>1.7526200000000001</v>
      </c>
      <c r="EE104">
        <v>21.058</v>
      </c>
      <c r="EF104">
        <v>15.3705</v>
      </c>
      <c r="EG104">
        <v>1800.09</v>
      </c>
      <c r="EH104">
        <v>0.97799599999999998</v>
      </c>
      <c r="EI104">
        <v>2.2003999999999999E-2</v>
      </c>
      <c r="EJ104">
        <v>0</v>
      </c>
      <c r="EK104">
        <v>699.45</v>
      </c>
      <c r="EL104">
        <v>0.100005</v>
      </c>
      <c r="EM104">
        <v>16138.9</v>
      </c>
      <c r="EN104">
        <v>14863.2</v>
      </c>
      <c r="EO104">
        <v>49.25</v>
      </c>
      <c r="EP104">
        <v>51.311999999999998</v>
      </c>
      <c r="EQ104">
        <v>50.311999999999998</v>
      </c>
      <c r="ER104">
        <v>49.686999999999998</v>
      </c>
      <c r="ES104">
        <v>50.186999999999998</v>
      </c>
      <c r="ET104">
        <v>1760.38</v>
      </c>
      <c r="EU104">
        <v>39.61</v>
      </c>
      <c r="EV104">
        <v>0</v>
      </c>
      <c r="EW104">
        <v>138.80000019073489</v>
      </c>
      <c r="EX104">
        <v>0</v>
      </c>
      <c r="EY104">
        <v>700.98961538461538</v>
      </c>
      <c r="EZ104">
        <v>-0.76376080102317756</v>
      </c>
      <c r="FA104">
        <v>-81.336751679102321</v>
      </c>
      <c r="FB104">
        <v>16127.74230769231</v>
      </c>
      <c r="FC104">
        <v>15</v>
      </c>
      <c r="FD104">
        <v>1691182349</v>
      </c>
      <c r="FE104" t="s">
        <v>867</v>
      </c>
      <c r="FF104">
        <v>1691182341</v>
      </c>
      <c r="FG104">
        <v>1691182349</v>
      </c>
      <c r="FH104">
        <v>104</v>
      </c>
      <c r="FI104">
        <v>-0.11</v>
      </c>
      <c r="FJ104">
        <v>-2E-3</v>
      </c>
      <c r="FK104">
        <v>-2.1930000000000001</v>
      </c>
      <c r="FL104">
        <v>-0.112</v>
      </c>
      <c r="FM104">
        <v>120</v>
      </c>
      <c r="FN104">
        <v>19</v>
      </c>
      <c r="FO104">
        <v>0.27</v>
      </c>
      <c r="FP104">
        <v>0.05</v>
      </c>
      <c r="FQ104">
        <v>16.050918589435071</v>
      </c>
      <c r="FR104">
        <v>0.67263715294764048</v>
      </c>
      <c r="FS104">
        <v>6.6322302567851335E-2</v>
      </c>
      <c r="FT104">
        <v>1</v>
      </c>
      <c r="FU104">
        <v>0.38586516547262317</v>
      </c>
      <c r="FV104">
        <v>-4.0327482791520507E-2</v>
      </c>
      <c r="FW104">
        <v>3.206874242086143E-3</v>
      </c>
      <c r="FX104">
        <v>1</v>
      </c>
      <c r="FY104">
        <v>2</v>
      </c>
      <c r="FZ104">
        <v>2</v>
      </c>
      <c r="GA104" t="s">
        <v>421</v>
      </c>
      <c r="GB104">
        <v>2.9140000000000001</v>
      </c>
      <c r="GC104">
        <v>2.8298700000000001</v>
      </c>
      <c r="GD104">
        <v>2.70496E-2</v>
      </c>
      <c r="GE104">
        <v>3.0928199999999999E-2</v>
      </c>
      <c r="GF104">
        <v>0.121597</v>
      </c>
      <c r="GG104">
        <v>9.0917100000000001E-2</v>
      </c>
      <c r="GH104">
        <v>25179.4</v>
      </c>
      <c r="GI104">
        <v>30982.7</v>
      </c>
      <c r="GJ104">
        <v>23320.2</v>
      </c>
      <c r="GK104">
        <v>29327.4</v>
      </c>
      <c r="GL104">
        <v>27974.2</v>
      </c>
      <c r="GM104">
        <v>37931.4</v>
      </c>
      <c r="GN104">
        <v>32995.199999999997</v>
      </c>
      <c r="GO104">
        <v>43512.5</v>
      </c>
      <c r="GP104">
        <v>1.907</v>
      </c>
      <c r="GQ104">
        <v>1.6927000000000001</v>
      </c>
      <c r="GR104">
        <v>-7.2985900000000006E-2</v>
      </c>
      <c r="GS104">
        <v>0</v>
      </c>
      <c r="GT104">
        <v>31.152899999999999</v>
      </c>
      <c r="GU104">
        <v>999.9</v>
      </c>
      <c r="GV104">
        <v>29.8</v>
      </c>
      <c r="GW104">
        <v>44</v>
      </c>
      <c r="GX104">
        <v>27.543399999999998</v>
      </c>
      <c r="GY104">
        <v>61.502400000000002</v>
      </c>
      <c r="GZ104">
        <v>35.649000000000001</v>
      </c>
      <c r="HA104">
        <v>1</v>
      </c>
      <c r="HB104">
        <v>0.82829299999999995</v>
      </c>
      <c r="HC104">
        <v>6.2928800000000003</v>
      </c>
      <c r="HD104">
        <v>20.1541</v>
      </c>
      <c r="HE104">
        <v>5.2095000000000002</v>
      </c>
      <c r="HF104">
        <v>11.8788</v>
      </c>
      <c r="HG104">
        <v>4.9837999999999996</v>
      </c>
      <c r="HH104">
        <v>3.2839999999999998</v>
      </c>
      <c r="HI104">
        <v>9999</v>
      </c>
      <c r="HJ104">
        <v>9999</v>
      </c>
      <c r="HK104">
        <v>9999</v>
      </c>
      <c r="HL104">
        <v>999.9</v>
      </c>
      <c r="HM104">
        <v>1.85486</v>
      </c>
      <c r="HN104">
        <v>1.86084</v>
      </c>
      <c r="HO104">
        <v>1.85822</v>
      </c>
      <c r="HP104">
        <v>1.85934</v>
      </c>
      <c r="HQ104">
        <v>1.85867</v>
      </c>
      <c r="HR104">
        <v>1.8592599999999999</v>
      </c>
      <c r="HS104">
        <v>1.85754</v>
      </c>
      <c r="HT104">
        <v>1.86093</v>
      </c>
      <c r="HU104">
        <v>5</v>
      </c>
      <c r="HV104">
        <v>0</v>
      </c>
      <c r="HW104">
        <v>0</v>
      </c>
      <c r="HX104">
        <v>0</v>
      </c>
      <c r="HY104" t="s">
        <v>422</v>
      </c>
      <c r="HZ104" t="s">
        <v>423</v>
      </c>
      <c r="IA104" t="s">
        <v>424</v>
      </c>
      <c r="IB104" t="s">
        <v>424</v>
      </c>
      <c r="IC104" t="s">
        <v>424</v>
      </c>
      <c r="ID104" t="s">
        <v>424</v>
      </c>
      <c r="IE104">
        <v>0</v>
      </c>
      <c r="IF104">
        <v>100</v>
      </c>
      <c r="IG104">
        <v>100</v>
      </c>
      <c r="IH104">
        <v>-2.1179999999999999</v>
      </c>
      <c r="II104">
        <v>2.5899999999999999E-2</v>
      </c>
      <c r="IJ104">
        <v>-1.7162937758463359</v>
      </c>
      <c r="IK104">
        <v>-4.1229525807901877E-3</v>
      </c>
      <c r="IL104">
        <v>1.8448211998558991E-6</v>
      </c>
      <c r="IM104">
        <v>-3.7020276670297668E-10</v>
      </c>
      <c r="IN104">
        <v>-0.20177202943687969</v>
      </c>
      <c r="IO104">
        <v>-1.3488639696665739E-2</v>
      </c>
      <c r="IP104">
        <v>1.1588640342490499E-3</v>
      </c>
      <c r="IQ104">
        <v>-1.0624341560077559E-5</v>
      </c>
      <c r="IR104">
        <v>2</v>
      </c>
      <c r="IS104">
        <v>1915</v>
      </c>
      <c r="IT104">
        <v>1</v>
      </c>
      <c r="IU104">
        <v>42</v>
      </c>
      <c r="IV104">
        <v>1.1000000000000001</v>
      </c>
      <c r="IW104">
        <v>1</v>
      </c>
      <c r="IX104">
        <v>0.41259800000000002</v>
      </c>
      <c r="IY104">
        <v>2.50854</v>
      </c>
      <c r="IZ104">
        <v>1.49414</v>
      </c>
      <c r="JA104">
        <v>2.2863799999999999</v>
      </c>
      <c r="JB104">
        <v>1.54419</v>
      </c>
      <c r="JC104">
        <v>2.4499499999999999</v>
      </c>
      <c r="JD104">
        <v>47.212299999999999</v>
      </c>
      <c r="JE104">
        <v>23.877400000000002</v>
      </c>
      <c r="JF104">
        <v>18</v>
      </c>
      <c r="JG104">
        <v>510.858</v>
      </c>
      <c r="JH104">
        <v>397.17399999999998</v>
      </c>
      <c r="JI104">
        <v>21.836200000000002</v>
      </c>
      <c r="JJ104">
        <v>37.238500000000002</v>
      </c>
      <c r="JK104">
        <v>29.9971</v>
      </c>
      <c r="JL104">
        <v>37.201700000000002</v>
      </c>
      <c r="JM104">
        <v>37.179400000000001</v>
      </c>
      <c r="JN104">
        <v>8.3136700000000001</v>
      </c>
      <c r="JO104">
        <v>36.813800000000001</v>
      </c>
      <c r="JP104">
        <v>0</v>
      </c>
      <c r="JQ104">
        <v>21.9177</v>
      </c>
      <c r="JR104">
        <v>120</v>
      </c>
      <c r="JS104">
        <v>17.616099999999999</v>
      </c>
      <c r="JT104">
        <v>97.833200000000005</v>
      </c>
      <c r="JU104">
        <v>97.807500000000005</v>
      </c>
    </row>
    <row r="105" spans="1:281" x14ac:dyDescent="0.25">
      <c r="A105">
        <v>89</v>
      </c>
      <c r="B105">
        <v>1691182534.0999999</v>
      </c>
      <c r="C105">
        <v>23288.5</v>
      </c>
      <c r="D105" t="s">
        <v>868</v>
      </c>
      <c r="E105" t="s">
        <v>869</v>
      </c>
      <c r="F105" t="s">
        <v>413</v>
      </c>
      <c r="G105" t="s">
        <v>708</v>
      </c>
      <c r="H105" t="s">
        <v>637</v>
      </c>
      <c r="I105" t="s">
        <v>31</v>
      </c>
      <c r="J105">
        <v>1691182534.0999999</v>
      </c>
      <c r="K105">
        <f t="shared" si="92"/>
        <v>7.1305643159349265E-3</v>
      </c>
      <c r="L105">
        <f t="shared" si="93"/>
        <v>7.1305643159349268</v>
      </c>
      <c r="M105">
        <f t="shared" si="94"/>
        <v>10.196261179861404</v>
      </c>
      <c r="N105">
        <f t="shared" si="95"/>
        <v>57.2622</v>
      </c>
      <c r="O105">
        <f t="shared" si="96"/>
        <v>15.777800674712088</v>
      </c>
      <c r="P105">
        <f t="shared" si="97"/>
        <v>1.563926369588778</v>
      </c>
      <c r="Q105">
        <f t="shared" si="98"/>
        <v>5.6759409252900008</v>
      </c>
      <c r="R105">
        <f t="shared" si="99"/>
        <v>0.43156944754105414</v>
      </c>
      <c r="S105">
        <f t="shared" si="100"/>
        <v>2.9132033116430121</v>
      </c>
      <c r="T105">
        <f t="shared" si="101"/>
        <v>0.39893901877240318</v>
      </c>
      <c r="U105">
        <f t="shared" si="102"/>
        <v>0.25206269250982616</v>
      </c>
      <c r="V105">
        <f t="shared" si="103"/>
        <v>344.38989999339861</v>
      </c>
      <c r="W105">
        <f t="shared" si="104"/>
        <v>30.293851877379588</v>
      </c>
      <c r="X105">
        <f t="shared" si="105"/>
        <v>30.024699999999999</v>
      </c>
      <c r="Y105">
        <f t="shared" si="106"/>
        <v>4.2664980141067295</v>
      </c>
      <c r="Z105">
        <f t="shared" si="107"/>
        <v>59.587568953437142</v>
      </c>
      <c r="AA105">
        <f t="shared" si="108"/>
        <v>2.55578018319</v>
      </c>
      <c r="AB105">
        <f t="shared" si="109"/>
        <v>4.2891163846391098</v>
      </c>
      <c r="AC105">
        <f t="shared" si="110"/>
        <v>1.7107178309167295</v>
      </c>
      <c r="AD105">
        <f t="shared" si="111"/>
        <v>-314.45788633273025</v>
      </c>
      <c r="AE105">
        <f t="shared" si="112"/>
        <v>14.464914419925476</v>
      </c>
      <c r="AF105">
        <f t="shared" si="113"/>
        <v>1.1048119486326524</v>
      </c>
      <c r="AG105">
        <f t="shared" si="114"/>
        <v>45.501740029226468</v>
      </c>
      <c r="AH105">
        <v>0</v>
      </c>
      <c r="AI105">
        <v>0</v>
      </c>
      <c r="AJ105">
        <f t="shared" si="115"/>
        <v>1</v>
      </c>
      <c r="AK105">
        <f t="shared" si="116"/>
        <v>0</v>
      </c>
      <c r="AL105">
        <f t="shared" si="117"/>
        <v>51846.28090131838</v>
      </c>
      <c r="AM105" t="s">
        <v>416</v>
      </c>
      <c r="AN105">
        <v>10235.299999999999</v>
      </c>
      <c r="AO105">
        <v>594.051923076923</v>
      </c>
      <c r="AP105">
        <v>2007.77</v>
      </c>
      <c r="AQ105">
        <f t="shared" si="118"/>
        <v>0.70412351859180933</v>
      </c>
      <c r="AR105">
        <v>-0.54275787784279261</v>
      </c>
      <c r="AS105" t="s">
        <v>870</v>
      </c>
      <c r="AT105">
        <v>10201.799999999999</v>
      </c>
      <c r="AU105">
        <v>708.8900000000001</v>
      </c>
      <c r="AV105">
        <v>807.52028390184091</v>
      </c>
      <c r="AW105">
        <f t="shared" si="119"/>
        <v>0.12213969836803495</v>
      </c>
      <c r="AX105">
        <v>0.5</v>
      </c>
      <c r="AY105">
        <f t="shared" si="120"/>
        <v>1513.2470999966993</v>
      </c>
      <c r="AZ105">
        <f t="shared" si="121"/>
        <v>10.196261179861404</v>
      </c>
      <c r="BA105">
        <f t="shared" si="122"/>
        <v>92.413772174950239</v>
      </c>
      <c r="BB105">
        <f t="shared" si="123"/>
        <v>7.0966724851001667E-3</v>
      </c>
      <c r="BC105">
        <f t="shared" si="124"/>
        <v>1.486340021452708</v>
      </c>
      <c r="BD105">
        <f t="shared" si="125"/>
        <v>412.60108370229506</v>
      </c>
      <c r="BE105" t="s">
        <v>871</v>
      </c>
      <c r="BF105">
        <v>557.35</v>
      </c>
      <c r="BG105">
        <f t="shared" si="126"/>
        <v>557.35</v>
      </c>
      <c r="BH105">
        <f t="shared" si="127"/>
        <v>0.30980061911639933</v>
      </c>
      <c r="BI105">
        <f t="shared" si="128"/>
        <v>0.3942525961258464</v>
      </c>
      <c r="BJ105">
        <f t="shared" si="129"/>
        <v>0.82751872981492192</v>
      </c>
      <c r="BK105">
        <f t="shared" si="130"/>
        <v>0.46203701345107168</v>
      </c>
      <c r="BL105">
        <f t="shared" si="131"/>
        <v>0.84900217072308604</v>
      </c>
      <c r="BM105">
        <f t="shared" si="132"/>
        <v>0.30997289346829621</v>
      </c>
      <c r="BN105">
        <f t="shared" si="133"/>
        <v>0.69002710653170385</v>
      </c>
      <c r="BO105">
        <v>12645</v>
      </c>
      <c r="BP105">
        <v>290.00000000000011</v>
      </c>
      <c r="BQ105">
        <v>776.16</v>
      </c>
      <c r="BR105">
        <v>285</v>
      </c>
      <c r="BS105">
        <v>10201.799999999999</v>
      </c>
      <c r="BT105">
        <v>776.8</v>
      </c>
      <c r="BU105">
        <v>-0.64</v>
      </c>
      <c r="BV105">
        <v>300.00000000000011</v>
      </c>
      <c r="BW105">
        <v>24.2</v>
      </c>
      <c r="BX105">
        <v>807.52028390184091</v>
      </c>
      <c r="BY105">
        <v>1.8304301426499641</v>
      </c>
      <c r="BZ105">
        <v>-31.337848579324621</v>
      </c>
      <c r="CA105">
        <v>1.6631972081778481</v>
      </c>
      <c r="CB105">
        <v>0.92689646217936106</v>
      </c>
      <c r="CC105">
        <v>-6.9715272525027877E-3</v>
      </c>
      <c r="CD105">
        <v>289.99999999999989</v>
      </c>
      <c r="CE105">
        <v>772.97</v>
      </c>
      <c r="CF105">
        <v>645</v>
      </c>
      <c r="CG105">
        <v>10185.200000000001</v>
      </c>
      <c r="CH105">
        <v>776.75</v>
      </c>
      <c r="CI105">
        <v>-3.78</v>
      </c>
      <c r="CW105">
        <f t="shared" si="134"/>
        <v>1800.07</v>
      </c>
      <c r="CX105">
        <f t="shared" si="135"/>
        <v>1513.2470999966993</v>
      </c>
      <c r="CY105">
        <f t="shared" si="136"/>
        <v>0.84066014099268327</v>
      </c>
      <c r="CZ105">
        <f t="shared" si="137"/>
        <v>0.19132028198536646</v>
      </c>
      <c r="DA105">
        <v>6</v>
      </c>
      <c r="DB105">
        <v>0.5</v>
      </c>
      <c r="DC105" t="s">
        <v>419</v>
      </c>
      <c r="DD105">
        <v>2</v>
      </c>
      <c r="DE105">
        <v>1691182534.0999999</v>
      </c>
      <c r="DF105">
        <v>57.2622</v>
      </c>
      <c r="DG105">
        <v>69.984099999999998</v>
      </c>
      <c r="DH105">
        <v>25.784199999999998</v>
      </c>
      <c r="DI105">
        <v>17.450500000000002</v>
      </c>
      <c r="DJ105">
        <v>59.215499999999999</v>
      </c>
      <c r="DK105">
        <v>25.749300000000002</v>
      </c>
      <c r="DL105">
        <v>500.14100000000002</v>
      </c>
      <c r="DM105">
        <v>99.021600000000007</v>
      </c>
      <c r="DN105">
        <v>0.10034999999999999</v>
      </c>
      <c r="DO105">
        <v>30.116800000000001</v>
      </c>
      <c r="DP105">
        <v>30.024699999999999</v>
      </c>
      <c r="DQ105">
        <v>999.9</v>
      </c>
      <c r="DR105">
        <v>0</v>
      </c>
      <c r="DS105">
        <v>0</v>
      </c>
      <c r="DT105">
        <v>10005</v>
      </c>
      <c r="DU105">
        <v>0</v>
      </c>
      <c r="DV105">
        <v>1284.8399999999999</v>
      </c>
      <c r="DW105">
        <v>-12.7219</v>
      </c>
      <c r="DX105">
        <v>58.777700000000003</v>
      </c>
      <c r="DY105">
        <v>71.227000000000004</v>
      </c>
      <c r="DZ105">
        <v>8.3336699999999997</v>
      </c>
      <c r="EA105">
        <v>69.984099999999998</v>
      </c>
      <c r="EB105">
        <v>17.450500000000002</v>
      </c>
      <c r="EC105">
        <v>2.5531899999999998</v>
      </c>
      <c r="ED105">
        <v>1.7279800000000001</v>
      </c>
      <c r="EE105">
        <v>21.369599999999998</v>
      </c>
      <c r="EF105">
        <v>15.1501</v>
      </c>
      <c r="EG105">
        <v>1800.07</v>
      </c>
      <c r="EH105">
        <v>0.97799599999999998</v>
      </c>
      <c r="EI105">
        <v>2.2003999999999999E-2</v>
      </c>
      <c r="EJ105">
        <v>0</v>
      </c>
      <c r="EK105">
        <v>707.13</v>
      </c>
      <c r="EL105">
        <v>0.100005</v>
      </c>
      <c r="EM105">
        <v>16235.3</v>
      </c>
      <c r="EN105">
        <v>14863.1</v>
      </c>
      <c r="EO105">
        <v>49.311999999999998</v>
      </c>
      <c r="EP105">
        <v>51.375</v>
      </c>
      <c r="EQ105">
        <v>50.375</v>
      </c>
      <c r="ER105">
        <v>49.75</v>
      </c>
      <c r="ES105">
        <v>50.186999999999998</v>
      </c>
      <c r="ET105">
        <v>1760.36</v>
      </c>
      <c r="EU105">
        <v>39.61</v>
      </c>
      <c r="EV105">
        <v>0</v>
      </c>
      <c r="EW105">
        <v>123.2000000476837</v>
      </c>
      <c r="EX105">
        <v>0</v>
      </c>
      <c r="EY105">
        <v>708.8900000000001</v>
      </c>
      <c r="EZ105">
        <v>-6.0803845990317056</v>
      </c>
      <c r="FA105">
        <v>-100.2692308006265</v>
      </c>
      <c r="FB105">
        <v>16249.2</v>
      </c>
      <c r="FC105">
        <v>15</v>
      </c>
      <c r="FD105">
        <v>1691182498.5999999</v>
      </c>
      <c r="FE105" t="s">
        <v>872</v>
      </c>
      <c r="FF105">
        <v>1691182487.5999999</v>
      </c>
      <c r="FG105">
        <v>1691182498.5999999</v>
      </c>
      <c r="FH105">
        <v>105</v>
      </c>
      <c r="FI105">
        <v>1E-3</v>
      </c>
      <c r="FJ105">
        <v>-3.0000000000000001E-3</v>
      </c>
      <c r="FK105">
        <v>-2.0030000000000001</v>
      </c>
      <c r="FL105">
        <v>-0.129</v>
      </c>
      <c r="FM105">
        <v>70</v>
      </c>
      <c r="FN105">
        <v>18</v>
      </c>
      <c r="FO105">
        <v>0.37</v>
      </c>
      <c r="FP105">
        <v>0.04</v>
      </c>
      <c r="FQ105">
        <v>10.06966435998147</v>
      </c>
      <c r="FR105">
        <v>0.34678006207137629</v>
      </c>
      <c r="FS105">
        <v>4.801798067242672E-2</v>
      </c>
      <c r="FT105">
        <v>1</v>
      </c>
      <c r="FU105">
        <v>0.43193037054002731</v>
      </c>
      <c r="FV105">
        <v>3.6400170511041018E-2</v>
      </c>
      <c r="FW105">
        <v>4.1813973095065323E-3</v>
      </c>
      <c r="FX105">
        <v>1</v>
      </c>
      <c r="FY105">
        <v>2</v>
      </c>
      <c r="FZ105">
        <v>2</v>
      </c>
      <c r="GA105" t="s">
        <v>421</v>
      </c>
      <c r="GB105">
        <v>2.9143400000000002</v>
      </c>
      <c r="GC105">
        <v>2.8302800000000001</v>
      </c>
      <c r="GD105">
        <v>1.6027799999999998E-2</v>
      </c>
      <c r="GE105">
        <v>1.84602E-2</v>
      </c>
      <c r="GF105">
        <v>0.12323099999999999</v>
      </c>
      <c r="GG105">
        <v>8.9999800000000005E-2</v>
      </c>
      <c r="GH105">
        <v>25466.2</v>
      </c>
      <c r="GI105">
        <v>31383.3</v>
      </c>
      <c r="GJ105">
        <v>23322.2</v>
      </c>
      <c r="GK105">
        <v>29330</v>
      </c>
      <c r="GL105">
        <v>27924.6</v>
      </c>
      <c r="GM105">
        <v>37970.400000000001</v>
      </c>
      <c r="GN105">
        <v>32999</v>
      </c>
      <c r="GO105">
        <v>43515.4</v>
      </c>
      <c r="GP105">
        <v>1.9077999999999999</v>
      </c>
      <c r="GQ105">
        <v>1.6929000000000001</v>
      </c>
      <c r="GR105">
        <v>-7.0840100000000003E-2</v>
      </c>
      <c r="GS105">
        <v>0</v>
      </c>
      <c r="GT105">
        <v>31.176400000000001</v>
      </c>
      <c r="GU105">
        <v>999.9</v>
      </c>
      <c r="GV105">
        <v>29.8</v>
      </c>
      <c r="GW105">
        <v>44</v>
      </c>
      <c r="GX105">
        <v>27.5428</v>
      </c>
      <c r="GY105">
        <v>61.816000000000003</v>
      </c>
      <c r="GZ105">
        <v>35.825299999999999</v>
      </c>
      <c r="HA105">
        <v>1</v>
      </c>
      <c r="HB105">
        <v>0.82550800000000002</v>
      </c>
      <c r="HC105">
        <v>6.6119000000000003</v>
      </c>
      <c r="HD105">
        <v>20.141400000000001</v>
      </c>
      <c r="HE105">
        <v>5.2112999999999996</v>
      </c>
      <c r="HF105">
        <v>11.8788</v>
      </c>
      <c r="HG105">
        <v>4.984</v>
      </c>
      <c r="HH105">
        <v>3.2839999999999998</v>
      </c>
      <c r="HI105">
        <v>9999</v>
      </c>
      <c r="HJ105">
        <v>9999</v>
      </c>
      <c r="HK105">
        <v>9999</v>
      </c>
      <c r="HL105">
        <v>999.9</v>
      </c>
      <c r="HM105">
        <v>1.8548500000000001</v>
      </c>
      <c r="HN105">
        <v>1.8608199999999999</v>
      </c>
      <c r="HO105">
        <v>1.8582000000000001</v>
      </c>
      <c r="HP105">
        <v>1.85928</v>
      </c>
      <c r="HQ105">
        <v>1.85867</v>
      </c>
      <c r="HR105">
        <v>1.8591899999999999</v>
      </c>
      <c r="HS105">
        <v>1.85747</v>
      </c>
      <c r="HT105">
        <v>1.8608100000000001</v>
      </c>
      <c r="HU105">
        <v>5</v>
      </c>
      <c r="HV105">
        <v>0</v>
      </c>
      <c r="HW105">
        <v>0</v>
      </c>
      <c r="HX105">
        <v>0</v>
      </c>
      <c r="HY105" t="s">
        <v>422</v>
      </c>
      <c r="HZ105" t="s">
        <v>423</v>
      </c>
      <c r="IA105" t="s">
        <v>424</v>
      </c>
      <c r="IB105" t="s">
        <v>424</v>
      </c>
      <c r="IC105" t="s">
        <v>424</v>
      </c>
      <c r="ID105" t="s">
        <v>424</v>
      </c>
      <c r="IE105">
        <v>0</v>
      </c>
      <c r="IF105">
        <v>100</v>
      </c>
      <c r="IG105">
        <v>100</v>
      </c>
      <c r="IH105">
        <v>-1.9530000000000001</v>
      </c>
      <c r="II105">
        <v>3.49E-2</v>
      </c>
      <c r="IJ105">
        <v>-1.7155692351706671</v>
      </c>
      <c r="IK105">
        <v>-4.1229525807901877E-3</v>
      </c>
      <c r="IL105">
        <v>1.8448211998558991E-6</v>
      </c>
      <c r="IM105">
        <v>-3.7020276670297668E-10</v>
      </c>
      <c r="IN105">
        <v>-0.20476788572651239</v>
      </c>
      <c r="IO105">
        <v>-1.3488639696665739E-2</v>
      </c>
      <c r="IP105">
        <v>1.1588640342490499E-3</v>
      </c>
      <c r="IQ105">
        <v>-1.0624341560077559E-5</v>
      </c>
      <c r="IR105">
        <v>2</v>
      </c>
      <c r="IS105">
        <v>1915</v>
      </c>
      <c r="IT105">
        <v>1</v>
      </c>
      <c r="IU105">
        <v>42</v>
      </c>
      <c r="IV105">
        <v>0.8</v>
      </c>
      <c r="IW105">
        <v>0.6</v>
      </c>
      <c r="IX105">
        <v>0.30029299999999998</v>
      </c>
      <c r="IY105">
        <v>2.5280800000000001</v>
      </c>
      <c r="IZ105">
        <v>1.49414</v>
      </c>
      <c r="JA105">
        <v>2.2863799999999999</v>
      </c>
      <c r="JB105">
        <v>1.54419</v>
      </c>
      <c r="JC105">
        <v>2.3730500000000001</v>
      </c>
      <c r="JD105">
        <v>47.271999999999998</v>
      </c>
      <c r="JE105">
        <v>23.8598</v>
      </c>
      <c r="JF105">
        <v>18</v>
      </c>
      <c r="JG105">
        <v>511.005</v>
      </c>
      <c r="JH105">
        <v>396.95400000000001</v>
      </c>
      <c r="JI105">
        <v>22.006599999999999</v>
      </c>
      <c r="JJ105">
        <v>37.189399999999999</v>
      </c>
      <c r="JK105">
        <v>30.000499999999999</v>
      </c>
      <c r="JL105">
        <v>37.1496</v>
      </c>
      <c r="JM105">
        <v>37.123800000000003</v>
      </c>
      <c r="JN105">
        <v>6.0725499999999997</v>
      </c>
      <c r="JO105">
        <v>37.740099999999998</v>
      </c>
      <c r="JP105">
        <v>0</v>
      </c>
      <c r="JQ105">
        <v>21.997199999999999</v>
      </c>
      <c r="JR105">
        <v>70</v>
      </c>
      <c r="JS105">
        <v>17.328600000000002</v>
      </c>
      <c r="JT105">
        <v>97.843299999999999</v>
      </c>
      <c r="JU105">
        <v>97.814700000000002</v>
      </c>
    </row>
    <row r="106" spans="1:281" x14ac:dyDescent="0.25">
      <c r="A106">
        <v>90</v>
      </c>
      <c r="B106">
        <v>1691182650.5999999</v>
      </c>
      <c r="C106">
        <v>23405</v>
      </c>
      <c r="D106" t="s">
        <v>873</v>
      </c>
      <c r="E106" t="s">
        <v>874</v>
      </c>
      <c r="F106" t="s">
        <v>413</v>
      </c>
      <c r="G106" t="s">
        <v>708</v>
      </c>
      <c r="H106" t="s">
        <v>637</v>
      </c>
      <c r="I106" t="s">
        <v>31</v>
      </c>
      <c r="J106">
        <v>1691182650.5999999</v>
      </c>
      <c r="K106">
        <f t="shared" si="92"/>
        <v>7.6885646431003691E-3</v>
      </c>
      <c r="L106">
        <f t="shared" si="93"/>
        <v>7.6885646431003689</v>
      </c>
      <c r="M106">
        <f t="shared" si="94"/>
        <v>4.8231460422262691</v>
      </c>
      <c r="N106">
        <f t="shared" si="95"/>
        <v>23.992100000000001</v>
      </c>
      <c r="O106">
        <f t="shared" si="96"/>
        <v>5.9034932908590836</v>
      </c>
      <c r="P106">
        <f t="shared" si="97"/>
        <v>0.5851870412206418</v>
      </c>
      <c r="Q106">
        <f t="shared" si="98"/>
        <v>2.3782301969257702</v>
      </c>
      <c r="R106">
        <f t="shared" si="99"/>
        <v>0.47009356159582227</v>
      </c>
      <c r="S106">
        <f t="shared" si="100"/>
        <v>2.9158982946128043</v>
      </c>
      <c r="T106">
        <f t="shared" si="101"/>
        <v>0.43168785568323575</v>
      </c>
      <c r="U106">
        <f t="shared" si="102"/>
        <v>0.27299356011268477</v>
      </c>
      <c r="V106">
        <f t="shared" si="103"/>
        <v>344.38419999339851</v>
      </c>
      <c r="W106">
        <f t="shared" si="104"/>
        <v>30.212931194922252</v>
      </c>
      <c r="X106">
        <f t="shared" si="105"/>
        <v>30.043399999999998</v>
      </c>
      <c r="Y106">
        <f t="shared" si="106"/>
        <v>4.2710820230102495</v>
      </c>
      <c r="Z106">
        <f t="shared" si="107"/>
        <v>59.615766162575454</v>
      </c>
      <c r="AA106">
        <f t="shared" si="108"/>
        <v>2.5664993610681801</v>
      </c>
      <c r="AB106">
        <f t="shared" si="109"/>
        <v>4.3050681493704133</v>
      </c>
      <c r="AC106">
        <f t="shared" si="110"/>
        <v>1.7045826619420694</v>
      </c>
      <c r="AD106">
        <f t="shared" si="111"/>
        <v>-339.06570076072626</v>
      </c>
      <c r="AE106">
        <f t="shared" si="112"/>
        <v>21.709583613450985</v>
      </c>
      <c r="AF106">
        <f t="shared" si="113"/>
        <v>1.6573020858429215</v>
      </c>
      <c r="AG106">
        <f t="shared" si="114"/>
        <v>28.685384931966137</v>
      </c>
      <c r="AH106">
        <v>0</v>
      </c>
      <c r="AI106">
        <v>0</v>
      </c>
      <c r="AJ106">
        <f t="shared" si="115"/>
        <v>1</v>
      </c>
      <c r="AK106">
        <f t="shared" si="116"/>
        <v>0</v>
      </c>
      <c r="AL106">
        <f t="shared" si="117"/>
        <v>51911.930394729621</v>
      </c>
      <c r="AM106" t="s">
        <v>416</v>
      </c>
      <c r="AN106">
        <v>10235.299999999999</v>
      </c>
      <c r="AO106">
        <v>594.051923076923</v>
      </c>
      <c r="AP106">
        <v>2007.77</v>
      </c>
      <c r="AQ106">
        <f t="shared" si="118"/>
        <v>0.70412351859180933</v>
      </c>
      <c r="AR106">
        <v>-0.54275787784279261</v>
      </c>
      <c r="AS106" t="s">
        <v>875</v>
      </c>
      <c r="AT106">
        <v>10203.700000000001</v>
      </c>
      <c r="AU106">
        <v>716.59099999999989</v>
      </c>
      <c r="AV106">
        <v>777.72521379570583</v>
      </c>
      <c r="AW106">
        <f t="shared" si="119"/>
        <v>7.860644442442466E-2</v>
      </c>
      <c r="AX106">
        <v>0.5</v>
      </c>
      <c r="AY106">
        <f t="shared" si="120"/>
        <v>1513.2218999966994</v>
      </c>
      <c r="AZ106">
        <f t="shared" si="121"/>
        <v>4.8231460422262691</v>
      </c>
      <c r="BA106">
        <f t="shared" si="122"/>
        <v>59.474496591956424</v>
      </c>
      <c r="BB106">
        <f t="shared" si="123"/>
        <v>3.5460125974126899E-3</v>
      </c>
      <c r="BC106">
        <f t="shared" si="124"/>
        <v>1.581593041327582</v>
      </c>
      <c r="BD106">
        <f t="shared" si="125"/>
        <v>404.67960114635076</v>
      </c>
      <c r="BE106" t="s">
        <v>876</v>
      </c>
      <c r="BF106">
        <v>578.61</v>
      </c>
      <c r="BG106">
        <f t="shared" si="126"/>
        <v>578.61</v>
      </c>
      <c r="BH106">
        <f t="shared" si="127"/>
        <v>0.25602257746527135</v>
      </c>
      <c r="BI106">
        <f t="shared" si="128"/>
        <v>0.30702934562514267</v>
      </c>
      <c r="BJ106">
        <f t="shared" si="129"/>
        <v>0.86067675152137924</v>
      </c>
      <c r="BK106">
        <f t="shared" si="130"/>
        <v>0.33284215443881204</v>
      </c>
      <c r="BL106">
        <f t="shared" si="131"/>
        <v>0.87007785094002399</v>
      </c>
      <c r="BM106">
        <f t="shared" si="132"/>
        <v>0.24791024401948089</v>
      </c>
      <c r="BN106">
        <f t="shared" si="133"/>
        <v>0.75208975598051908</v>
      </c>
      <c r="BO106">
        <v>12647</v>
      </c>
      <c r="BP106">
        <v>290.00000000000011</v>
      </c>
      <c r="BQ106">
        <v>758.51</v>
      </c>
      <c r="BR106">
        <v>265</v>
      </c>
      <c r="BS106">
        <v>10203.700000000001</v>
      </c>
      <c r="BT106">
        <v>758.12</v>
      </c>
      <c r="BU106">
        <v>0.39</v>
      </c>
      <c r="BV106">
        <v>300.00000000000011</v>
      </c>
      <c r="BW106">
        <v>24.2</v>
      </c>
      <c r="BX106">
        <v>777.72521379570583</v>
      </c>
      <c r="BY106">
        <v>1.691282571019008</v>
      </c>
      <c r="BZ106">
        <v>-20.007519944317139</v>
      </c>
      <c r="CA106">
        <v>1.5366948580006501</v>
      </c>
      <c r="CB106">
        <v>0.85823948516245741</v>
      </c>
      <c r="CC106">
        <v>-6.9712449388209148E-3</v>
      </c>
      <c r="CD106">
        <v>289.99999999999989</v>
      </c>
      <c r="CE106">
        <v>755.86</v>
      </c>
      <c r="CF106">
        <v>685</v>
      </c>
      <c r="CG106">
        <v>10182.299999999999</v>
      </c>
      <c r="CH106">
        <v>758.08</v>
      </c>
      <c r="CI106">
        <v>-2.2200000000000002</v>
      </c>
      <c r="CW106">
        <f t="shared" si="134"/>
        <v>1800.04</v>
      </c>
      <c r="CX106">
        <f t="shared" si="135"/>
        <v>1513.2218999966994</v>
      </c>
      <c r="CY106">
        <f t="shared" si="136"/>
        <v>0.84066015199478872</v>
      </c>
      <c r="CZ106">
        <f t="shared" si="137"/>
        <v>0.1913203039895772</v>
      </c>
      <c r="DA106">
        <v>6</v>
      </c>
      <c r="DB106">
        <v>0.5</v>
      </c>
      <c r="DC106" t="s">
        <v>419</v>
      </c>
      <c r="DD106">
        <v>2</v>
      </c>
      <c r="DE106">
        <v>1691182650.5999999</v>
      </c>
      <c r="DF106">
        <v>23.992100000000001</v>
      </c>
      <c r="DG106">
        <v>30.000499999999999</v>
      </c>
      <c r="DH106">
        <v>25.891400000000001</v>
      </c>
      <c r="DI106">
        <v>16.905100000000001</v>
      </c>
      <c r="DJ106">
        <v>25.9621</v>
      </c>
      <c r="DK106">
        <v>25.858799999999999</v>
      </c>
      <c r="DL106">
        <v>500.06099999999998</v>
      </c>
      <c r="DM106">
        <v>99.025800000000004</v>
      </c>
      <c r="DN106">
        <v>9.9753700000000001E-2</v>
      </c>
      <c r="DO106">
        <v>30.1815</v>
      </c>
      <c r="DP106">
        <v>30.043399999999998</v>
      </c>
      <c r="DQ106">
        <v>999.9</v>
      </c>
      <c r="DR106">
        <v>0</v>
      </c>
      <c r="DS106">
        <v>0</v>
      </c>
      <c r="DT106">
        <v>10020</v>
      </c>
      <c r="DU106">
        <v>0</v>
      </c>
      <c r="DV106">
        <v>1279.17</v>
      </c>
      <c r="DW106">
        <v>-6.0083500000000001</v>
      </c>
      <c r="DX106">
        <v>24.629799999999999</v>
      </c>
      <c r="DY106">
        <v>30.516300000000001</v>
      </c>
      <c r="DZ106">
        <v>8.9862800000000007</v>
      </c>
      <c r="EA106">
        <v>30.000499999999999</v>
      </c>
      <c r="EB106">
        <v>16.905100000000001</v>
      </c>
      <c r="EC106">
        <v>2.5639099999999999</v>
      </c>
      <c r="ED106">
        <v>1.67404</v>
      </c>
      <c r="EE106">
        <v>21.437999999999999</v>
      </c>
      <c r="EF106">
        <v>14.6578</v>
      </c>
      <c r="EG106">
        <v>1800.04</v>
      </c>
      <c r="EH106">
        <v>0.97799599999999998</v>
      </c>
      <c r="EI106">
        <v>2.2003999999999999E-2</v>
      </c>
      <c r="EJ106">
        <v>0</v>
      </c>
      <c r="EK106">
        <v>716.2</v>
      </c>
      <c r="EL106">
        <v>0.100005</v>
      </c>
      <c r="EM106">
        <v>16376.5</v>
      </c>
      <c r="EN106">
        <v>14862.8</v>
      </c>
      <c r="EO106">
        <v>49.375</v>
      </c>
      <c r="EP106">
        <v>51.436999999999998</v>
      </c>
      <c r="EQ106">
        <v>50.375</v>
      </c>
      <c r="ER106">
        <v>49.875</v>
      </c>
      <c r="ES106">
        <v>50.25</v>
      </c>
      <c r="ET106">
        <v>1760.33</v>
      </c>
      <c r="EU106">
        <v>39.61</v>
      </c>
      <c r="EV106">
        <v>0</v>
      </c>
      <c r="EW106">
        <v>114.19999980926509</v>
      </c>
      <c r="EX106">
        <v>0</v>
      </c>
      <c r="EY106">
        <v>716.59099999999989</v>
      </c>
      <c r="EZ106">
        <v>5.8657691266760708</v>
      </c>
      <c r="FA106">
        <v>-54.423077018532759</v>
      </c>
      <c r="FB106">
        <v>16381.512000000001</v>
      </c>
      <c r="FC106">
        <v>15</v>
      </c>
      <c r="FD106">
        <v>1691182616.0999999</v>
      </c>
      <c r="FE106" t="s">
        <v>877</v>
      </c>
      <c r="FF106">
        <v>1691182605.5999999</v>
      </c>
      <c r="FG106">
        <v>1691182616.0999999</v>
      </c>
      <c r="FH106">
        <v>106</v>
      </c>
      <c r="FI106">
        <v>-0.14899999999999999</v>
      </c>
      <c r="FJ106">
        <v>-5.0000000000000001E-3</v>
      </c>
      <c r="FK106">
        <v>-1.994</v>
      </c>
      <c r="FL106">
        <v>-0.14299999999999999</v>
      </c>
      <c r="FM106">
        <v>30</v>
      </c>
      <c r="FN106">
        <v>18</v>
      </c>
      <c r="FO106">
        <v>0.85</v>
      </c>
      <c r="FP106">
        <v>0.03</v>
      </c>
      <c r="FQ106">
        <v>4.8205227575718048</v>
      </c>
      <c r="FR106">
        <v>0.27917680864103978</v>
      </c>
      <c r="FS106">
        <v>5.0728845264506682E-2</v>
      </c>
      <c r="FT106">
        <v>1</v>
      </c>
      <c r="FU106">
        <v>0.46739964718376259</v>
      </c>
      <c r="FV106">
        <v>4.5170602894645577E-2</v>
      </c>
      <c r="FW106">
        <v>4.2847842496700882E-3</v>
      </c>
      <c r="FX106">
        <v>1</v>
      </c>
      <c r="FY106">
        <v>2</v>
      </c>
      <c r="FZ106">
        <v>2</v>
      </c>
      <c r="GA106" t="s">
        <v>421</v>
      </c>
      <c r="GB106">
        <v>2.91418</v>
      </c>
      <c r="GC106">
        <v>2.8298100000000002</v>
      </c>
      <c r="GD106">
        <v>7.1032400000000002E-3</v>
      </c>
      <c r="GE106">
        <v>8.0183800000000003E-3</v>
      </c>
      <c r="GF106">
        <v>0.123614</v>
      </c>
      <c r="GG106">
        <v>8.7958800000000004E-2</v>
      </c>
      <c r="GH106">
        <v>25698</v>
      </c>
      <c r="GI106">
        <v>31718</v>
      </c>
      <c r="GJ106">
        <v>23323.5</v>
      </c>
      <c r="GK106">
        <v>29331.5</v>
      </c>
      <c r="GL106">
        <v>27912.2</v>
      </c>
      <c r="GM106">
        <v>38055</v>
      </c>
      <c r="GN106">
        <v>32999.800000000003</v>
      </c>
      <c r="GO106">
        <v>43517.1</v>
      </c>
      <c r="GP106">
        <v>1.9092</v>
      </c>
      <c r="GQ106">
        <v>1.6923999999999999</v>
      </c>
      <c r="GR106">
        <v>-7.3477600000000004E-2</v>
      </c>
      <c r="GS106">
        <v>0</v>
      </c>
      <c r="GT106">
        <v>31.2378</v>
      </c>
      <c r="GU106">
        <v>999.9</v>
      </c>
      <c r="GV106">
        <v>29.7</v>
      </c>
      <c r="GW106">
        <v>44</v>
      </c>
      <c r="GX106">
        <v>27.4498</v>
      </c>
      <c r="GY106">
        <v>61.915999999999997</v>
      </c>
      <c r="GZ106">
        <v>35.2684</v>
      </c>
      <c r="HA106">
        <v>1</v>
      </c>
      <c r="HB106">
        <v>0.82292699999999996</v>
      </c>
      <c r="HC106">
        <v>6.6181299999999998</v>
      </c>
      <c r="HD106">
        <v>20.141200000000001</v>
      </c>
      <c r="HE106">
        <v>5.2100999999999997</v>
      </c>
      <c r="HF106">
        <v>11.8782</v>
      </c>
      <c r="HG106">
        <v>4.984</v>
      </c>
      <c r="HH106">
        <v>3.2839999999999998</v>
      </c>
      <c r="HI106">
        <v>9999</v>
      </c>
      <c r="HJ106">
        <v>9999</v>
      </c>
      <c r="HK106">
        <v>9999</v>
      </c>
      <c r="HL106">
        <v>999.9</v>
      </c>
      <c r="HM106">
        <v>1.85486</v>
      </c>
      <c r="HN106">
        <v>1.8608899999999999</v>
      </c>
      <c r="HO106">
        <v>1.85822</v>
      </c>
      <c r="HP106">
        <v>1.85931</v>
      </c>
      <c r="HQ106">
        <v>1.8587199999999999</v>
      </c>
      <c r="HR106">
        <v>1.85928</v>
      </c>
      <c r="HS106">
        <v>1.85758</v>
      </c>
      <c r="HT106">
        <v>1.8609599999999999</v>
      </c>
      <c r="HU106">
        <v>5</v>
      </c>
      <c r="HV106">
        <v>0</v>
      </c>
      <c r="HW106">
        <v>0</v>
      </c>
      <c r="HX106">
        <v>0</v>
      </c>
      <c r="HY106" t="s">
        <v>422</v>
      </c>
      <c r="HZ106" t="s">
        <v>423</v>
      </c>
      <c r="IA106" t="s">
        <v>424</v>
      </c>
      <c r="IB106" t="s">
        <v>424</v>
      </c>
      <c r="IC106" t="s">
        <v>424</v>
      </c>
      <c r="ID106" t="s">
        <v>424</v>
      </c>
      <c r="IE106">
        <v>0</v>
      </c>
      <c r="IF106">
        <v>100</v>
      </c>
      <c r="IG106">
        <v>100</v>
      </c>
      <c r="IH106">
        <v>-1.97</v>
      </c>
      <c r="II106">
        <v>3.2599999999999997E-2</v>
      </c>
      <c r="IJ106">
        <v>-1.8641830838931821</v>
      </c>
      <c r="IK106">
        <v>-4.1229525807901877E-3</v>
      </c>
      <c r="IL106">
        <v>1.8448211998558991E-6</v>
      </c>
      <c r="IM106">
        <v>-3.7020276670297668E-10</v>
      </c>
      <c r="IN106">
        <v>-0.20982726705146801</v>
      </c>
      <c r="IO106">
        <v>-1.3488639696665739E-2</v>
      </c>
      <c r="IP106">
        <v>1.1588640342490499E-3</v>
      </c>
      <c r="IQ106">
        <v>-1.0624341560077559E-5</v>
      </c>
      <c r="IR106">
        <v>2</v>
      </c>
      <c r="IS106">
        <v>1915</v>
      </c>
      <c r="IT106">
        <v>1</v>
      </c>
      <c r="IU106">
        <v>42</v>
      </c>
      <c r="IV106">
        <v>0.8</v>
      </c>
      <c r="IW106">
        <v>0.6</v>
      </c>
      <c r="IX106">
        <v>0.21118200000000001</v>
      </c>
      <c r="IY106">
        <v>2.5463900000000002</v>
      </c>
      <c r="IZ106">
        <v>1.49414</v>
      </c>
      <c r="JA106">
        <v>2.2863799999999999</v>
      </c>
      <c r="JB106">
        <v>1.54419</v>
      </c>
      <c r="JC106">
        <v>2.4047900000000002</v>
      </c>
      <c r="JD106">
        <v>47.301900000000003</v>
      </c>
      <c r="JE106">
        <v>23.833600000000001</v>
      </c>
      <c r="JF106">
        <v>18</v>
      </c>
      <c r="JG106">
        <v>511.68799999999999</v>
      </c>
      <c r="JH106">
        <v>396.42</v>
      </c>
      <c r="JI106">
        <v>22.076599999999999</v>
      </c>
      <c r="JJ106">
        <v>37.164900000000003</v>
      </c>
      <c r="JK106">
        <v>30.001100000000001</v>
      </c>
      <c r="JL106">
        <v>37.114899999999999</v>
      </c>
      <c r="JM106">
        <v>37.089100000000002</v>
      </c>
      <c r="JN106">
        <v>4.2804799999999998</v>
      </c>
      <c r="JO106">
        <v>39.677500000000002</v>
      </c>
      <c r="JP106">
        <v>0</v>
      </c>
      <c r="JQ106">
        <v>22.056000000000001</v>
      </c>
      <c r="JR106">
        <v>30</v>
      </c>
      <c r="JS106">
        <v>16.749400000000001</v>
      </c>
      <c r="JT106">
        <v>97.847099999999998</v>
      </c>
      <c r="JU106">
        <v>97.819100000000006</v>
      </c>
    </row>
    <row r="107" spans="1:281" x14ac:dyDescent="0.25">
      <c r="A107">
        <v>91</v>
      </c>
      <c r="B107">
        <v>1691182768.0999999</v>
      </c>
      <c r="C107">
        <v>23522.5</v>
      </c>
      <c r="D107" t="s">
        <v>878</v>
      </c>
      <c r="E107" t="s">
        <v>879</v>
      </c>
      <c r="F107" t="s">
        <v>413</v>
      </c>
      <c r="G107" t="s">
        <v>708</v>
      </c>
      <c r="H107" t="s">
        <v>637</v>
      </c>
      <c r="I107" t="s">
        <v>31</v>
      </c>
      <c r="J107">
        <v>1691182768.0999999</v>
      </c>
      <c r="K107">
        <f t="shared" si="92"/>
        <v>7.9737290256752039E-3</v>
      </c>
      <c r="L107">
        <f t="shared" si="93"/>
        <v>7.9737290256752038</v>
      </c>
      <c r="M107">
        <f t="shared" si="94"/>
        <v>1.9491396903423863</v>
      </c>
      <c r="N107">
        <f t="shared" si="95"/>
        <v>7.6148999999999996</v>
      </c>
      <c r="O107">
        <f t="shared" si="96"/>
        <v>0.68210297798279385</v>
      </c>
      <c r="P107">
        <f t="shared" si="97"/>
        <v>6.7613160500276923E-2</v>
      </c>
      <c r="Q107">
        <f t="shared" si="98"/>
        <v>0.75482364468806984</v>
      </c>
      <c r="R107">
        <f t="shared" si="99"/>
        <v>0.49414784520797206</v>
      </c>
      <c r="S107">
        <f t="shared" si="100"/>
        <v>2.9141319543345263</v>
      </c>
      <c r="T107">
        <f t="shared" si="101"/>
        <v>0.45187698815288219</v>
      </c>
      <c r="U107">
        <f t="shared" si="102"/>
        <v>0.28591904692767944</v>
      </c>
      <c r="V107">
        <f t="shared" si="103"/>
        <v>344.34239999339769</v>
      </c>
      <c r="W107">
        <f t="shared" si="104"/>
        <v>30.15194029587542</v>
      </c>
      <c r="X107">
        <f t="shared" si="105"/>
        <v>29.9893</v>
      </c>
      <c r="Y107">
        <f t="shared" si="106"/>
        <v>4.2578320044218501</v>
      </c>
      <c r="Z107">
        <f t="shared" si="107"/>
        <v>59.625741843901423</v>
      </c>
      <c r="AA107">
        <f t="shared" si="108"/>
        <v>2.5689320333116599</v>
      </c>
      <c r="AB107">
        <f t="shared" si="109"/>
        <v>4.3084277928768655</v>
      </c>
      <c r="AC107">
        <f t="shared" si="110"/>
        <v>1.6888999711101902</v>
      </c>
      <c r="AD107">
        <f t="shared" si="111"/>
        <v>-351.64145003227651</v>
      </c>
      <c r="AE107">
        <f t="shared" si="112"/>
        <v>32.332555139564676</v>
      </c>
      <c r="AF107">
        <f t="shared" si="113"/>
        <v>2.4692573309831318</v>
      </c>
      <c r="AG107">
        <f t="shared" si="114"/>
        <v>27.50276243166897</v>
      </c>
      <c r="AH107">
        <v>0</v>
      </c>
      <c r="AI107">
        <v>0</v>
      </c>
      <c r="AJ107">
        <f t="shared" si="115"/>
        <v>1</v>
      </c>
      <c r="AK107">
        <f t="shared" si="116"/>
        <v>0</v>
      </c>
      <c r="AL107">
        <f t="shared" si="117"/>
        <v>51859.354913683484</v>
      </c>
      <c r="AM107" t="s">
        <v>416</v>
      </c>
      <c r="AN107">
        <v>10235.299999999999</v>
      </c>
      <c r="AO107">
        <v>594.051923076923</v>
      </c>
      <c r="AP107">
        <v>2007.77</v>
      </c>
      <c r="AQ107">
        <f t="shared" si="118"/>
        <v>0.70412351859180933</v>
      </c>
      <c r="AR107">
        <v>-0.54275787784279261</v>
      </c>
      <c r="AS107" t="s">
        <v>880</v>
      </c>
      <c r="AT107">
        <v>10217.799999999999</v>
      </c>
      <c r="AU107">
        <v>719.93799999999999</v>
      </c>
      <c r="AV107">
        <v>770.04610890966001</v>
      </c>
      <c r="AW107">
        <f t="shared" si="119"/>
        <v>6.5071569520181227E-2</v>
      </c>
      <c r="AX107">
        <v>0.5</v>
      </c>
      <c r="AY107">
        <f t="shared" si="120"/>
        <v>1513.0370999966988</v>
      </c>
      <c r="AZ107">
        <f t="shared" si="121"/>
        <v>1.9491396903423863</v>
      </c>
      <c r="BA107">
        <f t="shared" si="122"/>
        <v>49.22784941952429</v>
      </c>
      <c r="BB107">
        <f t="shared" si="123"/>
        <v>1.6469507378177413E-3</v>
      </c>
      <c r="BC107">
        <f t="shared" si="124"/>
        <v>1.6073373746968012</v>
      </c>
      <c r="BD107">
        <f t="shared" si="125"/>
        <v>402.5905810730444</v>
      </c>
      <c r="BE107" t="s">
        <v>881</v>
      </c>
      <c r="BF107">
        <v>591.63</v>
      </c>
      <c r="BG107">
        <f t="shared" si="126"/>
        <v>591.63</v>
      </c>
      <c r="BH107">
        <f t="shared" si="127"/>
        <v>0.23169535803808783</v>
      </c>
      <c r="BI107">
        <f t="shared" si="128"/>
        <v>0.28084969017585726</v>
      </c>
      <c r="BJ107">
        <f t="shared" si="129"/>
        <v>0.87401237948955612</v>
      </c>
      <c r="BK107">
        <f t="shared" si="130"/>
        <v>0.28471456981699517</v>
      </c>
      <c r="BL107">
        <f t="shared" si="131"/>
        <v>0.87550970118753513</v>
      </c>
      <c r="BM107">
        <f t="shared" si="132"/>
        <v>0.23079640496645881</v>
      </c>
      <c r="BN107">
        <f t="shared" si="133"/>
        <v>0.76920359503354119</v>
      </c>
      <c r="BO107">
        <v>12649</v>
      </c>
      <c r="BP107">
        <v>290.00000000000011</v>
      </c>
      <c r="BQ107">
        <v>753.27</v>
      </c>
      <c r="BR107">
        <v>165</v>
      </c>
      <c r="BS107">
        <v>10217.799999999999</v>
      </c>
      <c r="BT107">
        <v>751.75</v>
      </c>
      <c r="BU107">
        <v>1.52</v>
      </c>
      <c r="BV107">
        <v>300.00000000000011</v>
      </c>
      <c r="BW107">
        <v>24.2</v>
      </c>
      <c r="BX107">
        <v>770.04610890966001</v>
      </c>
      <c r="BY107">
        <v>2.1561123407415592</v>
      </c>
      <c r="BZ107">
        <v>-18.692002487746709</v>
      </c>
      <c r="CA107">
        <v>1.9590710199554069</v>
      </c>
      <c r="CB107">
        <v>0.76477626876910365</v>
      </c>
      <c r="CC107">
        <v>-6.9713595105673071E-3</v>
      </c>
      <c r="CD107">
        <v>289.99999999999989</v>
      </c>
      <c r="CE107">
        <v>750.09</v>
      </c>
      <c r="CF107">
        <v>665</v>
      </c>
      <c r="CG107">
        <v>10183.700000000001</v>
      </c>
      <c r="CH107">
        <v>751.69</v>
      </c>
      <c r="CI107">
        <v>-1.6</v>
      </c>
      <c r="CW107">
        <f t="shared" si="134"/>
        <v>1799.82</v>
      </c>
      <c r="CX107">
        <f t="shared" si="135"/>
        <v>1513.0370999966988</v>
      </c>
      <c r="CY107">
        <f t="shared" si="136"/>
        <v>0.84066023268810153</v>
      </c>
      <c r="CZ107">
        <f t="shared" si="137"/>
        <v>0.19132046537620301</v>
      </c>
      <c r="DA107">
        <v>6</v>
      </c>
      <c r="DB107">
        <v>0.5</v>
      </c>
      <c r="DC107" t="s">
        <v>419</v>
      </c>
      <c r="DD107">
        <v>2</v>
      </c>
      <c r="DE107">
        <v>1691182768.0999999</v>
      </c>
      <c r="DF107">
        <v>7.6148999999999996</v>
      </c>
      <c r="DG107">
        <v>10.0258</v>
      </c>
      <c r="DH107">
        <v>25.9162</v>
      </c>
      <c r="DI107">
        <v>16.599299999999999</v>
      </c>
      <c r="DJ107">
        <v>9.5670699999999993</v>
      </c>
      <c r="DK107">
        <v>25.886099999999999</v>
      </c>
      <c r="DL107">
        <v>500.19299999999998</v>
      </c>
      <c r="DM107">
        <v>99.024699999999996</v>
      </c>
      <c r="DN107">
        <v>9.9864300000000003E-2</v>
      </c>
      <c r="DO107">
        <v>30.1951</v>
      </c>
      <c r="DP107">
        <v>29.9893</v>
      </c>
      <c r="DQ107">
        <v>999.9</v>
      </c>
      <c r="DR107">
        <v>0</v>
      </c>
      <c r="DS107">
        <v>0</v>
      </c>
      <c r="DT107">
        <v>10010</v>
      </c>
      <c r="DU107">
        <v>0</v>
      </c>
      <c r="DV107">
        <v>1278.07</v>
      </c>
      <c r="DW107">
        <v>-2.4109400000000001</v>
      </c>
      <c r="DX107">
        <v>7.8174999999999999</v>
      </c>
      <c r="DY107">
        <v>10.1951</v>
      </c>
      <c r="DZ107">
        <v>9.3169400000000007</v>
      </c>
      <c r="EA107">
        <v>10.0258</v>
      </c>
      <c r="EB107">
        <v>16.599299999999999</v>
      </c>
      <c r="EC107">
        <v>2.5663499999999999</v>
      </c>
      <c r="ED107">
        <v>1.64374</v>
      </c>
      <c r="EE107">
        <v>21.453499999999998</v>
      </c>
      <c r="EF107">
        <v>14.3751</v>
      </c>
      <c r="EG107">
        <v>1799.82</v>
      </c>
      <c r="EH107">
        <v>0.97799199999999997</v>
      </c>
      <c r="EI107">
        <v>2.2007800000000001E-2</v>
      </c>
      <c r="EJ107">
        <v>0</v>
      </c>
      <c r="EK107">
        <v>719.02</v>
      </c>
      <c r="EL107">
        <v>0.100005</v>
      </c>
      <c r="EM107">
        <v>16458.7</v>
      </c>
      <c r="EN107">
        <v>14861</v>
      </c>
      <c r="EO107">
        <v>49.375</v>
      </c>
      <c r="EP107">
        <v>51.5</v>
      </c>
      <c r="EQ107">
        <v>50.436999999999998</v>
      </c>
      <c r="ER107">
        <v>49.875</v>
      </c>
      <c r="ES107">
        <v>50.311999999999998</v>
      </c>
      <c r="ET107">
        <v>1760.11</v>
      </c>
      <c r="EU107">
        <v>39.61</v>
      </c>
      <c r="EV107">
        <v>0</v>
      </c>
      <c r="EW107">
        <v>115.19999980926509</v>
      </c>
      <c r="EX107">
        <v>0</v>
      </c>
      <c r="EY107">
        <v>719.93799999999999</v>
      </c>
      <c r="EZ107">
        <v>2.1192306719343419</v>
      </c>
      <c r="FA107">
        <v>-252.43846141201621</v>
      </c>
      <c r="FB107">
        <v>16458.580000000002</v>
      </c>
      <c r="FC107">
        <v>15</v>
      </c>
      <c r="FD107">
        <v>1691182733.5999999</v>
      </c>
      <c r="FE107" t="s">
        <v>882</v>
      </c>
      <c r="FF107">
        <v>1691182721.5999999</v>
      </c>
      <c r="FG107">
        <v>1691182733.5999999</v>
      </c>
      <c r="FH107">
        <v>107</v>
      </c>
      <c r="FI107">
        <v>-4.9000000000000002E-2</v>
      </c>
      <c r="FJ107">
        <v>-3.0000000000000001E-3</v>
      </c>
      <c r="FK107">
        <v>-1.962</v>
      </c>
      <c r="FL107">
        <v>-0.154</v>
      </c>
      <c r="FM107">
        <v>10</v>
      </c>
      <c r="FN107">
        <v>17</v>
      </c>
      <c r="FO107">
        <v>1.1200000000000001</v>
      </c>
      <c r="FP107">
        <v>0.03</v>
      </c>
      <c r="FQ107">
        <v>1.895628606976572</v>
      </c>
      <c r="FR107">
        <v>0.16218297439316279</v>
      </c>
      <c r="FS107">
        <v>4.8742913458901513E-2</v>
      </c>
      <c r="FT107">
        <v>1</v>
      </c>
      <c r="FU107">
        <v>0.4919343635083982</v>
      </c>
      <c r="FV107">
        <v>4.7910075234542812E-2</v>
      </c>
      <c r="FW107">
        <v>4.2967931968088133E-3</v>
      </c>
      <c r="FX107">
        <v>1</v>
      </c>
      <c r="FY107">
        <v>2</v>
      </c>
      <c r="FZ107">
        <v>2</v>
      </c>
      <c r="GA107" t="s">
        <v>421</v>
      </c>
      <c r="GB107">
        <v>2.9144999999999999</v>
      </c>
      <c r="GC107">
        <v>2.8298399999999999</v>
      </c>
      <c r="GD107">
        <v>2.6270199999999999E-3</v>
      </c>
      <c r="GE107">
        <v>2.6907599999999999E-3</v>
      </c>
      <c r="GF107">
        <v>0.123709</v>
      </c>
      <c r="GG107">
        <v>8.6799899999999999E-2</v>
      </c>
      <c r="GH107">
        <v>25814.6</v>
      </c>
      <c r="GI107">
        <v>31887.9</v>
      </c>
      <c r="GJ107">
        <v>23324.6</v>
      </c>
      <c r="GK107">
        <v>29331.5</v>
      </c>
      <c r="GL107">
        <v>27909.599999999999</v>
      </c>
      <c r="GM107">
        <v>38102.6</v>
      </c>
      <c r="GN107">
        <v>33000.800000000003</v>
      </c>
      <c r="GO107">
        <v>43517.4</v>
      </c>
      <c r="GP107">
        <v>1.9087000000000001</v>
      </c>
      <c r="GQ107">
        <v>1.6919</v>
      </c>
      <c r="GR107">
        <v>-7.5608499999999995E-2</v>
      </c>
      <c r="GS107">
        <v>0</v>
      </c>
      <c r="GT107">
        <v>31.218399999999999</v>
      </c>
      <c r="GU107">
        <v>999.9</v>
      </c>
      <c r="GV107">
        <v>29.7</v>
      </c>
      <c r="GW107">
        <v>44</v>
      </c>
      <c r="GX107">
        <v>27.450800000000001</v>
      </c>
      <c r="GY107">
        <v>61.786099999999998</v>
      </c>
      <c r="GZ107">
        <v>35.240400000000001</v>
      </c>
      <c r="HA107">
        <v>1</v>
      </c>
      <c r="HB107">
        <v>0.82317099999999999</v>
      </c>
      <c r="HC107">
        <v>6.5978300000000001</v>
      </c>
      <c r="HD107">
        <v>20.141999999999999</v>
      </c>
      <c r="HE107">
        <v>5.2100999999999997</v>
      </c>
      <c r="HF107">
        <v>11.8782</v>
      </c>
      <c r="HG107">
        <v>4.9832000000000001</v>
      </c>
      <c r="HH107">
        <v>3.2839999999999998</v>
      </c>
      <c r="HI107">
        <v>9999</v>
      </c>
      <c r="HJ107">
        <v>9999</v>
      </c>
      <c r="HK107">
        <v>9999</v>
      </c>
      <c r="HL107">
        <v>999.9</v>
      </c>
      <c r="HM107">
        <v>1.85486</v>
      </c>
      <c r="HN107">
        <v>1.86086</v>
      </c>
      <c r="HO107">
        <v>1.8582000000000001</v>
      </c>
      <c r="HP107">
        <v>1.8593599999999999</v>
      </c>
      <c r="HQ107">
        <v>1.85869</v>
      </c>
      <c r="HR107">
        <v>1.85928</v>
      </c>
      <c r="HS107">
        <v>1.85758</v>
      </c>
      <c r="HT107">
        <v>1.86093</v>
      </c>
      <c r="HU107">
        <v>5</v>
      </c>
      <c r="HV107">
        <v>0</v>
      </c>
      <c r="HW107">
        <v>0</v>
      </c>
      <c r="HX107">
        <v>0</v>
      </c>
      <c r="HY107" t="s">
        <v>422</v>
      </c>
      <c r="HZ107" t="s">
        <v>423</v>
      </c>
      <c r="IA107" t="s">
        <v>424</v>
      </c>
      <c r="IB107" t="s">
        <v>424</v>
      </c>
      <c r="IC107" t="s">
        <v>424</v>
      </c>
      <c r="ID107" t="s">
        <v>424</v>
      </c>
      <c r="IE107">
        <v>0</v>
      </c>
      <c r="IF107">
        <v>100</v>
      </c>
      <c r="IG107">
        <v>100</v>
      </c>
      <c r="IH107">
        <v>-1.952</v>
      </c>
      <c r="II107">
        <v>3.0099999999999998E-2</v>
      </c>
      <c r="IJ107">
        <v>-1.912890695830971</v>
      </c>
      <c r="IK107">
        <v>-4.1229525807901877E-3</v>
      </c>
      <c r="IL107">
        <v>1.8448211998558991E-6</v>
      </c>
      <c r="IM107">
        <v>-3.7020276670297668E-10</v>
      </c>
      <c r="IN107">
        <v>-0.21294923799112481</v>
      </c>
      <c r="IO107">
        <v>-1.3488639696665739E-2</v>
      </c>
      <c r="IP107">
        <v>1.1588640342490499E-3</v>
      </c>
      <c r="IQ107">
        <v>-1.0624341560077559E-5</v>
      </c>
      <c r="IR107">
        <v>2</v>
      </c>
      <c r="IS107">
        <v>1915</v>
      </c>
      <c r="IT107">
        <v>1</v>
      </c>
      <c r="IU107">
        <v>42</v>
      </c>
      <c r="IV107">
        <v>0.8</v>
      </c>
      <c r="IW107">
        <v>0.6</v>
      </c>
      <c r="IX107">
        <v>0.166016</v>
      </c>
      <c r="IY107">
        <v>2.5683600000000002</v>
      </c>
      <c r="IZ107">
        <v>1.49414</v>
      </c>
      <c r="JA107">
        <v>2.2863799999999999</v>
      </c>
      <c r="JB107">
        <v>1.54419</v>
      </c>
      <c r="JC107">
        <v>2.4023400000000001</v>
      </c>
      <c r="JD107">
        <v>47.331800000000001</v>
      </c>
      <c r="JE107">
        <v>23.8598</v>
      </c>
      <c r="JF107">
        <v>18</v>
      </c>
      <c r="JG107">
        <v>511.245</v>
      </c>
      <c r="JH107">
        <v>395.995</v>
      </c>
      <c r="JI107">
        <v>22.0852</v>
      </c>
      <c r="JJ107">
        <v>37.157800000000002</v>
      </c>
      <c r="JK107">
        <v>30.000599999999999</v>
      </c>
      <c r="JL107">
        <v>37.100999999999999</v>
      </c>
      <c r="JM107">
        <v>37.071899999999999</v>
      </c>
      <c r="JN107">
        <v>3.38523</v>
      </c>
      <c r="JO107">
        <v>40.773800000000001</v>
      </c>
      <c r="JP107">
        <v>0</v>
      </c>
      <c r="JQ107">
        <v>22.071400000000001</v>
      </c>
      <c r="JR107">
        <v>10</v>
      </c>
      <c r="JS107">
        <v>16.432300000000001</v>
      </c>
      <c r="JT107">
        <v>97.8506</v>
      </c>
      <c r="JU107">
        <v>97.819500000000005</v>
      </c>
    </row>
    <row r="108" spans="1:281" x14ac:dyDescent="0.25">
      <c r="A108">
        <v>92</v>
      </c>
      <c r="B108">
        <v>1691182918.0999999</v>
      </c>
      <c r="C108">
        <v>23672.5</v>
      </c>
      <c r="D108" t="s">
        <v>883</v>
      </c>
      <c r="E108" t="s">
        <v>884</v>
      </c>
      <c r="F108" t="s">
        <v>413</v>
      </c>
      <c r="G108" t="s">
        <v>708</v>
      </c>
      <c r="H108" t="s">
        <v>637</v>
      </c>
      <c r="I108" t="s">
        <v>31</v>
      </c>
      <c r="J108">
        <v>1691182918.0999999</v>
      </c>
      <c r="K108">
        <f t="shared" si="92"/>
        <v>7.5468439551490919E-3</v>
      </c>
      <c r="L108">
        <f t="shared" si="93"/>
        <v>7.5468439551490922</v>
      </c>
      <c r="M108">
        <f t="shared" si="94"/>
        <v>41.88973613624578</v>
      </c>
      <c r="N108">
        <f t="shared" si="95"/>
        <v>346.66899999999998</v>
      </c>
      <c r="O108">
        <f t="shared" si="96"/>
        <v>183.75689618625853</v>
      </c>
      <c r="P108">
        <f t="shared" si="97"/>
        <v>18.214939637112806</v>
      </c>
      <c r="Q108">
        <f t="shared" si="98"/>
        <v>34.363634998807001</v>
      </c>
      <c r="R108">
        <f t="shared" si="99"/>
        <v>0.46356286903577459</v>
      </c>
      <c r="S108">
        <f t="shared" si="100"/>
        <v>2.9084446651323179</v>
      </c>
      <c r="T108">
        <f t="shared" si="101"/>
        <v>0.42608387307382828</v>
      </c>
      <c r="U108">
        <f t="shared" si="102"/>
        <v>0.26941679496430082</v>
      </c>
      <c r="V108">
        <f t="shared" si="103"/>
        <v>344.35189999339786</v>
      </c>
      <c r="W108">
        <f t="shared" si="104"/>
        <v>30.311035123038106</v>
      </c>
      <c r="X108">
        <f t="shared" si="105"/>
        <v>30.057700000000001</v>
      </c>
      <c r="Y108">
        <f t="shared" si="106"/>
        <v>4.2745903371054101</v>
      </c>
      <c r="Z108">
        <f t="shared" si="107"/>
        <v>59.709552673833954</v>
      </c>
      <c r="AA108">
        <f t="shared" si="108"/>
        <v>2.5795748077502001</v>
      </c>
      <c r="AB108">
        <f t="shared" si="109"/>
        <v>4.3202045438880452</v>
      </c>
      <c r="AC108">
        <f t="shared" si="110"/>
        <v>1.69501552935521</v>
      </c>
      <c r="AD108">
        <f t="shared" si="111"/>
        <v>-332.81581842207493</v>
      </c>
      <c r="AE108">
        <f t="shared" si="112"/>
        <v>29.008012725523304</v>
      </c>
      <c r="AF108">
        <f t="shared" si="113"/>
        <v>2.2209664456924365</v>
      </c>
      <c r="AG108">
        <f t="shared" si="114"/>
        <v>42.765060742538694</v>
      </c>
      <c r="AH108">
        <v>0</v>
      </c>
      <c r="AI108">
        <v>0</v>
      </c>
      <c r="AJ108">
        <f t="shared" si="115"/>
        <v>1</v>
      </c>
      <c r="AK108">
        <f t="shared" si="116"/>
        <v>0</v>
      </c>
      <c r="AL108">
        <f t="shared" si="117"/>
        <v>51689.65900925469</v>
      </c>
      <c r="AM108" t="s">
        <v>416</v>
      </c>
      <c r="AN108">
        <v>10235.299999999999</v>
      </c>
      <c r="AO108">
        <v>594.051923076923</v>
      </c>
      <c r="AP108">
        <v>2007.77</v>
      </c>
      <c r="AQ108">
        <f t="shared" si="118"/>
        <v>0.70412351859180933</v>
      </c>
      <c r="AR108">
        <v>-0.54275787784279261</v>
      </c>
      <c r="AS108" t="s">
        <v>885</v>
      </c>
      <c r="AT108">
        <v>10204.6</v>
      </c>
      <c r="AU108">
        <v>688.24139999999989</v>
      </c>
      <c r="AV108">
        <v>996.3874715775836</v>
      </c>
      <c r="AW108">
        <f t="shared" si="119"/>
        <v>0.30926329401723107</v>
      </c>
      <c r="AX108">
        <v>0.5</v>
      </c>
      <c r="AY108">
        <f t="shared" si="120"/>
        <v>1513.0790999966989</v>
      </c>
      <c r="AZ108">
        <f t="shared" si="121"/>
        <v>41.88973613624578</v>
      </c>
      <c r="BA108">
        <f t="shared" si="122"/>
        <v>233.96991328680323</v>
      </c>
      <c r="BB108">
        <f t="shared" si="123"/>
        <v>2.8043804196476674E-2</v>
      </c>
      <c r="BC108">
        <f t="shared" si="124"/>
        <v>1.0150494233142966</v>
      </c>
      <c r="BD108">
        <f t="shared" si="125"/>
        <v>456.84731174268444</v>
      </c>
      <c r="BE108" t="s">
        <v>886</v>
      </c>
      <c r="BF108">
        <v>537.28</v>
      </c>
      <c r="BG108">
        <f t="shared" si="126"/>
        <v>537.28</v>
      </c>
      <c r="BH108">
        <f t="shared" si="127"/>
        <v>0.46077202360912595</v>
      </c>
      <c r="BI108">
        <f t="shared" si="128"/>
        <v>0.67118505067829359</v>
      </c>
      <c r="BJ108">
        <f t="shared" si="129"/>
        <v>0.68778606343628068</v>
      </c>
      <c r="BK108">
        <f t="shared" si="130"/>
        <v>0.7658932269990002</v>
      </c>
      <c r="BL108">
        <f t="shared" si="131"/>
        <v>0.71540609470288863</v>
      </c>
      <c r="BM108">
        <f t="shared" si="132"/>
        <v>0.52396485307107887</v>
      </c>
      <c r="BN108">
        <f t="shared" si="133"/>
        <v>0.47603514692892113</v>
      </c>
      <c r="BO108">
        <v>12651</v>
      </c>
      <c r="BP108">
        <v>290.00000000000011</v>
      </c>
      <c r="BQ108">
        <v>897.86</v>
      </c>
      <c r="BR108">
        <v>275</v>
      </c>
      <c r="BS108">
        <v>10204.6</v>
      </c>
      <c r="BT108">
        <v>900.03</v>
      </c>
      <c r="BU108">
        <v>-2.17</v>
      </c>
      <c r="BV108">
        <v>300.00000000000011</v>
      </c>
      <c r="BW108">
        <v>24.2</v>
      </c>
      <c r="BX108">
        <v>996.3874715775836</v>
      </c>
      <c r="BY108">
        <v>2.9425793179397761</v>
      </c>
      <c r="BZ108">
        <v>-98.328270529272842</v>
      </c>
      <c r="CA108">
        <v>2.6741562665351499</v>
      </c>
      <c r="CB108">
        <v>0.9797104445167899</v>
      </c>
      <c r="CC108">
        <v>-6.9730322580645208E-3</v>
      </c>
      <c r="CD108">
        <v>289.99999999999989</v>
      </c>
      <c r="CE108">
        <v>888.89</v>
      </c>
      <c r="CF108">
        <v>625</v>
      </c>
      <c r="CG108">
        <v>10188.200000000001</v>
      </c>
      <c r="CH108">
        <v>899.88</v>
      </c>
      <c r="CI108">
        <v>-10.99</v>
      </c>
      <c r="CW108">
        <f t="shared" si="134"/>
        <v>1799.87</v>
      </c>
      <c r="CX108">
        <f t="shared" si="135"/>
        <v>1513.0790999966989</v>
      </c>
      <c r="CY108">
        <f t="shared" si="136"/>
        <v>0.84066021434698002</v>
      </c>
      <c r="CZ108">
        <f t="shared" si="137"/>
        <v>0.19132042869396004</v>
      </c>
      <c r="DA108">
        <v>6</v>
      </c>
      <c r="DB108">
        <v>0.5</v>
      </c>
      <c r="DC108" t="s">
        <v>419</v>
      </c>
      <c r="DD108">
        <v>2</v>
      </c>
      <c r="DE108">
        <v>1691182918.0999999</v>
      </c>
      <c r="DF108">
        <v>346.66899999999998</v>
      </c>
      <c r="DG108">
        <v>400.05900000000003</v>
      </c>
      <c r="DH108">
        <v>26.023399999999999</v>
      </c>
      <c r="DI108">
        <v>17.2057</v>
      </c>
      <c r="DJ108">
        <v>349.596</v>
      </c>
      <c r="DK108">
        <v>25.991099999999999</v>
      </c>
      <c r="DL108">
        <v>500.161</v>
      </c>
      <c r="DM108">
        <v>99.024600000000007</v>
      </c>
      <c r="DN108">
        <v>0.100603</v>
      </c>
      <c r="DO108">
        <v>30.242699999999999</v>
      </c>
      <c r="DP108">
        <v>30.057700000000001</v>
      </c>
      <c r="DQ108">
        <v>999.9</v>
      </c>
      <c r="DR108">
        <v>0</v>
      </c>
      <c r="DS108">
        <v>0</v>
      </c>
      <c r="DT108">
        <v>9977.5</v>
      </c>
      <c r="DU108">
        <v>0</v>
      </c>
      <c r="DV108">
        <v>1262.42</v>
      </c>
      <c r="DW108">
        <v>-53.390099999999997</v>
      </c>
      <c r="DX108">
        <v>355.93099999999998</v>
      </c>
      <c r="DY108">
        <v>407.06200000000001</v>
      </c>
      <c r="DZ108">
        <v>8.8176699999999997</v>
      </c>
      <c r="EA108">
        <v>400.05900000000003</v>
      </c>
      <c r="EB108">
        <v>17.2057</v>
      </c>
      <c r="EC108">
        <v>2.5769500000000001</v>
      </c>
      <c r="ED108">
        <v>1.7037899999999999</v>
      </c>
      <c r="EE108">
        <v>21.520900000000001</v>
      </c>
      <c r="EF108">
        <v>14.930999999999999</v>
      </c>
      <c r="EG108">
        <v>1799.87</v>
      </c>
      <c r="EH108">
        <v>0.97799199999999997</v>
      </c>
      <c r="EI108">
        <v>2.2007800000000001E-2</v>
      </c>
      <c r="EJ108">
        <v>0</v>
      </c>
      <c r="EK108">
        <v>686.28</v>
      </c>
      <c r="EL108">
        <v>0.100005</v>
      </c>
      <c r="EM108">
        <v>15841.7</v>
      </c>
      <c r="EN108">
        <v>14861.4</v>
      </c>
      <c r="EO108">
        <v>49.311999999999998</v>
      </c>
      <c r="EP108">
        <v>51.375</v>
      </c>
      <c r="EQ108">
        <v>50.375</v>
      </c>
      <c r="ER108">
        <v>49.811999999999998</v>
      </c>
      <c r="ES108">
        <v>50.25</v>
      </c>
      <c r="ET108">
        <v>1760.16</v>
      </c>
      <c r="EU108">
        <v>39.61</v>
      </c>
      <c r="EV108">
        <v>0</v>
      </c>
      <c r="EW108">
        <v>147.5999999046326</v>
      </c>
      <c r="EX108">
        <v>0</v>
      </c>
      <c r="EY108">
        <v>688.24139999999989</v>
      </c>
      <c r="EZ108">
        <v>-15.19230766289809</v>
      </c>
      <c r="FA108">
        <v>-206.89230722807349</v>
      </c>
      <c r="FB108">
        <v>15862.248</v>
      </c>
      <c r="FC108">
        <v>15</v>
      </c>
      <c r="FD108">
        <v>1691182877.5999999</v>
      </c>
      <c r="FE108" t="s">
        <v>887</v>
      </c>
      <c r="FF108">
        <v>1691182864.5999999</v>
      </c>
      <c r="FG108">
        <v>1691182877.5999999</v>
      </c>
      <c r="FH108">
        <v>108</v>
      </c>
      <c r="FI108">
        <v>0.217</v>
      </c>
      <c r="FJ108">
        <v>-1E-3</v>
      </c>
      <c r="FK108">
        <v>-3.0830000000000002</v>
      </c>
      <c r="FL108">
        <v>-0.156</v>
      </c>
      <c r="FM108">
        <v>400</v>
      </c>
      <c r="FN108">
        <v>17</v>
      </c>
      <c r="FO108">
        <v>0.21</v>
      </c>
      <c r="FP108">
        <v>0.02</v>
      </c>
      <c r="FQ108">
        <v>41.837176641055912</v>
      </c>
      <c r="FR108">
        <v>0.60689700257376789</v>
      </c>
      <c r="FS108">
        <v>7.1219349935318796E-2</v>
      </c>
      <c r="FT108">
        <v>1</v>
      </c>
      <c r="FU108">
        <v>0.45911195068376898</v>
      </c>
      <c r="FV108">
        <v>2.4185489587954939E-2</v>
      </c>
      <c r="FW108">
        <v>2.1346457404175321E-3</v>
      </c>
      <c r="FX108">
        <v>1</v>
      </c>
      <c r="FY108">
        <v>2</v>
      </c>
      <c r="FZ108">
        <v>2</v>
      </c>
      <c r="GA108" t="s">
        <v>421</v>
      </c>
      <c r="GB108">
        <v>2.9144999999999999</v>
      </c>
      <c r="GC108">
        <v>2.8302900000000002</v>
      </c>
      <c r="GD108">
        <v>8.0070699999999995E-2</v>
      </c>
      <c r="GE108">
        <v>8.7260799999999999E-2</v>
      </c>
      <c r="GF108">
        <v>0.12407799999999999</v>
      </c>
      <c r="GG108">
        <v>8.9107900000000004E-2</v>
      </c>
      <c r="GH108">
        <v>23816.400000000001</v>
      </c>
      <c r="GI108">
        <v>29190.9</v>
      </c>
      <c r="GJ108">
        <v>23326.2</v>
      </c>
      <c r="GK108">
        <v>29333.7</v>
      </c>
      <c r="GL108">
        <v>27907.5</v>
      </c>
      <c r="GM108">
        <v>38020.400000000001</v>
      </c>
      <c r="GN108">
        <v>33004.300000000003</v>
      </c>
      <c r="GO108">
        <v>43521.3</v>
      </c>
      <c r="GP108">
        <v>1.9095</v>
      </c>
      <c r="GQ108">
        <v>1.6959</v>
      </c>
      <c r="GR108">
        <v>-6.8038699999999994E-2</v>
      </c>
      <c r="GS108">
        <v>0</v>
      </c>
      <c r="GT108">
        <v>31.163799999999998</v>
      </c>
      <c r="GU108">
        <v>999.9</v>
      </c>
      <c r="GV108">
        <v>29.6</v>
      </c>
      <c r="GW108">
        <v>43.9</v>
      </c>
      <c r="GX108">
        <v>27.217600000000001</v>
      </c>
      <c r="GY108">
        <v>61.876100000000001</v>
      </c>
      <c r="GZ108">
        <v>35.072099999999999</v>
      </c>
      <c r="HA108">
        <v>1</v>
      </c>
      <c r="HB108">
        <v>0.81695099999999998</v>
      </c>
      <c r="HC108">
        <v>6.6178299999999997</v>
      </c>
      <c r="HD108">
        <v>20.140499999999999</v>
      </c>
      <c r="HE108">
        <v>5.2112999999999996</v>
      </c>
      <c r="HF108">
        <v>11.8782</v>
      </c>
      <c r="HG108">
        <v>4.9837999999999996</v>
      </c>
      <c r="HH108">
        <v>3.2839999999999998</v>
      </c>
      <c r="HI108">
        <v>9999</v>
      </c>
      <c r="HJ108">
        <v>9999</v>
      </c>
      <c r="HK108">
        <v>9999</v>
      </c>
      <c r="HL108">
        <v>999.9</v>
      </c>
      <c r="HM108">
        <v>1.85486</v>
      </c>
      <c r="HN108">
        <v>1.8609100000000001</v>
      </c>
      <c r="HO108">
        <v>1.85822</v>
      </c>
      <c r="HP108">
        <v>1.85938</v>
      </c>
      <c r="HQ108">
        <v>1.8587199999999999</v>
      </c>
      <c r="HR108">
        <v>1.85928</v>
      </c>
      <c r="HS108">
        <v>1.8575999999999999</v>
      </c>
      <c r="HT108">
        <v>1.86093</v>
      </c>
      <c r="HU108">
        <v>5</v>
      </c>
      <c r="HV108">
        <v>0</v>
      </c>
      <c r="HW108">
        <v>0</v>
      </c>
      <c r="HX108">
        <v>0</v>
      </c>
      <c r="HY108" t="s">
        <v>422</v>
      </c>
      <c r="HZ108" t="s">
        <v>423</v>
      </c>
      <c r="IA108" t="s">
        <v>424</v>
      </c>
      <c r="IB108" t="s">
        <v>424</v>
      </c>
      <c r="IC108" t="s">
        <v>424</v>
      </c>
      <c r="ID108" t="s">
        <v>424</v>
      </c>
      <c r="IE108">
        <v>0</v>
      </c>
      <c r="IF108">
        <v>100</v>
      </c>
      <c r="IG108">
        <v>100</v>
      </c>
      <c r="IH108">
        <v>-2.927</v>
      </c>
      <c r="II108">
        <v>3.2300000000000002E-2</v>
      </c>
      <c r="IJ108">
        <v>-1.6960931992200929</v>
      </c>
      <c r="IK108">
        <v>-4.1229525807901877E-3</v>
      </c>
      <c r="IL108">
        <v>1.8448211998558991E-6</v>
      </c>
      <c r="IM108">
        <v>-3.7020276670297668E-10</v>
      </c>
      <c r="IN108">
        <v>-0.2134683665227374</v>
      </c>
      <c r="IO108">
        <v>-1.3488639696665739E-2</v>
      </c>
      <c r="IP108">
        <v>1.1588640342490499E-3</v>
      </c>
      <c r="IQ108">
        <v>-1.0624341560077559E-5</v>
      </c>
      <c r="IR108">
        <v>2</v>
      </c>
      <c r="IS108">
        <v>1915</v>
      </c>
      <c r="IT108">
        <v>1</v>
      </c>
      <c r="IU108">
        <v>42</v>
      </c>
      <c r="IV108">
        <v>0.9</v>
      </c>
      <c r="IW108">
        <v>0.7</v>
      </c>
      <c r="IX108">
        <v>1.0083</v>
      </c>
      <c r="IY108">
        <v>2.49878</v>
      </c>
      <c r="IZ108">
        <v>1.49414</v>
      </c>
      <c r="JA108">
        <v>2.2863799999999999</v>
      </c>
      <c r="JB108">
        <v>1.54419</v>
      </c>
      <c r="JC108">
        <v>2.4060100000000002</v>
      </c>
      <c r="JD108">
        <v>47.361699999999999</v>
      </c>
      <c r="JE108">
        <v>23.8598</v>
      </c>
      <c r="JF108">
        <v>18</v>
      </c>
      <c r="JG108">
        <v>511.31299999999999</v>
      </c>
      <c r="JH108">
        <v>398.14699999999999</v>
      </c>
      <c r="JI108">
        <v>22.150600000000001</v>
      </c>
      <c r="JJ108">
        <v>37.0809</v>
      </c>
      <c r="JK108">
        <v>29.999500000000001</v>
      </c>
      <c r="JL108">
        <v>37.038800000000002</v>
      </c>
      <c r="JM108">
        <v>37.009700000000002</v>
      </c>
      <c r="JN108">
        <v>20.251799999999999</v>
      </c>
      <c r="JO108">
        <v>37.814399999999999</v>
      </c>
      <c r="JP108">
        <v>0</v>
      </c>
      <c r="JQ108">
        <v>22.153099999999998</v>
      </c>
      <c r="JR108">
        <v>400</v>
      </c>
      <c r="JS108">
        <v>17.095300000000002</v>
      </c>
      <c r="JT108">
        <v>97.8596</v>
      </c>
      <c r="JU108">
        <v>97.827799999999996</v>
      </c>
    </row>
    <row r="109" spans="1:281" x14ac:dyDescent="0.25">
      <c r="A109">
        <v>93</v>
      </c>
      <c r="B109">
        <v>1691183108.0999999</v>
      </c>
      <c r="C109">
        <v>23862.5</v>
      </c>
      <c r="D109" t="s">
        <v>888</v>
      </c>
      <c r="E109" t="s">
        <v>889</v>
      </c>
      <c r="F109" t="s">
        <v>413</v>
      </c>
      <c r="G109" t="s">
        <v>708</v>
      </c>
      <c r="H109" t="s">
        <v>637</v>
      </c>
      <c r="I109" t="s">
        <v>31</v>
      </c>
      <c r="J109">
        <v>1691183108.0999999</v>
      </c>
      <c r="K109">
        <f t="shared" si="92"/>
        <v>7.0493125091398079E-3</v>
      </c>
      <c r="L109">
        <f t="shared" si="93"/>
        <v>7.0493125091398081</v>
      </c>
      <c r="M109">
        <f t="shared" si="94"/>
        <v>44.687981589859888</v>
      </c>
      <c r="N109">
        <f t="shared" si="95"/>
        <v>343.56799999999998</v>
      </c>
      <c r="O109">
        <f t="shared" si="96"/>
        <v>138.49196521408885</v>
      </c>
      <c r="P109">
        <f t="shared" si="97"/>
        <v>13.728798669941982</v>
      </c>
      <c r="Q109">
        <f t="shared" si="98"/>
        <v>34.058119502768001</v>
      </c>
      <c r="R109">
        <f t="shared" si="99"/>
        <v>0.38454690376178541</v>
      </c>
      <c r="S109">
        <f t="shared" si="100"/>
        <v>2.910733489105449</v>
      </c>
      <c r="T109">
        <f t="shared" si="101"/>
        <v>0.3583883949604707</v>
      </c>
      <c r="U109">
        <f t="shared" si="102"/>
        <v>0.22619452979844873</v>
      </c>
      <c r="V109">
        <f t="shared" si="103"/>
        <v>344.39939999339879</v>
      </c>
      <c r="W109">
        <f t="shared" si="104"/>
        <v>30.253168182406274</v>
      </c>
      <c r="X109">
        <f t="shared" si="105"/>
        <v>30.0869</v>
      </c>
      <c r="Y109">
        <f t="shared" si="106"/>
        <v>4.2817619678892145</v>
      </c>
      <c r="Z109">
        <f t="shared" si="107"/>
        <v>56.099333236199413</v>
      </c>
      <c r="AA109">
        <f t="shared" si="108"/>
        <v>2.3976036642812999</v>
      </c>
      <c r="AB109">
        <f t="shared" si="109"/>
        <v>4.2738541190614185</v>
      </c>
      <c r="AC109">
        <f t="shared" si="110"/>
        <v>1.8841583036079146</v>
      </c>
      <c r="AD109">
        <f t="shared" si="111"/>
        <v>-310.87468165306552</v>
      </c>
      <c r="AE109">
        <f t="shared" si="112"/>
        <v>-5.0529355364417574</v>
      </c>
      <c r="AF109">
        <f t="shared" si="113"/>
        <v>-0.38626451283678714</v>
      </c>
      <c r="AG109">
        <f t="shared" si="114"/>
        <v>28.085518291054747</v>
      </c>
      <c r="AH109">
        <v>0</v>
      </c>
      <c r="AI109">
        <v>0</v>
      </c>
      <c r="AJ109">
        <f t="shared" si="115"/>
        <v>1</v>
      </c>
      <c r="AK109">
        <f t="shared" si="116"/>
        <v>0</v>
      </c>
      <c r="AL109">
        <f t="shared" si="117"/>
        <v>51786.878737082996</v>
      </c>
      <c r="AM109" t="s">
        <v>416</v>
      </c>
      <c r="AN109">
        <v>10235.299999999999</v>
      </c>
      <c r="AO109">
        <v>594.051923076923</v>
      </c>
      <c r="AP109">
        <v>2007.77</v>
      </c>
      <c r="AQ109">
        <f t="shared" si="118"/>
        <v>0.70412351859180933</v>
      </c>
      <c r="AR109">
        <v>-0.54275787784279261</v>
      </c>
      <c r="AS109" t="s">
        <v>890</v>
      </c>
      <c r="AT109">
        <v>10204.6</v>
      </c>
      <c r="AU109">
        <v>690.90557692307686</v>
      </c>
      <c r="AV109">
        <v>1037.728889104214</v>
      </c>
      <c r="AW109">
        <f t="shared" si="119"/>
        <v>0.33421379690076969</v>
      </c>
      <c r="AX109">
        <v>0.5</v>
      </c>
      <c r="AY109">
        <f t="shared" si="120"/>
        <v>1513.2890999966996</v>
      </c>
      <c r="AZ109">
        <f t="shared" si="121"/>
        <v>44.687981589859888</v>
      </c>
      <c r="BA109">
        <f t="shared" si="122"/>
        <v>252.88104795922277</v>
      </c>
      <c r="BB109">
        <f t="shared" si="123"/>
        <v>2.9889027461970967E-2</v>
      </c>
      <c r="BC109">
        <f t="shared" si="124"/>
        <v>0.93477315807709926</v>
      </c>
      <c r="BD109">
        <f t="shared" si="125"/>
        <v>465.34736269690842</v>
      </c>
      <c r="BE109" t="s">
        <v>891</v>
      </c>
      <c r="BF109">
        <v>541.17999999999995</v>
      </c>
      <c r="BG109">
        <f t="shared" si="126"/>
        <v>541.17999999999995</v>
      </c>
      <c r="BH109">
        <f t="shared" si="127"/>
        <v>0.4784957750697717</v>
      </c>
      <c r="BI109">
        <f t="shared" si="128"/>
        <v>0.69846760267013097</v>
      </c>
      <c r="BJ109">
        <f t="shared" si="129"/>
        <v>0.66142624107336467</v>
      </c>
      <c r="BK109">
        <f t="shared" si="130"/>
        <v>0.78170231663503509</v>
      </c>
      <c r="BL109">
        <f t="shared" si="131"/>
        <v>0.68616305240084141</v>
      </c>
      <c r="BM109">
        <f t="shared" si="132"/>
        <v>0.54710326539324827</v>
      </c>
      <c r="BN109">
        <f t="shared" si="133"/>
        <v>0.45289673460675173</v>
      </c>
      <c r="BO109">
        <v>12653</v>
      </c>
      <c r="BP109">
        <v>290.00000000000011</v>
      </c>
      <c r="BQ109">
        <v>928.93</v>
      </c>
      <c r="BR109">
        <v>275</v>
      </c>
      <c r="BS109">
        <v>10204.6</v>
      </c>
      <c r="BT109">
        <v>928.42</v>
      </c>
      <c r="BU109">
        <v>0.51</v>
      </c>
      <c r="BV109">
        <v>300.00000000000011</v>
      </c>
      <c r="BW109">
        <v>24.2</v>
      </c>
      <c r="BX109">
        <v>1037.728889104214</v>
      </c>
      <c r="BY109">
        <v>2.7384444118693629</v>
      </c>
      <c r="BZ109">
        <v>-111.5489694085326</v>
      </c>
      <c r="CA109">
        <v>2.488623550214597</v>
      </c>
      <c r="CB109">
        <v>0.98625531857079918</v>
      </c>
      <c r="CC109">
        <v>-6.9731646273637404E-3</v>
      </c>
      <c r="CD109">
        <v>289.99999999999989</v>
      </c>
      <c r="CE109">
        <v>919.01</v>
      </c>
      <c r="CF109">
        <v>625</v>
      </c>
      <c r="CG109">
        <v>10188.1</v>
      </c>
      <c r="CH109">
        <v>928.24</v>
      </c>
      <c r="CI109">
        <v>-9.23</v>
      </c>
      <c r="CW109">
        <f t="shared" si="134"/>
        <v>1800.12</v>
      </c>
      <c r="CX109">
        <f t="shared" si="135"/>
        <v>1513.2890999966996</v>
      </c>
      <c r="CY109">
        <f t="shared" si="136"/>
        <v>0.84066012265665602</v>
      </c>
      <c r="CZ109">
        <f t="shared" si="137"/>
        <v>0.19132024531331179</v>
      </c>
      <c r="DA109">
        <v>6</v>
      </c>
      <c r="DB109">
        <v>0.5</v>
      </c>
      <c r="DC109" t="s">
        <v>419</v>
      </c>
      <c r="DD109">
        <v>2</v>
      </c>
      <c r="DE109">
        <v>1691183108.0999999</v>
      </c>
      <c r="DF109">
        <v>343.56799999999998</v>
      </c>
      <c r="DG109">
        <v>400.07400000000001</v>
      </c>
      <c r="DH109">
        <v>24.186299999999999</v>
      </c>
      <c r="DI109">
        <v>15.935499999999999</v>
      </c>
      <c r="DJ109">
        <v>346.58</v>
      </c>
      <c r="DK109">
        <v>24.192499999999999</v>
      </c>
      <c r="DL109">
        <v>500.22899999999998</v>
      </c>
      <c r="DM109">
        <v>99.030299999999997</v>
      </c>
      <c r="DN109">
        <v>0.100351</v>
      </c>
      <c r="DO109">
        <v>30.0547</v>
      </c>
      <c r="DP109">
        <v>30.0869</v>
      </c>
      <c r="DQ109">
        <v>999.9</v>
      </c>
      <c r="DR109">
        <v>0</v>
      </c>
      <c r="DS109">
        <v>0</v>
      </c>
      <c r="DT109">
        <v>9990</v>
      </c>
      <c r="DU109">
        <v>0</v>
      </c>
      <c r="DV109">
        <v>1231.1300000000001</v>
      </c>
      <c r="DW109">
        <v>-56.506100000000004</v>
      </c>
      <c r="DX109">
        <v>352.084</v>
      </c>
      <c r="DY109">
        <v>406.553</v>
      </c>
      <c r="DZ109">
        <v>8.2507800000000007</v>
      </c>
      <c r="EA109">
        <v>400.07400000000001</v>
      </c>
      <c r="EB109">
        <v>15.935499999999999</v>
      </c>
      <c r="EC109">
        <v>2.3951699999999998</v>
      </c>
      <c r="ED109">
        <v>1.57809</v>
      </c>
      <c r="EE109">
        <v>20.331199999999999</v>
      </c>
      <c r="EF109">
        <v>13.746600000000001</v>
      </c>
      <c r="EG109">
        <v>1800.12</v>
      </c>
      <c r="EH109">
        <v>0.97799599999999998</v>
      </c>
      <c r="EI109">
        <v>2.2003999999999999E-2</v>
      </c>
      <c r="EJ109">
        <v>0</v>
      </c>
      <c r="EK109">
        <v>691.08</v>
      </c>
      <c r="EL109">
        <v>0.100005</v>
      </c>
      <c r="EM109">
        <v>15919.2</v>
      </c>
      <c r="EN109">
        <v>14863.5</v>
      </c>
      <c r="EO109">
        <v>49.375</v>
      </c>
      <c r="EP109">
        <v>51.561999999999998</v>
      </c>
      <c r="EQ109">
        <v>50.436999999999998</v>
      </c>
      <c r="ER109">
        <v>49.875</v>
      </c>
      <c r="ES109">
        <v>50.25</v>
      </c>
      <c r="ET109">
        <v>1760.41</v>
      </c>
      <c r="EU109">
        <v>39.61</v>
      </c>
      <c r="EV109">
        <v>0</v>
      </c>
      <c r="EW109">
        <v>187.79999995231631</v>
      </c>
      <c r="EX109">
        <v>0</v>
      </c>
      <c r="EY109">
        <v>690.90557692307686</v>
      </c>
      <c r="EZ109">
        <v>10.49453001831052</v>
      </c>
      <c r="FA109">
        <v>190.84102568545109</v>
      </c>
      <c r="FB109">
        <v>15882.74230769231</v>
      </c>
      <c r="FC109">
        <v>15</v>
      </c>
      <c r="FD109">
        <v>1691183000.5999999</v>
      </c>
      <c r="FE109" t="s">
        <v>892</v>
      </c>
      <c r="FF109">
        <v>1691182986.0999999</v>
      </c>
      <c r="FG109">
        <v>1691183000.5999999</v>
      </c>
      <c r="FH109">
        <v>109</v>
      </c>
      <c r="FI109">
        <v>-9.1999999999999998E-2</v>
      </c>
      <c r="FJ109">
        <v>6.0000000000000001E-3</v>
      </c>
      <c r="FK109">
        <v>-3.1749999999999998</v>
      </c>
      <c r="FL109">
        <v>-0.14899999999999999</v>
      </c>
      <c r="FM109">
        <v>400</v>
      </c>
      <c r="FN109">
        <v>17</v>
      </c>
      <c r="FO109">
        <v>0.16</v>
      </c>
      <c r="FP109">
        <v>0.04</v>
      </c>
      <c r="FQ109">
        <v>44.463345192436108</v>
      </c>
      <c r="FR109">
        <v>1.614022357201244</v>
      </c>
      <c r="FS109">
        <v>0.13893946427789891</v>
      </c>
      <c r="FT109">
        <v>0</v>
      </c>
      <c r="FU109">
        <v>0.39059721721531332</v>
      </c>
      <c r="FV109">
        <v>-3.450303433526692E-2</v>
      </c>
      <c r="FW109">
        <v>3.283245725918856E-3</v>
      </c>
      <c r="FX109">
        <v>1</v>
      </c>
      <c r="FY109">
        <v>1</v>
      </c>
      <c r="FZ109">
        <v>2</v>
      </c>
      <c r="GA109" t="s">
        <v>460</v>
      </c>
      <c r="GB109">
        <v>2.9146800000000002</v>
      </c>
      <c r="GC109">
        <v>2.8301500000000002</v>
      </c>
      <c r="GD109">
        <v>7.9522899999999994E-2</v>
      </c>
      <c r="GE109">
        <v>8.7263499999999994E-2</v>
      </c>
      <c r="GF109">
        <v>0.117969</v>
      </c>
      <c r="GG109">
        <v>8.4271100000000002E-2</v>
      </c>
      <c r="GH109">
        <v>23832.1</v>
      </c>
      <c r="GI109">
        <v>29191.3</v>
      </c>
      <c r="GJ109">
        <v>23327.8</v>
      </c>
      <c r="GK109">
        <v>29334.2</v>
      </c>
      <c r="GL109">
        <v>28101.8</v>
      </c>
      <c r="GM109">
        <v>38220.400000000001</v>
      </c>
      <c r="GN109">
        <v>33005.5</v>
      </c>
      <c r="GO109">
        <v>43521.2</v>
      </c>
      <c r="GP109">
        <v>1.9103000000000001</v>
      </c>
      <c r="GQ109">
        <v>1.6931</v>
      </c>
      <c r="GR109">
        <v>-7.3313699999999996E-2</v>
      </c>
      <c r="GS109">
        <v>0</v>
      </c>
      <c r="GT109">
        <v>31.278600000000001</v>
      </c>
      <c r="GU109">
        <v>999.9</v>
      </c>
      <c r="GV109">
        <v>29.7</v>
      </c>
      <c r="GW109">
        <v>43.9</v>
      </c>
      <c r="GX109">
        <v>27.305499999999999</v>
      </c>
      <c r="GY109">
        <v>61.866100000000003</v>
      </c>
      <c r="GZ109">
        <v>35.701099999999997</v>
      </c>
      <c r="HA109">
        <v>1</v>
      </c>
      <c r="HB109">
        <v>0.82706299999999999</v>
      </c>
      <c r="HC109">
        <v>8.0281300000000009</v>
      </c>
      <c r="HD109">
        <v>20.082899999999999</v>
      </c>
      <c r="HE109">
        <v>5.2107000000000001</v>
      </c>
      <c r="HF109">
        <v>11.882400000000001</v>
      </c>
      <c r="HG109">
        <v>4.9846000000000004</v>
      </c>
      <c r="HH109">
        <v>3.2839999999999998</v>
      </c>
      <c r="HI109">
        <v>9999</v>
      </c>
      <c r="HJ109">
        <v>9999</v>
      </c>
      <c r="HK109">
        <v>9999</v>
      </c>
      <c r="HL109">
        <v>999.9</v>
      </c>
      <c r="HM109">
        <v>1.8548500000000001</v>
      </c>
      <c r="HN109">
        <v>1.86086</v>
      </c>
      <c r="HO109">
        <v>1.8582399999999999</v>
      </c>
      <c r="HP109">
        <v>1.85934</v>
      </c>
      <c r="HQ109">
        <v>1.85867</v>
      </c>
      <c r="HR109">
        <v>1.85928</v>
      </c>
      <c r="HS109">
        <v>1.8575999999999999</v>
      </c>
      <c r="HT109">
        <v>1.8609</v>
      </c>
      <c r="HU109">
        <v>5</v>
      </c>
      <c r="HV109">
        <v>0</v>
      </c>
      <c r="HW109">
        <v>0</v>
      </c>
      <c r="HX109">
        <v>0</v>
      </c>
      <c r="HY109" t="s">
        <v>422</v>
      </c>
      <c r="HZ109" t="s">
        <v>423</v>
      </c>
      <c r="IA109" t="s">
        <v>424</v>
      </c>
      <c r="IB109" t="s">
        <v>424</v>
      </c>
      <c r="IC109" t="s">
        <v>424</v>
      </c>
      <c r="ID109" t="s">
        <v>424</v>
      </c>
      <c r="IE109">
        <v>0</v>
      </c>
      <c r="IF109">
        <v>100</v>
      </c>
      <c r="IG109">
        <v>100</v>
      </c>
      <c r="IH109">
        <v>-3.012</v>
      </c>
      <c r="II109">
        <v>-6.1999999999999998E-3</v>
      </c>
      <c r="IJ109">
        <v>-1.7886511350684151</v>
      </c>
      <c r="IK109">
        <v>-4.1229525807901877E-3</v>
      </c>
      <c r="IL109">
        <v>1.8448211998558991E-6</v>
      </c>
      <c r="IM109">
        <v>-3.7020276670297668E-10</v>
      </c>
      <c r="IN109">
        <v>-0.20776434858620699</v>
      </c>
      <c r="IO109">
        <v>-1.3488639696665739E-2</v>
      </c>
      <c r="IP109">
        <v>1.1588640342490499E-3</v>
      </c>
      <c r="IQ109">
        <v>-1.0624341560077559E-5</v>
      </c>
      <c r="IR109">
        <v>2</v>
      </c>
      <c r="IS109">
        <v>1915</v>
      </c>
      <c r="IT109">
        <v>1</v>
      </c>
      <c r="IU109">
        <v>42</v>
      </c>
      <c r="IV109">
        <v>2</v>
      </c>
      <c r="IW109">
        <v>1.8</v>
      </c>
      <c r="IX109">
        <v>1.00586</v>
      </c>
      <c r="IY109">
        <v>2.49878</v>
      </c>
      <c r="IZ109">
        <v>1.49414</v>
      </c>
      <c r="JA109">
        <v>2.2863799999999999</v>
      </c>
      <c r="JB109">
        <v>1.54419</v>
      </c>
      <c r="JC109">
        <v>2.4462899999999999</v>
      </c>
      <c r="JD109">
        <v>47.361699999999999</v>
      </c>
      <c r="JE109">
        <v>23.833600000000001</v>
      </c>
      <c r="JF109">
        <v>18</v>
      </c>
      <c r="JG109">
        <v>511.64400000000001</v>
      </c>
      <c r="JH109">
        <v>396.21600000000001</v>
      </c>
      <c r="JI109">
        <v>21.011800000000001</v>
      </c>
      <c r="JJ109">
        <v>37.0914</v>
      </c>
      <c r="JK109">
        <v>30.001000000000001</v>
      </c>
      <c r="JL109">
        <v>37.011200000000002</v>
      </c>
      <c r="JM109">
        <v>36.985599999999998</v>
      </c>
      <c r="JN109">
        <v>20.215299999999999</v>
      </c>
      <c r="JO109">
        <v>42.1295</v>
      </c>
      <c r="JP109">
        <v>0</v>
      </c>
      <c r="JQ109">
        <v>21.0002</v>
      </c>
      <c r="JR109">
        <v>400</v>
      </c>
      <c r="JS109">
        <v>15.8264</v>
      </c>
      <c r="JT109">
        <v>97.864400000000003</v>
      </c>
      <c r="JU109">
        <v>97.828299999999999</v>
      </c>
    </row>
    <row r="110" spans="1:281" x14ac:dyDescent="0.25">
      <c r="A110">
        <v>94</v>
      </c>
      <c r="B110">
        <v>1691183218.0999999</v>
      </c>
      <c r="C110">
        <v>23972.5</v>
      </c>
      <c r="D110" t="s">
        <v>893</v>
      </c>
      <c r="E110" t="s">
        <v>894</v>
      </c>
      <c r="F110" t="s">
        <v>413</v>
      </c>
      <c r="G110" t="s">
        <v>708</v>
      </c>
      <c r="H110" t="s">
        <v>637</v>
      </c>
      <c r="I110" t="s">
        <v>31</v>
      </c>
      <c r="J110">
        <v>1691183218.0999999</v>
      </c>
      <c r="K110">
        <f t="shared" si="92"/>
        <v>6.5382510266121961E-3</v>
      </c>
      <c r="L110">
        <f t="shared" si="93"/>
        <v>6.5382510266121958</v>
      </c>
      <c r="M110">
        <f t="shared" si="94"/>
        <v>46.971797305328309</v>
      </c>
      <c r="N110">
        <f t="shared" si="95"/>
        <v>440.28800000000001</v>
      </c>
      <c r="O110">
        <f t="shared" si="96"/>
        <v>205.03587228699459</v>
      </c>
      <c r="P110">
        <f t="shared" si="97"/>
        <v>20.32745956908208</v>
      </c>
      <c r="Q110">
        <f t="shared" si="98"/>
        <v>43.650588645408</v>
      </c>
      <c r="R110">
        <f t="shared" si="99"/>
        <v>0.35300227452483063</v>
      </c>
      <c r="S110">
        <f t="shared" si="100"/>
        <v>2.9082890965865942</v>
      </c>
      <c r="T110">
        <f t="shared" si="101"/>
        <v>0.33080925246125653</v>
      </c>
      <c r="U110">
        <f t="shared" si="102"/>
        <v>0.20863336080192169</v>
      </c>
      <c r="V110">
        <f t="shared" si="103"/>
        <v>344.3480999933978</v>
      </c>
      <c r="W110">
        <f t="shared" si="104"/>
        <v>30.16290065341818</v>
      </c>
      <c r="X110">
        <f t="shared" si="105"/>
        <v>30.006</v>
      </c>
      <c r="Y110">
        <f t="shared" si="106"/>
        <v>4.2619182934012949</v>
      </c>
      <c r="Z110">
        <f t="shared" si="107"/>
        <v>56.122842259075981</v>
      </c>
      <c r="AA110">
        <f t="shared" si="108"/>
        <v>2.3679726559358998</v>
      </c>
      <c r="AB110">
        <f t="shared" si="109"/>
        <v>4.2192671657732372</v>
      </c>
      <c r="AC110">
        <f t="shared" si="110"/>
        <v>1.8939456374653951</v>
      </c>
      <c r="AD110">
        <f t="shared" si="111"/>
        <v>-288.33687027359787</v>
      </c>
      <c r="AE110">
        <f t="shared" si="112"/>
        <v>-27.438544310655995</v>
      </c>
      <c r="AF110">
        <f t="shared" si="113"/>
        <v>-2.0961006319892919</v>
      </c>
      <c r="AG110">
        <f t="shared" si="114"/>
        <v>26.476584777154617</v>
      </c>
      <c r="AH110">
        <v>0</v>
      </c>
      <c r="AI110">
        <v>0</v>
      </c>
      <c r="AJ110">
        <f t="shared" si="115"/>
        <v>1</v>
      </c>
      <c r="AK110">
        <f t="shared" si="116"/>
        <v>0</v>
      </c>
      <c r="AL110">
        <f t="shared" si="117"/>
        <v>51755.845898707761</v>
      </c>
      <c r="AM110" t="s">
        <v>416</v>
      </c>
      <c r="AN110">
        <v>10235.299999999999</v>
      </c>
      <c r="AO110">
        <v>594.051923076923</v>
      </c>
      <c r="AP110">
        <v>2007.77</v>
      </c>
      <c r="AQ110">
        <f t="shared" si="118"/>
        <v>0.70412351859180933</v>
      </c>
      <c r="AR110">
        <v>-0.54275787784279261</v>
      </c>
      <c r="AS110" t="s">
        <v>895</v>
      </c>
      <c r="AT110">
        <v>10211.4</v>
      </c>
      <c r="AU110">
        <v>704.86653846153831</v>
      </c>
      <c r="AV110">
        <v>1076.887084257251</v>
      </c>
      <c r="AW110">
        <f t="shared" si="119"/>
        <v>0.34545919552215831</v>
      </c>
      <c r="AX110">
        <v>0.5</v>
      </c>
      <c r="AY110">
        <f t="shared" si="120"/>
        <v>1513.0622999966988</v>
      </c>
      <c r="AZ110">
        <f t="shared" si="121"/>
        <v>46.971797305328309</v>
      </c>
      <c r="BA110">
        <f t="shared" si="122"/>
        <v>261.35064246588308</v>
      </c>
      <c r="BB110">
        <f t="shared" si="123"/>
        <v>3.1402907324618937E-2</v>
      </c>
      <c r="BC110">
        <f t="shared" si="124"/>
        <v>0.86442016934839205</v>
      </c>
      <c r="BD110">
        <f t="shared" si="125"/>
        <v>473.06106823536794</v>
      </c>
      <c r="BE110" t="s">
        <v>896</v>
      </c>
      <c r="BF110">
        <v>546.9</v>
      </c>
      <c r="BG110">
        <f t="shared" si="126"/>
        <v>546.9</v>
      </c>
      <c r="BH110">
        <f t="shared" si="127"/>
        <v>0.49214731238307396</v>
      </c>
      <c r="BI110">
        <f t="shared" si="128"/>
        <v>0.70194266397468885</v>
      </c>
      <c r="BJ110">
        <f t="shared" si="129"/>
        <v>0.63721133005862884</v>
      </c>
      <c r="BK110">
        <f t="shared" si="130"/>
        <v>0.7704918276586975</v>
      </c>
      <c r="BL110">
        <f t="shared" si="131"/>
        <v>0.65846432251102927</v>
      </c>
      <c r="BM110">
        <f t="shared" si="132"/>
        <v>0.54463139045535036</v>
      </c>
      <c r="BN110">
        <f t="shared" si="133"/>
        <v>0.45536860954464964</v>
      </c>
      <c r="BO110">
        <v>12655</v>
      </c>
      <c r="BP110">
        <v>290.00000000000011</v>
      </c>
      <c r="BQ110">
        <v>963.1</v>
      </c>
      <c r="BR110">
        <v>225</v>
      </c>
      <c r="BS110">
        <v>10211.4</v>
      </c>
      <c r="BT110">
        <v>963.06</v>
      </c>
      <c r="BU110">
        <v>0.04</v>
      </c>
      <c r="BV110">
        <v>300.00000000000011</v>
      </c>
      <c r="BW110">
        <v>24.2</v>
      </c>
      <c r="BX110">
        <v>1076.887084257251</v>
      </c>
      <c r="BY110">
        <v>2.1228168495346749</v>
      </c>
      <c r="BZ110">
        <v>-116.2377643076403</v>
      </c>
      <c r="CA110">
        <v>1.9292600616024289</v>
      </c>
      <c r="CB110">
        <v>0.99234565461421065</v>
      </c>
      <c r="CC110">
        <v>-6.9734411568409451E-3</v>
      </c>
      <c r="CD110">
        <v>289.99999999999989</v>
      </c>
      <c r="CE110">
        <v>953.86</v>
      </c>
      <c r="CF110">
        <v>645</v>
      </c>
      <c r="CG110">
        <v>10187.299999999999</v>
      </c>
      <c r="CH110">
        <v>962.79</v>
      </c>
      <c r="CI110">
        <v>-8.93</v>
      </c>
      <c r="CW110">
        <f t="shared" si="134"/>
        <v>1799.85</v>
      </c>
      <c r="CX110">
        <f t="shared" si="135"/>
        <v>1513.0622999966988</v>
      </c>
      <c r="CY110">
        <f t="shared" si="136"/>
        <v>0.84066022168330634</v>
      </c>
      <c r="CZ110">
        <f t="shared" si="137"/>
        <v>0.19132044336661266</v>
      </c>
      <c r="DA110">
        <v>6</v>
      </c>
      <c r="DB110">
        <v>0.5</v>
      </c>
      <c r="DC110" t="s">
        <v>419</v>
      </c>
      <c r="DD110">
        <v>2</v>
      </c>
      <c r="DE110">
        <v>1691183218.0999999</v>
      </c>
      <c r="DF110">
        <v>440.28800000000001</v>
      </c>
      <c r="DG110">
        <v>500.1</v>
      </c>
      <c r="DH110">
        <v>23.884899999999998</v>
      </c>
      <c r="DI110">
        <v>16.227499999999999</v>
      </c>
      <c r="DJ110">
        <v>443.47899999999998</v>
      </c>
      <c r="DK110">
        <v>23.91</v>
      </c>
      <c r="DL110">
        <v>500.072</v>
      </c>
      <c r="DM110">
        <v>99.040599999999998</v>
      </c>
      <c r="DN110">
        <v>0.10039099999999999</v>
      </c>
      <c r="DO110">
        <v>29.831</v>
      </c>
      <c r="DP110">
        <v>30.006</v>
      </c>
      <c r="DQ110">
        <v>999.9</v>
      </c>
      <c r="DR110">
        <v>0</v>
      </c>
      <c r="DS110">
        <v>0</v>
      </c>
      <c r="DT110">
        <v>9975</v>
      </c>
      <c r="DU110">
        <v>0</v>
      </c>
      <c r="DV110">
        <v>1215.67</v>
      </c>
      <c r="DW110">
        <v>-59.811599999999999</v>
      </c>
      <c r="DX110">
        <v>451.06200000000001</v>
      </c>
      <c r="DY110">
        <v>508.34899999999999</v>
      </c>
      <c r="DZ110">
        <v>7.65747</v>
      </c>
      <c r="EA110">
        <v>500.1</v>
      </c>
      <c r="EB110">
        <v>16.227499999999999</v>
      </c>
      <c r="EC110">
        <v>2.36558</v>
      </c>
      <c r="ED110">
        <v>1.6071800000000001</v>
      </c>
      <c r="EE110">
        <v>20.13</v>
      </c>
      <c r="EF110">
        <v>14.027799999999999</v>
      </c>
      <c r="EG110">
        <v>1799.85</v>
      </c>
      <c r="EH110">
        <v>0.97799199999999997</v>
      </c>
      <c r="EI110">
        <v>2.2007800000000001E-2</v>
      </c>
      <c r="EJ110">
        <v>0</v>
      </c>
      <c r="EK110">
        <v>707.54499999999996</v>
      </c>
      <c r="EL110">
        <v>0.100005</v>
      </c>
      <c r="EM110">
        <v>16100.7</v>
      </c>
      <c r="EN110">
        <v>14861.2</v>
      </c>
      <c r="EO110">
        <v>49.311999999999998</v>
      </c>
      <c r="EP110">
        <v>51.5</v>
      </c>
      <c r="EQ110">
        <v>50.375</v>
      </c>
      <c r="ER110">
        <v>49.811999999999998</v>
      </c>
      <c r="ES110">
        <v>50.25</v>
      </c>
      <c r="ET110">
        <v>1760.14</v>
      </c>
      <c r="EU110">
        <v>39.61</v>
      </c>
      <c r="EV110">
        <v>0</v>
      </c>
      <c r="EW110">
        <v>107.3999998569489</v>
      </c>
      <c r="EX110">
        <v>0</v>
      </c>
      <c r="EY110">
        <v>704.86653846153831</v>
      </c>
      <c r="EZ110">
        <v>6.1794871234148259</v>
      </c>
      <c r="FA110">
        <v>-154.4547009231556</v>
      </c>
      <c r="FB110">
        <v>16126.93076923077</v>
      </c>
      <c r="FC110">
        <v>15</v>
      </c>
      <c r="FD110">
        <v>1691183186.5999999</v>
      </c>
      <c r="FE110" t="s">
        <v>897</v>
      </c>
      <c r="FF110">
        <v>1691183181.5999999</v>
      </c>
      <c r="FG110">
        <v>1691183186.5999999</v>
      </c>
      <c r="FH110">
        <v>110</v>
      </c>
      <c r="FI110">
        <v>9.6000000000000002E-2</v>
      </c>
      <c r="FJ110">
        <v>-1.2E-2</v>
      </c>
      <c r="FK110">
        <v>-3.3479999999999999</v>
      </c>
      <c r="FL110">
        <v>-0.17899999999999999</v>
      </c>
      <c r="FM110">
        <v>500</v>
      </c>
      <c r="FN110">
        <v>16</v>
      </c>
      <c r="FO110">
        <v>0.23</v>
      </c>
      <c r="FP110">
        <v>0.04</v>
      </c>
      <c r="FQ110">
        <v>46.94916364880261</v>
      </c>
      <c r="FR110">
        <v>-0.49750645230276552</v>
      </c>
      <c r="FS110">
        <v>0.1090851352722315</v>
      </c>
      <c r="FT110">
        <v>1</v>
      </c>
      <c r="FU110">
        <v>0.35913852624068082</v>
      </c>
      <c r="FV110">
        <v>6.9234212143656961E-3</v>
      </c>
      <c r="FW110">
        <v>3.773246485521835E-3</v>
      </c>
      <c r="FX110">
        <v>1</v>
      </c>
      <c r="FY110">
        <v>2</v>
      </c>
      <c r="FZ110">
        <v>2</v>
      </c>
      <c r="GA110" t="s">
        <v>421</v>
      </c>
      <c r="GB110">
        <v>2.9142299999999999</v>
      </c>
      <c r="GC110">
        <v>2.83006</v>
      </c>
      <c r="GD110">
        <v>9.6143400000000004E-2</v>
      </c>
      <c r="GE110">
        <v>0.103163</v>
      </c>
      <c r="GF110">
        <v>0.116996</v>
      </c>
      <c r="GG110">
        <v>8.5404800000000003E-2</v>
      </c>
      <c r="GH110">
        <v>23402.5</v>
      </c>
      <c r="GI110">
        <v>28682.2</v>
      </c>
      <c r="GJ110">
        <v>23328.3</v>
      </c>
      <c r="GK110">
        <v>29333.8</v>
      </c>
      <c r="GL110">
        <v>28134.9</v>
      </c>
      <c r="GM110">
        <v>38174.9</v>
      </c>
      <c r="GN110">
        <v>33006.199999999997</v>
      </c>
      <c r="GO110">
        <v>43520.9</v>
      </c>
      <c r="GP110">
        <v>1.9081999999999999</v>
      </c>
      <c r="GQ110">
        <v>1.6937</v>
      </c>
      <c r="GR110">
        <v>-7.3149800000000001E-2</v>
      </c>
      <c r="GS110">
        <v>0</v>
      </c>
      <c r="GT110">
        <v>31.1952</v>
      </c>
      <c r="GU110">
        <v>999.9</v>
      </c>
      <c r="GV110">
        <v>29.7</v>
      </c>
      <c r="GW110">
        <v>43.8</v>
      </c>
      <c r="GX110">
        <v>27.162500000000001</v>
      </c>
      <c r="GY110">
        <v>61.876100000000001</v>
      </c>
      <c r="GZ110">
        <v>35.488799999999998</v>
      </c>
      <c r="HA110">
        <v>1</v>
      </c>
      <c r="HB110">
        <v>0.82846500000000001</v>
      </c>
      <c r="HC110">
        <v>7.8099299999999996</v>
      </c>
      <c r="HD110">
        <v>20.093900000000001</v>
      </c>
      <c r="HE110">
        <v>5.2112999999999996</v>
      </c>
      <c r="HF110">
        <v>11.8842</v>
      </c>
      <c r="HG110">
        <v>4.9832000000000001</v>
      </c>
      <c r="HH110">
        <v>3.2839999999999998</v>
      </c>
      <c r="HI110">
        <v>9999</v>
      </c>
      <c r="HJ110">
        <v>9999</v>
      </c>
      <c r="HK110">
        <v>9999</v>
      </c>
      <c r="HL110">
        <v>999.9</v>
      </c>
      <c r="HM110">
        <v>1.85486</v>
      </c>
      <c r="HN110">
        <v>1.86087</v>
      </c>
      <c r="HO110">
        <v>1.85822</v>
      </c>
      <c r="HP110">
        <v>1.85934</v>
      </c>
      <c r="HQ110">
        <v>1.85869</v>
      </c>
      <c r="HR110">
        <v>1.85928</v>
      </c>
      <c r="HS110">
        <v>1.8575600000000001</v>
      </c>
      <c r="HT110">
        <v>1.86094</v>
      </c>
      <c r="HU110">
        <v>5</v>
      </c>
      <c r="HV110">
        <v>0</v>
      </c>
      <c r="HW110">
        <v>0</v>
      </c>
      <c r="HX110">
        <v>0</v>
      </c>
      <c r="HY110" t="s">
        <v>422</v>
      </c>
      <c r="HZ110" t="s">
        <v>423</v>
      </c>
      <c r="IA110" t="s">
        <v>424</v>
      </c>
      <c r="IB110" t="s">
        <v>424</v>
      </c>
      <c r="IC110" t="s">
        <v>424</v>
      </c>
      <c r="ID110" t="s">
        <v>424</v>
      </c>
      <c r="IE110">
        <v>0</v>
      </c>
      <c r="IF110">
        <v>100</v>
      </c>
      <c r="IG110">
        <v>100</v>
      </c>
      <c r="IH110">
        <v>-3.1909999999999998</v>
      </c>
      <c r="II110">
        <v>-2.5100000000000001E-2</v>
      </c>
      <c r="IJ110">
        <v>-1.692867004263426</v>
      </c>
      <c r="IK110">
        <v>-4.1229525807901877E-3</v>
      </c>
      <c r="IL110">
        <v>1.8448211998558991E-6</v>
      </c>
      <c r="IM110">
        <v>-3.7020276670297668E-10</v>
      </c>
      <c r="IN110">
        <v>-0.21981687374682971</v>
      </c>
      <c r="IO110">
        <v>-1.3488639696665739E-2</v>
      </c>
      <c r="IP110">
        <v>1.1588640342490499E-3</v>
      </c>
      <c r="IQ110">
        <v>-1.0624341560077559E-5</v>
      </c>
      <c r="IR110">
        <v>2</v>
      </c>
      <c r="IS110">
        <v>1915</v>
      </c>
      <c r="IT110">
        <v>1</v>
      </c>
      <c r="IU110">
        <v>42</v>
      </c>
      <c r="IV110">
        <v>0.6</v>
      </c>
      <c r="IW110">
        <v>0.5</v>
      </c>
      <c r="IX110">
        <v>1.2036100000000001</v>
      </c>
      <c r="IY110">
        <v>2.4939</v>
      </c>
      <c r="IZ110">
        <v>1.49536</v>
      </c>
      <c r="JA110">
        <v>2.2863799999999999</v>
      </c>
      <c r="JB110">
        <v>1.54419</v>
      </c>
      <c r="JC110">
        <v>2.33765</v>
      </c>
      <c r="JD110">
        <v>47.361699999999999</v>
      </c>
      <c r="JE110">
        <v>23.842300000000002</v>
      </c>
      <c r="JF110">
        <v>18</v>
      </c>
      <c r="JG110">
        <v>510.38200000000001</v>
      </c>
      <c r="JH110">
        <v>396.66199999999998</v>
      </c>
      <c r="JI110">
        <v>20.883099999999999</v>
      </c>
      <c r="JJ110">
        <v>37.143900000000002</v>
      </c>
      <c r="JK110">
        <v>30.001200000000001</v>
      </c>
      <c r="JL110">
        <v>37.0319</v>
      </c>
      <c r="JM110">
        <v>36.995899999999999</v>
      </c>
      <c r="JN110">
        <v>24.1647</v>
      </c>
      <c r="JO110">
        <v>41.161799999999999</v>
      </c>
      <c r="JP110">
        <v>0</v>
      </c>
      <c r="JQ110">
        <v>20.863800000000001</v>
      </c>
      <c r="JR110">
        <v>500</v>
      </c>
      <c r="JS110">
        <v>16.1694</v>
      </c>
      <c r="JT110">
        <v>97.866500000000002</v>
      </c>
      <c r="JU110">
        <v>97.827200000000005</v>
      </c>
    </row>
    <row r="111" spans="1:281" x14ac:dyDescent="0.25">
      <c r="A111">
        <v>95</v>
      </c>
      <c r="B111">
        <v>1691183342.5999999</v>
      </c>
      <c r="C111">
        <v>24097</v>
      </c>
      <c r="D111" t="s">
        <v>898</v>
      </c>
      <c r="E111" t="s">
        <v>899</v>
      </c>
      <c r="F111" t="s">
        <v>413</v>
      </c>
      <c r="G111" t="s">
        <v>708</v>
      </c>
      <c r="H111" t="s">
        <v>637</v>
      </c>
      <c r="I111" t="s">
        <v>31</v>
      </c>
      <c r="J111">
        <v>1691183342.5999999</v>
      </c>
      <c r="K111">
        <f t="shared" si="92"/>
        <v>5.1936858987192986E-3</v>
      </c>
      <c r="L111">
        <f t="shared" si="93"/>
        <v>5.1936858987192984</v>
      </c>
      <c r="M111">
        <f t="shared" si="94"/>
        <v>47.423281140333671</v>
      </c>
      <c r="N111">
        <f t="shared" si="95"/>
        <v>639.072</v>
      </c>
      <c r="O111">
        <f t="shared" si="96"/>
        <v>329.98951556842889</v>
      </c>
      <c r="P111">
        <f t="shared" si="97"/>
        <v>32.716595697857244</v>
      </c>
      <c r="Q111">
        <f t="shared" si="98"/>
        <v>63.360377404127995</v>
      </c>
      <c r="R111">
        <f t="shared" si="99"/>
        <v>0.26989379354301879</v>
      </c>
      <c r="S111">
        <f t="shared" si="100"/>
        <v>2.9079040613259601</v>
      </c>
      <c r="T111">
        <f t="shared" si="101"/>
        <v>0.25670945784425658</v>
      </c>
      <c r="U111">
        <f t="shared" si="102"/>
        <v>0.16157428589451395</v>
      </c>
      <c r="V111">
        <f t="shared" si="103"/>
        <v>344.34999999339783</v>
      </c>
      <c r="W111">
        <f t="shared" si="104"/>
        <v>30.368127084335931</v>
      </c>
      <c r="X111">
        <f t="shared" si="105"/>
        <v>30.0459</v>
      </c>
      <c r="Y111">
        <f t="shared" si="106"/>
        <v>4.2716951835729358</v>
      </c>
      <c r="Z111">
        <f t="shared" si="107"/>
        <v>55.752773209154647</v>
      </c>
      <c r="AA111">
        <f t="shared" si="108"/>
        <v>2.3326384999672998</v>
      </c>
      <c r="AB111">
        <f t="shared" si="109"/>
        <v>4.1838968103281342</v>
      </c>
      <c r="AC111">
        <f t="shared" si="110"/>
        <v>1.939056683605636</v>
      </c>
      <c r="AD111">
        <f t="shared" si="111"/>
        <v>-229.04154813352108</v>
      </c>
      <c r="AE111">
        <f t="shared" si="112"/>
        <v>-56.625657660018938</v>
      </c>
      <c r="AF111">
        <f t="shared" si="113"/>
        <v>-4.3240738375719312</v>
      </c>
      <c r="AG111">
        <f t="shared" si="114"/>
        <v>54.358720362285901</v>
      </c>
      <c r="AH111">
        <v>0</v>
      </c>
      <c r="AI111">
        <v>0</v>
      </c>
      <c r="AJ111">
        <f t="shared" si="115"/>
        <v>1</v>
      </c>
      <c r="AK111">
        <f t="shared" si="116"/>
        <v>0</v>
      </c>
      <c r="AL111">
        <f t="shared" si="117"/>
        <v>51769.97422448318</v>
      </c>
      <c r="AM111" t="s">
        <v>416</v>
      </c>
      <c r="AN111">
        <v>10235.299999999999</v>
      </c>
      <c r="AO111">
        <v>594.051923076923</v>
      </c>
      <c r="AP111">
        <v>2007.77</v>
      </c>
      <c r="AQ111">
        <f t="shared" si="118"/>
        <v>0.70412351859180933</v>
      </c>
      <c r="AR111">
        <v>-0.54275787784279261</v>
      </c>
      <c r="AS111" t="s">
        <v>900</v>
      </c>
      <c r="AT111">
        <v>10222.299999999999</v>
      </c>
      <c r="AU111">
        <v>707.4651923076924</v>
      </c>
      <c r="AV111">
        <v>1084.547378994195</v>
      </c>
      <c r="AW111">
        <f t="shared" si="119"/>
        <v>0.34768622744375366</v>
      </c>
      <c r="AX111">
        <v>0.5</v>
      </c>
      <c r="AY111">
        <f t="shared" si="120"/>
        <v>1513.0706999966987</v>
      </c>
      <c r="AZ111">
        <f t="shared" si="121"/>
        <v>47.423281140333671</v>
      </c>
      <c r="BA111">
        <f t="shared" si="122"/>
        <v>263.03692176876586</v>
      </c>
      <c r="BB111">
        <f t="shared" si="123"/>
        <v>3.1701122107698682E-2</v>
      </c>
      <c r="BC111">
        <f t="shared" si="124"/>
        <v>0.85125153486793537</v>
      </c>
      <c r="BD111">
        <f t="shared" si="125"/>
        <v>474.53341732478532</v>
      </c>
      <c r="BE111" t="s">
        <v>901</v>
      </c>
      <c r="BF111">
        <v>547.52</v>
      </c>
      <c r="BG111">
        <f t="shared" si="126"/>
        <v>547.52</v>
      </c>
      <c r="BH111">
        <f t="shared" si="127"/>
        <v>0.49516267283060711</v>
      </c>
      <c r="BI111">
        <f t="shared" si="128"/>
        <v>0.70216566498479893</v>
      </c>
      <c r="BJ111">
        <f t="shared" si="129"/>
        <v>0.63223600137360381</v>
      </c>
      <c r="BK111">
        <f t="shared" si="130"/>
        <v>0.76877814490926111</v>
      </c>
      <c r="BL111">
        <f t="shared" si="131"/>
        <v>0.65304577770921379</v>
      </c>
      <c r="BM111">
        <f t="shared" si="132"/>
        <v>0.5434186007631473</v>
      </c>
      <c r="BN111">
        <f t="shared" si="133"/>
        <v>0.4565813992368527</v>
      </c>
      <c r="BO111">
        <v>12657</v>
      </c>
      <c r="BP111">
        <v>290.00000000000011</v>
      </c>
      <c r="BQ111">
        <v>971.01</v>
      </c>
      <c r="BR111">
        <v>155</v>
      </c>
      <c r="BS111">
        <v>10222.299999999999</v>
      </c>
      <c r="BT111">
        <v>971.96</v>
      </c>
      <c r="BU111">
        <v>-0.95</v>
      </c>
      <c r="BV111">
        <v>300.00000000000011</v>
      </c>
      <c r="BW111">
        <v>24.2</v>
      </c>
      <c r="BX111">
        <v>1084.547378994195</v>
      </c>
      <c r="BY111">
        <v>2.2764244915172069</v>
      </c>
      <c r="BZ111">
        <v>-115.0917549198432</v>
      </c>
      <c r="CA111">
        <v>2.068974502444652</v>
      </c>
      <c r="CB111">
        <v>0.99103257375668397</v>
      </c>
      <c r="CC111">
        <v>-6.973771746384875E-3</v>
      </c>
      <c r="CD111">
        <v>289.99999999999989</v>
      </c>
      <c r="CE111">
        <v>962.42</v>
      </c>
      <c r="CF111">
        <v>685</v>
      </c>
      <c r="CG111">
        <v>10185.4</v>
      </c>
      <c r="CH111">
        <v>971.55</v>
      </c>
      <c r="CI111">
        <v>-9.1300000000000008</v>
      </c>
      <c r="CW111">
        <f t="shared" si="134"/>
        <v>1799.86</v>
      </c>
      <c r="CX111">
        <f t="shared" si="135"/>
        <v>1513.0706999966987</v>
      </c>
      <c r="CY111">
        <f t="shared" si="136"/>
        <v>0.8406602180151227</v>
      </c>
      <c r="CZ111">
        <f t="shared" si="137"/>
        <v>0.19132043603024559</v>
      </c>
      <c r="DA111">
        <v>6</v>
      </c>
      <c r="DB111">
        <v>0.5</v>
      </c>
      <c r="DC111" t="s">
        <v>419</v>
      </c>
      <c r="DD111">
        <v>2</v>
      </c>
      <c r="DE111">
        <v>1691183342.5999999</v>
      </c>
      <c r="DF111">
        <v>639.072</v>
      </c>
      <c r="DG111">
        <v>699.92700000000002</v>
      </c>
      <c r="DH111">
        <v>23.527699999999999</v>
      </c>
      <c r="DI111">
        <v>17.445499999999999</v>
      </c>
      <c r="DJ111">
        <v>642.64200000000005</v>
      </c>
      <c r="DK111">
        <v>23.5519</v>
      </c>
      <c r="DL111">
        <v>500.29500000000002</v>
      </c>
      <c r="DM111">
        <v>99.043599999999998</v>
      </c>
      <c r="DN111">
        <v>0.10074900000000001</v>
      </c>
      <c r="DO111">
        <v>29.684699999999999</v>
      </c>
      <c r="DP111">
        <v>30.0459</v>
      </c>
      <c r="DQ111">
        <v>999.9</v>
      </c>
      <c r="DR111">
        <v>0</v>
      </c>
      <c r="DS111">
        <v>0</v>
      </c>
      <c r="DT111">
        <v>9972.5</v>
      </c>
      <c r="DU111">
        <v>0</v>
      </c>
      <c r="DV111">
        <v>1201.95</v>
      </c>
      <c r="DW111">
        <v>-60.854900000000001</v>
      </c>
      <c r="DX111">
        <v>654.47</v>
      </c>
      <c r="DY111">
        <v>712.35400000000004</v>
      </c>
      <c r="DZ111">
        <v>6.0821100000000001</v>
      </c>
      <c r="EA111">
        <v>699.92700000000002</v>
      </c>
      <c r="EB111">
        <v>17.445499999999999</v>
      </c>
      <c r="EC111">
        <v>2.33026</v>
      </c>
      <c r="ED111">
        <v>1.72787</v>
      </c>
      <c r="EE111">
        <v>19.8871</v>
      </c>
      <c r="EF111">
        <v>15.149100000000001</v>
      </c>
      <c r="EG111">
        <v>1799.86</v>
      </c>
      <c r="EH111">
        <v>0.97799199999999997</v>
      </c>
      <c r="EI111">
        <v>2.2007800000000001E-2</v>
      </c>
      <c r="EJ111">
        <v>0</v>
      </c>
      <c r="EK111">
        <v>708.005</v>
      </c>
      <c r="EL111">
        <v>0.100005</v>
      </c>
      <c r="EM111">
        <v>16191.6</v>
      </c>
      <c r="EN111">
        <v>14861.4</v>
      </c>
      <c r="EO111">
        <v>49.25</v>
      </c>
      <c r="EP111">
        <v>51.311999999999998</v>
      </c>
      <c r="EQ111">
        <v>50.311999999999998</v>
      </c>
      <c r="ER111">
        <v>49.625</v>
      </c>
      <c r="ES111">
        <v>50.125</v>
      </c>
      <c r="ET111">
        <v>1760.15</v>
      </c>
      <c r="EU111">
        <v>39.61</v>
      </c>
      <c r="EV111">
        <v>0</v>
      </c>
      <c r="EW111">
        <v>122</v>
      </c>
      <c r="EX111">
        <v>0</v>
      </c>
      <c r="EY111">
        <v>707.4651923076924</v>
      </c>
      <c r="EZ111">
        <v>-2.7437606782482589</v>
      </c>
      <c r="FA111">
        <v>325.38803355691778</v>
      </c>
      <c r="FB111">
        <v>16181.969230769229</v>
      </c>
      <c r="FC111">
        <v>15</v>
      </c>
      <c r="FD111">
        <v>1691183303.5999999</v>
      </c>
      <c r="FE111" t="s">
        <v>902</v>
      </c>
      <c r="FF111">
        <v>1691183300.5999999</v>
      </c>
      <c r="FG111">
        <v>1691183303.5999999</v>
      </c>
      <c r="FH111">
        <v>111</v>
      </c>
      <c r="FI111">
        <v>0.108</v>
      </c>
      <c r="FJ111">
        <v>8.9999999999999993E-3</v>
      </c>
      <c r="FK111">
        <v>-3.702</v>
      </c>
      <c r="FL111">
        <v>-0.14899999999999999</v>
      </c>
      <c r="FM111">
        <v>700</v>
      </c>
      <c r="FN111">
        <v>17</v>
      </c>
      <c r="FO111">
        <v>0.17</v>
      </c>
      <c r="FP111">
        <v>0.03</v>
      </c>
      <c r="FQ111">
        <v>47.636858385051923</v>
      </c>
      <c r="FR111">
        <v>-0.51361503026670619</v>
      </c>
      <c r="FS111">
        <v>9.6257700133604865E-2</v>
      </c>
      <c r="FT111">
        <v>1</v>
      </c>
      <c r="FU111">
        <v>0.27518292572697739</v>
      </c>
      <c r="FV111">
        <v>-4.2996030133518021E-2</v>
      </c>
      <c r="FW111">
        <v>3.1285978902503651E-3</v>
      </c>
      <c r="FX111">
        <v>1</v>
      </c>
      <c r="FY111">
        <v>2</v>
      </c>
      <c r="FZ111">
        <v>2</v>
      </c>
      <c r="GA111" t="s">
        <v>421</v>
      </c>
      <c r="GB111">
        <v>2.9147799999999999</v>
      </c>
      <c r="GC111">
        <v>2.83039</v>
      </c>
      <c r="GD111">
        <v>0.12562000000000001</v>
      </c>
      <c r="GE111">
        <v>0.13086500000000001</v>
      </c>
      <c r="GF111">
        <v>0.115757</v>
      </c>
      <c r="GG111">
        <v>9.0031299999999995E-2</v>
      </c>
      <c r="GH111">
        <v>22639.599999999999</v>
      </c>
      <c r="GI111">
        <v>27796.799999999999</v>
      </c>
      <c r="GJ111">
        <v>23328.6</v>
      </c>
      <c r="GK111">
        <v>29334.7</v>
      </c>
      <c r="GL111">
        <v>28177.599999999999</v>
      </c>
      <c r="GM111">
        <v>37987.9</v>
      </c>
      <c r="GN111">
        <v>33007.300000000003</v>
      </c>
      <c r="GO111">
        <v>43522</v>
      </c>
      <c r="GP111">
        <v>1.9076</v>
      </c>
      <c r="GQ111">
        <v>1.6962999999999999</v>
      </c>
      <c r="GR111">
        <v>-5.9395999999999997E-2</v>
      </c>
      <c r="GS111">
        <v>0</v>
      </c>
      <c r="GT111">
        <v>31.011600000000001</v>
      </c>
      <c r="GU111">
        <v>999.9</v>
      </c>
      <c r="GV111">
        <v>29.7</v>
      </c>
      <c r="GW111">
        <v>43.8</v>
      </c>
      <c r="GX111">
        <v>27.162299999999998</v>
      </c>
      <c r="GY111">
        <v>61.7761</v>
      </c>
      <c r="GZ111">
        <v>35.568899999999999</v>
      </c>
      <c r="HA111">
        <v>1</v>
      </c>
      <c r="HB111">
        <v>0.82893300000000003</v>
      </c>
      <c r="HC111">
        <v>8.1994000000000007</v>
      </c>
      <c r="HD111">
        <v>20.0763</v>
      </c>
      <c r="HE111">
        <v>5.2112999999999996</v>
      </c>
      <c r="HF111">
        <v>11.8842</v>
      </c>
      <c r="HG111">
        <v>4.9850000000000003</v>
      </c>
      <c r="HH111">
        <v>3.2839999999999998</v>
      </c>
      <c r="HI111">
        <v>9999</v>
      </c>
      <c r="HJ111">
        <v>9999</v>
      </c>
      <c r="HK111">
        <v>9999</v>
      </c>
      <c r="HL111">
        <v>999.9</v>
      </c>
      <c r="HM111">
        <v>1.85487</v>
      </c>
      <c r="HN111">
        <v>1.86086</v>
      </c>
      <c r="HO111">
        <v>1.85822</v>
      </c>
      <c r="HP111">
        <v>1.85931</v>
      </c>
      <c r="HQ111">
        <v>1.85869</v>
      </c>
      <c r="HR111">
        <v>1.8593</v>
      </c>
      <c r="HS111">
        <v>1.8575999999999999</v>
      </c>
      <c r="HT111">
        <v>1.8609599999999999</v>
      </c>
      <c r="HU111">
        <v>5</v>
      </c>
      <c r="HV111">
        <v>0</v>
      </c>
      <c r="HW111">
        <v>0</v>
      </c>
      <c r="HX111">
        <v>0</v>
      </c>
      <c r="HY111" t="s">
        <v>422</v>
      </c>
      <c r="HZ111" t="s">
        <v>423</v>
      </c>
      <c r="IA111" t="s">
        <v>424</v>
      </c>
      <c r="IB111" t="s">
        <v>424</v>
      </c>
      <c r="IC111" t="s">
        <v>424</v>
      </c>
      <c r="ID111" t="s">
        <v>424</v>
      </c>
      <c r="IE111">
        <v>0</v>
      </c>
      <c r="IF111">
        <v>100</v>
      </c>
      <c r="IG111">
        <v>100</v>
      </c>
      <c r="IH111">
        <v>-3.57</v>
      </c>
      <c r="II111">
        <v>-2.4199999999999999E-2</v>
      </c>
      <c r="IJ111">
        <v>-1.5844662319270439</v>
      </c>
      <c r="IK111">
        <v>-4.1229525807901877E-3</v>
      </c>
      <c r="IL111">
        <v>1.8448211998558991E-6</v>
      </c>
      <c r="IM111">
        <v>-3.7020276670297668E-10</v>
      </c>
      <c r="IN111">
        <v>-0.2106120381552132</v>
      </c>
      <c r="IO111">
        <v>-1.3488639696665739E-2</v>
      </c>
      <c r="IP111">
        <v>1.1588640342490499E-3</v>
      </c>
      <c r="IQ111">
        <v>-1.0624341560077559E-5</v>
      </c>
      <c r="IR111">
        <v>2</v>
      </c>
      <c r="IS111">
        <v>1915</v>
      </c>
      <c r="IT111">
        <v>1</v>
      </c>
      <c r="IU111">
        <v>42</v>
      </c>
      <c r="IV111">
        <v>0.7</v>
      </c>
      <c r="IW111">
        <v>0.7</v>
      </c>
      <c r="IX111">
        <v>1.58325</v>
      </c>
      <c r="IY111">
        <v>2.48047</v>
      </c>
      <c r="IZ111">
        <v>1.49414</v>
      </c>
      <c r="JA111">
        <v>2.2863799999999999</v>
      </c>
      <c r="JB111">
        <v>1.54419</v>
      </c>
      <c r="JC111">
        <v>2.4011200000000001</v>
      </c>
      <c r="JD111">
        <v>47.361699999999999</v>
      </c>
      <c r="JE111">
        <v>23.833600000000001</v>
      </c>
      <c r="JF111">
        <v>18</v>
      </c>
      <c r="JG111">
        <v>509.846</v>
      </c>
      <c r="JH111">
        <v>398.20699999999999</v>
      </c>
      <c r="JI111">
        <v>20.584299999999999</v>
      </c>
      <c r="JJ111">
        <v>37.133299999999998</v>
      </c>
      <c r="JK111">
        <v>30.0001</v>
      </c>
      <c r="JL111">
        <v>37.014600000000002</v>
      </c>
      <c r="JM111">
        <v>36.978700000000003</v>
      </c>
      <c r="JN111">
        <v>31.753599999999999</v>
      </c>
      <c r="JO111">
        <v>36.379100000000001</v>
      </c>
      <c r="JP111">
        <v>0</v>
      </c>
      <c r="JQ111">
        <v>20.5593</v>
      </c>
      <c r="JR111">
        <v>700</v>
      </c>
      <c r="JS111">
        <v>17.314299999999999</v>
      </c>
      <c r="JT111">
        <v>97.869</v>
      </c>
      <c r="JU111">
        <v>97.83</v>
      </c>
    </row>
    <row r="112" spans="1:281" x14ac:dyDescent="0.25">
      <c r="A112">
        <v>96</v>
      </c>
      <c r="B112">
        <v>1691183445.0999999</v>
      </c>
      <c r="C112">
        <v>24199.5</v>
      </c>
      <c r="D112" t="s">
        <v>903</v>
      </c>
      <c r="E112" t="s">
        <v>904</v>
      </c>
      <c r="F112" t="s">
        <v>413</v>
      </c>
      <c r="G112" t="s">
        <v>708</v>
      </c>
      <c r="H112" t="s">
        <v>637</v>
      </c>
      <c r="I112" t="s">
        <v>31</v>
      </c>
      <c r="J112">
        <v>1691183445.0999999</v>
      </c>
      <c r="K112">
        <f t="shared" si="92"/>
        <v>4.4274004371527226E-3</v>
      </c>
      <c r="L112">
        <f t="shared" si="93"/>
        <v>4.4274004371527225</v>
      </c>
      <c r="M112">
        <f t="shared" si="94"/>
        <v>46.48269499621815</v>
      </c>
      <c r="N112">
        <f t="shared" si="95"/>
        <v>839.48199999999997</v>
      </c>
      <c r="O112">
        <f t="shared" si="96"/>
        <v>461.57619903351747</v>
      </c>
      <c r="P112">
        <f t="shared" si="97"/>
        <v>45.764113500330204</v>
      </c>
      <c r="Q112">
        <f t="shared" si="98"/>
        <v>83.232518509244997</v>
      </c>
      <c r="R112">
        <f t="shared" si="99"/>
        <v>0.21635854186908962</v>
      </c>
      <c r="S112">
        <f t="shared" si="100"/>
        <v>2.9132483522805894</v>
      </c>
      <c r="T112">
        <f t="shared" si="101"/>
        <v>0.20781172952085797</v>
      </c>
      <c r="U112">
        <f t="shared" si="102"/>
        <v>0.1306220960079344</v>
      </c>
      <c r="V112">
        <f t="shared" si="103"/>
        <v>344.33289999339758</v>
      </c>
      <c r="W112">
        <f t="shared" si="104"/>
        <v>30.506846896410153</v>
      </c>
      <c r="X112">
        <f t="shared" si="105"/>
        <v>30.106000000000002</v>
      </c>
      <c r="Y112">
        <f t="shared" si="106"/>
        <v>4.2864586708124524</v>
      </c>
      <c r="Z112">
        <f t="shared" si="107"/>
        <v>53.812586966299982</v>
      </c>
      <c r="AA112">
        <f t="shared" si="108"/>
        <v>2.2436973879277504</v>
      </c>
      <c r="AB112">
        <f t="shared" si="109"/>
        <v>4.1694657596239724</v>
      </c>
      <c r="AC112">
        <f t="shared" si="110"/>
        <v>2.0427612828847019</v>
      </c>
      <c r="AD112">
        <f t="shared" si="111"/>
        <v>-195.24835927843506</v>
      </c>
      <c r="AE112">
        <f t="shared" si="112"/>
        <v>-75.592518439431288</v>
      </c>
      <c r="AF112">
        <f t="shared" si="113"/>
        <v>-5.7618448026079507</v>
      </c>
      <c r="AG112">
        <f t="shared" si="114"/>
        <v>67.730177472923302</v>
      </c>
      <c r="AH112">
        <v>0</v>
      </c>
      <c r="AI112">
        <v>0</v>
      </c>
      <c r="AJ112">
        <f t="shared" si="115"/>
        <v>1</v>
      </c>
      <c r="AK112">
        <f t="shared" si="116"/>
        <v>0</v>
      </c>
      <c r="AL112">
        <f t="shared" si="117"/>
        <v>51932.457495104842</v>
      </c>
      <c r="AM112" t="s">
        <v>416</v>
      </c>
      <c r="AN112">
        <v>10235.299999999999</v>
      </c>
      <c r="AO112">
        <v>594.051923076923</v>
      </c>
      <c r="AP112">
        <v>2007.77</v>
      </c>
      <c r="AQ112">
        <f t="shared" si="118"/>
        <v>0.70412351859180933</v>
      </c>
      <c r="AR112">
        <v>-0.54275787784279261</v>
      </c>
      <c r="AS112" t="s">
        <v>905</v>
      </c>
      <c r="AT112">
        <v>10208.799999999999</v>
      </c>
      <c r="AU112">
        <v>704.29759999999999</v>
      </c>
      <c r="AV112">
        <v>1076.493771839085</v>
      </c>
      <c r="AW112">
        <f t="shared" si="119"/>
        <v>0.34574856034998136</v>
      </c>
      <c r="AX112">
        <v>0.5</v>
      </c>
      <c r="AY112">
        <f t="shared" si="120"/>
        <v>1512.9950999966986</v>
      </c>
      <c r="AZ112">
        <f t="shared" si="121"/>
        <v>46.48269499621815</v>
      </c>
      <c r="BA112">
        <f t="shared" si="122"/>
        <v>261.55793882021732</v>
      </c>
      <c r="BB112">
        <f t="shared" si="123"/>
        <v>3.1081034481977871E-2</v>
      </c>
      <c r="BC112">
        <f t="shared" si="124"/>
        <v>0.865101361961361</v>
      </c>
      <c r="BD112">
        <f t="shared" si="125"/>
        <v>472.98515444313767</v>
      </c>
      <c r="BE112" t="s">
        <v>906</v>
      </c>
      <c r="BF112">
        <v>546.75</v>
      </c>
      <c r="BG112">
        <f t="shared" si="126"/>
        <v>546.75</v>
      </c>
      <c r="BH112">
        <f t="shared" si="127"/>
        <v>0.49210110239102378</v>
      </c>
      <c r="BI112">
        <f t="shared" si="128"/>
        <v>0.70259659787400641</v>
      </c>
      <c r="BJ112">
        <f t="shared" si="129"/>
        <v>0.63741511283960184</v>
      </c>
      <c r="BK112">
        <f t="shared" si="130"/>
        <v>0.77148400951131668</v>
      </c>
      <c r="BL112">
        <f t="shared" si="131"/>
        <v>0.65874253386348081</v>
      </c>
      <c r="BM112">
        <f t="shared" si="132"/>
        <v>0.54542950293684522</v>
      </c>
      <c r="BN112">
        <f t="shared" si="133"/>
        <v>0.45457049706315478</v>
      </c>
      <c r="BO112">
        <v>12659</v>
      </c>
      <c r="BP112">
        <v>290.00000000000011</v>
      </c>
      <c r="BQ112">
        <v>965.72</v>
      </c>
      <c r="BR112">
        <v>245</v>
      </c>
      <c r="BS112">
        <v>10208.799999999999</v>
      </c>
      <c r="BT112">
        <v>966.19</v>
      </c>
      <c r="BU112">
        <v>-0.47</v>
      </c>
      <c r="BV112">
        <v>300.00000000000011</v>
      </c>
      <c r="BW112">
        <v>24.2</v>
      </c>
      <c r="BX112">
        <v>1076.493771839085</v>
      </c>
      <c r="BY112">
        <v>2.631104150884275</v>
      </c>
      <c r="BZ112">
        <v>-112.61092699725241</v>
      </c>
      <c r="CA112">
        <v>2.3912064659034988</v>
      </c>
      <c r="CB112">
        <v>0.98753241105480283</v>
      </c>
      <c r="CC112">
        <v>-6.9734765294771957E-3</v>
      </c>
      <c r="CD112">
        <v>289.99999999999989</v>
      </c>
      <c r="CE112">
        <v>957.75</v>
      </c>
      <c r="CF112">
        <v>695</v>
      </c>
      <c r="CG112">
        <v>10184.299999999999</v>
      </c>
      <c r="CH112">
        <v>965.92</v>
      </c>
      <c r="CI112">
        <v>-8.17</v>
      </c>
      <c r="CW112">
        <f t="shared" si="134"/>
        <v>1799.77</v>
      </c>
      <c r="CX112">
        <f t="shared" si="135"/>
        <v>1512.9950999966986</v>
      </c>
      <c r="CY112">
        <f t="shared" si="136"/>
        <v>0.840660251030242</v>
      </c>
      <c r="CZ112">
        <f t="shared" si="137"/>
        <v>0.19132050206048415</v>
      </c>
      <c r="DA112">
        <v>6</v>
      </c>
      <c r="DB112">
        <v>0.5</v>
      </c>
      <c r="DC112" t="s">
        <v>419</v>
      </c>
      <c r="DD112">
        <v>2</v>
      </c>
      <c r="DE112">
        <v>1691183445.0999999</v>
      </c>
      <c r="DF112">
        <v>839.48199999999997</v>
      </c>
      <c r="DG112">
        <v>899.78800000000001</v>
      </c>
      <c r="DH112">
        <v>22.629899999999999</v>
      </c>
      <c r="DI112">
        <v>17.4315</v>
      </c>
      <c r="DJ112">
        <v>843.16899999999998</v>
      </c>
      <c r="DK112">
        <v>22.670200000000001</v>
      </c>
      <c r="DL112">
        <v>499.447</v>
      </c>
      <c r="DM112">
        <v>99.048900000000003</v>
      </c>
      <c r="DN112">
        <v>9.8572499999999993E-2</v>
      </c>
      <c r="DO112">
        <v>29.624700000000001</v>
      </c>
      <c r="DP112">
        <v>30.106000000000002</v>
      </c>
      <c r="DQ112">
        <v>999.9</v>
      </c>
      <c r="DR112">
        <v>0</v>
      </c>
      <c r="DS112">
        <v>0</v>
      </c>
      <c r="DT112">
        <v>10002.5</v>
      </c>
      <c r="DU112">
        <v>0</v>
      </c>
      <c r="DV112">
        <v>1187.18</v>
      </c>
      <c r="DW112">
        <v>-60.306800000000003</v>
      </c>
      <c r="DX112">
        <v>858.91899999999998</v>
      </c>
      <c r="DY112">
        <v>915.75099999999998</v>
      </c>
      <c r="DZ112">
        <v>5.1984399999999997</v>
      </c>
      <c r="EA112">
        <v>899.78800000000001</v>
      </c>
      <c r="EB112">
        <v>17.4315</v>
      </c>
      <c r="EC112">
        <v>2.2414700000000001</v>
      </c>
      <c r="ED112">
        <v>1.7265699999999999</v>
      </c>
      <c r="EE112">
        <v>19.261800000000001</v>
      </c>
      <c r="EF112">
        <v>15.1374</v>
      </c>
      <c r="EG112">
        <v>1799.77</v>
      </c>
      <c r="EH112">
        <v>0.97799199999999997</v>
      </c>
      <c r="EI112">
        <v>2.2007800000000001E-2</v>
      </c>
      <c r="EJ112">
        <v>0</v>
      </c>
      <c r="EK112">
        <v>703.80499999999995</v>
      </c>
      <c r="EL112">
        <v>0.100005</v>
      </c>
      <c r="EM112">
        <v>16138.9</v>
      </c>
      <c r="EN112">
        <v>14860.6</v>
      </c>
      <c r="EO112">
        <v>49.25</v>
      </c>
      <c r="EP112">
        <v>51.436999999999998</v>
      </c>
      <c r="EQ112">
        <v>50.311999999999998</v>
      </c>
      <c r="ER112">
        <v>49.75</v>
      </c>
      <c r="ES112">
        <v>50.125</v>
      </c>
      <c r="ET112">
        <v>1760.06</v>
      </c>
      <c r="EU112">
        <v>39.61</v>
      </c>
      <c r="EV112">
        <v>0</v>
      </c>
      <c r="EW112">
        <v>100.4000000953674</v>
      </c>
      <c r="EX112">
        <v>0</v>
      </c>
      <c r="EY112">
        <v>704.29759999999999</v>
      </c>
      <c r="EZ112">
        <v>-4.7842306652120596</v>
      </c>
      <c r="FA112">
        <v>279.18461519629949</v>
      </c>
      <c r="FB112">
        <v>16110.808000000001</v>
      </c>
      <c r="FC112">
        <v>15</v>
      </c>
      <c r="FD112">
        <v>1691183417.5999999</v>
      </c>
      <c r="FE112" t="s">
        <v>907</v>
      </c>
      <c r="FF112">
        <v>1691183417.5999999</v>
      </c>
      <c r="FG112">
        <v>1691183413.5999999</v>
      </c>
      <c r="FH112">
        <v>112</v>
      </c>
      <c r="FI112">
        <v>0.28399999999999997</v>
      </c>
      <c r="FJ112">
        <v>4.0000000000000001E-3</v>
      </c>
      <c r="FK112">
        <v>-3.794</v>
      </c>
      <c r="FL112">
        <v>-0.13800000000000001</v>
      </c>
      <c r="FM112">
        <v>900</v>
      </c>
      <c r="FN112">
        <v>18</v>
      </c>
      <c r="FO112">
        <v>0.21</v>
      </c>
      <c r="FP112">
        <v>0.06</v>
      </c>
      <c r="FQ112">
        <v>46.893347467524897</v>
      </c>
      <c r="FR112">
        <v>-0.6041481119795078</v>
      </c>
      <c r="FS112">
        <v>0.19603134637337311</v>
      </c>
      <c r="FT112">
        <v>1</v>
      </c>
      <c r="FU112">
        <v>0.21204579419208069</v>
      </c>
      <c r="FV112">
        <v>3.8061566031243138E-2</v>
      </c>
      <c r="FW112">
        <v>3.2415336627818021E-3</v>
      </c>
      <c r="FX112">
        <v>1</v>
      </c>
      <c r="FY112">
        <v>2</v>
      </c>
      <c r="FZ112">
        <v>2</v>
      </c>
      <c r="GA112" t="s">
        <v>421</v>
      </c>
      <c r="GB112">
        <v>2.91262</v>
      </c>
      <c r="GC112">
        <v>2.8284699999999998</v>
      </c>
      <c r="GD112">
        <v>0.15088699999999999</v>
      </c>
      <c r="GE112">
        <v>0.15474299999999999</v>
      </c>
      <c r="GF112">
        <v>0.11265600000000001</v>
      </c>
      <c r="GG112">
        <v>8.9980400000000002E-2</v>
      </c>
      <c r="GH112">
        <v>21985</v>
      </c>
      <c r="GI112">
        <v>27031.200000000001</v>
      </c>
      <c r="GJ112">
        <v>23329.1</v>
      </c>
      <c r="GK112">
        <v>29334</v>
      </c>
      <c r="GL112">
        <v>28279.5</v>
      </c>
      <c r="GM112">
        <v>37992.400000000001</v>
      </c>
      <c r="GN112">
        <v>33008.9</v>
      </c>
      <c r="GO112">
        <v>43521.599999999999</v>
      </c>
      <c r="GP112">
        <v>1.9054</v>
      </c>
      <c r="GQ112">
        <v>1.6974</v>
      </c>
      <c r="GR112">
        <v>-6.1213999999999998E-2</v>
      </c>
      <c r="GS112">
        <v>0</v>
      </c>
      <c r="GT112">
        <v>31.101199999999999</v>
      </c>
      <c r="GU112">
        <v>999.9</v>
      </c>
      <c r="GV112">
        <v>29.7</v>
      </c>
      <c r="GW112">
        <v>43.8</v>
      </c>
      <c r="GX112">
        <v>27.1586</v>
      </c>
      <c r="GY112">
        <v>61.8262</v>
      </c>
      <c r="GZ112">
        <v>35.144199999999998</v>
      </c>
      <c r="HA112">
        <v>1</v>
      </c>
      <c r="HB112">
        <v>0.83398399999999995</v>
      </c>
      <c r="HC112">
        <v>8.2883099999999992</v>
      </c>
      <c r="HD112">
        <v>20.073899999999998</v>
      </c>
      <c r="HE112">
        <v>5.1969200000000004</v>
      </c>
      <c r="HF112">
        <v>11.8842</v>
      </c>
      <c r="HG112">
        <v>4.9786000000000001</v>
      </c>
      <c r="HH112">
        <v>3.2810999999999999</v>
      </c>
      <c r="HI112">
        <v>9999</v>
      </c>
      <c r="HJ112">
        <v>9999</v>
      </c>
      <c r="HK112">
        <v>9999</v>
      </c>
      <c r="HL112">
        <v>999.9</v>
      </c>
      <c r="HM112">
        <v>1.85486</v>
      </c>
      <c r="HN112">
        <v>1.8608100000000001</v>
      </c>
      <c r="HO112">
        <v>1.85822</v>
      </c>
      <c r="HP112">
        <v>1.8593</v>
      </c>
      <c r="HQ112">
        <v>1.85867</v>
      </c>
      <c r="HR112">
        <v>1.85928</v>
      </c>
      <c r="HS112">
        <v>1.85758</v>
      </c>
      <c r="HT112">
        <v>1.86093</v>
      </c>
      <c r="HU112">
        <v>5</v>
      </c>
      <c r="HV112">
        <v>0</v>
      </c>
      <c r="HW112">
        <v>0</v>
      </c>
      <c r="HX112">
        <v>0</v>
      </c>
      <c r="HY112" t="s">
        <v>422</v>
      </c>
      <c r="HZ112" t="s">
        <v>423</v>
      </c>
      <c r="IA112" t="s">
        <v>424</v>
      </c>
      <c r="IB112" t="s">
        <v>424</v>
      </c>
      <c r="IC112" t="s">
        <v>424</v>
      </c>
      <c r="ID112" t="s">
        <v>424</v>
      </c>
      <c r="IE112">
        <v>0</v>
      </c>
      <c r="IF112">
        <v>100</v>
      </c>
      <c r="IG112">
        <v>100</v>
      </c>
      <c r="IH112">
        <v>-3.6869999999999998</v>
      </c>
      <c r="II112">
        <v>-4.0300000000000002E-2</v>
      </c>
      <c r="IJ112">
        <v>-1.3008552096950261</v>
      </c>
      <c r="IK112">
        <v>-4.1229525807901877E-3</v>
      </c>
      <c r="IL112">
        <v>1.8448211998558991E-6</v>
      </c>
      <c r="IM112">
        <v>-3.7020276670297668E-10</v>
      </c>
      <c r="IN112">
        <v>-0.2063155017258699</v>
      </c>
      <c r="IO112">
        <v>-1.3488639696665739E-2</v>
      </c>
      <c r="IP112">
        <v>1.1588640342490499E-3</v>
      </c>
      <c r="IQ112">
        <v>-1.0624341560077559E-5</v>
      </c>
      <c r="IR112">
        <v>2</v>
      </c>
      <c r="IS112">
        <v>1915</v>
      </c>
      <c r="IT112">
        <v>1</v>
      </c>
      <c r="IU112">
        <v>42</v>
      </c>
      <c r="IV112">
        <v>0.5</v>
      </c>
      <c r="IW112">
        <v>0.5</v>
      </c>
      <c r="IX112">
        <v>1.94214</v>
      </c>
      <c r="IY112">
        <v>2.47803</v>
      </c>
      <c r="IZ112">
        <v>1.49414</v>
      </c>
      <c r="JA112">
        <v>2.2863799999999999</v>
      </c>
      <c r="JB112">
        <v>1.54419</v>
      </c>
      <c r="JC112">
        <v>2.4621599999999999</v>
      </c>
      <c r="JD112">
        <v>47.331800000000001</v>
      </c>
      <c r="JE112">
        <v>23.842300000000002</v>
      </c>
      <c r="JF112">
        <v>18</v>
      </c>
      <c r="JG112">
        <v>508.47</v>
      </c>
      <c r="JH112">
        <v>398.995</v>
      </c>
      <c r="JI112">
        <v>19.857399999999998</v>
      </c>
      <c r="JJ112">
        <v>37.171799999999998</v>
      </c>
      <c r="JK112">
        <v>29.998100000000001</v>
      </c>
      <c r="JL112">
        <v>37.028500000000001</v>
      </c>
      <c r="JM112">
        <v>36.9925</v>
      </c>
      <c r="JN112">
        <v>38.925699999999999</v>
      </c>
      <c r="JO112">
        <v>37.026299999999999</v>
      </c>
      <c r="JP112">
        <v>0</v>
      </c>
      <c r="JQ112">
        <v>19.959700000000002</v>
      </c>
      <c r="JR112">
        <v>900</v>
      </c>
      <c r="JS112">
        <v>17.200800000000001</v>
      </c>
      <c r="JT112">
        <v>97.872600000000006</v>
      </c>
      <c r="JU112">
        <v>97.828400000000002</v>
      </c>
    </row>
    <row r="113" spans="1:281" x14ac:dyDescent="0.25">
      <c r="A113">
        <v>97</v>
      </c>
      <c r="B113">
        <v>1691183604.0999999</v>
      </c>
      <c r="C113">
        <v>24358.5</v>
      </c>
      <c r="D113" t="s">
        <v>908</v>
      </c>
      <c r="E113" t="s">
        <v>909</v>
      </c>
      <c r="F113" t="s">
        <v>413</v>
      </c>
      <c r="G113" t="s">
        <v>708</v>
      </c>
      <c r="H113" t="s">
        <v>637</v>
      </c>
      <c r="I113" t="s">
        <v>31</v>
      </c>
      <c r="J113">
        <v>1691183604.0999999</v>
      </c>
      <c r="K113">
        <f t="shared" ref="K113:K144" si="138">(L113)/1000</f>
        <v>2.7277900030999525E-3</v>
      </c>
      <c r="L113">
        <f t="shared" ref="L113:L128" si="139">1000*DL113*AJ113*(DH113-DI113)/(100*DA113*(1000-AJ113*DH113))</f>
        <v>2.7277900030999525</v>
      </c>
      <c r="M113">
        <f t="shared" ref="M113:M128" si="140">DL113*AJ113*(DG113-DF113*(1000-AJ113*DI113)/(1000-AJ113*DH113))/(100*DA113)</f>
        <v>43.654887522354514</v>
      </c>
      <c r="N113">
        <f t="shared" ref="N113:N144" si="141">DF113 - IF(AJ113&gt;1, M113*DA113*100/(AL113*DT113), 0)</f>
        <v>1143.79</v>
      </c>
      <c r="O113">
        <f t="shared" ref="O113:O144" si="142">((U113-K113/2)*N113-M113)/(U113+K113/2)</f>
        <v>544.00442390482328</v>
      </c>
      <c r="P113">
        <f t="shared" ref="P113:P144" si="143">O113*(DM113+DN113)/1000</f>
        <v>53.936210394495816</v>
      </c>
      <c r="Q113">
        <f t="shared" ref="Q113:Q128" si="144">(DF113 - IF(AJ113&gt;1, M113*DA113*100/(AL113*DT113), 0))*(DM113+DN113)/1000</f>
        <v>113.402934564947</v>
      </c>
      <c r="R113">
        <f t="shared" ref="R113:R144" si="145">2/((1/T113-1/S113)+SIGN(T113)*SQRT((1/T113-1/S113)*(1/T113-1/S113) + 4*DB113/((DB113+1)*(DB113+1))*(2*1/T113*1/S113-1/S113*1/S113)))</f>
        <v>0.12509485422502395</v>
      </c>
      <c r="S113">
        <f t="shared" ref="S113:S128" si="146">IF(LEFT(DC113,1)&lt;&gt;"0",IF(LEFT(DC113,1)="1",3,DD113),$D$5+$E$5*(DT113*DM113/($K$5*1000))+$F$5*(DT113*DM113/($K$5*1000))*MAX(MIN(DA113,$J$5),$I$5)*MAX(MIN(DA113,$J$5),$I$5)+$G$5*MAX(MIN(DA113,$J$5),$I$5)*(DT113*DM113/($K$5*1000))+$H$5*(DT113*DM113/($K$5*1000))*(DT113*DM113/($K$5*1000)))</f>
        <v>2.9141083315160041</v>
      </c>
      <c r="T113">
        <f t="shared" ref="T113:T128" si="147">K113*(1000-(1000*0.61365*EXP(17.502*X113/(240.97+X113))/(DM113+DN113)+DH113)/2)/(1000*0.61365*EXP(17.502*X113/(240.97+X113))/(DM113+DN113)-DH113)</f>
        <v>0.1221863473277294</v>
      </c>
      <c r="U113">
        <f t="shared" ref="U113:U128" si="148">1/((DB113+1)/(R113/1.6)+1/(S113/1.37)) + DB113/((DB113+1)/(R113/1.6) + DB113/(S113/1.37))</f>
        <v>7.6622152536508448E-2</v>
      </c>
      <c r="V113">
        <f t="shared" ref="V113:V128" si="149">(CW113*CZ113)</f>
        <v>344.34369999339935</v>
      </c>
      <c r="W113">
        <f t="shared" ref="W113:W144" si="150">(DO113+(V113+2*0.95*0.0000000567*(((DO113+$B$7)+273)^4-(DO113+273)^4)-44100*K113)/(1.84*29.3*S113+8*0.95*0.0000000567*(DO113+273)^3))</f>
        <v>30.88820736659693</v>
      </c>
      <c r="X113">
        <f t="shared" ref="X113:X144" si="151">($C$7*DP113+$D$7*DQ113+$E$7*W113)</f>
        <v>30.219200000000001</v>
      </c>
      <c r="Y113">
        <f t="shared" ref="Y113:Y144" si="152">0.61365*EXP(17.502*X113/(240.97+X113))</f>
        <v>4.3143868905548706</v>
      </c>
      <c r="Z113">
        <f t="shared" ref="Z113:Z144" si="153">(AA113/AB113*100)</f>
        <v>52.31217220108919</v>
      </c>
      <c r="AA113">
        <f t="shared" ref="AA113:AA128" si="154">DH113*(DM113+DN113)/1000</f>
        <v>2.1733736507674402</v>
      </c>
      <c r="AB113">
        <f t="shared" ref="AB113:AB128" si="155">0.61365*EXP(17.502*DO113/(240.97+DO113))</f>
        <v>4.1546232154400737</v>
      </c>
      <c r="AC113">
        <f t="shared" ref="AC113:AC128" si="156">(Y113-DH113*(DM113+DN113)/1000)</f>
        <v>2.1410132397874304</v>
      </c>
      <c r="AD113">
        <f t="shared" ref="AD113:AD128" si="157">(-K113*44100)</f>
        <v>-120.2955391367079</v>
      </c>
      <c r="AE113">
        <f t="shared" ref="AE113:AE128" si="158">2*29.3*S113*0.92*(DO113-X113)</f>
        <v>-103.12399005320889</v>
      </c>
      <c r="AF113">
        <f t="shared" ref="AF113:AF128" si="159">2*0.95*0.0000000567*(((DO113+$B$7)+273)^4-(X113+273)^4)</f>
        <v>-7.860041527756251</v>
      </c>
      <c r="AG113">
        <f t="shared" ref="AG113:AG144" si="160">V113+AF113+AD113+AE113</f>
        <v>113.0641292757263</v>
      </c>
      <c r="AH113">
        <v>0</v>
      </c>
      <c r="AI113">
        <v>0</v>
      </c>
      <c r="AJ113">
        <f t="shared" ref="AJ113:AJ128" si="161">IF(AH113*$H$13&gt;=AL113,1,(AL113/(AL113-AH113*$H$13)))</f>
        <v>1</v>
      </c>
      <c r="AK113">
        <f t="shared" ref="AK113:AK144" si="162">(AJ113-1)*100</f>
        <v>0</v>
      </c>
      <c r="AL113">
        <f t="shared" ref="AL113:AL128" si="163">MAX(0,($B$13+$C$13*DT113)/(1+$D$13*DT113)*DM113/(DO113+273)*$E$13)</f>
        <v>51967.562801280255</v>
      </c>
      <c r="AM113" t="s">
        <v>416</v>
      </c>
      <c r="AN113">
        <v>10235.299999999999</v>
      </c>
      <c r="AO113">
        <v>594.051923076923</v>
      </c>
      <c r="AP113">
        <v>2007.77</v>
      </c>
      <c r="AQ113">
        <f t="shared" ref="AQ113:AQ144" si="164">1-AO113/AP113</f>
        <v>0.70412351859180933</v>
      </c>
      <c r="AR113">
        <v>-0.54275787784279261</v>
      </c>
      <c r="AS113" t="s">
        <v>910</v>
      </c>
      <c r="AT113">
        <v>10202.799999999999</v>
      </c>
      <c r="AU113">
        <v>697.13769230769242</v>
      </c>
      <c r="AV113">
        <v>1035.4419254804759</v>
      </c>
      <c r="AW113">
        <f t="shared" ref="AW113:AW144" si="165">1-AU113/AV113</f>
        <v>0.32672448820903233</v>
      </c>
      <c r="AX113">
        <v>0.5</v>
      </c>
      <c r="AY113">
        <f t="shared" ref="AY113:AY128" si="166">CX113</f>
        <v>1513.0451999966995</v>
      </c>
      <c r="AZ113">
        <f t="shared" ref="AZ113:AZ128" si="167">M113</f>
        <v>43.654887522354514</v>
      </c>
      <c r="BA113">
        <f t="shared" ref="BA113:BA128" si="168">AW113*AX113*AY113</f>
        <v>247.17445930302731</v>
      </c>
      <c r="BB113">
        <f t="shared" ref="BB113:BB128" si="169">(AZ113-AR113)/AY113</f>
        <v>2.9211054237040453E-2</v>
      </c>
      <c r="BC113">
        <f t="shared" ref="BC113:BC128" si="170">(AP113-AV113)/AV113</f>
        <v>0.93904645986624014</v>
      </c>
      <c r="BD113">
        <f t="shared" ref="BD113:BD128" si="171">AO113/(AQ113+AO113/AV113)</f>
        <v>464.88692148393881</v>
      </c>
      <c r="BE113" t="s">
        <v>911</v>
      </c>
      <c r="BF113">
        <v>547</v>
      </c>
      <c r="BG113">
        <f t="shared" ref="BG113:BG144" si="172">IF(BF113&lt;&gt;0, BF113, BD113)</f>
        <v>547</v>
      </c>
      <c r="BH113">
        <f t="shared" ref="BH113:BH144" si="173">1-BG113/AV113</f>
        <v>0.47172314879352051</v>
      </c>
      <c r="BI113">
        <f t="shared" ref="BI113:BI128" si="174">(AV113-AU113)/(AV113-BG113)</f>
        <v>0.69261915393523332</v>
      </c>
      <c r="BJ113">
        <f t="shared" ref="BJ113:BJ128" si="175">(AP113-AV113)/(AP113-BG113)</f>
        <v>0.66562708333243703</v>
      </c>
      <c r="BK113">
        <f t="shared" ref="BK113:BK128" si="176">(AV113-AU113)/(AV113-AO113)</f>
        <v>0.76645196159989049</v>
      </c>
      <c r="BL113">
        <f t="shared" ref="BL113:BL128" si="177">(AP113-AV113)/(AP113-AO113)</f>
        <v>0.68778074666469036</v>
      </c>
      <c r="BM113">
        <f t="shared" ref="BM113:BM128" si="178">(BI113*BG113/AU113)</f>
        <v>0.54345458778515698</v>
      </c>
      <c r="BN113">
        <f t="shared" ref="BN113:BN144" si="179">(1-BM113)</f>
        <v>0.45654541221484302</v>
      </c>
      <c r="BO113">
        <v>12661</v>
      </c>
      <c r="BP113">
        <v>290.00000000000011</v>
      </c>
      <c r="BQ113">
        <v>941.45</v>
      </c>
      <c r="BR113">
        <v>295</v>
      </c>
      <c r="BS113">
        <v>10202.799999999999</v>
      </c>
      <c r="BT113">
        <v>941.41</v>
      </c>
      <c r="BU113">
        <v>0.04</v>
      </c>
      <c r="BV113">
        <v>300.00000000000011</v>
      </c>
      <c r="BW113">
        <v>24.2</v>
      </c>
      <c r="BX113">
        <v>1035.4419254804759</v>
      </c>
      <c r="BY113">
        <v>2.1785507663708699</v>
      </c>
      <c r="BZ113">
        <v>-95.935707092783645</v>
      </c>
      <c r="CA113">
        <v>1.979694899952436</v>
      </c>
      <c r="CB113">
        <v>0.98821725628692236</v>
      </c>
      <c r="CC113">
        <v>-6.9727163515016571E-3</v>
      </c>
      <c r="CD113">
        <v>289.99999999999989</v>
      </c>
      <c r="CE113">
        <v>936.61</v>
      </c>
      <c r="CF113">
        <v>655</v>
      </c>
      <c r="CG113">
        <v>10185.6</v>
      </c>
      <c r="CH113">
        <v>941.25</v>
      </c>
      <c r="CI113">
        <v>-4.6399999999999997</v>
      </c>
      <c r="CW113">
        <f t="shared" ref="CW113:CW128" si="180">$B$11*DU113+$C$11*DV113+$F$11*EG113*(1-EJ113)</f>
        <v>1799.83</v>
      </c>
      <c r="CX113">
        <f t="shared" ref="CX113:CX144" si="181">CW113*CY113</f>
        <v>1513.0451999966995</v>
      </c>
      <c r="CY113">
        <f t="shared" ref="CY113:CY128" si="182">($B$11*$D$9+$C$11*$D$9+$F$11*((ET113+EL113)/MAX(ET113+EL113+EU113, 0.1)*$I$9+EU113/MAX(ET113+EL113+EU113, 0.1)*$J$9))/($B$11+$C$11+$F$11)</f>
        <v>0.84066006233738721</v>
      </c>
      <c r="CZ113">
        <f t="shared" ref="CZ113:CZ128" si="183">($B$11*$K$9+$C$11*$K$9+$F$11*((ET113+EL113)/MAX(ET113+EL113+EU113, 0.1)*$P$9+EU113/MAX(ET113+EL113+EU113, 0.1)*$Q$9))/($B$11+$C$11+$F$11)</f>
        <v>0.19132012467477449</v>
      </c>
      <c r="DA113">
        <v>6</v>
      </c>
      <c r="DB113">
        <v>0.5</v>
      </c>
      <c r="DC113" t="s">
        <v>419</v>
      </c>
      <c r="DD113">
        <v>2</v>
      </c>
      <c r="DE113">
        <v>1691183604.0999999</v>
      </c>
      <c r="DF113">
        <v>1143.79</v>
      </c>
      <c r="DG113">
        <v>1199.92</v>
      </c>
      <c r="DH113">
        <v>21.9208</v>
      </c>
      <c r="DI113">
        <v>18.719200000000001</v>
      </c>
      <c r="DJ113">
        <v>1148.02</v>
      </c>
      <c r="DK113">
        <v>21.970600000000001</v>
      </c>
      <c r="DL113">
        <v>499.99900000000002</v>
      </c>
      <c r="DM113">
        <v>99.048100000000005</v>
      </c>
      <c r="DN113">
        <v>9.8539299999999996E-2</v>
      </c>
      <c r="DO113">
        <v>29.562799999999999</v>
      </c>
      <c r="DP113">
        <v>30.219200000000001</v>
      </c>
      <c r="DQ113">
        <v>999.9</v>
      </c>
      <c r="DR113">
        <v>0</v>
      </c>
      <c r="DS113">
        <v>0</v>
      </c>
      <c r="DT113">
        <v>10007.5</v>
      </c>
      <c r="DU113">
        <v>0</v>
      </c>
      <c r="DV113">
        <v>1161.53</v>
      </c>
      <c r="DW113">
        <v>-56.128700000000002</v>
      </c>
      <c r="DX113">
        <v>1169.43</v>
      </c>
      <c r="DY113">
        <v>1222.81</v>
      </c>
      <c r="DZ113">
        <v>3.2016399999999998</v>
      </c>
      <c r="EA113">
        <v>1199.92</v>
      </c>
      <c r="EB113">
        <v>18.719200000000001</v>
      </c>
      <c r="EC113">
        <v>2.1712099999999999</v>
      </c>
      <c r="ED113">
        <v>1.8541000000000001</v>
      </c>
      <c r="EE113">
        <v>18.7515</v>
      </c>
      <c r="EF113">
        <v>16.250499999999999</v>
      </c>
      <c r="EG113">
        <v>1799.83</v>
      </c>
      <c r="EH113">
        <v>0.97799599999999998</v>
      </c>
      <c r="EI113">
        <v>2.2003999999999999E-2</v>
      </c>
      <c r="EJ113">
        <v>0</v>
      </c>
      <c r="EK113">
        <v>695.67499999999995</v>
      </c>
      <c r="EL113">
        <v>0.100005</v>
      </c>
      <c r="EM113">
        <v>15969.2</v>
      </c>
      <c r="EN113">
        <v>14861.1</v>
      </c>
      <c r="EO113">
        <v>49.375</v>
      </c>
      <c r="EP113">
        <v>51.686999999999998</v>
      </c>
      <c r="EQ113">
        <v>50.436999999999998</v>
      </c>
      <c r="ER113">
        <v>49.936999999999998</v>
      </c>
      <c r="ES113">
        <v>50.25</v>
      </c>
      <c r="ET113">
        <v>1760.13</v>
      </c>
      <c r="EU113">
        <v>39.6</v>
      </c>
      <c r="EV113">
        <v>0</v>
      </c>
      <c r="EW113">
        <v>156.5999999046326</v>
      </c>
      <c r="EX113">
        <v>0</v>
      </c>
      <c r="EY113">
        <v>697.13769230769242</v>
      </c>
      <c r="EZ113">
        <v>-4.2229059726803593</v>
      </c>
      <c r="FA113">
        <v>-61.576068517915438</v>
      </c>
      <c r="FB113">
        <v>15976.288461538459</v>
      </c>
      <c r="FC113">
        <v>15</v>
      </c>
      <c r="FD113">
        <v>1691183545.5999999</v>
      </c>
      <c r="FE113" t="s">
        <v>912</v>
      </c>
      <c r="FF113">
        <v>1691183545.5999999</v>
      </c>
      <c r="FG113">
        <v>1691183542.5999999</v>
      </c>
      <c r="FH113">
        <v>113</v>
      </c>
      <c r="FI113">
        <v>-0.06</v>
      </c>
      <c r="FJ113">
        <v>6.0000000000000001E-3</v>
      </c>
      <c r="FK113">
        <v>-4.2969999999999997</v>
      </c>
      <c r="FL113">
        <v>-0.128</v>
      </c>
      <c r="FM113">
        <v>1200</v>
      </c>
      <c r="FN113">
        <v>18</v>
      </c>
      <c r="FO113">
        <v>0.19</v>
      </c>
      <c r="FP113">
        <v>0.06</v>
      </c>
      <c r="FQ113">
        <v>44.071979793547591</v>
      </c>
      <c r="FR113">
        <v>-0.64784121612618584</v>
      </c>
      <c r="FS113">
        <v>0.14318805244321631</v>
      </c>
      <c r="FT113">
        <v>1</v>
      </c>
      <c r="FU113">
        <v>0.1279436235433761</v>
      </c>
      <c r="FV113">
        <v>-3.14410681473304E-2</v>
      </c>
      <c r="FW113">
        <v>2.5569677311785442E-3</v>
      </c>
      <c r="FX113">
        <v>1</v>
      </c>
      <c r="FY113">
        <v>2</v>
      </c>
      <c r="FZ113">
        <v>2</v>
      </c>
      <c r="GA113" t="s">
        <v>421</v>
      </c>
      <c r="GB113">
        <v>2.9137900000000001</v>
      </c>
      <c r="GC113">
        <v>2.8284899999999999</v>
      </c>
      <c r="GD113">
        <v>0.183727</v>
      </c>
      <c r="GE113">
        <v>0.18577099999999999</v>
      </c>
      <c r="GF113">
        <v>0.110125</v>
      </c>
      <c r="GG113">
        <v>9.4705200000000003E-2</v>
      </c>
      <c r="GH113">
        <v>21126.7</v>
      </c>
      <c r="GI113">
        <v>26027</v>
      </c>
      <c r="GJ113">
        <v>23322.799999999999</v>
      </c>
      <c r="GK113">
        <v>29324</v>
      </c>
      <c r="GL113">
        <v>28354.9</v>
      </c>
      <c r="GM113">
        <v>37789.599999999999</v>
      </c>
      <c r="GN113">
        <v>32999.300000000003</v>
      </c>
      <c r="GO113">
        <v>43508.5</v>
      </c>
      <c r="GP113">
        <v>1.9027000000000001</v>
      </c>
      <c r="GQ113">
        <v>1.6967000000000001</v>
      </c>
      <c r="GR113">
        <v>-5.9962300000000003E-2</v>
      </c>
      <c r="GS113">
        <v>0</v>
      </c>
      <c r="GT113">
        <v>31.1938</v>
      </c>
      <c r="GU113">
        <v>999.9</v>
      </c>
      <c r="GV113">
        <v>29.8</v>
      </c>
      <c r="GW113">
        <v>43.8</v>
      </c>
      <c r="GX113">
        <v>27.247800000000002</v>
      </c>
      <c r="GY113">
        <v>61.946199999999997</v>
      </c>
      <c r="GZ113">
        <v>35.120199999999997</v>
      </c>
      <c r="HA113">
        <v>1</v>
      </c>
      <c r="HB113">
        <v>0.85410600000000003</v>
      </c>
      <c r="HC113">
        <v>9.2810500000000005</v>
      </c>
      <c r="HD113">
        <v>20.026</v>
      </c>
      <c r="HE113">
        <v>5.2112999999999996</v>
      </c>
      <c r="HF113">
        <v>11.8842</v>
      </c>
      <c r="HG113">
        <v>4.9816000000000003</v>
      </c>
      <c r="HH113">
        <v>3.2839999999999998</v>
      </c>
      <c r="HI113">
        <v>9999</v>
      </c>
      <c r="HJ113">
        <v>9999</v>
      </c>
      <c r="HK113">
        <v>9999</v>
      </c>
      <c r="HL113">
        <v>999.9</v>
      </c>
      <c r="HM113">
        <v>1.85486</v>
      </c>
      <c r="HN113">
        <v>1.86087</v>
      </c>
      <c r="HO113">
        <v>1.85822</v>
      </c>
      <c r="HP113">
        <v>1.85931</v>
      </c>
      <c r="HQ113">
        <v>1.85869</v>
      </c>
      <c r="HR113">
        <v>1.85928</v>
      </c>
      <c r="HS113">
        <v>1.8575999999999999</v>
      </c>
      <c r="HT113">
        <v>1.8609599999999999</v>
      </c>
      <c r="HU113">
        <v>5</v>
      </c>
      <c r="HV113">
        <v>0</v>
      </c>
      <c r="HW113">
        <v>0</v>
      </c>
      <c r="HX113">
        <v>0</v>
      </c>
      <c r="HY113" t="s">
        <v>422</v>
      </c>
      <c r="HZ113" t="s">
        <v>423</v>
      </c>
      <c r="IA113" t="s">
        <v>424</v>
      </c>
      <c r="IB113" t="s">
        <v>424</v>
      </c>
      <c r="IC113" t="s">
        <v>424</v>
      </c>
      <c r="ID113" t="s">
        <v>424</v>
      </c>
      <c r="IE113">
        <v>0</v>
      </c>
      <c r="IF113">
        <v>100</v>
      </c>
      <c r="IG113">
        <v>100</v>
      </c>
      <c r="IH113">
        <v>-4.2300000000000004</v>
      </c>
      <c r="II113">
        <v>-4.9799999999999997E-2</v>
      </c>
      <c r="IJ113">
        <v>-1.3603078111639839</v>
      </c>
      <c r="IK113">
        <v>-4.1229525807901877E-3</v>
      </c>
      <c r="IL113">
        <v>1.8448211998558991E-6</v>
      </c>
      <c r="IM113">
        <v>-3.7020276670297668E-10</v>
      </c>
      <c r="IN113">
        <v>-0.20021531580309029</v>
      </c>
      <c r="IO113">
        <v>-1.3488639696665739E-2</v>
      </c>
      <c r="IP113">
        <v>1.1588640342490499E-3</v>
      </c>
      <c r="IQ113">
        <v>-1.0624341560077559E-5</v>
      </c>
      <c r="IR113">
        <v>2</v>
      </c>
      <c r="IS113">
        <v>1915</v>
      </c>
      <c r="IT113">
        <v>1</v>
      </c>
      <c r="IU113">
        <v>42</v>
      </c>
      <c r="IV113">
        <v>1</v>
      </c>
      <c r="IW113">
        <v>1</v>
      </c>
      <c r="IX113">
        <v>2.4548299999999998</v>
      </c>
      <c r="IY113">
        <v>2.47437</v>
      </c>
      <c r="IZ113">
        <v>1.49414</v>
      </c>
      <c r="JA113">
        <v>2.2863799999999999</v>
      </c>
      <c r="JB113">
        <v>1.54419</v>
      </c>
      <c r="JC113">
        <v>2.33887</v>
      </c>
      <c r="JD113">
        <v>47.301900000000003</v>
      </c>
      <c r="JE113">
        <v>23.807300000000001</v>
      </c>
      <c r="JF113">
        <v>18</v>
      </c>
      <c r="JG113">
        <v>507.61799999999999</v>
      </c>
      <c r="JH113">
        <v>399.30900000000003</v>
      </c>
      <c r="JI113">
        <v>19.658200000000001</v>
      </c>
      <c r="JJ113">
        <v>37.368899999999996</v>
      </c>
      <c r="JK113">
        <v>30.000599999999999</v>
      </c>
      <c r="JL113">
        <v>37.156500000000001</v>
      </c>
      <c r="JM113">
        <v>37.113399999999999</v>
      </c>
      <c r="JN113">
        <v>49.174100000000003</v>
      </c>
      <c r="JO113">
        <v>31.516300000000001</v>
      </c>
      <c r="JP113">
        <v>0</v>
      </c>
      <c r="JQ113">
        <v>19.279699999999998</v>
      </c>
      <c r="JR113">
        <v>1200</v>
      </c>
      <c r="JS113">
        <v>18.746300000000002</v>
      </c>
      <c r="JT113">
        <v>97.844899999999996</v>
      </c>
      <c r="JU113">
        <v>97.797499999999999</v>
      </c>
    </row>
    <row r="114" spans="1:281" x14ac:dyDescent="0.25">
      <c r="A114">
        <v>98</v>
      </c>
      <c r="B114">
        <v>1691183725.5999999</v>
      </c>
      <c r="C114">
        <v>24480</v>
      </c>
      <c r="D114" t="s">
        <v>913</v>
      </c>
      <c r="E114" t="s">
        <v>914</v>
      </c>
      <c r="F114" t="s">
        <v>413</v>
      </c>
      <c r="G114" t="s">
        <v>708</v>
      </c>
      <c r="H114" t="s">
        <v>637</v>
      </c>
      <c r="I114" t="s">
        <v>31</v>
      </c>
      <c r="J114">
        <v>1691183725.5999999</v>
      </c>
      <c r="K114">
        <f t="shared" si="138"/>
        <v>1.8290508712952205E-3</v>
      </c>
      <c r="L114">
        <f t="shared" si="139"/>
        <v>1.8290508712952205</v>
      </c>
      <c r="M114">
        <f t="shared" si="140"/>
        <v>43.132509113093498</v>
      </c>
      <c r="N114">
        <f t="shared" si="141"/>
        <v>1445.155</v>
      </c>
      <c r="O114">
        <f t="shared" si="142"/>
        <v>578.40628125184742</v>
      </c>
      <c r="P114">
        <f t="shared" si="143"/>
        <v>57.346834816554619</v>
      </c>
      <c r="Q114">
        <f t="shared" si="144"/>
        <v>143.281751522392</v>
      </c>
      <c r="R114">
        <f t="shared" si="145"/>
        <v>8.417474224964093E-2</v>
      </c>
      <c r="S114">
        <f t="shared" si="146"/>
        <v>2.9214945627817626</v>
      </c>
      <c r="T114">
        <f t="shared" si="147"/>
        <v>8.285025251878915E-2</v>
      </c>
      <c r="U114">
        <f t="shared" si="148"/>
        <v>5.1898671901539344E-2</v>
      </c>
      <c r="V114">
        <f t="shared" si="149"/>
        <v>344.34369999339935</v>
      </c>
      <c r="W114">
        <f t="shared" si="150"/>
        <v>31.026608152258973</v>
      </c>
      <c r="X114">
        <f t="shared" si="151"/>
        <v>30.092400000000001</v>
      </c>
      <c r="Y114">
        <f t="shared" si="152"/>
        <v>4.2831139616180822</v>
      </c>
      <c r="Z114">
        <f t="shared" si="153"/>
        <v>52.400931705732702</v>
      </c>
      <c r="AA114">
        <f t="shared" si="154"/>
        <v>2.1654837851483202</v>
      </c>
      <c r="AB114">
        <f t="shared" si="155"/>
        <v>4.1325291643839508</v>
      </c>
      <c r="AC114">
        <f t="shared" si="156"/>
        <v>2.117630176469762</v>
      </c>
      <c r="AD114">
        <f t="shared" si="157"/>
        <v>-80.661143424119217</v>
      </c>
      <c r="AE114">
        <f t="shared" si="158"/>
        <v>-97.982998809812244</v>
      </c>
      <c r="AF114">
        <f t="shared" si="159"/>
        <v>-7.4412290682851578</v>
      </c>
      <c r="AG114">
        <f t="shared" si="160"/>
        <v>158.25832869118275</v>
      </c>
      <c r="AH114">
        <v>0</v>
      </c>
      <c r="AI114">
        <v>0</v>
      </c>
      <c r="AJ114">
        <f t="shared" si="161"/>
        <v>1</v>
      </c>
      <c r="AK114">
        <f t="shared" si="162"/>
        <v>0</v>
      </c>
      <c r="AL114">
        <f t="shared" si="163"/>
        <v>52194.076538521527</v>
      </c>
      <c r="AM114" t="s">
        <v>416</v>
      </c>
      <c r="AN114">
        <v>10235.299999999999</v>
      </c>
      <c r="AO114">
        <v>594.051923076923</v>
      </c>
      <c r="AP114">
        <v>2007.77</v>
      </c>
      <c r="AQ114">
        <f t="shared" si="164"/>
        <v>0.70412351859180933</v>
      </c>
      <c r="AR114">
        <v>-0.54275787784279261</v>
      </c>
      <c r="AS114" t="s">
        <v>915</v>
      </c>
      <c r="AT114">
        <v>10202.299999999999</v>
      </c>
      <c r="AU114">
        <v>692.93384615384628</v>
      </c>
      <c r="AV114">
        <v>1023.212580830457</v>
      </c>
      <c r="AW114">
        <f t="shared" si="165"/>
        <v>0.32278603768588421</v>
      </c>
      <c r="AX114">
        <v>0.5</v>
      </c>
      <c r="AY114">
        <f t="shared" si="166"/>
        <v>1513.0451999966995</v>
      </c>
      <c r="AZ114">
        <f t="shared" si="167"/>
        <v>43.132509113093498</v>
      </c>
      <c r="BA114">
        <f t="shared" si="168"/>
        <v>244.19493247329041</v>
      </c>
      <c r="BB114">
        <f t="shared" si="169"/>
        <v>2.8865804531835244E-2</v>
      </c>
      <c r="BC114">
        <f t="shared" si="170"/>
        <v>0.96222176858933772</v>
      </c>
      <c r="BD114">
        <f t="shared" si="171"/>
        <v>462.40560599474884</v>
      </c>
      <c r="BE114" t="s">
        <v>916</v>
      </c>
      <c r="BF114">
        <v>541.84</v>
      </c>
      <c r="BG114">
        <f t="shared" si="172"/>
        <v>541.84</v>
      </c>
      <c r="BH114">
        <f t="shared" si="173"/>
        <v>0.47045217176646392</v>
      </c>
      <c r="BI114">
        <f t="shared" si="174"/>
        <v>0.68611871101344968</v>
      </c>
      <c r="BJ114">
        <f t="shared" si="175"/>
        <v>0.67162648910216938</v>
      </c>
      <c r="BK114">
        <f t="shared" si="176"/>
        <v>0.76959229302488641</v>
      </c>
      <c r="BL114">
        <f t="shared" si="177"/>
        <v>0.69643122998922691</v>
      </c>
      <c r="BM114">
        <f t="shared" si="178"/>
        <v>0.53651090134943036</v>
      </c>
      <c r="BN114">
        <f t="shared" si="179"/>
        <v>0.46348909865056964</v>
      </c>
      <c r="BO114">
        <v>12663</v>
      </c>
      <c r="BP114">
        <v>290.00000000000011</v>
      </c>
      <c r="BQ114">
        <v>929.97</v>
      </c>
      <c r="BR114">
        <v>295</v>
      </c>
      <c r="BS114">
        <v>10202.299999999999</v>
      </c>
      <c r="BT114">
        <v>930.64</v>
      </c>
      <c r="BU114">
        <v>-0.67</v>
      </c>
      <c r="BV114">
        <v>300.00000000000011</v>
      </c>
      <c r="BW114">
        <v>24.2</v>
      </c>
      <c r="BX114">
        <v>1023.212580830457</v>
      </c>
      <c r="BY114">
        <v>1.8860236035944189</v>
      </c>
      <c r="BZ114">
        <v>-94.44198963017466</v>
      </c>
      <c r="CA114">
        <v>1.713765281569896</v>
      </c>
      <c r="CB114">
        <v>0.99086424146845598</v>
      </c>
      <c r="CC114">
        <v>-6.9724031145717543E-3</v>
      </c>
      <c r="CD114">
        <v>289.99999999999989</v>
      </c>
      <c r="CE114">
        <v>927.05</v>
      </c>
      <c r="CF114">
        <v>685</v>
      </c>
      <c r="CG114">
        <v>10183.1</v>
      </c>
      <c r="CH114">
        <v>930.47</v>
      </c>
      <c r="CI114">
        <v>-3.42</v>
      </c>
      <c r="CW114">
        <f t="shared" si="180"/>
        <v>1799.83</v>
      </c>
      <c r="CX114">
        <f t="shared" si="181"/>
        <v>1513.0451999966995</v>
      </c>
      <c r="CY114">
        <f t="shared" si="182"/>
        <v>0.84066006233738721</v>
      </c>
      <c r="CZ114">
        <f t="shared" si="183"/>
        <v>0.19132012467477449</v>
      </c>
      <c r="DA114">
        <v>6</v>
      </c>
      <c r="DB114">
        <v>0.5</v>
      </c>
      <c r="DC114" t="s">
        <v>419</v>
      </c>
      <c r="DD114">
        <v>2</v>
      </c>
      <c r="DE114">
        <v>1691183725.5999999</v>
      </c>
      <c r="DF114">
        <v>1445.155</v>
      </c>
      <c r="DG114">
        <v>1500.07</v>
      </c>
      <c r="DH114">
        <v>21.8413</v>
      </c>
      <c r="DI114">
        <v>19.695</v>
      </c>
      <c r="DJ114">
        <v>1450.04</v>
      </c>
      <c r="DK114">
        <v>21.930299999999999</v>
      </c>
      <c r="DL114">
        <v>500.14499999999998</v>
      </c>
      <c r="DM114">
        <v>99.046300000000002</v>
      </c>
      <c r="DN114">
        <v>9.9986400000000003E-2</v>
      </c>
      <c r="DO114">
        <v>29.470300000000002</v>
      </c>
      <c r="DP114">
        <v>30.092400000000001</v>
      </c>
      <c r="DQ114">
        <v>999.9</v>
      </c>
      <c r="DR114">
        <v>0</v>
      </c>
      <c r="DS114">
        <v>0</v>
      </c>
      <c r="DT114">
        <v>10050</v>
      </c>
      <c r="DU114">
        <v>0</v>
      </c>
      <c r="DV114">
        <v>1159.83</v>
      </c>
      <c r="DW114">
        <v>-54.620600000000003</v>
      </c>
      <c r="DX114">
        <v>1477.78</v>
      </c>
      <c r="DY114">
        <v>1530.21</v>
      </c>
      <c r="DZ114">
        <v>2.18452</v>
      </c>
      <c r="EA114">
        <v>1500.07</v>
      </c>
      <c r="EB114">
        <v>19.695</v>
      </c>
      <c r="EC114">
        <v>2.16709</v>
      </c>
      <c r="ED114">
        <v>1.95072</v>
      </c>
      <c r="EE114">
        <v>18.7211</v>
      </c>
      <c r="EF114">
        <v>17.049900000000001</v>
      </c>
      <c r="EG114">
        <v>1799.83</v>
      </c>
      <c r="EH114">
        <v>0.97799599999999998</v>
      </c>
      <c r="EI114">
        <v>2.2003999999999999E-2</v>
      </c>
      <c r="EJ114">
        <v>0</v>
      </c>
      <c r="EK114">
        <v>690.38499999999999</v>
      </c>
      <c r="EL114">
        <v>0.100005</v>
      </c>
      <c r="EM114">
        <v>15841.6</v>
      </c>
      <c r="EN114">
        <v>14861.1</v>
      </c>
      <c r="EO114">
        <v>49.436999999999998</v>
      </c>
      <c r="EP114">
        <v>51.75</v>
      </c>
      <c r="EQ114">
        <v>50.5</v>
      </c>
      <c r="ER114">
        <v>50.061999999999998</v>
      </c>
      <c r="ES114">
        <v>50.311999999999998</v>
      </c>
      <c r="ET114">
        <v>1760.13</v>
      </c>
      <c r="EU114">
        <v>39.6</v>
      </c>
      <c r="EV114">
        <v>0</v>
      </c>
      <c r="EW114">
        <v>119.3999998569489</v>
      </c>
      <c r="EX114">
        <v>0</v>
      </c>
      <c r="EY114">
        <v>692.93384615384628</v>
      </c>
      <c r="EZ114">
        <v>-2.6099143764525872</v>
      </c>
      <c r="FA114">
        <v>3020.1641061313339</v>
      </c>
      <c r="FB114">
        <v>15673.43076923077</v>
      </c>
      <c r="FC114">
        <v>15</v>
      </c>
      <c r="FD114">
        <v>1691183756.5999999</v>
      </c>
      <c r="FE114" t="s">
        <v>917</v>
      </c>
      <c r="FF114">
        <v>1691183756.5999999</v>
      </c>
      <c r="FG114">
        <v>1691183742.5999999</v>
      </c>
      <c r="FH114">
        <v>114</v>
      </c>
      <c r="FI114">
        <v>-0.23599999999999999</v>
      </c>
      <c r="FJ114">
        <v>6.0000000000000001E-3</v>
      </c>
      <c r="FK114">
        <v>-4.8849999999999998</v>
      </c>
      <c r="FL114">
        <v>-8.8999999999999996E-2</v>
      </c>
      <c r="FM114">
        <v>1500</v>
      </c>
      <c r="FN114">
        <v>20</v>
      </c>
      <c r="FO114">
        <v>0.33</v>
      </c>
      <c r="FP114">
        <v>0.11</v>
      </c>
      <c r="FQ114">
        <v>42.99530541302957</v>
      </c>
      <c r="FR114">
        <v>-0.59241424285928113</v>
      </c>
      <c r="FS114">
        <v>0.13995733604012189</v>
      </c>
      <c r="FT114">
        <v>1</v>
      </c>
      <c r="FU114">
        <v>8.8952870835202452E-2</v>
      </c>
      <c r="FV114">
        <v>-1.035311515553337E-2</v>
      </c>
      <c r="FW114">
        <v>1.006308605529046E-3</v>
      </c>
      <c r="FX114">
        <v>1</v>
      </c>
      <c r="FY114">
        <v>2</v>
      </c>
      <c r="FZ114">
        <v>2</v>
      </c>
      <c r="GA114" t="s">
        <v>421</v>
      </c>
      <c r="GB114">
        <v>2.9140000000000001</v>
      </c>
      <c r="GC114">
        <v>2.8303099999999999</v>
      </c>
      <c r="GD114">
        <v>0.211703</v>
      </c>
      <c r="GE114">
        <v>0.212676</v>
      </c>
      <c r="GF114">
        <v>0.10995000000000001</v>
      </c>
      <c r="GG114">
        <v>9.8194699999999996E-2</v>
      </c>
      <c r="GH114">
        <v>20394.8</v>
      </c>
      <c r="GI114">
        <v>25157.4</v>
      </c>
      <c r="GJ114">
        <v>23316.9</v>
      </c>
      <c r="GK114">
        <v>29317.1</v>
      </c>
      <c r="GL114">
        <v>28356.7</v>
      </c>
      <c r="GM114">
        <v>37641.9</v>
      </c>
      <c r="GN114">
        <v>32991.4</v>
      </c>
      <c r="GO114">
        <v>43500.3</v>
      </c>
      <c r="GP114">
        <v>1.9003000000000001</v>
      </c>
      <c r="GQ114">
        <v>1.6961999999999999</v>
      </c>
      <c r="GR114">
        <v>-6.4417699999999994E-2</v>
      </c>
      <c r="GS114">
        <v>0</v>
      </c>
      <c r="GT114">
        <v>31.139600000000002</v>
      </c>
      <c r="GU114">
        <v>999.9</v>
      </c>
      <c r="GV114">
        <v>29.9</v>
      </c>
      <c r="GW114">
        <v>43.8</v>
      </c>
      <c r="GX114">
        <v>27.344799999999999</v>
      </c>
      <c r="GY114">
        <v>61.816200000000002</v>
      </c>
      <c r="GZ114">
        <v>35.448700000000002</v>
      </c>
      <c r="HA114">
        <v>1</v>
      </c>
      <c r="HB114">
        <v>0.86655499999999996</v>
      </c>
      <c r="HC114">
        <v>9.2810500000000005</v>
      </c>
      <c r="HD114">
        <v>20.025700000000001</v>
      </c>
      <c r="HE114">
        <v>5.2112999999999996</v>
      </c>
      <c r="HF114">
        <v>11.8842</v>
      </c>
      <c r="HG114">
        <v>4.9850000000000003</v>
      </c>
      <c r="HH114">
        <v>3.2839999999999998</v>
      </c>
      <c r="HI114">
        <v>9999</v>
      </c>
      <c r="HJ114">
        <v>9999</v>
      </c>
      <c r="HK114">
        <v>9999</v>
      </c>
      <c r="HL114">
        <v>999.9</v>
      </c>
      <c r="HM114">
        <v>1.85486</v>
      </c>
      <c r="HN114">
        <v>1.8609</v>
      </c>
      <c r="HO114">
        <v>1.85822</v>
      </c>
      <c r="HP114">
        <v>1.85938</v>
      </c>
      <c r="HQ114">
        <v>1.85869</v>
      </c>
      <c r="HR114">
        <v>1.85928</v>
      </c>
      <c r="HS114">
        <v>1.85758</v>
      </c>
      <c r="HT114">
        <v>1.86094</v>
      </c>
      <c r="HU114">
        <v>5</v>
      </c>
      <c r="HV114">
        <v>0</v>
      </c>
      <c r="HW114">
        <v>0</v>
      </c>
      <c r="HX114">
        <v>0</v>
      </c>
      <c r="HY114" t="s">
        <v>422</v>
      </c>
      <c r="HZ114" t="s">
        <v>423</v>
      </c>
      <c r="IA114" t="s">
        <v>424</v>
      </c>
      <c r="IB114" t="s">
        <v>424</v>
      </c>
      <c r="IC114" t="s">
        <v>424</v>
      </c>
      <c r="ID114" t="s">
        <v>424</v>
      </c>
      <c r="IE114">
        <v>0</v>
      </c>
      <c r="IF114">
        <v>100</v>
      </c>
      <c r="IG114">
        <v>100</v>
      </c>
      <c r="IH114">
        <v>-4.8849999999999998</v>
      </c>
      <c r="II114">
        <v>-8.8999999999999996E-2</v>
      </c>
      <c r="IJ114">
        <v>-1.3603078111639839</v>
      </c>
      <c r="IK114">
        <v>-4.1229525807901877E-3</v>
      </c>
      <c r="IL114">
        <v>1.8448211998558991E-6</v>
      </c>
      <c r="IM114">
        <v>-3.7020276670297668E-10</v>
      </c>
      <c r="IN114">
        <v>-0.20021531580309029</v>
      </c>
      <c r="IO114">
        <v>-1.3488639696665739E-2</v>
      </c>
      <c r="IP114">
        <v>1.1588640342490499E-3</v>
      </c>
      <c r="IQ114">
        <v>-1.0624341560077559E-5</v>
      </c>
      <c r="IR114">
        <v>2</v>
      </c>
      <c r="IS114">
        <v>1915</v>
      </c>
      <c r="IT114">
        <v>1</v>
      </c>
      <c r="IU114">
        <v>42</v>
      </c>
      <c r="IV114">
        <v>3</v>
      </c>
      <c r="IW114">
        <v>3</v>
      </c>
      <c r="IX114">
        <v>2.9370099999999999</v>
      </c>
      <c r="IY114">
        <v>2.4536099999999998</v>
      </c>
      <c r="IZ114">
        <v>1.49414</v>
      </c>
      <c r="JA114">
        <v>2.2863799999999999</v>
      </c>
      <c r="JB114">
        <v>1.54419</v>
      </c>
      <c r="JC114">
        <v>2.49146</v>
      </c>
      <c r="JD114">
        <v>47.301900000000003</v>
      </c>
      <c r="JE114">
        <v>23.816099999999999</v>
      </c>
      <c r="JF114">
        <v>18</v>
      </c>
      <c r="JG114">
        <v>506.84</v>
      </c>
      <c r="JH114">
        <v>399.66699999999997</v>
      </c>
      <c r="JI114">
        <v>19.557400000000001</v>
      </c>
      <c r="JJ114">
        <v>37.503900000000002</v>
      </c>
      <c r="JK114">
        <v>30.000499999999999</v>
      </c>
      <c r="JL114">
        <v>37.267899999999997</v>
      </c>
      <c r="JM114">
        <v>37.220999999999997</v>
      </c>
      <c r="JN114">
        <v>58.832900000000002</v>
      </c>
      <c r="JO114">
        <v>27.7437</v>
      </c>
      <c r="JP114">
        <v>0</v>
      </c>
      <c r="JQ114">
        <v>19.225000000000001</v>
      </c>
      <c r="JR114">
        <v>1500</v>
      </c>
      <c r="JS114">
        <v>19.6556</v>
      </c>
      <c r="JT114">
        <v>97.821100000000001</v>
      </c>
      <c r="JU114">
        <v>97.777100000000004</v>
      </c>
    </row>
    <row r="115" spans="1:281" x14ac:dyDescent="0.25">
      <c r="A115">
        <v>99</v>
      </c>
      <c r="B115">
        <v>1691184363</v>
      </c>
      <c r="C115">
        <v>25117.400000095371</v>
      </c>
      <c r="D115" t="s">
        <v>918</v>
      </c>
      <c r="E115" t="s">
        <v>919</v>
      </c>
      <c r="F115" t="s">
        <v>413</v>
      </c>
      <c r="G115" t="s">
        <v>779</v>
      </c>
      <c r="H115" t="s">
        <v>414</v>
      </c>
      <c r="I115" t="s">
        <v>415</v>
      </c>
      <c r="J115">
        <v>1691184363</v>
      </c>
      <c r="K115">
        <f t="shared" si="138"/>
        <v>5.5377662482550506E-3</v>
      </c>
      <c r="L115">
        <f t="shared" si="139"/>
        <v>5.5377662482550507</v>
      </c>
      <c r="M115">
        <f t="shared" si="140"/>
        <v>45.95571474238654</v>
      </c>
      <c r="N115">
        <f t="shared" si="141"/>
        <v>342.613</v>
      </c>
      <c r="O115">
        <f t="shared" si="142"/>
        <v>90.310864402762505</v>
      </c>
      <c r="P115">
        <f t="shared" si="143"/>
        <v>8.9528961066741193</v>
      </c>
      <c r="Q115">
        <f t="shared" si="144"/>
        <v>33.964668748116999</v>
      </c>
      <c r="R115">
        <f t="shared" si="145"/>
        <v>0.31433548239693859</v>
      </c>
      <c r="S115">
        <f t="shared" si="146"/>
        <v>2.9107917411072761</v>
      </c>
      <c r="T115">
        <f t="shared" si="147"/>
        <v>0.29662139746448951</v>
      </c>
      <c r="U115">
        <f t="shared" si="148"/>
        <v>0.18689667534102206</v>
      </c>
      <c r="V115">
        <f t="shared" si="149"/>
        <v>344.4386999934012</v>
      </c>
      <c r="W115">
        <f t="shared" si="150"/>
        <v>30.576645663468987</v>
      </c>
      <c r="X115">
        <f t="shared" si="151"/>
        <v>29.992999999999999</v>
      </c>
      <c r="Y115">
        <f t="shared" si="152"/>
        <v>4.2587370553178223</v>
      </c>
      <c r="Z115">
        <f t="shared" si="153"/>
        <v>58.048866250657696</v>
      </c>
      <c r="AA115">
        <f t="shared" si="154"/>
        <v>2.4707714580115003</v>
      </c>
      <c r="AB115">
        <f t="shared" si="155"/>
        <v>4.2563647106260349</v>
      </c>
      <c r="AC115">
        <f t="shared" si="156"/>
        <v>1.787965597306322</v>
      </c>
      <c r="AD115">
        <f t="shared" si="157"/>
        <v>-244.21549154804774</v>
      </c>
      <c r="AE115">
        <f t="shared" si="158"/>
        <v>-1.5221880621615795</v>
      </c>
      <c r="AF115">
        <f t="shared" si="159"/>
        <v>-0.1162640147680697</v>
      </c>
      <c r="AG115">
        <f t="shared" si="160"/>
        <v>98.584756368423797</v>
      </c>
      <c r="AH115">
        <v>0</v>
      </c>
      <c r="AI115">
        <v>0</v>
      </c>
      <c r="AJ115">
        <f t="shared" si="161"/>
        <v>1</v>
      </c>
      <c r="AK115">
        <f t="shared" si="162"/>
        <v>0</v>
      </c>
      <c r="AL115">
        <f t="shared" si="163"/>
        <v>51800.808762195535</v>
      </c>
      <c r="AM115" t="s">
        <v>416</v>
      </c>
      <c r="AN115">
        <v>10235.299999999999</v>
      </c>
      <c r="AO115">
        <v>594.051923076923</v>
      </c>
      <c r="AP115">
        <v>2007.77</v>
      </c>
      <c r="AQ115">
        <f t="shared" si="164"/>
        <v>0.70412351859180933</v>
      </c>
      <c r="AR115">
        <v>-0.54275787784279261</v>
      </c>
      <c r="AS115" t="s">
        <v>920</v>
      </c>
      <c r="AT115">
        <v>10183</v>
      </c>
      <c r="AU115">
        <v>711.07400000000007</v>
      </c>
      <c r="AV115">
        <v>1050.460670196537</v>
      </c>
      <c r="AW115">
        <f t="shared" si="165"/>
        <v>0.32308365255887117</v>
      </c>
      <c r="AX115">
        <v>0.5</v>
      </c>
      <c r="AY115">
        <f t="shared" si="166"/>
        <v>1513.4651999967007</v>
      </c>
      <c r="AZ115">
        <f t="shared" si="167"/>
        <v>45.95571474238654</v>
      </c>
      <c r="BA115">
        <f t="shared" si="168"/>
        <v>244.48793241783827</v>
      </c>
      <c r="BB115">
        <f t="shared" si="169"/>
        <v>3.0723185852129735E-2</v>
      </c>
      <c r="BC115">
        <f t="shared" si="170"/>
        <v>0.91132334314273211</v>
      </c>
      <c r="BD115">
        <f t="shared" si="171"/>
        <v>467.89036537932151</v>
      </c>
      <c r="BE115" t="s">
        <v>921</v>
      </c>
      <c r="BF115">
        <v>544.95000000000005</v>
      </c>
      <c r="BG115">
        <f t="shared" si="172"/>
        <v>544.95000000000005</v>
      </c>
      <c r="BH115">
        <f t="shared" si="173"/>
        <v>0.48122760284014998</v>
      </c>
      <c r="BI115">
        <f t="shared" si="174"/>
        <v>0.67137390010894749</v>
      </c>
      <c r="BJ115">
        <f t="shared" si="175"/>
        <v>0.65442729098827135</v>
      </c>
      <c r="BK115">
        <f t="shared" si="176"/>
        <v>0.74360246673272379</v>
      </c>
      <c r="BL115">
        <f t="shared" si="177"/>
        <v>0.6771571683422366</v>
      </c>
      <c r="BM115">
        <f t="shared" si="178"/>
        <v>0.51452479891596503</v>
      </c>
      <c r="BN115">
        <f t="shared" si="179"/>
        <v>0.48547520108403497</v>
      </c>
      <c r="BO115">
        <v>12665</v>
      </c>
      <c r="BP115">
        <v>290.00000000000011</v>
      </c>
      <c r="BQ115">
        <v>954.43</v>
      </c>
      <c r="BR115">
        <v>235</v>
      </c>
      <c r="BS115">
        <v>10183</v>
      </c>
      <c r="BT115">
        <v>954.61</v>
      </c>
      <c r="BU115">
        <v>-0.18</v>
      </c>
      <c r="BV115">
        <v>300.00000000000011</v>
      </c>
      <c r="BW115">
        <v>24.2</v>
      </c>
      <c r="BX115">
        <v>1050.460670196537</v>
      </c>
      <c r="BY115">
        <v>2.2198149098096369</v>
      </c>
      <c r="BZ115">
        <v>-97.605306011729169</v>
      </c>
      <c r="CA115">
        <v>2.0120957816768041</v>
      </c>
      <c r="CB115">
        <v>0.98824097444070902</v>
      </c>
      <c r="CC115">
        <v>-6.9544600667408212E-3</v>
      </c>
      <c r="CD115">
        <v>289.99999999999989</v>
      </c>
      <c r="CE115">
        <v>949.85</v>
      </c>
      <c r="CF115">
        <v>705</v>
      </c>
      <c r="CG115">
        <v>10156.799999999999</v>
      </c>
      <c r="CH115">
        <v>954.36</v>
      </c>
      <c r="CI115">
        <v>-4.51</v>
      </c>
      <c r="CW115">
        <f t="shared" si="180"/>
        <v>1800.33</v>
      </c>
      <c r="CX115">
        <f t="shared" si="181"/>
        <v>1513.4651999967007</v>
      </c>
      <c r="CY115">
        <f t="shared" si="182"/>
        <v>0.84065987902034667</v>
      </c>
      <c r="CZ115">
        <f t="shared" si="183"/>
        <v>0.19131975804069321</v>
      </c>
      <c r="DA115">
        <v>6</v>
      </c>
      <c r="DB115">
        <v>0.5</v>
      </c>
      <c r="DC115" t="s">
        <v>419</v>
      </c>
      <c r="DD115">
        <v>2</v>
      </c>
      <c r="DE115">
        <v>1691184363</v>
      </c>
      <c r="DF115">
        <v>342.613</v>
      </c>
      <c r="DG115">
        <v>400.00299999999999</v>
      </c>
      <c r="DH115">
        <v>24.923500000000001</v>
      </c>
      <c r="DI115">
        <v>18.447600000000001</v>
      </c>
      <c r="DJ115">
        <v>345.66</v>
      </c>
      <c r="DK115">
        <v>24.9068</v>
      </c>
      <c r="DL115">
        <v>500.29300000000001</v>
      </c>
      <c r="DM115">
        <v>99.033600000000007</v>
      </c>
      <c r="DN115">
        <v>0.100609</v>
      </c>
      <c r="DO115">
        <v>29.9833</v>
      </c>
      <c r="DP115">
        <v>29.992999999999999</v>
      </c>
      <c r="DQ115">
        <v>999.9</v>
      </c>
      <c r="DR115">
        <v>0</v>
      </c>
      <c r="DS115">
        <v>0</v>
      </c>
      <c r="DT115">
        <v>9990</v>
      </c>
      <c r="DU115">
        <v>0</v>
      </c>
      <c r="DV115">
        <v>1082.22</v>
      </c>
      <c r="DW115">
        <v>-57.3904</v>
      </c>
      <c r="DX115">
        <v>351.37</v>
      </c>
      <c r="DY115">
        <v>407.52100000000002</v>
      </c>
      <c r="DZ115">
        <v>6.4759200000000003</v>
      </c>
      <c r="EA115">
        <v>400.00299999999999</v>
      </c>
      <c r="EB115">
        <v>18.447600000000001</v>
      </c>
      <c r="EC115">
        <v>2.4682599999999999</v>
      </c>
      <c r="ED115">
        <v>1.8269299999999999</v>
      </c>
      <c r="EE115">
        <v>20.8187</v>
      </c>
      <c r="EF115">
        <v>16.019100000000002</v>
      </c>
      <c r="EG115">
        <v>1800.33</v>
      </c>
      <c r="EH115">
        <v>0.97800399999999998</v>
      </c>
      <c r="EI115">
        <v>2.1995799999999999E-2</v>
      </c>
      <c r="EJ115">
        <v>0</v>
      </c>
      <c r="EK115">
        <v>711.61500000000001</v>
      </c>
      <c r="EL115">
        <v>0.100005</v>
      </c>
      <c r="EM115">
        <v>18690.599999999999</v>
      </c>
      <c r="EN115">
        <v>14865.3</v>
      </c>
      <c r="EO115">
        <v>49.311999999999998</v>
      </c>
      <c r="EP115">
        <v>51.311999999999998</v>
      </c>
      <c r="EQ115">
        <v>50.375</v>
      </c>
      <c r="ER115">
        <v>49.436999999999998</v>
      </c>
      <c r="ES115">
        <v>50.25</v>
      </c>
      <c r="ET115">
        <v>1760.63</v>
      </c>
      <c r="EU115">
        <v>39.6</v>
      </c>
      <c r="EV115">
        <v>0</v>
      </c>
      <c r="EW115">
        <v>635.40000009536743</v>
      </c>
      <c r="EX115">
        <v>0</v>
      </c>
      <c r="EY115">
        <v>711.07400000000007</v>
      </c>
      <c r="EZ115">
        <v>-3.713076980295805</v>
      </c>
      <c r="FA115">
        <v>-0.43846081151059718</v>
      </c>
      <c r="FB115">
        <v>18679.367999999999</v>
      </c>
      <c r="FC115">
        <v>15</v>
      </c>
      <c r="FD115">
        <v>1691184327</v>
      </c>
      <c r="FE115" t="s">
        <v>922</v>
      </c>
      <c r="FF115">
        <v>1691184317</v>
      </c>
      <c r="FG115">
        <v>1691184327</v>
      </c>
      <c r="FH115">
        <v>117</v>
      </c>
      <c r="FI115">
        <v>0.105</v>
      </c>
      <c r="FJ115">
        <v>1.9E-2</v>
      </c>
      <c r="FK115">
        <v>-3.2130000000000001</v>
      </c>
      <c r="FL115">
        <v>-0.13</v>
      </c>
      <c r="FM115">
        <v>400</v>
      </c>
      <c r="FN115">
        <v>18</v>
      </c>
      <c r="FO115">
        <v>0.12</v>
      </c>
      <c r="FP115">
        <v>0.04</v>
      </c>
      <c r="FQ115">
        <v>45.933917801775387</v>
      </c>
      <c r="FR115">
        <v>-0.36966039978683302</v>
      </c>
      <c r="FS115">
        <v>8.2766570789143082E-2</v>
      </c>
      <c r="FT115">
        <v>1</v>
      </c>
      <c r="FU115">
        <v>0.31273188699723659</v>
      </c>
      <c r="FV115">
        <v>3.9048381279734711E-3</v>
      </c>
      <c r="FW115">
        <v>7.5864267279757212E-4</v>
      </c>
      <c r="FX115">
        <v>1</v>
      </c>
      <c r="FY115">
        <v>2</v>
      </c>
      <c r="FZ115">
        <v>2</v>
      </c>
      <c r="GA115" t="s">
        <v>421</v>
      </c>
      <c r="GB115">
        <v>2.9149500000000002</v>
      </c>
      <c r="GC115">
        <v>2.8304100000000001</v>
      </c>
      <c r="GD115">
        <v>7.93822E-2</v>
      </c>
      <c r="GE115">
        <v>8.7297399999999997E-2</v>
      </c>
      <c r="GF115">
        <v>0.120452</v>
      </c>
      <c r="GG115">
        <v>9.3750899999999998E-2</v>
      </c>
      <c r="GH115">
        <v>23846.7</v>
      </c>
      <c r="GI115">
        <v>29194</v>
      </c>
      <c r="GJ115">
        <v>23338.1</v>
      </c>
      <c r="GK115">
        <v>29337.4</v>
      </c>
      <c r="GL115">
        <v>28036.400000000001</v>
      </c>
      <c r="GM115">
        <v>37832</v>
      </c>
      <c r="GN115">
        <v>33021.699999999997</v>
      </c>
      <c r="GO115">
        <v>43525.3</v>
      </c>
      <c r="GP115">
        <v>1.9123000000000001</v>
      </c>
      <c r="GQ115">
        <v>1.7060999999999999</v>
      </c>
      <c r="GR115">
        <v>-6.4581600000000003E-2</v>
      </c>
      <c r="GS115">
        <v>0</v>
      </c>
      <c r="GT115">
        <v>31.043099999999999</v>
      </c>
      <c r="GU115">
        <v>999.9</v>
      </c>
      <c r="GV115">
        <v>29.2</v>
      </c>
      <c r="GW115">
        <v>43.4</v>
      </c>
      <c r="GX115">
        <v>26.1554</v>
      </c>
      <c r="GY115">
        <v>61.796399999999998</v>
      </c>
      <c r="GZ115">
        <v>35.536900000000003</v>
      </c>
      <c r="HA115">
        <v>1</v>
      </c>
      <c r="HB115">
        <v>0.81038600000000005</v>
      </c>
      <c r="HC115">
        <v>6.9592499999999999</v>
      </c>
      <c r="HD115">
        <v>20.174600000000002</v>
      </c>
      <c r="HE115">
        <v>5.2125000000000004</v>
      </c>
      <c r="HF115">
        <v>11.88</v>
      </c>
      <c r="HG115">
        <v>4.9843999999999999</v>
      </c>
      <c r="HH115">
        <v>3.2839999999999998</v>
      </c>
      <c r="HI115">
        <v>9999</v>
      </c>
      <c r="HJ115">
        <v>9999</v>
      </c>
      <c r="HK115">
        <v>9999</v>
      </c>
      <c r="HL115">
        <v>999.9</v>
      </c>
      <c r="HM115">
        <v>1.8547100000000001</v>
      </c>
      <c r="HN115">
        <v>1.8606799999999999</v>
      </c>
      <c r="HO115">
        <v>1.85806</v>
      </c>
      <c r="HP115">
        <v>1.8591800000000001</v>
      </c>
      <c r="HQ115">
        <v>1.8585199999999999</v>
      </c>
      <c r="HR115">
        <v>1.8591299999999999</v>
      </c>
      <c r="HS115">
        <v>1.8574200000000001</v>
      </c>
      <c r="HT115">
        <v>1.8608100000000001</v>
      </c>
      <c r="HU115">
        <v>5</v>
      </c>
      <c r="HV115">
        <v>0</v>
      </c>
      <c r="HW115">
        <v>0</v>
      </c>
      <c r="HX115">
        <v>0</v>
      </c>
      <c r="HY115" t="s">
        <v>422</v>
      </c>
      <c r="HZ115" t="s">
        <v>423</v>
      </c>
      <c r="IA115" t="s">
        <v>424</v>
      </c>
      <c r="IB115" t="s">
        <v>424</v>
      </c>
      <c r="IC115" t="s">
        <v>424</v>
      </c>
      <c r="ID115" t="s">
        <v>424</v>
      </c>
      <c r="IE115">
        <v>0</v>
      </c>
      <c r="IF115">
        <v>100</v>
      </c>
      <c r="IG115">
        <v>100</v>
      </c>
      <c r="IH115">
        <v>-3.0470000000000002</v>
      </c>
      <c r="II115">
        <v>1.67E-2</v>
      </c>
      <c r="IJ115">
        <v>-1.8269051137128569</v>
      </c>
      <c r="IK115">
        <v>-4.1229525807901877E-3</v>
      </c>
      <c r="IL115">
        <v>1.8448211998558991E-6</v>
      </c>
      <c r="IM115">
        <v>-3.7020276670297668E-10</v>
      </c>
      <c r="IN115">
        <v>-0.20206513682692109</v>
      </c>
      <c r="IO115">
        <v>-1.3488639696665739E-2</v>
      </c>
      <c r="IP115">
        <v>1.1588640342490499E-3</v>
      </c>
      <c r="IQ115">
        <v>-1.0624341560077559E-5</v>
      </c>
      <c r="IR115">
        <v>2</v>
      </c>
      <c r="IS115">
        <v>1915</v>
      </c>
      <c r="IT115">
        <v>1</v>
      </c>
      <c r="IU115">
        <v>42</v>
      </c>
      <c r="IV115">
        <v>0.8</v>
      </c>
      <c r="IW115">
        <v>0.6</v>
      </c>
      <c r="IX115">
        <v>1.00952</v>
      </c>
      <c r="IY115">
        <v>2.4841299999999999</v>
      </c>
      <c r="IZ115">
        <v>1.49414</v>
      </c>
      <c r="JA115">
        <v>2.2851599999999999</v>
      </c>
      <c r="JB115">
        <v>1.54419</v>
      </c>
      <c r="JC115">
        <v>2.4609399999999999</v>
      </c>
      <c r="JD115">
        <v>45.547199999999997</v>
      </c>
      <c r="JE115">
        <v>15.3841</v>
      </c>
      <c r="JF115">
        <v>18</v>
      </c>
      <c r="JG115">
        <v>512.29200000000003</v>
      </c>
      <c r="JH115">
        <v>403.86799999999999</v>
      </c>
      <c r="JI115">
        <v>21.524699999999999</v>
      </c>
      <c r="JJ115">
        <v>36.963900000000002</v>
      </c>
      <c r="JK115">
        <v>29.999500000000001</v>
      </c>
      <c r="JL115">
        <v>36.918199999999999</v>
      </c>
      <c r="JM115">
        <v>36.882399999999997</v>
      </c>
      <c r="JN115">
        <v>20.2912</v>
      </c>
      <c r="JO115">
        <v>28.9727</v>
      </c>
      <c r="JP115">
        <v>0</v>
      </c>
      <c r="JQ115">
        <v>21.5305</v>
      </c>
      <c r="JR115">
        <v>400</v>
      </c>
      <c r="JS115">
        <v>18.2715</v>
      </c>
      <c r="JT115">
        <v>97.910399999999996</v>
      </c>
      <c r="JU115">
        <v>97.837999999999994</v>
      </c>
    </row>
    <row r="116" spans="1:281" x14ac:dyDescent="0.25">
      <c r="A116">
        <v>100</v>
      </c>
      <c r="B116">
        <v>1691184482.5</v>
      </c>
      <c r="C116">
        <v>25236.900000095371</v>
      </c>
      <c r="D116" t="s">
        <v>923</v>
      </c>
      <c r="E116" t="s">
        <v>924</v>
      </c>
      <c r="F116" t="s">
        <v>413</v>
      </c>
      <c r="G116" t="s">
        <v>779</v>
      </c>
      <c r="H116" t="s">
        <v>414</v>
      </c>
      <c r="I116" t="s">
        <v>415</v>
      </c>
      <c r="J116">
        <v>1691184482.5</v>
      </c>
      <c r="K116">
        <f t="shared" si="138"/>
        <v>5.7144879051854681E-3</v>
      </c>
      <c r="L116">
        <f t="shared" si="139"/>
        <v>5.714487905185468</v>
      </c>
      <c r="M116">
        <f t="shared" si="140"/>
        <v>35.385545205418119</v>
      </c>
      <c r="N116">
        <f t="shared" si="141"/>
        <v>255.76400000000001</v>
      </c>
      <c r="O116">
        <f t="shared" si="142"/>
        <v>69.20020803431369</v>
      </c>
      <c r="P116">
        <f t="shared" si="143"/>
        <v>6.8601461330721136</v>
      </c>
      <c r="Q116">
        <f t="shared" si="144"/>
        <v>25.355103191438804</v>
      </c>
      <c r="R116">
        <f t="shared" si="145"/>
        <v>0.32803442237694835</v>
      </c>
      <c r="S116">
        <f t="shared" si="146"/>
        <v>2.9156295258839959</v>
      </c>
      <c r="T116">
        <f t="shared" si="147"/>
        <v>0.30882335292930135</v>
      </c>
      <c r="U116">
        <f t="shared" si="148"/>
        <v>0.19464681137223186</v>
      </c>
      <c r="V116">
        <f t="shared" si="149"/>
        <v>344.35829999340137</v>
      </c>
      <c r="W116">
        <f t="shared" si="150"/>
        <v>30.480106614532062</v>
      </c>
      <c r="X116">
        <f t="shared" si="151"/>
        <v>29.997</v>
      </c>
      <c r="Y116">
        <f t="shared" si="152"/>
        <v>4.2597156773156035</v>
      </c>
      <c r="Z116">
        <f t="shared" si="153"/>
        <v>58.612818906857669</v>
      </c>
      <c r="AA116">
        <f t="shared" si="154"/>
        <v>2.4877471909568203</v>
      </c>
      <c r="AB116">
        <f t="shared" si="155"/>
        <v>4.2443739054934877</v>
      </c>
      <c r="AC116">
        <f t="shared" si="156"/>
        <v>1.7719684863587832</v>
      </c>
      <c r="AD116">
        <f t="shared" si="157"/>
        <v>-252.00891661867914</v>
      </c>
      <c r="AE116">
        <f t="shared" si="158"/>
        <v>-9.8713699131658501</v>
      </c>
      <c r="AF116">
        <f t="shared" si="159"/>
        <v>-0.75255155690021669</v>
      </c>
      <c r="AG116">
        <f t="shared" si="160"/>
        <v>81.725461904656143</v>
      </c>
      <c r="AH116">
        <v>0</v>
      </c>
      <c r="AI116">
        <v>0</v>
      </c>
      <c r="AJ116">
        <f t="shared" si="161"/>
        <v>1</v>
      </c>
      <c r="AK116">
        <f t="shared" si="162"/>
        <v>0</v>
      </c>
      <c r="AL116">
        <f t="shared" si="163"/>
        <v>51946.864613535072</v>
      </c>
      <c r="AM116" t="s">
        <v>416</v>
      </c>
      <c r="AN116">
        <v>10235.299999999999</v>
      </c>
      <c r="AO116">
        <v>594.051923076923</v>
      </c>
      <c r="AP116">
        <v>2007.77</v>
      </c>
      <c r="AQ116">
        <f t="shared" si="164"/>
        <v>0.70412351859180933</v>
      </c>
      <c r="AR116">
        <v>-0.54275787784279261</v>
      </c>
      <c r="AS116" t="s">
        <v>925</v>
      </c>
      <c r="AT116">
        <v>10184.700000000001</v>
      </c>
      <c r="AU116">
        <v>689.18846153846164</v>
      </c>
      <c r="AV116">
        <v>944.6061177656004</v>
      </c>
      <c r="AW116">
        <f t="shared" si="165"/>
        <v>0.27039593691316688</v>
      </c>
      <c r="AX116">
        <v>0.5</v>
      </c>
      <c r="AY116">
        <f t="shared" si="166"/>
        <v>1513.1120999967006</v>
      </c>
      <c r="AZ116">
        <f t="shared" si="167"/>
        <v>35.385545205418119</v>
      </c>
      <c r="BA116">
        <f t="shared" si="168"/>
        <v>204.56968196662865</v>
      </c>
      <c r="BB116">
        <f t="shared" si="169"/>
        <v>2.3744640653748823E-2</v>
      </c>
      <c r="BC116">
        <f t="shared" si="170"/>
        <v>1.1255102653254452</v>
      </c>
      <c r="BD116">
        <f t="shared" si="171"/>
        <v>445.64633736182429</v>
      </c>
      <c r="BE116" t="s">
        <v>926</v>
      </c>
      <c r="BF116">
        <v>532.41999999999996</v>
      </c>
      <c r="BG116">
        <f t="shared" si="172"/>
        <v>532.41999999999996</v>
      </c>
      <c r="BH116">
        <f t="shared" si="173"/>
        <v>0.43635766274793752</v>
      </c>
      <c r="BI116">
        <f t="shared" si="174"/>
        <v>0.61966583836379507</v>
      </c>
      <c r="BJ116">
        <f t="shared" si="175"/>
        <v>0.72061807858094662</v>
      </c>
      <c r="BK116">
        <f t="shared" si="176"/>
        <v>0.72861103959680718</v>
      </c>
      <c r="BL116">
        <f t="shared" si="177"/>
        <v>0.75203387407222655</v>
      </c>
      <c r="BM116">
        <f t="shared" si="178"/>
        <v>0.4787115630537</v>
      </c>
      <c r="BN116">
        <f t="shared" si="179"/>
        <v>0.5212884369463</v>
      </c>
      <c r="BO116">
        <v>12667</v>
      </c>
      <c r="BP116">
        <v>290.00000000000011</v>
      </c>
      <c r="BQ116">
        <v>870.43</v>
      </c>
      <c r="BR116">
        <v>215</v>
      </c>
      <c r="BS116">
        <v>10184.700000000001</v>
      </c>
      <c r="BT116">
        <v>872.32</v>
      </c>
      <c r="BU116">
        <v>-1.89</v>
      </c>
      <c r="BV116">
        <v>300.00000000000011</v>
      </c>
      <c r="BW116">
        <v>24.2</v>
      </c>
      <c r="BX116">
        <v>944.6061177656004</v>
      </c>
      <c r="BY116">
        <v>2.5988960227139071</v>
      </c>
      <c r="BZ116">
        <v>-73.618994838872482</v>
      </c>
      <c r="CA116">
        <v>2.3554573155948391</v>
      </c>
      <c r="CB116">
        <v>0.9721352324310637</v>
      </c>
      <c r="CC116">
        <v>-6.9536329254727544E-3</v>
      </c>
      <c r="CD116">
        <v>289.99999999999989</v>
      </c>
      <c r="CE116">
        <v>869.93</v>
      </c>
      <c r="CF116">
        <v>675</v>
      </c>
      <c r="CG116">
        <v>10157.5</v>
      </c>
      <c r="CH116">
        <v>872.13</v>
      </c>
      <c r="CI116">
        <v>-2.2000000000000002</v>
      </c>
      <c r="CW116">
        <f t="shared" si="180"/>
        <v>1799.91</v>
      </c>
      <c r="CX116">
        <f t="shared" si="181"/>
        <v>1513.1120999967006</v>
      </c>
      <c r="CY116">
        <f t="shared" si="182"/>
        <v>0.8406598663248166</v>
      </c>
      <c r="CZ116">
        <f t="shared" si="183"/>
        <v>0.19131973264963323</v>
      </c>
      <c r="DA116">
        <v>6</v>
      </c>
      <c r="DB116">
        <v>0.5</v>
      </c>
      <c r="DC116" t="s">
        <v>419</v>
      </c>
      <c r="DD116">
        <v>2</v>
      </c>
      <c r="DE116">
        <v>1691184482.5</v>
      </c>
      <c r="DF116">
        <v>255.76400000000001</v>
      </c>
      <c r="DG116">
        <v>300.00299999999999</v>
      </c>
      <c r="DH116">
        <v>25.0946</v>
      </c>
      <c r="DI116">
        <v>18.405899999999999</v>
      </c>
      <c r="DJ116">
        <v>258.42200000000003</v>
      </c>
      <c r="DK116">
        <v>25.0718</v>
      </c>
      <c r="DL116">
        <v>499.74599999999998</v>
      </c>
      <c r="DM116">
        <v>99.035300000000007</v>
      </c>
      <c r="DN116">
        <v>9.94617E-2</v>
      </c>
      <c r="DO116">
        <v>29.934200000000001</v>
      </c>
      <c r="DP116">
        <v>29.997</v>
      </c>
      <c r="DQ116">
        <v>999.9</v>
      </c>
      <c r="DR116">
        <v>0</v>
      </c>
      <c r="DS116">
        <v>0</v>
      </c>
      <c r="DT116">
        <v>10017.5</v>
      </c>
      <c r="DU116">
        <v>0</v>
      </c>
      <c r="DV116">
        <v>1073.2</v>
      </c>
      <c r="DW116">
        <v>-44.2395</v>
      </c>
      <c r="DX116">
        <v>262.34699999999998</v>
      </c>
      <c r="DY116">
        <v>305.62900000000002</v>
      </c>
      <c r="DZ116">
        <v>6.6887400000000001</v>
      </c>
      <c r="EA116">
        <v>300.00299999999999</v>
      </c>
      <c r="EB116">
        <v>18.405899999999999</v>
      </c>
      <c r="EC116">
        <v>2.4852599999999998</v>
      </c>
      <c r="ED116">
        <v>1.82283</v>
      </c>
      <c r="EE116">
        <v>20.930299999999999</v>
      </c>
      <c r="EF116">
        <v>15.984</v>
      </c>
      <c r="EG116">
        <v>1799.91</v>
      </c>
      <c r="EH116">
        <v>0.97800100000000001</v>
      </c>
      <c r="EI116">
        <v>2.1999500000000002E-2</v>
      </c>
      <c r="EJ116">
        <v>0</v>
      </c>
      <c r="EK116">
        <v>691.41499999999996</v>
      </c>
      <c r="EL116">
        <v>0.100005</v>
      </c>
      <c r="EM116">
        <v>18265.900000000001</v>
      </c>
      <c r="EN116">
        <v>14861.8</v>
      </c>
      <c r="EO116">
        <v>49.311999999999998</v>
      </c>
      <c r="EP116">
        <v>51.25</v>
      </c>
      <c r="EQ116">
        <v>50.375</v>
      </c>
      <c r="ER116">
        <v>49.436999999999998</v>
      </c>
      <c r="ES116">
        <v>50.25</v>
      </c>
      <c r="ET116">
        <v>1760.22</v>
      </c>
      <c r="EU116">
        <v>39.590000000000003</v>
      </c>
      <c r="EV116">
        <v>0</v>
      </c>
      <c r="EW116">
        <v>117</v>
      </c>
      <c r="EX116">
        <v>0</v>
      </c>
      <c r="EY116">
        <v>689.18846153846164</v>
      </c>
      <c r="EZ116">
        <v>0.47521370359539988</v>
      </c>
      <c r="FA116">
        <v>-76.837607008724262</v>
      </c>
      <c r="FB116">
        <v>18279.25</v>
      </c>
      <c r="FC116">
        <v>15</v>
      </c>
      <c r="FD116">
        <v>1691184450</v>
      </c>
      <c r="FE116" t="s">
        <v>927</v>
      </c>
      <c r="FF116">
        <v>1691184440</v>
      </c>
      <c r="FG116">
        <v>1691184450</v>
      </c>
      <c r="FH116">
        <v>118</v>
      </c>
      <c r="FI116">
        <v>0.11799999999999999</v>
      </c>
      <c r="FJ116">
        <v>2E-3</v>
      </c>
      <c r="FK116">
        <v>-2.7989999999999999</v>
      </c>
      <c r="FL116">
        <v>-0.11600000000000001</v>
      </c>
      <c r="FM116">
        <v>300</v>
      </c>
      <c r="FN116">
        <v>19</v>
      </c>
      <c r="FO116">
        <v>0.13</v>
      </c>
      <c r="FP116">
        <v>0.05</v>
      </c>
      <c r="FQ116">
        <v>35.327328725714388</v>
      </c>
      <c r="FR116">
        <v>-9.2095640755915101E-2</v>
      </c>
      <c r="FS116">
        <v>6.5509448787961583E-2</v>
      </c>
      <c r="FT116">
        <v>1</v>
      </c>
      <c r="FU116">
        <v>0.32395062313226919</v>
      </c>
      <c r="FV116">
        <v>4.8947885789683149E-2</v>
      </c>
      <c r="FW116">
        <v>3.8960325560332141E-3</v>
      </c>
      <c r="FX116">
        <v>1</v>
      </c>
      <c r="FY116">
        <v>2</v>
      </c>
      <c r="FZ116">
        <v>2</v>
      </c>
      <c r="GA116" t="s">
        <v>421</v>
      </c>
      <c r="GB116">
        <v>2.9136899999999999</v>
      </c>
      <c r="GC116">
        <v>2.8294899999999998</v>
      </c>
      <c r="GD116">
        <v>6.2656799999999999E-2</v>
      </c>
      <c r="GE116">
        <v>6.9539199999999995E-2</v>
      </c>
      <c r="GF116">
        <v>0.121049</v>
      </c>
      <c r="GG116">
        <v>9.3625299999999995E-2</v>
      </c>
      <c r="GH116">
        <v>24284.2</v>
      </c>
      <c r="GI116">
        <v>29767.599999999999</v>
      </c>
      <c r="GJ116">
        <v>23342.400000000001</v>
      </c>
      <c r="GK116">
        <v>29342.799999999999</v>
      </c>
      <c r="GL116">
        <v>28020.5</v>
      </c>
      <c r="GM116">
        <v>37840.699999999997</v>
      </c>
      <c r="GN116">
        <v>33027.599999999999</v>
      </c>
      <c r="GO116">
        <v>43531.8</v>
      </c>
      <c r="GP116">
        <v>1.913</v>
      </c>
      <c r="GQ116">
        <v>1.7103999999999999</v>
      </c>
      <c r="GR116">
        <v>-6.2733899999999995E-2</v>
      </c>
      <c r="GS116">
        <v>0</v>
      </c>
      <c r="GT116">
        <v>31.016999999999999</v>
      </c>
      <c r="GU116">
        <v>999.9</v>
      </c>
      <c r="GV116">
        <v>29.1</v>
      </c>
      <c r="GW116">
        <v>43.2</v>
      </c>
      <c r="GX116">
        <v>25.796700000000001</v>
      </c>
      <c r="GY116">
        <v>61.686500000000002</v>
      </c>
      <c r="GZ116">
        <v>35.576900000000002</v>
      </c>
      <c r="HA116">
        <v>1</v>
      </c>
      <c r="HB116">
        <v>0.79762200000000005</v>
      </c>
      <c r="HC116">
        <v>6.6753400000000003</v>
      </c>
      <c r="HD116">
        <v>20.1845</v>
      </c>
      <c r="HE116">
        <v>5.20052</v>
      </c>
      <c r="HF116">
        <v>11.8782</v>
      </c>
      <c r="HG116">
        <v>4.9813999999999998</v>
      </c>
      <c r="HH116">
        <v>3.2822</v>
      </c>
      <c r="HI116">
        <v>9999</v>
      </c>
      <c r="HJ116">
        <v>9999</v>
      </c>
      <c r="HK116">
        <v>9999</v>
      </c>
      <c r="HL116">
        <v>999.9</v>
      </c>
      <c r="HM116">
        <v>1.8547100000000001</v>
      </c>
      <c r="HN116">
        <v>1.8607199999999999</v>
      </c>
      <c r="HO116">
        <v>1.85806</v>
      </c>
      <c r="HP116">
        <v>1.8592599999999999</v>
      </c>
      <c r="HQ116">
        <v>1.8586100000000001</v>
      </c>
      <c r="HR116">
        <v>1.8591299999999999</v>
      </c>
      <c r="HS116">
        <v>1.85745</v>
      </c>
      <c r="HT116">
        <v>1.8608100000000001</v>
      </c>
      <c r="HU116">
        <v>5</v>
      </c>
      <c r="HV116">
        <v>0</v>
      </c>
      <c r="HW116">
        <v>0</v>
      </c>
      <c r="HX116">
        <v>0</v>
      </c>
      <c r="HY116" t="s">
        <v>422</v>
      </c>
      <c r="HZ116" t="s">
        <v>423</v>
      </c>
      <c r="IA116" t="s">
        <v>424</v>
      </c>
      <c r="IB116" t="s">
        <v>424</v>
      </c>
      <c r="IC116" t="s">
        <v>424</v>
      </c>
      <c r="ID116" t="s">
        <v>424</v>
      </c>
      <c r="IE116">
        <v>0</v>
      </c>
      <c r="IF116">
        <v>100</v>
      </c>
      <c r="IG116">
        <v>100</v>
      </c>
      <c r="IH116">
        <v>-2.6579999999999999</v>
      </c>
      <c r="II116">
        <v>2.2800000000000001E-2</v>
      </c>
      <c r="IJ116">
        <v>-1.7091546098917489</v>
      </c>
      <c r="IK116">
        <v>-4.1229525807901877E-3</v>
      </c>
      <c r="IL116">
        <v>1.8448211998558991E-6</v>
      </c>
      <c r="IM116">
        <v>-3.7020276670297668E-10</v>
      </c>
      <c r="IN116">
        <v>-0.2000327486875543</v>
      </c>
      <c r="IO116">
        <v>-1.3488639696665739E-2</v>
      </c>
      <c r="IP116">
        <v>1.1588640342490499E-3</v>
      </c>
      <c r="IQ116">
        <v>-1.0624341560077559E-5</v>
      </c>
      <c r="IR116">
        <v>2</v>
      </c>
      <c r="IS116">
        <v>1915</v>
      </c>
      <c r="IT116">
        <v>1</v>
      </c>
      <c r="IU116">
        <v>42</v>
      </c>
      <c r="IV116">
        <v>0.7</v>
      </c>
      <c r="IW116">
        <v>0.5</v>
      </c>
      <c r="IX116">
        <v>0.80566400000000005</v>
      </c>
      <c r="IY116">
        <v>2.48169</v>
      </c>
      <c r="IZ116">
        <v>1.49414</v>
      </c>
      <c r="JA116">
        <v>2.2839399999999999</v>
      </c>
      <c r="JB116">
        <v>1.54419</v>
      </c>
      <c r="JC116">
        <v>2.4865699999999999</v>
      </c>
      <c r="JD116">
        <v>45.233499999999999</v>
      </c>
      <c r="JE116">
        <v>15.357900000000001</v>
      </c>
      <c r="JF116">
        <v>18</v>
      </c>
      <c r="JG116">
        <v>511.88099999999997</v>
      </c>
      <c r="JH116">
        <v>405.88900000000001</v>
      </c>
      <c r="JI116">
        <v>21.610700000000001</v>
      </c>
      <c r="JJ116">
        <v>36.848199999999999</v>
      </c>
      <c r="JK116">
        <v>30</v>
      </c>
      <c r="JL116">
        <v>36.802700000000002</v>
      </c>
      <c r="JM116">
        <v>36.765999999999998</v>
      </c>
      <c r="JN116">
        <v>16.1892</v>
      </c>
      <c r="JO116">
        <v>28.065999999999999</v>
      </c>
      <c r="JP116">
        <v>0</v>
      </c>
      <c r="JQ116">
        <v>21.6053</v>
      </c>
      <c r="JR116">
        <v>300</v>
      </c>
      <c r="JS116">
        <v>18.232500000000002</v>
      </c>
      <c r="JT116">
        <v>97.928200000000004</v>
      </c>
      <c r="JU116">
        <v>97.853899999999996</v>
      </c>
    </row>
    <row r="117" spans="1:281" x14ac:dyDescent="0.25">
      <c r="A117">
        <v>101</v>
      </c>
      <c r="B117">
        <v>1691184604.5</v>
      </c>
      <c r="C117">
        <v>25358.900000095371</v>
      </c>
      <c r="D117" t="s">
        <v>928</v>
      </c>
      <c r="E117" t="s">
        <v>929</v>
      </c>
      <c r="F117" t="s">
        <v>413</v>
      </c>
      <c r="G117" t="s">
        <v>779</v>
      </c>
      <c r="H117" t="s">
        <v>414</v>
      </c>
      <c r="I117" t="s">
        <v>415</v>
      </c>
      <c r="J117">
        <v>1691184604.5</v>
      </c>
      <c r="K117">
        <f t="shared" si="138"/>
        <v>5.8340974055119338E-3</v>
      </c>
      <c r="L117">
        <f t="shared" si="139"/>
        <v>5.8340974055119341</v>
      </c>
      <c r="M117">
        <f t="shared" si="140"/>
        <v>24.223552817639504</v>
      </c>
      <c r="N117">
        <f t="shared" si="141"/>
        <v>169.73400000000001</v>
      </c>
      <c r="O117">
        <f t="shared" si="142"/>
        <v>46.388487388094781</v>
      </c>
      <c r="P117">
        <f t="shared" si="143"/>
        <v>4.5987528961240658</v>
      </c>
      <c r="Q117">
        <f t="shared" si="144"/>
        <v>16.826690586834001</v>
      </c>
      <c r="R117">
        <f t="shared" si="145"/>
        <v>0.34025991116465454</v>
      </c>
      <c r="S117">
        <f t="shared" si="146"/>
        <v>2.9090906802196077</v>
      </c>
      <c r="T117">
        <f t="shared" si="147"/>
        <v>0.31959517641420454</v>
      </c>
      <c r="U117">
        <f t="shared" si="148"/>
        <v>0.20149896103080811</v>
      </c>
      <c r="V117">
        <f t="shared" si="149"/>
        <v>344.35259999340127</v>
      </c>
      <c r="W117">
        <f t="shared" si="150"/>
        <v>30.426675258176658</v>
      </c>
      <c r="X117">
        <f t="shared" si="151"/>
        <v>29.9664</v>
      </c>
      <c r="Y117">
        <f t="shared" si="152"/>
        <v>4.2522342015270036</v>
      </c>
      <c r="Z117">
        <f t="shared" si="153"/>
        <v>59.079897428983294</v>
      </c>
      <c r="AA117">
        <f t="shared" si="154"/>
        <v>2.5042161120855</v>
      </c>
      <c r="AB117">
        <f t="shared" si="155"/>
        <v>4.2386940754182598</v>
      </c>
      <c r="AC117">
        <f t="shared" si="156"/>
        <v>1.7480180894415036</v>
      </c>
      <c r="AD117">
        <f t="shared" si="157"/>
        <v>-257.28369558307628</v>
      </c>
      <c r="AE117">
        <f t="shared" si="158"/>
        <v>-8.704336769735745</v>
      </c>
      <c r="AF117">
        <f t="shared" si="159"/>
        <v>-0.66489596147444285</v>
      </c>
      <c r="AG117">
        <f t="shared" si="160"/>
        <v>77.699671679114815</v>
      </c>
      <c r="AH117">
        <v>0</v>
      </c>
      <c r="AI117">
        <v>0</v>
      </c>
      <c r="AJ117">
        <f t="shared" si="161"/>
        <v>1</v>
      </c>
      <c r="AK117">
        <f t="shared" si="162"/>
        <v>0</v>
      </c>
      <c r="AL117">
        <f t="shared" si="163"/>
        <v>51764.888459988113</v>
      </c>
      <c r="AM117" t="s">
        <v>416</v>
      </c>
      <c r="AN117">
        <v>10235.299999999999</v>
      </c>
      <c r="AO117">
        <v>594.051923076923</v>
      </c>
      <c r="AP117">
        <v>2007.77</v>
      </c>
      <c r="AQ117">
        <f t="shared" si="164"/>
        <v>0.70412351859180933</v>
      </c>
      <c r="AR117">
        <v>-0.54275787784279261</v>
      </c>
      <c r="AS117" t="s">
        <v>930</v>
      </c>
      <c r="AT117">
        <v>10182.9</v>
      </c>
      <c r="AU117">
        <v>692.01846153846168</v>
      </c>
      <c r="AV117">
        <v>868.05546265743965</v>
      </c>
      <c r="AW117">
        <f t="shared" si="165"/>
        <v>0.20279464699186778</v>
      </c>
      <c r="AX117">
        <v>0.5</v>
      </c>
      <c r="AY117">
        <f t="shared" si="166"/>
        <v>1513.0868999967006</v>
      </c>
      <c r="AZ117">
        <f t="shared" si="167"/>
        <v>24.223552817639504</v>
      </c>
      <c r="BA117">
        <f t="shared" si="168"/>
        <v>153.42296187642523</v>
      </c>
      <c r="BB117">
        <f t="shared" si="169"/>
        <v>1.636806894272649E-2</v>
      </c>
      <c r="BC117">
        <f t="shared" si="170"/>
        <v>1.3129512875288769</v>
      </c>
      <c r="BD117">
        <f t="shared" si="171"/>
        <v>427.8459894746639</v>
      </c>
      <c r="BE117" t="s">
        <v>931</v>
      </c>
      <c r="BF117">
        <v>528.79999999999995</v>
      </c>
      <c r="BG117">
        <f t="shared" si="172"/>
        <v>528.79999999999995</v>
      </c>
      <c r="BH117">
        <f t="shared" si="173"/>
        <v>0.39082233480664119</v>
      </c>
      <c r="BI117">
        <f t="shared" si="174"/>
        <v>0.51889216385803583</v>
      </c>
      <c r="BJ117">
        <f t="shared" si="175"/>
        <v>0.77061369557364945</v>
      </c>
      <c r="BK117">
        <f t="shared" si="176"/>
        <v>0.64246250755913703</v>
      </c>
      <c r="BL117">
        <f t="shared" si="177"/>
        <v>0.80618233291825858</v>
      </c>
      <c r="BM117">
        <f t="shared" si="178"/>
        <v>0.39650701751239187</v>
      </c>
      <c r="BN117">
        <f t="shared" si="179"/>
        <v>0.60349298248760808</v>
      </c>
      <c r="BO117">
        <v>12669</v>
      </c>
      <c r="BP117">
        <v>290.00000000000011</v>
      </c>
      <c r="BQ117">
        <v>823.45</v>
      </c>
      <c r="BR117">
        <v>225</v>
      </c>
      <c r="BS117">
        <v>10182.9</v>
      </c>
      <c r="BT117">
        <v>824.38</v>
      </c>
      <c r="BU117">
        <v>-0.93</v>
      </c>
      <c r="BV117">
        <v>300.00000000000011</v>
      </c>
      <c r="BW117">
        <v>24.2</v>
      </c>
      <c r="BX117">
        <v>868.05546265743965</v>
      </c>
      <c r="BY117">
        <v>2.2043391102256402</v>
      </c>
      <c r="BZ117">
        <v>-44.471201574758197</v>
      </c>
      <c r="CA117">
        <v>1.997788395909988</v>
      </c>
      <c r="CB117">
        <v>0.94651560885227537</v>
      </c>
      <c r="CC117">
        <v>-6.9532218020022258E-3</v>
      </c>
      <c r="CD117">
        <v>289.99999999999989</v>
      </c>
      <c r="CE117">
        <v>823.37</v>
      </c>
      <c r="CF117">
        <v>745</v>
      </c>
      <c r="CG117">
        <v>10153.200000000001</v>
      </c>
      <c r="CH117">
        <v>824.26</v>
      </c>
      <c r="CI117">
        <v>-0.89</v>
      </c>
      <c r="CW117">
        <f t="shared" si="180"/>
        <v>1799.88</v>
      </c>
      <c r="CX117">
        <f t="shared" si="181"/>
        <v>1513.0868999967006</v>
      </c>
      <c r="CY117">
        <f t="shared" si="182"/>
        <v>0.84065987732332181</v>
      </c>
      <c r="CZ117">
        <f t="shared" si="183"/>
        <v>0.1913197546466438</v>
      </c>
      <c r="DA117">
        <v>6</v>
      </c>
      <c r="DB117">
        <v>0.5</v>
      </c>
      <c r="DC117" t="s">
        <v>419</v>
      </c>
      <c r="DD117">
        <v>2</v>
      </c>
      <c r="DE117">
        <v>1691184604.5</v>
      </c>
      <c r="DF117">
        <v>169.73400000000001</v>
      </c>
      <c r="DG117">
        <v>200</v>
      </c>
      <c r="DH117">
        <v>25.2605</v>
      </c>
      <c r="DI117">
        <v>18.4343</v>
      </c>
      <c r="DJ117">
        <v>172.02699999999999</v>
      </c>
      <c r="DK117">
        <v>25.2346</v>
      </c>
      <c r="DL117">
        <v>499.84399999999999</v>
      </c>
      <c r="DM117">
        <v>99.0364</v>
      </c>
      <c r="DN117">
        <v>9.9251000000000006E-2</v>
      </c>
      <c r="DO117">
        <v>29.910900000000002</v>
      </c>
      <c r="DP117">
        <v>29.9664</v>
      </c>
      <c r="DQ117">
        <v>999.9</v>
      </c>
      <c r="DR117">
        <v>0</v>
      </c>
      <c r="DS117">
        <v>0</v>
      </c>
      <c r="DT117">
        <v>9980</v>
      </c>
      <c r="DU117">
        <v>0</v>
      </c>
      <c r="DV117">
        <v>1004.62</v>
      </c>
      <c r="DW117">
        <v>-30.265499999999999</v>
      </c>
      <c r="DX117">
        <v>174.13300000000001</v>
      </c>
      <c r="DY117">
        <v>203.756</v>
      </c>
      <c r="DZ117">
        <v>6.8262200000000002</v>
      </c>
      <c r="EA117">
        <v>200</v>
      </c>
      <c r="EB117">
        <v>18.4343</v>
      </c>
      <c r="EC117">
        <v>2.5017100000000001</v>
      </c>
      <c r="ED117">
        <v>1.8256600000000001</v>
      </c>
      <c r="EE117">
        <v>21.037600000000001</v>
      </c>
      <c r="EF117">
        <v>16.008299999999998</v>
      </c>
      <c r="EG117">
        <v>1799.88</v>
      </c>
      <c r="EH117">
        <v>0.97800100000000001</v>
      </c>
      <c r="EI117">
        <v>2.1999500000000002E-2</v>
      </c>
      <c r="EJ117">
        <v>0</v>
      </c>
      <c r="EK117">
        <v>693.52499999999998</v>
      </c>
      <c r="EL117">
        <v>0.100005</v>
      </c>
      <c r="EM117">
        <v>18319.8</v>
      </c>
      <c r="EN117">
        <v>14861.6</v>
      </c>
      <c r="EO117">
        <v>49.311999999999998</v>
      </c>
      <c r="EP117">
        <v>51.25</v>
      </c>
      <c r="EQ117">
        <v>50.375</v>
      </c>
      <c r="ER117">
        <v>49.436999999999998</v>
      </c>
      <c r="ES117">
        <v>50.25</v>
      </c>
      <c r="ET117">
        <v>1760.19</v>
      </c>
      <c r="EU117">
        <v>39.590000000000003</v>
      </c>
      <c r="EV117">
        <v>0</v>
      </c>
      <c r="EW117">
        <v>119.5999999046326</v>
      </c>
      <c r="EX117">
        <v>0</v>
      </c>
      <c r="EY117">
        <v>692.01846153846168</v>
      </c>
      <c r="EZ117">
        <v>5.6844444974969592</v>
      </c>
      <c r="FA117">
        <v>270.9606833826889</v>
      </c>
      <c r="FB117">
        <v>18337</v>
      </c>
      <c r="FC117">
        <v>15</v>
      </c>
      <c r="FD117">
        <v>1691184568</v>
      </c>
      <c r="FE117" t="s">
        <v>932</v>
      </c>
      <c r="FF117">
        <v>1691184558.5</v>
      </c>
      <c r="FG117">
        <v>1691184568</v>
      </c>
      <c r="FH117">
        <v>119</v>
      </c>
      <c r="FI117">
        <v>7.2999999999999995E-2</v>
      </c>
      <c r="FJ117">
        <v>-1E-3</v>
      </c>
      <c r="FK117">
        <v>-2.3980000000000001</v>
      </c>
      <c r="FL117">
        <v>-0.11799999999999999</v>
      </c>
      <c r="FM117">
        <v>200</v>
      </c>
      <c r="FN117">
        <v>19</v>
      </c>
      <c r="FO117">
        <v>0.23</v>
      </c>
      <c r="FP117">
        <v>0.05</v>
      </c>
      <c r="FQ117">
        <v>24.140415731913389</v>
      </c>
      <c r="FR117">
        <v>0.44093101225624542</v>
      </c>
      <c r="FS117">
        <v>6.3617825345524764E-2</v>
      </c>
      <c r="FT117">
        <v>1</v>
      </c>
      <c r="FU117">
        <v>0.33736820097082221</v>
      </c>
      <c r="FV117">
        <v>4.7129645117294172E-2</v>
      </c>
      <c r="FW117">
        <v>3.7230134978923188E-3</v>
      </c>
      <c r="FX117">
        <v>1</v>
      </c>
      <c r="FY117">
        <v>2</v>
      </c>
      <c r="FZ117">
        <v>2</v>
      </c>
      <c r="GA117" t="s">
        <v>421</v>
      </c>
      <c r="GB117">
        <v>2.91404</v>
      </c>
      <c r="GC117">
        <v>2.8289599999999999</v>
      </c>
      <c r="GD117">
        <v>4.4011700000000001E-2</v>
      </c>
      <c r="GE117">
        <v>4.9322699999999997E-2</v>
      </c>
      <c r="GF117">
        <v>0.12163499999999999</v>
      </c>
      <c r="GG117">
        <v>9.3754299999999999E-2</v>
      </c>
      <c r="GH117">
        <v>24771.3</v>
      </c>
      <c r="GI117">
        <v>30416.5</v>
      </c>
      <c r="GJ117">
        <v>23346.7</v>
      </c>
      <c r="GK117">
        <v>29345.200000000001</v>
      </c>
      <c r="GL117">
        <v>28004.1</v>
      </c>
      <c r="GM117">
        <v>37835.1</v>
      </c>
      <c r="GN117">
        <v>33032.6</v>
      </c>
      <c r="GO117">
        <v>43534.1</v>
      </c>
      <c r="GP117">
        <v>1.9149</v>
      </c>
      <c r="GQ117">
        <v>1.7123999999999999</v>
      </c>
      <c r="GR117">
        <v>-5.7622800000000002E-2</v>
      </c>
      <c r="GS117">
        <v>0</v>
      </c>
      <c r="GT117">
        <v>30.903500000000001</v>
      </c>
      <c r="GU117">
        <v>999.9</v>
      </c>
      <c r="GV117">
        <v>29</v>
      </c>
      <c r="GW117">
        <v>43.1</v>
      </c>
      <c r="GX117">
        <v>25.572500000000002</v>
      </c>
      <c r="GY117">
        <v>61.726500000000001</v>
      </c>
      <c r="GZ117">
        <v>35.564900000000002</v>
      </c>
      <c r="HA117">
        <v>1</v>
      </c>
      <c r="HB117">
        <v>0.78698199999999996</v>
      </c>
      <c r="HC117">
        <v>6.2696100000000001</v>
      </c>
      <c r="HD117">
        <v>20.198399999999999</v>
      </c>
      <c r="HE117">
        <v>5.1981200000000003</v>
      </c>
      <c r="HF117">
        <v>11.8782</v>
      </c>
      <c r="HG117">
        <v>4.9795999999999996</v>
      </c>
      <c r="HH117">
        <v>3.2812000000000001</v>
      </c>
      <c r="HI117">
        <v>9999</v>
      </c>
      <c r="HJ117">
        <v>9999</v>
      </c>
      <c r="HK117">
        <v>9999</v>
      </c>
      <c r="HL117">
        <v>999.9</v>
      </c>
      <c r="HM117">
        <v>1.8547100000000001</v>
      </c>
      <c r="HN117">
        <v>1.8606799999999999</v>
      </c>
      <c r="HO117">
        <v>1.85808</v>
      </c>
      <c r="HP117">
        <v>1.85928</v>
      </c>
      <c r="HQ117">
        <v>1.85856</v>
      </c>
      <c r="HR117">
        <v>1.8591299999999999</v>
      </c>
      <c r="HS117">
        <v>1.85745</v>
      </c>
      <c r="HT117">
        <v>1.8608100000000001</v>
      </c>
      <c r="HU117">
        <v>5</v>
      </c>
      <c r="HV117">
        <v>0</v>
      </c>
      <c r="HW117">
        <v>0</v>
      </c>
      <c r="HX117">
        <v>0</v>
      </c>
      <c r="HY117" t="s">
        <v>422</v>
      </c>
      <c r="HZ117" t="s">
        <v>423</v>
      </c>
      <c r="IA117" t="s">
        <v>424</v>
      </c>
      <c r="IB117" t="s">
        <v>424</v>
      </c>
      <c r="IC117" t="s">
        <v>424</v>
      </c>
      <c r="ID117" t="s">
        <v>424</v>
      </c>
      <c r="IE117">
        <v>0</v>
      </c>
      <c r="IF117">
        <v>100</v>
      </c>
      <c r="IG117">
        <v>100</v>
      </c>
      <c r="IH117">
        <v>-2.2930000000000001</v>
      </c>
      <c r="II117">
        <v>2.5899999999999999E-2</v>
      </c>
      <c r="IJ117">
        <v>-1.63645628645373</v>
      </c>
      <c r="IK117">
        <v>-4.1229525807901877E-3</v>
      </c>
      <c r="IL117">
        <v>1.8448211998558991E-6</v>
      </c>
      <c r="IM117">
        <v>-3.7020276670297668E-10</v>
      </c>
      <c r="IN117">
        <v>-0.20093108640921151</v>
      </c>
      <c r="IO117">
        <v>-1.3488639696665739E-2</v>
      </c>
      <c r="IP117">
        <v>1.1588640342490499E-3</v>
      </c>
      <c r="IQ117">
        <v>-1.0624341560077559E-5</v>
      </c>
      <c r="IR117">
        <v>2</v>
      </c>
      <c r="IS117">
        <v>1915</v>
      </c>
      <c r="IT117">
        <v>1</v>
      </c>
      <c r="IU117">
        <v>42</v>
      </c>
      <c r="IV117">
        <v>0.8</v>
      </c>
      <c r="IW117">
        <v>0.6</v>
      </c>
      <c r="IX117">
        <v>0.59082000000000001</v>
      </c>
      <c r="IY117">
        <v>2.49512</v>
      </c>
      <c r="IZ117">
        <v>1.49414</v>
      </c>
      <c r="JA117">
        <v>2.2839399999999999</v>
      </c>
      <c r="JB117">
        <v>1.54419</v>
      </c>
      <c r="JC117">
        <v>2.4548299999999998</v>
      </c>
      <c r="JD117">
        <v>44.9786</v>
      </c>
      <c r="JE117">
        <v>15.3316</v>
      </c>
      <c r="JF117">
        <v>18</v>
      </c>
      <c r="JG117">
        <v>512.41</v>
      </c>
      <c r="JH117">
        <v>406.55500000000001</v>
      </c>
      <c r="JI117">
        <v>21.8262</v>
      </c>
      <c r="JJ117">
        <v>36.744700000000002</v>
      </c>
      <c r="JK117">
        <v>29.999500000000001</v>
      </c>
      <c r="JL117">
        <v>36.703699999999998</v>
      </c>
      <c r="JM117">
        <v>36.668900000000001</v>
      </c>
      <c r="JN117">
        <v>11.897500000000001</v>
      </c>
      <c r="JO117">
        <v>26.338999999999999</v>
      </c>
      <c r="JP117">
        <v>0</v>
      </c>
      <c r="JQ117">
        <v>21.8249</v>
      </c>
      <c r="JR117">
        <v>200</v>
      </c>
      <c r="JS117">
        <v>18.424099999999999</v>
      </c>
      <c r="JT117">
        <v>97.944299999999998</v>
      </c>
      <c r="JU117">
        <v>97.860299999999995</v>
      </c>
    </row>
    <row r="118" spans="1:281" x14ac:dyDescent="0.25">
      <c r="A118">
        <v>102</v>
      </c>
      <c r="B118">
        <v>1691184738</v>
      </c>
      <c r="C118">
        <v>25492.400000095371</v>
      </c>
      <c r="D118" t="s">
        <v>933</v>
      </c>
      <c r="E118" t="s">
        <v>934</v>
      </c>
      <c r="F118" t="s">
        <v>413</v>
      </c>
      <c r="G118" t="s">
        <v>779</v>
      </c>
      <c r="H118" t="s">
        <v>414</v>
      </c>
      <c r="I118" t="s">
        <v>415</v>
      </c>
      <c r="J118">
        <v>1691184738</v>
      </c>
      <c r="K118">
        <f t="shared" si="138"/>
        <v>6.1335074698847959E-3</v>
      </c>
      <c r="L118">
        <f t="shared" si="139"/>
        <v>6.1335074698847958</v>
      </c>
      <c r="M118">
        <f t="shared" si="140"/>
        <v>15.698502736266773</v>
      </c>
      <c r="N118">
        <f t="shared" si="141"/>
        <v>100.479</v>
      </c>
      <c r="O118">
        <f t="shared" si="142"/>
        <v>26.74147673449966</v>
      </c>
      <c r="P118">
        <f t="shared" si="143"/>
        <v>2.6509695680181777</v>
      </c>
      <c r="Q118">
        <f t="shared" si="144"/>
        <v>9.9608100879953998</v>
      </c>
      <c r="R118">
        <f t="shared" si="145"/>
        <v>0.37009963769083692</v>
      </c>
      <c r="S118">
        <f t="shared" si="146"/>
        <v>2.9134099501356259</v>
      </c>
      <c r="T118">
        <f t="shared" si="147"/>
        <v>0.34582390271913221</v>
      </c>
      <c r="U118">
        <f t="shared" si="148"/>
        <v>0.21818818826507658</v>
      </c>
      <c r="V118">
        <f t="shared" si="149"/>
        <v>344.35889999339975</v>
      </c>
      <c r="W118">
        <f t="shared" si="150"/>
        <v>30.386080845589291</v>
      </c>
      <c r="X118">
        <f t="shared" si="151"/>
        <v>29.983699999999999</v>
      </c>
      <c r="Y118">
        <f t="shared" si="152"/>
        <v>4.2564625165007284</v>
      </c>
      <c r="Z118">
        <f t="shared" si="153"/>
        <v>60.232416794315448</v>
      </c>
      <c r="AA118">
        <f t="shared" si="154"/>
        <v>2.5586788162323</v>
      </c>
      <c r="AB118">
        <f t="shared" si="155"/>
        <v>4.2480095476988735</v>
      </c>
      <c r="AC118">
        <f t="shared" si="156"/>
        <v>1.6977837002684284</v>
      </c>
      <c r="AD118">
        <f t="shared" si="157"/>
        <v>-270.48767942191949</v>
      </c>
      <c r="AE118">
        <f t="shared" si="158"/>
        <v>-5.4345444002168408</v>
      </c>
      <c r="AF118">
        <f t="shared" si="159"/>
        <v>-0.41462563601511787</v>
      </c>
      <c r="AG118">
        <f t="shared" si="160"/>
        <v>68.022050535248312</v>
      </c>
      <c r="AH118">
        <v>0</v>
      </c>
      <c r="AI118">
        <v>0</v>
      </c>
      <c r="AJ118">
        <f t="shared" si="161"/>
        <v>1</v>
      </c>
      <c r="AK118">
        <f t="shared" si="162"/>
        <v>0</v>
      </c>
      <c r="AL118">
        <f t="shared" si="163"/>
        <v>51881.110184598241</v>
      </c>
      <c r="AM118" t="s">
        <v>416</v>
      </c>
      <c r="AN118">
        <v>10235.299999999999</v>
      </c>
      <c r="AO118">
        <v>594.051923076923</v>
      </c>
      <c r="AP118">
        <v>2007.77</v>
      </c>
      <c r="AQ118">
        <f t="shared" si="164"/>
        <v>0.70412351859180933</v>
      </c>
      <c r="AR118">
        <v>-0.54275787784279261</v>
      </c>
      <c r="AS118" t="s">
        <v>935</v>
      </c>
      <c r="AT118">
        <v>10176.6</v>
      </c>
      <c r="AU118">
        <v>703.45080000000007</v>
      </c>
      <c r="AV118">
        <v>827.0952549956088</v>
      </c>
      <c r="AW118">
        <f t="shared" si="165"/>
        <v>0.14949240035993816</v>
      </c>
      <c r="AX118">
        <v>0.5</v>
      </c>
      <c r="AY118">
        <f t="shared" si="166"/>
        <v>1513.1123999967001</v>
      </c>
      <c r="AZ118">
        <f t="shared" si="167"/>
        <v>15.698502736266773</v>
      </c>
      <c r="BA118">
        <f t="shared" si="168"/>
        <v>113.0994023449468</v>
      </c>
      <c r="BB118">
        <f t="shared" si="169"/>
        <v>1.0733677560335232E-2</v>
      </c>
      <c r="BC118">
        <f t="shared" si="170"/>
        <v>1.4274954884255258</v>
      </c>
      <c r="BD118">
        <f t="shared" si="171"/>
        <v>417.65161055869129</v>
      </c>
      <c r="BE118" t="s">
        <v>936</v>
      </c>
      <c r="BF118">
        <v>544.87</v>
      </c>
      <c r="BG118">
        <f t="shared" si="172"/>
        <v>544.87</v>
      </c>
      <c r="BH118">
        <f t="shared" si="173"/>
        <v>0.34122460900480822</v>
      </c>
      <c r="BI118">
        <f t="shared" si="174"/>
        <v>0.43810556570329801</v>
      </c>
      <c r="BJ118">
        <f t="shared" si="175"/>
        <v>0.80707823159777925</v>
      </c>
      <c r="BK118">
        <f t="shared" si="176"/>
        <v>0.53056422587860674</v>
      </c>
      <c r="BL118">
        <f t="shared" si="177"/>
        <v>0.83515572466477983</v>
      </c>
      <c r="BM118">
        <f t="shared" si="178"/>
        <v>0.33934225333847934</v>
      </c>
      <c r="BN118">
        <f t="shared" si="179"/>
        <v>0.66065774666152066</v>
      </c>
      <c r="BO118">
        <v>12671</v>
      </c>
      <c r="BP118">
        <v>290.00000000000011</v>
      </c>
      <c r="BQ118">
        <v>795.24</v>
      </c>
      <c r="BR118">
        <v>285</v>
      </c>
      <c r="BS118">
        <v>10176.6</v>
      </c>
      <c r="BT118">
        <v>796.22</v>
      </c>
      <c r="BU118">
        <v>-0.98</v>
      </c>
      <c r="BV118">
        <v>300.00000000000011</v>
      </c>
      <c r="BW118">
        <v>24.2</v>
      </c>
      <c r="BX118">
        <v>827.0952549956088</v>
      </c>
      <c r="BY118">
        <v>2.029155211655199</v>
      </c>
      <c r="BZ118">
        <v>-31.425326410013451</v>
      </c>
      <c r="CA118">
        <v>1.839229065281041</v>
      </c>
      <c r="CB118">
        <v>0.91248255139736523</v>
      </c>
      <c r="CC118">
        <v>-6.9539007786429416E-3</v>
      </c>
      <c r="CD118">
        <v>289.99999999999989</v>
      </c>
      <c r="CE118">
        <v>795.16</v>
      </c>
      <c r="CF118">
        <v>615</v>
      </c>
      <c r="CG118">
        <v>10162.200000000001</v>
      </c>
      <c r="CH118">
        <v>796.17</v>
      </c>
      <c r="CI118">
        <v>-1.01</v>
      </c>
      <c r="CW118">
        <f t="shared" si="180"/>
        <v>1799.91</v>
      </c>
      <c r="CX118">
        <f t="shared" si="181"/>
        <v>1513.1123999967001</v>
      </c>
      <c r="CY118">
        <f t="shared" si="182"/>
        <v>0.84066003299981662</v>
      </c>
      <c r="CZ118">
        <f t="shared" si="183"/>
        <v>0.19132006599963317</v>
      </c>
      <c r="DA118">
        <v>6</v>
      </c>
      <c r="DB118">
        <v>0.5</v>
      </c>
      <c r="DC118" t="s">
        <v>419</v>
      </c>
      <c r="DD118">
        <v>2</v>
      </c>
      <c r="DE118">
        <v>1691184738</v>
      </c>
      <c r="DF118">
        <v>100.479</v>
      </c>
      <c r="DG118">
        <v>120.04900000000001</v>
      </c>
      <c r="DH118">
        <v>25.810500000000001</v>
      </c>
      <c r="DI118">
        <v>18.6431</v>
      </c>
      <c r="DJ118">
        <v>102.625</v>
      </c>
      <c r="DK118">
        <v>25.761700000000001</v>
      </c>
      <c r="DL118">
        <v>500.19799999999998</v>
      </c>
      <c r="DM118">
        <v>99.033299999999997</v>
      </c>
      <c r="DN118">
        <v>9.9952600000000003E-2</v>
      </c>
      <c r="DO118">
        <v>29.949100000000001</v>
      </c>
      <c r="DP118">
        <v>29.983699999999999</v>
      </c>
      <c r="DQ118">
        <v>999.9</v>
      </c>
      <c r="DR118">
        <v>0</v>
      </c>
      <c r="DS118">
        <v>0</v>
      </c>
      <c r="DT118">
        <v>10005</v>
      </c>
      <c r="DU118">
        <v>0</v>
      </c>
      <c r="DV118">
        <v>1025.9000000000001</v>
      </c>
      <c r="DW118">
        <v>-19.57</v>
      </c>
      <c r="DX118">
        <v>103.14100000000001</v>
      </c>
      <c r="DY118">
        <v>122.32899999999999</v>
      </c>
      <c r="DZ118">
        <v>7.16744</v>
      </c>
      <c r="EA118">
        <v>120.04900000000001</v>
      </c>
      <c r="EB118">
        <v>18.6431</v>
      </c>
      <c r="EC118">
        <v>2.5560999999999998</v>
      </c>
      <c r="ED118">
        <v>1.84629</v>
      </c>
      <c r="EE118">
        <v>21.388200000000001</v>
      </c>
      <c r="EF118">
        <v>16.1843</v>
      </c>
      <c r="EG118">
        <v>1799.91</v>
      </c>
      <c r="EH118">
        <v>0.97799800000000003</v>
      </c>
      <c r="EI118">
        <v>2.20022E-2</v>
      </c>
      <c r="EJ118">
        <v>0</v>
      </c>
      <c r="EK118">
        <v>705.2</v>
      </c>
      <c r="EL118">
        <v>0.100005</v>
      </c>
      <c r="EM118">
        <v>18391.8</v>
      </c>
      <c r="EN118">
        <v>14861.8</v>
      </c>
      <c r="EO118">
        <v>49.311999999999998</v>
      </c>
      <c r="EP118">
        <v>51.186999999999998</v>
      </c>
      <c r="EQ118">
        <v>50.311999999999998</v>
      </c>
      <c r="ER118">
        <v>49.375</v>
      </c>
      <c r="ES118">
        <v>50.186999999999998</v>
      </c>
      <c r="ET118">
        <v>1760.21</v>
      </c>
      <c r="EU118">
        <v>39.6</v>
      </c>
      <c r="EV118">
        <v>0</v>
      </c>
      <c r="EW118">
        <v>130.79999995231631</v>
      </c>
      <c r="EX118">
        <v>0</v>
      </c>
      <c r="EY118">
        <v>703.45080000000007</v>
      </c>
      <c r="EZ118">
        <v>4.6269230882318624</v>
      </c>
      <c r="FA118">
        <v>9.7076928157048634</v>
      </c>
      <c r="FB118">
        <v>18404.671999999999</v>
      </c>
      <c r="FC118">
        <v>15</v>
      </c>
      <c r="FD118">
        <v>1691184703.5</v>
      </c>
      <c r="FE118" t="s">
        <v>937</v>
      </c>
      <c r="FF118">
        <v>1691184687.5</v>
      </c>
      <c r="FG118">
        <v>1691184703.5</v>
      </c>
      <c r="FH118">
        <v>120</v>
      </c>
      <c r="FI118">
        <v>-0.106</v>
      </c>
      <c r="FJ118">
        <v>0.01</v>
      </c>
      <c r="FK118">
        <v>-2.2189999999999999</v>
      </c>
      <c r="FL118">
        <v>-0.10100000000000001</v>
      </c>
      <c r="FM118">
        <v>120</v>
      </c>
      <c r="FN118">
        <v>19</v>
      </c>
      <c r="FO118">
        <v>0.31</v>
      </c>
      <c r="FP118">
        <v>0.05</v>
      </c>
      <c r="FQ118">
        <v>15.51669902267367</v>
      </c>
      <c r="FR118">
        <v>0.14554517167713341</v>
      </c>
      <c r="FS118">
        <v>6.1696652974725298E-2</v>
      </c>
      <c r="FT118">
        <v>1</v>
      </c>
      <c r="FU118">
        <v>0.36640963327599918</v>
      </c>
      <c r="FV118">
        <v>4.5464623205881849E-2</v>
      </c>
      <c r="FW118">
        <v>3.445739314783106E-3</v>
      </c>
      <c r="FX118">
        <v>1</v>
      </c>
      <c r="FY118">
        <v>2</v>
      </c>
      <c r="FZ118">
        <v>2</v>
      </c>
      <c r="GA118" t="s">
        <v>421</v>
      </c>
      <c r="GB118">
        <v>2.9150700000000001</v>
      </c>
      <c r="GC118">
        <v>2.8298800000000002</v>
      </c>
      <c r="GD118">
        <v>2.72985E-2</v>
      </c>
      <c r="GE118">
        <v>3.1000199999999999E-2</v>
      </c>
      <c r="GF118">
        <v>0.123445</v>
      </c>
      <c r="GG118">
        <v>9.4538300000000006E-2</v>
      </c>
      <c r="GH118">
        <v>25209.200000000001</v>
      </c>
      <c r="GI118">
        <v>31008.9</v>
      </c>
      <c r="GJ118">
        <v>23351.7</v>
      </c>
      <c r="GK118">
        <v>29351.4</v>
      </c>
      <c r="GL118">
        <v>27950.6</v>
      </c>
      <c r="GM118">
        <v>37807</v>
      </c>
      <c r="GN118">
        <v>33039.699999999997</v>
      </c>
      <c r="GO118">
        <v>43541.7</v>
      </c>
      <c r="GP118">
        <v>1.9166000000000001</v>
      </c>
      <c r="GQ118">
        <v>1.7155</v>
      </c>
      <c r="GR118">
        <v>-5.1855999999999999E-2</v>
      </c>
      <c r="GS118">
        <v>0</v>
      </c>
      <c r="GT118">
        <v>30.827000000000002</v>
      </c>
      <c r="GU118">
        <v>999.9</v>
      </c>
      <c r="GV118">
        <v>28.9</v>
      </c>
      <c r="GW118">
        <v>43</v>
      </c>
      <c r="GX118">
        <v>25.3552</v>
      </c>
      <c r="GY118">
        <v>61.706499999999998</v>
      </c>
      <c r="GZ118">
        <v>34.835700000000003</v>
      </c>
      <c r="HA118">
        <v>1</v>
      </c>
      <c r="HB118">
        <v>0.774451</v>
      </c>
      <c r="HC118">
        <v>5.9708199999999998</v>
      </c>
      <c r="HD118">
        <v>20.2119</v>
      </c>
      <c r="HE118">
        <v>5.2112999999999996</v>
      </c>
      <c r="HF118">
        <v>11.8782</v>
      </c>
      <c r="HG118">
        <v>4.9836</v>
      </c>
      <c r="HH118">
        <v>3.2839999999999998</v>
      </c>
      <c r="HI118">
        <v>9999</v>
      </c>
      <c r="HJ118">
        <v>9999</v>
      </c>
      <c r="HK118">
        <v>9999</v>
      </c>
      <c r="HL118">
        <v>999.9</v>
      </c>
      <c r="HM118">
        <v>1.8547100000000001</v>
      </c>
      <c r="HN118">
        <v>1.8607499999999999</v>
      </c>
      <c r="HO118">
        <v>1.85808</v>
      </c>
      <c r="HP118">
        <v>1.85928</v>
      </c>
      <c r="HQ118">
        <v>1.8586</v>
      </c>
      <c r="HR118">
        <v>1.8591299999999999</v>
      </c>
      <c r="HS118">
        <v>1.85745</v>
      </c>
      <c r="HT118">
        <v>1.8608100000000001</v>
      </c>
      <c r="HU118">
        <v>5</v>
      </c>
      <c r="HV118">
        <v>0</v>
      </c>
      <c r="HW118">
        <v>0</v>
      </c>
      <c r="HX118">
        <v>0</v>
      </c>
      <c r="HY118" t="s">
        <v>422</v>
      </c>
      <c r="HZ118" t="s">
        <v>423</v>
      </c>
      <c r="IA118" t="s">
        <v>424</v>
      </c>
      <c r="IB118" t="s">
        <v>424</v>
      </c>
      <c r="IC118" t="s">
        <v>424</v>
      </c>
      <c r="ID118" t="s">
        <v>424</v>
      </c>
      <c r="IE118">
        <v>0</v>
      </c>
      <c r="IF118">
        <v>100</v>
      </c>
      <c r="IG118">
        <v>100</v>
      </c>
      <c r="IH118">
        <v>-2.1459999999999999</v>
      </c>
      <c r="II118">
        <v>4.8800000000000003E-2</v>
      </c>
      <c r="IJ118">
        <v>-1.7424895172022681</v>
      </c>
      <c r="IK118">
        <v>-4.1229525807901877E-3</v>
      </c>
      <c r="IL118">
        <v>1.8448211998558991E-6</v>
      </c>
      <c r="IM118">
        <v>-3.7020276670297668E-10</v>
      </c>
      <c r="IN118">
        <v>-0.19115800830251239</v>
      </c>
      <c r="IO118">
        <v>-1.3488639696665739E-2</v>
      </c>
      <c r="IP118">
        <v>1.1588640342490499E-3</v>
      </c>
      <c r="IQ118">
        <v>-1.0624341560077559E-5</v>
      </c>
      <c r="IR118">
        <v>2</v>
      </c>
      <c r="IS118">
        <v>1915</v>
      </c>
      <c r="IT118">
        <v>1</v>
      </c>
      <c r="IU118">
        <v>42</v>
      </c>
      <c r="IV118">
        <v>0.8</v>
      </c>
      <c r="IW118">
        <v>0.6</v>
      </c>
      <c r="IX118">
        <v>0.41381800000000002</v>
      </c>
      <c r="IY118">
        <v>2.50854</v>
      </c>
      <c r="IZ118">
        <v>1.49414</v>
      </c>
      <c r="JA118">
        <v>2.2851599999999999</v>
      </c>
      <c r="JB118">
        <v>1.54419</v>
      </c>
      <c r="JC118">
        <v>2.4072300000000002</v>
      </c>
      <c r="JD118">
        <v>44.837699999999998</v>
      </c>
      <c r="JE118">
        <v>15.305300000000001</v>
      </c>
      <c r="JF118">
        <v>18</v>
      </c>
      <c r="JG118">
        <v>512.63499999999999</v>
      </c>
      <c r="JH118">
        <v>407.774</v>
      </c>
      <c r="JI118">
        <v>22.0259</v>
      </c>
      <c r="JJ118">
        <v>36.607399999999998</v>
      </c>
      <c r="JK118">
        <v>29.999500000000001</v>
      </c>
      <c r="JL118">
        <v>36.5837</v>
      </c>
      <c r="JM118">
        <v>36.548499999999997</v>
      </c>
      <c r="JN118">
        <v>8.3466100000000001</v>
      </c>
      <c r="JO118">
        <v>25.139800000000001</v>
      </c>
      <c r="JP118">
        <v>0</v>
      </c>
      <c r="JQ118">
        <v>22.040600000000001</v>
      </c>
      <c r="JR118">
        <v>120</v>
      </c>
      <c r="JS118">
        <v>18.478400000000001</v>
      </c>
      <c r="JT118">
        <v>97.965299999999999</v>
      </c>
      <c r="JU118">
        <v>97.878699999999995</v>
      </c>
    </row>
    <row r="119" spans="1:281" x14ac:dyDescent="0.25">
      <c r="A119">
        <v>103</v>
      </c>
      <c r="B119">
        <v>1691184851.5</v>
      </c>
      <c r="C119">
        <v>25605.900000095371</v>
      </c>
      <c r="D119" t="s">
        <v>938</v>
      </c>
      <c r="E119" t="s">
        <v>939</v>
      </c>
      <c r="F119" t="s">
        <v>413</v>
      </c>
      <c r="G119" t="s">
        <v>779</v>
      </c>
      <c r="H119" t="s">
        <v>414</v>
      </c>
      <c r="I119" t="s">
        <v>415</v>
      </c>
      <c r="J119">
        <v>1691184851.5</v>
      </c>
      <c r="K119">
        <f t="shared" si="138"/>
        <v>6.3097450368596866E-3</v>
      </c>
      <c r="L119">
        <f t="shared" si="139"/>
        <v>6.3097450368596864</v>
      </c>
      <c r="M119">
        <f t="shared" si="140"/>
        <v>9.7732754418245698</v>
      </c>
      <c r="N119">
        <f t="shared" si="141"/>
        <v>57.866500000000002</v>
      </c>
      <c r="O119">
        <f t="shared" si="142"/>
        <v>13.364227425578829</v>
      </c>
      <c r="P119">
        <f t="shared" si="143"/>
        <v>1.3246722549489018</v>
      </c>
      <c r="Q119">
        <f t="shared" si="144"/>
        <v>5.7357709203815492</v>
      </c>
      <c r="R119">
        <f t="shared" si="145"/>
        <v>0.38177951254455122</v>
      </c>
      <c r="S119">
        <f t="shared" si="146"/>
        <v>2.9110032022603498</v>
      </c>
      <c r="T119">
        <f t="shared" si="147"/>
        <v>0.35598482509149881</v>
      </c>
      <c r="U119">
        <f t="shared" si="148"/>
        <v>0.22466266839581359</v>
      </c>
      <c r="V119">
        <f t="shared" si="149"/>
        <v>344.37789999340004</v>
      </c>
      <c r="W119">
        <f t="shared" si="150"/>
        <v>30.408399737779281</v>
      </c>
      <c r="X119">
        <f t="shared" si="151"/>
        <v>30.0184</v>
      </c>
      <c r="Y119">
        <f t="shared" si="152"/>
        <v>4.2649546347291931</v>
      </c>
      <c r="Z119">
        <f t="shared" si="153"/>
        <v>60.231158421298673</v>
      </c>
      <c r="AA119">
        <f t="shared" si="154"/>
        <v>2.56862504571487</v>
      </c>
      <c r="AB119">
        <f t="shared" si="155"/>
        <v>4.264611727617984</v>
      </c>
      <c r="AC119">
        <f t="shared" si="156"/>
        <v>1.6963295890143231</v>
      </c>
      <c r="AD119">
        <f t="shared" si="157"/>
        <v>-278.25975612551218</v>
      </c>
      <c r="AE119">
        <f t="shared" si="158"/>
        <v>-0.21971320649640946</v>
      </c>
      <c r="AF119">
        <f t="shared" si="159"/>
        <v>-1.6785283437405565E-2</v>
      </c>
      <c r="AG119">
        <f t="shared" si="160"/>
        <v>65.881645377954044</v>
      </c>
      <c r="AH119">
        <v>0</v>
      </c>
      <c r="AI119">
        <v>0</v>
      </c>
      <c r="AJ119">
        <f t="shared" si="161"/>
        <v>1</v>
      </c>
      <c r="AK119">
        <f t="shared" si="162"/>
        <v>0</v>
      </c>
      <c r="AL119">
        <f t="shared" si="163"/>
        <v>51800.786284588685</v>
      </c>
      <c r="AM119" t="s">
        <v>416</v>
      </c>
      <c r="AN119">
        <v>10235.299999999999</v>
      </c>
      <c r="AO119">
        <v>594.051923076923</v>
      </c>
      <c r="AP119">
        <v>2007.77</v>
      </c>
      <c r="AQ119">
        <f t="shared" si="164"/>
        <v>0.70412351859180933</v>
      </c>
      <c r="AR119">
        <v>-0.54275787784279261</v>
      </c>
      <c r="AS119" t="s">
        <v>940</v>
      </c>
      <c r="AT119">
        <v>10177</v>
      </c>
      <c r="AU119">
        <v>712.32576923076931</v>
      </c>
      <c r="AV119">
        <v>801.0887857513942</v>
      </c>
      <c r="AW119">
        <f t="shared" si="165"/>
        <v>0.11080296978239212</v>
      </c>
      <c r="AX119">
        <v>0.5</v>
      </c>
      <c r="AY119">
        <f t="shared" si="166"/>
        <v>1513.1963999966999</v>
      </c>
      <c r="AZ119">
        <f t="shared" si="167"/>
        <v>9.7732754418245698</v>
      </c>
      <c r="BA119">
        <f t="shared" si="168"/>
        <v>83.833327491829451</v>
      </c>
      <c r="BB119">
        <f t="shared" si="169"/>
        <v>6.8173789732052358E-3</v>
      </c>
      <c r="BC119">
        <f t="shared" si="170"/>
        <v>1.5063014683407152</v>
      </c>
      <c r="BD119">
        <f t="shared" si="171"/>
        <v>410.91545894533198</v>
      </c>
      <c r="BE119" t="s">
        <v>941</v>
      </c>
      <c r="BF119">
        <v>567.23</v>
      </c>
      <c r="BG119">
        <f t="shared" si="172"/>
        <v>567.23</v>
      </c>
      <c r="BH119">
        <f t="shared" si="173"/>
        <v>0.29192617586331904</v>
      </c>
      <c r="BI119">
        <f t="shared" si="174"/>
        <v>0.37955818608835701</v>
      </c>
      <c r="BJ119">
        <f t="shared" si="175"/>
        <v>0.83765894334666569</v>
      </c>
      <c r="BK119">
        <f t="shared" si="176"/>
        <v>0.42873049453125173</v>
      </c>
      <c r="BL119">
        <f t="shared" si="177"/>
        <v>0.85355152059377926</v>
      </c>
      <c r="BM119">
        <f t="shared" si="178"/>
        <v>0.30224484245094035</v>
      </c>
      <c r="BN119">
        <f t="shared" si="179"/>
        <v>0.6977551575490597</v>
      </c>
      <c r="BO119">
        <v>12673</v>
      </c>
      <c r="BP119">
        <v>290.00000000000011</v>
      </c>
      <c r="BQ119">
        <v>776.34</v>
      </c>
      <c r="BR119">
        <v>285</v>
      </c>
      <c r="BS119">
        <v>10177</v>
      </c>
      <c r="BT119">
        <v>776.19</v>
      </c>
      <c r="BU119">
        <v>0.15</v>
      </c>
      <c r="BV119">
        <v>300.00000000000011</v>
      </c>
      <c r="BW119">
        <v>24.2</v>
      </c>
      <c r="BX119">
        <v>801.0887857513942</v>
      </c>
      <c r="BY119">
        <v>1.392346717477861</v>
      </c>
      <c r="BZ119">
        <v>-25.34363989864098</v>
      </c>
      <c r="CA119">
        <v>1.2620667286666301</v>
      </c>
      <c r="CB119">
        <v>0.93507231932216461</v>
      </c>
      <c r="CC119">
        <v>-6.9540573971078913E-3</v>
      </c>
      <c r="CD119">
        <v>289.99999999999989</v>
      </c>
      <c r="CE119">
        <v>774.15</v>
      </c>
      <c r="CF119">
        <v>685</v>
      </c>
      <c r="CG119">
        <v>10158</v>
      </c>
      <c r="CH119">
        <v>776.14</v>
      </c>
      <c r="CI119">
        <v>-1.99</v>
      </c>
      <c r="CW119">
        <f t="shared" si="180"/>
        <v>1800.01</v>
      </c>
      <c r="CX119">
        <f t="shared" si="181"/>
        <v>1513.1963999966999</v>
      </c>
      <c r="CY119">
        <f t="shared" si="182"/>
        <v>0.84065999633152033</v>
      </c>
      <c r="CZ119">
        <f t="shared" si="183"/>
        <v>0.19131999266304078</v>
      </c>
      <c r="DA119">
        <v>6</v>
      </c>
      <c r="DB119">
        <v>0.5</v>
      </c>
      <c r="DC119" t="s">
        <v>419</v>
      </c>
      <c r="DD119">
        <v>2</v>
      </c>
      <c r="DE119">
        <v>1691184851.5</v>
      </c>
      <c r="DF119">
        <v>57.866500000000002</v>
      </c>
      <c r="DG119">
        <v>70.033600000000007</v>
      </c>
      <c r="DH119">
        <v>25.914100000000001</v>
      </c>
      <c r="DI119">
        <v>18.538</v>
      </c>
      <c r="DJ119">
        <v>59.903799999999997</v>
      </c>
      <c r="DK119">
        <v>25.869399999999999</v>
      </c>
      <c r="DL119">
        <v>499.95800000000003</v>
      </c>
      <c r="DM119">
        <v>99.020799999999994</v>
      </c>
      <c r="DN119">
        <v>9.9950700000000003E-2</v>
      </c>
      <c r="DO119">
        <v>30.016999999999999</v>
      </c>
      <c r="DP119">
        <v>30.0184</v>
      </c>
      <c r="DQ119">
        <v>999.9</v>
      </c>
      <c r="DR119">
        <v>0</v>
      </c>
      <c r="DS119">
        <v>0</v>
      </c>
      <c r="DT119">
        <v>9992.5</v>
      </c>
      <c r="DU119">
        <v>0</v>
      </c>
      <c r="DV119">
        <v>1050.22</v>
      </c>
      <c r="DW119">
        <v>-12.167199999999999</v>
      </c>
      <c r="DX119">
        <v>59.405900000000003</v>
      </c>
      <c r="DY119">
        <v>71.356499999999997</v>
      </c>
      <c r="DZ119">
        <v>7.3760500000000002</v>
      </c>
      <c r="EA119">
        <v>70.033600000000007</v>
      </c>
      <c r="EB119">
        <v>18.538</v>
      </c>
      <c r="EC119">
        <v>2.5660400000000001</v>
      </c>
      <c r="ED119">
        <v>1.83565</v>
      </c>
      <c r="EE119">
        <v>21.451499999999999</v>
      </c>
      <c r="EF119">
        <v>16.093699999999998</v>
      </c>
      <c r="EG119">
        <v>1800.01</v>
      </c>
      <c r="EH119">
        <v>0.97799700000000001</v>
      </c>
      <c r="EI119">
        <v>2.2003200000000001E-2</v>
      </c>
      <c r="EJ119">
        <v>0</v>
      </c>
      <c r="EK119">
        <v>711.9</v>
      </c>
      <c r="EL119">
        <v>0.100005</v>
      </c>
      <c r="EM119">
        <v>18606.099999999999</v>
      </c>
      <c r="EN119">
        <v>14862.6</v>
      </c>
      <c r="EO119">
        <v>49.25</v>
      </c>
      <c r="EP119">
        <v>51.125</v>
      </c>
      <c r="EQ119">
        <v>50.311999999999998</v>
      </c>
      <c r="ER119">
        <v>49.375</v>
      </c>
      <c r="ES119">
        <v>50.186999999999998</v>
      </c>
      <c r="ET119">
        <v>1760.31</v>
      </c>
      <c r="EU119">
        <v>39.6</v>
      </c>
      <c r="EV119">
        <v>0</v>
      </c>
      <c r="EW119">
        <v>111</v>
      </c>
      <c r="EX119">
        <v>0</v>
      </c>
      <c r="EY119">
        <v>712.32576923076931</v>
      </c>
      <c r="EZ119">
        <v>-5.5295727056594277</v>
      </c>
      <c r="FA119">
        <v>-131.71623928443091</v>
      </c>
      <c r="FB119">
        <v>18571.673076923082</v>
      </c>
      <c r="FC119">
        <v>15</v>
      </c>
      <c r="FD119">
        <v>1691184813</v>
      </c>
      <c r="FE119" t="s">
        <v>942</v>
      </c>
      <c r="FF119">
        <v>1691184803.5</v>
      </c>
      <c r="FG119">
        <v>1691184813</v>
      </c>
      <c r="FH119">
        <v>121</v>
      </c>
      <c r="FI119">
        <v>-5.3999999999999999E-2</v>
      </c>
      <c r="FJ119">
        <v>-7.0000000000000001E-3</v>
      </c>
      <c r="FK119">
        <v>-2.0840000000000001</v>
      </c>
      <c r="FL119">
        <v>-0.11899999999999999</v>
      </c>
      <c r="FM119">
        <v>70</v>
      </c>
      <c r="FN119">
        <v>18</v>
      </c>
      <c r="FO119">
        <v>0.36</v>
      </c>
      <c r="FP119">
        <v>0.04</v>
      </c>
      <c r="FQ119">
        <v>9.6896270754372278</v>
      </c>
      <c r="FR119">
        <v>0.32097543450422977</v>
      </c>
      <c r="FS119">
        <v>6.7178446636675271E-2</v>
      </c>
      <c r="FT119">
        <v>1</v>
      </c>
      <c r="FU119">
        <v>0.37392045249460509</v>
      </c>
      <c r="FV119">
        <v>4.941813322223506E-2</v>
      </c>
      <c r="FW119">
        <v>4.149291093511114E-3</v>
      </c>
      <c r="FX119">
        <v>1</v>
      </c>
      <c r="FY119">
        <v>2</v>
      </c>
      <c r="FZ119">
        <v>2</v>
      </c>
      <c r="GA119" t="s">
        <v>421</v>
      </c>
      <c r="GB119">
        <v>2.91459</v>
      </c>
      <c r="GC119">
        <v>2.8297699999999999</v>
      </c>
      <c r="GD119">
        <v>1.6244399999999999E-2</v>
      </c>
      <c r="GE119">
        <v>1.85127E-2</v>
      </c>
      <c r="GF119">
        <v>0.123824</v>
      </c>
      <c r="GG119">
        <v>9.4166700000000006E-2</v>
      </c>
      <c r="GH119">
        <v>25501.3</v>
      </c>
      <c r="GI119">
        <v>31413.1</v>
      </c>
      <c r="GJ119">
        <v>23357.200000000001</v>
      </c>
      <c r="GK119">
        <v>29355.9</v>
      </c>
      <c r="GL119">
        <v>27942.9</v>
      </c>
      <c r="GM119">
        <v>37826</v>
      </c>
      <c r="GN119">
        <v>33046.6</v>
      </c>
      <c r="GO119">
        <v>43547.6</v>
      </c>
      <c r="GP119">
        <v>1.9179999999999999</v>
      </c>
      <c r="GQ119">
        <v>1.7185999999999999</v>
      </c>
      <c r="GR119">
        <v>-5.21094E-2</v>
      </c>
      <c r="GS119">
        <v>0</v>
      </c>
      <c r="GT119">
        <v>30.8658</v>
      </c>
      <c r="GU119">
        <v>999.9</v>
      </c>
      <c r="GV119">
        <v>28.8</v>
      </c>
      <c r="GW119">
        <v>42.8</v>
      </c>
      <c r="GX119">
        <v>25.005500000000001</v>
      </c>
      <c r="GY119">
        <v>61.656500000000001</v>
      </c>
      <c r="GZ119">
        <v>34.8718</v>
      </c>
      <c r="HA119">
        <v>1</v>
      </c>
      <c r="HB119">
        <v>0.76589399999999996</v>
      </c>
      <c r="HC119">
        <v>6.1363300000000001</v>
      </c>
      <c r="HD119">
        <v>20.2058</v>
      </c>
      <c r="HE119">
        <v>5.2100999999999997</v>
      </c>
      <c r="HF119">
        <v>11.8782</v>
      </c>
      <c r="HG119">
        <v>4.9833999999999996</v>
      </c>
      <c r="HH119">
        <v>3.2839999999999998</v>
      </c>
      <c r="HI119">
        <v>9999</v>
      </c>
      <c r="HJ119">
        <v>9999</v>
      </c>
      <c r="HK119">
        <v>9999</v>
      </c>
      <c r="HL119">
        <v>999.9</v>
      </c>
      <c r="HM119">
        <v>1.8546499999999999</v>
      </c>
      <c r="HN119">
        <v>1.86066</v>
      </c>
      <c r="HO119">
        <v>1.85806</v>
      </c>
      <c r="HP119">
        <v>1.8591899999999999</v>
      </c>
      <c r="HQ119">
        <v>1.8585199999999999</v>
      </c>
      <c r="HR119">
        <v>1.8591299999999999</v>
      </c>
      <c r="HS119">
        <v>1.85745</v>
      </c>
      <c r="HT119">
        <v>1.8608100000000001</v>
      </c>
      <c r="HU119">
        <v>5</v>
      </c>
      <c r="HV119">
        <v>0</v>
      </c>
      <c r="HW119">
        <v>0</v>
      </c>
      <c r="HX119">
        <v>0</v>
      </c>
      <c r="HY119" t="s">
        <v>422</v>
      </c>
      <c r="HZ119" t="s">
        <v>423</v>
      </c>
      <c r="IA119" t="s">
        <v>424</v>
      </c>
      <c r="IB119" t="s">
        <v>424</v>
      </c>
      <c r="IC119" t="s">
        <v>424</v>
      </c>
      <c r="ID119" t="s">
        <v>424</v>
      </c>
      <c r="IE119">
        <v>0</v>
      </c>
      <c r="IF119">
        <v>100</v>
      </c>
      <c r="IG119">
        <v>100</v>
      </c>
      <c r="IH119">
        <v>-2.0369999999999999</v>
      </c>
      <c r="II119">
        <v>4.4699999999999997E-2</v>
      </c>
      <c r="IJ119">
        <v>-1.796858666572027</v>
      </c>
      <c r="IK119">
        <v>-4.1229525807901877E-3</v>
      </c>
      <c r="IL119">
        <v>1.8448211998558991E-6</v>
      </c>
      <c r="IM119">
        <v>-3.7020276670297668E-10</v>
      </c>
      <c r="IN119">
        <v>-0.19794015435562409</v>
      </c>
      <c r="IO119">
        <v>-1.3488639696665739E-2</v>
      </c>
      <c r="IP119">
        <v>1.1588640342490499E-3</v>
      </c>
      <c r="IQ119">
        <v>-1.0624341560077559E-5</v>
      </c>
      <c r="IR119">
        <v>2</v>
      </c>
      <c r="IS119">
        <v>1915</v>
      </c>
      <c r="IT119">
        <v>1</v>
      </c>
      <c r="IU119">
        <v>42</v>
      </c>
      <c r="IV119">
        <v>0.8</v>
      </c>
      <c r="IW119">
        <v>0.6</v>
      </c>
      <c r="IX119">
        <v>0.301514</v>
      </c>
      <c r="IY119">
        <v>2.5293000000000001</v>
      </c>
      <c r="IZ119">
        <v>1.49414</v>
      </c>
      <c r="JA119">
        <v>2.2839399999999999</v>
      </c>
      <c r="JB119">
        <v>1.54419</v>
      </c>
      <c r="JC119">
        <v>2.4206500000000002</v>
      </c>
      <c r="JD119">
        <v>44.697299999999998</v>
      </c>
      <c r="JE119">
        <v>15.287800000000001</v>
      </c>
      <c r="JF119">
        <v>18</v>
      </c>
      <c r="JG119">
        <v>512.69799999999998</v>
      </c>
      <c r="JH119">
        <v>409.05500000000001</v>
      </c>
      <c r="JI119">
        <v>22.008900000000001</v>
      </c>
      <c r="JJ119">
        <v>36.477699999999999</v>
      </c>
      <c r="JK119">
        <v>29.999199999999998</v>
      </c>
      <c r="JL119">
        <v>36.468800000000002</v>
      </c>
      <c r="JM119">
        <v>36.437100000000001</v>
      </c>
      <c r="JN119">
        <v>6.0985800000000001</v>
      </c>
      <c r="JO119">
        <v>24.936499999999999</v>
      </c>
      <c r="JP119">
        <v>0</v>
      </c>
      <c r="JQ119">
        <v>22.0381</v>
      </c>
      <c r="JR119">
        <v>70</v>
      </c>
      <c r="JS119">
        <v>18.290099999999999</v>
      </c>
      <c r="JT119">
        <v>97.986800000000002</v>
      </c>
      <c r="JU119">
        <v>97.892799999999994</v>
      </c>
    </row>
    <row r="120" spans="1:281" x14ac:dyDescent="0.25">
      <c r="A120">
        <v>104</v>
      </c>
      <c r="B120">
        <v>1691184988</v>
      </c>
      <c r="C120">
        <v>25742.400000095371</v>
      </c>
      <c r="D120" t="s">
        <v>943</v>
      </c>
      <c r="E120" t="s">
        <v>944</v>
      </c>
      <c r="F120" t="s">
        <v>413</v>
      </c>
      <c r="G120" t="s">
        <v>779</v>
      </c>
      <c r="H120" t="s">
        <v>414</v>
      </c>
      <c r="I120" t="s">
        <v>415</v>
      </c>
      <c r="J120">
        <v>1691184988</v>
      </c>
      <c r="K120">
        <f t="shared" si="138"/>
        <v>6.9953190940518087E-3</v>
      </c>
      <c r="L120">
        <f t="shared" si="139"/>
        <v>6.9953190940518084</v>
      </c>
      <c r="M120">
        <f t="shared" si="140"/>
        <v>4.6730291524787599</v>
      </c>
      <c r="N120">
        <f t="shared" si="141"/>
        <v>24.229600000000001</v>
      </c>
      <c r="O120">
        <f t="shared" si="142"/>
        <v>5.1442195114464813</v>
      </c>
      <c r="P120">
        <f t="shared" si="143"/>
        <v>0.50990812486901227</v>
      </c>
      <c r="Q120">
        <f t="shared" si="144"/>
        <v>2.4016995921023998</v>
      </c>
      <c r="R120">
        <f t="shared" si="145"/>
        <v>0.42821319816710601</v>
      </c>
      <c r="S120">
        <f t="shared" si="146"/>
        <v>2.9136561862664578</v>
      </c>
      <c r="T120">
        <f t="shared" si="147"/>
        <v>0.39607266470325664</v>
      </c>
      <c r="U120">
        <f t="shared" si="148"/>
        <v>0.25023178215335345</v>
      </c>
      <c r="V120">
        <f t="shared" si="149"/>
        <v>344.35889999339975</v>
      </c>
      <c r="W120">
        <f t="shared" si="150"/>
        <v>30.230232297049888</v>
      </c>
      <c r="X120">
        <f t="shared" si="151"/>
        <v>30.002199999999998</v>
      </c>
      <c r="Y120">
        <f t="shared" si="152"/>
        <v>4.2609881789030473</v>
      </c>
      <c r="Z120">
        <f t="shared" si="153"/>
        <v>60.274693809981962</v>
      </c>
      <c r="AA120">
        <f t="shared" si="154"/>
        <v>2.570644056096</v>
      </c>
      <c r="AB120">
        <f t="shared" si="155"/>
        <v>4.2648811526111494</v>
      </c>
      <c r="AC120">
        <f t="shared" si="156"/>
        <v>1.6903441228070473</v>
      </c>
      <c r="AD120">
        <f t="shared" si="157"/>
        <v>-308.49357204768478</v>
      </c>
      <c r="AE120">
        <f t="shared" si="158"/>
        <v>2.4975884137928746</v>
      </c>
      <c r="AF120">
        <f t="shared" si="159"/>
        <v>0.19061861293533552</v>
      </c>
      <c r="AG120">
        <f t="shared" si="160"/>
        <v>38.553534972443181</v>
      </c>
      <c r="AH120">
        <v>0</v>
      </c>
      <c r="AI120">
        <v>0</v>
      </c>
      <c r="AJ120">
        <f t="shared" si="161"/>
        <v>1</v>
      </c>
      <c r="AK120">
        <f t="shared" si="162"/>
        <v>0</v>
      </c>
      <c r="AL120">
        <f t="shared" si="163"/>
        <v>51876.067543981379</v>
      </c>
      <c r="AM120" t="s">
        <v>416</v>
      </c>
      <c r="AN120">
        <v>10235.299999999999</v>
      </c>
      <c r="AO120">
        <v>594.051923076923</v>
      </c>
      <c r="AP120">
        <v>2007.77</v>
      </c>
      <c r="AQ120">
        <f t="shared" si="164"/>
        <v>0.70412351859180933</v>
      </c>
      <c r="AR120">
        <v>-0.54275787784279261</v>
      </c>
      <c r="AS120" t="s">
        <v>945</v>
      </c>
      <c r="AT120">
        <v>10190.4</v>
      </c>
      <c r="AU120">
        <v>719.88479999999993</v>
      </c>
      <c r="AV120">
        <v>780.7846818812443</v>
      </c>
      <c r="AW120">
        <f t="shared" si="165"/>
        <v>7.7998305159510228E-2</v>
      </c>
      <c r="AX120">
        <v>0.5</v>
      </c>
      <c r="AY120">
        <f t="shared" si="166"/>
        <v>1513.1123999967001</v>
      </c>
      <c r="AZ120">
        <f t="shared" si="167"/>
        <v>4.6730291524787599</v>
      </c>
      <c r="BA120">
        <f t="shared" si="168"/>
        <v>59.010101357790759</v>
      </c>
      <c r="BB120">
        <f t="shared" si="169"/>
        <v>3.4470585465646354E-3</v>
      </c>
      <c r="BC120">
        <f t="shared" si="170"/>
        <v>1.5714771903086304</v>
      </c>
      <c r="BD120">
        <f t="shared" si="171"/>
        <v>405.50639546805508</v>
      </c>
      <c r="BE120" t="s">
        <v>946</v>
      </c>
      <c r="BF120">
        <v>588.46</v>
      </c>
      <c r="BG120">
        <f t="shared" si="172"/>
        <v>588.46</v>
      </c>
      <c r="BH120">
        <f t="shared" si="173"/>
        <v>0.24632230414389256</v>
      </c>
      <c r="BI120">
        <f t="shared" si="174"/>
        <v>0.31665141096579869</v>
      </c>
      <c r="BJ120">
        <f t="shared" si="175"/>
        <v>0.86449423883348653</v>
      </c>
      <c r="BK120">
        <f t="shared" si="176"/>
        <v>0.32613389461600484</v>
      </c>
      <c r="BL120">
        <f t="shared" si="177"/>
        <v>0.86791372208330209</v>
      </c>
      <c r="BM120">
        <f t="shared" si="178"/>
        <v>0.25884237213639449</v>
      </c>
      <c r="BN120">
        <f t="shared" si="179"/>
        <v>0.74115762786360551</v>
      </c>
      <c r="BO120">
        <v>12675</v>
      </c>
      <c r="BP120">
        <v>290.00000000000011</v>
      </c>
      <c r="BQ120">
        <v>762.24</v>
      </c>
      <c r="BR120">
        <v>185</v>
      </c>
      <c r="BS120">
        <v>10190.4</v>
      </c>
      <c r="BT120">
        <v>761.23</v>
      </c>
      <c r="BU120">
        <v>1.01</v>
      </c>
      <c r="BV120">
        <v>300.00000000000011</v>
      </c>
      <c r="BW120">
        <v>24.2</v>
      </c>
      <c r="BX120">
        <v>780.7846818812443</v>
      </c>
      <c r="BY120">
        <v>1.523383899395172</v>
      </c>
      <c r="BZ120">
        <v>-19.931992471329089</v>
      </c>
      <c r="CA120">
        <v>1.380891359171428</v>
      </c>
      <c r="CB120">
        <v>0.88152895762501737</v>
      </c>
      <c r="CC120">
        <v>-6.9542242491657412E-3</v>
      </c>
      <c r="CD120">
        <v>289.99999999999989</v>
      </c>
      <c r="CE120">
        <v>759.72</v>
      </c>
      <c r="CF120">
        <v>705</v>
      </c>
      <c r="CG120">
        <v>10157.200000000001</v>
      </c>
      <c r="CH120">
        <v>761.16</v>
      </c>
      <c r="CI120">
        <v>-1.44</v>
      </c>
      <c r="CW120">
        <f t="shared" si="180"/>
        <v>1799.91</v>
      </c>
      <c r="CX120">
        <f t="shared" si="181"/>
        <v>1513.1123999967001</v>
      </c>
      <c r="CY120">
        <f t="shared" si="182"/>
        <v>0.84066003299981662</v>
      </c>
      <c r="CZ120">
        <f t="shared" si="183"/>
        <v>0.19132006599963317</v>
      </c>
      <c r="DA120">
        <v>6</v>
      </c>
      <c r="DB120">
        <v>0.5</v>
      </c>
      <c r="DC120" t="s">
        <v>419</v>
      </c>
      <c r="DD120">
        <v>2</v>
      </c>
      <c r="DE120">
        <v>1691184988</v>
      </c>
      <c r="DF120">
        <v>24.229600000000001</v>
      </c>
      <c r="DG120">
        <v>30.04</v>
      </c>
      <c r="DH120">
        <v>25.934000000000001</v>
      </c>
      <c r="DI120">
        <v>17.758199999999999</v>
      </c>
      <c r="DJ120">
        <v>26.215499999999999</v>
      </c>
      <c r="DK120">
        <v>25.883700000000001</v>
      </c>
      <c r="DL120">
        <v>500.05399999999997</v>
      </c>
      <c r="DM120">
        <v>99.022499999999994</v>
      </c>
      <c r="DN120">
        <v>0.10004399999999999</v>
      </c>
      <c r="DO120">
        <v>30.0181</v>
      </c>
      <c r="DP120">
        <v>30.002199999999998</v>
      </c>
      <c r="DQ120">
        <v>999.9</v>
      </c>
      <c r="DR120">
        <v>0</v>
      </c>
      <c r="DS120">
        <v>0</v>
      </c>
      <c r="DT120">
        <v>10007.5</v>
      </c>
      <c r="DU120">
        <v>0</v>
      </c>
      <c r="DV120">
        <v>1038.97</v>
      </c>
      <c r="DW120">
        <v>-5.8104100000000001</v>
      </c>
      <c r="DX120">
        <v>24.874700000000001</v>
      </c>
      <c r="DY120">
        <v>30.583100000000002</v>
      </c>
      <c r="DZ120">
        <v>8.1757399999999993</v>
      </c>
      <c r="EA120">
        <v>30.04</v>
      </c>
      <c r="EB120">
        <v>17.758199999999999</v>
      </c>
      <c r="EC120">
        <v>2.5680499999999999</v>
      </c>
      <c r="ED120">
        <v>1.75847</v>
      </c>
      <c r="EE120">
        <v>21.464300000000001</v>
      </c>
      <c r="EF120">
        <v>15.4224</v>
      </c>
      <c r="EG120">
        <v>1799.91</v>
      </c>
      <c r="EH120">
        <v>0.97799700000000001</v>
      </c>
      <c r="EI120">
        <v>2.2003200000000001E-2</v>
      </c>
      <c r="EJ120">
        <v>0</v>
      </c>
      <c r="EK120">
        <v>720.63499999999999</v>
      </c>
      <c r="EL120">
        <v>0.100005</v>
      </c>
      <c r="EM120">
        <v>18745.7</v>
      </c>
      <c r="EN120">
        <v>14861.8</v>
      </c>
      <c r="EO120">
        <v>49.25</v>
      </c>
      <c r="EP120">
        <v>51.061999999999998</v>
      </c>
      <c r="EQ120">
        <v>50.25</v>
      </c>
      <c r="ER120">
        <v>49.311999999999998</v>
      </c>
      <c r="ES120">
        <v>50.125</v>
      </c>
      <c r="ET120">
        <v>1760.21</v>
      </c>
      <c r="EU120">
        <v>39.6</v>
      </c>
      <c r="EV120">
        <v>0</v>
      </c>
      <c r="EW120">
        <v>134</v>
      </c>
      <c r="EX120">
        <v>0</v>
      </c>
      <c r="EY120">
        <v>719.88479999999993</v>
      </c>
      <c r="EZ120">
        <v>-3.926923157333515</v>
      </c>
      <c r="FA120">
        <v>-59.646154159856728</v>
      </c>
      <c r="FB120">
        <v>18761.776000000002</v>
      </c>
      <c r="FC120">
        <v>15</v>
      </c>
      <c r="FD120">
        <v>1691184951.5</v>
      </c>
      <c r="FE120" t="s">
        <v>947</v>
      </c>
      <c r="FF120">
        <v>1691184941</v>
      </c>
      <c r="FG120">
        <v>1691184951.5</v>
      </c>
      <c r="FH120">
        <v>122</v>
      </c>
      <c r="FI120">
        <v>-8.2000000000000003E-2</v>
      </c>
      <c r="FJ120">
        <v>5.0000000000000001E-3</v>
      </c>
      <c r="FK120">
        <v>-2.0089999999999999</v>
      </c>
      <c r="FL120">
        <v>-0.11899999999999999</v>
      </c>
      <c r="FM120">
        <v>30</v>
      </c>
      <c r="FN120">
        <v>18</v>
      </c>
      <c r="FO120">
        <v>0.71</v>
      </c>
      <c r="FP120">
        <v>0.05</v>
      </c>
      <c r="FQ120">
        <v>4.6522396155713901</v>
      </c>
      <c r="FR120">
        <v>5.3237834558059499E-2</v>
      </c>
      <c r="FS120">
        <v>5.8289017504493001E-2</v>
      </c>
      <c r="FT120">
        <v>1</v>
      </c>
      <c r="FU120">
        <v>0.42408886463133127</v>
      </c>
      <c r="FV120">
        <v>4.8429964814614888E-2</v>
      </c>
      <c r="FW120">
        <v>3.7470510141740798E-3</v>
      </c>
      <c r="FX120">
        <v>1</v>
      </c>
      <c r="FY120">
        <v>2</v>
      </c>
      <c r="FZ120">
        <v>2</v>
      </c>
      <c r="GA120" t="s">
        <v>421</v>
      </c>
      <c r="GB120">
        <v>2.9149699999999998</v>
      </c>
      <c r="GC120">
        <v>2.82999</v>
      </c>
      <c r="GD120">
        <v>7.1893299999999999E-3</v>
      </c>
      <c r="GE120">
        <v>8.0482799999999997E-3</v>
      </c>
      <c r="GF120">
        <v>0.123907</v>
      </c>
      <c r="GG120">
        <v>9.1317300000000004E-2</v>
      </c>
      <c r="GH120">
        <v>25740.400000000001</v>
      </c>
      <c r="GI120">
        <v>31753.9</v>
      </c>
      <c r="GJ120">
        <v>23361.4</v>
      </c>
      <c r="GK120">
        <v>29361.599999999999</v>
      </c>
      <c r="GL120">
        <v>27944.3</v>
      </c>
      <c r="GM120">
        <v>37949.4</v>
      </c>
      <c r="GN120">
        <v>33053</v>
      </c>
      <c r="GO120">
        <v>43555</v>
      </c>
      <c r="GP120">
        <v>1.9206000000000001</v>
      </c>
      <c r="GQ120">
        <v>1.7198</v>
      </c>
      <c r="GR120">
        <v>-5.4925700000000001E-2</v>
      </c>
      <c r="GS120">
        <v>0</v>
      </c>
      <c r="GT120">
        <v>30.895399999999999</v>
      </c>
      <c r="GU120">
        <v>999.9</v>
      </c>
      <c r="GV120">
        <v>28.8</v>
      </c>
      <c r="GW120">
        <v>42.7</v>
      </c>
      <c r="GX120">
        <v>24.873200000000001</v>
      </c>
      <c r="GY120">
        <v>61.576599999999999</v>
      </c>
      <c r="GZ120">
        <v>35.368600000000001</v>
      </c>
      <c r="HA120">
        <v>1</v>
      </c>
      <c r="HB120">
        <v>0.75554900000000003</v>
      </c>
      <c r="HC120">
        <v>6.0566700000000004</v>
      </c>
      <c r="HD120">
        <v>20.209</v>
      </c>
      <c r="HE120">
        <v>5.2100999999999997</v>
      </c>
      <c r="HF120">
        <v>11.8782</v>
      </c>
      <c r="HG120">
        <v>4.984</v>
      </c>
      <c r="HH120">
        <v>3.2839999999999998</v>
      </c>
      <c r="HI120">
        <v>9999</v>
      </c>
      <c r="HJ120">
        <v>9999</v>
      </c>
      <c r="HK120">
        <v>9999</v>
      </c>
      <c r="HL120">
        <v>999.9</v>
      </c>
      <c r="HM120">
        <v>1.8546</v>
      </c>
      <c r="HN120">
        <v>1.86066</v>
      </c>
      <c r="HO120">
        <v>1.85806</v>
      </c>
      <c r="HP120">
        <v>1.85914</v>
      </c>
      <c r="HQ120">
        <v>1.8585199999999999</v>
      </c>
      <c r="HR120">
        <v>1.8591</v>
      </c>
      <c r="HS120">
        <v>1.8574200000000001</v>
      </c>
      <c r="HT120">
        <v>1.8608100000000001</v>
      </c>
      <c r="HU120">
        <v>5</v>
      </c>
      <c r="HV120">
        <v>0</v>
      </c>
      <c r="HW120">
        <v>0</v>
      </c>
      <c r="HX120">
        <v>0</v>
      </c>
      <c r="HY120" t="s">
        <v>422</v>
      </c>
      <c r="HZ120" t="s">
        <v>423</v>
      </c>
      <c r="IA120" t="s">
        <v>424</v>
      </c>
      <c r="IB120" t="s">
        <v>424</v>
      </c>
      <c r="IC120" t="s">
        <v>424</v>
      </c>
      <c r="ID120" t="s">
        <v>424</v>
      </c>
      <c r="IE120">
        <v>0</v>
      </c>
      <c r="IF120">
        <v>100</v>
      </c>
      <c r="IG120">
        <v>100</v>
      </c>
      <c r="IH120">
        <v>-1.986</v>
      </c>
      <c r="II120">
        <v>5.0299999999999997E-2</v>
      </c>
      <c r="IJ120">
        <v>-1.8791102224423939</v>
      </c>
      <c r="IK120">
        <v>-4.1229525807901877E-3</v>
      </c>
      <c r="IL120">
        <v>1.8448211998558991E-6</v>
      </c>
      <c r="IM120">
        <v>-3.7020276670297668E-10</v>
      </c>
      <c r="IN120">
        <v>-0.19277715177226989</v>
      </c>
      <c r="IO120">
        <v>-1.3488639696665739E-2</v>
      </c>
      <c r="IP120">
        <v>1.1588640342490499E-3</v>
      </c>
      <c r="IQ120">
        <v>-1.0624341560077559E-5</v>
      </c>
      <c r="IR120">
        <v>2</v>
      </c>
      <c r="IS120">
        <v>1915</v>
      </c>
      <c r="IT120">
        <v>1</v>
      </c>
      <c r="IU120">
        <v>42</v>
      </c>
      <c r="IV120">
        <v>0.8</v>
      </c>
      <c r="IW120">
        <v>0.6</v>
      </c>
      <c r="IX120">
        <v>0.21118200000000001</v>
      </c>
      <c r="IY120">
        <v>2.5427200000000001</v>
      </c>
      <c r="IZ120">
        <v>1.49414</v>
      </c>
      <c r="JA120">
        <v>2.2851599999999999</v>
      </c>
      <c r="JB120">
        <v>1.54419</v>
      </c>
      <c r="JC120">
        <v>2.4609399999999999</v>
      </c>
      <c r="JD120">
        <v>44.557299999999998</v>
      </c>
      <c r="JE120">
        <v>15.2615</v>
      </c>
      <c r="JF120">
        <v>18</v>
      </c>
      <c r="JG120">
        <v>513.59799999999996</v>
      </c>
      <c r="JH120">
        <v>409.10599999999999</v>
      </c>
      <c r="JI120">
        <v>22.108499999999999</v>
      </c>
      <c r="JJ120">
        <v>36.370399999999997</v>
      </c>
      <c r="JK120">
        <v>30</v>
      </c>
      <c r="JL120">
        <v>36.357700000000001</v>
      </c>
      <c r="JM120">
        <v>36.3262</v>
      </c>
      <c r="JN120">
        <v>4.2985699999999998</v>
      </c>
      <c r="JO120">
        <v>28.297000000000001</v>
      </c>
      <c r="JP120">
        <v>0</v>
      </c>
      <c r="JQ120">
        <v>22.106300000000001</v>
      </c>
      <c r="JR120">
        <v>30</v>
      </c>
      <c r="JS120">
        <v>17.5517</v>
      </c>
      <c r="JT120">
        <v>98.005200000000002</v>
      </c>
      <c r="JU120">
        <v>97.910399999999996</v>
      </c>
    </row>
    <row r="121" spans="1:281" x14ac:dyDescent="0.25">
      <c r="A121">
        <v>105</v>
      </c>
      <c r="B121">
        <v>1691185110</v>
      </c>
      <c r="C121">
        <v>25864.400000095371</v>
      </c>
      <c r="D121" t="s">
        <v>948</v>
      </c>
      <c r="E121" t="s">
        <v>949</v>
      </c>
      <c r="F121" t="s">
        <v>413</v>
      </c>
      <c r="G121" t="s">
        <v>779</v>
      </c>
      <c r="H121" t="s">
        <v>414</v>
      </c>
      <c r="I121" t="s">
        <v>415</v>
      </c>
      <c r="J121">
        <v>1691185110</v>
      </c>
      <c r="K121">
        <f t="shared" si="138"/>
        <v>7.1525778883022601E-3</v>
      </c>
      <c r="L121">
        <f t="shared" si="139"/>
        <v>7.1525778883022602</v>
      </c>
      <c r="M121">
        <f t="shared" si="140"/>
        <v>1.8751669013230234</v>
      </c>
      <c r="N121">
        <f t="shared" si="141"/>
        <v>7.7316099999999999</v>
      </c>
      <c r="O121">
        <f t="shared" si="142"/>
        <v>0.38631132452355954</v>
      </c>
      <c r="P121">
        <f t="shared" si="143"/>
        <v>3.8293540046533174E-2</v>
      </c>
      <c r="Q121">
        <f t="shared" si="144"/>
        <v>0.76640444730509105</v>
      </c>
      <c r="R121">
        <f t="shared" si="145"/>
        <v>0.4447120877272816</v>
      </c>
      <c r="S121">
        <f t="shared" si="146"/>
        <v>2.9159071297506318</v>
      </c>
      <c r="T121">
        <f t="shared" si="147"/>
        <v>0.41017862998029542</v>
      </c>
      <c r="U121">
        <f t="shared" si="148"/>
        <v>0.25924050440084973</v>
      </c>
      <c r="V121">
        <f t="shared" si="149"/>
        <v>344.39178679072552</v>
      </c>
      <c r="W121">
        <f t="shared" si="150"/>
        <v>30.212582100738071</v>
      </c>
      <c r="X121">
        <f t="shared" si="151"/>
        <v>29.9893</v>
      </c>
      <c r="Y121">
        <f t="shared" si="152"/>
        <v>4.2578320044218501</v>
      </c>
      <c r="Z121">
        <f t="shared" si="153"/>
        <v>60.623817964929415</v>
      </c>
      <c r="AA121">
        <f t="shared" si="154"/>
        <v>2.5889956471684203</v>
      </c>
      <c r="AB121">
        <f t="shared" si="155"/>
        <v>4.270591549786821</v>
      </c>
      <c r="AC121">
        <f t="shared" si="156"/>
        <v>1.6688363572534297</v>
      </c>
      <c r="AD121">
        <f t="shared" si="157"/>
        <v>-315.42868487412966</v>
      </c>
      <c r="AE121">
        <f t="shared" si="158"/>
        <v>8.190244267831849</v>
      </c>
      <c r="AF121">
        <f t="shared" si="159"/>
        <v>0.62463780521965939</v>
      </c>
      <c r="AG121">
        <f t="shared" si="160"/>
        <v>37.777983989647375</v>
      </c>
      <c r="AH121">
        <v>0</v>
      </c>
      <c r="AI121">
        <v>0</v>
      </c>
      <c r="AJ121">
        <f t="shared" si="161"/>
        <v>1</v>
      </c>
      <c r="AK121">
        <f t="shared" si="162"/>
        <v>0</v>
      </c>
      <c r="AL121">
        <f t="shared" si="163"/>
        <v>51936.192192981696</v>
      </c>
      <c r="AM121" t="s">
        <v>416</v>
      </c>
      <c r="AN121">
        <v>10235.299999999999</v>
      </c>
      <c r="AO121">
        <v>594.051923076923</v>
      </c>
      <c r="AP121">
        <v>2007.77</v>
      </c>
      <c r="AQ121">
        <f t="shared" si="164"/>
        <v>0.70412351859180933</v>
      </c>
      <c r="AR121">
        <v>-0.54275787784279261</v>
      </c>
      <c r="AS121" t="s">
        <v>950</v>
      </c>
      <c r="AT121">
        <v>10197</v>
      </c>
      <c r="AU121">
        <v>723.64879999999994</v>
      </c>
      <c r="AV121">
        <v>776.17195394781106</v>
      </c>
      <c r="AW121">
        <f t="shared" si="165"/>
        <v>6.7669481846986068E-2</v>
      </c>
      <c r="AX121">
        <v>0.5</v>
      </c>
      <c r="AY121">
        <f t="shared" si="166"/>
        <v>1513.2554933953627</v>
      </c>
      <c r="AZ121">
        <f t="shared" si="167"/>
        <v>1.8751669013230234</v>
      </c>
      <c r="BA121">
        <f t="shared" si="168"/>
        <v>51.200607570084721</v>
      </c>
      <c r="BB121">
        <f t="shared" si="169"/>
        <v>1.597829837538276E-3</v>
      </c>
      <c r="BC121">
        <f t="shared" si="170"/>
        <v>1.5867592738799219</v>
      </c>
      <c r="BD121">
        <f t="shared" si="171"/>
        <v>404.25865103708247</v>
      </c>
      <c r="BE121" t="s">
        <v>951</v>
      </c>
      <c r="BF121">
        <v>596.69000000000005</v>
      </c>
      <c r="BG121">
        <f t="shared" si="172"/>
        <v>596.69000000000005</v>
      </c>
      <c r="BH121">
        <f t="shared" si="173"/>
        <v>0.23123993727796965</v>
      </c>
      <c r="BI121">
        <f t="shared" si="174"/>
        <v>0.29263752033301121</v>
      </c>
      <c r="BJ121">
        <f t="shared" si="175"/>
        <v>0.87280525983798862</v>
      </c>
      <c r="BK121">
        <f t="shared" si="176"/>
        <v>0.28839855614260695</v>
      </c>
      <c r="BL121">
        <f t="shared" si="177"/>
        <v>0.87117655645511172</v>
      </c>
      <c r="BM121">
        <f t="shared" si="178"/>
        <v>0.24129644381018045</v>
      </c>
      <c r="BN121">
        <f t="shared" si="179"/>
        <v>0.75870355618981955</v>
      </c>
      <c r="BO121">
        <v>12677</v>
      </c>
      <c r="BP121">
        <v>290.00000000000011</v>
      </c>
      <c r="BQ121">
        <v>757.14</v>
      </c>
      <c r="BR121">
        <v>145</v>
      </c>
      <c r="BS121">
        <v>10197</v>
      </c>
      <c r="BT121">
        <v>756.4</v>
      </c>
      <c r="BU121">
        <v>0.74</v>
      </c>
      <c r="BV121">
        <v>300.00000000000011</v>
      </c>
      <c r="BW121">
        <v>24.2</v>
      </c>
      <c r="BX121">
        <v>776.17195394781106</v>
      </c>
      <c r="BY121">
        <v>1.4804465934160991</v>
      </c>
      <c r="BZ121">
        <v>-20.157492446967339</v>
      </c>
      <c r="CA121">
        <v>1.342003749019278</v>
      </c>
      <c r="CB121">
        <v>0.88959588895752451</v>
      </c>
      <c r="CC121">
        <v>-6.9544011123470516E-3</v>
      </c>
      <c r="CD121">
        <v>289.99999999999989</v>
      </c>
      <c r="CE121">
        <v>753.93</v>
      </c>
      <c r="CF121">
        <v>645</v>
      </c>
      <c r="CG121">
        <v>10161</v>
      </c>
      <c r="CH121">
        <v>756.33</v>
      </c>
      <c r="CI121">
        <v>-2.4</v>
      </c>
      <c r="CW121">
        <f t="shared" si="180"/>
        <v>1800.08</v>
      </c>
      <c r="CX121">
        <f t="shared" si="181"/>
        <v>1513.2554933953627</v>
      </c>
      <c r="CY121">
        <f t="shared" si="182"/>
        <v>0.84066013365815007</v>
      </c>
      <c r="CZ121">
        <f t="shared" si="183"/>
        <v>0.19132026731630014</v>
      </c>
      <c r="DA121">
        <v>6</v>
      </c>
      <c r="DB121">
        <v>0.5</v>
      </c>
      <c r="DC121" t="s">
        <v>419</v>
      </c>
      <c r="DD121">
        <v>2</v>
      </c>
      <c r="DE121">
        <v>1691185110</v>
      </c>
      <c r="DF121">
        <v>7.7316099999999999</v>
      </c>
      <c r="DG121">
        <v>10.048</v>
      </c>
      <c r="DH121">
        <v>26.118200000000002</v>
      </c>
      <c r="DI121">
        <v>17.759899999999998</v>
      </c>
      <c r="DJ121">
        <v>9.7695299999999996</v>
      </c>
      <c r="DK121">
        <v>26.065899999999999</v>
      </c>
      <c r="DL121">
        <v>500.03699999999998</v>
      </c>
      <c r="DM121">
        <v>99.026300000000006</v>
      </c>
      <c r="DN121">
        <v>9.9813100000000002E-2</v>
      </c>
      <c r="DO121">
        <v>30.041399999999999</v>
      </c>
      <c r="DP121">
        <v>29.9893</v>
      </c>
      <c r="DQ121">
        <v>999.9</v>
      </c>
      <c r="DR121">
        <v>0</v>
      </c>
      <c r="DS121">
        <v>0</v>
      </c>
      <c r="DT121">
        <v>10020</v>
      </c>
      <c r="DU121">
        <v>0</v>
      </c>
      <c r="DV121">
        <v>1031.5999999999999</v>
      </c>
      <c r="DW121">
        <v>-2.31643</v>
      </c>
      <c r="DX121">
        <v>7.9389599999999998</v>
      </c>
      <c r="DY121">
        <v>10.229699999999999</v>
      </c>
      <c r="DZ121">
        <v>8.35825</v>
      </c>
      <c r="EA121">
        <v>10.048</v>
      </c>
      <c r="EB121">
        <v>17.759899999999998</v>
      </c>
      <c r="EC121">
        <v>2.5863800000000001</v>
      </c>
      <c r="ED121">
        <v>1.7586999999999999</v>
      </c>
      <c r="EE121">
        <v>21.5806</v>
      </c>
      <c r="EF121">
        <v>15.4244</v>
      </c>
      <c r="EG121">
        <v>1800.08</v>
      </c>
      <c r="EH121">
        <v>0.97799700000000001</v>
      </c>
      <c r="EI121">
        <v>2.2003200000000001E-2</v>
      </c>
      <c r="EJ121">
        <v>0</v>
      </c>
      <c r="EK121">
        <v>720.44</v>
      </c>
      <c r="EL121">
        <v>0.100005</v>
      </c>
      <c r="EM121">
        <v>18867.3</v>
      </c>
      <c r="EN121">
        <v>14863.1</v>
      </c>
      <c r="EO121">
        <v>49.25</v>
      </c>
      <c r="EP121">
        <v>51.125</v>
      </c>
      <c r="EQ121">
        <v>50.311999999999998</v>
      </c>
      <c r="ER121">
        <v>49.375</v>
      </c>
      <c r="ES121">
        <v>50.186999999999998</v>
      </c>
      <c r="ET121">
        <v>1760.38</v>
      </c>
      <c r="EU121">
        <v>39.61</v>
      </c>
      <c r="EV121">
        <v>0</v>
      </c>
      <c r="EW121">
        <v>119.6000001430511</v>
      </c>
      <c r="EX121">
        <v>0</v>
      </c>
      <c r="EY121">
        <v>723.64879999999994</v>
      </c>
      <c r="EZ121">
        <v>-1.8765385055629811</v>
      </c>
      <c r="FA121">
        <v>-121.5153844902851</v>
      </c>
      <c r="FB121">
        <v>18871.592000000001</v>
      </c>
      <c r="FC121">
        <v>15</v>
      </c>
      <c r="FD121">
        <v>1691185074</v>
      </c>
      <c r="FE121" t="s">
        <v>952</v>
      </c>
      <c r="FF121">
        <v>1691185054</v>
      </c>
      <c r="FG121">
        <v>1691185074</v>
      </c>
      <c r="FH121">
        <v>123</v>
      </c>
      <c r="FI121">
        <v>-0.11899999999999999</v>
      </c>
      <c r="FJ121">
        <v>-3.0000000000000001E-3</v>
      </c>
      <c r="FK121">
        <v>-2.0470000000000002</v>
      </c>
      <c r="FL121">
        <v>-0.13200000000000001</v>
      </c>
      <c r="FM121">
        <v>10</v>
      </c>
      <c r="FN121">
        <v>17</v>
      </c>
      <c r="FO121">
        <v>1.24</v>
      </c>
      <c r="FP121">
        <v>0.03</v>
      </c>
      <c r="FQ121">
        <v>1.8847466024640289</v>
      </c>
      <c r="FR121">
        <v>-2.6410140468419208E-2</v>
      </c>
      <c r="FS121">
        <v>4.6173522659203999E-2</v>
      </c>
      <c r="FT121">
        <v>1</v>
      </c>
      <c r="FU121">
        <v>0.43761300554820398</v>
      </c>
      <c r="FV121">
        <v>4.4270129328584103E-2</v>
      </c>
      <c r="FW121">
        <v>3.487879424352862E-3</v>
      </c>
      <c r="FX121">
        <v>1</v>
      </c>
      <c r="FY121">
        <v>2</v>
      </c>
      <c r="FZ121">
        <v>2</v>
      </c>
      <c r="GA121" t="s">
        <v>421</v>
      </c>
      <c r="GB121">
        <v>2.91499</v>
      </c>
      <c r="GC121">
        <v>2.8298700000000001</v>
      </c>
      <c r="GD121">
        <v>2.6895199999999999E-3</v>
      </c>
      <c r="GE121">
        <v>2.7037900000000002E-3</v>
      </c>
      <c r="GF121">
        <v>0.124541</v>
      </c>
      <c r="GG121">
        <v>9.1340400000000002E-2</v>
      </c>
      <c r="GH121">
        <v>25857.4</v>
      </c>
      <c r="GI121">
        <v>31926.2</v>
      </c>
      <c r="GJ121">
        <v>23361.8</v>
      </c>
      <c r="GK121">
        <v>29362.9</v>
      </c>
      <c r="GL121">
        <v>27923.5</v>
      </c>
      <c r="GM121">
        <v>37948.9</v>
      </c>
      <c r="GN121">
        <v>33052.9</v>
      </c>
      <c r="GO121">
        <v>43556.4</v>
      </c>
      <c r="GP121">
        <v>1.9212</v>
      </c>
      <c r="GQ121">
        <v>1.7218</v>
      </c>
      <c r="GR121">
        <v>-5.5223700000000001E-2</v>
      </c>
      <c r="GS121">
        <v>0</v>
      </c>
      <c r="GT121">
        <v>30.8873</v>
      </c>
      <c r="GU121">
        <v>999.9</v>
      </c>
      <c r="GV121">
        <v>28.8</v>
      </c>
      <c r="GW121">
        <v>42.6</v>
      </c>
      <c r="GX121">
        <v>24.741099999999999</v>
      </c>
      <c r="GY121">
        <v>61.916600000000003</v>
      </c>
      <c r="GZ121">
        <v>35.040100000000002</v>
      </c>
      <c r="HA121">
        <v>1</v>
      </c>
      <c r="HB121">
        <v>0.75103699999999995</v>
      </c>
      <c r="HC121">
        <v>5.83779</v>
      </c>
      <c r="HD121">
        <v>20.216100000000001</v>
      </c>
      <c r="HE121">
        <v>5.2095000000000002</v>
      </c>
      <c r="HF121">
        <v>11.8782</v>
      </c>
      <c r="HG121">
        <v>4.9837999999999996</v>
      </c>
      <c r="HH121">
        <v>3.2839999999999998</v>
      </c>
      <c r="HI121">
        <v>9999</v>
      </c>
      <c r="HJ121">
        <v>9999</v>
      </c>
      <c r="HK121">
        <v>9999</v>
      </c>
      <c r="HL121">
        <v>999.9</v>
      </c>
      <c r="HM121">
        <v>1.8546100000000001</v>
      </c>
      <c r="HN121">
        <v>1.8606799999999999</v>
      </c>
      <c r="HO121">
        <v>1.85806</v>
      </c>
      <c r="HP121">
        <v>1.85921</v>
      </c>
      <c r="HQ121">
        <v>1.8585199999999999</v>
      </c>
      <c r="HR121">
        <v>1.8591299999999999</v>
      </c>
      <c r="HS121">
        <v>1.85745</v>
      </c>
      <c r="HT121">
        <v>1.8608100000000001</v>
      </c>
      <c r="HU121">
        <v>5</v>
      </c>
      <c r="HV121">
        <v>0</v>
      </c>
      <c r="HW121">
        <v>0</v>
      </c>
      <c r="HX121">
        <v>0</v>
      </c>
      <c r="HY121" t="s">
        <v>422</v>
      </c>
      <c r="HZ121" t="s">
        <v>423</v>
      </c>
      <c r="IA121" t="s">
        <v>424</v>
      </c>
      <c r="IB121" t="s">
        <v>424</v>
      </c>
      <c r="IC121" t="s">
        <v>424</v>
      </c>
      <c r="ID121" t="s">
        <v>424</v>
      </c>
      <c r="IE121">
        <v>0</v>
      </c>
      <c r="IF121">
        <v>100</v>
      </c>
      <c r="IG121">
        <v>100</v>
      </c>
      <c r="IH121">
        <v>-2.0379999999999998</v>
      </c>
      <c r="II121">
        <v>5.2299999999999999E-2</v>
      </c>
      <c r="IJ121">
        <v>-1.997818883648</v>
      </c>
      <c r="IK121">
        <v>-4.1229525807901877E-3</v>
      </c>
      <c r="IL121">
        <v>1.8448211998558991E-6</v>
      </c>
      <c r="IM121">
        <v>-3.7020276670297668E-10</v>
      </c>
      <c r="IN121">
        <v>-0.19533870621372601</v>
      </c>
      <c r="IO121">
        <v>-1.3488639696665739E-2</v>
      </c>
      <c r="IP121">
        <v>1.1588640342490499E-3</v>
      </c>
      <c r="IQ121">
        <v>-1.0624341560077559E-5</v>
      </c>
      <c r="IR121">
        <v>2</v>
      </c>
      <c r="IS121">
        <v>1915</v>
      </c>
      <c r="IT121">
        <v>1</v>
      </c>
      <c r="IU121">
        <v>42</v>
      </c>
      <c r="IV121">
        <v>0.9</v>
      </c>
      <c r="IW121">
        <v>0.6</v>
      </c>
      <c r="IX121">
        <v>0.167236</v>
      </c>
      <c r="IY121">
        <v>2.5647000000000002</v>
      </c>
      <c r="IZ121">
        <v>1.49414</v>
      </c>
      <c r="JA121">
        <v>2.2851599999999999</v>
      </c>
      <c r="JB121">
        <v>1.54419</v>
      </c>
      <c r="JC121">
        <v>2.4084500000000002</v>
      </c>
      <c r="JD121">
        <v>44.445599999999999</v>
      </c>
      <c r="JE121">
        <v>15.235300000000001</v>
      </c>
      <c r="JF121">
        <v>18</v>
      </c>
      <c r="JG121">
        <v>513.53399999999999</v>
      </c>
      <c r="JH121">
        <v>409.98500000000001</v>
      </c>
      <c r="JI121">
        <v>22.2744</v>
      </c>
      <c r="JJ121">
        <v>36.311500000000002</v>
      </c>
      <c r="JK121">
        <v>29.9998</v>
      </c>
      <c r="JL121">
        <v>36.296700000000001</v>
      </c>
      <c r="JM121">
        <v>36.262700000000002</v>
      </c>
      <c r="JN121">
        <v>3.40089</v>
      </c>
      <c r="JO121">
        <v>27.521100000000001</v>
      </c>
      <c r="JP121">
        <v>0</v>
      </c>
      <c r="JQ121">
        <v>22.285</v>
      </c>
      <c r="JR121">
        <v>10</v>
      </c>
      <c r="JS121">
        <v>17.6114</v>
      </c>
      <c r="JT121">
        <v>98.005899999999997</v>
      </c>
      <c r="JU121">
        <v>97.913899999999998</v>
      </c>
    </row>
    <row r="122" spans="1:281" x14ac:dyDescent="0.25">
      <c r="A122">
        <v>106</v>
      </c>
      <c r="B122">
        <v>1691185267.5</v>
      </c>
      <c r="C122">
        <v>26021.900000095371</v>
      </c>
      <c r="D122" t="s">
        <v>953</v>
      </c>
      <c r="E122" t="s">
        <v>954</v>
      </c>
      <c r="F122" t="s">
        <v>413</v>
      </c>
      <c r="G122" t="s">
        <v>779</v>
      </c>
      <c r="H122" t="s">
        <v>414</v>
      </c>
      <c r="I122" t="s">
        <v>415</v>
      </c>
      <c r="J122">
        <v>1691185267.5</v>
      </c>
      <c r="K122">
        <f t="shared" si="138"/>
        <v>7.1791953351234179E-3</v>
      </c>
      <c r="L122">
        <f t="shared" si="139"/>
        <v>7.1791953351234179</v>
      </c>
      <c r="M122">
        <f t="shared" si="140"/>
        <v>45.751041848102076</v>
      </c>
      <c r="N122">
        <f t="shared" si="141"/>
        <v>342.19600000000003</v>
      </c>
      <c r="O122">
        <f t="shared" si="142"/>
        <v>157.1793896041172</v>
      </c>
      <c r="P122">
        <f t="shared" si="143"/>
        <v>15.580267199159005</v>
      </c>
      <c r="Q122">
        <f t="shared" si="144"/>
        <v>33.919874150877611</v>
      </c>
      <c r="R122">
        <f t="shared" si="145"/>
        <v>0.44051606118268716</v>
      </c>
      <c r="S122">
        <f t="shared" si="146"/>
        <v>2.9180573029109844</v>
      </c>
      <c r="T122">
        <f t="shared" si="147"/>
        <v>0.40662751685538567</v>
      </c>
      <c r="U122">
        <f t="shared" si="148"/>
        <v>0.25696935253614794</v>
      </c>
      <c r="V122">
        <f t="shared" si="149"/>
        <v>344.37979999340007</v>
      </c>
      <c r="W122">
        <f t="shared" si="150"/>
        <v>30.253855539127233</v>
      </c>
      <c r="X122">
        <f t="shared" si="151"/>
        <v>30.013500000000001</v>
      </c>
      <c r="Y122">
        <f t="shared" si="152"/>
        <v>4.2637545649567459</v>
      </c>
      <c r="Z122">
        <f t="shared" si="153"/>
        <v>60.106251756039995</v>
      </c>
      <c r="AA122">
        <f t="shared" si="154"/>
        <v>2.5740350792386804</v>
      </c>
      <c r="AB122">
        <f t="shared" si="155"/>
        <v>4.2824747909522056</v>
      </c>
      <c r="AC122">
        <f t="shared" si="156"/>
        <v>1.6897194857180655</v>
      </c>
      <c r="AD122">
        <f t="shared" si="157"/>
        <v>-316.60251427894275</v>
      </c>
      <c r="AE122">
        <f t="shared" si="158"/>
        <v>12.003386695499145</v>
      </c>
      <c r="AF122">
        <f t="shared" si="159"/>
        <v>0.91510547723909552</v>
      </c>
      <c r="AG122">
        <f t="shared" si="160"/>
        <v>40.695777887195547</v>
      </c>
      <c r="AH122">
        <v>0</v>
      </c>
      <c r="AI122">
        <v>0</v>
      </c>
      <c r="AJ122">
        <f t="shared" si="161"/>
        <v>1</v>
      </c>
      <c r="AK122">
        <f t="shared" si="162"/>
        <v>0</v>
      </c>
      <c r="AL122">
        <f t="shared" si="163"/>
        <v>51989.043634079702</v>
      </c>
      <c r="AM122" t="s">
        <v>416</v>
      </c>
      <c r="AN122">
        <v>10235.299999999999</v>
      </c>
      <c r="AO122">
        <v>594.051923076923</v>
      </c>
      <c r="AP122">
        <v>2007.77</v>
      </c>
      <c r="AQ122">
        <f t="shared" si="164"/>
        <v>0.70412351859180933</v>
      </c>
      <c r="AR122">
        <v>-0.54275787784279261</v>
      </c>
      <c r="AS122" t="s">
        <v>955</v>
      </c>
      <c r="AT122">
        <v>10178.6</v>
      </c>
      <c r="AU122">
        <v>683.35365384615386</v>
      </c>
      <c r="AV122">
        <v>1021.678626903795</v>
      </c>
      <c r="AW122">
        <f t="shared" si="165"/>
        <v>0.33114617860112983</v>
      </c>
      <c r="AX122">
        <v>0.5</v>
      </c>
      <c r="AY122">
        <f t="shared" si="166"/>
        <v>1513.2047999966999</v>
      </c>
      <c r="AZ122">
        <f t="shared" si="167"/>
        <v>45.751041848102076</v>
      </c>
      <c r="BA122">
        <f t="shared" si="168"/>
        <v>250.54599347989705</v>
      </c>
      <c r="BB122">
        <f t="shared" si="169"/>
        <v>3.0593214960754705E-2</v>
      </c>
      <c r="BC122">
        <f t="shared" si="170"/>
        <v>0.96516785917756009</v>
      </c>
      <c r="BD122">
        <f t="shared" si="171"/>
        <v>462.09207264338414</v>
      </c>
      <c r="BE122" t="s">
        <v>956</v>
      </c>
      <c r="BF122">
        <v>537.11</v>
      </c>
      <c r="BG122">
        <f t="shared" si="172"/>
        <v>537.11</v>
      </c>
      <c r="BH122">
        <f t="shared" si="173"/>
        <v>0.47428674158750284</v>
      </c>
      <c r="BI122">
        <f t="shared" si="174"/>
        <v>0.69819826186314637</v>
      </c>
      <c r="BJ122">
        <f t="shared" si="175"/>
        <v>0.67050941284607257</v>
      </c>
      <c r="BK122">
        <f t="shared" si="176"/>
        <v>0.79116895654536734</v>
      </c>
      <c r="BL122">
        <f t="shared" si="177"/>
        <v>0.69751627937191607</v>
      </c>
      <c r="BM122">
        <f t="shared" si="178"/>
        <v>0.54877773217225212</v>
      </c>
      <c r="BN122">
        <f t="shared" si="179"/>
        <v>0.45122226782774788</v>
      </c>
      <c r="BO122">
        <v>12679</v>
      </c>
      <c r="BP122">
        <v>290.00000000000011</v>
      </c>
      <c r="BQ122">
        <v>903.49</v>
      </c>
      <c r="BR122">
        <v>295</v>
      </c>
      <c r="BS122">
        <v>10178.6</v>
      </c>
      <c r="BT122">
        <v>906.3</v>
      </c>
      <c r="BU122">
        <v>-2.81</v>
      </c>
      <c r="BV122">
        <v>300.00000000000011</v>
      </c>
      <c r="BW122">
        <v>24.2</v>
      </c>
      <c r="BX122">
        <v>1021.678626903795</v>
      </c>
      <c r="BY122">
        <v>2.4653751509104418</v>
      </c>
      <c r="BZ122">
        <v>-117.43819112541161</v>
      </c>
      <c r="CA122">
        <v>2.235030809382438</v>
      </c>
      <c r="CB122">
        <v>0.98996022228148384</v>
      </c>
      <c r="CC122">
        <v>-6.955776195773083E-3</v>
      </c>
      <c r="CD122">
        <v>289.99999999999989</v>
      </c>
      <c r="CE122">
        <v>892.29</v>
      </c>
      <c r="CF122">
        <v>625</v>
      </c>
      <c r="CG122">
        <v>10163.299999999999</v>
      </c>
      <c r="CH122">
        <v>906.13</v>
      </c>
      <c r="CI122">
        <v>-13.84</v>
      </c>
      <c r="CW122">
        <f t="shared" si="180"/>
        <v>1800.02</v>
      </c>
      <c r="CX122">
        <f t="shared" si="181"/>
        <v>1513.2047999966999</v>
      </c>
      <c r="CY122">
        <f t="shared" si="182"/>
        <v>0.84065999266491476</v>
      </c>
      <c r="CZ122">
        <f t="shared" si="183"/>
        <v>0.19131998532982972</v>
      </c>
      <c r="DA122">
        <v>6</v>
      </c>
      <c r="DB122">
        <v>0.5</v>
      </c>
      <c r="DC122" t="s">
        <v>419</v>
      </c>
      <c r="DD122">
        <v>2</v>
      </c>
      <c r="DE122">
        <v>1691185267.5</v>
      </c>
      <c r="DF122">
        <v>342.19600000000003</v>
      </c>
      <c r="DG122">
        <v>400.041</v>
      </c>
      <c r="DH122">
        <v>25.9678</v>
      </c>
      <c r="DI122">
        <v>17.577100000000002</v>
      </c>
      <c r="DJ122">
        <v>345.14600000000002</v>
      </c>
      <c r="DK122">
        <v>25.921199999999999</v>
      </c>
      <c r="DL122">
        <v>500.03699999999998</v>
      </c>
      <c r="DM122">
        <v>99.024500000000003</v>
      </c>
      <c r="DN122">
        <v>9.9610599999999994E-2</v>
      </c>
      <c r="DO122">
        <v>30.0898</v>
      </c>
      <c r="DP122">
        <v>30.013500000000001</v>
      </c>
      <c r="DQ122">
        <v>999.9</v>
      </c>
      <c r="DR122">
        <v>0</v>
      </c>
      <c r="DS122">
        <v>0</v>
      </c>
      <c r="DT122">
        <v>10032.5</v>
      </c>
      <c r="DU122">
        <v>0</v>
      </c>
      <c r="DV122">
        <v>1011.83</v>
      </c>
      <c r="DW122">
        <v>-57.845199999999998</v>
      </c>
      <c r="DX122">
        <v>351.31900000000002</v>
      </c>
      <c r="DY122">
        <v>407.19799999999998</v>
      </c>
      <c r="DZ122">
        <v>8.3906299999999998</v>
      </c>
      <c r="EA122">
        <v>400.041</v>
      </c>
      <c r="EB122">
        <v>17.577100000000002</v>
      </c>
      <c r="EC122">
        <v>2.5714399999999999</v>
      </c>
      <c r="ED122">
        <v>1.74057</v>
      </c>
      <c r="EE122">
        <v>21.485900000000001</v>
      </c>
      <c r="EF122">
        <v>15.263</v>
      </c>
      <c r="EG122">
        <v>1800.02</v>
      </c>
      <c r="EH122">
        <v>0.97799700000000001</v>
      </c>
      <c r="EI122">
        <v>2.2003200000000001E-2</v>
      </c>
      <c r="EJ122">
        <v>0</v>
      </c>
      <c r="EK122">
        <v>680.68499999999995</v>
      </c>
      <c r="EL122">
        <v>0.100005</v>
      </c>
      <c r="EM122">
        <v>18146.599999999999</v>
      </c>
      <c r="EN122">
        <v>14862.7</v>
      </c>
      <c r="EO122">
        <v>49.311999999999998</v>
      </c>
      <c r="EP122">
        <v>51.186999999999998</v>
      </c>
      <c r="EQ122">
        <v>50.311999999999998</v>
      </c>
      <c r="ER122">
        <v>49.436999999999998</v>
      </c>
      <c r="ES122">
        <v>50.25</v>
      </c>
      <c r="ET122">
        <v>1760.32</v>
      </c>
      <c r="EU122">
        <v>39.6</v>
      </c>
      <c r="EV122">
        <v>0</v>
      </c>
      <c r="EW122">
        <v>155.39999985694891</v>
      </c>
      <c r="EX122">
        <v>0</v>
      </c>
      <c r="EY122">
        <v>683.35365384615386</v>
      </c>
      <c r="EZ122">
        <v>-17.96803411206</v>
      </c>
      <c r="FA122">
        <v>-43.671794581838533</v>
      </c>
      <c r="FB122">
        <v>18140.884615384621</v>
      </c>
      <c r="FC122">
        <v>15</v>
      </c>
      <c r="FD122">
        <v>1691185216</v>
      </c>
      <c r="FE122" t="s">
        <v>957</v>
      </c>
      <c r="FF122">
        <v>1691185216</v>
      </c>
      <c r="FG122">
        <v>1691185211.5</v>
      </c>
      <c r="FH122">
        <v>124</v>
      </c>
      <c r="FI122">
        <v>0.26600000000000001</v>
      </c>
      <c r="FJ122">
        <v>-2E-3</v>
      </c>
      <c r="FK122">
        <v>-3.1190000000000002</v>
      </c>
      <c r="FL122">
        <v>-0.13800000000000001</v>
      </c>
      <c r="FM122">
        <v>400</v>
      </c>
      <c r="FN122">
        <v>17</v>
      </c>
      <c r="FO122">
        <v>0.22</v>
      </c>
      <c r="FP122">
        <v>0.04</v>
      </c>
      <c r="FQ122">
        <v>45.808237946610198</v>
      </c>
      <c r="FR122">
        <v>0.47644980353349559</v>
      </c>
      <c r="FS122">
        <v>0.1116690235053738</v>
      </c>
      <c r="FT122">
        <v>1</v>
      </c>
      <c r="FU122">
        <v>0.43479240877706282</v>
      </c>
      <c r="FV122">
        <v>2.1971943232570811E-2</v>
      </c>
      <c r="FW122">
        <v>2.1573020992899372E-3</v>
      </c>
      <c r="FX122">
        <v>1</v>
      </c>
      <c r="FY122">
        <v>2</v>
      </c>
      <c r="FZ122">
        <v>2</v>
      </c>
      <c r="GA122" t="s">
        <v>421</v>
      </c>
      <c r="GB122">
        <v>2.91506</v>
      </c>
      <c r="GC122">
        <v>2.82978</v>
      </c>
      <c r="GD122">
        <v>7.9431399999999999E-2</v>
      </c>
      <c r="GE122">
        <v>8.7440400000000001E-2</v>
      </c>
      <c r="GF122">
        <v>0.12407600000000001</v>
      </c>
      <c r="GG122">
        <v>9.0674500000000005E-2</v>
      </c>
      <c r="GH122">
        <v>23874.9</v>
      </c>
      <c r="GI122">
        <v>29221</v>
      </c>
      <c r="GJ122">
        <v>23364.799999999999</v>
      </c>
      <c r="GK122">
        <v>29365.9</v>
      </c>
      <c r="GL122">
        <v>27949</v>
      </c>
      <c r="GM122">
        <v>37989.5</v>
      </c>
      <c r="GN122">
        <v>33057.9</v>
      </c>
      <c r="GO122">
        <v>43559.9</v>
      </c>
      <c r="GP122">
        <v>1.9219999999999999</v>
      </c>
      <c r="GQ122">
        <v>1.7255</v>
      </c>
      <c r="GR122">
        <v>-5.80549E-2</v>
      </c>
      <c r="GS122">
        <v>0</v>
      </c>
      <c r="GT122">
        <v>30.9575</v>
      </c>
      <c r="GU122">
        <v>999.9</v>
      </c>
      <c r="GV122">
        <v>28.9</v>
      </c>
      <c r="GW122">
        <v>42.5</v>
      </c>
      <c r="GX122">
        <v>24.701000000000001</v>
      </c>
      <c r="GY122">
        <v>61.6967</v>
      </c>
      <c r="GZ122">
        <v>35.176299999999998</v>
      </c>
      <c r="HA122">
        <v>1</v>
      </c>
      <c r="HB122">
        <v>0.74753099999999995</v>
      </c>
      <c r="HC122">
        <v>6.2103400000000004</v>
      </c>
      <c r="HD122">
        <v>20.201899999999998</v>
      </c>
      <c r="HE122">
        <v>5.2047100000000004</v>
      </c>
      <c r="HF122">
        <v>11.8782</v>
      </c>
      <c r="HG122">
        <v>4.9809999999999999</v>
      </c>
      <c r="HH122">
        <v>3.2825000000000002</v>
      </c>
      <c r="HI122">
        <v>9999</v>
      </c>
      <c r="HJ122">
        <v>9999</v>
      </c>
      <c r="HK122">
        <v>9999</v>
      </c>
      <c r="HL122">
        <v>999.9</v>
      </c>
      <c r="HM122">
        <v>1.8545499999999999</v>
      </c>
      <c r="HN122">
        <v>1.86066</v>
      </c>
      <c r="HO122">
        <v>1.8580399999999999</v>
      </c>
      <c r="HP122">
        <v>1.8591800000000001</v>
      </c>
      <c r="HQ122">
        <v>1.8585199999999999</v>
      </c>
      <c r="HR122">
        <v>1.8591200000000001</v>
      </c>
      <c r="HS122">
        <v>1.8574299999999999</v>
      </c>
      <c r="HT122">
        <v>1.8608</v>
      </c>
      <c r="HU122">
        <v>5</v>
      </c>
      <c r="HV122">
        <v>0</v>
      </c>
      <c r="HW122">
        <v>0</v>
      </c>
      <c r="HX122">
        <v>0</v>
      </c>
      <c r="HY122" t="s">
        <v>422</v>
      </c>
      <c r="HZ122" t="s">
        <v>423</v>
      </c>
      <c r="IA122" t="s">
        <v>424</v>
      </c>
      <c r="IB122" t="s">
        <v>424</v>
      </c>
      <c r="IC122" t="s">
        <v>424</v>
      </c>
      <c r="ID122" t="s">
        <v>424</v>
      </c>
      <c r="IE122">
        <v>0</v>
      </c>
      <c r="IF122">
        <v>100</v>
      </c>
      <c r="IG122">
        <v>100</v>
      </c>
      <c r="IH122">
        <v>-2.95</v>
      </c>
      <c r="II122">
        <v>4.6600000000000003E-2</v>
      </c>
      <c r="IJ122">
        <v>-1.7314589528553019</v>
      </c>
      <c r="IK122">
        <v>-4.1229525807901877E-3</v>
      </c>
      <c r="IL122">
        <v>1.8448211998558991E-6</v>
      </c>
      <c r="IM122">
        <v>-3.7020276670297668E-10</v>
      </c>
      <c r="IN122">
        <v>-0.19738333063505051</v>
      </c>
      <c r="IO122">
        <v>-1.3488639696665739E-2</v>
      </c>
      <c r="IP122">
        <v>1.1588640342490499E-3</v>
      </c>
      <c r="IQ122">
        <v>-1.0624341560077559E-5</v>
      </c>
      <c r="IR122">
        <v>2</v>
      </c>
      <c r="IS122">
        <v>1915</v>
      </c>
      <c r="IT122">
        <v>1</v>
      </c>
      <c r="IU122">
        <v>42</v>
      </c>
      <c r="IV122">
        <v>0.9</v>
      </c>
      <c r="IW122">
        <v>0.9</v>
      </c>
      <c r="IX122">
        <v>1.01074</v>
      </c>
      <c r="IY122">
        <v>2.49268</v>
      </c>
      <c r="IZ122">
        <v>1.49414</v>
      </c>
      <c r="JA122">
        <v>2.2851599999999999</v>
      </c>
      <c r="JB122">
        <v>1.54419</v>
      </c>
      <c r="JC122">
        <v>2.47925</v>
      </c>
      <c r="JD122">
        <v>44.389899999999997</v>
      </c>
      <c r="JE122">
        <v>15.2003</v>
      </c>
      <c r="JF122">
        <v>18</v>
      </c>
      <c r="JG122">
        <v>513.42999999999995</v>
      </c>
      <c r="JH122">
        <v>411.85899999999998</v>
      </c>
      <c r="JI122">
        <v>22.116499999999998</v>
      </c>
      <c r="JJ122">
        <v>36.233899999999998</v>
      </c>
      <c r="JK122">
        <v>29.9999</v>
      </c>
      <c r="JL122">
        <v>36.213799999999999</v>
      </c>
      <c r="JM122">
        <v>36.182499999999997</v>
      </c>
      <c r="JN122">
        <v>20.3062</v>
      </c>
      <c r="JO122">
        <v>28.621099999999998</v>
      </c>
      <c r="JP122">
        <v>0</v>
      </c>
      <c r="JQ122">
        <v>22.117599999999999</v>
      </c>
      <c r="JR122">
        <v>400</v>
      </c>
      <c r="JS122">
        <v>17.412400000000002</v>
      </c>
      <c r="JT122">
        <v>98.019800000000004</v>
      </c>
      <c r="JU122">
        <v>97.922700000000006</v>
      </c>
    </row>
    <row r="123" spans="1:281" x14ac:dyDescent="0.25">
      <c r="A123">
        <v>107</v>
      </c>
      <c r="B123">
        <v>1691185443</v>
      </c>
      <c r="C123">
        <v>26197.400000095371</v>
      </c>
      <c r="D123" t="s">
        <v>958</v>
      </c>
      <c r="E123" t="s">
        <v>959</v>
      </c>
      <c r="F123" t="s">
        <v>413</v>
      </c>
      <c r="G123" t="s">
        <v>779</v>
      </c>
      <c r="H123" t="s">
        <v>414</v>
      </c>
      <c r="I123" t="s">
        <v>415</v>
      </c>
      <c r="J123">
        <v>1691185443</v>
      </c>
      <c r="K123">
        <f t="shared" si="138"/>
        <v>6.7721197052137017E-3</v>
      </c>
      <c r="L123">
        <f t="shared" si="139"/>
        <v>6.7721197052137017</v>
      </c>
      <c r="M123">
        <f t="shared" si="140"/>
        <v>51.057962540748008</v>
      </c>
      <c r="N123">
        <f t="shared" si="141"/>
        <v>336.02199999999999</v>
      </c>
      <c r="O123">
        <f t="shared" si="142"/>
        <v>112.62827167838323</v>
      </c>
      <c r="P123">
        <f t="shared" si="143"/>
        <v>11.164107924570862</v>
      </c>
      <c r="Q123">
        <f t="shared" si="144"/>
        <v>33.307675036890004</v>
      </c>
      <c r="R123">
        <f t="shared" si="145"/>
        <v>0.40108011212964345</v>
      </c>
      <c r="S123">
        <f t="shared" si="146"/>
        <v>2.916727126572622</v>
      </c>
      <c r="T123">
        <f t="shared" si="147"/>
        <v>0.37276675213110116</v>
      </c>
      <c r="U123">
        <f t="shared" si="148"/>
        <v>0.23535629047671741</v>
      </c>
      <c r="V123">
        <f t="shared" si="149"/>
        <v>344.36649999339983</v>
      </c>
      <c r="W123">
        <f t="shared" si="150"/>
        <v>30.323424899513235</v>
      </c>
      <c r="X123">
        <f t="shared" si="151"/>
        <v>30.032699999999998</v>
      </c>
      <c r="Y123">
        <f t="shared" si="152"/>
        <v>4.2684585623874227</v>
      </c>
      <c r="Z123">
        <f t="shared" si="153"/>
        <v>59.18818892228456</v>
      </c>
      <c r="AA123">
        <f t="shared" si="154"/>
        <v>2.5294135207110005</v>
      </c>
      <c r="AB123">
        <f t="shared" si="155"/>
        <v>4.2735105884590894</v>
      </c>
      <c r="AC123">
        <f t="shared" si="156"/>
        <v>1.7390450416764223</v>
      </c>
      <c r="AD123">
        <f t="shared" si="157"/>
        <v>-298.65047899992425</v>
      </c>
      <c r="AE123">
        <f t="shared" si="158"/>
        <v>3.2392798126646056</v>
      </c>
      <c r="AF123">
        <f t="shared" si="159"/>
        <v>0.24704532626221276</v>
      </c>
      <c r="AG123">
        <f t="shared" si="160"/>
        <v>49.202346132402383</v>
      </c>
      <c r="AH123">
        <v>0</v>
      </c>
      <c r="AI123">
        <v>0</v>
      </c>
      <c r="AJ123">
        <f t="shared" si="161"/>
        <v>1</v>
      </c>
      <c r="AK123">
        <f t="shared" si="162"/>
        <v>0</v>
      </c>
      <c r="AL123">
        <f t="shared" si="163"/>
        <v>51957.420459128392</v>
      </c>
      <c r="AM123" t="s">
        <v>416</v>
      </c>
      <c r="AN123">
        <v>10235.299999999999</v>
      </c>
      <c r="AO123">
        <v>594.051923076923</v>
      </c>
      <c r="AP123">
        <v>2007.77</v>
      </c>
      <c r="AQ123">
        <f t="shared" si="164"/>
        <v>0.70412351859180933</v>
      </c>
      <c r="AR123">
        <v>-0.54275787784279261</v>
      </c>
      <c r="AS123" t="s">
        <v>960</v>
      </c>
      <c r="AT123">
        <v>10185.1</v>
      </c>
      <c r="AU123">
        <v>703.22300000000007</v>
      </c>
      <c r="AV123">
        <v>1089.0715109364189</v>
      </c>
      <c r="AW123">
        <f t="shared" si="165"/>
        <v>0.35429125366125302</v>
      </c>
      <c r="AX123">
        <v>0.5</v>
      </c>
      <c r="AY123">
        <f t="shared" si="166"/>
        <v>1513.1459999967001</v>
      </c>
      <c r="AZ123">
        <f t="shared" si="167"/>
        <v>51.057962540748008</v>
      </c>
      <c r="BA123">
        <f t="shared" si="168"/>
        <v>268.04719665567063</v>
      </c>
      <c r="BB123">
        <f t="shared" si="169"/>
        <v>3.4101613736350185E-2</v>
      </c>
      <c r="BC123">
        <f t="shared" si="170"/>
        <v>0.84356121690636676</v>
      </c>
      <c r="BD123">
        <f t="shared" si="171"/>
        <v>475.39749747459831</v>
      </c>
      <c r="BE123" t="s">
        <v>961</v>
      </c>
      <c r="BF123">
        <v>550.71</v>
      </c>
      <c r="BG123">
        <f t="shared" si="172"/>
        <v>550.71</v>
      </c>
      <c r="BH123">
        <f t="shared" si="173"/>
        <v>0.4943307262472767</v>
      </c>
      <c r="BI123">
        <f t="shared" si="174"/>
        <v>0.7167089457514878</v>
      </c>
      <c r="BJ123">
        <f t="shared" si="175"/>
        <v>0.63051520806526917</v>
      </c>
      <c r="BK123">
        <f t="shared" si="176"/>
        <v>0.77946109689286946</v>
      </c>
      <c r="BL123">
        <f t="shared" si="177"/>
        <v>0.64984561212027936</v>
      </c>
      <c r="BM123">
        <f t="shared" si="178"/>
        <v>0.5612711522728947</v>
      </c>
      <c r="BN123">
        <f t="shared" si="179"/>
        <v>0.4387288477271053</v>
      </c>
      <c r="BO123">
        <v>12681</v>
      </c>
      <c r="BP123">
        <v>290.00000000000011</v>
      </c>
      <c r="BQ123">
        <v>967.51</v>
      </c>
      <c r="BR123">
        <v>235</v>
      </c>
      <c r="BS123">
        <v>10185.1</v>
      </c>
      <c r="BT123">
        <v>968.08</v>
      </c>
      <c r="BU123">
        <v>-0.56999999999999995</v>
      </c>
      <c r="BV123">
        <v>300.00000000000011</v>
      </c>
      <c r="BW123">
        <v>24.2</v>
      </c>
      <c r="BX123">
        <v>1089.0715109364189</v>
      </c>
      <c r="BY123">
        <v>2.5813648099041409</v>
      </c>
      <c r="BZ123">
        <v>-123.2317791208327</v>
      </c>
      <c r="CA123">
        <v>2.3402770711459202</v>
      </c>
      <c r="CB123">
        <v>0.99000268167791339</v>
      </c>
      <c r="CC123">
        <v>-6.9560705228031089E-3</v>
      </c>
      <c r="CD123">
        <v>289.99999999999989</v>
      </c>
      <c r="CE123">
        <v>956.3</v>
      </c>
      <c r="CF123">
        <v>635</v>
      </c>
      <c r="CG123">
        <v>10163</v>
      </c>
      <c r="CH123">
        <v>967.82</v>
      </c>
      <c r="CI123">
        <v>-11.52</v>
      </c>
      <c r="CW123">
        <f t="shared" si="180"/>
        <v>1799.95</v>
      </c>
      <c r="CX123">
        <f t="shared" si="181"/>
        <v>1513.1459999967001</v>
      </c>
      <c r="CY123">
        <f t="shared" si="182"/>
        <v>0.84066001833200921</v>
      </c>
      <c r="CZ123">
        <f t="shared" si="183"/>
        <v>0.19132003666401834</v>
      </c>
      <c r="DA123">
        <v>6</v>
      </c>
      <c r="DB123">
        <v>0.5</v>
      </c>
      <c r="DC123" t="s">
        <v>419</v>
      </c>
      <c r="DD123">
        <v>2</v>
      </c>
      <c r="DE123">
        <v>1691185443</v>
      </c>
      <c r="DF123">
        <v>336.02199999999999</v>
      </c>
      <c r="DG123">
        <v>399.995</v>
      </c>
      <c r="DH123">
        <v>25.517800000000001</v>
      </c>
      <c r="DI123">
        <v>17.602</v>
      </c>
      <c r="DJ123">
        <v>339.06700000000001</v>
      </c>
      <c r="DK123">
        <v>25.4863</v>
      </c>
      <c r="DL123">
        <v>500.21300000000002</v>
      </c>
      <c r="DM123">
        <v>99.023300000000006</v>
      </c>
      <c r="DN123">
        <v>0.10019500000000001</v>
      </c>
      <c r="DO123">
        <v>30.0533</v>
      </c>
      <c r="DP123">
        <v>30.032699999999998</v>
      </c>
      <c r="DQ123">
        <v>999.9</v>
      </c>
      <c r="DR123">
        <v>0</v>
      </c>
      <c r="DS123">
        <v>0</v>
      </c>
      <c r="DT123">
        <v>10025</v>
      </c>
      <c r="DU123">
        <v>0</v>
      </c>
      <c r="DV123">
        <v>1007.82</v>
      </c>
      <c r="DW123">
        <v>-63.972799999999999</v>
      </c>
      <c r="DX123">
        <v>344.82100000000003</v>
      </c>
      <c r="DY123">
        <v>407.161</v>
      </c>
      <c r="DZ123">
        <v>7.9157599999999997</v>
      </c>
      <c r="EA123">
        <v>399.995</v>
      </c>
      <c r="EB123">
        <v>17.602</v>
      </c>
      <c r="EC123">
        <v>2.5268600000000001</v>
      </c>
      <c r="ED123">
        <v>1.7430099999999999</v>
      </c>
      <c r="EE123">
        <v>21.200500000000002</v>
      </c>
      <c r="EF123">
        <v>15.2849</v>
      </c>
      <c r="EG123">
        <v>1799.95</v>
      </c>
      <c r="EH123">
        <v>0.97799700000000001</v>
      </c>
      <c r="EI123">
        <v>2.2003200000000001E-2</v>
      </c>
      <c r="EJ123">
        <v>0</v>
      </c>
      <c r="EK123">
        <v>705.49</v>
      </c>
      <c r="EL123">
        <v>0.100005</v>
      </c>
      <c r="EM123">
        <v>18605.8</v>
      </c>
      <c r="EN123">
        <v>14862.1</v>
      </c>
      <c r="EO123">
        <v>49.25</v>
      </c>
      <c r="EP123">
        <v>51.125</v>
      </c>
      <c r="EQ123">
        <v>50.311999999999998</v>
      </c>
      <c r="ER123">
        <v>49.375</v>
      </c>
      <c r="ES123">
        <v>50.186999999999998</v>
      </c>
      <c r="ET123">
        <v>1760.25</v>
      </c>
      <c r="EU123">
        <v>39.6</v>
      </c>
      <c r="EV123">
        <v>0</v>
      </c>
      <c r="EW123">
        <v>172.79999995231631</v>
      </c>
      <c r="EX123">
        <v>0</v>
      </c>
      <c r="EY123">
        <v>703.22300000000007</v>
      </c>
      <c r="EZ123">
        <v>12.90653857023227</v>
      </c>
      <c r="FA123">
        <v>210.72307689983859</v>
      </c>
      <c r="FB123">
        <v>18587.171999999999</v>
      </c>
      <c r="FC123">
        <v>15</v>
      </c>
      <c r="FD123">
        <v>1691185334</v>
      </c>
      <c r="FE123" t="s">
        <v>962</v>
      </c>
      <c r="FF123">
        <v>1691185334</v>
      </c>
      <c r="FG123">
        <v>1691185332.5</v>
      </c>
      <c r="FH123">
        <v>125</v>
      </c>
      <c r="FI123">
        <v>-0.113</v>
      </c>
      <c r="FJ123">
        <v>-4.0000000000000001E-3</v>
      </c>
      <c r="FK123">
        <v>-3.2320000000000002</v>
      </c>
      <c r="FL123">
        <v>-0.14000000000000001</v>
      </c>
      <c r="FM123">
        <v>400</v>
      </c>
      <c r="FN123">
        <v>17</v>
      </c>
      <c r="FO123">
        <v>0.13</v>
      </c>
      <c r="FP123">
        <v>0.03</v>
      </c>
      <c r="FQ123">
        <v>50.892731485296778</v>
      </c>
      <c r="FR123">
        <v>0.58782531446799835</v>
      </c>
      <c r="FS123">
        <v>8.1200155370365207E-2</v>
      </c>
      <c r="FT123">
        <v>1</v>
      </c>
      <c r="FU123">
        <v>0.40454183289002821</v>
      </c>
      <c r="FV123">
        <v>-1.3607767918770599E-2</v>
      </c>
      <c r="FW123">
        <v>1.254192049298298E-3</v>
      </c>
      <c r="FX123">
        <v>1</v>
      </c>
      <c r="FY123">
        <v>2</v>
      </c>
      <c r="FZ123">
        <v>2</v>
      </c>
      <c r="GA123" t="s">
        <v>421</v>
      </c>
      <c r="GB123">
        <v>2.9155000000000002</v>
      </c>
      <c r="GC123">
        <v>2.8302999999999998</v>
      </c>
      <c r="GD123">
        <v>7.8325000000000006E-2</v>
      </c>
      <c r="GE123">
        <v>8.7440400000000001E-2</v>
      </c>
      <c r="GF123">
        <v>0.122616</v>
      </c>
      <c r="GG123">
        <v>9.0774900000000006E-2</v>
      </c>
      <c r="GH123">
        <v>23905.1</v>
      </c>
      <c r="GI123">
        <v>29219.8</v>
      </c>
      <c r="GJ123">
        <v>23366.3</v>
      </c>
      <c r="GK123">
        <v>29364.7</v>
      </c>
      <c r="GL123">
        <v>27997.5</v>
      </c>
      <c r="GM123">
        <v>37983.800000000003</v>
      </c>
      <c r="GN123">
        <v>33060.5</v>
      </c>
      <c r="GO123">
        <v>43558.2</v>
      </c>
      <c r="GP123">
        <v>1.9225000000000001</v>
      </c>
      <c r="GQ123">
        <v>1.7262</v>
      </c>
      <c r="GR123">
        <v>-6.0454000000000001E-2</v>
      </c>
      <c r="GS123">
        <v>0</v>
      </c>
      <c r="GT123">
        <v>31.015699999999999</v>
      </c>
      <c r="GU123">
        <v>999.9</v>
      </c>
      <c r="GV123">
        <v>28.9</v>
      </c>
      <c r="GW123">
        <v>42.3</v>
      </c>
      <c r="GX123">
        <v>24.441600000000001</v>
      </c>
      <c r="GY123">
        <v>61.706699999999998</v>
      </c>
      <c r="GZ123">
        <v>34.679499999999997</v>
      </c>
      <c r="HA123">
        <v>1</v>
      </c>
      <c r="HB123">
        <v>0.74761200000000005</v>
      </c>
      <c r="HC123">
        <v>6.2755700000000001</v>
      </c>
      <c r="HD123">
        <v>20.2014</v>
      </c>
      <c r="HE123">
        <v>5.2100999999999997</v>
      </c>
      <c r="HF123">
        <v>11.8782</v>
      </c>
      <c r="HG123">
        <v>4.9842000000000004</v>
      </c>
      <c r="HH123">
        <v>3.2839999999999998</v>
      </c>
      <c r="HI123">
        <v>9999</v>
      </c>
      <c r="HJ123">
        <v>9999</v>
      </c>
      <c r="HK123">
        <v>9999</v>
      </c>
      <c r="HL123">
        <v>999.9</v>
      </c>
      <c r="HM123">
        <v>1.8545700000000001</v>
      </c>
      <c r="HN123">
        <v>1.86066</v>
      </c>
      <c r="HO123">
        <v>1.8580399999999999</v>
      </c>
      <c r="HP123">
        <v>1.8591299999999999</v>
      </c>
      <c r="HQ123">
        <v>1.8585199999999999</v>
      </c>
      <c r="HR123">
        <v>1.8590899999999999</v>
      </c>
      <c r="HS123">
        <v>1.85734</v>
      </c>
      <c r="HT123">
        <v>1.86073</v>
      </c>
      <c r="HU123">
        <v>5</v>
      </c>
      <c r="HV123">
        <v>0</v>
      </c>
      <c r="HW123">
        <v>0</v>
      </c>
      <c r="HX123">
        <v>0</v>
      </c>
      <c r="HY123" t="s">
        <v>422</v>
      </c>
      <c r="HZ123" t="s">
        <v>423</v>
      </c>
      <c r="IA123" t="s">
        <v>424</v>
      </c>
      <c r="IB123" t="s">
        <v>424</v>
      </c>
      <c r="IC123" t="s">
        <v>424</v>
      </c>
      <c r="ID123" t="s">
        <v>424</v>
      </c>
      <c r="IE123">
        <v>0</v>
      </c>
      <c r="IF123">
        <v>100</v>
      </c>
      <c r="IG123">
        <v>100</v>
      </c>
      <c r="IH123">
        <v>-3.0449999999999999</v>
      </c>
      <c r="II123">
        <v>3.15E-2</v>
      </c>
      <c r="IJ123">
        <v>-1.845014022471541</v>
      </c>
      <c r="IK123">
        <v>-4.1229525807901877E-3</v>
      </c>
      <c r="IL123">
        <v>1.8448211998558991E-6</v>
      </c>
      <c r="IM123">
        <v>-3.7020276670297668E-10</v>
      </c>
      <c r="IN123">
        <v>-0.20160602797215091</v>
      </c>
      <c r="IO123">
        <v>-1.3488639696665739E-2</v>
      </c>
      <c r="IP123">
        <v>1.1588640342490499E-3</v>
      </c>
      <c r="IQ123">
        <v>-1.0624341560077559E-5</v>
      </c>
      <c r="IR123">
        <v>2</v>
      </c>
      <c r="IS123">
        <v>1915</v>
      </c>
      <c r="IT123">
        <v>1</v>
      </c>
      <c r="IU123">
        <v>42</v>
      </c>
      <c r="IV123">
        <v>1.8</v>
      </c>
      <c r="IW123">
        <v>1.8</v>
      </c>
      <c r="IX123">
        <v>1.01074</v>
      </c>
      <c r="IY123">
        <v>2.5</v>
      </c>
      <c r="IZ123">
        <v>1.49414</v>
      </c>
      <c r="JA123">
        <v>2.2851599999999999</v>
      </c>
      <c r="JB123">
        <v>1.54419</v>
      </c>
      <c r="JC123">
        <v>2.33887</v>
      </c>
      <c r="JD123">
        <v>44.195399999999999</v>
      </c>
      <c r="JE123">
        <v>15.138999999999999</v>
      </c>
      <c r="JF123">
        <v>18</v>
      </c>
      <c r="JG123">
        <v>513.48400000000004</v>
      </c>
      <c r="JH123">
        <v>412.05</v>
      </c>
      <c r="JI123">
        <v>22.112100000000002</v>
      </c>
      <c r="JJ123">
        <v>36.237299999999998</v>
      </c>
      <c r="JK123">
        <v>30.000800000000002</v>
      </c>
      <c r="JL123">
        <v>36.177100000000003</v>
      </c>
      <c r="JM123">
        <v>36.142600000000002</v>
      </c>
      <c r="JN123">
        <v>20.300599999999999</v>
      </c>
      <c r="JO123">
        <v>26.840499999999999</v>
      </c>
      <c r="JP123">
        <v>0</v>
      </c>
      <c r="JQ123">
        <v>22.101199999999999</v>
      </c>
      <c r="JR123">
        <v>400</v>
      </c>
      <c r="JS123">
        <v>17.724900000000002</v>
      </c>
      <c r="JT123">
        <v>98.026899999999998</v>
      </c>
      <c r="JU123">
        <v>97.918899999999994</v>
      </c>
    </row>
    <row r="124" spans="1:281" x14ac:dyDescent="0.25">
      <c r="A124">
        <v>108</v>
      </c>
      <c r="B124">
        <v>1691185554</v>
      </c>
      <c r="C124">
        <v>26308.400000095371</v>
      </c>
      <c r="D124" t="s">
        <v>963</v>
      </c>
      <c r="E124" t="s">
        <v>964</v>
      </c>
      <c r="F124" t="s">
        <v>413</v>
      </c>
      <c r="G124" t="s">
        <v>779</v>
      </c>
      <c r="H124" t="s">
        <v>414</v>
      </c>
      <c r="I124" t="s">
        <v>415</v>
      </c>
      <c r="J124">
        <v>1691185554</v>
      </c>
      <c r="K124">
        <f t="shared" si="138"/>
        <v>6.6518581956862711E-3</v>
      </c>
      <c r="L124">
        <f t="shared" si="139"/>
        <v>6.6518581956862715</v>
      </c>
      <c r="M124">
        <f t="shared" si="140"/>
        <v>54.400405948228119</v>
      </c>
      <c r="N124">
        <f t="shared" si="141"/>
        <v>431.31900000000002</v>
      </c>
      <c r="O124">
        <f t="shared" si="142"/>
        <v>192.64618230609923</v>
      </c>
      <c r="P124">
        <f t="shared" si="143"/>
        <v>19.095451187064743</v>
      </c>
      <c r="Q124">
        <f t="shared" si="144"/>
        <v>42.753148865763002</v>
      </c>
      <c r="R124">
        <f t="shared" si="145"/>
        <v>0.40343634939270817</v>
      </c>
      <c r="S124">
        <f t="shared" si="146"/>
        <v>2.9105746134104606</v>
      </c>
      <c r="T124">
        <f t="shared" si="147"/>
        <v>0.37474615894365182</v>
      </c>
      <c r="U124">
        <f t="shared" si="148"/>
        <v>0.23662380345520251</v>
      </c>
      <c r="V124">
        <f t="shared" si="149"/>
        <v>344.33479999339755</v>
      </c>
      <c r="W124">
        <f t="shared" si="150"/>
        <v>30.300778051681164</v>
      </c>
      <c r="X124">
        <f t="shared" si="151"/>
        <v>29.982900000000001</v>
      </c>
      <c r="Y124">
        <f t="shared" si="152"/>
        <v>4.256266906709981</v>
      </c>
      <c r="Z124">
        <f t="shared" si="153"/>
        <v>60.027851185804018</v>
      </c>
      <c r="AA124">
        <f t="shared" si="154"/>
        <v>2.5572948656615</v>
      </c>
      <c r="AB124">
        <f t="shared" si="155"/>
        <v>4.2601805914156641</v>
      </c>
      <c r="AC124">
        <f t="shared" si="156"/>
        <v>1.698972041048481</v>
      </c>
      <c r="AD124">
        <f t="shared" si="157"/>
        <v>-293.34694642976456</v>
      </c>
      <c r="AE124">
        <f t="shared" si="158"/>
        <v>2.5106383769306793</v>
      </c>
      <c r="AF124">
        <f t="shared" si="159"/>
        <v>0.19178091641466763</v>
      </c>
      <c r="AG124">
        <f t="shared" si="160"/>
        <v>53.690272856978318</v>
      </c>
      <c r="AH124">
        <v>0</v>
      </c>
      <c r="AI124">
        <v>0</v>
      </c>
      <c r="AJ124">
        <f t="shared" si="161"/>
        <v>1</v>
      </c>
      <c r="AK124">
        <f t="shared" si="162"/>
        <v>0</v>
      </c>
      <c r="AL124">
        <f t="shared" si="163"/>
        <v>51791.708436912799</v>
      </c>
      <c r="AM124" t="s">
        <v>416</v>
      </c>
      <c r="AN124">
        <v>10235.299999999999</v>
      </c>
      <c r="AO124">
        <v>594.051923076923</v>
      </c>
      <c r="AP124">
        <v>2007.77</v>
      </c>
      <c r="AQ124">
        <f t="shared" si="164"/>
        <v>0.70412351859180933</v>
      </c>
      <c r="AR124">
        <v>-0.54275787784279261</v>
      </c>
      <c r="AS124" t="s">
        <v>965</v>
      </c>
      <c r="AT124">
        <v>10180.799999999999</v>
      </c>
      <c r="AU124">
        <v>721.23769230769221</v>
      </c>
      <c r="AV124">
        <v>1154.3809924699499</v>
      </c>
      <c r="AW124">
        <f t="shared" si="165"/>
        <v>0.37521693703175985</v>
      </c>
      <c r="AX124">
        <v>0.5</v>
      </c>
      <c r="AY124">
        <f t="shared" si="166"/>
        <v>1513.0034999966988</v>
      </c>
      <c r="AZ124">
        <f t="shared" si="167"/>
        <v>54.400405948228119</v>
      </c>
      <c r="BA124">
        <f t="shared" si="168"/>
        <v>283.85226949354677</v>
      </c>
      <c r="BB124">
        <f t="shared" si="169"/>
        <v>3.6313970077525133E-2</v>
      </c>
      <c r="BC124">
        <f t="shared" si="170"/>
        <v>0.73926113917045022</v>
      </c>
      <c r="BD124">
        <f t="shared" si="171"/>
        <v>487.43522399128159</v>
      </c>
      <c r="BE124" t="s">
        <v>966</v>
      </c>
      <c r="BF124">
        <v>555.95000000000005</v>
      </c>
      <c r="BG124">
        <f t="shared" si="172"/>
        <v>555.95000000000005</v>
      </c>
      <c r="BH124">
        <f t="shared" si="173"/>
        <v>0.5183999012228433</v>
      </c>
      <c r="BI124">
        <f t="shared" si="174"/>
        <v>0.72379824175635077</v>
      </c>
      <c r="BJ124">
        <f t="shared" si="175"/>
        <v>0.58780634481550753</v>
      </c>
      <c r="BK124">
        <f t="shared" si="176"/>
        <v>0.77301593620951625</v>
      </c>
      <c r="BL124">
        <f t="shared" si="177"/>
        <v>0.60364864923240602</v>
      </c>
      <c r="BM124">
        <f t="shared" si="178"/>
        <v>0.55792374247236998</v>
      </c>
      <c r="BN124">
        <f t="shared" si="179"/>
        <v>0.44207625752763002</v>
      </c>
      <c r="BO124">
        <v>12683</v>
      </c>
      <c r="BP124">
        <v>290.00000000000011</v>
      </c>
      <c r="BQ124">
        <v>1019.45</v>
      </c>
      <c r="BR124">
        <v>275</v>
      </c>
      <c r="BS124">
        <v>10180.799999999999</v>
      </c>
      <c r="BT124">
        <v>1019.72</v>
      </c>
      <c r="BU124">
        <v>-0.27</v>
      </c>
      <c r="BV124">
        <v>300.00000000000011</v>
      </c>
      <c r="BW124">
        <v>24.2</v>
      </c>
      <c r="BX124">
        <v>1154.3809924699499</v>
      </c>
      <c r="BY124">
        <v>2.5779282943384811</v>
      </c>
      <c r="BZ124">
        <v>-137.09771057702099</v>
      </c>
      <c r="CA124">
        <v>2.337305494436805</v>
      </c>
      <c r="CB124">
        <v>0.99192749145603354</v>
      </c>
      <c r="CC124">
        <v>-6.9563926585094549E-3</v>
      </c>
      <c r="CD124">
        <v>289.99999999999989</v>
      </c>
      <c r="CE124">
        <v>1006.69</v>
      </c>
      <c r="CF124">
        <v>635</v>
      </c>
      <c r="CG124">
        <v>10163.700000000001</v>
      </c>
      <c r="CH124">
        <v>1019.49</v>
      </c>
      <c r="CI124">
        <v>-12.8</v>
      </c>
      <c r="CW124">
        <f t="shared" si="180"/>
        <v>1799.78</v>
      </c>
      <c r="CX124">
        <f t="shared" si="181"/>
        <v>1513.0034999966988</v>
      </c>
      <c r="CY124">
        <f t="shared" si="182"/>
        <v>0.84066024736173239</v>
      </c>
      <c r="CZ124">
        <f t="shared" si="183"/>
        <v>0.19132049472346485</v>
      </c>
      <c r="DA124">
        <v>6</v>
      </c>
      <c r="DB124">
        <v>0.5</v>
      </c>
      <c r="DC124" t="s">
        <v>419</v>
      </c>
      <c r="DD124">
        <v>2</v>
      </c>
      <c r="DE124">
        <v>1691185554</v>
      </c>
      <c r="DF124">
        <v>431.31900000000002</v>
      </c>
      <c r="DG124">
        <v>500.02300000000002</v>
      </c>
      <c r="DH124">
        <v>25.799499999999998</v>
      </c>
      <c r="DI124">
        <v>18.025400000000001</v>
      </c>
      <c r="DJ124">
        <v>434.52</v>
      </c>
      <c r="DK124">
        <v>25.756599999999999</v>
      </c>
      <c r="DL124">
        <v>500.14100000000002</v>
      </c>
      <c r="DM124">
        <v>99.021299999999997</v>
      </c>
      <c r="DN124">
        <v>0.100577</v>
      </c>
      <c r="DO124">
        <v>29.998899999999999</v>
      </c>
      <c r="DP124">
        <v>29.982900000000001</v>
      </c>
      <c r="DQ124">
        <v>999.9</v>
      </c>
      <c r="DR124">
        <v>0</v>
      </c>
      <c r="DS124">
        <v>0</v>
      </c>
      <c r="DT124">
        <v>9990</v>
      </c>
      <c r="DU124">
        <v>0</v>
      </c>
      <c r="DV124">
        <v>815.76099999999997</v>
      </c>
      <c r="DW124">
        <v>-68.704400000000007</v>
      </c>
      <c r="DX124">
        <v>442.74200000000002</v>
      </c>
      <c r="DY124">
        <v>509.202</v>
      </c>
      <c r="DZ124">
        <v>7.7740900000000002</v>
      </c>
      <c r="EA124">
        <v>500.02300000000002</v>
      </c>
      <c r="EB124">
        <v>18.025400000000001</v>
      </c>
      <c r="EC124">
        <v>2.5547</v>
      </c>
      <c r="ED124">
        <v>1.7848999999999999</v>
      </c>
      <c r="EE124">
        <v>21.379200000000001</v>
      </c>
      <c r="EF124">
        <v>15.655200000000001</v>
      </c>
      <c r="EG124">
        <v>1799.78</v>
      </c>
      <c r="EH124">
        <v>0.977993</v>
      </c>
      <c r="EI124">
        <v>2.2006899999999999E-2</v>
      </c>
      <c r="EJ124">
        <v>0</v>
      </c>
      <c r="EK124">
        <v>722.17</v>
      </c>
      <c r="EL124">
        <v>0.100005</v>
      </c>
      <c r="EM124">
        <v>18960.099999999999</v>
      </c>
      <c r="EN124">
        <v>14860.7</v>
      </c>
      <c r="EO124">
        <v>49.25</v>
      </c>
      <c r="EP124">
        <v>51.061999999999998</v>
      </c>
      <c r="EQ124">
        <v>50.25</v>
      </c>
      <c r="ER124">
        <v>49.25</v>
      </c>
      <c r="ES124">
        <v>50.125</v>
      </c>
      <c r="ET124">
        <v>1760.07</v>
      </c>
      <c r="EU124">
        <v>39.61</v>
      </c>
      <c r="EV124">
        <v>0</v>
      </c>
      <c r="EW124">
        <v>108.5999999046326</v>
      </c>
      <c r="EX124">
        <v>0</v>
      </c>
      <c r="EY124">
        <v>721.23769230769221</v>
      </c>
      <c r="EZ124">
        <v>0.12683760317947271</v>
      </c>
      <c r="FA124">
        <v>-133.9282036127872</v>
      </c>
      <c r="FB124">
        <v>18957.076923076918</v>
      </c>
      <c r="FC124">
        <v>15</v>
      </c>
      <c r="FD124">
        <v>1691185525</v>
      </c>
      <c r="FE124" t="s">
        <v>967</v>
      </c>
      <c r="FF124">
        <v>1691185524.5</v>
      </c>
      <c r="FG124">
        <v>1691185525</v>
      </c>
      <c r="FH124">
        <v>126</v>
      </c>
      <c r="FI124">
        <v>0.11799999999999999</v>
      </c>
      <c r="FJ124">
        <v>5.0000000000000001E-3</v>
      </c>
      <c r="FK124">
        <v>-3.383</v>
      </c>
      <c r="FL124">
        <v>-0.125</v>
      </c>
      <c r="FM124">
        <v>500</v>
      </c>
      <c r="FN124">
        <v>18</v>
      </c>
      <c r="FO124">
        <v>0.11</v>
      </c>
      <c r="FP124">
        <v>0.04</v>
      </c>
      <c r="FQ124">
        <v>54.281550897882333</v>
      </c>
      <c r="FR124">
        <v>-0.62666527659526883</v>
      </c>
      <c r="FS124">
        <v>0.1145727397157681</v>
      </c>
      <c r="FT124">
        <v>1</v>
      </c>
      <c r="FU124">
        <v>0.40178116861372559</v>
      </c>
      <c r="FV124">
        <v>4.9499291020830449E-2</v>
      </c>
      <c r="FW124">
        <v>3.9997501340517591E-3</v>
      </c>
      <c r="FX124">
        <v>1</v>
      </c>
      <c r="FY124">
        <v>2</v>
      </c>
      <c r="FZ124">
        <v>2</v>
      </c>
      <c r="GA124" t="s">
        <v>421</v>
      </c>
      <c r="GB124">
        <v>2.91534</v>
      </c>
      <c r="GC124">
        <v>2.8303699999999998</v>
      </c>
      <c r="GD124">
        <v>9.4884099999999999E-2</v>
      </c>
      <c r="GE124">
        <v>0.103369</v>
      </c>
      <c r="GF124">
        <v>0.12353600000000001</v>
      </c>
      <c r="GG124">
        <v>9.23543E-2</v>
      </c>
      <c r="GH124">
        <v>23476.7</v>
      </c>
      <c r="GI124">
        <v>28714.400000000001</v>
      </c>
      <c r="GJ124">
        <v>23367</v>
      </c>
      <c r="GK124">
        <v>29369.200000000001</v>
      </c>
      <c r="GL124">
        <v>27970.7</v>
      </c>
      <c r="GM124">
        <v>37925.599999999999</v>
      </c>
      <c r="GN124">
        <v>33061.800000000003</v>
      </c>
      <c r="GO124">
        <v>43564.5</v>
      </c>
      <c r="GP124">
        <v>1.9216</v>
      </c>
      <c r="GQ124">
        <v>1.7286999999999999</v>
      </c>
      <c r="GR124">
        <v>-5.7607899999999997E-2</v>
      </c>
      <c r="GS124">
        <v>0</v>
      </c>
      <c r="GT124">
        <v>30.919599999999999</v>
      </c>
      <c r="GU124">
        <v>999.9</v>
      </c>
      <c r="GV124">
        <v>28.9</v>
      </c>
      <c r="GW124">
        <v>42.2</v>
      </c>
      <c r="GX124">
        <v>24.314</v>
      </c>
      <c r="GY124">
        <v>61.706699999999998</v>
      </c>
      <c r="GZ124">
        <v>35.2804</v>
      </c>
      <c r="HA124">
        <v>1</v>
      </c>
      <c r="HB124">
        <v>0.74197199999999996</v>
      </c>
      <c r="HC124">
        <v>5.9230900000000002</v>
      </c>
      <c r="HD124">
        <v>20.215</v>
      </c>
      <c r="HE124">
        <v>5.2107000000000001</v>
      </c>
      <c r="HF124">
        <v>11.8782</v>
      </c>
      <c r="HG124">
        <v>4.9847999999999999</v>
      </c>
      <c r="HH124">
        <v>3.2839999999999998</v>
      </c>
      <c r="HI124">
        <v>9999</v>
      </c>
      <c r="HJ124">
        <v>9999</v>
      </c>
      <c r="HK124">
        <v>9999</v>
      </c>
      <c r="HL124">
        <v>999.9</v>
      </c>
      <c r="HM124">
        <v>1.8545499999999999</v>
      </c>
      <c r="HN124">
        <v>1.8606100000000001</v>
      </c>
      <c r="HO124">
        <v>1.8580300000000001</v>
      </c>
      <c r="HP124">
        <v>1.8591299999999999</v>
      </c>
      <c r="HQ124">
        <v>1.8585199999999999</v>
      </c>
      <c r="HR124">
        <v>1.8591</v>
      </c>
      <c r="HS124">
        <v>1.8573599999999999</v>
      </c>
      <c r="HT124">
        <v>1.86077</v>
      </c>
      <c r="HU124">
        <v>5</v>
      </c>
      <c r="HV124">
        <v>0</v>
      </c>
      <c r="HW124">
        <v>0</v>
      </c>
      <c r="HX124">
        <v>0</v>
      </c>
      <c r="HY124" t="s">
        <v>422</v>
      </c>
      <c r="HZ124" t="s">
        <v>423</v>
      </c>
      <c r="IA124" t="s">
        <v>424</v>
      </c>
      <c r="IB124" t="s">
        <v>424</v>
      </c>
      <c r="IC124" t="s">
        <v>424</v>
      </c>
      <c r="ID124" t="s">
        <v>424</v>
      </c>
      <c r="IE124">
        <v>0</v>
      </c>
      <c r="IF124">
        <v>100</v>
      </c>
      <c r="IG124">
        <v>100</v>
      </c>
      <c r="IH124">
        <v>-3.2010000000000001</v>
      </c>
      <c r="II124">
        <v>4.2900000000000001E-2</v>
      </c>
      <c r="IJ124">
        <v>-1.727216666054973</v>
      </c>
      <c r="IK124">
        <v>-4.1229525807901877E-3</v>
      </c>
      <c r="IL124">
        <v>1.8448211998558991E-6</v>
      </c>
      <c r="IM124">
        <v>-3.7020276670297668E-10</v>
      </c>
      <c r="IN124">
        <v>-0.19692916804976651</v>
      </c>
      <c r="IO124">
        <v>-1.3488639696665739E-2</v>
      </c>
      <c r="IP124">
        <v>1.1588640342490499E-3</v>
      </c>
      <c r="IQ124">
        <v>-1.0624341560077559E-5</v>
      </c>
      <c r="IR124">
        <v>2</v>
      </c>
      <c r="IS124">
        <v>1915</v>
      </c>
      <c r="IT124">
        <v>1</v>
      </c>
      <c r="IU124">
        <v>42</v>
      </c>
      <c r="IV124">
        <v>0.5</v>
      </c>
      <c r="IW124">
        <v>0.5</v>
      </c>
      <c r="IX124">
        <v>1.2084999999999999</v>
      </c>
      <c r="IY124">
        <v>2.4865699999999999</v>
      </c>
      <c r="IZ124">
        <v>1.49414</v>
      </c>
      <c r="JA124">
        <v>2.2851599999999999</v>
      </c>
      <c r="JB124">
        <v>1.54419</v>
      </c>
      <c r="JC124">
        <v>2.4401899999999999</v>
      </c>
      <c r="JD124">
        <v>44.084699999999998</v>
      </c>
      <c r="JE124">
        <v>15.1302</v>
      </c>
      <c r="JF124">
        <v>18</v>
      </c>
      <c r="JG124">
        <v>512.64400000000001</v>
      </c>
      <c r="JH124">
        <v>413.43400000000003</v>
      </c>
      <c r="JI124">
        <v>22.128699999999998</v>
      </c>
      <c r="JJ124">
        <v>36.207000000000001</v>
      </c>
      <c r="JK124">
        <v>29.9998</v>
      </c>
      <c r="JL124">
        <v>36.147199999999998</v>
      </c>
      <c r="JM124">
        <v>36.106000000000002</v>
      </c>
      <c r="JN124">
        <v>24.267700000000001</v>
      </c>
      <c r="JO124">
        <v>25.1541</v>
      </c>
      <c r="JP124">
        <v>0</v>
      </c>
      <c r="JQ124">
        <v>22.128499999999999</v>
      </c>
      <c r="JR124">
        <v>500</v>
      </c>
      <c r="JS124">
        <v>17.9145</v>
      </c>
      <c r="JT124">
        <v>98.0304</v>
      </c>
      <c r="JU124">
        <v>97.933300000000003</v>
      </c>
    </row>
    <row r="125" spans="1:281" x14ac:dyDescent="0.25">
      <c r="A125">
        <v>109</v>
      </c>
      <c r="B125">
        <v>1691185691.5</v>
      </c>
      <c r="C125">
        <v>26445.900000095371</v>
      </c>
      <c r="D125" t="s">
        <v>968</v>
      </c>
      <c r="E125" t="s">
        <v>969</v>
      </c>
      <c r="F125" t="s">
        <v>413</v>
      </c>
      <c r="G125" t="s">
        <v>779</v>
      </c>
      <c r="H125" t="s">
        <v>414</v>
      </c>
      <c r="I125" t="s">
        <v>415</v>
      </c>
      <c r="J125">
        <v>1691185691.5</v>
      </c>
      <c r="K125">
        <f t="shared" si="138"/>
        <v>6.2304840990091703E-3</v>
      </c>
      <c r="L125">
        <f t="shared" si="139"/>
        <v>6.2304840990091703</v>
      </c>
      <c r="M125">
        <f t="shared" si="140"/>
        <v>55.253491678334576</v>
      </c>
      <c r="N125">
        <f t="shared" si="141"/>
        <v>629.00699999999995</v>
      </c>
      <c r="O125">
        <f t="shared" si="142"/>
        <v>357.05981149880358</v>
      </c>
      <c r="P125">
        <f t="shared" si="143"/>
        <v>35.39323781688573</v>
      </c>
      <c r="Q125">
        <f t="shared" si="144"/>
        <v>62.349762203804993</v>
      </c>
      <c r="R125">
        <f t="shared" si="145"/>
        <v>0.36347995159527424</v>
      </c>
      <c r="S125">
        <f t="shared" si="146"/>
        <v>2.9062458117669974</v>
      </c>
      <c r="T125">
        <f t="shared" si="147"/>
        <v>0.33998156774989302</v>
      </c>
      <c r="U125">
        <f t="shared" si="148"/>
        <v>0.21447299674098291</v>
      </c>
      <c r="V125">
        <f t="shared" si="149"/>
        <v>344.3835999934002</v>
      </c>
      <c r="W125">
        <f t="shared" si="150"/>
        <v>30.367669963067055</v>
      </c>
      <c r="X125">
        <f t="shared" si="151"/>
        <v>30.003900000000002</v>
      </c>
      <c r="Y125">
        <f t="shared" si="152"/>
        <v>4.2614042608873808</v>
      </c>
      <c r="Z125">
        <f t="shared" si="153"/>
        <v>58.993353498338777</v>
      </c>
      <c r="AA125">
        <f t="shared" si="154"/>
        <v>2.5068786055844998</v>
      </c>
      <c r="AB125">
        <f t="shared" si="155"/>
        <v>4.249425497831874</v>
      </c>
      <c r="AC125">
        <f t="shared" si="156"/>
        <v>1.754525655302881</v>
      </c>
      <c r="AD125">
        <f t="shared" si="157"/>
        <v>-274.76434876630441</v>
      </c>
      <c r="AE125">
        <f t="shared" si="158"/>
        <v>-7.6773946859956128</v>
      </c>
      <c r="AF125">
        <f t="shared" si="159"/>
        <v>-0.58726218637934002</v>
      </c>
      <c r="AG125">
        <f t="shared" si="160"/>
        <v>61.354594354720824</v>
      </c>
      <c r="AH125">
        <v>0</v>
      </c>
      <c r="AI125">
        <v>0</v>
      </c>
      <c r="AJ125">
        <f t="shared" si="161"/>
        <v>1</v>
      </c>
      <c r="AK125">
        <f t="shared" si="162"/>
        <v>0</v>
      </c>
      <c r="AL125">
        <f t="shared" si="163"/>
        <v>51676.285561466721</v>
      </c>
      <c r="AM125" t="s">
        <v>416</v>
      </c>
      <c r="AN125">
        <v>10235.299999999999</v>
      </c>
      <c r="AO125">
        <v>594.051923076923</v>
      </c>
      <c r="AP125">
        <v>2007.77</v>
      </c>
      <c r="AQ125">
        <f t="shared" si="164"/>
        <v>0.70412351859180933</v>
      </c>
      <c r="AR125">
        <v>-0.54275787784279261</v>
      </c>
      <c r="AS125" t="s">
        <v>970</v>
      </c>
      <c r="AT125">
        <v>10179.799999999999</v>
      </c>
      <c r="AU125">
        <v>724.60519230769228</v>
      </c>
      <c r="AV125">
        <v>1170.804770358242</v>
      </c>
      <c r="AW125">
        <f t="shared" si="165"/>
        <v>0.38110502224382115</v>
      </c>
      <c r="AX125">
        <v>0.5</v>
      </c>
      <c r="AY125">
        <f t="shared" si="166"/>
        <v>1513.2215999967002</v>
      </c>
      <c r="AZ125">
        <f t="shared" si="167"/>
        <v>55.253491678334576</v>
      </c>
      <c r="BA125">
        <f t="shared" si="168"/>
        <v>288.34817576328652</v>
      </c>
      <c r="BB125">
        <f t="shared" si="169"/>
        <v>3.6872490821105809E-2</v>
      </c>
      <c r="BC125">
        <f t="shared" si="170"/>
        <v>0.71486318712697428</v>
      </c>
      <c r="BD125">
        <f t="shared" si="171"/>
        <v>490.33960302856713</v>
      </c>
      <c r="BE125" t="s">
        <v>971</v>
      </c>
      <c r="BF125">
        <v>557.58000000000004</v>
      </c>
      <c r="BG125">
        <f t="shared" si="172"/>
        <v>557.58000000000004</v>
      </c>
      <c r="BH125">
        <f t="shared" si="173"/>
        <v>0.52376347097612852</v>
      </c>
      <c r="BI125">
        <f t="shared" si="174"/>
        <v>0.72762810574315651</v>
      </c>
      <c r="BJ125">
        <f t="shared" si="175"/>
        <v>0.57714177427906554</v>
      </c>
      <c r="BK125">
        <f t="shared" si="176"/>
        <v>0.77364087607687149</v>
      </c>
      <c r="BL125">
        <f t="shared" si="177"/>
        <v>0.59203121421732996</v>
      </c>
      <c r="BM125">
        <f t="shared" si="178"/>
        <v>0.55990611647175503</v>
      </c>
      <c r="BN125">
        <f t="shared" si="179"/>
        <v>0.44009388352824497</v>
      </c>
      <c r="BO125">
        <v>12685</v>
      </c>
      <c r="BP125">
        <v>290.00000000000011</v>
      </c>
      <c r="BQ125">
        <v>1032.92</v>
      </c>
      <c r="BR125">
        <v>285</v>
      </c>
      <c r="BS125">
        <v>10179.799999999999</v>
      </c>
      <c r="BT125">
        <v>1033.5899999999999</v>
      </c>
      <c r="BU125">
        <v>-0.67</v>
      </c>
      <c r="BV125">
        <v>300.00000000000011</v>
      </c>
      <c r="BW125">
        <v>24.2</v>
      </c>
      <c r="BX125">
        <v>1170.804770358242</v>
      </c>
      <c r="BY125">
        <v>2.6407793555753369</v>
      </c>
      <c r="BZ125">
        <v>-139.6808750961666</v>
      </c>
      <c r="CA125">
        <v>2.3943288264389779</v>
      </c>
      <c r="CB125">
        <v>0.99183994063294834</v>
      </c>
      <c r="CC125">
        <v>-6.956591323693008E-3</v>
      </c>
      <c r="CD125">
        <v>289.99999999999989</v>
      </c>
      <c r="CE125">
        <v>1020.63</v>
      </c>
      <c r="CF125">
        <v>625</v>
      </c>
      <c r="CG125">
        <v>10164.5</v>
      </c>
      <c r="CH125">
        <v>1033.3800000000001</v>
      </c>
      <c r="CI125">
        <v>-12.75</v>
      </c>
      <c r="CW125">
        <f t="shared" si="180"/>
        <v>1800.04</v>
      </c>
      <c r="CX125">
        <f t="shared" si="181"/>
        <v>1513.2215999967002</v>
      </c>
      <c r="CY125">
        <f t="shared" si="182"/>
        <v>0.84065998533182607</v>
      </c>
      <c r="CZ125">
        <f t="shared" si="183"/>
        <v>0.19131997066365203</v>
      </c>
      <c r="DA125">
        <v>6</v>
      </c>
      <c r="DB125">
        <v>0.5</v>
      </c>
      <c r="DC125" t="s">
        <v>419</v>
      </c>
      <c r="DD125">
        <v>2</v>
      </c>
      <c r="DE125">
        <v>1691185691.5</v>
      </c>
      <c r="DF125">
        <v>629.00699999999995</v>
      </c>
      <c r="DG125">
        <v>700.01599999999996</v>
      </c>
      <c r="DH125">
        <v>25.290299999999998</v>
      </c>
      <c r="DI125">
        <v>18.002600000000001</v>
      </c>
      <c r="DJ125">
        <v>632.64099999999996</v>
      </c>
      <c r="DK125">
        <v>25.2559</v>
      </c>
      <c r="DL125">
        <v>499.98599999999999</v>
      </c>
      <c r="DM125">
        <v>99.024100000000004</v>
      </c>
      <c r="DN125">
        <v>0.10001500000000001</v>
      </c>
      <c r="DO125">
        <v>29.954899999999999</v>
      </c>
      <c r="DP125">
        <v>30.003900000000002</v>
      </c>
      <c r="DQ125">
        <v>999.9</v>
      </c>
      <c r="DR125">
        <v>0</v>
      </c>
      <c r="DS125">
        <v>0</v>
      </c>
      <c r="DT125">
        <v>9965</v>
      </c>
      <c r="DU125">
        <v>0</v>
      </c>
      <c r="DV125">
        <v>989.40300000000002</v>
      </c>
      <c r="DW125">
        <v>-71.008899999999997</v>
      </c>
      <c r="DX125">
        <v>645.32799999999997</v>
      </c>
      <c r="DY125">
        <v>712.84900000000005</v>
      </c>
      <c r="DZ125">
        <v>7.2876599999999998</v>
      </c>
      <c r="EA125">
        <v>700.01599999999996</v>
      </c>
      <c r="EB125">
        <v>18.002600000000001</v>
      </c>
      <c r="EC125">
        <v>2.5043500000000001</v>
      </c>
      <c r="ED125">
        <v>1.7826900000000001</v>
      </c>
      <c r="EE125">
        <v>21.0548</v>
      </c>
      <c r="EF125">
        <v>15.635899999999999</v>
      </c>
      <c r="EG125">
        <v>1800.04</v>
      </c>
      <c r="EH125">
        <v>0.97799700000000001</v>
      </c>
      <c r="EI125">
        <v>2.2003200000000001E-2</v>
      </c>
      <c r="EJ125">
        <v>0</v>
      </c>
      <c r="EK125">
        <v>724.32</v>
      </c>
      <c r="EL125">
        <v>0.100005</v>
      </c>
      <c r="EM125">
        <v>18997.400000000001</v>
      </c>
      <c r="EN125">
        <v>14862.8</v>
      </c>
      <c r="EO125">
        <v>49.186999999999998</v>
      </c>
      <c r="EP125">
        <v>51</v>
      </c>
      <c r="EQ125">
        <v>50.186999999999998</v>
      </c>
      <c r="ER125">
        <v>49.186999999999998</v>
      </c>
      <c r="ES125">
        <v>50.061999999999998</v>
      </c>
      <c r="ET125">
        <v>1760.34</v>
      </c>
      <c r="EU125">
        <v>39.6</v>
      </c>
      <c r="EV125">
        <v>0</v>
      </c>
      <c r="EW125">
        <v>135</v>
      </c>
      <c r="EX125">
        <v>0</v>
      </c>
      <c r="EY125">
        <v>724.60519230769228</v>
      </c>
      <c r="EZ125">
        <v>-0.81829059573922047</v>
      </c>
      <c r="FA125">
        <v>884.43763018918798</v>
      </c>
      <c r="FB125">
        <v>18922.761538461538</v>
      </c>
      <c r="FC125">
        <v>15</v>
      </c>
      <c r="FD125">
        <v>1691185658</v>
      </c>
      <c r="FE125" t="s">
        <v>972</v>
      </c>
      <c r="FF125">
        <v>1691185658</v>
      </c>
      <c r="FG125">
        <v>1691185656.5</v>
      </c>
      <c r="FH125">
        <v>127</v>
      </c>
      <c r="FI125">
        <v>5.7000000000000002E-2</v>
      </c>
      <c r="FJ125">
        <v>4.0000000000000001E-3</v>
      </c>
      <c r="FK125">
        <v>-3.7869999999999999</v>
      </c>
      <c r="FL125">
        <v>-0.112</v>
      </c>
      <c r="FM125">
        <v>700</v>
      </c>
      <c r="FN125">
        <v>18</v>
      </c>
      <c r="FO125">
        <v>0.14000000000000001</v>
      </c>
      <c r="FP125">
        <v>0.04</v>
      </c>
      <c r="FQ125">
        <v>55.483316566147778</v>
      </c>
      <c r="FR125">
        <v>-0.3751786695588481</v>
      </c>
      <c r="FS125">
        <v>8.2089942697237045E-2</v>
      </c>
      <c r="FT125">
        <v>1</v>
      </c>
      <c r="FU125">
        <v>0.36275527567771132</v>
      </c>
      <c r="FV125">
        <v>4.26073434659653E-2</v>
      </c>
      <c r="FW125">
        <v>3.8479334964465219E-3</v>
      </c>
      <c r="FX125">
        <v>1</v>
      </c>
      <c r="FY125">
        <v>2</v>
      </c>
      <c r="FZ125">
        <v>2</v>
      </c>
      <c r="GA125" t="s">
        <v>421</v>
      </c>
      <c r="GB125">
        <v>2.91499</v>
      </c>
      <c r="GC125">
        <v>2.82959</v>
      </c>
      <c r="GD125">
        <v>0.124515</v>
      </c>
      <c r="GE125">
        <v>0.13112399999999999</v>
      </c>
      <c r="GF125">
        <v>0.121854</v>
      </c>
      <c r="GG125">
        <v>9.2280500000000001E-2</v>
      </c>
      <c r="GH125">
        <v>22710</v>
      </c>
      <c r="GI125">
        <v>27826.1</v>
      </c>
      <c r="GJ125">
        <v>23368.9</v>
      </c>
      <c r="GK125">
        <v>29370</v>
      </c>
      <c r="GL125">
        <v>28027.9</v>
      </c>
      <c r="GM125">
        <v>37932.6</v>
      </c>
      <c r="GN125">
        <v>33063.300000000003</v>
      </c>
      <c r="GO125">
        <v>43565.3</v>
      </c>
      <c r="GP125">
        <v>1.9221999999999999</v>
      </c>
      <c r="GQ125">
        <v>1.7306999999999999</v>
      </c>
      <c r="GR125">
        <v>-6.1303400000000001E-2</v>
      </c>
      <c r="GS125">
        <v>0</v>
      </c>
      <c r="GT125">
        <v>31.000699999999998</v>
      </c>
      <c r="GU125">
        <v>999.9</v>
      </c>
      <c r="GV125">
        <v>29</v>
      </c>
      <c r="GW125">
        <v>42.1</v>
      </c>
      <c r="GX125">
        <v>24.269100000000002</v>
      </c>
      <c r="GY125">
        <v>61.776699999999998</v>
      </c>
      <c r="GZ125">
        <v>34.783700000000003</v>
      </c>
      <c r="HA125">
        <v>1</v>
      </c>
      <c r="HB125">
        <v>0.74221499999999996</v>
      </c>
      <c r="HC125">
        <v>6.4314400000000003</v>
      </c>
      <c r="HD125">
        <v>20.196300000000001</v>
      </c>
      <c r="HE125">
        <v>5.2077099999999996</v>
      </c>
      <c r="HF125">
        <v>11.8782</v>
      </c>
      <c r="HG125">
        <v>4.9829999999999997</v>
      </c>
      <c r="HH125">
        <v>3.2831000000000001</v>
      </c>
      <c r="HI125">
        <v>9999</v>
      </c>
      <c r="HJ125">
        <v>9999</v>
      </c>
      <c r="HK125">
        <v>9999</v>
      </c>
      <c r="HL125">
        <v>999.9</v>
      </c>
      <c r="HM125">
        <v>1.8545499999999999</v>
      </c>
      <c r="HN125">
        <v>1.8606400000000001</v>
      </c>
      <c r="HO125">
        <v>1.85802</v>
      </c>
      <c r="HP125">
        <v>1.8591299999999999</v>
      </c>
      <c r="HQ125">
        <v>1.8585199999999999</v>
      </c>
      <c r="HR125">
        <v>1.8591</v>
      </c>
      <c r="HS125">
        <v>1.8573200000000001</v>
      </c>
      <c r="HT125">
        <v>1.86069</v>
      </c>
      <c r="HU125">
        <v>5</v>
      </c>
      <c r="HV125">
        <v>0</v>
      </c>
      <c r="HW125">
        <v>0</v>
      </c>
      <c r="HX125">
        <v>0</v>
      </c>
      <c r="HY125" t="s">
        <v>422</v>
      </c>
      <c r="HZ125" t="s">
        <v>423</v>
      </c>
      <c r="IA125" t="s">
        <v>424</v>
      </c>
      <c r="IB125" t="s">
        <v>424</v>
      </c>
      <c r="IC125" t="s">
        <v>424</v>
      </c>
      <c r="ID125" t="s">
        <v>424</v>
      </c>
      <c r="IE125">
        <v>0</v>
      </c>
      <c r="IF125">
        <v>100</v>
      </c>
      <c r="IG125">
        <v>100</v>
      </c>
      <c r="IH125">
        <v>-3.6339999999999999</v>
      </c>
      <c r="II125">
        <v>3.44E-2</v>
      </c>
      <c r="IJ125">
        <v>-1.6703025289999101</v>
      </c>
      <c r="IK125">
        <v>-4.1229525807901877E-3</v>
      </c>
      <c r="IL125">
        <v>1.8448211998558991E-6</v>
      </c>
      <c r="IM125">
        <v>-3.7020276670297668E-10</v>
      </c>
      <c r="IN125">
        <v>-0.1929911018422463</v>
      </c>
      <c r="IO125">
        <v>-1.3488639696665739E-2</v>
      </c>
      <c r="IP125">
        <v>1.1588640342490499E-3</v>
      </c>
      <c r="IQ125">
        <v>-1.0624341560077559E-5</v>
      </c>
      <c r="IR125">
        <v>2</v>
      </c>
      <c r="IS125">
        <v>1915</v>
      </c>
      <c r="IT125">
        <v>1</v>
      </c>
      <c r="IU125">
        <v>42</v>
      </c>
      <c r="IV125">
        <v>0.6</v>
      </c>
      <c r="IW125">
        <v>0.6</v>
      </c>
      <c r="IX125">
        <v>1.58813</v>
      </c>
      <c r="IY125">
        <v>2.4841299999999999</v>
      </c>
      <c r="IZ125">
        <v>1.49414</v>
      </c>
      <c r="JA125">
        <v>2.2851599999999999</v>
      </c>
      <c r="JB125">
        <v>1.54419</v>
      </c>
      <c r="JC125">
        <v>2.34497</v>
      </c>
      <c r="JD125">
        <v>43.919199999999996</v>
      </c>
      <c r="JE125">
        <v>15.0602</v>
      </c>
      <c r="JF125">
        <v>18</v>
      </c>
      <c r="JG125">
        <v>512.74099999999999</v>
      </c>
      <c r="JH125">
        <v>414.49700000000001</v>
      </c>
      <c r="JI125">
        <v>21.729199999999999</v>
      </c>
      <c r="JJ125">
        <v>36.173299999999998</v>
      </c>
      <c r="JK125">
        <v>30.0001</v>
      </c>
      <c r="JL125">
        <v>36.107300000000002</v>
      </c>
      <c r="JM125">
        <v>36.069600000000001</v>
      </c>
      <c r="JN125">
        <v>31.846699999999998</v>
      </c>
      <c r="JO125">
        <v>25.482399999999998</v>
      </c>
      <c r="JP125">
        <v>0</v>
      </c>
      <c r="JQ125">
        <v>21.726700000000001</v>
      </c>
      <c r="JR125">
        <v>700</v>
      </c>
      <c r="JS125">
        <v>17.8748</v>
      </c>
      <c r="JT125">
        <v>98.036100000000005</v>
      </c>
      <c r="JU125">
        <v>97.935599999999994</v>
      </c>
    </row>
    <row r="126" spans="1:281" x14ac:dyDescent="0.25">
      <c r="A126">
        <v>110</v>
      </c>
      <c r="B126">
        <v>1691185819</v>
      </c>
      <c r="C126">
        <v>26573.400000095371</v>
      </c>
      <c r="D126" t="s">
        <v>973</v>
      </c>
      <c r="E126" t="s">
        <v>974</v>
      </c>
      <c r="F126" t="s">
        <v>413</v>
      </c>
      <c r="G126" t="s">
        <v>779</v>
      </c>
      <c r="H126" t="s">
        <v>414</v>
      </c>
      <c r="I126" t="s">
        <v>415</v>
      </c>
      <c r="J126">
        <v>1691185819</v>
      </c>
      <c r="K126">
        <f t="shared" si="138"/>
        <v>5.2182929612580552E-3</v>
      </c>
      <c r="L126">
        <f t="shared" si="139"/>
        <v>5.2182929612580553</v>
      </c>
      <c r="M126">
        <f t="shared" si="140"/>
        <v>54.806851012555953</v>
      </c>
      <c r="N126">
        <f t="shared" si="141"/>
        <v>828.85400000000004</v>
      </c>
      <c r="O126">
        <f t="shared" si="142"/>
        <v>495.57987028411594</v>
      </c>
      <c r="P126">
        <f t="shared" si="143"/>
        <v>49.1243962706221</v>
      </c>
      <c r="Q126">
        <f t="shared" si="144"/>
        <v>82.160222373736005</v>
      </c>
      <c r="R126">
        <f t="shared" si="145"/>
        <v>0.29307163742713271</v>
      </c>
      <c r="S126">
        <f t="shared" si="146"/>
        <v>2.9075741639071766</v>
      </c>
      <c r="T126">
        <f t="shared" si="147"/>
        <v>0.27759367097957438</v>
      </c>
      <c r="U126">
        <f t="shared" si="148"/>
        <v>0.17481852861997521</v>
      </c>
      <c r="V126">
        <f t="shared" si="149"/>
        <v>344.38988679065216</v>
      </c>
      <c r="W126">
        <f t="shared" si="150"/>
        <v>30.52102744949725</v>
      </c>
      <c r="X126">
        <f t="shared" si="151"/>
        <v>30.000599999999999</v>
      </c>
      <c r="Y126">
        <f t="shared" si="152"/>
        <v>4.2605966046728723</v>
      </c>
      <c r="Z126">
        <f t="shared" si="153"/>
        <v>58.270149290134079</v>
      </c>
      <c r="AA126">
        <f t="shared" si="154"/>
        <v>2.4603837099639998</v>
      </c>
      <c r="AB126">
        <f t="shared" si="155"/>
        <v>4.222374131415819</v>
      </c>
      <c r="AC126">
        <f t="shared" si="156"/>
        <v>1.8002128947088725</v>
      </c>
      <c r="AD126">
        <f t="shared" si="157"/>
        <v>-230.12671959148022</v>
      </c>
      <c r="AE126">
        <f t="shared" si="158"/>
        <v>-24.578892089291113</v>
      </c>
      <c r="AF126">
        <f t="shared" si="159"/>
        <v>-1.8781749566198247</v>
      </c>
      <c r="AG126">
        <f t="shared" si="160"/>
        <v>87.806100153260985</v>
      </c>
      <c r="AH126">
        <v>0</v>
      </c>
      <c r="AI126">
        <v>0</v>
      </c>
      <c r="AJ126">
        <f t="shared" si="161"/>
        <v>1</v>
      </c>
      <c r="AK126">
        <f t="shared" si="162"/>
        <v>0</v>
      </c>
      <c r="AL126">
        <f t="shared" si="163"/>
        <v>51733.00736278086</v>
      </c>
      <c r="AM126" t="s">
        <v>416</v>
      </c>
      <c r="AN126">
        <v>10235.299999999999</v>
      </c>
      <c r="AO126">
        <v>594.051923076923</v>
      </c>
      <c r="AP126">
        <v>2007.77</v>
      </c>
      <c r="AQ126">
        <f t="shared" si="164"/>
        <v>0.70412351859180933</v>
      </c>
      <c r="AR126">
        <v>-0.54275787784279261</v>
      </c>
      <c r="AS126" t="s">
        <v>975</v>
      </c>
      <c r="AT126">
        <v>10180.6</v>
      </c>
      <c r="AU126">
        <v>716.44019999999989</v>
      </c>
      <c r="AV126">
        <v>1153.688825813447</v>
      </c>
      <c r="AW126">
        <f t="shared" si="165"/>
        <v>0.3790004861190801</v>
      </c>
      <c r="AX126">
        <v>0.5</v>
      </c>
      <c r="AY126">
        <f t="shared" si="166"/>
        <v>1513.2470933953259</v>
      </c>
      <c r="AZ126">
        <f t="shared" si="167"/>
        <v>54.806851012555953</v>
      </c>
      <c r="BA126">
        <f t="shared" si="168"/>
        <v>286.76069200755677</v>
      </c>
      <c r="BB126">
        <f t="shared" si="169"/>
        <v>3.6576715813283922E-2</v>
      </c>
      <c r="BC126">
        <f t="shared" si="170"/>
        <v>0.74030462554264087</v>
      </c>
      <c r="BD126">
        <f t="shared" si="171"/>
        <v>487.31177241663107</v>
      </c>
      <c r="BE126" t="s">
        <v>976</v>
      </c>
      <c r="BF126">
        <v>555.04</v>
      </c>
      <c r="BG126">
        <f t="shared" si="172"/>
        <v>555.04</v>
      </c>
      <c r="BH126">
        <f t="shared" si="173"/>
        <v>0.5188997348495159</v>
      </c>
      <c r="BI126">
        <f t="shared" si="174"/>
        <v>0.73039252222588336</v>
      </c>
      <c r="BJ126">
        <f t="shared" si="175"/>
        <v>0.58791459816108493</v>
      </c>
      <c r="BK126">
        <f t="shared" si="176"/>
        <v>0.78130770804316119</v>
      </c>
      <c r="BL126">
        <f t="shared" si="177"/>
        <v>0.60413825650828479</v>
      </c>
      <c r="BM126">
        <f t="shared" si="178"/>
        <v>0.56584913232989209</v>
      </c>
      <c r="BN126">
        <f t="shared" si="179"/>
        <v>0.43415086767010791</v>
      </c>
      <c r="BO126">
        <v>12687</v>
      </c>
      <c r="BP126">
        <v>290.00000000000011</v>
      </c>
      <c r="BQ126">
        <v>1021.63</v>
      </c>
      <c r="BR126">
        <v>275</v>
      </c>
      <c r="BS126">
        <v>10180.6</v>
      </c>
      <c r="BT126">
        <v>1021.99</v>
      </c>
      <c r="BU126">
        <v>-0.36</v>
      </c>
      <c r="BV126">
        <v>300.00000000000011</v>
      </c>
      <c r="BW126">
        <v>24.2</v>
      </c>
      <c r="BX126">
        <v>1153.688825813447</v>
      </c>
      <c r="BY126">
        <v>1.953899030639755</v>
      </c>
      <c r="BZ126">
        <v>-134.07504522159161</v>
      </c>
      <c r="CA126">
        <v>1.7715022266118989</v>
      </c>
      <c r="CB126">
        <v>0.99513561654812321</v>
      </c>
      <c r="CC126">
        <v>-6.9562460511679606E-3</v>
      </c>
      <c r="CD126">
        <v>289.99999999999989</v>
      </c>
      <c r="CE126">
        <v>1011.28</v>
      </c>
      <c r="CF126">
        <v>625</v>
      </c>
      <c r="CG126">
        <v>10164.299999999999</v>
      </c>
      <c r="CH126">
        <v>1021.78</v>
      </c>
      <c r="CI126">
        <v>-10.5</v>
      </c>
      <c r="CW126">
        <f t="shared" si="180"/>
        <v>1800.07</v>
      </c>
      <c r="CX126">
        <f t="shared" si="181"/>
        <v>1513.2470933953259</v>
      </c>
      <c r="CY126">
        <f t="shared" si="182"/>
        <v>0.84066013732539624</v>
      </c>
      <c r="CZ126">
        <f t="shared" si="183"/>
        <v>0.19132027465079257</v>
      </c>
      <c r="DA126">
        <v>6</v>
      </c>
      <c r="DB126">
        <v>0.5</v>
      </c>
      <c r="DC126" t="s">
        <v>419</v>
      </c>
      <c r="DD126">
        <v>2</v>
      </c>
      <c r="DE126">
        <v>1691185819</v>
      </c>
      <c r="DF126">
        <v>828.85400000000004</v>
      </c>
      <c r="DG126">
        <v>899.81799999999998</v>
      </c>
      <c r="DH126">
        <v>24.821000000000002</v>
      </c>
      <c r="DI126">
        <v>18.713999999999999</v>
      </c>
      <c r="DJ126">
        <v>832.49300000000005</v>
      </c>
      <c r="DK126">
        <v>24.793900000000001</v>
      </c>
      <c r="DL126">
        <v>499.96100000000001</v>
      </c>
      <c r="DM126">
        <v>99.024900000000002</v>
      </c>
      <c r="DN126">
        <v>0.100184</v>
      </c>
      <c r="DO126">
        <v>29.843800000000002</v>
      </c>
      <c r="DP126">
        <v>30.000599999999999</v>
      </c>
      <c r="DQ126">
        <v>999.9</v>
      </c>
      <c r="DR126">
        <v>0</v>
      </c>
      <c r="DS126">
        <v>0</v>
      </c>
      <c r="DT126">
        <v>9972.5</v>
      </c>
      <c r="DU126">
        <v>0</v>
      </c>
      <c r="DV126">
        <v>983.572</v>
      </c>
      <c r="DW126">
        <v>-70.963700000000003</v>
      </c>
      <c r="DX126">
        <v>849.95100000000002</v>
      </c>
      <c r="DY126">
        <v>916.97900000000004</v>
      </c>
      <c r="DZ126">
        <v>6.1069500000000003</v>
      </c>
      <c r="EA126">
        <v>899.81799999999998</v>
      </c>
      <c r="EB126">
        <v>18.713999999999999</v>
      </c>
      <c r="EC126">
        <v>2.4578899999999999</v>
      </c>
      <c r="ED126">
        <v>1.8531500000000001</v>
      </c>
      <c r="EE126">
        <v>20.750299999999999</v>
      </c>
      <c r="EF126">
        <v>16.2425</v>
      </c>
      <c r="EG126">
        <v>1800.07</v>
      </c>
      <c r="EH126">
        <v>0.97799700000000001</v>
      </c>
      <c r="EI126">
        <v>2.2003200000000001E-2</v>
      </c>
      <c r="EJ126">
        <v>0</v>
      </c>
      <c r="EK126">
        <v>716.10500000000002</v>
      </c>
      <c r="EL126">
        <v>0.100005</v>
      </c>
      <c r="EM126">
        <v>18904.900000000001</v>
      </c>
      <c r="EN126">
        <v>14863.1</v>
      </c>
      <c r="EO126">
        <v>49.186999999999998</v>
      </c>
      <c r="EP126">
        <v>51</v>
      </c>
      <c r="EQ126">
        <v>50.186999999999998</v>
      </c>
      <c r="ER126">
        <v>49.186999999999998</v>
      </c>
      <c r="ES126">
        <v>50.061999999999998</v>
      </c>
      <c r="ET126">
        <v>1760.37</v>
      </c>
      <c r="EU126">
        <v>39.61</v>
      </c>
      <c r="EV126">
        <v>0</v>
      </c>
      <c r="EW126">
        <v>125</v>
      </c>
      <c r="EX126">
        <v>0</v>
      </c>
      <c r="EY126">
        <v>716.44019999999989</v>
      </c>
      <c r="EZ126">
        <v>-9.7100000238713342</v>
      </c>
      <c r="FA126">
        <v>-72.28461543378954</v>
      </c>
      <c r="FB126">
        <v>18916.295999999998</v>
      </c>
      <c r="FC126">
        <v>15</v>
      </c>
      <c r="FD126">
        <v>1691185784</v>
      </c>
      <c r="FE126" t="s">
        <v>977</v>
      </c>
      <c r="FF126">
        <v>1691185780</v>
      </c>
      <c r="FG126">
        <v>1691185784</v>
      </c>
      <c r="FH126">
        <v>128</v>
      </c>
      <c r="FI126">
        <v>0.4</v>
      </c>
      <c r="FJ126">
        <v>4.0000000000000001E-3</v>
      </c>
      <c r="FK126">
        <v>-3.7639999999999998</v>
      </c>
      <c r="FL126">
        <v>-0.10299999999999999</v>
      </c>
      <c r="FM126">
        <v>900</v>
      </c>
      <c r="FN126">
        <v>19</v>
      </c>
      <c r="FO126">
        <v>0.22</v>
      </c>
      <c r="FP126">
        <v>0.03</v>
      </c>
      <c r="FQ126">
        <v>54.72462916595709</v>
      </c>
      <c r="FR126">
        <v>-0.54136846094369173</v>
      </c>
      <c r="FS126">
        <v>0.11795523313137971</v>
      </c>
      <c r="FT126">
        <v>1</v>
      </c>
      <c r="FU126">
        <v>0.30263212922033389</v>
      </c>
      <c r="FV126">
        <v>-1.5827754411696079E-2</v>
      </c>
      <c r="FW126">
        <v>3.3441530145769242E-3</v>
      </c>
      <c r="FX126">
        <v>1</v>
      </c>
      <c r="FY126">
        <v>2</v>
      </c>
      <c r="FZ126">
        <v>2</v>
      </c>
      <c r="GA126" t="s">
        <v>421</v>
      </c>
      <c r="GB126">
        <v>2.9148999999999998</v>
      </c>
      <c r="GC126">
        <v>2.8298299999999998</v>
      </c>
      <c r="GD126">
        <v>0.14993000000000001</v>
      </c>
      <c r="GE126">
        <v>0.15503900000000001</v>
      </c>
      <c r="GF126">
        <v>0.120279</v>
      </c>
      <c r="GG126">
        <v>9.4895199999999999E-2</v>
      </c>
      <c r="GH126">
        <v>22050.5</v>
      </c>
      <c r="GI126">
        <v>27057.4</v>
      </c>
      <c r="GJ126">
        <v>23369.3</v>
      </c>
      <c r="GK126">
        <v>29368.1</v>
      </c>
      <c r="GL126">
        <v>28081.9</v>
      </c>
      <c r="GM126">
        <v>37824.400000000001</v>
      </c>
      <c r="GN126">
        <v>33065.1</v>
      </c>
      <c r="GO126">
        <v>43562.400000000001</v>
      </c>
      <c r="GP126">
        <v>1.9214</v>
      </c>
      <c r="GQ126">
        <v>1.7337</v>
      </c>
      <c r="GR126">
        <v>-5.5193899999999997E-2</v>
      </c>
      <c r="GS126">
        <v>0</v>
      </c>
      <c r="GT126">
        <v>30.898099999999999</v>
      </c>
      <c r="GU126">
        <v>999.9</v>
      </c>
      <c r="GV126">
        <v>29.1</v>
      </c>
      <c r="GW126">
        <v>41.9</v>
      </c>
      <c r="GX126">
        <v>24.098600000000001</v>
      </c>
      <c r="GY126">
        <v>61.906799999999997</v>
      </c>
      <c r="GZ126">
        <v>34.334899999999998</v>
      </c>
      <c r="HA126">
        <v>1</v>
      </c>
      <c r="HB126">
        <v>0.74276399999999998</v>
      </c>
      <c r="HC126">
        <v>6.3261200000000004</v>
      </c>
      <c r="HD126">
        <v>20.200399999999998</v>
      </c>
      <c r="HE126">
        <v>5.2112999999999996</v>
      </c>
      <c r="HF126">
        <v>11.8782</v>
      </c>
      <c r="HG126">
        <v>4.9837999999999996</v>
      </c>
      <c r="HH126">
        <v>3.2839999999999998</v>
      </c>
      <c r="HI126">
        <v>9999</v>
      </c>
      <c r="HJ126">
        <v>9999</v>
      </c>
      <c r="HK126">
        <v>9999</v>
      </c>
      <c r="HL126">
        <v>999.9</v>
      </c>
      <c r="HM126">
        <v>1.8545499999999999</v>
      </c>
      <c r="HN126">
        <v>1.86066</v>
      </c>
      <c r="HO126">
        <v>1.8580399999999999</v>
      </c>
      <c r="HP126">
        <v>1.8591299999999999</v>
      </c>
      <c r="HQ126">
        <v>1.8585199999999999</v>
      </c>
      <c r="HR126">
        <v>1.8591200000000001</v>
      </c>
      <c r="HS126">
        <v>1.8573900000000001</v>
      </c>
      <c r="HT126">
        <v>1.8607100000000001</v>
      </c>
      <c r="HU126">
        <v>5</v>
      </c>
      <c r="HV126">
        <v>0</v>
      </c>
      <c r="HW126">
        <v>0</v>
      </c>
      <c r="HX126">
        <v>0</v>
      </c>
      <c r="HY126" t="s">
        <v>422</v>
      </c>
      <c r="HZ126" t="s">
        <v>423</v>
      </c>
      <c r="IA126" t="s">
        <v>424</v>
      </c>
      <c r="IB126" t="s">
        <v>424</v>
      </c>
      <c r="IC126" t="s">
        <v>424</v>
      </c>
      <c r="ID126" t="s">
        <v>424</v>
      </c>
      <c r="IE126">
        <v>0</v>
      </c>
      <c r="IF126">
        <v>100</v>
      </c>
      <c r="IG126">
        <v>100</v>
      </c>
      <c r="IH126">
        <v>-3.6389999999999998</v>
      </c>
      <c r="II126">
        <v>2.7099999999999999E-2</v>
      </c>
      <c r="IJ126">
        <v>-1.270700914705384</v>
      </c>
      <c r="IK126">
        <v>-4.1229525807901877E-3</v>
      </c>
      <c r="IL126">
        <v>1.8448211998558991E-6</v>
      </c>
      <c r="IM126">
        <v>-3.7020276670297668E-10</v>
      </c>
      <c r="IN126">
        <v>-0.18897121612717149</v>
      </c>
      <c r="IO126">
        <v>-1.3488639696665739E-2</v>
      </c>
      <c r="IP126">
        <v>1.1588640342490499E-3</v>
      </c>
      <c r="IQ126">
        <v>-1.0624341560077559E-5</v>
      </c>
      <c r="IR126">
        <v>2</v>
      </c>
      <c r="IS126">
        <v>1915</v>
      </c>
      <c r="IT126">
        <v>1</v>
      </c>
      <c r="IU126">
        <v>42</v>
      </c>
      <c r="IV126">
        <v>0.7</v>
      </c>
      <c r="IW126">
        <v>0.6</v>
      </c>
      <c r="IX126">
        <v>1.94824</v>
      </c>
      <c r="IY126">
        <v>2.4706999999999999</v>
      </c>
      <c r="IZ126">
        <v>1.49414</v>
      </c>
      <c r="JA126">
        <v>2.2863799999999999</v>
      </c>
      <c r="JB126">
        <v>1.54419</v>
      </c>
      <c r="JC126">
        <v>2.3913600000000002</v>
      </c>
      <c r="JD126">
        <v>43.8367</v>
      </c>
      <c r="JE126">
        <v>15.0251</v>
      </c>
      <c r="JF126">
        <v>18</v>
      </c>
      <c r="JG126">
        <v>512.17600000000004</v>
      </c>
      <c r="JH126">
        <v>416.43700000000001</v>
      </c>
      <c r="JI126">
        <v>21.6694</v>
      </c>
      <c r="JJ126">
        <v>36.1935</v>
      </c>
      <c r="JK126">
        <v>30.000699999999998</v>
      </c>
      <c r="JL126">
        <v>36.103999999999999</v>
      </c>
      <c r="JM126">
        <v>36.066299999999998</v>
      </c>
      <c r="JN126">
        <v>39.057699999999997</v>
      </c>
      <c r="JO126">
        <v>21.645900000000001</v>
      </c>
      <c r="JP126">
        <v>0</v>
      </c>
      <c r="JQ126">
        <v>21.658000000000001</v>
      </c>
      <c r="JR126">
        <v>900</v>
      </c>
      <c r="JS126">
        <v>18.7805</v>
      </c>
      <c r="JT126">
        <v>98.04</v>
      </c>
      <c r="JU126">
        <v>97.929100000000005</v>
      </c>
    </row>
    <row r="127" spans="1:281" x14ac:dyDescent="0.25">
      <c r="A127">
        <v>111</v>
      </c>
      <c r="B127">
        <v>1691185940.0999999</v>
      </c>
      <c r="C127">
        <v>26694.5</v>
      </c>
      <c r="D127" t="s">
        <v>978</v>
      </c>
      <c r="E127" t="s">
        <v>979</v>
      </c>
      <c r="F127" t="s">
        <v>413</v>
      </c>
      <c r="G127" t="s">
        <v>779</v>
      </c>
      <c r="H127" t="s">
        <v>414</v>
      </c>
      <c r="I127" t="s">
        <v>415</v>
      </c>
      <c r="J127">
        <v>1691185940.0999999</v>
      </c>
      <c r="K127">
        <f t="shared" si="138"/>
        <v>4.1734460556892734E-3</v>
      </c>
      <c r="L127">
        <f t="shared" si="139"/>
        <v>4.1734460556892738</v>
      </c>
      <c r="M127">
        <f t="shared" si="140"/>
        <v>54.14540598686213</v>
      </c>
      <c r="N127">
        <f t="shared" si="141"/>
        <v>1129.44</v>
      </c>
      <c r="O127">
        <f t="shared" si="142"/>
        <v>716.00567937825974</v>
      </c>
      <c r="P127">
        <f t="shared" si="143"/>
        <v>70.97206287810522</v>
      </c>
      <c r="Q127">
        <f t="shared" si="144"/>
        <v>111.95258502230401</v>
      </c>
      <c r="R127">
        <f t="shared" si="145"/>
        <v>0.23295051912636344</v>
      </c>
      <c r="S127">
        <f t="shared" si="146"/>
        <v>2.9162871247175071</v>
      </c>
      <c r="T127">
        <f t="shared" si="147"/>
        <v>0.22308456923224143</v>
      </c>
      <c r="U127">
        <f t="shared" si="148"/>
        <v>0.14027945211573084</v>
      </c>
      <c r="V127">
        <f t="shared" si="149"/>
        <v>344.35699999339971</v>
      </c>
      <c r="W127">
        <f t="shared" si="150"/>
        <v>30.760014074342362</v>
      </c>
      <c r="X127">
        <f t="shared" si="151"/>
        <v>30.0108</v>
      </c>
      <c r="Y127">
        <f t="shared" si="152"/>
        <v>4.2630934277823389</v>
      </c>
      <c r="Z127">
        <f t="shared" si="153"/>
        <v>58.644132495628156</v>
      </c>
      <c r="AA127">
        <f t="shared" si="154"/>
        <v>2.47172125599826</v>
      </c>
      <c r="AB127">
        <f t="shared" si="155"/>
        <v>4.2147801507380533</v>
      </c>
      <c r="AC127">
        <f t="shared" si="156"/>
        <v>1.7913721717840789</v>
      </c>
      <c r="AD127">
        <f t="shared" si="157"/>
        <v>-184.04897105589697</v>
      </c>
      <c r="AE127">
        <f t="shared" si="158"/>
        <v>-31.177295412058797</v>
      </c>
      <c r="AF127">
        <f t="shared" si="159"/>
        <v>-2.3750203865487873</v>
      </c>
      <c r="AG127">
        <f t="shared" si="160"/>
        <v>126.75571313889516</v>
      </c>
      <c r="AH127">
        <v>0</v>
      </c>
      <c r="AI127">
        <v>0</v>
      </c>
      <c r="AJ127">
        <f t="shared" si="161"/>
        <v>1</v>
      </c>
      <c r="AK127">
        <f t="shared" si="162"/>
        <v>0</v>
      </c>
      <c r="AL127">
        <f t="shared" si="163"/>
        <v>51986.202683845899</v>
      </c>
      <c r="AM127" t="s">
        <v>416</v>
      </c>
      <c r="AN127">
        <v>10235.299999999999</v>
      </c>
      <c r="AO127">
        <v>594.051923076923</v>
      </c>
      <c r="AP127">
        <v>2007.77</v>
      </c>
      <c r="AQ127">
        <f t="shared" si="164"/>
        <v>0.70412351859180933</v>
      </c>
      <c r="AR127">
        <v>-0.54275787784279261</v>
      </c>
      <c r="AS127" t="s">
        <v>980</v>
      </c>
      <c r="AT127">
        <v>10183.9</v>
      </c>
      <c r="AU127">
        <v>709.45788461538473</v>
      </c>
      <c r="AV127">
        <v>1139.659895827969</v>
      </c>
      <c r="AW127">
        <f t="shared" si="165"/>
        <v>0.37748280235836518</v>
      </c>
      <c r="AX127">
        <v>0.5</v>
      </c>
      <c r="AY127">
        <f t="shared" si="166"/>
        <v>1513.1039999967002</v>
      </c>
      <c r="AZ127">
        <f t="shared" si="167"/>
        <v>54.14540598686213</v>
      </c>
      <c r="BA127">
        <f t="shared" si="168"/>
        <v>285.58536908920308</v>
      </c>
      <c r="BB127">
        <f t="shared" si="169"/>
        <v>3.6143030396340363E-2</v>
      </c>
      <c r="BC127">
        <f t="shared" si="170"/>
        <v>0.76172734282392596</v>
      </c>
      <c r="BD127">
        <f t="shared" si="171"/>
        <v>484.79106692568155</v>
      </c>
      <c r="BE127" t="s">
        <v>981</v>
      </c>
      <c r="BF127">
        <v>554.19000000000005</v>
      </c>
      <c r="BG127">
        <f t="shared" si="172"/>
        <v>554.19000000000005</v>
      </c>
      <c r="BH127">
        <f t="shared" si="173"/>
        <v>0.51372334673812659</v>
      </c>
      <c r="BI127">
        <f t="shared" si="174"/>
        <v>0.73479783380526253</v>
      </c>
      <c r="BJ127">
        <f t="shared" si="175"/>
        <v>0.59722210278899757</v>
      </c>
      <c r="BK127">
        <f t="shared" si="176"/>
        <v>0.78848190037149624</v>
      </c>
      <c r="BL127">
        <f t="shared" si="177"/>
        <v>0.61406168481728096</v>
      </c>
      <c r="BM127">
        <f t="shared" si="178"/>
        <v>0.5739841932087365</v>
      </c>
      <c r="BN127">
        <f t="shared" si="179"/>
        <v>0.4260158067912635</v>
      </c>
      <c r="BO127">
        <v>12689</v>
      </c>
      <c r="BP127">
        <v>290.00000000000011</v>
      </c>
      <c r="BQ127">
        <v>1009.73</v>
      </c>
      <c r="BR127">
        <v>245</v>
      </c>
      <c r="BS127">
        <v>10183.9</v>
      </c>
      <c r="BT127">
        <v>1010.42</v>
      </c>
      <c r="BU127">
        <v>-0.69</v>
      </c>
      <c r="BV127">
        <v>300.00000000000011</v>
      </c>
      <c r="BW127">
        <v>24.2</v>
      </c>
      <c r="BX127">
        <v>1139.659895827969</v>
      </c>
      <c r="BY127">
        <v>2.2099635444094399</v>
      </c>
      <c r="BZ127">
        <v>-131.6166339331356</v>
      </c>
      <c r="CA127">
        <v>2.0035838948477038</v>
      </c>
      <c r="CB127">
        <v>0.99355322263150192</v>
      </c>
      <c r="CC127">
        <v>-6.9561087875417184E-3</v>
      </c>
      <c r="CD127">
        <v>289.99999999999989</v>
      </c>
      <c r="CE127">
        <v>999.8</v>
      </c>
      <c r="CF127">
        <v>635</v>
      </c>
      <c r="CG127">
        <v>10163.200000000001</v>
      </c>
      <c r="CH127">
        <v>1010.16</v>
      </c>
      <c r="CI127">
        <v>-10.36</v>
      </c>
      <c r="CW127">
        <f t="shared" si="180"/>
        <v>1799.9</v>
      </c>
      <c r="CX127">
        <f t="shared" si="181"/>
        <v>1513.1039999967002</v>
      </c>
      <c r="CY127">
        <f t="shared" si="182"/>
        <v>0.84066003666687039</v>
      </c>
      <c r="CZ127">
        <f t="shared" si="183"/>
        <v>0.1913200733337406</v>
      </c>
      <c r="DA127">
        <v>6</v>
      </c>
      <c r="DB127">
        <v>0.5</v>
      </c>
      <c r="DC127" t="s">
        <v>419</v>
      </c>
      <c r="DD127">
        <v>2</v>
      </c>
      <c r="DE127">
        <v>1691185940.0999999</v>
      </c>
      <c r="DF127">
        <v>1129.44</v>
      </c>
      <c r="DG127">
        <v>1200.06</v>
      </c>
      <c r="DH127">
        <v>24.9361</v>
      </c>
      <c r="DI127">
        <v>20.053599999999999</v>
      </c>
      <c r="DJ127">
        <v>1133.7</v>
      </c>
      <c r="DK127">
        <v>24.9008</v>
      </c>
      <c r="DL127">
        <v>500.077</v>
      </c>
      <c r="DM127">
        <v>99.023099999999999</v>
      </c>
      <c r="DN127">
        <v>9.9106600000000003E-2</v>
      </c>
      <c r="DO127">
        <v>29.8125</v>
      </c>
      <c r="DP127">
        <v>30.0108</v>
      </c>
      <c r="DQ127">
        <v>999.9</v>
      </c>
      <c r="DR127">
        <v>0</v>
      </c>
      <c r="DS127">
        <v>0</v>
      </c>
      <c r="DT127">
        <v>10022.5</v>
      </c>
      <c r="DU127">
        <v>0</v>
      </c>
      <c r="DV127">
        <v>971.82100000000003</v>
      </c>
      <c r="DW127">
        <v>-70.624899999999997</v>
      </c>
      <c r="DX127">
        <v>1158.32</v>
      </c>
      <c r="DY127">
        <v>1224.6199999999999</v>
      </c>
      <c r="DZ127">
        <v>4.8824399999999999</v>
      </c>
      <c r="EA127">
        <v>1200.06</v>
      </c>
      <c r="EB127">
        <v>20.053599999999999</v>
      </c>
      <c r="EC127">
        <v>2.4692500000000002</v>
      </c>
      <c r="ED127">
        <v>1.98577</v>
      </c>
      <c r="EE127">
        <v>20.825199999999999</v>
      </c>
      <c r="EF127">
        <v>17.331399999999999</v>
      </c>
      <c r="EG127">
        <v>1799.9</v>
      </c>
      <c r="EH127">
        <v>0.97799700000000001</v>
      </c>
      <c r="EI127">
        <v>2.2003200000000001E-2</v>
      </c>
      <c r="EJ127">
        <v>0</v>
      </c>
      <c r="EK127">
        <v>708.49</v>
      </c>
      <c r="EL127">
        <v>0.100005</v>
      </c>
      <c r="EM127">
        <v>18851.099999999999</v>
      </c>
      <c r="EN127">
        <v>14861.7</v>
      </c>
      <c r="EO127">
        <v>49.186999999999998</v>
      </c>
      <c r="EP127">
        <v>51.061999999999998</v>
      </c>
      <c r="EQ127">
        <v>50.186999999999998</v>
      </c>
      <c r="ER127">
        <v>49.25</v>
      </c>
      <c r="ES127">
        <v>50.061999999999998</v>
      </c>
      <c r="ET127">
        <v>1760.2</v>
      </c>
      <c r="EU127">
        <v>39.6</v>
      </c>
      <c r="EV127">
        <v>0</v>
      </c>
      <c r="EW127">
        <v>119</v>
      </c>
      <c r="EX127">
        <v>0</v>
      </c>
      <c r="EY127">
        <v>709.45788461538473</v>
      </c>
      <c r="EZ127">
        <v>-9.4675213692306777</v>
      </c>
      <c r="FA127">
        <v>-108.8820513731971</v>
      </c>
      <c r="FB127">
        <v>18857.65384615384</v>
      </c>
      <c r="FC127">
        <v>15</v>
      </c>
      <c r="FD127">
        <v>1691185908.5999999</v>
      </c>
      <c r="FE127" t="s">
        <v>982</v>
      </c>
      <c r="FF127">
        <v>1691185908.5999999</v>
      </c>
      <c r="FG127">
        <v>1691185902.0999999</v>
      </c>
      <c r="FH127">
        <v>129</v>
      </c>
      <c r="FI127">
        <v>-0.14799999999999999</v>
      </c>
      <c r="FJ127">
        <v>6.0000000000000001E-3</v>
      </c>
      <c r="FK127">
        <v>-4.3550000000000004</v>
      </c>
      <c r="FL127">
        <v>-7.5999999999999998E-2</v>
      </c>
      <c r="FM127">
        <v>1200</v>
      </c>
      <c r="FN127">
        <v>20</v>
      </c>
      <c r="FO127">
        <v>0.2</v>
      </c>
      <c r="FP127">
        <v>0.04</v>
      </c>
      <c r="FQ127">
        <v>54.126985458162771</v>
      </c>
      <c r="FR127">
        <v>-0.41841383226297829</v>
      </c>
      <c r="FS127">
        <v>0.1745233429400701</v>
      </c>
      <c r="FT127">
        <v>1</v>
      </c>
      <c r="FU127">
        <v>0.23845890506153769</v>
      </c>
      <c r="FV127">
        <v>-2.4006276377630111E-2</v>
      </c>
      <c r="FW127">
        <v>2.240393552654102E-3</v>
      </c>
      <c r="FX127">
        <v>1</v>
      </c>
      <c r="FY127">
        <v>2</v>
      </c>
      <c r="FZ127">
        <v>2</v>
      </c>
      <c r="GA127" t="s">
        <v>421</v>
      </c>
      <c r="GB127">
        <v>2.9151699999999998</v>
      </c>
      <c r="GC127">
        <v>2.8291900000000001</v>
      </c>
      <c r="GD127">
        <v>0.182722</v>
      </c>
      <c r="GE127">
        <v>0.186168</v>
      </c>
      <c r="GF127">
        <v>0.120644</v>
      </c>
      <c r="GG127">
        <v>9.9712400000000007E-2</v>
      </c>
      <c r="GH127">
        <v>21199</v>
      </c>
      <c r="GI127">
        <v>26057.5</v>
      </c>
      <c r="GJ127">
        <v>23369.8</v>
      </c>
      <c r="GK127">
        <v>29366.799999999999</v>
      </c>
      <c r="GL127">
        <v>28073.1</v>
      </c>
      <c r="GM127">
        <v>37626.699999999997</v>
      </c>
      <c r="GN127">
        <v>33065.1</v>
      </c>
      <c r="GO127">
        <v>43560.7</v>
      </c>
      <c r="GP127">
        <v>1.9200999999999999</v>
      </c>
      <c r="GQ127">
        <v>1.7370000000000001</v>
      </c>
      <c r="GR127">
        <v>-4.3720000000000002E-2</v>
      </c>
      <c r="GS127">
        <v>0</v>
      </c>
      <c r="GT127">
        <v>30.721900000000002</v>
      </c>
      <c r="GU127">
        <v>999.9</v>
      </c>
      <c r="GV127">
        <v>29.1</v>
      </c>
      <c r="GW127">
        <v>41.8</v>
      </c>
      <c r="GX127">
        <v>23.973199999999999</v>
      </c>
      <c r="GY127">
        <v>61.405900000000003</v>
      </c>
      <c r="GZ127">
        <v>34.451099999999997</v>
      </c>
      <c r="HA127">
        <v>1</v>
      </c>
      <c r="HB127">
        <v>0.74338400000000004</v>
      </c>
      <c r="HC127">
        <v>6.3925400000000003</v>
      </c>
      <c r="HD127">
        <v>20.196999999999999</v>
      </c>
      <c r="HE127">
        <v>5.2077099999999996</v>
      </c>
      <c r="HF127">
        <v>11.8782</v>
      </c>
      <c r="HG127">
        <v>4.9829999999999997</v>
      </c>
      <c r="HH127">
        <v>3.2831000000000001</v>
      </c>
      <c r="HI127">
        <v>9999</v>
      </c>
      <c r="HJ127">
        <v>9999</v>
      </c>
      <c r="HK127">
        <v>9999</v>
      </c>
      <c r="HL127">
        <v>999.9</v>
      </c>
      <c r="HM127">
        <v>1.8545700000000001</v>
      </c>
      <c r="HN127">
        <v>1.86066</v>
      </c>
      <c r="HO127">
        <v>1.8580000000000001</v>
      </c>
      <c r="HP127">
        <v>1.85914</v>
      </c>
      <c r="HQ127">
        <v>1.8585199999999999</v>
      </c>
      <c r="HR127">
        <v>1.8590500000000001</v>
      </c>
      <c r="HS127">
        <v>1.8573599999999999</v>
      </c>
      <c r="HT127">
        <v>1.8607499999999999</v>
      </c>
      <c r="HU127">
        <v>5</v>
      </c>
      <c r="HV127">
        <v>0</v>
      </c>
      <c r="HW127">
        <v>0</v>
      </c>
      <c r="HX127">
        <v>0</v>
      </c>
      <c r="HY127" t="s">
        <v>422</v>
      </c>
      <c r="HZ127" t="s">
        <v>423</v>
      </c>
      <c r="IA127" t="s">
        <v>424</v>
      </c>
      <c r="IB127" t="s">
        <v>424</v>
      </c>
      <c r="IC127" t="s">
        <v>424</v>
      </c>
      <c r="ID127" t="s">
        <v>424</v>
      </c>
      <c r="IE127">
        <v>0</v>
      </c>
      <c r="IF127">
        <v>100</v>
      </c>
      <c r="IG127">
        <v>100</v>
      </c>
      <c r="IH127">
        <v>-4.26</v>
      </c>
      <c r="II127">
        <v>3.5299999999999998E-2</v>
      </c>
      <c r="IJ127">
        <v>-1.418547506735647</v>
      </c>
      <c r="IK127">
        <v>-4.1229525807901877E-3</v>
      </c>
      <c r="IL127">
        <v>1.8448211998558991E-6</v>
      </c>
      <c r="IM127">
        <v>-3.7020276670297668E-10</v>
      </c>
      <c r="IN127">
        <v>-0.18336970763009949</v>
      </c>
      <c r="IO127">
        <v>-1.3488639696665739E-2</v>
      </c>
      <c r="IP127">
        <v>1.1588640342490499E-3</v>
      </c>
      <c r="IQ127">
        <v>-1.0624341560077559E-5</v>
      </c>
      <c r="IR127">
        <v>2</v>
      </c>
      <c r="IS127">
        <v>1915</v>
      </c>
      <c r="IT127">
        <v>1</v>
      </c>
      <c r="IU127">
        <v>42</v>
      </c>
      <c r="IV127">
        <v>0.5</v>
      </c>
      <c r="IW127">
        <v>0.6</v>
      </c>
      <c r="IX127">
        <v>2.4621599999999999</v>
      </c>
      <c r="IY127">
        <v>2.4670399999999999</v>
      </c>
      <c r="IZ127">
        <v>1.49414</v>
      </c>
      <c r="JA127">
        <v>2.2863799999999999</v>
      </c>
      <c r="JB127">
        <v>1.54419</v>
      </c>
      <c r="JC127">
        <v>2.33643</v>
      </c>
      <c r="JD127">
        <v>43.809199999999997</v>
      </c>
      <c r="JE127">
        <v>14.9726</v>
      </c>
      <c r="JF127">
        <v>18</v>
      </c>
      <c r="JG127">
        <v>511.27600000000001</v>
      </c>
      <c r="JH127">
        <v>418.56099999999998</v>
      </c>
      <c r="JI127">
        <v>21.656400000000001</v>
      </c>
      <c r="JJ127">
        <v>36.176699999999997</v>
      </c>
      <c r="JK127">
        <v>30.000499999999999</v>
      </c>
      <c r="JL127">
        <v>36.1006</v>
      </c>
      <c r="JM127">
        <v>36.060200000000002</v>
      </c>
      <c r="JN127">
        <v>49.328499999999998</v>
      </c>
      <c r="JO127">
        <v>14.7029</v>
      </c>
      <c r="JP127">
        <v>0.30034499999999997</v>
      </c>
      <c r="JQ127">
        <v>21.6556</v>
      </c>
      <c r="JR127">
        <v>1200</v>
      </c>
      <c r="JS127">
        <v>20.0184</v>
      </c>
      <c r="JT127">
        <v>98.040899999999993</v>
      </c>
      <c r="JU127">
        <v>97.924999999999997</v>
      </c>
    </row>
    <row r="128" spans="1:281" x14ac:dyDescent="0.25">
      <c r="A128">
        <v>112</v>
      </c>
      <c r="B128">
        <v>1691186088.0999999</v>
      </c>
      <c r="C128">
        <v>26842.5</v>
      </c>
      <c r="D128" t="s">
        <v>983</v>
      </c>
      <c r="E128" t="s">
        <v>984</v>
      </c>
      <c r="F128" t="s">
        <v>413</v>
      </c>
      <c r="G128" t="s">
        <v>779</v>
      </c>
      <c r="H128" t="s">
        <v>414</v>
      </c>
      <c r="I128" t="s">
        <v>415</v>
      </c>
      <c r="J128">
        <v>1691186088.0999999</v>
      </c>
      <c r="K128">
        <f t="shared" si="138"/>
        <v>3.1018864325406425E-3</v>
      </c>
      <c r="L128">
        <f t="shared" si="139"/>
        <v>3.1018864325406423</v>
      </c>
      <c r="M128">
        <f t="shared" si="140"/>
        <v>52.79531113646452</v>
      </c>
      <c r="N128">
        <f t="shared" si="141"/>
        <v>1431.13</v>
      </c>
      <c r="O128">
        <f t="shared" si="142"/>
        <v>871.36988624417802</v>
      </c>
      <c r="P128">
        <f t="shared" si="143"/>
        <v>86.370985569051172</v>
      </c>
      <c r="Q128">
        <f t="shared" si="144"/>
        <v>141.85492352761702</v>
      </c>
      <c r="R128">
        <f t="shared" si="145"/>
        <v>0.16545553487923384</v>
      </c>
      <c r="S128">
        <f t="shared" si="146"/>
        <v>2.9158187770230062</v>
      </c>
      <c r="T128">
        <f t="shared" si="147"/>
        <v>0.16041109418092719</v>
      </c>
      <c r="U128">
        <f t="shared" si="148"/>
        <v>0.10069734575637554</v>
      </c>
      <c r="V128">
        <f t="shared" si="149"/>
        <v>344.36839999339986</v>
      </c>
      <c r="W128">
        <f t="shared" si="150"/>
        <v>30.950850176172111</v>
      </c>
      <c r="X128">
        <f t="shared" si="151"/>
        <v>30.025600000000001</v>
      </c>
      <c r="Y128">
        <f t="shared" si="152"/>
        <v>4.2667185366035874</v>
      </c>
      <c r="Z128">
        <f t="shared" si="153"/>
        <v>57.582459435103182</v>
      </c>
      <c r="AA128">
        <f t="shared" si="154"/>
        <v>2.4146054573081801</v>
      </c>
      <c r="AB128">
        <f t="shared" si="155"/>
        <v>4.1933003226954879</v>
      </c>
      <c r="AC128">
        <f t="shared" si="156"/>
        <v>1.8521130792954072</v>
      </c>
      <c r="AD128">
        <f t="shared" si="157"/>
        <v>-136.79319167504232</v>
      </c>
      <c r="AE128">
        <f t="shared" si="158"/>
        <v>-47.457962053682309</v>
      </c>
      <c r="AF128">
        <f t="shared" si="159"/>
        <v>-3.6145034857420364</v>
      </c>
      <c r="AG128">
        <f t="shared" si="160"/>
        <v>156.5027427789332</v>
      </c>
      <c r="AH128">
        <v>0</v>
      </c>
      <c r="AI128">
        <v>0</v>
      </c>
      <c r="AJ128">
        <f t="shared" si="161"/>
        <v>1</v>
      </c>
      <c r="AK128">
        <f t="shared" si="162"/>
        <v>0</v>
      </c>
      <c r="AL128">
        <f t="shared" si="163"/>
        <v>51988.072668988323</v>
      </c>
      <c r="AM128" t="s">
        <v>416</v>
      </c>
      <c r="AN128">
        <v>10235.299999999999</v>
      </c>
      <c r="AO128">
        <v>594.051923076923</v>
      </c>
      <c r="AP128">
        <v>2007.77</v>
      </c>
      <c r="AQ128">
        <f t="shared" si="164"/>
        <v>0.70412351859180933</v>
      </c>
      <c r="AR128">
        <v>-0.54275787784279261</v>
      </c>
      <c r="AS128" t="s">
        <v>985</v>
      </c>
      <c r="AT128">
        <v>10182.700000000001</v>
      </c>
      <c r="AU128">
        <v>703.08159999999998</v>
      </c>
      <c r="AV128">
        <v>1117.1856193870219</v>
      </c>
      <c r="AW128">
        <f t="shared" si="165"/>
        <v>0.37066715879697121</v>
      </c>
      <c r="AX128">
        <v>0.5</v>
      </c>
      <c r="AY128">
        <f t="shared" si="166"/>
        <v>1513.1543999967</v>
      </c>
      <c r="AZ128">
        <f t="shared" si="167"/>
        <v>52.79531113646452</v>
      </c>
      <c r="BA128">
        <f t="shared" si="168"/>
        <v>280.43832113395626</v>
      </c>
      <c r="BB128">
        <f t="shared" si="169"/>
        <v>3.5249587890319477E-2</v>
      </c>
      <c r="BC128">
        <f t="shared" si="170"/>
        <v>0.79716778049973869</v>
      </c>
      <c r="BD128">
        <f t="shared" si="171"/>
        <v>480.67773524196917</v>
      </c>
      <c r="BE128" t="s">
        <v>986</v>
      </c>
      <c r="BF128">
        <v>550.32000000000005</v>
      </c>
      <c r="BG128">
        <f t="shared" si="172"/>
        <v>550.32000000000005</v>
      </c>
      <c r="BH128">
        <f t="shared" si="173"/>
        <v>0.50740504491818472</v>
      </c>
      <c r="BI128">
        <f t="shared" si="174"/>
        <v>0.73051532007676145</v>
      </c>
      <c r="BJ128">
        <f t="shared" si="175"/>
        <v>0.6110565581069527</v>
      </c>
      <c r="BK128">
        <f t="shared" si="176"/>
        <v>0.79158353267603843</v>
      </c>
      <c r="BL128">
        <f t="shared" si="177"/>
        <v>0.62995896788086159</v>
      </c>
      <c r="BM128">
        <f t="shared" si="178"/>
        <v>0.57179307628679721</v>
      </c>
      <c r="BN128">
        <f t="shared" si="179"/>
        <v>0.42820692371320279</v>
      </c>
      <c r="BO128">
        <v>12691</v>
      </c>
      <c r="BP128">
        <v>290.00000000000011</v>
      </c>
      <c r="BQ128">
        <v>994.45</v>
      </c>
      <c r="BR128">
        <v>255</v>
      </c>
      <c r="BS128">
        <v>10182.700000000001</v>
      </c>
      <c r="BT128">
        <v>995.83</v>
      </c>
      <c r="BU128">
        <v>-1.38</v>
      </c>
      <c r="BV128">
        <v>300.00000000000011</v>
      </c>
      <c r="BW128">
        <v>24.2</v>
      </c>
      <c r="BX128">
        <v>1117.1856193870219</v>
      </c>
      <c r="BY128">
        <v>2.9577690470273472</v>
      </c>
      <c r="BZ128">
        <v>-123.57669690431359</v>
      </c>
      <c r="CA128">
        <v>2.6815748146840201</v>
      </c>
      <c r="CB128">
        <v>0.98698703830637224</v>
      </c>
      <c r="CC128">
        <v>-6.9559134593993408E-3</v>
      </c>
      <c r="CD128">
        <v>289.99999999999989</v>
      </c>
      <c r="CE128">
        <v>987.51</v>
      </c>
      <c r="CF128">
        <v>645</v>
      </c>
      <c r="CG128">
        <v>10162.6</v>
      </c>
      <c r="CH128">
        <v>995.59</v>
      </c>
      <c r="CI128">
        <v>-8.08</v>
      </c>
      <c r="CW128">
        <f t="shared" si="180"/>
        <v>1799.96</v>
      </c>
      <c r="CX128">
        <f t="shared" si="181"/>
        <v>1513.1543999967</v>
      </c>
      <c r="CY128">
        <f t="shared" si="182"/>
        <v>0.84066001466515916</v>
      </c>
      <c r="CZ128">
        <f t="shared" si="183"/>
        <v>0.19132002933031836</v>
      </c>
      <c r="DA128">
        <v>6</v>
      </c>
      <c r="DB128">
        <v>0.5</v>
      </c>
      <c r="DC128" t="s">
        <v>419</v>
      </c>
      <c r="DD128">
        <v>2</v>
      </c>
      <c r="DE128">
        <v>1691186088.0999999</v>
      </c>
      <c r="DF128">
        <v>1431.13</v>
      </c>
      <c r="DG128">
        <v>1499.84</v>
      </c>
      <c r="DH128">
        <v>24.360199999999999</v>
      </c>
      <c r="DI128">
        <v>20.7271</v>
      </c>
      <c r="DJ128">
        <v>1435.81</v>
      </c>
      <c r="DK128">
        <v>24.333100000000002</v>
      </c>
      <c r="DL128">
        <v>499.79199999999997</v>
      </c>
      <c r="DM128">
        <v>99.021299999999997</v>
      </c>
      <c r="DN128">
        <v>9.9620899999999998E-2</v>
      </c>
      <c r="DO128">
        <v>29.723700000000001</v>
      </c>
      <c r="DP128">
        <v>30.025600000000001</v>
      </c>
      <c r="DQ128">
        <v>999.9</v>
      </c>
      <c r="DR128">
        <v>0</v>
      </c>
      <c r="DS128">
        <v>0</v>
      </c>
      <c r="DT128">
        <v>10020</v>
      </c>
      <c r="DU128">
        <v>0</v>
      </c>
      <c r="DV128">
        <v>797.64700000000005</v>
      </c>
      <c r="DW128">
        <v>-68.714100000000002</v>
      </c>
      <c r="DX128">
        <v>1466.86</v>
      </c>
      <c r="DY128">
        <v>1531.58</v>
      </c>
      <c r="DZ128">
        <v>3.63313</v>
      </c>
      <c r="EA128">
        <v>1499.84</v>
      </c>
      <c r="EB128">
        <v>20.7271</v>
      </c>
      <c r="EC128">
        <v>2.4121800000000002</v>
      </c>
      <c r="ED128">
        <v>2.0524200000000001</v>
      </c>
      <c r="EE128">
        <v>20.445799999999998</v>
      </c>
      <c r="EF128">
        <v>17.854600000000001</v>
      </c>
      <c r="EG128">
        <v>1799.96</v>
      </c>
      <c r="EH128">
        <v>0.97799700000000001</v>
      </c>
      <c r="EI128">
        <v>2.2003200000000001E-2</v>
      </c>
      <c r="EJ128">
        <v>0</v>
      </c>
      <c r="EK128">
        <v>704.13</v>
      </c>
      <c r="EL128">
        <v>0.100005</v>
      </c>
      <c r="EM128">
        <v>18658.7</v>
      </c>
      <c r="EN128">
        <v>14862.2</v>
      </c>
      <c r="EO128">
        <v>49.125</v>
      </c>
      <c r="EP128">
        <v>51</v>
      </c>
      <c r="EQ128">
        <v>50.186999999999998</v>
      </c>
      <c r="ER128">
        <v>49.25</v>
      </c>
      <c r="ES128">
        <v>50.061999999999998</v>
      </c>
      <c r="ET128">
        <v>1760.26</v>
      </c>
      <c r="EU128">
        <v>39.6</v>
      </c>
      <c r="EV128">
        <v>0</v>
      </c>
      <c r="EW128">
        <v>146</v>
      </c>
      <c r="EX128">
        <v>0</v>
      </c>
      <c r="EY128">
        <v>703.08159999999998</v>
      </c>
      <c r="EZ128">
        <v>5.019615445105905</v>
      </c>
      <c r="FA128">
        <v>87.53076863517073</v>
      </c>
      <c r="FB128">
        <v>18634.727999999999</v>
      </c>
      <c r="FC128">
        <v>15</v>
      </c>
      <c r="FD128">
        <v>1691186022.0999999</v>
      </c>
      <c r="FE128" t="s">
        <v>987</v>
      </c>
      <c r="FF128">
        <v>1691186022.0999999</v>
      </c>
      <c r="FG128">
        <v>1691186014.5999999</v>
      </c>
      <c r="FH128">
        <v>130</v>
      </c>
      <c r="FI128">
        <v>-5.5E-2</v>
      </c>
      <c r="FJ128">
        <v>6.0000000000000001E-3</v>
      </c>
      <c r="FK128">
        <v>-4.76</v>
      </c>
      <c r="FL128">
        <v>-5.5E-2</v>
      </c>
      <c r="FM128">
        <v>1500</v>
      </c>
      <c r="FN128">
        <v>21</v>
      </c>
      <c r="FO128">
        <v>0.28999999999999998</v>
      </c>
      <c r="FP128">
        <v>0.12</v>
      </c>
      <c r="FQ128">
        <v>53.090624589474587</v>
      </c>
      <c r="FR128">
        <v>-0.42656820305483001</v>
      </c>
      <c r="FS128">
        <v>0.17398262460600819</v>
      </c>
      <c r="FT128">
        <v>1</v>
      </c>
      <c r="FU128">
        <v>0.1713787002928209</v>
      </c>
      <c r="FV128">
        <v>-4.8857476068367871E-2</v>
      </c>
      <c r="FW128">
        <v>3.7560560655784101E-3</v>
      </c>
      <c r="FX128">
        <v>1</v>
      </c>
      <c r="FY128">
        <v>2</v>
      </c>
      <c r="FZ128">
        <v>2</v>
      </c>
      <c r="GA128" t="s">
        <v>421</v>
      </c>
      <c r="GB128">
        <v>2.9144299999999999</v>
      </c>
      <c r="GC128">
        <v>2.8296700000000001</v>
      </c>
      <c r="GD128">
        <v>0.21096799999999999</v>
      </c>
      <c r="GE128">
        <v>0.21311099999999999</v>
      </c>
      <c r="GF128">
        <v>0.118689</v>
      </c>
      <c r="GG128">
        <v>0.10208200000000001</v>
      </c>
      <c r="GH128">
        <v>20464.400000000001</v>
      </c>
      <c r="GI128">
        <v>25189.9</v>
      </c>
      <c r="GJ128">
        <v>23370</v>
      </c>
      <c r="GK128">
        <v>29364</v>
      </c>
      <c r="GL128">
        <v>28137.599999999999</v>
      </c>
      <c r="GM128">
        <v>37527.9</v>
      </c>
      <c r="GN128">
        <v>33064.800000000003</v>
      </c>
      <c r="GO128">
        <v>43556.5</v>
      </c>
      <c r="GP128">
        <v>1.9194</v>
      </c>
      <c r="GQ128">
        <v>1.7397</v>
      </c>
      <c r="GR128">
        <v>-4.26471E-2</v>
      </c>
      <c r="GS128">
        <v>0</v>
      </c>
      <c r="GT128">
        <v>30.719200000000001</v>
      </c>
      <c r="GU128">
        <v>999.9</v>
      </c>
      <c r="GV128">
        <v>29.2</v>
      </c>
      <c r="GW128">
        <v>41.7</v>
      </c>
      <c r="GX128">
        <v>23.929400000000001</v>
      </c>
      <c r="GY128">
        <v>61.755899999999997</v>
      </c>
      <c r="GZ128">
        <v>34.819699999999997</v>
      </c>
      <c r="HA128">
        <v>1</v>
      </c>
      <c r="HB128">
        <v>0.74573199999999995</v>
      </c>
      <c r="HC128">
        <v>6.6799099999999996</v>
      </c>
      <c r="HD128">
        <v>20.185300000000002</v>
      </c>
      <c r="HE128">
        <v>5.2047100000000004</v>
      </c>
      <c r="HF128">
        <v>11.8782</v>
      </c>
      <c r="HG128">
        <v>4.9816000000000003</v>
      </c>
      <c r="HH128">
        <v>3.2822</v>
      </c>
      <c r="HI128">
        <v>9999</v>
      </c>
      <c r="HJ128">
        <v>9999</v>
      </c>
      <c r="HK128">
        <v>9999</v>
      </c>
      <c r="HL128">
        <v>999.9</v>
      </c>
      <c r="HM128">
        <v>1.8545499999999999</v>
      </c>
      <c r="HN128">
        <v>1.86066</v>
      </c>
      <c r="HO128">
        <v>1.8579699999999999</v>
      </c>
      <c r="HP128">
        <v>1.8591299999999999</v>
      </c>
      <c r="HQ128">
        <v>1.8585199999999999</v>
      </c>
      <c r="HR128">
        <v>1.85907</v>
      </c>
      <c r="HS128">
        <v>1.8573900000000001</v>
      </c>
      <c r="HT128">
        <v>1.86073</v>
      </c>
      <c r="HU128">
        <v>5</v>
      </c>
      <c r="HV128">
        <v>0</v>
      </c>
      <c r="HW128">
        <v>0</v>
      </c>
      <c r="HX128">
        <v>0</v>
      </c>
      <c r="HY128" t="s">
        <v>422</v>
      </c>
      <c r="HZ128" t="s">
        <v>423</v>
      </c>
      <c r="IA128" t="s">
        <v>424</v>
      </c>
      <c r="IB128" t="s">
        <v>424</v>
      </c>
      <c r="IC128" t="s">
        <v>424</v>
      </c>
      <c r="ID128" t="s">
        <v>424</v>
      </c>
      <c r="IE128">
        <v>0</v>
      </c>
      <c r="IF128">
        <v>100</v>
      </c>
      <c r="IG128">
        <v>100</v>
      </c>
      <c r="IH128">
        <v>-4.68</v>
      </c>
      <c r="II128">
        <v>2.7099999999999999E-2</v>
      </c>
      <c r="IJ128">
        <v>-1.4715205951865029</v>
      </c>
      <c r="IK128">
        <v>-4.1229525807901877E-3</v>
      </c>
      <c r="IL128">
        <v>1.8448211998558991E-6</v>
      </c>
      <c r="IM128">
        <v>-3.7020276670297668E-10</v>
      </c>
      <c r="IN128">
        <v>-0.1777941430917078</v>
      </c>
      <c r="IO128">
        <v>-1.3488639696665739E-2</v>
      </c>
      <c r="IP128">
        <v>1.1588640342490499E-3</v>
      </c>
      <c r="IQ128">
        <v>-1.0624341560077559E-5</v>
      </c>
      <c r="IR128">
        <v>2</v>
      </c>
      <c r="IS128">
        <v>1915</v>
      </c>
      <c r="IT128">
        <v>1</v>
      </c>
      <c r="IU128">
        <v>42</v>
      </c>
      <c r="IV128">
        <v>1.1000000000000001</v>
      </c>
      <c r="IW128">
        <v>1.2</v>
      </c>
      <c r="IX128">
        <v>2.94434</v>
      </c>
      <c r="IY128">
        <v>2.4401899999999999</v>
      </c>
      <c r="IZ128">
        <v>1.49414</v>
      </c>
      <c r="JA128">
        <v>2.2851599999999999</v>
      </c>
      <c r="JB128">
        <v>1.54419</v>
      </c>
      <c r="JC128">
        <v>2.4719199999999999</v>
      </c>
      <c r="JD128">
        <v>43.781700000000001</v>
      </c>
      <c r="JE128">
        <v>14.9201</v>
      </c>
      <c r="JF128">
        <v>18</v>
      </c>
      <c r="JG128">
        <v>510.83300000000003</v>
      </c>
      <c r="JH128">
        <v>420.38299999999998</v>
      </c>
      <c r="JI128">
        <v>21.460999999999999</v>
      </c>
      <c r="JJ128">
        <v>36.190199999999997</v>
      </c>
      <c r="JK128">
        <v>30.000399999999999</v>
      </c>
      <c r="JL128">
        <v>36.103999999999999</v>
      </c>
      <c r="JM128">
        <v>36.066299999999998</v>
      </c>
      <c r="JN128">
        <v>58.989899999999999</v>
      </c>
      <c r="JO128">
        <v>10.6189</v>
      </c>
      <c r="JP128">
        <v>2.7660100000000001</v>
      </c>
      <c r="JQ128">
        <v>21.4376</v>
      </c>
      <c r="JR128">
        <v>1500</v>
      </c>
      <c r="JS128">
        <v>20.894600000000001</v>
      </c>
      <c r="JT128">
        <v>98.040700000000001</v>
      </c>
      <c r="JU128">
        <v>97.915599999999998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2023-08-04T22:04:33Z</dcterms:created>
  <dcterms:modified xsi:type="dcterms:W3CDTF">2023-08-05T02:17:00Z</dcterms:modified>
</cp:coreProperties>
</file>