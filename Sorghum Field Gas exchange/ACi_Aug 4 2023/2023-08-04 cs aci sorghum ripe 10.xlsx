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4 2023 sorghum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iterateCount="1"/>
</workbook>
</file>

<file path=xl/calcChain.xml><?xml version="1.0" encoding="utf-8"?>
<calcChain xmlns="http://schemas.openxmlformats.org/spreadsheetml/2006/main">
  <c r="CZ128" i="1" l="1"/>
  <c r="CY128" i="1"/>
  <c r="CW128" i="1"/>
  <c r="CX128" i="1" s="1"/>
  <c r="AY128" i="1" s="1"/>
  <c r="BA128" i="1" s="1"/>
  <c r="BL128" i="1"/>
  <c r="BK128" i="1"/>
  <c r="BG128" i="1"/>
  <c r="BJ128" i="1" s="1"/>
  <c r="BD128" i="1"/>
  <c r="BC128" i="1"/>
  <c r="AW128" i="1"/>
  <c r="AQ128" i="1"/>
  <c r="AL128" i="1"/>
  <c r="AJ128" i="1"/>
  <c r="AB128" i="1"/>
  <c r="AA128" i="1"/>
  <c r="Z128" i="1"/>
  <c r="V128" i="1"/>
  <c r="S128" i="1"/>
  <c r="Q128" i="1"/>
  <c r="CZ127" i="1"/>
  <c r="V127" i="1" s="1"/>
  <c r="CY127" i="1"/>
  <c r="CW127" i="1"/>
  <c r="BL127" i="1"/>
  <c r="BK127" i="1"/>
  <c r="BJ127" i="1"/>
  <c r="BI127" i="1"/>
  <c r="BM127" i="1" s="1"/>
  <c r="BN127" i="1" s="1"/>
  <c r="BG127" i="1"/>
  <c r="BH127" i="1" s="1"/>
  <c r="BC127" i="1"/>
  <c r="AW127" i="1"/>
  <c r="AQ127" i="1"/>
  <c r="BD127" i="1" s="1"/>
  <c r="AL127" i="1"/>
  <c r="AJ127" i="1"/>
  <c r="N127" i="1" s="1"/>
  <c r="AB127" i="1"/>
  <c r="AA127" i="1"/>
  <c r="Z127" i="1"/>
  <c r="S127" i="1"/>
  <c r="Q127" i="1"/>
  <c r="CZ126" i="1"/>
  <c r="CY126" i="1"/>
  <c r="CX126" i="1"/>
  <c r="AY126" i="1" s="1"/>
  <c r="CW126" i="1"/>
  <c r="BL126" i="1"/>
  <c r="BK126" i="1"/>
  <c r="BH126" i="1"/>
  <c r="BG126" i="1"/>
  <c r="BC126" i="1"/>
  <c r="AW126" i="1"/>
  <c r="AQ126" i="1"/>
  <c r="BD126" i="1" s="1"/>
  <c r="AL126" i="1"/>
  <c r="AJ126" i="1"/>
  <c r="L126" i="1" s="1"/>
  <c r="K126" i="1" s="1"/>
  <c r="AD126" i="1" s="1"/>
  <c r="AB126" i="1"/>
  <c r="AA126" i="1"/>
  <c r="Z126" i="1"/>
  <c r="V126" i="1"/>
  <c r="S126" i="1"/>
  <c r="Q126" i="1"/>
  <c r="N126" i="1"/>
  <c r="M126" i="1"/>
  <c r="AZ126" i="1" s="1"/>
  <c r="CZ125" i="1"/>
  <c r="CY125" i="1"/>
  <c r="CW125" i="1"/>
  <c r="CX125" i="1" s="1"/>
  <c r="AY125" i="1" s="1"/>
  <c r="BL125" i="1"/>
  <c r="BK125" i="1"/>
  <c r="BG125" i="1"/>
  <c r="BJ125" i="1" s="1"/>
  <c r="BD125" i="1"/>
  <c r="BC125" i="1"/>
  <c r="AW125" i="1"/>
  <c r="BA125" i="1" s="1"/>
  <c r="AQ125" i="1"/>
  <c r="AL125" i="1"/>
  <c r="AJ125" i="1" s="1"/>
  <c r="AK125" i="1" s="1"/>
  <c r="AB125" i="1"/>
  <c r="AA125" i="1"/>
  <c r="S125" i="1"/>
  <c r="CZ124" i="1"/>
  <c r="CY124" i="1"/>
  <c r="CW124" i="1"/>
  <c r="CX124" i="1" s="1"/>
  <c r="AY124" i="1" s="1"/>
  <c r="BA124" i="1" s="1"/>
  <c r="BL124" i="1"/>
  <c r="BK124" i="1"/>
  <c r="BG124" i="1"/>
  <c r="BJ124" i="1" s="1"/>
  <c r="BC124" i="1"/>
  <c r="AW124" i="1"/>
  <c r="AQ124" i="1"/>
  <c r="BD124" i="1" s="1"/>
  <c r="AL124" i="1"/>
  <c r="AJ124" i="1"/>
  <c r="AB124" i="1"/>
  <c r="AA124" i="1"/>
  <c r="Z124" i="1"/>
  <c r="S124" i="1"/>
  <c r="Q124" i="1"/>
  <c r="CZ123" i="1"/>
  <c r="CY123" i="1"/>
  <c r="CW123" i="1"/>
  <c r="BL123" i="1"/>
  <c r="BK123" i="1"/>
  <c r="BJ123" i="1"/>
  <c r="BI123" i="1"/>
  <c r="BM123" i="1" s="1"/>
  <c r="BN123" i="1" s="1"/>
  <c r="BG123" i="1"/>
  <c r="BH123" i="1" s="1"/>
  <c r="BC123" i="1"/>
  <c r="AZ123" i="1"/>
  <c r="AW123" i="1"/>
  <c r="AQ123" i="1"/>
  <c r="BD123" i="1" s="1"/>
  <c r="AL123" i="1"/>
  <c r="AK123" i="1"/>
  <c r="AJ123" i="1"/>
  <c r="N123" i="1" s="1"/>
  <c r="AB123" i="1"/>
  <c r="AA123" i="1"/>
  <c r="Z123" i="1" s="1"/>
  <c r="S123" i="1"/>
  <c r="Q123" i="1"/>
  <c r="M123" i="1"/>
  <c r="CZ122" i="1"/>
  <c r="CY122" i="1"/>
  <c r="CX122" i="1"/>
  <c r="AY122" i="1" s="1"/>
  <c r="CW122" i="1"/>
  <c r="BL122" i="1"/>
  <c r="BK122" i="1"/>
  <c r="BH122" i="1"/>
  <c r="BG122" i="1"/>
  <c r="BC122" i="1"/>
  <c r="AW122" i="1"/>
  <c r="AQ122" i="1"/>
  <c r="BD122" i="1" s="1"/>
  <c r="AL122" i="1"/>
  <c r="AK122" i="1"/>
  <c r="AJ122" i="1"/>
  <c r="L122" i="1" s="1"/>
  <c r="K122" i="1" s="1"/>
  <c r="AD122" i="1" s="1"/>
  <c r="AB122" i="1"/>
  <c r="AA122" i="1"/>
  <c r="Z122" i="1" s="1"/>
  <c r="V122" i="1"/>
  <c r="S122" i="1"/>
  <c r="Q122" i="1"/>
  <c r="N122" i="1"/>
  <c r="M122" i="1"/>
  <c r="AZ122" i="1" s="1"/>
  <c r="CZ121" i="1"/>
  <c r="CY121" i="1"/>
  <c r="CW121" i="1"/>
  <c r="CX121" i="1" s="1"/>
  <c r="AY121" i="1" s="1"/>
  <c r="BA121" i="1" s="1"/>
  <c r="BL121" i="1"/>
  <c r="BK121" i="1"/>
  <c r="BG121" i="1"/>
  <c r="BJ121" i="1" s="1"/>
  <c r="BD121" i="1"/>
  <c r="BC121" i="1"/>
  <c r="AW121" i="1"/>
  <c r="AQ121" i="1"/>
  <c r="AL121" i="1"/>
  <c r="AJ121" i="1" s="1"/>
  <c r="AK121" i="1"/>
  <c r="AB121" i="1"/>
  <c r="AA121" i="1"/>
  <c r="S121" i="1"/>
  <c r="L121" i="1"/>
  <c r="K121" i="1" s="1"/>
  <c r="CZ120" i="1"/>
  <c r="CY120" i="1"/>
  <c r="CW120" i="1"/>
  <c r="CX120" i="1" s="1"/>
  <c r="AY120" i="1" s="1"/>
  <c r="BA120" i="1" s="1"/>
  <c r="BL120" i="1"/>
  <c r="BK120" i="1"/>
  <c r="BG120" i="1"/>
  <c r="BJ120" i="1" s="1"/>
  <c r="BC120" i="1"/>
  <c r="AW120" i="1"/>
  <c r="AQ120" i="1"/>
  <c r="BD120" i="1" s="1"/>
  <c r="AL120" i="1"/>
  <c r="AJ120" i="1"/>
  <c r="AB120" i="1"/>
  <c r="AA120" i="1"/>
  <c r="Z120" i="1"/>
  <c r="S120" i="1"/>
  <c r="Q120" i="1"/>
  <c r="CZ119" i="1"/>
  <c r="CY119" i="1"/>
  <c r="CW119" i="1"/>
  <c r="BL119" i="1"/>
  <c r="BK119" i="1"/>
  <c r="BJ119" i="1"/>
  <c r="BI119" i="1"/>
  <c r="BM119" i="1" s="1"/>
  <c r="BN119" i="1" s="1"/>
  <c r="BG119" i="1"/>
  <c r="BH119" i="1" s="1"/>
  <c r="BC119" i="1"/>
  <c r="AW119" i="1"/>
  <c r="AQ119" i="1"/>
  <c r="BD119" i="1" s="1"/>
  <c r="AL119" i="1"/>
  <c r="AJ119" i="1" s="1"/>
  <c r="AB119" i="1"/>
  <c r="AA119" i="1"/>
  <c r="Z119" i="1" s="1"/>
  <c r="S119" i="1"/>
  <c r="CZ118" i="1"/>
  <c r="CY118" i="1"/>
  <c r="CX118" i="1"/>
  <c r="AY118" i="1" s="1"/>
  <c r="CW118" i="1"/>
  <c r="BL118" i="1"/>
  <c r="BK118" i="1"/>
  <c r="BH118" i="1"/>
  <c r="BG118" i="1"/>
  <c r="BC118" i="1"/>
  <c r="AW118" i="1"/>
  <c r="AQ118" i="1"/>
  <c r="BD118" i="1" s="1"/>
  <c r="AL118" i="1"/>
  <c r="AK118" i="1"/>
  <c r="AJ118" i="1"/>
  <c r="L118" i="1" s="1"/>
  <c r="K118" i="1" s="1"/>
  <c r="AD118" i="1" s="1"/>
  <c r="AB118" i="1"/>
  <c r="AA118" i="1"/>
  <c r="Z118" i="1" s="1"/>
  <c r="V118" i="1"/>
  <c r="S118" i="1"/>
  <c r="Q118" i="1"/>
  <c r="N118" i="1"/>
  <c r="M118" i="1"/>
  <c r="AZ118" i="1" s="1"/>
  <c r="CZ117" i="1"/>
  <c r="CY117" i="1"/>
  <c r="CW117" i="1"/>
  <c r="CX117" i="1" s="1"/>
  <c r="AY117" i="1" s="1"/>
  <c r="BA117" i="1" s="1"/>
  <c r="BL117" i="1"/>
  <c r="BK117" i="1"/>
  <c r="BG117" i="1"/>
  <c r="BJ117" i="1" s="1"/>
  <c r="BD117" i="1"/>
  <c r="BC117" i="1"/>
  <c r="AW117" i="1"/>
  <c r="AQ117" i="1"/>
  <c r="AL117" i="1"/>
  <c r="AJ117" i="1" s="1"/>
  <c r="AK117" i="1"/>
  <c r="AB117" i="1"/>
  <c r="AA117" i="1"/>
  <c r="S117" i="1"/>
  <c r="L117" i="1"/>
  <c r="K117" i="1" s="1"/>
  <c r="CZ116" i="1"/>
  <c r="CY116" i="1"/>
  <c r="CW116" i="1"/>
  <c r="CX116" i="1" s="1"/>
  <c r="AY116" i="1" s="1"/>
  <c r="BA116" i="1" s="1"/>
  <c r="BL116" i="1"/>
  <c r="BK116" i="1"/>
  <c r="BG116" i="1"/>
  <c r="BJ116" i="1" s="1"/>
  <c r="BC116" i="1"/>
  <c r="AW116" i="1"/>
  <c r="AQ116" i="1"/>
  <c r="BD116" i="1" s="1"/>
  <c r="AL116" i="1"/>
  <c r="AJ116" i="1"/>
  <c r="AB116" i="1"/>
  <c r="AA116" i="1"/>
  <c r="Z116" i="1"/>
  <c r="S116" i="1"/>
  <c r="Q116" i="1"/>
  <c r="CZ115" i="1"/>
  <c r="CY115" i="1"/>
  <c r="CW115" i="1"/>
  <c r="BL115" i="1"/>
  <c r="BK115" i="1"/>
  <c r="BJ115" i="1"/>
  <c r="BI115" i="1"/>
  <c r="BM115" i="1" s="1"/>
  <c r="BN115" i="1" s="1"/>
  <c r="BG115" i="1"/>
  <c r="BH115" i="1" s="1"/>
  <c r="BC115" i="1"/>
  <c r="AW115" i="1"/>
  <c r="AQ115" i="1"/>
  <c r="BD115" i="1" s="1"/>
  <c r="AL115" i="1"/>
  <c r="AJ115" i="1" s="1"/>
  <c r="AB115" i="1"/>
  <c r="AA115" i="1"/>
  <c r="Z115" i="1" s="1"/>
  <c r="S115" i="1"/>
  <c r="Q115" i="1"/>
  <c r="CZ114" i="1"/>
  <c r="CY114" i="1"/>
  <c r="CW114" i="1"/>
  <c r="V114" i="1" s="1"/>
  <c r="BL114" i="1"/>
  <c r="BK114" i="1"/>
  <c r="BG114" i="1"/>
  <c r="BJ114" i="1" s="1"/>
  <c r="BC114" i="1"/>
  <c r="AW114" i="1"/>
  <c r="AQ114" i="1"/>
  <c r="BD114" i="1" s="1"/>
  <c r="AL114" i="1"/>
  <c r="AK114" i="1"/>
  <c r="AJ114" i="1"/>
  <c r="L114" i="1" s="1"/>
  <c r="AD114" i="1"/>
  <c r="AB114" i="1"/>
  <c r="AA114" i="1"/>
  <c r="Z114" i="1" s="1"/>
  <c r="S114" i="1"/>
  <c r="Q114" i="1"/>
  <c r="N114" i="1"/>
  <c r="M114" i="1"/>
  <c r="AZ114" i="1" s="1"/>
  <c r="K114" i="1"/>
  <c r="CZ113" i="1"/>
  <c r="CY113" i="1"/>
  <c r="CW113" i="1"/>
  <c r="BL113" i="1"/>
  <c r="BK113" i="1"/>
  <c r="BG113" i="1"/>
  <c r="BC113" i="1"/>
  <c r="AW113" i="1"/>
  <c r="AQ113" i="1"/>
  <c r="BD113" i="1" s="1"/>
  <c r="AL113" i="1"/>
  <c r="AJ113" i="1" s="1"/>
  <c r="N113" i="1" s="1"/>
  <c r="AB113" i="1"/>
  <c r="AA113" i="1"/>
  <c r="S113" i="1"/>
  <c r="Q113" i="1"/>
  <c r="CZ112" i="1"/>
  <c r="CY112" i="1"/>
  <c r="CW112" i="1"/>
  <c r="BL112" i="1"/>
  <c r="BK112" i="1"/>
  <c r="BG112" i="1"/>
  <c r="BC112" i="1"/>
  <c r="AW112" i="1"/>
  <c r="AQ112" i="1"/>
  <c r="BD112" i="1" s="1"/>
  <c r="AL112" i="1"/>
  <c r="AK112" i="1"/>
  <c r="AJ112" i="1"/>
  <c r="AB112" i="1"/>
  <c r="AA112" i="1"/>
  <c r="Z112" i="1"/>
  <c r="S112" i="1"/>
  <c r="Q112" i="1"/>
  <c r="CZ111" i="1"/>
  <c r="CY111" i="1"/>
  <c r="CW111" i="1"/>
  <c r="BM111" i="1"/>
  <c r="BN111" i="1" s="1"/>
  <c r="BL111" i="1"/>
  <c r="BK111" i="1"/>
  <c r="BI111" i="1"/>
  <c r="BG111" i="1"/>
  <c r="BH111" i="1" s="1"/>
  <c r="BC111" i="1"/>
  <c r="AW111" i="1"/>
  <c r="AQ111" i="1"/>
  <c r="BD111" i="1" s="1"/>
  <c r="AL111" i="1"/>
  <c r="AJ111" i="1" s="1"/>
  <c r="N111" i="1" s="1"/>
  <c r="AB111" i="1"/>
  <c r="AA111" i="1"/>
  <c r="Z111" i="1" s="1"/>
  <c r="S111" i="1"/>
  <c r="CZ110" i="1"/>
  <c r="CY110" i="1"/>
  <c r="CW110" i="1"/>
  <c r="BL110" i="1"/>
  <c r="BK110" i="1"/>
  <c r="BG110" i="1"/>
  <c r="BC110" i="1"/>
  <c r="AW110" i="1"/>
  <c r="AQ110" i="1"/>
  <c r="BD110" i="1" s="1"/>
  <c r="AL110" i="1"/>
  <c r="AK110" i="1"/>
  <c r="AJ110" i="1"/>
  <c r="AB110" i="1"/>
  <c r="AA110" i="1"/>
  <c r="Z110" i="1"/>
  <c r="V110" i="1"/>
  <c r="S110" i="1"/>
  <c r="Q110" i="1"/>
  <c r="N110" i="1"/>
  <c r="M110" i="1"/>
  <c r="AZ110" i="1" s="1"/>
  <c r="L110" i="1"/>
  <c r="K110" i="1"/>
  <c r="CZ109" i="1"/>
  <c r="CY109" i="1"/>
  <c r="CW109" i="1"/>
  <c r="BL109" i="1"/>
  <c r="BK109" i="1"/>
  <c r="BJ109" i="1"/>
  <c r="BI109" i="1"/>
  <c r="BM109" i="1" s="1"/>
  <c r="BN109" i="1" s="1"/>
  <c r="BG109" i="1"/>
  <c r="BH109" i="1" s="1"/>
  <c r="BD109" i="1"/>
  <c r="BC109" i="1"/>
  <c r="AW109" i="1"/>
  <c r="AQ109" i="1"/>
  <c r="AL109" i="1"/>
  <c r="AJ109" i="1" s="1"/>
  <c r="AB109" i="1"/>
  <c r="AA109" i="1"/>
  <c r="Z109" i="1" s="1"/>
  <c r="S109" i="1"/>
  <c r="CZ108" i="1"/>
  <c r="CY108" i="1"/>
  <c r="CW108" i="1"/>
  <c r="BL108" i="1"/>
  <c r="BK108" i="1"/>
  <c r="BI108" i="1"/>
  <c r="BM108" i="1" s="1"/>
  <c r="BN108" i="1" s="1"/>
  <c r="BG108" i="1"/>
  <c r="BC108" i="1"/>
  <c r="AW108" i="1"/>
  <c r="AQ108" i="1"/>
  <c r="BD108" i="1" s="1"/>
  <c r="AL108" i="1"/>
  <c r="AJ108" i="1"/>
  <c r="L108" i="1" s="1"/>
  <c r="K108" i="1" s="1"/>
  <c r="AB108" i="1"/>
  <c r="AA108" i="1"/>
  <c r="Z108" i="1"/>
  <c r="S108" i="1"/>
  <c r="Q108" i="1"/>
  <c r="N108" i="1"/>
  <c r="M108" i="1"/>
  <c r="AZ108" i="1" s="1"/>
  <c r="CZ107" i="1"/>
  <c r="CY107" i="1"/>
  <c r="CW107" i="1"/>
  <c r="BL107" i="1"/>
  <c r="BK107" i="1"/>
  <c r="BG107" i="1"/>
  <c r="BC107" i="1"/>
  <c r="AW107" i="1"/>
  <c r="AQ107" i="1"/>
  <c r="BD107" i="1" s="1"/>
  <c r="AL107" i="1"/>
  <c r="AJ107" i="1" s="1"/>
  <c r="AK107" i="1"/>
  <c r="AB107" i="1"/>
  <c r="AA107" i="1"/>
  <c r="Z107" i="1" s="1"/>
  <c r="S107" i="1"/>
  <c r="CZ106" i="1"/>
  <c r="CY106" i="1"/>
  <c r="CW106" i="1"/>
  <c r="CX106" i="1" s="1"/>
  <c r="AY106" i="1" s="1"/>
  <c r="BA106" i="1" s="1"/>
  <c r="BL106" i="1"/>
  <c r="BK106" i="1"/>
  <c r="BG106" i="1"/>
  <c r="BJ106" i="1" s="1"/>
  <c r="BC106" i="1"/>
  <c r="AW106" i="1"/>
  <c r="AQ106" i="1"/>
  <c r="BD106" i="1" s="1"/>
  <c r="AL106" i="1"/>
  <c r="AK106" i="1"/>
  <c r="AJ106" i="1"/>
  <c r="L106" i="1" s="1"/>
  <c r="K106" i="1" s="1"/>
  <c r="AB106" i="1"/>
  <c r="AA106" i="1"/>
  <c r="Z106" i="1" s="1"/>
  <c r="S106" i="1"/>
  <c r="Q106" i="1"/>
  <c r="N106" i="1"/>
  <c r="M106" i="1"/>
  <c r="AZ106" i="1" s="1"/>
  <c r="BB106" i="1" s="1"/>
  <c r="CZ105" i="1"/>
  <c r="CY105" i="1"/>
  <c r="CW105" i="1"/>
  <c r="CX105" i="1" s="1"/>
  <c r="AY105" i="1" s="1"/>
  <c r="BA105" i="1" s="1"/>
  <c r="BL105" i="1"/>
  <c r="BK105" i="1"/>
  <c r="BI105" i="1"/>
  <c r="BM105" i="1" s="1"/>
  <c r="BN105" i="1" s="1"/>
  <c r="BG105" i="1"/>
  <c r="BH105" i="1" s="1"/>
  <c r="BC105" i="1"/>
  <c r="AW105" i="1"/>
  <c r="AQ105" i="1"/>
  <c r="BD105" i="1" s="1"/>
  <c r="AL105" i="1"/>
  <c r="AJ105" i="1" s="1"/>
  <c r="AK105" i="1" s="1"/>
  <c r="AB105" i="1"/>
  <c r="AA105" i="1"/>
  <c r="Z105" i="1" s="1"/>
  <c r="S105" i="1"/>
  <c r="CZ104" i="1"/>
  <c r="CY104" i="1"/>
  <c r="CW104" i="1"/>
  <c r="BL104" i="1"/>
  <c r="BK104" i="1"/>
  <c r="BG104" i="1"/>
  <c r="BC104" i="1"/>
  <c r="AW104" i="1"/>
  <c r="AQ104" i="1"/>
  <c r="BD104" i="1" s="1"/>
  <c r="AL104" i="1"/>
  <c r="AK104" i="1"/>
  <c r="AJ104" i="1"/>
  <c r="L104" i="1" s="1"/>
  <c r="K104" i="1" s="1"/>
  <c r="AB104" i="1"/>
  <c r="AA104" i="1"/>
  <c r="Z104" i="1" s="1"/>
  <c r="S104" i="1"/>
  <c r="Q104" i="1"/>
  <c r="N104" i="1"/>
  <c r="M104" i="1"/>
  <c r="AZ104" i="1" s="1"/>
  <c r="CZ103" i="1"/>
  <c r="CY103" i="1"/>
  <c r="CW103" i="1"/>
  <c r="BL103" i="1"/>
  <c r="BK103" i="1"/>
  <c r="BI103" i="1"/>
  <c r="BM103" i="1" s="1"/>
  <c r="BN103" i="1" s="1"/>
  <c r="BG103" i="1"/>
  <c r="BH103" i="1" s="1"/>
  <c r="BC103" i="1"/>
  <c r="AW103" i="1"/>
  <c r="AQ103" i="1"/>
  <c r="BD103" i="1" s="1"/>
  <c r="AL103" i="1"/>
  <c r="AJ103" i="1" s="1"/>
  <c r="N103" i="1" s="1"/>
  <c r="AB103" i="1"/>
  <c r="AA103" i="1"/>
  <c r="Z103" i="1" s="1"/>
  <c r="S103" i="1"/>
  <c r="L103" i="1"/>
  <c r="K103" i="1"/>
  <c r="AD103" i="1" s="1"/>
  <c r="CZ102" i="1"/>
  <c r="CY102" i="1"/>
  <c r="CW102" i="1"/>
  <c r="BL102" i="1"/>
  <c r="BK102" i="1"/>
  <c r="BG102" i="1"/>
  <c r="BJ102" i="1" s="1"/>
  <c r="BC102" i="1"/>
  <c r="AW102" i="1"/>
  <c r="AQ102" i="1"/>
  <c r="BD102" i="1" s="1"/>
  <c r="AL102" i="1"/>
  <c r="AK102" i="1"/>
  <c r="AJ102" i="1"/>
  <c r="L102" i="1" s="1"/>
  <c r="AB102" i="1"/>
  <c r="AA102" i="1"/>
  <c r="Z102" i="1"/>
  <c r="S102" i="1"/>
  <c r="Q102" i="1"/>
  <c r="N102" i="1"/>
  <c r="M102" i="1"/>
  <c r="AZ102" i="1" s="1"/>
  <c r="K102" i="1"/>
  <c r="AD102" i="1" s="1"/>
  <c r="CZ101" i="1"/>
  <c r="CY101" i="1"/>
  <c r="CW101" i="1"/>
  <c r="BL101" i="1"/>
  <c r="BK101" i="1"/>
  <c r="BG101" i="1"/>
  <c r="BH101" i="1" s="1"/>
  <c r="BD101" i="1"/>
  <c r="BC101" i="1"/>
  <c r="AW101" i="1"/>
  <c r="AQ101" i="1"/>
  <c r="AL101" i="1"/>
  <c r="AJ101" i="1" s="1"/>
  <c r="N101" i="1" s="1"/>
  <c r="AB101" i="1"/>
  <c r="AA101" i="1"/>
  <c r="S101" i="1"/>
  <c r="CZ100" i="1"/>
  <c r="CY100" i="1"/>
  <c r="CX100" i="1" s="1"/>
  <c r="AY100" i="1" s="1"/>
  <c r="BA100" i="1" s="1"/>
  <c r="CW100" i="1"/>
  <c r="BL100" i="1"/>
  <c r="BK100" i="1"/>
  <c r="BG100" i="1"/>
  <c r="BC100" i="1"/>
  <c r="AW100" i="1"/>
  <c r="AQ100" i="1"/>
  <c r="BD100" i="1" s="1"/>
  <c r="AL100" i="1"/>
  <c r="AK100" i="1"/>
  <c r="AJ100" i="1"/>
  <c r="L100" i="1" s="1"/>
  <c r="AB100" i="1"/>
  <c r="AA100" i="1"/>
  <c r="Z100" i="1"/>
  <c r="V100" i="1"/>
  <c r="S100" i="1"/>
  <c r="N100" i="1"/>
  <c r="K100" i="1"/>
  <c r="AD100" i="1" s="1"/>
  <c r="CZ99" i="1"/>
  <c r="CY99" i="1"/>
  <c r="CW99" i="1"/>
  <c r="BM99" i="1"/>
  <c r="BN99" i="1" s="1"/>
  <c r="BL99" i="1"/>
  <c r="BK99" i="1"/>
  <c r="BJ99" i="1"/>
  <c r="BI99" i="1"/>
  <c r="BG99" i="1"/>
  <c r="BH99" i="1" s="1"/>
  <c r="BD99" i="1"/>
  <c r="BC99" i="1"/>
  <c r="AW99" i="1"/>
  <c r="AQ99" i="1"/>
  <c r="AL99" i="1"/>
  <c r="AJ99" i="1" s="1"/>
  <c r="N99" i="1" s="1"/>
  <c r="AK99" i="1"/>
  <c r="AB99" i="1"/>
  <c r="AA99" i="1"/>
  <c r="S99" i="1"/>
  <c r="Q99" i="1"/>
  <c r="M99" i="1"/>
  <c r="AZ99" i="1" s="1"/>
  <c r="CZ98" i="1"/>
  <c r="CY98" i="1"/>
  <c r="CX98" i="1"/>
  <c r="AY98" i="1" s="1"/>
  <c r="CW98" i="1"/>
  <c r="BL98" i="1"/>
  <c r="BK98" i="1"/>
  <c r="BH98" i="1"/>
  <c r="BG98" i="1"/>
  <c r="BJ98" i="1" s="1"/>
  <c r="BC98" i="1"/>
  <c r="BA98" i="1"/>
  <c r="AW98" i="1"/>
  <c r="AQ98" i="1"/>
  <c r="BD98" i="1" s="1"/>
  <c r="AL98" i="1"/>
  <c r="AJ98" i="1" s="1"/>
  <c r="AB98" i="1"/>
  <c r="AA98" i="1"/>
  <c r="Z98" i="1" s="1"/>
  <c r="V98" i="1"/>
  <c r="S98" i="1"/>
  <c r="Q98" i="1"/>
  <c r="CZ97" i="1"/>
  <c r="CY97" i="1"/>
  <c r="CX97" i="1" s="1"/>
  <c r="AY97" i="1" s="1"/>
  <c r="BA97" i="1" s="1"/>
  <c r="CW97" i="1"/>
  <c r="BL97" i="1"/>
  <c r="BK97" i="1"/>
  <c r="BI97" i="1"/>
  <c r="BM97" i="1" s="1"/>
  <c r="BN97" i="1" s="1"/>
  <c r="BH97" i="1"/>
  <c r="BG97" i="1"/>
  <c r="BJ97" i="1" s="1"/>
  <c r="BD97" i="1"/>
  <c r="BC97" i="1"/>
  <c r="AW97" i="1"/>
  <c r="AQ97" i="1"/>
  <c r="AL97" i="1"/>
  <c r="AJ97" i="1" s="1"/>
  <c r="AB97" i="1"/>
  <c r="Z97" i="1" s="1"/>
  <c r="AA97" i="1"/>
  <c r="V97" i="1"/>
  <c r="S97" i="1"/>
  <c r="CZ96" i="1"/>
  <c r="CY96" i="1"/>
  <c r="CW96" i="1"/>
  <c r="BL96" i="1"/>
  <c r="BK96" i="1"/>
  <c r="BG96" i="1"/>
  <c r="BC96" i="1"/>
  <c r="AW96" i="1"/>
  <c r="AQ96" i="1"/>
  <c r="BD96" i="1" s="1"/>
  <c r="AL96" i="1"/>
  <c r="AJ96" i="1"/>
  <c r="L96" i="1" s="1"/>
  <c r="K96" i="1" s="1"/>
  <c r="AB96" i="1"/>
  <c r="AA96" i="1"/>
  <c r="Z96" i="1"/>
  <c r="S96" i="1"/>
  <c r="Q96" i="1"/>
  <c r="M96" i="1"/>
  <c r="AZ96" i="1" s="1"/>
  <c r="CZ95" i="1"/>
  <c r="CY95" i="1"/>
  <c r="CW95" i="1"/>
  <c r="CX95" i="1" s="1"/>
  <c r="AY95" i="1" s="1"/>
  <c r="BL95" i="1"/>
  <c r="BK95" i="1"/>
  <c r="BG95" i="1"/>
  <c r="BJ95" i="1" s="1"/>
  <c r="BC95" i="1"/>
  <c r="AW95" i="1"/>
  <c r="AQ95" i="1"/>
  <c r="BD95" i="1" s="1"/>
  <c r="AL95" i="1"/>
  <c r="AK95" i="1"/>
  <c r="AJ95" i="1"/>
  <c r="L95" i="1" s="1"/>
  <c r="K95" i="1" s="1"/>
  <c r="AB95" i="1"/>
  <c r="AA95" i="1"/>
  <c r="Z95" i="1" s="1"/>
  <c r="S95" i="1"/>
  <c r="Q95" i="1"/>
  <c r="N95" i="1"/>
  <c r="M95" i="1"/>
  <c r="AZ95" i="1" s="1"/>
  <c r="BB95" i="1" s="1"/>
  <c r="CZ94" i="1"/>
  <c r="CY94" i="1"/>
  <c r="CW94" i="1"/>
  <c r="CX94" i="1" s="1"/>
  <c r="AY94" i="1" s="1"/>
  <c r="BL94" i="1"/>
  <c r="BK94" i="1"/>
  <c r="BG94" i="1"/>
  <c r="BJ94" i="1" s="1"/>
  <c r="BC94" i="1"/>
  <c r="BA94" i="1"/>
  <c r="AW94" i="1"/>
  <c r="AQ94" i="1"/>
  <c r="BD94" i="1" s="1"/>
  <c r="AL94" i="1"/>
  <c r="AJ94" i="1" s="1"/>
  <c r="AB94" i="1"/>
  <c r="AA94" i="1"/>
  <c r="Z94" i="1" s="1"/>
  <c r="S94" i="1"/>
  <c r="Q94" i="1"/>
  <c r="CZ93" i="1"/>
  <c r="CY93" i="1"/>
  <c r="CW93" i="1"/>
  <c r="BL93" i="1"/>
  <c r="BK93" i="1"/>
  <c r="BI93" i="1"/>
  <c r="BM93" i="1" s="1"/>
  <c r="BN93" i="1" s="1"/>
  <c r="BG93" i="1"/>
  <c r="BH93" i="1" s="1"/>
  <c r="BD93" i="1"/>
  <c r="BC93" i="1"/>
  <c r="AW93" i="1"/>
  <c r="AQ93" i="1"/>
  <c r="AL93" i="1"/>
  <c r="AJ93" i="1" s="1"/>
  <c r="AB93" i="1"/>
  <c r="AA93" i="1"/>
  <c r="Z93" i="1" s="1"/>
  <c r="V93" i="1"/>
  <c r="S93" i="1"/>
  <c r="Q93" i="1"/>
  <c r="CZ92" i="1"/>
  <c r="CY92" i="1"/>
  <c r="CW92" i="1"/>
  <c r="BL92" i="1"/>
  <c r="BK92" i="1"/>
  <c r="BG92" i="1"/>
  <c r="BC92" i="1"/>
  <c r="AW92" i="1"/>
  <c r="AQ92" i="1"/>
  <c r="BD92" i="1" s="1"/>
  <c r="AL92" i="1"/>
  <c r="AJ92" i="1"/>
  <c r="L92" i="1" s="1"/>
  <c r="K92" i="1" s="1"/>
  <c r="AB92" i="1"/>
  <c r="AA92" i="1"/>
  <c r="Z92" i="1"/>
  <c r="S92" i="1"/>
  <c r="Q92" i="1"/>
  <c r="M92" i="1"/>
  <c r="AZ92" i="1" s="1"/>
  <c r="CZ91" i="1"/>
  <c r="CY91" i="1"/>
  <c r="CW91" i="1"/>
  <c r="BL91" i="1"/>
  <c r="BK91" i="1"/>
  <c r="BJ91" i="1"/>
  <c r="BI91" i="1"/>
  <c r="BM91" i="1" s="1"/>
  <c r="BN91" i="1" s="1"/>
  <c r="BG91" i="1"/>
  <c r="BH91" i="1" s="1"/>
  <c r="BC91" i="1"/>
  <c r="AW91" i="1"/>
  <c r="AQ91" i="1"/>
  <c r="BD91" i="1" s="1"/>
  <c r="AL91" i="1"/>
  <c r="AK91" i="1"/>
  <c r="AJ91" i="1"/>
  <c r="L91" i="1" s="1"/>
  <c r="AB91" i="1"/>
  <c r="AA91" i="1"/>
  <c r="Z91" i="1" s="1"/>
  <c r="S91" i="1"/>
  <c r="Q91" i="1"/>
  <c r="N91" i="1"/>
  <c r="M91" i="1"/>
  <c r="AZ91" i="1" s="1"/>
  <c r="K91" i="1"/>
  <c r="CZ90" i="1"/>
  <c r="CY90" i="1"/>
  <c r="CX90" i="1"/>
  <c r="AY90" i="1" s="1"/>
  <c r="CW90" i="1"/>
  <c r="BL90" i="1"/>
  <c r="BK90" i="1"/>
  <c r="BH90" i="1"/>
  <c r="BG90" i="1"/>
  <c r="BC90" i="1"/>
  <c r="BA90" i="1"/>
  <c r="AW90" i="1"/>
  <c r="AQ90" i="1"/>
  <c r="BD90" i="1" s="1"/>
  <c r="AL90" i="1"/>
  <c r="AJ90" i="1" s="1"/>
  <c r="M90" i="1" s="1"/>
  <c r="AZ90" i="1" s="1"/>
  <c r="BB90" i="1" s="1"/>
  <c r="AK90" i="1"/>
  <c r="AB90" i="1"/>
  <c r="AA90" i="1"/>
  <c r="Z90" i="1" s="1"/>
  <c r="V90" i="1"/>
  <c r="S90" i="1"/>
  <c r="Q90" i="1"/>
  <c r="N90" i="1"/>
  <c r="L90" i="1"/>
  <c r="K90" i="1" s="1"/>
  <c r="CZ89" i="1"/>
  <c r="CY89" i="1"/>
  <c r="CX89" i="1" s="1"/>
  <c r="CW89" i="1"/>
  <c r="BN89" i="1"/>
  <c r="BM89" i="1"/>
  <c r="BL89" i="1"/>
  <c r="BK89" i="1"/>
  <c r="BI89" i="1"/>
  <c r="BH89" i="1"/>
  <c r="BG89" i="1"/>
  <c r="BJ89" i="1" s="1"/>
  <c r="BD89" i="1"/>
  <c r="BC89" i="1"/>
  <c r="AY89" i="1"/>
  <c r="AW89" i="1"/>
  <c r="BA89" i="1" s="1"/>
  <c r="AQ89" i="1"/>
  <c r="AL89" i="1"/>
  <c r="AJ89" i="1"/>
  <c r="M89" i="1" s="1"/>
  <c r="AZ89" i="1" s="1"/>
  <c r="BB89" i="1" s="1"/>
  <c r="AB89" i="1"/>
  <c r="AA89" i="1"/>
  <c r="Z89" i="1"/>
  <c r="V89" i="1"/>
  <c r="S89" i="1"/>
  <c r="L89" i="1"/>
  <c r="K89" i="1" s="1"/>
  <c r="CZ88" i="1"/>
  <c r="CY88" i="1"/>
  <c r="CW88" i="1"/>
  <c r="BL88" i="1"/>
  <c r="BK88" i="1"/>
  <c r="BJ88" i="1"/>
  <c r="BI88" i="1"/>
  <c r="BM88" i="1" s="1"/>
  <c r="BN88" i="1" s="1"/>
  <c r="BG88" i="1"/>
  <c r="BH88" i="1" s="1"/>
  <c r="BD88" i="1"/>
  <c r="BC88" i="1"/>
  <c r="AW88" i="1"/>
  <c r="AQ88" i="1"/>
  <c r="AL88" i="1"/>
  <c r="AJ88" i="1" s="1"/>
  <c r="AB88" i="1"/>
  <c r="AA88" i="1"/>
  <c r="Z88" i="1"/>
  <c r="S88" i="1"/>
  <c r="CZ87" i="1"/>
  <c r="CY87" i="1"/>
  <c r="CX87" i="1"/>
  <c r="AY87" i="1" s="1"/>
  <c r="BA87" i="1" s="1"/>
  <c r="CW87" i="1"/>
  <c r="BL87" i="1"/>
  <c r="BK87" i="1"/>
  <c r="BG87" i="1"/>
  <c r="BH87" i="1" s="1"/>
  <c r="BC87" i="1"/>
  <c r="AW87" i="1"/>
  <c r="AQ87" i="1"/>
  <c r="BD87" i="1" s="1"/>
  <c r="AL87" i="1"/>
  <c r="AJ87" i="1"/>
  <c r="L87" i="1" s="1"/>
  <c r="K87" i="1" s="1"/>
  <c r="AB87" i="1"/>
  <c r="AA87" i="1"/>
  <c r="Z87" i="1"/>
  <c r="V87" i="1"/>
  <c r="S87" i="1"/>
  <c r="Q87" i="1"/>
  <c r="N87" i="1"/>
  <c r="M87" i="1"/>
  <c r="AZ87" i="1" s="1"/>
  <c r="CZ86" i="1"/>
  <c r="CY86" i="1"/>
  <c r="CW86" i="1"/>
  <c r="V86" i="1" s="1"/>
  <c r="BL86" i="1"/>
  <c r="BK86" i="1"/>
  <c r="BJ86" i="1"/>
  <c r="BG86" i="1"/>
  <c r="BI86" i="1" s="1"/>
  <c r="BM86" i="1" s="1"/>
  <c r="BN86" i="1" s="1"/>
  <c r="BD86" i="1"/>
  <c r="BC86" i="1"/>
  <c r="AW86" i="1"/>
  <c r="AQ86" i="1"/>
  <c r="AL86" i="1"/>
  <c r="AJ86" i="1" s="1"/>
  <c r="M86" i="1" s="1"/>
  <c r="AZ86" i="1" s="1"/>
  <c r="AB86" i="1"/>
  <c r="AA86" i="1"/>
  <c r="Z86" i="1" s="1"/>
  <c r="S86" i="1"/>
  <c r="Q86" i="1"/>
  <c r="L86" i="1"/>
  <c r="K86" i="1" s="1"/>
  <c r="CZ85" i="1"/>
  <c r="CY85" i="1"/>
  <c r="CW85" i="1"/>
  <c r="CX85" i="1" s="1"/>
  <c r="AY85" i="1" s="1"/>
  <c r="BA85" i="1" s="1"/>
  <c r="BL85" i="1"/>
  <c r="BK85" i="1"/>
  <c r="BI85" i="1"/>
  <c r="BM85" i="1" s="1"/>
  <c r="BN85" i="1" s="1"/>
  <c r="BH85" i="1"/>
  <c r="BG85" i="1"/>
  <c r="BJ85" i="1" s="1"/>
  <c r="BC85" i="1"/>
  <c r="AW85" i="1"/>
  <c r="AQ85" i="1"/>
  <c r="BD85" i="1" s="1"/>
  <c r="AL85" i="1"/>
  <c r="AJ85" i="1" s="1"/>
  <c r="AB85" i="1"/>
  <c r="Z85" i="1" s="1"/>
  <c r="AA85" i="1"/>
  <c r="V85" i="1"/>
  <c r="S85" i="1"/>
  <c r="CZ84" i="1"/>
  <c r="V84" i="1" s="1"/>
  <c r="CY84" i="1"/>
  <c r="CX84" i="1" s="1"/>
  <c r="AY84" i="1" s="1"/>
  <c r="BA84" i="1" s="1"/>
  <c r="CW84" i="1"/>
  <c r="BL84" i="1"/>
  <c r="BK84" i="1"/>
  <c r="BJ84" i="1"/>
  <c r="BI84" i="1"/>
  <c r="BM84" i="1" s="1"/>
  <c r="BN84" i="1" s="1"/>
  <c r="BH84" i="1"/>
  <c r="BG84" i="1"/>
  <c r="BD84" i="1"/>
  <c r="BC84" i="1"/>
  <c r="AW84" i="1"/>
  <c r="AQ84" i="1"/>
  <c r="AL84" i="1"/>
  <c r="AJ84" i="1" s="1"/>
  <c r="AB84" i="1"/>
  <c r="Z84" i="1" s="1"/>
  <c r="AA84" i="1"/>
  <c r="S84" i="1"/>
  <c r="CZ83" i="1"/>
  <c r="CY83" i="1"/>
  <c r="CW83" i="1"/>
  <c r="CX83" i="1" s="1"/>
  <c r="AY83" i="1" s="1"/>
  <c r="BL83" i="1"/>
  <c r="BK83" i="1"/>
  <c r="BI83" i="1"/>
  <c r="BM83" i="1" s="1"/>
  <c r="BN83" i="1" s="1"/>
  <c r="BG83" i="1"/>
  <c r="BJ83" i="1" s="1"/>
  <c r="BC83" i="1"/>
  <c r="AW83" i="1"/>
  <c r="BA83" i="1" s="1"/>
  <c r="AQ83" i="1"/>
  <c r="BD83" i="1" s="1"/>
  <c r="AL83" i="1"/>
  <c r="AJ83" i="1"/>
  <c r="AK83" i="1" s="1"/>
  <c r="AB83" i="1"/>
  <c r="AA83" i="1"/>
  <c r="Z83" i="1"/>
  <c r="S83" i="1"/>
  <c r="CZ82" i="1"/>
  <c r="CY82" i="1"/>
  <c r="CW82" i="1"/>
  <c r="CX82" i="1" s="1"/>
  <c r="AY82" i="1" s="1"/>
  <c r="BL82" i="1"/>
  <c r="BK82" i="1"/>
  <c r="BJ82" i="1"/>
  <c r="BG82" i="1"/>
  <c r="BI82" i="1" s="1"/>
  <c r="BM82" i="1" s="1"/>
  <c r="BN82" i="1" s="1"/>
  <c r="BC82" i="1"/>
  <c r="AW82" i="1"/>
  <c r="BA82" i="1" s="1"/>
  <c r="AQ82" i="1"/>
  <c r="BD82" i="1" s="1"/>
  <c r="AL82" i="1"/>
  <c r="AJ82" i="1" s="1"/>
  <c r="AB82" i="1"/>
  <c r="AA82" i="1"/>
  <c r="Z82" i="1" s="1"/>
  <c r="S82" i="1"/>
  <c r="CZ81" i="1"/>
  <c r="CY81" i="1"/>
  <c r="CX81" i="1"/>
  <c r="AY81" i="1" s="1"/>
  <c r="CW81" i="1"/>
  <c r="BL81" i="1"/>
  <c r="BK81" i="1"/>
  <c r="BH81" i="1"/>
  <c r="BG81" i="1"/>
  <c r="BI81" i="1" s="1"/>
  <c r="BM81" i="1" s="1"/>
  <c r="BN81" i="1" s="1"/>
  <c r="BD81" i="1"/>
  <c r="BC81" i="1"/>
  <c r="AW81" i="1"/>
  <c r="BA81" i="1" s="1"/>
  <c r="AQ81" i="1"/>
  <c r="AL81" i="1"/>
  <c r="AJ81" i="1"/>
  <c r="M81" i="1" s="1"/>
  <c r="AZ81" i="1" s="1"/>
  <c r="AB81" i="1"/>
  <c r="AA81" i="1"/>
  <c r="Z81" i="1"/>
  <c r="V81" i="1"/>
  <c r="S81" i="1"/>
  <c r="N81" i="1"/>
  <c r="CZ80" i="1"/>
  <c r="V80" i="1" s="1"/>
  <c r="CY80" i="1"/>
  <c r="CW80" i="1"/>
  <c r="CX80" i="1" s="1"/>
  <c r="AY80" i="1" s="1"/>
  <c r="BA80" i="1" s="1"/>
  <c r="BL80" i="1"/>
  <c r="BK80" i="1"/>
  <c r="BJ80" i="1"/>
  <c r="BI80" i="1"/>
  <c r="BM80" i="1" s="1"/>
  <c r="BN80" i="1" s="1"/>
  <c r="BG80" i="1"/>
  <c r="BH80" i="1" s="1"/>
  <c r="BD80" i="1"/>
  <c r="BC80" i="1"/>
  <c r="AW80" i="1"/>
  <c r="AQ80" i="1"/>
  <c r="AL80" i="1"/>
  <c r="AJ80" i="1" s="1"/>
  <c r="AB80" i="1"/>
  <c r="AA80" i="1"/>
  <c r="Z80" i="1" s="1"/>
  <c r="S80" i="1"/>
  <c r="CZ79" i="1"/>
  <c r="CY79" i="1"/>
  <c r="CX79" i="1"/>
  <c r="AY79" i="1" s="1"/>
  <c r="CW79" i="1"/>
  <c r="BL79" i="1"/>
  <c r="BK79" i="1"/>
  <c r="BI79" i="1"/>
  <c r="BM79" i="1" s="1"/>
  <c r="BN79" i="1" s="1"/>
  <c r="BH79" i="1"/>
  <c r="BG79" i="1"/>
  <c r="BJ79" i="1" s="1"/>
  <c r="BC79" i="1"/>
  <c r="AW79" i="1"/>
  <c r="BA79" i="1" s="1"/>
  <c r="AQ79" i="1"/>
  <c r="BD79" i="1" s="1"/>
  <c r="AL79" i="1"/>
  <c r="AJ79" i="1"/>
  <c r="AK79" i="1" s="1"/>
  <c r="AB79" i="1"/>
  <c r="AA79" i="1"/>
  <c r="Z79" i="1"/>
  <c r="V79" i="1"/>
  <c r="S79" i="1"/>
  <c r="CZ78" i="1"/>
  <c r="CY78" i="1"/>
  <c r="CW78" i="1"/>
  <c r="CX78" i="1" s="1"/>
  <c r="AY78" i="1" s="1"/>
  <c r="BL78" i="1"/>
  <c r="BK78" i="1"/>
  <c r="BJ78" i="1"/>
  <c r="BG78" i="1"/>
  <c r="BI78" i="1" s="1"/>
  <c r="BM78" i="1" s="1"/>
  <c r="BN78" i="1" s="1"/>
  <c r="BC78" i="1"/>
  <c r="AW78" i="1"/>
  <c r="BA78" i="1" s="1"/>
  <c r="AQ78" i="1"/>
  <c r="BD78" i="1" s="1"/>
  <c r="AL78" i="1"/>
  <c r="AJ78" i="1" s="1"/>
  <c r="AB78" i="1"/>
  <c r="AA78" i="1"/>
  <c r="Z78" i="1" s="1"/>
  <c r="S78" i="1"/>
  <c r="CZ77" i="1"/>
  <c r="CY77" i="1"/>
  <c r="CX77" i="1"/>
  <c r="AY77" i="1" s="1"/>
  <c r="CW77" i="1"/>
  <c r="BL77" i="1"/>
  <c r="BK77" i="1"/>
  <c r="BH77" i="1"/>
  <c r="BG77" i="1"/>
  <c r="BI77" i="1" s="1"/>
  <c r="BM77" i="1" s="1"/>
  <c r="BN77" i="1" s="1"/>
  <c r="BC77" i="1"/>
  <c r="AW77" i="1"/>
  <c r="BA77" i="1" s="1"/>
  <c r="AQ77" i="1"/>
  <c r="BD77" i="1" s="1"/>
  <c r="AL77" i="1"/>
  <c r="AJ77" i="1"/>
  <c r="M77" i="1" s="1"/>
  <c r="AZ77" i="1" s="1"/>
  <c r="AB77" i="1"/>
  <c r="AA77" i="1"/>
  <c r="Z77" i="1"/>
  <c r="V77" i="1"/>
  <c r="S77" i="1"/>
  <c r="N77" i="1"/>
  <c r="CZ76" i="1"/>
  <c r="V76" i="1" s="1"/>
  <c r="CY76" i="1"/>
  <c r="CW76" i="1"/>
  <c r="CX76" i="1" s="1"/>
  <c r="AY76" i="1" s="1"/>
  <c r="BA76" i="1" s="1"/>
  <c r="BL76" i="1"/>
  <c r="BK76" i="1"/>
  <c r="BJ76" i="1"/>
  <c r="BI76" i="1"/>
  <c r="BM76" i="1" s="1"/>
  <c r="BN76" i="1" s="1"/>
  <c r="BG76" i="1"/>
  <c r="BH76" i="1" s="1"/>
  <c r="BD76" i="1"/>
  <c r="BC76" i="1"/>
  <c r="AW76" i="1"/>
  <c r="AQ76" i="1"/>
  <c r="AL76" i="1"/>
  <c r="AJ76" i="1" s="1"/>
  <c r="AB76" i="1"/>
  <c r="AA76" i="1"/>
  <c r="Z76" i="1" s="1"/>
  <c r="S76" i="1"/>
  <c r="CZ75" i="1"/>
  <c r="CY75" i="1"/>
  <c r="CW75" i="1"/>
  <c r="CX75" i="1" s="1"/>
  <c r="AY75" i="1" s="1"/>
  <c r="BL75" i="1"/>
  <c r="BK75" i="1"/>
  <c r="BJ75" i="1"/>
  <c r="BI75" i="1"/>
  <c r="BM75" i="1" s="1"/>
  <c r="BN75" i="1" s="1"/>
  <c r="BG75" i="1"/>
  <c r="BH75" i="1" s="1"/>
  <c r="BC75" i="1"/>
  <c r="AW75" i="1"/>
  <c r="AQ75" i="1"/>
  <c r="BD75" i="1" s="1"/>
  <c r="AL75" i="1"/>
  <c r="AJ75" i="1"/>
  <c r="AK75" i="1" s="1"/>
  <c r="AB75" i="1"/>
  <c r="AA75" i="1"/>
  <c r="Z75" i="1"/>
  <c r="V75" i="1"/>
  <c r="S75" i="1"/>
  <c r="CZ74" i="1"/>
  <c r="V74" i="1" s="1"/>
  <c r="CY74" i="1"/>
  <c r="CW74" i="1"/>
  <c r="CX74" i="1" s="1"/>
  <c r="AY74" i="1" s="1"/>
  <c r="BA74" i="1" s="1"/>
  <c r="BL74" i="1"/>
  <c r="BK74" i="1"/>
  <c r="BJ74" i="1"/>
  <c r="BG74" i="1"/>
  <c r="BI74" i="1" s="1"/>
  <c r="BM74" i="1" s="1"/>
  <c r="BN74" i="1" s="1"/>
  <c r="BC74" i="1"/>
  <c r="AW74" i="1"/>
  <c r="AQ74" i="1"/>
  <c r="BD74" i="1" s="1"/>
  <c r="AL74" i="1"/>
  <c r="AJ74" i="1" s="1"/>
  <c r="AB74" i="1"/>
  <c r="AA74" i="1"/>
  <c r="Z74" i="1" s="1"/>
  <c r="S74" i="1"/>
  <c r="CZ73" i="1"/>
  <c r="CY73" i="1"/>
  <c r="CX73" i="1"/>
  <c r="AY73" i="1" s="1"/>
  <c r="CW73" i="1"/>
  <c r="BL73" i="1"/>
  <c r="BK73" i="1"/>
  <c r="BJ73" i="1"/>
  <c r="BI73" i="1"/>
  <c r="BM73" i="1" s="1"/>
  <c r="BN73" i="1" s="1"/>
  <c r="BH73" i="1"/>
  <c r="BG73" i="1"/>
  <c r="BC73" i="1"/>
  <c r="AW73" i="1"/>
  <c r="BA73" i="1" s="1"/>
  <c r="AQ73" i="1"/>
  <c r="BD73" i="1" s="1"/>
  <c r="AL73" i="1"/>
  <c r="AJ73" i="1" s="1"/>
  <c r="AB73" i="1"/>
  <c r="AA73" i="1"/>
  <c r="Z73" i="1" s="1"/>
  <c r="V73" i="1"/>
  <c r="S73" i="1"/>
  <c r="N73" i="1"/>
  <c r="CZ72" i="1"/>
  <c r="CY72" i="1"/>
  <c r="CW72" i="1"/>
  <c r="CX72" i="1" s="1"/>
  <c r="AY72" i="1" s="1"/>
  <c r="BA72" i="1" s="1"/>
  <c r="BL72" i="1"/>
  <c r="BK72" i="1"/>
  <c r="BJ72" i="1"/>
  <c r="BI72" i="1"/>
  <c r="BM72" i="1" s="1"/>
  <c r="BN72" i="1" s="1"/>
  <c r="BG72" i="1"/>
  <c r="BH72" i="1" s="1"/>
  <c r="BD72" i="1"/>
  <c r="BC72" i="1"/>
  <c r="AW72" i="1"/>
  <c r="AQ72" i="1"/>
  <c r="AL72" i="1"/>
  <c r="AJ72" i="1" s="1"/>
  <c r="AB72" i="1"/>
  <c r="Z72" i="1" s="1"/>
  <c r="AA72" i="1"/>
  <c r="V72" i="1"/>
  <c r="S72" i="1"/>
  <c r="L72" i="1"/>
  <c r="K72" i="1" s="1"/>
  <c r="CZ71" i="1"/>
  <c r="CY71" i="1"/>
  <c r="CW71" i="1"/>
  <c r="CX71" i="1" s="1"/>
  <c r="AY71" i="1" s="1"/>
  <c r="BA71" i="1" s="1"/>
  <c r="BL71" i="1"/>
  <c r="BK71" i="1"/>
  <c r="BI71" i="1"/>
  <c r="BM71" i="1" s="1"/>
  <c r="BN71" i="1" s="1"/>
  <c r="BG71" i="1"/>
  <c r="BJ71" i="1" s="1"/>
  <c r="BC71" i="1"/>
  <c r="AW71" i="1"/>
  <c r="AQ71" i="1"/>
  <c r="BD71" i="1" s="1"/>
  <c r="AL71" i="1"/>
  <c r="AJ71" i="1"/>
  <c r="AB71" i="1"/>
  <c r="AA71" i="1"/>
  <c r="Z71" i="1"/>
  <c r="S71" i="1"/>
  <c r="CZ70" i="1"/>
  <c r="CY70" i="1"/>
  <c r="CW70" i="1"/>
  <c r="CX70" i="1" s="1"/>
  <c r="AY70" i="1" s="1"/>
  <c r="BA70" i="1" s="1"/>
  <c r="BL70" i="1"/>
  <c r="BK70" i="1"/>
  <c r="BJ70" i="1"/>
  <c r="BI70" i="1"/>
  <c r="BM70" i="1" s="1"/>
  <c r="BN70" i="1" s="1"/>
  <c r="BG70" i="1"/>
  <c r="BH70" i="1" s="1"/>
  <c r="BC70" i="1"/>
  <c r="AW70" i="1"/>
  <c r="AQ70" i="1"/>
  <c r="BD70" i="1" s="1"/>
  <c r="AL70" i="1"/>
  <c r="AJ70" i="1" s="1"/>
  <c r="AK70" i="1" s="1"/>
  <c r="AB70" i="1"/>
  <c r="AA70" i="1"/>
  <c r="Z70" i="1"/>
  <c r="V70" i="1"/>
  <c r="S70" i="1"/>
  <c r="CZ69" i="1"/>
  <c r="CY69" i="1"/>
  <c r="CW69" i="1"/>
  <c r="CX69" i="1" s="1"/>
  <c r="AY69" i="1" s="1"/>
  <c r="BA69" i="1" s="1"/>
  <c r="BL69" i="1"/>
  <c r="BK69" i="1"/>
  <c r="BJ69" i="1"/>
  <c r="BG69" i="1"/>
  <c r="BI69" i="1" s="1"/>
  <c r="BM69" i="1" s="1"/>
  <c r="BN69" i="1" s="1"/>
  <c r="BC69" i="1"/>
  <c r="AW69" i="1"/>
  <c r="AQ69" i="1"/>
  <c r="BD69" i="1" s="1"/>
  <c r="AL69" i="1"/>
  <c r="AJ69" i="1" s="1"/>
  <c r="AB69" i="1"/>
  <c r="Z69" i="1" s="1"/>
  <c r="AA69" i="1"/>
  <c r="S69" i="1"/>
  <c r="CZ68" i="1"/>
  <c r="CY68" i="1"/>
  <c r="CX68" i="1"/>
  <c r="AY68" i="1" s="1"/>
  <c r="CW68" i="1"/>
  <c r="BM68" i="1"/>
  <c r="BN68" i="1" s="1"/>
  <c r="BL68" i="1"/>
  <c r="BK68" i="1"/>
  <c r="BI68" i="1"/>
  <c r="BH68" i="1"/>
  <c r="BG68" i="1"/>
  <c r="BJ68" i="1" s="1"/>
  <c r="BC68" i="1"/>
  <c r="AW68" i="1"/>
  <c r="AQ68" i="1"/>
  <c r="BD68" i="1" s="1"/>
  <c r="AL68" i="1"/>
  <c r="AK68" i="1"/>
  <c r="AJ68" i="1"/>
  <c r="M68" i="1" s="1"/>
  <c r="AZ68" i="1" s="1"/>
  <c r="AB68" i="1"/>
  <c r="AA68" i="1"/>
  <c r="Z68" i="1" s="1"/>
  <c r="V68" i="1"/>
  <c r="S68" i="1"/>
  <c r="N68" i="1"/>
  <c r="CZ67" i="1"/>
  <c r="CY67" i="1"/>
  <c r="CW67" i="1"/>
  <c r="CX67" i="1" s="1"/>
  <c r="AY67" i="1" s="1"/>
  <c r="BA67" i="1" s="1"/>
  <c r="BL67" i="1"/>
  <c r="BK67" i="1"/>
  <c r="BG67" i="1"/>
  <c r="BJ67" i="1" s="1"/>
  <c r="BD67" i="1"/>
  <c r="BC67" i="1"/>
  <c r="AW67" i="1"/>
  <c r="AQ67" i="1"/>
  <c r="AL67" i="1"/>
  <c r="AJ67" i="1" s="1"/>
  <c r="Q67" i="1" s="1"/>
  <c r="AB67" i="1"/>
  <c r="AA67" i="1"/>
  <c r="Z67" i="1" s="1"/>
  <c r="S67" i="1"/>
  <c r="CZ66" i="1"/>
  <c r="CY66" i="1"/>
  <c r="CX66" i="1" s="1"/>
  <c r="CW66" i="1"/>
  <c r="BL66" i="1"/>
  <c r="BK66" i="1"/>
  <c r="BI66" i="1"/>
  <c r="BM66" i="1" s="1"/>
  <c r="BN66" i="1" s="1"/>
  <c r="BH66" i="1"/>
  <c r="BG66" i="1"/>
  <c r="BJ66" i="1" s="1"/>
  <c r="BC66" i="1"/>
  <c r="AY66" i="1"/>
  <c r="AW66" i="1"/>
  <c r="AQ66" i="1"/>
  <c r="BD66" i="1" s="1"/>
  <c r="AL66" i="1"/>
  <c r="AJ66" i="1"/>
  <c r="Q66" i="1" s="1"/>
  <c r="AB66" i="1"/>
  <c r="AA66" i="1"/>
  <c r="Z66" i="1"/>
  <c r="V66" i="1"/>
  <c r="S66" i="1"/>
  <c r="CZ65" i="1"/>
  <c r="CY65" i="1"/>
  <c r="CW65" i="1"/>
  <c r="BL65" i="1"/>
  <c r="BK65" i="1"/>
  <c r="BJ65" i="1"/>
  <c r="BG65" i="1"/>
  <c r="BC65" i="1"/>
  <c r="AW65" i="1"/>
  <c r="AQ65" i="1"/>
  <c r="BD65" i="1" s="1"/>
  <c r="AL65" i="1"/>
  <c r="AJ65" i="1" s="1"/>
  <c r="AB65" i="1"/>
  <c r="Z65" i="1" s="1"/>
  <c r="AA65" i="1"/>
  <c r="S65" i="1"/>
  <c r="M65" i="1"/>
  <c r="AZ65" i="1" s="1"/>
  <c r="CZ64" i="1"/>
  <c r="CY64" i="1"/>
  <c r="CX64" i="1"/>
  <c r="AY64" i="1" s="1"/>
  <c r="CW64" i="1"/>
  <c r="BM64" i="1"/>
  <c r="BN64" i="1" s="1"/>
  <c r="BL64" i="1"/>
  <c r="BK64" i="1"/>
  <c r="BI64" i="1"/>
  <c r="BH64" i="1"/>
  <c r="BG64" i="1"/>
  <c r="BJ64" i="1" s="1"/>
  <c r="BC64" i="1"/>
  <c r="AW64" i="1"/>
  <c r="AQ64" i="1"/>
  <c r="BD64" i="1" s="1"/>
  <c r="AL64" i="1"/>
  <c r="AK64" i="1"/>
  <c r="AJ64" i="1"/>
  <c r="L64" i="1" s="1"/>
  <c r="AD64" i="1"/>
  <c r="AB64" i="1"/>
  <c r="AA64" i="1"/>
  <c r="Z64" i="1" s="1"/>
  <c r="V64" i="1"/>
  <c r="S64" i="1"/>
  <c r="N64" i="1"/>
  <c r="M64" i="1"/>
  <c r="AZ64" i="1" s="1"/>
  <c r="K64" i="1"/>
  <c r="CZ63" i="1"/>
  <c r="CY63" i="1"/>
  <c r="CW63" i="1"/>
  <c r="CX63" i="1" s="1"/>
  <c r="AY63" i="1" s="1"/>
  <c r="BA63" i="1" s="1"/>
  <c r="BL63" i="1"/>
  <c r="BK63" i="1"/>
  <c r="BG63" i="1"/>
  <c r="BJ63" i="1" s="1"/>
  <c r="BD63" i="1"/>
  <c r="BC63" i="1"/>
  <c r="AW63" i="1"/>
  <c r="AQ63" i="1"/>
  <c r="AL63" i="1"/>
  <c r="AJ63" i="1" s="1"/>
  <c r="AB63" i="1"/>
  <c r="AA63" i="1"/>
  <c r="Z63" i="1" s="1"/>
  <c r="S63" i="1"/>
  <c r="L63" i="1"/>
  <c r="K63" i="1" s="1"/>
  <c r="AD63" i="1" s="1"/>
  <c r="CZ62" i="1"/>
  <c r="CY62" i="1"/>
  <c r="CX62" i="1" s="1"/>
  <c r="CW62" i="1"/>
  <c r="BL62" i="1"/>
  <c r="BK62" i="1"/>
  <c r="BI62" i="1"/>
  <c r="BM62" i="1" s="1"/>
  <c r="BN62" i="1" s="1"/>
  <c r="BH62" i="1"/>
  <c r="BG62" i="1"/>
  <c r="BJ62" i="1" s="1"/>
  <c r="BC62" i="1"/>
  <c r="AY62" i="1"/>
  <c r="BA62" i="1" s="1"/>
  <c r="AW62" i="1"/>
  <c r="AQ62" i="1"/>
  <c r="BD62" i="1" s="1"/>
  <c r="AL62" i="1"/>
  <c r="AJ62" i="1"/>
  <c r="AB62" i="1"/>
  <c r="AA62" i="1"/>
  <c r="Z62" i="1"/>
  <c r="V62" i="1"/>
  <c r="S62" i="1"/>
  <c r="CZ61" i="1"/>
  <c r="CY61" i="1"/>
  <c r="CW61" i="1"/>
  <c r="BL61" i="1"/>
  <c r="BK61" i="1"/>
  <c r="BJ61" i="1"/>
  <c r="BG61" i="1"/>
  <c r="BC61" i="1"/>
  <c r="AW61" i="1"/>
  <c r="AQ61" i="1"/>
  <c r="BD61" i="1" s="1"/>
  <c r="AL61" i="1"/>
  <c r="AJ61" i="1" s="1"/>
  <c r="M61" i="1" s="1"/>
  <c r="AZ61" i="1" s="1"/>
  <c r="AB61" i="1"/>
  <c r="AA61" i="1"/>
  <c r="Z61" i="1" s="1"/>
  <c r="S61" i="1"/>
  <c r="CZ60" i="1"/>
  <c r="CY60" i="1"/>
  <c r="CX60" i="1"/>
  <c r="AY60" i="1" s="1"/>
  <c r="CW60" i="1"/>
  <c r="BM60" i="1"/>
  <c r="BN60" i="1" s="1"/>
  <c r="BL60" i="1"/>
  <c r="BK60" i="1"/>
  <c r="BI60" i="1"/>
  <c r="BH60" i="1"/>
  <c r="BG60" i="1"/>
  <c r="BJ60" i="1" s="1"/>
  <c r="BC60" i="1"/>
  <c r="AW60" i="1"/>
  <c r="AQ60" i="1"/>
  <c r="BD60" i="1" s="1"/>
  <c r="AL60" i="1"/>
  <c r="AK60" i="1"/>
  <c r="AJ60" i="1"/>
  <c r="L60" i="1" s="1"/>
  <c r="AD60" i="1"/>
  <c r="AB60" i="1"/>
  <c r="AA60" i="1"/>
  <c r="Z60" i="1" s="1"/>
  <c r="V60" i="1"/>
  <c r="S60" i="1"/>
  <c r="N60" i="1"/>
  <c r="M60" i="1"/>
  <c r="AZ60" i="1" s="1"/>
  <c r="BB60" i="1" s="1"/>
  <c r="K60" i="1"/>
  <c r="CZ59" i="1"/>
  <c r="CY59" i="1"/>
  <c r="CW59" i="1"/>
  <c r="CX59" i="1" s="1"/>
  <c r="AY59" i="1" s="1"/>
  <c r="BA59" i="1" s="1"/>
  <c r="BL59" i="1"/>
  <c r="BK59" i="1"/>
  <c r="BG59" i="1"/>
  <c r="BJ59" i="1" s="1"/>
  <c r="BD59" i="1"/>
  <c r="BC59" i="1"/>
  <c r="AW59" i="1"/>
  <c r="AQ59" i="1"/>
  <c r="AL59" i="1"/>
  <c r="AJ59" i="1" s="1"/>
  <c r="AB59" i="1"/>
  <c r="AA59" i="1"/>
  <c r="S59" i="1"/>
  <c r="L59" i="1"/>
  <c r="K59" i="1" s="1"/>
  <c r="AD59" i="1" s="1"/>
  <c r="CZ58" i="1"/>
  <c r="CY58" i="1"/>
  <c r="CX58" i="1" s="1"/>
  <c r="AY58" i="1" s="1"/>
  <c r="BA58" i="1" s="1"/>
  <c r="CW58" i="1"/>
  <c r="BL58" i="1"/>
  <c r="BK58" i="1"/>
  <c r="BI58" i="1"/>
  <c r="BM58" i="1" s="1"/>
  <c r="BN58" i="1" s="1"/>
  <c r="BH58" i="1"/>
  <c r="BG58" i="1"/>
  <c r="BJ58" i="1" s="1"/>
  <c r="BC58" i="1"/>
  <c r="AW58" i="1"/>
  <c r="AQ58" i="1"/>
  <c r="BD58" i="1" s="1"/>
  <c r="AL58" i="1"/>
  <c r="AJ58" i="1"/>
  <c r="AB58" i="1"/>
  <c r="AA58" i="1"/>
  <c r="Z58" i="1"/>
  <c r="V58" i="1"/>
  <c r="S58" i="1"/>
  <c r="CZ57" i="1"/>
  <c r="CY57" i="1"/>
  <c r="CW57" i="1"/>
  <c r="BL57" i="1"/>
  <c r="BK57" i="1"/>
  <c r="BG57" i="1"/>
  <c r="BH57" i="1" s="1"/>
  <c r="BC57" i="1"/>
  <c r="AW57" i="1"/>
  <c r="AQ57" i="1"/>
  <c r="BD57" i="1" s="1"/>
  <c r="AL57" i="1"/>
  <c r="AJ57" i="1" s="1"/>
  <c r="AB57" i="1"/>
  <c r="AA57" i="1"/>
  <c r="Z57" i="1" s="1"/>
  <c r="S57" i="1"/>
  <c r="Q57" i="1"/>
  <c r="CZ56" i="1"/>
  <c r="CY56" i="1"/>
  <c r="CX56" i="1"/>
  <c r="AY56" i="1" s="1"/>
  <c r="CW56" i="1"/>
  <c r="V56" i="1" s="1"/>
  <c r="BL56" i="1"/>
  <c r="BK56" i="1"/>
  <c r="BG56" i="1"/>
  <c r="BJ56" i="1" s="1"/>
  <c r="BC56" i="1"/>
  <c r="AW56" i="1"/>
  <c r="AQ56" i="1"/>
  <c r="BD56" i="1" s="1"/>
  <c r="AL56" i="1"/>
  <c r="AK56" i="1"/>
  <c r="AJ56" i="1"/>
  <c r="L56" i="1" s="1"/>
  <c r="K56" i="1" s="1"/>
  <c r="AB56" i="1"/>
  <c r="AA56" i="1"/>
  <c r="Z56" i="1" s="1"/>
  <c r="S56" i="1"/>
  <c r="N56" i="1"/>
  <c r="M56" i="1"/>
  <c r="AZ56" i="1" s="1"/>
  <c r="CZ55" i="1"/>
  <c r="CY55" i="1"/>
  <c r="CW55" i="1"/>
  <c r="BL55" i="1"/>
  <c r="BK55" i="1"/>
  <c r="BG55" i="1"/>
  <c r="BC55" i="1"/>
  <c r="AW55" i="1"/>
  <c r="AQ55" i="1"/>
  <c r="BD55" i="1" s="1"/>
  <c r="AL55" i="1"/>
  <c r="AJ55" i="1" s="1"/>
  <c r="N55" i="1" s="1"/>
  <c r="AK55" i="1"/>
  <c r="AB55" i="1"/>
  <c r="AA55" i="1"/>
  <c r="Z55" i="1" s="1"/>
  <c r="S55" i="1"/>
  <c r="M55" i="1"/>
  <c r="AZ55" i="1" s="1"/>
  <c r="L55" i="1"/>
  <c r="K55" i="1" s="1"/>
  <c r="CZ54" i="1"/>
  <c r="CY54" i="1"/>
  <c r="CX54" i="1"/>
  <c r="CW54" i="1"/>
  <c r="BL54" i="1"/>
  <c r="BK54" i="1"/>
  <c r="BI54" i="1"/>
  <c r="BM54" i="1" s="1"/>
  <c r="BN54" i="1" s="1"/>
  <c r="BH54" i="1"/>
  <c r="BG54" i="1"/>
  <c r="BJ54" i="1" s="1"/>
  <c r="BC54" i="1"/>
  <c r="AY54" i="1"/>
  <c r="AW54" i="1"/>
  <c r="BA54" i="1" s="1"/>
  <c r="AQ54" i="1"/>
  <c r="BD54" i="1" s="1"/>
  <c r="AL54" i="1"/>
  <c r="AJ54" i="1"/>
  <c r="AB54" i="1"/>
  <c r="AA54" i="1"/>
  <c r="Z54" i="1"/>
  <c r="V54" i="1"/>
  <c r="S54" i="1"/>
  <c r="Q54" i="1"/>
  <c r="N54" i="1"/>
  <c r="CZ53" i="1"/>
  <c r="CY53" i="1"/>
  <c r="CW53" i="1"/>
  <c r="BL53" i="1"/>
  <c r="BK53" i="1"/>
  <c r="BJ53" i="1"/>
  <c r="BG53" i="1"/>
  <c r="BH53" i="1" s="1"/>
  <c r="BD53" i="1"/>
  <c r="BC53" i="1"/>
  <c r="AW53" i="1"/>
  <c r="AQ53" i="1"/>
  <c r="AL53" i="1"/>
  <c r="AJ53" i="1" s="1"/>
  <c r="N53" i="1" s="1"/>
  <c r="AB53" i="1"/>
  <c r="AA53" i="1"/>
  <c r="S53" i="1"/>
  <c r="Q53" i="1"/>
  <c r="CZ52" i="1"/>
  <c r="CY52" i="1"/>
  <c r="CX52" i="1"/>
  <c r="AY52" i="1" s="1"/>
  <c r="CW52" i="1"/>
  <c r="BL52" i="1"/>
  <c r="BK52" i="1"/>
  <c r="BJ52" i="1"/>
  <c r="BI52" i="1"/>
  <c r="BM52" i="1" s="1"/>
  <c r="BN52" i="1" s="1"/>
  <c r="BH52" i="1"/>
  <c r="BG52" i="1"/>
  <c r="BD52" i="1"/>
  <c r="BC52" i="1"/>
  <c r="AW52" i="1"/>
  <c r="BA52" i="1" s="1"/>
  <c r="AQ52" i="1"/>
  <c r="AL52" i="1"/>
  <c r="AJ52" i="1" s="1"/>
  <c r="AB52" i="1"/>
  <c r="Z52" i="1" s="1"/>
  <c r="AA52" i="1"/>
  <c r="V52" i="1"/>
  <c r="S52" i="1"/>
  <c r="CZ51" i="1"/>
  <c r="CY51" i="1"/>
  <c r="CX51" i="1"/>
  <c r="AY51" i="1" s="1"/>
  <c r="CW51" i="1"/>
  <c r="BL51" i="1"/>
  <c r="BK51" i="1"/>
  <c r="BI51" i="1"/>
  <c r="BM51" i="1" s="1"/>
  <c r="BN51" i="1" s="1"/>
  <c r="BH51" i="1"/>
  <c r="BG51" i="1"/>
  <c r="BJ51" i="1" s="1"/>
  <c r="BD51" i="1"/>
  <c r="BC51" i="1"/>
  <c r="AW51" i="1"/>
  <c r="BA51" i="1" s="1"/>
  <c r="AQ51" i="1"/>
  <c r="AL51" i="1"/>
  <c r="AJ51" i="1" s="1"/>
  <c r="AB51" i="1"/>
  <c r="Z51" i="1" s="1"/>
  <c r="AA51" i="1"/>
  <c r="V51" i="1"/>
  <c r="S51" i="1"/>
  <c r="CZ50" i="1"/>
  <c r="CY50" i="1"/>
  <c r="CW50" i="1"/>
  <c r="CX50" i="1" s="1"/>
  <c r="AY50" i="1" s="1"/>
  <c r="BL50" i="1"/>
  <c r="BK50" i="1"/>
  <c r="BG50" i="1"/>
  <c r="BJ50" i="1" s="1"/>
  <c r="BD50" i="1"/>
  <c r="BC50" i="1"/>
  <c r="AW50" i="1"/>
  <c r="BA50" i="1" s="1"/>
  <c r="AQ50" i="1"/>
  <c r="AL50" i="1"/>
  <c r="AJ50" i="1" s="1"/>
  <c r="AB50" i="1"/>
  <c r="Z50" i="1" s="1"/>
  <c r="AA50" i="1"/>
  <c r="S50" i="1"/>
  <c r="CZ49" i="1"/>
  <c r="V49" i="1" s="1"/>
  <c r="CY49" i="1"/>
  <c r="CX49" i="1"/>
  <c r="AY49" i="1" s="1"/>
  <c r="BA49" i="1" s="1"/>
  <c r="CW49" i="1"/>
  <c r="BL49" i="1"/>
  <c r="BK49" i="1"/>
  <c r="BJ49" i="1"/>
  <c r="BH49" i="1"/>
  <c r="BG49" i="1"/>
  <c r="BI49" i="1" s="1"/>
  <c r="BM49" i="1" s="1"/>
  <c r="BN49" i="1" s="1"/>
  <c r="BD49" i="1"/>
  <c r="BC49" i="1"/>
  <c r="AW49" i="1"/>
  <c r="AQ49" i="1"/>
  <c r="AL49" i="1"/>
  <c r="AJ49" i="1"/>
  <c r="AK49" i="1" s="1"/>
  <c r="AB49" i="1"/>
  <c r="AA49" i="1"/>
  <c r="Z49" i="1"/>
  <c r="S49" i="1"/>
  <c r="CZ48" i="1"/>
  <c r="V48" i="1" s="1"/>
  <c r="CY48" i="1"/>
  <c r="CX48" i="1"/>
  <c r="AY48" i="1" s="1"/>
  <c r="CW48" i="1"/>
  <c r="BL48" i="1"/>
  <c r="BK48" i="1"/>
  <c r="BJ48" i="1"/>
  <c r="BI48" i="1"/>
  <c r="BM48" i="1" s="1"/>
  <c r="BN48" i="1" s="1"/>
  <c r="BH48" i="1"/>
  <c r="BG48" i="1"/>
  <c r="BD48" i="1"/>
  <c r="BC48" i="1"/>
  <c r="AW48" i="1"/>
  <c r="BA48" i="1" s="1"/>
  <c r="AQ48" i="1"/>
  <c r="AL48" i="1"/>
  <c r="AJ48" i="1" s="1"/>
  <c r="AB48" i="1"/>
  <c r="Z48" i="1" s="1"/>
  <c r="AA48" i="1"/>
  <c r="S48" i="1"/>
  <c r="CZ47" i="1"/>
  <c r="CY47" i="1"/>
  <c r="CX47" i="1"/>
  <c r="AY47" i="1" s="1"/>
  <c r="CW47" i="1"/>
  <c r="BL47" i="1"/>
  <c r="BK47" i="1"/>
  <c r="BI47" i="1"/>
  <c r="BM47" i="1" s="1"/>
  <c r="BN47" i="1" s="1"/>
  <c r="BH47" i="1"/>
  <c r="BG47" i="1"/>
  <c r="BJ47" i="1" s="1"/>
  <c r="BD47" i="1"/>
  <c r="BC47" i="1"/>
  <c r="AW47" i="1"/>
  <c r="AQ47" i="1"/>
  <c r="AL47" i="1"/>
  <c r="AJ47" i="1" s="1"/>
  <c r="AD47" i="1"/>
  <c r="AB47" i="1"/>
  <c r="Z47" i="1" s="1"/>
  <c r="AA47" i="1"/>
  <c r="V47" i="1"/>
  <c r="S47" i="1"/>
  <c r="L47" i="1"/>
  <c r="K47" i="1" s="1"/>
  <c r="CZ46" i="1"/>
  <c r="CY46" i="1"/>
  <c r="CW46" i="1"/>
  <c r="CX46" i="1" s="1"/>
  <c r="AY46" i="1" s="1"/>
  <c r="BL46" i="1"/>
  <c r="BK46" i="1"/>
  <c r="BG46" i="1"/>
  <c r="BJ46" i="1" s="1"/>
  <c r="BD46" i="1"/>
  <c r="BC46" i="1"/>
  <c r="AW46" i="1"/>
  <c r="BA46" i="1" s="1"/>
  <c r="AQ46" i="1"/>
  <c r="AL46" i="1"/>
  <c r="AJ46" i="1" s="1"/>
  <c r="AB46" i="1"/>
  <c r="AA46" i="1"/>
  <c r="Z46" i="1"/>
  <c r="S46" i="1"/>
  <c r="CZ45" i="1"/>
  <c r="V45" i="1" s="1"/>
  <c r="CY45" i="1"/>
  <c r="CX45" i="1"/>
  <c r="AY45" i="1" s="1"/>
  <c r="BA45" i="1" s="1"/>
  <c r="CW45" i="1"/>
  <c r="BL45" i="1"/>
  <c r="BK45" i="1"/>
  <c r="BJ45" i="1"/>
  <c r="BH45" i="1"/>
  <c r="BG45" i="1"/>
  <c r="BI45" i="1" s="1"/>
  <c r="BM45" i="1" s="1"/>
  <c r="BN45" i="1" s="1"/>
  <c r="BD45" i="1"/>
  <c r="BC45" i="1"/>
  <c r="AW45" i="1"/>
  <c r="AQ45" i="1"/>
  <c r="AL45" i="1"/>
  <c r="AJ45" i="1"/>
  <c r="AB45" i="1"/>
  <c r="AA45" i="1"/>
  <c r="Z45" i="1"/>
  <c r="S45" i="1"/>
  <c r="CZ44" i="1"/>
  <c r="CY44" i="1"/>
  <c r="CX44" i="1"/>
  <c r="AY44" i="1" s="1"/>
  <c r="BA44" i="1" s="1"/>
  <c r="CW44" i="1"/>
  <c r="BL44" i="1"/>
  <c r="BK44" i="1"/>
  <c r="BJ44" i="1"/>
  <c r="BI44" i="1"/>
  <c r="BM44" i="1" s="1"/>
  <c r="BN44" i="1" s="1"/>
  <c r="BH44" i="1"/>
  <c r="BG44" i="1"/>
  <c r="BD44" i="1"/>
  <c r="BC44" i="1"/>
  <c r="AW44" i="1"/>
  <c r="AQ44" i="1"/>
  <c r="AL44" i="1"/>
  <c r="AJ44" i="1" s="1"/>
  <c r="AB44" i="1"/>
  <c r="Z44" i="1" s="1"/>
  <c r="AA44" i="1"/>
  <c r="V44" i="1"/>
  <c r="S44" i="1"/>
  <c r="CZ43" i="1"/>
  <c r="CY43" i="1"/>
  <c r="CX43" i="1" s="1"/>
  <c r="AY43" i="1" s="1"/>
  <c r="CW43" i="1"/>
  <c r="V43" i="1" s="1"/>
  <c r="BL43" i="1"/>
  <c r="BK43" i="1"/>
  <c r="BG43" i="1"/>
  <c r="BJ43" i="1" s="1"/>
  <c r="BD43" i="1"/>
  <c r="BC43" i="1"/>
  <c r="AW43" i="1"/>
  <c r="AQ43" i="1"/>
  <c r="AL43" i="1"/>
  <c r="AJ43" i="1" s="1"/>
  <c r="AD43" i="1"/>
  <c r="AB43" i="1"/>
  <c r="Z43" i="1" s="1"/>
  <c r="AA43" i="1"/>
  <c r="S43" i="1"/>
  <c r="N43" i="1"/>
  <c r="M43" i="1"/>
  <c r="AZ43" i="1" s="1"/>
  <c r="L43" i="1"/>
  <c r="K43" i="1" s="1"/>
  <c r="CZ42" i="1"/>
  <c r="CY42" i="1"/>
  <c r="CW42" i="1"/>
  <c r="BL42" i="1"/>
  <c r="BK42" i="1"/>
  <c r="BG42" i="1"/>
  <c r="BC42" i="1"/>
  <c r="AW42" i="1"/>
  <c r="AQ42" i="1"/>
  <c r="BD42" i="1" s="1"/>
  <c r="AL42" i="1"/>
  <c r="AJ42" i="1" s="1"/>
  <c r="AB42" i="1"/>
  <c r="AA42" i="1"/>
  <c r="Z42" i="1"/>
  <c r="S42" i="1"/>
  <c r="CZ41" i="1"/>
  <c r="V41" i="1" s="1"/>
  <c r="CY41" i="1"/>
  <c r="CX41" i="1"/>
  <c r="AY41" i="1" s="1"/>
  <c r="BA41" i="1" s="1"/>
  <c r="CW41" i="1"/>
  <c r="BM41" i="1"/>
  <c r="BN41" i="1" s="1"/>
  <c r="BL41" i="1"/>
  <c r="BK41" i="1"/>
  <c r="BJ41" i="1"/>
  <c r="BI41" i="1"/>
  <c r="BH41" i="1"/>
  <c r="BG41" i="1"/>
  <c r="BC41" i="1"/>
  <c r="AW41" i="1"/>
  <c r="AQ41" i="1"/>
  <c r="BD41" i="1" s="1"/>
  <c r="AL41" i="1"/>
  <c r="AK41" i="1"/>
  <c r="AJ41" i="1"/>
  <c r="Q41" i="1" s="1"/>
  <c r="AB41" i="1"/>
  <c r="AA41" i="1"/>
  <c r="Z41" i="1"/>
  <c r="S41" i="1"/>
  <c r="CZ40" i="1"/>
  <c r="V40" i="1" s="1"/>
  <c r="CY40" i="1"/>
  <c r="CX40" i="1" s="1"/>
  <c r="AY40" i="1" s="1"/>
  <c r="BA40" i="1" s="1"/>
  <c r="CW40" i="1"/>
  <c r="BL40" i="1"/>
  <c r="BK40" i="1"/>
  <c r="BJ40" i="1"/>
  <c r="BI40" i="1"/>
  <c r="BM40" i="1" s="1"/>
  <c r="BN40" i="1" s="1"/>
  <c r="BH40" i="1"/>
  <c r="BG40" i="1"/>
  <c r="BD40" i="1"/>
  <c r="BC40" i="1"/>
  <c r="AW40" i="1"/>
  <c r="AQ40" i="1"/>
  <c r="AL40" i="1"/>
  <c r="AJ40" i="1" s="1"/>
  <c r="Q40" i="1" s="1"/>
  <c r="AB40" i="1"/>
  <c r="Z40" i="1" s="1"/>
  <c r="AA40" i="1"/>
  <c r="S40" i="1"/>
  <c r="N40" i="1"/>
  <c r="CZ39" i="1"/>
  <c r="CY39" i="1"/>
  <c r="CX39" i="1" s="1"/>
  <c r="AY39" i="1" s="1"/>
  <c r="CW39" i="1"/>
  <c r="V39" i="1" s="1"/>
  <c r="BL39" i="1"/>
  <c r="BK39" i="1"/>
  <c r="BI39" i="1"/>
  <c r="BM39" i="1" s="1"/>
  <c r="BN39" i="1" s="1"/>
  <c r="BH39" i="1"/>
  <c r="BG39" i="1"/>
  <c r="BJ39" i="1" s="1"/>
  <c r="BD39" i="1"/>
  <c r="BC39" i="1"/>
  <c r="AW39" i="1"/>
  <c r="AQ39" i="1"/>
  <c r="AL39" i="1"/>
  <c r="AJ39" i="1" s="1"/>
  <c r="N39" i="1" s="1"/>
  <c r="AB39" i="1"/>
  <c r="Z39" i="1" s="1"/>
  <c r="AA39" i="1"/>
  <c r="S39" i="1"/>
  <c r="CZ38" i="1"/>
  <c r="CY38" i="1"/>
  <c r="CW38" i="1"/>
  <c r="BL38" i="1"/>
  <c r="BK38" i="1"/>
  <c r="BG38" i="1"/>
  <c r="BC38" i="1"/>
  <c r="AW38" i="1"/>
  <c r="AQ38" i="1"/>
  <c r="BD38" i="1" s="1"/>
  <c r="AL38" i="1"/>
  <c r="AJ38" i="1" s="1"/>
  <c r="AB38" i="1"/>
  <c r="AA38" i="1"/>
  <c r="Z38" i="1" s="1"/>
  <c r="S38" i="1"/>
  <c r="CZ37" i="1"/>
  <c r="V37" i="1" s="1"/>
  <c r="CY37" i="1"/>
  <c r="CW37" i="1"/>
  <c r="CX37" i="1" s="1"/>
  <c r="AY37" i="1" s="1"/>
  <c r="BA37" i="1" s="1"/>
  <c r="BM37" i="1"/>
  <c r="BN37" i="1" s="1"/>
  <c r="BL37" i="1"/>
  <c r="BK37" i="1"/>
  <c r="BJ37" i="1"/>
  <c r="BI37" i="1"/>
  <c r="BG37" i="1"/>
  <c r="BH37" i="1" s="1"/>
  <c r="BC37" i="1"/>
  <c r="AW37" i="1"/>
  <c r="AQ37" i="1"/>
  <c r="BD37" i="1" s="1"/>
  <c r="AL37" i="1"/>
  <c r="AK37" i="1"/>
  <c r="AJ37" i="1"/>
  <c r="Q37" i="1" s="1"/>
  <c r="AB37" i="1"/>
  <c r="AA37" i="1"/>
  <c r="Z37" i="1"/>
  <c r="S37" i="1"/>
  <c r="CZ36" i="1"/>
  <c r="V36" i="1" s="1"/>
  <c r="CY36" i="1"/>
  <c r="CX36" i="1" s="1"/>
  <c r="AY36" i="1" s="1"/>
  <c r="BA36" i="1" s="1"/>
  <c r="CW36" i="1"/>
  <c r="BL36" i="1"/>
  <c r="BK36" i="1"/>
  <c r="BJ36" i="1"/>
  <c r="BI36" i="1"/>
  <c r="BM36" i="1" s="1"/>
  <c r="BN36" i="1" s="1"/>
  <c r="BH36" i="1"/>
  <c r="BG36" i="1"/>
  <c r="BC36" i="1"/>
  <c r="AW36" i="1"/>
  <c r="AQ36" i="1"/>
  <c r="BD36" i="1" s="1"/>
  <c r="AL36" i="1"/>
  <c r="AJ36" i="1" s="1"/>
  <c r="Q36" i="1" s="1"/>
  <c r="AB36" i="1"/>
  <c r="Z36" i="1" s="1"/>
  <c r="AA36" i="1"/>
  <c r="S36" i="1"/>
  <c r="CZ35" i="1"/>
  <c r="CY35" i="1"/>
  <c r="CX35" i="1" s="1"/>
  <c r="AY35" i="1" s="1"/>
  <c r="CW35" i="1"/>
  <c r="V35" i="1" s="1"/>
  <c r="BL35" i="1"/>
  <c r="BK35" i="1"/>
  <c r="BH35" i="1"/>
  <c r="BG35" i="1"/>
  <c r="BJ35" i="1" s="1"/>
  <c r="BD35" i="1"/>
  <c r="BC35" i="1"/>
  <c r="AW35" i="1"/>
  <c r="AQ35" i="1"/>
  <c r="AL35" i="1"/>
  <c r="AJ35" i="1" s="1"/>
  <c r="AB35" i="1"/>
  <c r="AA35" i="1"/>
  <c r="S35" i="1"/>
  <c r="N35" i="1"/>
  <c r="M35" i="1"/>
  <c r="AZ35" i="1" s="1"/>
  <c r="CZ34" i="1"/>
  <c r="CY34" i="1"/>
  <c r="CW34" i="1"/>
  <c r="CX34" i="1" s="1"/>
  <c r="AY34" i="1" s="1"/>
  <c r="BA34" i="1" s="1"/>
  <c r="BL34" i="1"/>
  <c r="BK34" i="1"/>
  <c r="BG34" i="1"/>
  <c r="BD34" i="1"/>
  <c r="BC34" i="1"/>
  <c r="AW34" i="1"/>
  <c r="AQ34" i="1"/>
  <c r="AL34" i="1"/>
  <c r="AJ34" i="1" s="1"/>
  <c r="AB34" i="1"/>
  <c r="AA34" i="1"/>
  <c r="Z34" i="1" s="1"/>
  <c r="S34" i="1"/>
  <c r="CZ33" i="1"/>
  <c r="V33" i="1" s="1"/>
  <c r="CY33" i="1"/>
  <c r="CX33" i="1" s="1"/>
  <c r="AY33" i="1" s="1"/>
  <c r="BA33" i="1" s="1"/>
  <c r="CW33" i="1"/>
  <c r="BL33" i="1"/>
  <c r="BK33" i="1"/>
  <c r="BJ33" i="1"/>
  <c r="BI33" i="1"/>
  <c r="BM33" i="1" s="1"/>
  <c r="BN33" i="1" s="1"/>
  <c r="BH33" i="1"/>
  <c r="BG33" i="1"/>
  <c r="BC33" i="1"/>
  <c r="AW33" i="1"/>
  <c r="AQ33" i="1"/>
  <c r="BD33" i="1" s="1"/>
  <c r="AL33" i="1"/>
  <c r="AJ33" i="1"/>
  <c r="Q33" i="1" s="1"/>
  <c r="AB33" i="1"/>
  <c r="AA33" i="1"/>
  <c r="Z33" i="1"/>
  <c r="S33" i="1"/>
  <c r="CZ32" i="1"/>
  <c r="V32" i="1" s="1"/>
  <c r="CY32" i="1"/>
  <c r="CX32" i="1" s="1"/>
  <c r="AY32" i="1" s="1"/>
  <c r="CW32" i="1"/>
  <c r="BL32" i="1"/>
  <c r="BK32" i="1"/>
  <c r="BJ32" i="1"/>
  <c r="BI32" i="1"/>
  <c r="BM32" i="1" s="1"/>
  <c r="BN32" i="1" s="1"/>
  <c r="BH32" i="1"/>
  <c r="BG32" i="1"/>
  <c r="BC32" i="1"/>
  <c r="AW32" i="1"/>
  <c r="BA32" i="1" s="1"/>
  <c r="AQ32" i="1"/>
  <c r="BD32" i="1" s="1"/>
  <c r="AL32" i="1"/>
  <c r="AJ32" i="1" s="1"/>
  <c r="AB32" i="1"/>
  <c r="AA32" i="1"/>
  <c r="Z32" i="1" s="1"/>
  <c r="S32" i="1"/>
  <c r="CZ31" i="1"/>
  <c r="CY31" i="1"/>
  <c r="CX31" i="1"/>
  <c r="AY31" i="1" s="1"/>
  <c r="CW31" i="1"/>
  <c r="BL31" i="1"/>
  <c r="BK31" i="1"/>
  <c r="BH31" i="1"/>
  <c r="BG31" i="1"/>
  <c r="BJ31" i="1" s="1"/>
  <c r="BC31" i="1"/>
  <c r="AW31" i="1"/>
  <c r="AQ31" i="1"/>
  <c r="BD31" i="1" s="1"/>
  <c r="AL31" i="1"/>
  <c r="AJ31" i="1" s="1"/>
  <c r="AB31" i="1"/>
  <c r="AA31" i="1"/>
  <c r="Z31" i="1" s="1"/>
  <c r="V31" i="1"/>
  <c r="S31" i="1"/>
  <c r="CZ30" i="1"/>
  <c r="CY30" i="1"/>
  <c r="CW30" i="1"/>
  <c r="CX30" i="1" s="1"/>
  <c r="AY30" i="1" s="1"/>
  <c r="BA30" i="1" s="1"/>
  <c r="BL30" i="1"/>
  <c r="BK30" i="1"/>
  <c r="BJ30" i="1"/>
  <c r="BG30" i="1"/>
  <c r="BI30" i="1" s="1"/>
  <c r="BM30" i="1" s="1"/>
  <c r="BN30" i="1" s="1"/>
  <c r="BD30" i="1"/>
  <c r="BC30" i="1"/>
  <c r="AW30" i="1"/>
  <c r="AQ30" i="1"/>
  <c r="AL30" i="1"/>
  <c r="AJ30" i="1" s="1"/>
  <c r="L30" i="1" s="1"/>
  <c r="K30" i="1" s="1"/>
  <c r="AB30" i="1"/>
  <c r="AA30" i="1"/>
  <c r="S30" i="1"/>
  <c r="CZ29" i="1"/>
  <c r="V29" i="1" s="1"/>
  <c r="CY29" i="1"/>
  <c r="CX29" i="1" s="1"/>
  <c r="AY29" i="1" s="1"/>
  <c r="BA29" i="1" s="1"/>
  <c r="CW29" i="1"/>
  <c r="BL29" i="1"/>
  <c r="BK29" i="1"/>
  <c r="BJ29" i="1"/>
  <c r="BI29" i="1"/>
  <c r="BM29" i="1" s="1"/>
  <c r="BN29" i="1" s="1"/>
  <c r="BH29" i="1"/>
  <c r="BG29" i="1"/>
  <c r="BC29" i="1"/>
  <c r="AW29" i="1"/>
  <c r="AQ29" i="1"/>
  <c r="BD29" i="1" s="1"/>
  <c r="AL29" i="1"/>
  <c r="AJ29" i="1"/>
  <c r="AB29" i="1"/>
  <c r="AA29" i="1"/>
  <c r="Z29" i="1"/>
  <c r="S29" i="1"/>
  <c r="Q29" i="1"/>
  <c r="CZ28" i="1"/>
  <c r="V28" i="1" s="1"/>
  <c r="CY28" i="1"/>
  <c r="CX28" i="1" s="1"/>
  <c r="AY28" i="1" s="1"/>
  <c r="CW28" i="1"/>
  <c r="BL28" i="1"/>
  <c r="BK28" i="1"/>
  <c r="BJ28" i="1"/>
  <c r="BI28" i="1"/>
  <c r="BM28" i="1" s="1"/>
  <c r="BN28" i="1" s="1"/>
  <c r="BH28" i="1"/>
  <c r="BG28" i="1"/>
  <c r="BC28" i="1"/>
  <c r="AW28" i="1"/>
  <c r="AQ28" i="1"/>
  <c r="BD28" i="1" s="1"/>
  <c r="AL28" i="1"/>
  <c r="AJ28" i="1" s="1"/>
  <c r="AB28" i="1"/>
  <c r="AA28" i="1"/>
  <c r="Z28" i="1" s="1"/>
  <c r="S28" i="1"/>
  <c r="CZ27" i="1"/>
  <c r="CY27" i="1"/>
  <c r="CX27" i="1"/>
  <c r="AY27" i="1" s="1"/>
  <c r="CW27" i="1"/>
  <c r="BL27" i="1"/>
  <c r="BK27" i="1"/>
  <c r="BG27" i="1"/>
  <c r="BC27" i="1"/>
  <c r="AW27" i="1"/>
  <c r="BA27" i="1" s="1"/>
  <c r="AQ27" i="1"/>
  <c r="BD27" i="1" s="1"/>
  <c r="AL27" i="1"/>
  <c r="AJ27" i="1" s="1"/>
  <c r="M27" i="1" s="1"/>
  <c r="AZ27" i="1" s="1"/>
  <c r="BB27" i="1" s="1"/>
  <c r="AB27" i="1"/>
  <c r="AA27" i="1"/>
  <c r="Z27" i="1" s="1"/>
  <c r="V27" i="1"/>
  <c r="S27" i="1"/>
  <c r="N27" i="1"/>
  <c r="CZ26" i="1"/>
  <c r="CY26" i="1"/>
  <c r="CW26" i="1"/>
  <c r="CX26" i="1" s="1"/>
  <c r="AY26" i="1" s="1"/>
  <c r="BA26" i="1" s="1"/>
  <c r="BM26" i="1"/>
  <c r="BN26" i="1" s="1"/>
  <c r="BL26" i="1"/>
  <c r="BK26" i="1"/>
  <c r="BJ26" i="1"/>
  <c r="BG26" i="1"/>
  <c r="BI26" i="1" s="1"/>
  <c r="BD26" i="1"/>
  <c r="BC26" i="1"/>
  <c r="AW26" i="1"/>
  <c r="AQ26" i="1"/>
  <c r="AL26" i="1"/>
  <c r="AJ26" i="1" s="1"/>
  <c r="AK26" i="1" s="1"/>
  <c r="AB26" i="1"/>
  <c r="AA26" i="1"/>
  <c r="Z26" i="1" s="1"/>
  <c r="S26" i="1"/>
  <c r="L26" i="1"/>
  <c r="K26" i="1" s="1"/>
  <c r="CZ25" i="1"/>
  <c r="V25" i="1" s="1"/>
  <c r="CY25" i="1"/>
  <c r="CX25" i="1" s="1"/>
  <c r="AY25" i="1" s="1"/>
  <c r="CW25" i="1"/>
  <c r="BL25" i="1"/>
  <c r="BK25" i="1"/>
  <c r="BJ25" i="1"/>
  <c r="BI25" i="1"/>
  <c r="BM25" i="1" s="1"/>
  <c r="BN25" i="1" s="1"/>
  <c r="BH25" i="1"/>
  <c r="BG25" i="1"/>
  <c r="BC25" i="1"/>
  <c r="BA25" i="1"/>
  <c r="AW25" i="1"/>
  <c r="AQ25" i="1"/>
  <c r="BD25" i="1" s="1"/>
  <c r="AL25" i="1"/>
  <c r="AJ25" i="1"/>
  <c r="AB25" i="1"/>
  <c r="AA25" i="1"/>
  <c r="Z25" i="1"/>
  <c r="S25" i="1"/>
  <c r="Q25" i="1"/>
  <c r="CZ24" i="1"/>
  <c r="V24" i="1" s="1"/>
  <c r="CY24" i="1"/>
  <c r="CX24" i="1" s="1"/>
  <c r="AY24" i="1" s="1"/>
  <c r="CW24" i="1"/>
  <c r="BL24" i="1"/>
  <c r="BK24" i="1"/>
  <c r="BJ24" i="1"/>
  <c r="BI24" i="1"/>
  <c r="BM24" i="1" s="1"/>
  <c r="BN24" i="1" s="1"/>
  <c r="BH24" i="1"/>
  <c r="BG24" i="1"/>
  <c r="BC24" i="1"/>
  <c r="AW24" i="1"/>
  <c r="AQ24" i="1"/>
  <c r="BD24" i="1" s="1"/>
  <c r="AL24" i="1"/>
  <c r="AJ24" i="1" s="1"/>
  <c r="AB24" i="1"/>
  <c r="AA24" i="1"/>
  <c r="Z24" i="1" s="1"/>
  <c r="S24" i="1"/>
  <c r="CZ23" i="1"/>
  <c r="CY23" i="1"/>
  <c r="CW23" i="1"/>
  <c r="CX23" i="1" s="1"/>
  <c r="AY23" i="1" s="1"/>
  <c r="BL23" i="1"/>
  <c r="BK23" i="1"/>
  <c r="BH23" i="1"/>
  <c r="BG23" i="1"/>
  <c r="BC23" i="1"/>
  <c r="AW23" i="1"/>
  <c r="AQ23" i="1"/>
  <c r="BD23" i="1" s="1"/>
  <c r="AL23" i="1"/>
  <c r="AJ23" i="1" s="1"/>
  <c r="M23" i="1" s="1"/>
  <c r="AZ23" i="1" s="1"/>
  <c r="BB23" i="1" s="1"/>
  <c r="AB23" i="1"/>
  <c r="AA23" i="1"/>
  <c r="Z23" i="1" s="1"/>
  <c r="V23" i="1"/>
  <c r="S23" i="1"/>
  <c r="N23" i="1"/>
  <c r="CZ22" i="1"/>
  <c r="CY22" i="1"/>
  <c r="CW22" i="1"/>
  <c r="CX22" i="1" s="1"/>
  <c r="AY22" i="1" s="1"/>
  <c r="BA22" i="1" s="1"/>
  <c r="BL22" i="1"/>
  <c r="BK22" i="1"/>
  <c r="BJ22" i="1"/>
  <c r="BG22" i="1"/>
  <c r="BI22" i="1" s="1"/>
  <c r="BM22" i="1" s="1"/>
  <c r="BN22" i="1" s="1"/>
  <c r="BD22" i="1"/>
  <c r="BC22" i="1"/>
  <c r="AW22" i="1"/>
  <c r="AQ22" i="1"/>
  <c r="AL22" i="1"/>
  <c r="AJ22" i="1" s="1"/>
  <c r="AK22" i="1"/>
  <c r="AB22" i="1"/>
  <c r="AA22" i="1"/>
  <c r="Z22" i="1" s="1"/>
  <c r="S22" i="1"/>
  <c r="L22" i="1"/>
  <c r="K22" i="1" s="1"/>
  <c r="CZ21" i="1"/>
  <c r="V21" i="1" s="1"/>
  <c r="CY21" i="1"/>
  <c r="CX21" i="1" s="1"/>
  <c r="AY21" i="1" s="1"/>
  <c r="CW21" i="1"/>
  <c r="BL21" i="1"/>
  <c r="BK21" i="1"/>
  <c r="BJ21" i="1"/>
  <c r="BI21" i="1"/>
  <c r="BM21" i="1" s="1"/>
  <c r="BN21" i="1" s="1"/>
  <c r="BH21" i="1"/>
  <c r="BG21" i="1"/>
  <c r="BC21" i="1"/>
  <c r="BA21" i="1"/>
  <c r="AW21" i="1"/>
  <c r="AQ21" i="1"/>
  <c r="BD21" i="1" s="1"/>
  <c r="AL21" i="1"/>
  <c r="AJ21" i="1"/>
  <c r="AB21" i="1"/>
  <c r="AA21" i="1"/>
  <c r="Z21" i="1"/>
  <c r="S21" i="1"/>
  <c r="Q21" i="1"/>
  <c r="CZ20" i="1"/>
  <c r="V20" i="1" s="1"/>
  <c r="CY20" i="1"/>
  <c r="CX20" i="1" s="1"/>
  <c r="CW20" i="1"/>
  <c r="BL20" i="1"/>
  <c r="BK20" i="1"/>
  <c r="BJ20" i="1"/>
  <c r="BI20" i="1"/>
  <c r="BM20" i="1" s="1"/>
  <c r="BN20" i="1" s="1"/>
  <c r="BH20" i="1"/>
  <c r="BG20" i="1"/>
  <c r="BC20" i="1"/>
  <c r="AY20" i="1"/>
  <c r="AW20" i="1"/>
  <c r="BA20" i="1" s="1"/>
  <c r="AQ20" i="1"/>
  <c r="BD20" i="1" s="1"/>
  <c r="AL20" i="1"/>
  <c r="AJ20" i="1" s="1"/>
  <c r="AB20" i="1"/>
  <c r="AA20" i="1"/>
  <c r="Z20" i="1" s="1"/>
  <c r="S20" i="1"/>
  <c r="CZ19" i="1"/>
  <c r="CY19" i="1"/>
  <c r="CW19" i="1"/>
  <c r="CX19" i="1" s="1"/>
  <c r="AY19" i="1" s="1"/>
  <c r="BL19" i="1"/>
  <c r="BK19" i="1"/>
  <c r="BG19" i="1"/>
  <c r="BC19" i="1"/>
  <c r="AW19" i="1"/>
  <c r="AQ19" i="1"/>
  <c r="BD19" i="1" s="1"/>
  <c r="AL19" i="1"/>
  <c r="AJ19" i="1" s="1"/>
  <c r="N19" i="1" s="1"/>
  <c r="AB19" i="1"/>
  <c r="AA19" i="1"/>
  <c r="S19" i="1"/>
  <c r="CZ18" i="1"/>
  <c r="CY18" i="1"/>
  <c r="CW18" i="1"/>
  <c r="CX18" i="1" s="1"/>
  <c r="AY18" i="1" s="1"/>
  <c r="BA18" i="1" s="1"/>
  <c r="BM18" i="1"/>
  <c r="BN18" i="1" s="1"/>
  <c r="BL18" i="1"/>
  <c r="BK18" i="1"/>
  <c r="BJ18" i="1"/>
  <c r="BG18" i="1"/>
  <c r="BI18" i="1" s="1"/>
  <c r="BD18" i="1"/>
  <c r="BC18" i="1"/>
  <c r="AW18" i="1"/>
  <c r="AQ18" i="1"/>
  <c r="AL18" i="1"/>
  <c r="AK18" i="1"/>
  <c r="AJ18" i="1"/>
  <c r="AB18" i="1"/>
  <c r="AA18" i="1"/>
  <c r="Z18" i="1"/>
  <c r="S18" i="1"/>
  <c r="L18" i="1"/>
  <c r="K18" i="1" s="1"/>
  <c r="CZ17" i="1"/>
  <c r="CY17" i="1"/>
  <c r="CX17" i="1" s="1"/>
  <c r="AY17" i="1" s="1"/>
  <c r="BA17" i="1" s="1"/>
  <c r="CW17" i="1"/>
  <c r="BL17" i="1"/>
  <c r="BK17" i="1"/>
  <c r="BJ17" i="1"/>
  <c r="BI17" i="1"/>
  <c r="BM17" i="1" s="1"/>
  <c r="BN17" i="1" s="1"/>
  <c r="BH17" i="1"/>
  <c r="BG17" i="1"/>
  <c r="BC17" i="1"/>
  <c r="AW17" i="1"/>
  <c r="AQ17" i="1"/>
  <c r="BD17" i="1" s="1"/>
  <c r="AL17" i="1"/>
  <c r="AJ17" i="1"/>
  <c r="AB17" i="1"/>
  <c r="AA17" i="1"/>
  <c r="Z17" i="1"/>
  <c r="V17" i="1"/>
  <c r="S17" i="1"/>
  <c r="N17" i="1"/>
  <c r="AD22" i="1" l="1"/>
  <c r="AD18" i="1"/>
  <c r="AD30" i="1"/>
  <c r="AD26" i="1"/>
  <c r="M17" i="1"/>
  <c r="AZ17" i="1" s="1"/>
  <c r="BB17" i="1" s="1"/>
  <c r="L17" i="1"/>
  <c r="K17" i="1" s="1"/>
  <c r="AK17" i="1"/>
  <c r="BA19" i="1"/>
  <c r="BJ27" i="1"/>
  <c r="BI27" i="1"/>
  <c r="BM27" i="1" s="1"/>
  <c r="BN27" i="1" s="1"/>
  <c r="N29" i="1"/>
  <c r="M29" i="1"/>
  <c r="AZ29" i="1" s="1"/>
  <c r="BB29" i="1" s="1"/>
  <c r="L29" i="1"/>
  <c r="K29" i="1" s="1"/>
  <c r="AK29" i="1"/>
  <c r="BA31" i="1"/>
  <c r="V19" i="1"/>
  <c r="BA24" i="1"/>
  <c r="BH27" i="1"/>
  <c r="N28" i="1"/>
  <c r="M28" i="1"/>
  <c r="AZ28" i="1" s="1"/>
  <c r="BB28" i="1" s="1"/>
  <c r="L28" i="1"/>
  <c r="K28" i="1" s="1"/>
  <c r="W28" i="1" s="1"/>
  <c r="X28" i="1" s="1"/>
  <c r="AK28" i="1"/>
  <c r="Q28" i="1"/>
  <c r="Q38" i="1"/>
  <c r="N38" i="1"/>
  <c r="L38" i="1"/>
  <c r="K38" i="1" s="1"/>
  <c r="AK38" i="1"/>
  <c r="M38" i="1"/>
  <c r="AZ38" i="1" s="1"/>
  <c r="BB38" i="1" s="1"/>
  <c r="Q17" i="1"/>
  <c r="Q18" i="1"/>
  <c r="N18" i="1"/>
  <c r="M18" i="1"/>
  <c r="AZ18" i="1" s="1"/>
  <c r="BB18" i="1" s="1"/>
  <c r="Z19" i="1"/>
  <c r="L23" i="1"/>
  <c r="K23" i="1" s="1"/>
  <c r="W23" i="1" s="1"/>
  <c r="X23" i="1" s="1"/>
  <c r="AK23" i="1"/>
  <c r="Q23" i="1"/>
  <c r="L19" i="1"/>
  <c r="K19" i="1" s="1"/>
  <c r="BJ19" i="1"/>
  <c r="BI19" i="1"/>
  <c r="BM19" i="1" s="1"/>
  <c r="BN19" i="1" s="1"/>
  <c r="Q22" i="1"/>
  <c r="N22" i="1"/>
  <c r="M22" i="1"/>
  <c r="AZ22" i="1" s="1"/>
  <c r="BB22" i="1" s="1"/>
  <c r="BA28" i="1"/>
  <c r="M19" i="1"/>
  <c r="AZ19" i="1" s="1"/>
  <c r="BB19" i="1" s="1"/>
  <c r="BH19" i="1"/>
  <c r="N21" i="1"/>
  <c r="M21" i="1"/>
  <c r="AZ21" i="1" s="1"/>
  <c r="BB21" i="1" s="1"/>
  <c r="L21" i="1"/>
  <c r="K21" i="1" s="1"/>
  <c r="W21" i="1" s="1"/>
  <c r="X21" i="1" s="1"/>
  <c r="AK21" i="1"/>
  <c r="BA23" i="1"/>
  <c r="L27" i="1"/>
  <c r="K27" i="1" s="1"/>
  <c r="AK27" i="1"/>
  <c r="Q27" i="1"/>
  <c r="Z30" i="1"/>
  <c r="W40" i="1"/>
  <c r="X40" i="1" s="1"/>
  <c r="M46" i="1"/>
  <c r="AZ46" i="1" s="1"/>
  <c r="BB46" i="1" s="1"/>
  <c r="AK46" i="1"/>
  <c r="Q46" i="1"/>
  <c r="N46" i="1"/>
  <c r="L46" i="1"/>
  <c r="K46" i="1" s="1"/>
  <c r="N20" i="1"/>
  <c r="M20" i="1"/>
  <c r="AZ20" i="1" s="1"/>
  <c r="BB20" i="1" s="1"/>
  <c r="L20" i="1"/>
  <c r="K20" i="1" s="1"/>
  <c r="AK20" i="1"/>
  <c r="Q20" i="1"/>
  <c r="W25" i="1"/>
  <c r="X25" i="1" s="1"/>
  <c r="Q26" i="1"/>
  <c r="N26" i="1"/>
  <c r="M26" i="1"/>
  <c r="AZ26" i="1" s="1"/>
  <c r="BB26" i="1" s="1"/>
  <c r="N32" i="1"/>
  <c r="M32" i="1"/>
  <c r="AZ32" i="1" s="1"/>
  <c r="BB32" i="1" s="1"/>
  <c r="L32" i="1"/>
  <c r="K32" i="1" s="1"/>
  <c r="AK32" i="1"/>
  <c r="Q32" i="1"/>
  <c r="AK19" i="1"/>
  <c r="Q19" i="1"/>
  <c r="BJ23" i="1"/>
  <c r="BI23" i="1"/>
  <c r="BM23" i="1" s="1"/>
  <c r="BN23" i="1" s="1"/>
  <c r="N25" i="1"/>
  <c r="M25" i="1"/>
  <c r="AZ25" i="1" s="1"/>
  <c r="BB25" i="1" s="1"/>
  <c r="L25" i="1"/>
  <c r="K25" i="1" s="1"/>
  <c r="AK25" i="1"/>
  <c r="AK30" i="1"/>
  <c r="Q30" i="1"/>
  <c r="N30" i="1"/>
  <c r="M30" i="1"/>
  <c r="AZ30" i="1" s="1"/>
  <c r="BB30" i="1" s="1"/>
  <c r="N31" i="1"/>
  <c r="M31" i="1"/>
  <c r="AZ31" i="1" s="1"/>
  <c r="BB31" i="1" s="1"/>
  <c r="L31" i="1"/>
  <c r="K31" i="1" s="1"/>
  <c r="AK31" i="1"/>
  <c r="Q31" i="1"/>
  <c r="Q42" i="1"/>
  <c r="N42" i="1"/>
  <c r="AK42" i="1"/>
  <c r="M42" i="1"/>
  <c r="AZ42" i="1" s="1"/>
  <c r="BB42" i="1" s="1"/>
  <c r="L42" i="1"/>
  <c r="K42" i="1" s="1"/>
  <c r="N24" i="1"/>
  <c r="M24" i="1"/>
  <c r="AZ24" i="1" s="1"/>
  <c r="BB24" i="1" s="1"/>
  <c r="L24" i="1"/>
  <c r="K24" i="1" s="1"/>
  <c r="AK24" i="1"/>
  <c r="Q24" i="1"/>
  <c r="W27" i="1"/>
  <c r="X27" i="1" s="1"/>
  <c r="AE27" i="1" s="1"/>
  <c r="W29" i="1"/>
  <c r="X29" i="1" s="1"/>
  <c r="L34" i="1"/>
  <c r="K34" i="1" s="1"/>
  <c r="AK34" i="1"/>
  <c r="Q34" i="1"/>
  <c r="N34" i="1"/>
  <c r="M34" i="1"/>
  <c r="AZ34" i="1" s="1"/>
  <c r="BB34" i="1" s="1"/>
  <c r="W43" i="1"/>
  <c r="X43" i="1" s="1"/>
  <c r="W31" i="1"/>
  <c r="X31" i="1" s="1"/>
  <c r="AE31" i="1" s="1"/>
  <c r="BI31" i="1"/>
  <c r="BM31" i="1" s="1"/>
  <c r="BN31" i="1" s="1"/>
  <c r="AK33" i="1"/>
  <c r="BJ34" i="1"/>
  <c r="BH34" i="1"/>
  <c r="AK35" i="1"/>
  <c r="Q35" i="1"/>
  <c r="BI35" i="1"/>
  <c r="BM35" i="1" s="1"/>
  <c r="BN35" i="1" s="1"/>
  <c r="N36" i="1"/>
  <c r="CX42" i="1"/>
  <c r="AY42" i="1" s="1"/>
  <c r="V42" i="1"/>
  <c r="BH43" i="1"/>
  <c r="M44" i="1"/>
  <c r="AZ44" i="1" s="1"/>
  <c r="BB44" i="1" s="1"/>
  <c r="L44" i="1"/>
  <c r="K44" i="1" s="1"/>
  <c r="AK44" i="1"/>
  <c r="V18" i="1"/>
  <c r="BH18" i="1"/>
  <c r="V22" i="1"/>
  <c r="BH22" i="1"/>
  <c r="V26" i="1"/>
  <c r="BH26" i="1"/>
  <c r="V30" i="1"/>
  <c r="BH30" i="1"/>
  <c r="L33" i="1"/>
  <c r="K33" i="1" s="1"/>
  <c r="V34" i="1"/>
  <c r="BI34" i="1"/>
  <c r="BM34" i="1" s="1"/>
  <c r="BN34" i="1" s="1"/>
  <c r="BJ38" i="1"/>
  <c r="BI38" i="1"/>
  <c r="BM38" i="1" s="1"/>
  <c r="BN38" i="1" s="1"/>
  <c r="BH38" i="1"/>
  <c r="L39" i="1"/>
  <c r="K39" i="1" s="1"/>
  <c r="BA39" i="1"/>
  <c r="AK43" i="1"/>
  <c r="Q43" i="1"/>
  <c r="BI43" i="1"/>
  <c r="BM43" i="1" s="1"/>
  <c r="BN43" i="1" s="1"/>
  <c r="N44" i="1"/>
  <c r="M47" i="1"/>
  <c r="AZ47" i="1" s="1"/>
  <c r="BB47" i="1" s="1"/>
  <c r="AK47" i="1"/>
  <c r="Q47" i="1"/>
  <c r="AD55" i="1"/>
  <c r="M33" i="1"/>
  <c r="AZ33" i="1" s="1"/>
  <c r="BB33" i="1" s="1"/>
  <c r="L35" i="1"/>
  <c r="K35" i="1" s="1"/>
  <c r="W35" i="1" s="1"/>
  <c r="X35" i="1" s="1"/>
  <c r="BA35" i="1"/>
  <c r="M39" i="1"/>
  <c r="AZ39" i="1" s="1"/>
  <c r="BB39" i="1" s="1"/>
  <c r="N47" i="1"/>
  <c r="N51" i="1"/>
  <c r="M51" i="1"/>
  <c r="AZ51" i="1" s="1"/>
  <c r="BB51" i="1" s="1"/>
  <c r="L51" i="1"/>
  <c r="K51" i="1" s="1"/>
  <c r="AK51" i="1"/>
  <c r="Q51" i="1"/>
  <c r="BB65" i="1"/>
  <c r="N33" i="1"/>
  <c r="BB35" i="1"/>
  <c r="Z35" i="1"/>
  <c r="BJ42" i="1"/>
  <c r="BI42" i="1"/>
  <c r="BM42" i="1" s="1"/>
  <c r="BN42" i="1" s="1"/>
  <c r="BH42" i="1"/>
  <c r="BA43" i="1"/>
  <c r="AK45" i="1"/>
  <c r="Q45" i="1"/>
  <c r="N45" i="1"/>
  <c r="M45" i="1"/>
  <c r="AZ45" i="1" s="1"/>
  <c r="BB45" i="1" s="1"/>
  <c r="L45" i="1"/>
  <c r="K45" i="1" s="1"/>
  <c r="W45" i="1" s="1"/>
  <c r="X45" i="1" s="1"/>
  <c r="BA47" i="1"/>
  <c r="M50" i="1"/>
  <c r="AZ50" i="1" s="1"/>
  <c r="BB50" i="1" s="1"/>
  <c r="L50" i="1"/>
  <c r="K50" i="1" s="1"/>
  <c r="AK50" i="1"/>
  <c r="Q50" i="1"/>
  <c r="N50" i="1"/>
  <c r="N37" i="1"/>
  <c r="M37" i="1"/>
  <c r="AZ37" i="1" s="1"/>
  <c r="BB37" i="1" s="1"/>
  <c r="L37" i="1"/>
  <c r="K37" i="1" s="1"/>
  <c r="N41" i="1"/>
  <c r="M41" i="1"/>
  <c r="AZ41" i="1" s="1"/>
  <c r="BB41" i="1" s="1"/>
  <c r="L41" i="1"/>
  <c r="K41" i="1" s="1"/>
  <c r="BB43" i="1"/>
  <c r="Q44" i="1"/>
  <c r="W48" i="1"/>
  <c r="X48" i="1" s="1"/>
  <c r="Q52" i="1"/>
  <c r="N52" i="1"/>
  <c r="M52" i="1"/>
  <c r="AZ52" i="1" s="1"/>
  <c r="BB52" i="1" s="1"/>
  <c r="L52" i="1"/>
  <c r="K52" i="1" s="1"/>
  <c r="AK52" i="1"/>
  <c r="W37" i="1"/>
  <c r="X37" i="1" s="1"/>
  <c r="AE37" i="1" s="1"/>
  <c r="W47" i="1"/>
  <c r="X47" i="1" s="1"/>
  <c r="Q48" i="1"/>
  <c r="N48" i="1"/>
  <c r="M48" i="1"/>
  <c r="AZ48" i="1" s="1"/>
  <c r="BB48" i="1" s="1"/>
  <c r="L48" i="1"/>
  <c r="K48" i="1" s="1"/>
  <c r="AK48" i="1"/>
  <c r="CX38" i="1"/>
  <c r="AY38" i="1" s="1"/>
  <c r="BA38" i="1" s="1"/>
  <c r="V38" i="1"/>
  <c r="M40" i="1"/>
  <c r="AZ40" i="1" s="1"/>
  <c r="BB40" i="1" s="1"/>
  <c r="L40" i="1"/>
  <c r="K40" i="1" s="1"/>
  <c r="AK40" i="1"/>
  <c r="AD56" i="1"/>
  <c r="M36" i="1"/>
  <c r="AZ36" i="1" s="1"/>
  <c r="BB36" i="1" s="1"/>
  <c r="L36" i="1"/>
  <c r="K36" i="1" s="1"/>
  <c r="AK36" i="1"/>
  <c r="AK39" i="1"/>
  <c r="Q39" i="1"/>
  <c r="W41" i="1"/>
  <c r="X41" i="1" s="1"/>
  <c r="BA42" i="1"/>
  <c r="W51" i="1"/>
  <c r="X51" i="1" s="1"/>
  <c r="W56" i="1"/>
  <c r="X56" i="1" s="1"/>
  <c r="T56" i="1" s="1"/>
  <c r="R56" i="1" s="1"/>
  <c r="U56" i="1" s="1"/>
  <c r="O56" i="1" s="1"/>
  <c r="P56" i="1" s="1"/>
  <c r="V46" i="1"/>
  <c r="BH46" i="1"/>
  <c r="L49" i="1"/>
  <c r="K49" i="1" s="1"/>
  <c r="W49" i="1" s="1"/>
  <c r="X49" i="1" s="1"/>
  <c r="V50" i="1"/>
  <c r="BH50" i="1"/>
  <c r="L53" i="1"/>
  <c r="K53" i="1" s="1"/>
  <c r="CX53" i="1"/>
  <c r="AY53" i="1" s="1"/>
  <c r="BA53" i="1" s="1"/>
  <c r="V53" i="1"/>
  <c r="CX55" i="1"/>
  <c r="AY55" i="1" s="1"/>
  <c r="BA55" i="1" s="1"/>
  <c r="V55" i="1"/>
  <c r="BH56" i="1"/>
  <c r="N57" i="1"/>
  <c r="L57" i="1"/>
  <c r="K57" i="1" s="1"/>
  <c r="AK57" i="1"/>
  <c r="BI57" i="1"/>
  <c r="BM57" i="1" s="1"/>
  <c r="BN57" i="1" s="1"/>
  <c r="AK59" i="1"/>
  <c r="N59" i="1"/>
  <c r="M59" i="1"/>
  <c r="AZ59" i="1" s="1"/>
  <c r="BB59" i="1" s="1"/>
  <c r="BB64" i="1"/>
  <c r="N65" i="1"/>
  <c r="L65" i="1"/>
  <c r="K65" i="1" s="1"/>
  <c r="AK65" i="1"/>
  <c r="Q65" i="1"/>
  <c r="BA66" i="1"/>
  <c r="BI46" i="1"/>
  <c r="BM46" i="1" s="1"/>
  <c r="BN46" i="1" s="1"/>
  <c r="M49" i="1"/>
  <c r="AZ49" i="1" s="1"/>
  <c r="BB49" i="1" s="1"/>
  <c r="BI50" i="1"/>
  <c r="BM50" i="1" s="1"/>
  <c r="BN50" i="1" s="1"/>
  <c r="M53" i="1"/>
  <c r="AZ53" i="1" s="1"/>
  <c r="BB53" i="1" s="1"/>
  <c r="AK53" i="1"/>
  <c r="Q55" i="1"/>
  <c r="BI56" i="1"/>
  <c r="BM56" i="1" s="1"/>
  <c r="BN56" i="1" s="1"/>
  <c r="M57" i="1"/>
  <c r="AZ57" i="1" s="1"/>
  <c r="BB57" i="1" s="1"/>
  <c r="BJ57" i="1"/>
  <c r="Q58" i="1"/>
  <c r="N58" i="1"/>
  <c r="M58" i="1"/>
  <c r="AZ58" i="1" s="1"/>
  <c r="BB58" i="1" s="1"/>
  <c r="L58" i="1"/>
  <c r="K58" i="1" s="1"/>
  <c r="AK58" i="1"/>
  <c r="Q59" i="1"/>
  <c r="W60" i="1"/>
  <c r="X60" i="1" s="1"/>
  <c r="BA60" i="1"/>
  <c r="CX65" i="1"/>
  <c r="AY65" i="1" s="1"/>
  <c r="BA65" i="1" s="1"/>
  <c r="V65" i="1"/>
  <c r="N49" i="1"/>
  <c r="M54" i="1"/>
  <c r="AZ54" i="1" s="1"/>
  <c r="BB54" i="1" s="1"/>
  <c r="L54" i="1"/>
  <c r="K54" i="1" s="1"/>
  <c r="AK63" i="1"/>
  <c r="N63" i="1"/>
  <c r="M63" i="1"/>
  <c r="AZ63" i="1" s="1"/>
  <c r="BB63" i="1" s="1"/>
  <c r="AE64" i="1"/>
  <c r="N69" i="1"/>
  <c r="M69" i="1"/>
  <c r="AZ69" i="1" s="1"/>
  <c r="BB69" i="1" s="1"/>
  <c r="L69" i="1"/>
  <c r="K69" i="1" s="1"/>
  <c r="AK69" i="1"/>
  <c r="Q69" i="1"/>
  <c r="Z53" i="1"/>
  <c r="BI53" i="1"/>
  <c r="BM53" i="1" s="1"/>
  <c r="BN53" i="1" s="1"/>
  <c r="AK54" i="1"/>
  <c r="BJ55" i="1"/>
  <c r="BI55" i="1"/>
  <c r="BM55" i="1" s="1"/>
  <c r="BN55" i="1" s="1"/>
  <c r="BH55" i="1"/>
  <c r="BI61" i="1"/>
  <c r="BM61" i="1" s="1"/>
  <c r="BN61" i="1" s="1"/>
  <c r="BH61" i="1"/>
  <c r="Q62" i="1"/>
  <c r="N62" i="1"/>
  <c r="M62" i="1"/>
  <c r="AZ62" i="1" s="1"/>
  <c r="BB62" i="1" s="1"/>
  <c r="L62" i="1"/>
  <c r="K62" i="1" s="1"/>
  <c r="AK62" i="1"/>
  <c r="Q63" i="1"/>
  <c r="W64" i="1"/>
  <c r="X64" i="1" s="1"/>
  <c r="BA64" i="1"/>
  <c r="BA68" i="1"/>
  <c r="BB56" i="1"/>
  <c r="BA56" i="1"/>
  <c r="CX57" i="1"/>
  <c r="AY57" i="1" s="1"/>
  <c r="BA57" i="1" s="1"/>
  <c r="V57" i="1"/>
  <c r="Q49" i="1"/>
  <c r="W52" i="1"/>
  <c r="X52" i="1" s="1"/>
  <c r="Z59" i="1"/>
  <c r="T60" i="1"/>
  <c r="R60" i="1" s="1"/>
  <c r="U60" i="1" s="1"/>
  <c r="O60" i="1" s="1"/>
  <c r="P60" i="1" s="1"/>
  <c r="BI65" i="1"/>
  <c r="BM65" i="1" s="1"/>
  <c r="BN65" i="1" s="1"/>
  <c r="BH65" i="1"/>
  <c r="N61" i="1"/>
  <c r="L61" i="1"/>
  <c r="K61" i="1" s="1"/>
  <c r="AK61" i="1"/>
  <c r="Q61" i="1"/>
  <c r="CX61" i="1"/>
  <c r="AY61" i="1" s="1"/>
  <c r="BA61" i="1" s="1"/>
  <c r="V61" i="1"/>
  <c r="T64" i="1"/>
  <c r="R64" i="1" s="1"/>
  <c r="U64" i="1" s="1"/>
  <c r="O64" i="1" s="1"/>
  <c r="P64" i="1" s="1"/>
  <c r="L67" i="1"/>
  <c r="K67" i="1" s="1"/>
  <c r="AK67" i="1"/>
  <c r="N67" i="1"/>
  <c r="M67" i="1"/>
  <c r="AZ67" i="1" s="1"/>
  <c r="BB67" i="1" s="1"/>
  <c r="BB68" i="1"/>
  <c r="AK66" i="1"/>
  <c r="W86" i="1"/>
  <c r="X86" i="1" s="1"/>
  <c r="AD89" i="1"/>
  <c r="W89" i="1"/>
  <c r="X89" i="1" s="1"/>
  <c r="AE89" i="1" s="1"/>
  <c r="AD95" i="1"/>
  <c r="V59" i="1"/>
  <c r="BH59" i="1"/>
  <c r="V63" i="1"/>
  <c r="BH63" i="1"/>
  <c r="L66" i="1"/>
  <c r="K66" i="1" s="1"/>
  <c r="V67" i="1"/>
  <c r="BH67" i="1"/>
  <c r="L70" i="1"/>
  <c r="K70" i="1" s="1"/>
  <c r="M72" i="1"/>
  <c r="AZ72" i="1" s="1"/>
  <c r="BB72" i="1" s="1"/>
  <c r="AK72" i="1"/>
  <c r="Q72" i="1"/>
  <c r="N72" i="1"/>
  <c r="BA75" i="1"/>
  <c r="BB77" i="1"/>
  <c r="Q78" i="1"/>
  <c r="N78" i="1"/>
  <c r="M78" i="1"/>
  <c r="AZ78" i="1" s="1"/>
  <c r="BB78" i="1" s="1"/>
  <c r="L78" i="1"/>
  <c r="K78" i="1" s="1"/>
  <c r="AK78" i="1"/>
  <c r="Q56" i="1"/>
  <c r="BI59" i="1"/>
  <c r="BM59" i="1" s="1"/>
  <c r="BN59" i="1" s="1"/>
  <c r="Q60" i="1"/>
  <c r="BI63" i="1"/>
  <c r="BM63" i="1" s="1"/>
  <c r="BN63" i="1" s="1"/>
  <c r="Q64" i="1"/>
  <c r="M66" i="1"/>
  <c r="AZ66" i="1" s="1"/>
  <c r="BB66" i="1" s="1"/>
  <c r="BI67" i="1"/>
  <c r="BM67" i="1" s="1"/>
  <c r="BN67" i="1" s="1"/>
  <c r="Q68" i="1"/>
  <c r="M70" i="1"/>
  <c r="AZ70" i="1" s="1"/>
  <c r="BB70" i="1" s="1"/>
  <c r="W76" i="1"/>
  <c r="X76" i="1" s="1"/>
  <c r="AE76" i="1" s="1"/>
  <c r="M80" i="1"/>
  <c r="AZ80" i="1" s="1"/>
  <c r="BB80" i="1" s="1"/>
  <c r="L80" i="1"/>
  <c r="K80" i="1" s="1"/>
  <c r="AK80" i="1"/>
  <c r="Q80" i="1"/>
  <c r="N80" i="1"/>
  <c r="AD86" i="1"/>
  <c r="T86" i="1"/>
  <c r="R86" i="1" s="1"/>
  <c r="U86" i="1" s="1"/>
  <c r="O86" i="1" s="1"/>
  <c r="P86" i="1" s="1"/>
  <c r="N66" i="1"/>
  <c r="N70" i="1"/>
  <c r="W72" i="1"/>
  <c r="X72" i="1" s="1"/>
  <c r="T72" i="1" s="1"/>
  <c r="R72" i="1" s="1"/>
  <c r="U72" i="1" s="1"/>
  <c r="O72" i="1" s="1"/>
  <c r="P72" i="1" s="1"/>
  <c r="AD72" i="1"/>
  <c r="BB87" i="1"/>
  <c r="W87" i="1"/>
  <c r="X87" i="1" s="1"/>
  <c r="AD87" i="1"/>
  <c r="AK88" i="1"/>
  <c r="N88" i="1"/>
  <c r="Q88" i="1"/>
  <c r="M88" i="1"/>
  <c r="AZ88" i="1" s="1"/>
  <c r="L88" i="1"/>
  <c r="K88" i="1" s="1"/>
  <c r="M84" i="1"/>
  <c r="AZ84" i="1" s="1"/>
  <c r="BB84" i="1" s="1"/>
  <c r="L84" i="1"/>
  <c r="K84" i="1" s="1"/>
  <c r="AK84" i="1"/>
  <c r="Q84" i="1"/>
  <c r="N84" i="1"/>
  <c r="AE86" i="1"/>
  <c r="L68" i="1"/>
  <c r="K68" i="1" s="1"/>
  <c r="W68" i="1" s="1"/>
  <c r="X68" i="1" s="1"/>
  <c r="V69" i="1"/>
  <c r="BH69" i="1"/>
  <c r="M73" i="1"/>
  <c r="AZ73" i="1" s="1"/>
  <c r="BB73" i="1" s="1"/>
  <c r="L73" i="1"/>
  <c r="K73" i="1" s="1"/>
  <c r="AK73" i="1"/>
  <c r="Q73" i="1"/>
  <c r="BB81" i="1"/>
  <c r="Q70" i="1"/>
  <c r="AK71" i="1"/>
  <c r="Q71" i="1"/>
  <c r="N71" i="1"/>
  <c r="M71" i="1"/>
  <c r="AZ71" i="1" s="1"/>
  <c r="BB71" i="1" s="1"/>
  <c r="L71" i="1"/>
  <c r="K71" i="1" s="1"/>
  <c r="Q74" i="1"/>
  <c r="N74" i="1"/>
  <c r="M74" i="1"/>
  <c r="AZ74" i="1" s="1"/>
  <c r="BB74" i="1" s="1"/>
  <c r="L74" i="1"/>
  <c r="K74" i="1" s="1"/>
  <c r="AK74" i="1"/>
  <c r="M76" i="1"/>
  <c r="AZ76" i="1" s="1"/>
  <c r="BB76" i="1" s="1"/>
  <c r="L76" i="1"/>
  <c r="K76" i="1" s="1"/>
  <c r="AK76" i="1"/>
  <c r="Q76" i="1"/>
  <c r="N76" i="1"/>
  <c r="W80" i="1"/>
  <c r="X80" i="1" s="1"/>
  <c r="AE80" i="1" s="1"/>
  <c r="Q82" i="1"/>
  <c r="N82" i="1"/>
  <c r="M82" i="1"/>
  <c r="AZ82" i="1" s="1"/>
  <c r="BB82" i="1" s="1"/>
  <c r="L82" i="1"/>
  <c r="K82" i="1" s="1"/>
  <c r="AK82" i="1"/>
  <c r="N85" i="1"/>
  <c r="M85" i="1"/>
  <c r="AZ85" i="1" s="1"/>
  <c r="BB85" i="1" s="1"/>
  <c r="L85" i="1"/>
  <c r="K85" i="1" s="1"/>
  <c r="W85" i="1" s="1"/>
  <c r="X85" i="1" s="1"/>
  <c r="AK85" i="1"/>
  <c r="Q85" i="1"/>
  <c r="AE87" i="1"/>
  <c r="AD90" i="1"/>
  <c r="L75" i="1"/>
  <c r="K75" i="1" s="1"/>
  <c r="BJ77" i="1"/>
  <c r="L79" i="1"/>
  <c r="K79" i="1" s="1"/>
  <c r="BJ81" i="1"/>
  <c r="L83" i="1"/>
  <c r="K83" i="1" s="1"/>
  <c r="N86" i="1"/>
  <c r="BI87" i="1"/>
  <c r="BM87" i="1" s="1"/>
  <c r="BN87" i="1" s="1"/>
  <c r="CX91" i="1"/>
  <c r="AY91" i="1" s="1"/>
  <c r="BA91" i="1" s="1"/>
  <c r="V91" i="1"/>
  <c r="BJ92" i="1"/>
  <c r="BH92" i="1"/>
  <c r="N97" i="1"/>
  <c r="M97" i="1"/>
  <c r="AZ97" i="1" s="1"/>
  <c r="BB97" i="1" s="1"/>
  <c r="L97" i="1"/>
  <c r="K97" i="1" s="1"/>
  <c r="AK97" i="1"/>
  <c r="Q97" i="1"/>
  <c r="W98" i="1"/>
  <c r="X98" i="1" s="1"/>
  <c r="AE98" i="1" s="1"/>
  <c r="BJ100" i="1"/>
  <c r="BI100" i="1"/>
  <c r="BM100" i="1" s="1"/>
  <c r="BN100" i="1" s="1"/>
  <c r="BH100" i="1"/>
  <c r="M75" i="1"/>
  <c r="AZ75" i="1" s="1"/>
  <c r="BB75" i="1" s="1"/>
  <c r="Q77" i="1"/>
  <c r="M79" i="1"/>
  <c r="AZ79" i="1" s="1"/>
  <c r="BB79" i="1" s="1"/>
  <c r="Q81" i="1"/>
  <c r="M83" i="1"/>
  <c r="AZ83" i="1" s="1"/>
  <c r="BB83" i="1" s="1"/>
  <c r="BJ87" i="1"/>
  <c r="AD92" i="1"/>
  <c r="BI92" i="1"/>
  <c r="BM92" i="1" s="1"/>
  <c r="BN92" i="1" s="1"/>
  <c r="V71" i="1"/>
  <c r="BH71" i="1"/>
  <c r="N75" i="1"/>
  <c r="N79" i="1"/>
  <c r="N83" i="1"/>
  <c r="V83" i="1"/>
  <c r="BH83" i="1"/>
  <c r="AK86" i="1"/>
  <c r="N89" i="1"/>
  <c r="AK89" i="1"/>
  <c r="BJ90" i="1"/>
  <c r="BI90" i="1"/>
  <c r="BM90" i="1" s="1"/>
  <c r="BN90" i="1" s="1"/>
  <c r="N93" i="1"/>
  <c r="M93" i="1"/>
  <c r="AZ93" i="1" s="1"/>
  <c r="BB93" i="1" s="1"/>
  <c r="L93" i="1"/>
  <c r="K93" i="1" s="1"/>
  <c r="AK93" i="1"/>
  <c r="V102" i="1"/>
  <c r="CX102" i="1"/>
  <c r="AY102" i="1" s="1"/>
  <c r="BB102" i="1" s="1"/>
  <c r="AK77" i="1"/>
  <c r="W79" i="1"/>
  <c r="X79" i="1" s="1"/>
  <c r="AK81" i="1"/>
  <c r="AD91" i="1"/>
  <c r="BJ96" i="1"/>
  <c r="BI96" i="1"/>
  <c r="BM96" i="1" s="1"/>
  <c r="BN96" i="1" s="1"/>
  <c r="BH96" i="1"/>
  <c r="BJ104" i="1"/>
  <c r="BH104" i="1"/>
  <c r="BI104" i="1"/>
  <c r="BM104" i="1" s="1"/>
  <c r="BN104" i="1" s="1"/>
  <c r="BH74" i="1"/>
  <c r="L77" i="1"/>
  <c r="K77" i="1" s="1"/>
  <c r="W77" i="1" s="1"/>
  <c r="X77" i="1" s="1"/>
  <c r="V78" i="1"/>
  <c r="BH78" i="1"/>
  <c r="L81" i="1"/>
  <c r="K81" i="1" s="1"/>
  <c r="V82" i="1"/>
  <c r="BH82" i="1"/>
  <c r="BH86" i="1"/>
  <c r="CX86" i="1"/>
  <c r="AY86" i="1" s="1"/>
  <c r="BA86" i="1" s="1"/>
  <c r="Q89" i="1"/>
  <c r="CX92" i="1"/>
  <c r="AY92" i="1" s="1"/>
  <c r="BA92" i="1" s="1"/>
  <c r="V92" i="1"/>
  <c r="BA102" i="1"/>
  <c r="Q75" i="1"/>
  <c r="Q79" i="1"/>
  <c r="Q83" i="1"/>
  <c r="AK87" i="1"/>
  <c r="CX88" i="1"/>
  <c r="AY88" i="1" s="1"/>
  <c r="BA88" i="1" s="1"/>
  <c r="V88" i="1"/>
  <c r="W90" i="1"/>
  <c r="X90" i="1" s="1"/>
  <c r="AE90" i="1" s="1"/>
  <c r="CX93" i="1"/>
  <c r="AY93" i="1" s="1"/>
  <c r="BA93" i="1" s="1"/>
  <c r="BA95" i="1"/>
  <c r="N98" i="1"/>
  <c r="M98" i="1"/>
  <c r="AZ98" i="1" s="1"/>
  <c r="BB98" i="1" s="1"/>
  <c r="L98" i="1"/>
  <c r="K98" i="1" s="1"/>
  <c r="AK98" i="1"/>
  <c r="AD104" i="1"/>
  <c r="AD96" i="1"/>
  <c r="CX96" i="1"/>
  <c r="AY96" i="1" s="1"/>
  <c r="BA96" i="1" s="1"/>
  <c r="V96" i="1"/>
  <c r="BB110" i="1"/>
  <c r="N94" i="1"/>
  <c r="M94" i="1"/>
  <c r="AZ94" i="1" s="1"/>
  <c r="BB94" i="1" s="1"/>
  <c r="L94" i="1"/>
  <c r="K94" i="1" s="1"/>
  <c r="AK94" i="1"/>
  <c r="AD106" i="1"/>
  <c r="N109" i="1"/>
  <c r="M109" i="1"/>
  <c r="AZ109" i="1" s="1"/>
  <c r="L109" i="1"/>
  <c r="K109" i="1" s="1"/>
  <c r="AK109" i="1"/>
  <c r="Q109" i="1"/>
  <c r="W122" i="1"/>
  <c r="X122" i="1" s="1"/>
  <c r="N92" i="1"/>
  <c r="BJ93" i="1"/>
  <c r="N96" i="1"/>
  <c r="L99" i="1"/>
  <c r="K99" i="1" s="1"/>
  <c r="Q100" i="1"/>
  <c r="Q103" i="1"/>
  <c r="BJ103" i="1"/>
  <c r="Q105" i="1"/>
  <c r="CX110" i="1"/>
  <c r="AY110" i="1" s="1"/>
  <c r="BA110" i="1" s="1"/>
  <c r="W114" i="1"/>
  <c r="X114" i="1" s="1"/>
  <c r="CX99" i="1"/>
  <c r="AY99" i="1" s="1"/>
  <c r="BA99" i="1" s="1"/>
  <c r="V99" i="1"/>
  <c r="N105" i="1"/>
  <c r="M105" i="1"/>
  <c r="AZ105" i="1" s="1"/>
  <c r="BB105" i="1" s="1"/>
  <c r="L105" i="1"/>
  <c r="K105" i="1" s="1"/>
  <c r="BJ107" i="1"/>
  <c r="BI107" i="1"/>
  <c r="BM107" i="1" s="1"/>
  <c r="BN107" i="1" s="1"/>
  <c r="BH107" i="1"/>
  <c r="V95" i="1"/>
  <c r="BH95" i="1"/>
  <c r="L101" i="1"/>
  <c r="K101" i="1" s="1"/>
  <c r="BH102" i="1"/>
  <c r="BJ108" i="1"/>
  <c r="BH108" i="1"/>
  <c r="CX109" i="1"/>
  <c r="AY109" i="1" s="1"/>
  <c r="BA109" i="1" s="1"/>
  <c r="W118" i="1"/>
  <c r="X118" i="1" s="1"/>
  <c r="BI95" i="1"/>
  <c r="BM95" i="1" s="1"/>
  <c r="BN95" i="1" s="1"/>
  <c r="Z99" i="1"/>
  <c r="M101" i="1"/>
  <c r="AZ101" i="1" s="1"/>
  <c r="AK101" i="1"/>
  <c r="CX101" i="1"/>
  <c r="AY101" i="1" s="1"/>
  <c r="BA101" i="1" s="1"/>
  <c r="V101" i="1"/>
  <c r="BI102" i="1"/>
  <c r="BM102" i="1" s="1"/>
  <c r="BN102" i="1" s="1"/>
  <c r="CX104" i="1"/>
  <c r="AY104" i="1" s="1"/>
  <c r="BA104" i="1" s="1"/>
  <c r="V104" i="1"/>
  <c r="BA114" i="1"/>
  <c r="AD121" i="1"/>
  <c r="V94" i="1"/>
  <c r="BH94" i="1"/>
  <c r="AD108" i="1"/>
  <c r="W127" i="1"/>
  <c r="X127" i="1" s="1"/>
  <c r="AK92" i="1"/>
  <c r="BI94" i="1"/>
  <c r="BM94" i="1" s="1"/>
  <c r="BN94" i="1" s="1"/>
  <c r="AK96" i="1"/>
  <c r="BI98" i="1"/>
  <c r="BM98" i="1" s="1"/>
  <c r="BN98" i="1" s="1"/>
  <c r="M100" i="1"/>
  <c r="AZ100" i="1" s="1"/>
  <c r="BB100" i="1" s="1"/>
  <c r="W100" i="1"/>
  <c r="X100" i="1" s="1"/>
  <c r="Z101" i="1"/>
  <c r="BI101" i="1"/>
  <c r="BM101" i="1" s="1"/>
  <c r="BN101" i="1" s="1"/>
  <c r="M103" i="1"/>
  <c r="AZ103" i="1" s="1"/>
  <c r="AK103" i="1"/>
  <c r="CX103" i="1"/>
  <c r="AY103" i="1" s="1"/>
  <c r="BA103" i="1" s="1"/>
  <c r="V103" i="1"/>
  <c r="Q107" i="1"/>
  <c r="N107" i="1"/>
  <c r="L107" i="1"/>
  <c r="K107" i="1" s="1"/>
  <c r="CX107" i="1"/>
  <c r="AY107" i="1" s="1"/>
  <c r="BA107" i="1" s="1"/>
  <c r="V107" i="1"/>
  <c r="BJ110" i="1"/>
  <c r="BI110" i="1"/>
  <c r="BM110" i="1" s="1"/>
  <c r="BN110" i="1" s="1"/>
  <c r="BH110" i="1"/>
  <c r="Q101" i="1"/>
  <c r="BJ101" i="1"/>
  <c r="M107" i="1"/>
  <c r="AZ107" i="1" s="1"/>
  <c r="CX108" i="1"/>
  <c r="AY108" i="1" s="1"/>
  <c r="BA108" i="1" s="1"/>
  <c r="V108" i="1"/>
  <c r="AD117" i="1"/>
  <c r="BJ105" i="1"/>
  <c r="BA118" i="1"/>
  <c r="BA122" i="1"/>
  <c r="CX111" i="1"/>
  <c r="AY111" i="1" s="1"/>
  <c r="BA111" i="1" s="1"/>
  <c r="V111" i="1"/>
  <c r="CX112" i="1"/>
  <c r="AY112" i="1" s="1"/>
  <c r="BA112" i="1" s="1"/>
  <c r="V112" i="1"/>
  <c r="CX113" i="1"/>
  <c r="AY113" i="1" s="1"/>
  <c r="BA113" i="1" s="1"/>
  <c r="V113" i="1"/>
  <c r="N116" i="1"/>
  <c r="M116" i="1"/>
  <c r="AZ116" i="1" s="1"/>
  <c r="BB116" i="1" s="1"/>
  <c r="L116" i="1"/>
  <c r="K116" i="1" s="1"/>
  <c r="AK116" i="1"/>
  <c r="N120" i="1"/>
  <c r="M120" i="1"/>
  <c r="AZ120" i="1" s="1"/>
  <c r="BB120" i="1" s="1"/>
  <c r="L120" i="1"/>
  <c r="K120" i="1" s="1"/>
  <c r="AK120" i="1"/>
  <c r="Q125" i="1"/>
  <c r="N125" i="1"/>
  <c r="M125" i="1"/>
  <c r="AZ125" i="1" s="1"/>
  <c r="BB125" i="1" s="1"/>
  <c r="N128" i="1"/>
  <c r="M128" i="1"/>
  <c r="AZ128" i="1" s="1"/>
  <c r="BB128" i="1" s="1"/>
  <c r="L128" i="1"/>
  <c r="K128" i="1" s="1"/>
  <c r="AK128" i="1"/>
  <c r="L111" i="1"/>
  <c r="K111" i="1" s="1"/>
  <c r="CX114" i="1"/>
  <c r="AY114" i="1" s="1"/>
  <c r="N115" i="1"/>
  <c r="M115" i="1"/>
  <c r="AZ115" i="1" s="1"/>
  <c r="L115" i="1"/>
  <c r="K115" i="1" s="1"/>
  <c r="AK115" i="1"/>
  <c r="Z117" i="1"/>
  <c r="BB118" i="1"/>
  <c r="BJ118" i="1"/>
  <c r="BI118" i="1"/>
  <c r="BM118" i="1" s="1"/>
  <c r="BN118" i="1" s="1"/>
  <c r="Z121" i="1"/>
  <c r="BB122" i="1"/>
  <c r="BJ122" i="1"/>
  <c r="BI122" i="1"/>
  <c r="BM122" i="1" s="1"/>
  <c r="BN122" i="1" s="1"/>
  <c r="CX123" i="1"/>
  <c r="AY123" i="1" s="1"/>
  <c r="BA123" i="1" s="1"/>
  <c r="AD110" i="1"/>
  <c r="M111" i="1"/>
  <c r="AZ111" i="1" s="1"/>
  <c r="AK111" i="1"/>
  <c r="N112" i="1"/>
  <c r="L112" i="1"/>
  <c r="K112" i="1" s="1"/>
  <c r="AK113" i="1"/>
  <c r="BJ113" i="1"/>
  <c r="BH113" i="1"/>
  <c r="N119" i="1"/>
  <c r="M119" i="1"/>
  <c r="AZ119" i="1" s="1"/>
  <c r="L119" i="1"/>
  <c r="K119" i="1" s="1"/>
  <c r="AK119" i="1"/>
  <c r="Q119" i="1"/>
  <c r="L125" i="1"/>
  <c r="K125" i="1" s="1"/>
  <c r="W126" i="1"/>
  <c r="X126" i="1" s="1"/>
  <c r="T126" i="1" s="1"/>
  <c r="R126" i="1" s="1"/>
  <c r="U126" i="1" s="1"/>
  <c r="O126" i="1" s="1"/>
  <c r="P126" i="1" s="1"/>
  <c r="V106" i="1"/>
  <c r="BH106" i="1"/>
  <c r="W110" i="1"/>
  <c r="X110" i="1" s="1"/>
  <c r="T110" i="1" s="1"/>
  <c r="R110" i="1" s="1"/>
  <c r="U110" i="1" s="1"/>
  <c r="O110" i="1" s="1"/>
  <c r="P110" i="1" s="1"/>
  <c r="BJ112" i="1"/>
  <c r="BH112" i="1"/>
  <c r="BI113" i="1"/>
  <c r="BM113" i="1" s="1"/>
  <c r="BN113" i="1" s="1"/>
  <c r="T114" i="1"/>
  <c r="R114" i="1" s="1"/>
  <c r="U114" i="1" s="1"/>
  <c r="O114" i="1" s="1"/>
  <c r="P114" i="1" s="1"/>
  <c r="T118" i="1"/>
  <c r="R118" i="1" s="1"/>
  <c r="U118" i="1" s="1"/>
  <c r="O118" i="1" s="1"/>
  <c r="P118" i="1" s="1"/>
  <c r="T122" i="1"/>
  <c r="R122" i="1" s="1"/>
  <c r="U122" i="1" s="1"/>
  <c r="O122" i="1" s="1"/>
  <c r="P122" i="1" s="1"/>
  <c r="BA126" i="1"/>
  <c r="BI106" i="1"/>
  <c r="BM106" i="1" s="1"/>
  <c r="BN106" i="1" s="1"/>
  <c r="AK108" i="1"/>
  <c r="BJ111" i="1"/>
  <c r="M112" i="1"/>
  <c r="AZ112" i="1" s="1"/>
  <c r="BI112" i="1"/>
  <c r="BM112" i="1" s="1"/>
  <c r="BN112" i="1" s="1"/>
  <c r="L113" i="1"/>
  <c r="K113" i="1" s="1"/>
  <c r="BB114" i="1"/>
  <c r="BH114" i="1"/>
  <c r="Q117" i="1"/>
  <c r="N117" i="1"/>
  <c r="M117" i="1"/>
  <c r="AZ117" i="1" s="1"/>
  <c r="BB117" i="1" s="1"/>
  <c r="Q121" i="1"/>
  <c r="N121" i="1"/>
  <c r="M121" i="1"/>
  <c r="AZ121" i="1" s="1"/>
  <c r="BB121" i="1" s="1"/>
  <c r="N124" i="1"/>
  <c r="M124" i="1"/>
  <c r="AZ124" i="1" s="1"/>
  <c r="BB124" i="1" s="1"/>
  <c r="L124" i="1"/>
  <c r="K124" i="1" s="1"/>
  <c r="AK124" i="1"/>
  <c r="CX127" i="1"/>
  <c r="AY127" i="1" s="1"/>
  <c r="BA127" i="1" s="1"/>
  <c r="V105" i="1"/>
  <c r="V109" i="1"/>
  <c r="Q111" i="1"/>
  <c r="M113" i="1"/>
  <c r="AZ113" i="1" s="1"/>
  <c r="BB113" i="1" s="1"/>
  <c r="Z113" i="1"/>
  <c r="BI114" i="1"/>
  <c r="BM114" i="1" s="1"/>
  <c r="BN114" i="1" s="1"/>
  <c r="CX115" i="1"/>
  <c r="AY115" i="1" s="1"/>
  <c r="BA115" i="1" s="1"/>
  <c r="CX119" i="1"/>
  <c r="AY119" i="1" s="1"/>
  <c r="BA119" i="1" s="1"/>
  <c r="Z125" i="1"/>
  <c r="BB126" i="1"/>
  <c r="BJ126" i="1"/>
  <c r="BI126" i="1"/>
  <c r="BM126" i="1" s="1"/>
  <c r="BN126" i="1" s="1"/>
  <c r="V117" i="1"/>
  <c r="BH117" i="1"/>
  <c r="V121" i="1"/>
  <c r="BH121" i="1"/>
  <c r="V125" i="1"/>
  <c r="BH125" i="1"/>
  <c r="BI117" i="1"/>
  <c r="BM117" i="1" s="1"/>
  <c r="BN117" i="1" s="1"/>
  <c r="BI121" i="1"/>
  <c r="BM121" i="1" s="1"/>
  <c r="BN121" i="1" s="1"/>
  <c r="BI125" i="1"/>
  <c r="BM125" i="1" s="1"/>
  <c r="BN125" i="1" s="1"/>
  <c r="AK127" i="1"/>
  <c r="V116" i="1"/>
  <c r="BH116" i="1"/>
  <c r="V120" i="1"/>
  <c r="BH120" i="1"/>
  <c r="L123" i="1"/>
  <c r="K123" i="1" s="1"/>
  <c r="V124" i="1"/>
  <c r="BH124" i="1"/>
  <c r="L127" i="1"/>
  <c r="K127" i="1" s="1"/>
  <c r="BH128" i="1"/>
  <c r="BI116" i="1"/>
  <c r="BM116" i="1" s="1"/>
  <c r="BN116" i="1" s="1"/>
  <c r="BI120" i="1"/>
  <c r="BM120" i="1" s="1"/>
  <c r="BN120" i="1" s="1"/>
  <c r="BI124" i="1"/>
  <c r="BM124" i="1" s="1"/>
  <c r="BN124" i="1" s="1"/>
  <c r="AK126" i="1"/>
  <c r="M127" i="1"/>
  <c r="AZ127" i="1" s="1"/>
  <c r="BB127" i="1" s="1"/>
  <c r="BI128" i="1"/>
  <c r="BM128" i="1" s="1"/>
  <c r="BN128" i="1" s="1"/>
  <c r="V115" i="1"/>
  <c r="V119" i="1"/>
  <c r="V123" i="1"/>
  <c r="AF85" i="1" l="1"/>
  <c r="AE85" i="1"/>
  <c r="Y85" i="1"/>
  <c r="AC85" i="1" s="1"/>
  <c r="Y68" i="1"/>
  <c r="AC68" i="1" s="1"/>
  <c r="AF68" i="1"/>
  <c r="AE68" i="1"/>
  <c r="Y35" i="1"/>
  <c r="AC35" i="1" s="1"/>
  <c r="AF35" i="1"/>
  <c r="AG35" i="1" s="1"/>
  <c r="AE35" i="1"/>
  <c r="AF21" i="1"/>
  <c r="AE21" i="1"/>
  <c r="Y21" i="1"/>
  <c r="AC21" i="1" s="1"/>
  <c r="Y77" i="1"/>
  <c r="AC77" i="1" s="1"/>
  <c r="AF77" i="1"/>
  <c r="AE77" i="1"/>
  <c r="Y28" i="1"/>
  <c r="AC28" i="1" s="1"/>
  <c r="AE28" i="1"/>
  <c r="AF28" i="1"/>
  <c r="Y49" i="1"/>
  <c r="AC49" i="1" s="1"/>
  <c r="AF49" i="1"/>
  <c r="AE49" i="1"/>
  <c r="Y45" i="1"/>
  <c r="AC45" i="1" s="1"/>
  <c r="AF45" i="1"/>
  <c r="AE45" i="1"/>
  <c r="Y23" i="1"/>
  <c r="AC23" i="1" s="1"/>
  <c r="AF23" i="1"/>
  <c r="AE23" i="1"/>
  <c r="AD123" i="1"/>
  <c r="AD113" i="1"/>
  <c r="W106" i="1"/>
  <c r="X106" i="1" s="1"/>
  <c r="AD119" i="1"/>
  <c r="BB115" i="1"/>
  <c r="W111" i="1"/>
  <c r="X111" i="1" s="1"/>
  <c r="AF100" i="1"/>
  <c r="AG100" i="1" s="1"/>
  <c r="Y100" i="1"/>
  <c r="AC100" i="1" s="1"/>
  <c r="AE100" i="1"/>
  <c r="BB101" i="1"/>
  <c r="AD99" i="1"/>
  <c r="AD109" i="1"/>
  <c r="AD98" i="1"/>
  <c r="T98" i="1"/>
  <c r="R98" i="1" s="1"/>
  <c r="U98" i="1" s="1"/>
  <c r="O98" i="1" s="1"/>
  <c r="P98" i="1" s="1"/>
  <c r="W83" i="1"/>
  <c r="X83" i="1" s="1"/>
  <c r="T90" i="1"/>
  <c r="R90" i="1" s="1"/>
  <c r="U90" i="1" s="1"/>
  <c r="O90" i="1" s="1"/>
  <c r="P90" i="1" s="1"/>
  <c r="AD58" i="1"/>
  <c r="W58" i="1"/>
  <c r="X58" i="1" s="1"/>
  <c r="T40" i="1"/>
  <c r="R40" i="1" s="1"/>
  <c r="U40" i="1" s="1"/>
  <c r="O40" i="1" s="1"/>
  <c r="P40" i="1" s="1"/>
  <c r="AD40" i="1"/>
  <c r="AD48" i="1"/>
  <c r="T48" i="1"/>
  <c r="R48" i="1" s="1"/>
  <c r="U48" i="1" s="1"/>
  <c r="O48" i="1" s="1"/>
  <c r="P48" i="1" s="1"/>
  <c r="W26" i="1"/>
  <c r="X26" i="1" s="1"/>
  <c r="AD32" i="1"/>
  <c r="AD19" i="1"/>
  <c r="AD38" i="1"/>
  <c r="AD115" i="1"/>
  <c r="W109" i="1"/>
  <c r="X109" i="1" s="1"/>
  <c r="Y126" i="1"/>
  <c r="AC126" i="1" s="1"/>
  <c r="AF126" i="1"/>
  <c r="AG126" i="1" s="1"/>
  <c r="AE126" i="1"/>
  <c r="BB119" i="1"/>
  <c r="AD116" i="1"/>
  <c r="AF114" i="1"/>
  <c r="Y114" i="1"/>
  <c r="AC114" i="1" s="1"/>
  <c r="AE114" i="1"/>
  <c r="BB109" i="1"/>
  <c r="AD97" i="1"/>
  <c r="W97" i="1"/>
  <c r="X97" i="1" s="1"/>
  <c r="BB86" i="1"/>
  <c r="BB91" i="1"/>
  <c r="AD84" i="1"/>
  <c r="W63" i="1"/>
  <c r="X63" i="1" s="1"/>
  <c r="T89" i="1"/>
  <c r="R89" i="1" s="1"/>
  <c r="U89" i="1" s="1"/>
  <c r="O89" i="1" s="1"/>
  <c r="P89" i="1" s="1"/>
  <c r="W61" i="1"/>
  <c r="X61" i="1" s="1"/>
  <c r="W65" i="1"/>
  <c r="X65" i="1" s="1"/>
  <c r="AD65" i="1"/>
  <c r="T65" i="1"/>
  <c r="R65" i="1" s="1"/>
  <c r="U65" i="1" s="1"/>
  <c r="O65" i="1" s="1"/>
  <c r="P65" i="1" s="1"/>
  <c r="AD53" i="1"/>
  <c r="AE51" i="1"/>
  <c r="Y51" i="1"/>
  <c r="AC51" i="1" s="1"/>
  <c r="AF51" i="1"/>
  <c r="AD36" i="1"/>
  <c r="AD52" i="1"/>
  <c r="T52" i="1"/>
  <c r="R52" i="1" s="1"/>
  <c r="U52" i="1" s="1"/>
  <c r="O52" i="1" s="1"/>
  <c r="P52" i="1" s="1"/>
  <c r="T35" i="1"/>
  <c r="R35" i="1" s="1"/>
  <c r="U35" i="1" s="1"/>
  <c r="O35" i="1" s="1"/>
  <c r="P35" i="1" s="1"/>
  <c r="AD35" i="1"/>
  <c r="AD46" i="1"/>
  <c r="W36" i="1"/>
  <c r="X36" i="1" s="1"/>
  <c r="W124" i="1"/>
  <c r="X124" i="1" s="1"/>
  <c r="AD74" i="1"/>
  <c r="W120" i="1"/>
  <c r="X120" i="1" s="1"/>
  <c r="W125" i="1"/>
  <c r="X125" i="1" s="1"/>
  <c r="W105" i="1"/>
  <c r="X105" i="1" s="1"/>
  <c r="BB112" i="1"/>
  <c r="BB111" i="1"/>
  <c r="W103" i="1"/>
  <c r="X103" i="1" s="1"/>
  <c r="T100" i="1"/>
  <c r="R100" i="1" s="1"/>
  <c r="U100" i="1" s="1"/>
  <c r="O100" i="1" s="1"/>
  <c r="P100" i="1" s="1"/>
  <c r="W104" i="1"/>
  <c r="X104" i="1" s="1"/>
  <c r="AD105" i="1"/>
  <c r="BB96" i="1"/>
  <c r="BB92" i="1"/>
  <c r="W102" i="1"/>
  <c r="X102" i="1" s="1"/>
  <c r="AD83" i="1"/>
  <c r="T83" i="1"/>
  <c r="R83" i="1" s="1"/>
  <c r="U83" i="1" s="1"/>
  <c r="O83" i="1" s="1"/>
  <c r="P83" i="1" s="1"/>
  <c r="AD82" i="1"/>
  <c r="Y86" i="1"/>
  <c r="AC86" i="1" s="1"/>
  <c r="AF86" i="1"/>
  <c r="AG86" i="1" s="1"/>
  <c r="Y64" i="1"/>
  <c r="AC64" i="1" s="1"/>
  <c r="AF64" i="1"/>
  <c r="AG64" i="1" s="1"/>
  <c r="AD57" i="1"/>
  <c r="W38" i="1"/>
  <c r="X38" i="1" s="1"/>
  <c r="T38" i="1" s="1"/>
  <c r="R38" i="1" s="1"/>
  <c r="U38" i="1" s="1"/>
  <c r="O38" i="1" s="1"/>
  <c r="P38" i="1" s="1"/>
  <c r="AD41" i="1"/>
  <c r="T41" i="1"/>
  <c r="R41" i="1" s="1"/>
  <c r="U41" i="1" s="1"/>
  <c r="O41" i="1" s="1"/>
  <c r="P41" i="1" s="1"/>
  <c r="AE56" i="1"/>
  <c r="AD51" i="1"/>
  <c r="T51" i="1"/>
  <c r="R51" i="1" s="1"/>
  <c r="U51" i="1" s="1"/>
  <c r="O51" i="1" s="1"/>
  <c r="P51" i="1" s="1"/>
  <c r="W22" i="1"/>
  <c r="X22" i="1" s="1"/>
  <c r="W42" i="1"/>
  <c r="X42" i="1" s="1"/>
  <c r="AD24" i="1"/>
  <c r="W123" i="1"/>
  <c r="X123" i="1" s="1"/>
  <c r="AD125" i="1"/>
  <c r="T125" i="1"/>
  <c r="R125" i="1" s="1"/>
  <c r="U125" i="1" s="1"/>
  <c r="O125" i="1" s="1"/>
  <c r="P125" i="1" s="1"/>
  <c r="AD111" i="1"/>
  <c r="T111" i="1"/>
  <c r="R111" i="1" s="1"/>
  <c r="U111" i="1" s="1"/>
  <c r="O111" i="1" s="1"/>
  <c r="P111" i="1" s="1"/>
  <c r="W108" i="1"/>
  <c r="X108" i="1" s="1"/>
  <c r="Y118" i="1"/>
  <c r="AC118" i="1" s="1"/>
  <c r="AF118" i="1"/>
  <c r="AG118" i="1" s="1"/>
  <c r="AE118" i="1"/>
  <c r="BB108" i="1"/>
  <c r="W82" i="1"/>
  <c r="X82" i="1" s="1"/>
  <c r="AD71" i="1"/>
  <c r="W69" i="1"/>
  <c r="X69" i="1" s="1"/>
  <c r="Y87" i="1"/>
  <c r="AC87" i="1" s="1"/>
  <c r="AF87" i="1"/>
  <c r="AG87" i="1" s="1"/>
  <c r="Y72" i="1"/>
  <c r="AC72" i="1" s="1"/>
  <c r="AF72" i="1"/>
  <c r="AG72" i="1" s="1"/>
  <c r="W84" i="1"/>
  <c r="X84" i="1" s="1"/>
  <c r="T84" i="1" s="1"/>
  <c r="R84" i="1" s="1"/>
  <c r="U84" i="1" s="1"/>
  <c r="O84" i="1" s="1"/>
  <c r="P84" i="1" s="1"/>
  <c r="W59" i="1"/>
  <c r="X59" i="1" s="1"/>
  <c r="BB55" i="1"/>
  <c r="W57" i="1"/>
  <c r="X57" i="1" s="1"/>
  <c r="W50" i="1"/>
  <c r="X50" i="1" s="1"/>
  <c r="AD45" i="1"/>
  <c r="T45" i="1"/>
  <c r="R45" i="1" s="1"/>
  <c r="U45" i="1" s="1"/>
  <c r="O45" i="1" s="1"/>
  <c r="P45" i="1" s="1"/>
  <c r="W34" i="1"/>
  <c r="X34" i="1" s="1"/>
  <c r="T34" i="1" s="1"/>
  <c r="R34" i="1" s="1"/>
  <c r="U34" i="1" s="1"/>
  <c r="O34" i="1" s="1"/>
  <c r="P34" i="1" s="1"/>
  <c r="AD34" i="1"/>
  <c r="AD112" i="1"/>
  <c r="AD107" i="1"/>
  <c r="AD94" i="1"/>
  <c r="W119" i="1"/>
  <c r="X119" i="1" s="1"/>
  <c r="T119" i="1" s="1"/>
  <c r="R119" i="1" s="1"/>
  <c r="U119" i="1" s="1"/>
  <c r="O119" i="1" s="1"/>
  <c r="P119" i="1" s="1"/>
  <c r="W116" i="1"/>
  <c r="X116" i="1" s="1"/>
  <c r="T116" i="1" s="1"/>
  <c r="R116" i="1" s="1"/>
  <c r="U116" i="1" s="1"/>
  <c r="O116" i="1" s="1"/>
  <c r="P116" i="1" s="1"/>
  <c r="W121" i="1"/>
  <c r="X121" i="1" s="1"/>
  <c r="BB123" i="1"/>
  <c r="W113" i="1"/>
  <c r="X113" i="1" s="1"/>
  <c r="T113" i="1" s="1"/>
  <c r="R113" i="1" s="1"/>
  <c r="U113" i="1" s="1"/>
  <c r="O113" i="1" s="1"/>
  <c r="P113" i="1" s="1"/>
  <c r="W94" i="1"/>
  <c r="X94" i="1" s="1"/>
  <c r="T94" i="1" s="1"/>
  <c r="R94" i="1" s="1"/>
  <c r="U94" i="1" s="1"/>
  <c r="O94" i="1" s="1"/>
  <c r="P94" i="1" s="1"/>
  <c r="AD101" i="1"/>
  <c r="Y122" i="1"/>
  <c r="AC122" i="1" s="1"/>
  <c r="AF122" i="1"/>
  <c r="AE122" i="1"/>
  <c r="AD81" i="1"/>
  <c r="T81" i="1"/>
  <c r="R81" i="1" s="1"/>
  <c r="U81" i="1" s="1"/>
  <c r="O81" i="1" s="1"/>
  <c r="P81" i="1" s="1"/>
  <c r="AD79" i="1"/>
  <c r="T79" i="1"/>
  <c r="R79" i="1" s="1"/>
  <c r="U79" i="1" s="1"/>
  <c r="O79" i="1" s="1"/>
  <c r="P79" i="1" s="1"/>
  <c r="T76" i="1"/>
  <c r="R76" i="1" s="1"/>
  <c r="U76" i="1" s="1"/>
  <c r="O76" i="1" s="1"/>
  <c r="P76" i="1" s="1"/>
  <c r="AD76" i="1"/>
  <c r="AD68" i="1"/>
  <c r="T68" i="1"/>
  <c r="R68" i="1" s="1"/>
  <c r="U68" i="1" s="1"/>
  <c r="O68" i="1" s="1"/>
  <c r="P68" i="1" s="1"/>
  <c r="AE72" i="1"/>
  <c r="T87" i="1"/>
  <c r="R87" i="1" s="1"/>
  <c r="U87" i="1" s="1"/>
  <c r="O87" i="1" s="1"/>
  <c r="P87" i="1" s="1"/>
  <c r="T80" i="1"/>
  <c r="R80" i="1" s="1"/>
  <c r="U80" i="1" s="1"/>
  <c r="O80" i="1" s="1"/>
  <c r="P80" i="1" s="1"/>
  <c r="AD80" i="1"/>
  <c r="AD70" i="1"/>
  <c r="W70" i="1"/>
  <c r="X70" i="1" s="1"/>
  <c r="T70" i="1" s="1"/>
  <c r="R70" i="1" s="1"/>
  <c r="U70" i="1" s="1"/>
  <c r="O70" i="1" s="1"/>
  <c r="P70" i="1" s="1"/>
  <c r="Y60" i="1"/>
  <c r="AC60" i="1" s="1"/>
  <c r="AF60" i="1"/>
  <c r="AE60" i="1"/>
  <c r="AD49" i="1"/>
  <c r="T49" i="1"/>
  <c r="R49" i="1" s="1"/>
  <c r="U49" i="1" s="1"/>
  <c r="O49" i="1" s="1"/>
  <c r="P49" i="1" s="1"/>
  <c r="BB61" i="1"/>
  <c r="AD33" i="1"/>
  <c r="W18" i="1"/>
  <c r="X18" i="1" s="1"/>
  <c r="Y31" i="1"/>
  <c r="AC31" i="1" s="1"/>
  <c r="AF31" i="1"/>
  <c r="AG31" i="1" s="1"/>
  <c r="AF29" i="1"/>
  <c r="AG29" i="1" s="1"/>
  <c r="AE29" i="1"/>
  <c r="Y29" i="1"/>
  <c r="AC29" i="1" s="1"/>
  <c r="AD31" i="1"/>
  <c r="T31" i="1"/>
  <c r="R31" i="1" s="1"/>
  <c r="U31" i="1" s="1"/>
  <c r="O31" i="1" s="1"/>
  <c r="P31" i="1" s="1"/>
  <c r="AD25" i="1"/>
  <c r="T25" i="1"/>
  <c r="R25" i="1" s="1"/>
  <c r="U25" i="1" s="1"/>
  <c r="O25" i="1" s="1"/>
  <c r="P25" i="1" s="1"/>
  <c r="T27" i="1"/>
  <c r="R27" i="1" s="1"/>
  <c r="U27" i="1" s="1"/>
  <c r="O27" i="1" s="1"/>
  <c r="P27" i="1" s="1"/>
  <c r="AD27" i="1"/>
  <c r="W33" i="1"/>
  <c r="X33" i="1" s="1"/>
  <c r="T33" i="1" s="1"/>
  <c r="R33" i="1" s="1"/>
  <c r="U33" i="1" s="1"/>
  <c r="O33" i="1" s="1"/>
  <c r="P33" i="1" s="1"/>
  <c r="W32" i="1"/>
  <c r="X32" i="1" s="1"/>
  <c r="T32" i="1" s="1"/>
  <c r="R32" i="1" s="1"/>
  <c r="U32" i="1" s="1"/>
  <c r="O32" i="1" s="1"/>
  <c r="P32" i="1" s="1"/>
  <c r="W19" i="1"/>
  <c r="X19" i="1" s="1"/>
  <c r="T19" i="1" s="1"/>
  <c r="R19" i="1" s="1"/>
  <c r="U19" i="1" s="1"/>
  <c r="O19" i="1" s="1"/>
  <c r="P19" i="1" s="1"/>
  <c r="AD29" i="1"/>
  <c r="T29" i="1"/>
  <c r="R29" i="1" s="1"/>
  <c r="U29" i="1" s="1"/>
  <c r="O29" i="1" s="1"/>
  <c r="P29" i="1" s="1"/>
  <c r="W17" i="1"/>
  <c r="X17" i="1" s="1"/>
  <c r="AD17" i="1"/>
  <c r="AF110" i="1"/>
  <c r="AG110" i="1" s="1"/>
  <c r="Y110" i="1"/>
  <c r="AC110" i="1" s="1"/>
  <c r="W115" i="1"/>
  <c r="X115" i="1" s="1"/>
  <c r="AD127" i="1"/>
  <c r="T127" i="1"/>
  <c r="R127" i="1" s="1"/>
  <c r="U127" i="1" s="1"/>
  <c r="O127" i="1" s="1"/>
  <c r="P127" i="1" s="1"/>
  <c r="AD124" i="1"/>
  <c r="T124" i="1"/>
  <c r="R124" i="1" s="1"/>
  <c r="U124" i="1" s="1"/>
  <c r="O124" i="1" s="1"/>
  <c r="P124" i="1" s="1"/>
  <c r="W128" i="1"/>
  <c r="X128" i="1" s="1"/>
  <c r="AD128" i="1"/>
  <c r="T128" i="1"/>
  <c r="R128" i="1" s="1"/>
  <c r="U128" i="1" s="1"/>
  <c r="O128" i="1" s="1"/>
  <c r="P128" i="1" s="1"/>
  <c r="AD120" i="1"/>
  <c r="T120" i="1"/>
  <c r="R120" i="1" s="1"/>
  <c r="U120" i="1" s="1"/>
  <c r="O120" i="1" s="1"/>
  <c r="P120" i="1" s="1"/>
  <c r="BB107" i="1"/>
  <c r="W107" i="1"/>
  <c r="X107" i="1" s="1"/>
  <c r="T107" i="1" s="1"/>
  <c r="R107" i="1" s="1"/>
  <c r="U107" i="1" s="1"/>
  <c r="O107" i="1" s="1"/>
  <c r="P107" i="1" s="1"/>
  <c r="BB103" i="1"/>
  <c r="W101" i="1"/>
  <c r="X101" i="1" s="1"/>
  <c r="AE110" i="1"/>
  <c r="BB104" i="1"/>
  <c r="AF90" i="1"/>
  <c r="AG90" i="1" s="1"/>
  <c r="Y90" i="1"/>
  <c r="AC90" i="1" s="1"/>
  <c r="W92" i="1"/>
  <c r="X92" i="1" s="1"/>
  <c r="W71" i="1"/>
  <c r="X71" i="1" s="1"/>
  <c r="AD88" i="1"/>
  <c r="T88" i="1"/>
  <c r="R88" i="1" s="1"/>
  <c r="U88" i="1" s="1"/>
  <c r="O88" i="1" s="1"/>
  <c r="P88" i="1" s="1"/>
  <c r="W81" i="1"/>
  <c r="X81" i="1" s="1"/>
  <c r="W74" i="1"/>
  <c r="X74" i="1" s="1"/>
  <c r="AD69" i="1"/>
  <c r="T69" i="1"/>
  <c r="R69" i="1" s="1"/>
  <c r="U69" i="1" s="1"/>
  <c r="O69" i="1" s="1"/>
  <c r="P69" i="1" s="1"/>
  <c r="W55" i="1"/>
  <c r="X55" i="1" s="1"/>
  <c r="Y41" i="1"/>
  <c r="AC41" i="1" s="1"/>
  <c r="AF41" i="1"/>
  <c r="AG41" i="1" s="1"/>
  <c r="AE47" i="1"/>
  <c r="Y47" i="1"/>
  <c r="AC47" i="1" s="1"/>
  <c r="AF47" i="1"/>
  <c r="AG47" i="1" s="1"/>
  <c r="T47" i="1"/>
  <c r="R47" i="1" s="1"/>
  <c r="U47" i="1" s="1"/>
  <c r="O47" i="1" s="1"/>
  <c r="P47" i="1" s="1"/>
  <c r="Y48" i="1"/>
  <c r="AC48" i="1" s="1"/>
  <c r="AE48" i="1"/>
  <c r="AF48" i="1"/>
  <c r="AE41" i="1"/>
  <c r="Y43" i="1"/>
  <c r="AC43" i="1" s="1"/>
  <c r="AF43" i="1"/>
  <c r="AG43" i="1" s="1"/>
  <c r="AE43" i="1"/>
  <c r="AD42" i="1"/>
  <c r="T42" i="1"/>
  <c r="R42" i="1" s="1"/>
  <c r="U42" i="1" s="1"/>
  <c r="O42" i="1" s="1"/>
  <c r="P42" i="1" s="1"/>
  <c r="AD20" i="1"/>
  <c r="W20" i="1"/>
  <c r="X20" i="1" s="1"/>
  <c r="T43" i="1"/>
  <c r="R43" i="1" s="1"/>
  <c r="U43" i="1" s="1"/>
  <c r="O43" i="1" s="1"/>
  <c r="P43" i="1" s="1"/>
  <c r="W24" i="1"/>
  <c r="X24" i="1" s="1"/>
  <c r="T24" i="1" s="1"/>
  <c r="R24" i="1" s="1"/>
  <c r="U24" i="1" s="1"/>
  <c r="O24" i="1" s="1"/>
  <c r="P24" i="1" s="1"/>
  <c r="W117" i="1"/>
  <c r="X117" i="1" s="1"/>
  <c r="W112" i="1"/>
  <c r="X112" i="1" s="1"/>
  <c r="Y127" i="1"/>
  <c r="AC127" i="1" s="1"/>
  <c r="AF127" i="1"/>
  <c r="AG127" i="1" s="1"/>
  <c r="AE127" i="1"/>
  <c r="W95" i="1"/>
  <c r="X95" i="1" s="1"/>
  <c r="W99" i="1"/>
  <c r="X99" i="1" s="1"/>
  <c r="W96" i="1"/>
  <c r="X96" i="1" s="1"/>
  <c r="W88" i="1"/>
  <c r="X88" i="1" s="1"/>
  <c r="W78" i="1"/>
  <c r="X78" i="1" s="1"/>
  <c r="BB99" i="1"/>
  <c r="Y79" i="1"/>
  <c r="AC79" i="1" s="1"/>
  <c r="AF79" i="1"/>
  <c r="AG79" i="1" s="1"/>
  <c r="AE79" i="1"/>
  <c r="AD93" i="1"/>
  <c r="W93" i="1"/>
  <c r="X93" i="1" s="1"/>
  <c r="AF98" i="1"/>
  <c r="AG98" i="1" s="1"/>
  <c r="Y98" i="1"/>
  <c r="AC98" i="1" s="1"/>
  <c r="W91" i="1"/>
  <c r="X91" i="1" s="1"/>
  <c r="W75" i="1"/>
  <c r="X75" i="1" s="1"/>
  <c r="AD75" i="1"/>
  <c r="T75" i="1"/>
  <c r="R75" i="1" s="1"/>
  <c r="U75" i="1" s="1"/>
  <c r="O75" i="1" s="1"/>
  <c r="P75" i="1" s="1"/>
  <c r="AD85" i="1"/>
  <c r="T85" i="1"/>
  <c r="R85" i="1" s="1"/>
  <c r="U85" i="1" s="1"/>
  <c r="O85" i="1" s="1"/>
  <c r="P85" i="1" s="1"/>
  <c r="Y80" i="1"/>
  <c r="AC80" i="1" s="1"/>
  <c r="AF80" i="1"/>
  <c r="AG80" i="1" s="1"/>
  <c r="BB88" i="1"/>
  <c r="Y76" i="1"/>
  <c r="AC76" i="1" s="1"/>
  <c r="AF76" i="1"/>
  <c r="AG76" i="1" s="1"/>
  <c r="W67" i="1"/>
  <c r="X67" i="1" s="1"/>
  <c r="T67" i="1"/>
  <c r="R67" i="1" s="1"/>
  <c r="U67" i="1" s="1"/>
  <c r="O67" i="1" s="1"/>
  <c r="P67" i="1" s="1"/>
  <c r="AD67" i="1"/>
  <c r="Y52" i="1"/>
  <c r="AC52" i="1" s="1"/>
  <c r="AF52" i="1"/>
  <c r="AE52" i="1"/>
  <c r="AD62" i="1"/>
  <c r="W62" i="1"/>
  <c r="X62" i="1" s="1"/>
  <c r="T54" i="1"/>
  <c r="R54" i="1" s="1"/>
  <c r="U54" i="1" s="1"/>
  <c r="O54" i="1" s="1"/>
  <c r="P54" i="1" s="1"/>
  <c r="AD54" i="1"/>
  <c r="W54" i="1"/>
  <c r="X54" i="1" s="1"/>
  <c r="W46" i="1"/>
  <c r="X46" i="1" s="1"/>
  <c r="AD37" i="1"/>
  <c r="T37" i="1"/>
  <c r="R37" i="1" s="1"/>
  <c r="U37" i="1" s="1"/>
  <c r="O37" i="1" s="1"/>
  <c r="P37" i="1" s="1"/>
  <c r="T50" i="1"/>
  <c r="R50" i="1" s="1"/>
  <c r="U50" i="1" s="1"/>
  <c r="O50" i="1" s="1"/>
  <c r="P50" i="1" s="1"/>
  <c r="AD50" i="1"/>
  <c r="T39" i="1"/>
  <c r="R39" i="1" s="1"/>
  <c r="U39" i="1" s="1"/>
  <c r="O39" i="1" s="1"/>
  <c r="P39" i="1" s="1"/>
  <c r="AD39" i="1"/>
  <c r="W30" i="1"/>
  <c r="X30" i="1" s="1"/>
  <c r="Y27" i="1"/>
  <c r="AC27" i="1" s="1"/>
  <c r="AF27" i="1"/>
  <c r="AG27" i="1" s="1"/>
  <c r="Y40" i="1"/>
  <c r="AC40" i="1" s="1"/>
  <c r="AF40" i="1"/>
  <c r="AG40" i="1" s="1"/>
  <c r="AE40" i="1"/>
  <c r="W39" i="1"/>
  <c r="X39" i="1" s="1"/>
  <c r="AD77" i="1"/>
  <c r="T77" i="1"/>
  <c r="R77" i="1" s="1"/>
  <c r="U77" i="1" s="1"/>
  <c r="O77" i="1" s="1"/>
  <c r="P77" i="1" s="1"/>
  <c r="T73" i="1"/>
  <c r="R73" i="1" s="1"/>
  <c r="U73" i="1" s="1"/>
  <c r="O73" i="1" s="1"/>
  <c r="P73" i="1" s="1"/>
  <c r="AD73" i="1"/>
  <c r="AD78" i="1"/>
  <c r="T78" i="1"/>
  <c r="R78" i="1" s="1"/>
  <c r="U78" i="1" s="1"/>
  <c r="O78" i="1" s="1"/>
  <c r="P78" i="1" s="1"/>
  <c r="W73" i="1"/>
  <c r="X73" i="1" s="1"/>
  <c r="AD66" i="1"/>
  <c r="T66" i="1"/>
  <c r="R66" i="1" s="1"/>
  <c r="U66" i="1" s="1"/>
  <c r="O66" i="1" s="1"/>
  <c r="P66" i="1" s="1"/>
  <c r="W66" i="1"/>
  <c r="X66" i="1" s="1"/>
  <c r="AF89" i="1"/>
  <c r="AG89" i="1" s="1"/>
  <c r="Y89" i="1"/>
  <c r="AC89" i="1" s="1"/>
  <c r="AD61" i="1"/>
  <c r="T61" i="1"/>
  <c r="R61" i="1" s="1"/>
  <c r="U61" i="1" s="1"/>
  <c r="O61" i="1" s="1"/>
  <c r="P61" i="1" s="1"/>
  <c r="W53" i="1"/>
  <c r="X53" i="1" s="1"/>
  <c r="Y56" i="1"/>
  <c r="AC56" i="1" s="1"/>
  <c r="AF56" i="1"/>
  <c r="AG56" i="1" s="1"/>
  <c r="Y37" i="1"/>
  <c r="AC37" i="1" s="1"/>
  <c r="AF37" i="1"/>
  <c r="W44" i="1"/>
  <c r="X44" i="1" s="1"/>
  <c r="AD44" i="1"/>
  <c r="AF25" i="1"/>
  <c r="AE25" i="1"/>
  <c r="Y25" i="1"/>
  <c r="AC25" i="1" s="1"/>
  <c r="AD21" i="1"/>
  <c r="T21" i="1"/>
  <c r="R21" i="1" s="1"/>
  <c r="U21" i="1" s="1"/>
  <c r="O21" i="1" s="1"/>
  <c r="P21" i="1" s="1"/>
  <c r="T23" i="1"/>
  <c r="R23" i="1" s="1"/>
  <c r="U23" i="1" s="1"/>
  <c r="O23" i="1" s="1"/>
  <c r="P23" i="1" s="1"/>
  <c r="AD23" i="1"/>
  <c r="AD28" i="1"/>
  <c r="T28" i="1"/>
  <c r="R28" i="1" s="1"/>
  <c r="U28" i="1" s="1"/>
  <c r="O28" i="1" s="1"/>
  <c r="P28" i="1" s="1"/>
  <c r="Y20" i="1" l="1"/>
  <c r="AC20" i="1" s="1"/>
  <c r="AF20" i="1"/>
  <c r="AE20" i="1"/>
  <c r="AF57" i="1"/>
  <c r="AG57" i="1" s="1"/>
  <c r="AE57" i="1"/>
  <c r="Y57" i="1"/>
  <c r="AC57" i="1" s="1"/>
  <c r="Y22" i="1"/>
  <c r="AC22" i="1" s="1"/>
  <c r="AF22" i="1"/>
  <c r="AG22" i="1" s="1"/>
  <c r="T22" i="1"/>
  <c r="R22" i="1" s="1"/>
  <c r="U22" i="1" s="1"/>
  <c r="O22" i="1" s="1"/>
  <c r="P22" i="1" s="1"/>
  <c r="AE22" i="1"/>
  <c r="AF63" i="1"/>
  <c r="Y63" i="1"/>
  <c r="AC63" i="1" s="1"/>
  <c r="T63" i="1"/>
  <c r="R63" i="1" s="1"/>
  <c r="U63" i="1" s="1"/>
  <c r="O63" i="1" s="1"/>
  <c r="P63" i="1" s="1"/>
  <c r="AE63" i="1"/>
  <c r="AF106" i="1"/>
  <c r="AG106" i="1" s="1"/>
  <c r="Y106" i="1"/>
  <c r="AC106" i="1" s="1"/>
  <c r="T106" i="1"/>
  <c r="R106" i="1" s="1"/>
  <c r="U106" i="1" s="1"/>
  <c r="O106" i="1" s="1"/>
  <c r="P106" i="1" s="1"/>
  <c r="AE106" i="1"/>
  <c r="Y66" i="1"/>
  <c r="AC66" i="1" s="1"/>
  <c r="AF66" i="1"/>
  <c r="AE66" i="1"/>
  <c r="Y30" i="1"/>
  <c r="AC30" i="1" s="1"/>
  <c r="AF30" i="1"/>
  <c r="AG30" i="1" s="1"/>
  <c r="AE30" i="1"/>
  <c r="T30" i="1"/>
  <c r="R30" i="1" s="1"/>
  <c r="U30" i="1" s="1"/>
  <c r="O30" i="1" s="1"/>
  <c r="P30" i="1" s="1"/>
  <c r="Y46" i="1"/>
  <c r="AC46" i="1" s="1"/>
  <c r="AF46" i="1"/>
  <c r="AE46" i="1"/>
  <c r="Y75" i="1"/>
  <c r="AC75" i="1" s="1"/>
  <c r="AF75" i="1"/>
  <c r="AE75" i="1"/>
  <c r="Y96" i="1"/>
  <c r="AC96" i="1" s="1"/>
  <c r="AF96" i="1"/>
  <c r="AG96" i="1" s="1"/>
  <c r="AE96" i="1"/>
  <c r="T96" i="1"/>
  <c r="R96" i="1" s="1"/>
  <c r="U96" i="1" s="1"/>
  <c r="O96" i="1" s="1"/>
  <c r="P96" i="1" s="1"/>
  <c r="T20" i="1"/>
  <c r="R20" i="1" s="1"/>
  <c r="U20" i="1" s="1"/>
  <c r="O20" i="1" s="1"/>
  <c r="P20" i="1" s="1"/>
  <c r="AG48" i="1"/>
  <c r="Y18" i="1"/>
  <c r="AC18" i="1" s="1"/>
  <c r="AF18" i="1"/>
  <c r="AG18" i="1" s="1"/>
  <c r="T18" i="1"/>
  <c r="R18" i="1" s="1"/>
  <c r="U18" i="1" s="1"/>
  <c r="O18" i="1" s="1"/>
  <c r="P18" i="1" s="1"/>
  <c r="AE18" i="1"/>
  <c r="AG60" i="1"/>
  <c r="T57" i="1"/>
  <c r="R57" i="1" s="1"/>
  <c r="U57" i="1" s="1"/>
  <c r="O57" i="1" s="1"/>
  <c r="P57" i="1" s="1"/>
  <c r="AF104" i="1"/>
  <c r="AG104" i="1" s="1"/>
  <c r="Y104" i="1"/>
  <c r="AC104" i="1" s="1"/>
  <c r="AE104" i="1"/>
  <c r="T104" i="1"/>
  <c r="R104" i="1" s="1"/>
  <c r="U104" i="1" s="1"/>
  <c r="O104" i="1" s="1"/>
  <c r="P104" i="1" s="1"/>
  <c r="AF105" i="1"/>
  <c r="AG105" i="1" s="1"/>
  <c r="Y105" i="1"/>
  <c r="AC105" i="1" s="1"/>
  <c r="AE105" i="1"/>
  <c r="AF124" i="1"/>
  <c r="AG124" i="1" s="1"/>
  <c r="Y124" i="1"/>
  <c r="AC124" i="1" s="1"/>
  <c r="AE124" i="1"/>
  <c r="AG45" i="1"/>
  <c r="Y91" i="1"/>
  <c r="AC91" i="1" s="1"/>
  <c r="AF91" i="1"/>
  <c r="AE91" i="1"/>
  <c r="T91" i="1"/>
  <c r="R91" i="1" s="1"/>
  <c r="U91" i="1" s="1"/>
  <c r="O91" i="1" s="1"/>
  <c r="P91" i="1" s="1"/>
  <c r="Y115" i="1"/>
  <c r="AC115" i="1" s="1"/>
  <c r="AF115" i="1"/>
  <c r="AG115" i="1" s="1"/>
  <c r="AE115" i="1"/>
  <c r="Y19" i="1"/>
  <c r="AC19" i="1" s="1"/>
  <c r="AF19" i="1"/>
  <c r="AG19" i="1" s="1"/>
  <c r="AE19" i="1"/>
  <c r="AF113" i="1"/>
  <c r="AG113" i="1" s="1"/>
  <c r="Y113" i="1"/>
  <c r="AC113" i="1" s="1"/>
  <c r="AE113" i="1"/>
  <c r="Y34" i="1"/>
  <c r="AC34" i="1" s="1"/>
  <c r="AF34" i="1"/>
  <c r="AG34" i="1" s="1"/>
  <c r="AE34" i="1"/>
  <c r="Y123" i="1"/>
  <c r="AC123" i="1" s="1"/>
  <c r="AF123" i="1"/>
  <c r="AE123" i="1"/>
  <c r="Y125" i="1"/>
  <c r="AC125" i="1" s="1"/>
  <c r="AF125" i="1"/>
  <c r="AE125" i="1"/>
  <c r="AF36" i="1"/>
  <c r="AG36" i="1" s="1"/>
  <c r="AE36" i="1"/>
  <c r="Y36" i="1"/>
  <c r="AC36" i="1" s="1"/>
  <c r="T36" i="1"/>
  <c r="R36" i="1" s="1"/>
  <c r="U36" i="1" s="1"/>
  <c r="O36" i="1" s="1"/>
  <c r="P36" i="1" s="1"/>
  <c r="Y109" i="1"/>
  <c r="AC109" i="1" s="1"/>
  <c r="AF109" i="1"/>
  <c r="AE109" i="1"/>
  <c r="Y58" i="1"/>
  <c r="AC58" i="1" s="1"/>
  <c r="AF58" i="1"/>
  <c r="AG58" i="1" s="1"/>
  <c r="AE58" i="1"/>
  <c r="T109" i="1"/>
  <c r="R109" i="1" s="1"/>
  <c r="U109" i="1" s="1"/>
  <c r="O109" i="1" s="1"/>
  <c r="P109" i="1" s="1"/>
  <c r="Y111" i="1"/>
  <c r="AC111" i="1" s="1"/>
  <c r="AF111" i="1"/>
  <c r="AG111" i="1" s="1"/>
  <c r="AE111" i="1"/>
  <c r="AG77" i="1"/>
  <c r="AF94" i="1"/>
  <c r="AG94" i="1" s="1"/>
  <c r="Y94" i="1"/>
  <c r="AC94" i="1" s="1"/>
  <c r="AE94" i="1"/>
  <c r="Y101" i="1"/>
  <c r="AC101" i="1" s="1"/>
  <c r="AF101" i="1"/>
  <c r="AG101" i="1" s="1"/>
  <c r="AE101" i="1"/>
  <c r="AG25" i="1"/>
  <c r="AF53" i="1"/>
  <c r="AE53" i="1"/>
  <c r="Y53" i="1"/>
  <c r="AC53" i="1" s="1"/>
  <c r="Y39" i="1"/>
  <c r="AC39" i="1" s="1"/>
  <c r="AF39" i="1"/>
  <c r="AG39" i="1" s="1"/>
  <c r="AE39" i="1"/>
  <c r="AF54" i="1"/>
  <c r="AG54" i="1" s="1"/>
  <c r="Y54" i="1"/>
  <c r="AC54" i="1" s="1"/>
  <c r="AE54" i="1"/>
  <c r="AE99" i="1"/>
  <c r="Y99" i="1"/>
  <c r="AC99" i="1" s="1"/>
  <c r="AF99" i="1"/>
  <c r="AF112" i="1"/>
  <c r="AG112" i="1" s="1"/>
  <c r="Y112" i="1"/>
  <c r="AC112" i="1" s="1"/>
  <c r="AE112" i="1"/>
  <c r="Y55" i="1"/>
  <c r="AC55" i="1" s="1"/>
  <c r="AF55" i="1"/>
  <c r="AG55" i="1" s="1"/>
  <c r="AE55" i="1"/>
  <c r="T55" i="1"/>
  <c r="R55" i="1" s="1"/>
  <c r="U55" i="1" s="1"/>
  <c r="O55" i="1" s="1"/>
  <c r="P55" i="1" s="1"/>
  <c r="AG122" i="1"/>
  <c r="AF69" i="1"/>
  <c r="AG69" i="1" s="1"/>
  <c r="AE69" i="1"/>
  <c r="Y69" i="1"/>
  <c r="AC69" i="1" s="1"/>
  <c r="AF102" i="1"/>
  <c r="Y102" i="1"/>
  <c r="AC102" i="1" s="1"/>
  <c r="T102" i="1"/>
  <c r="R102" i="1" s="1"/>
  <c r="U102" i="1" s="1"/>
  <c r="O102" i="1" s="1"/>
  <c r="P102" i="1" s="1"/>
  <c r="AE102" i="1"/>
  <c r="T46" i="1"/>
  <c r="R46" i="1" s="1"/>
  <c r="U46" i="1" s="1"/>
  <c r="O46" i="1" s="1"/>
  <c r="P46" i="1" s="1"/>
  <c r="AG51" i="1"/>
  <c r="AE65" i="1"/>
  <c r="Y65" i="1"/>
  <c r="AC65" i="1" s="1"/>
  <c r="AF65" i="1"/>
  <c r="AG114" i="1"/>
  <c r="T58" i="1"/>
  <c r="R58" i="1" s="1"/>
  <c r="U58" i="1" s="1"/>
  <c r="O58" i="1" s="1"/>
  <c r="P58" i="1" s="1"/>
  <c r="T123" i="1"/>
  <c r="R123" i="1" s="1"/>
  <c r="U123" i="1" s="1"/>
  <c r="O123" i="1" s="1"/>
  <c r="P123" i="1" s="1"/>
  <c r="AG68" i="1"/>
  <c r="AG52" i="1"/>
  <c r="Y71" i="1"/>
  <c r="AC71" i="1" s="1"/>
  <c r="AF71" i="1"/>
  <c r="AG71" i="1" s="1"/>
  <c r="AE71" i="1"/>
  <c r="Y73" i="1"/>
  <c r="AC73" i="1" s="1"/>
  <c r="AF73" i="1"/>
  <c r="AG73" i="1" s="1"/>
  <c r="AE73" i="1"/>
  <c r="Y117" i="1"/>
  <c r="AC117" i="1" s="1"/>
  <c r="AF117" i="1"/>
  <c r="AG117" i="1" s="1"/>
  <c r="AE117" i="1"/>
  <c r="T117" i="1"/>
  <c r="R117" i="1" s="1"/>
  <c r="U117" i="1" s="1"/>
  <c r="O117" i="1" s="1"/>
  <c r="P117" i="1" s="1"/>
  <c r="AF128" i="1"/>
  <c r="Y128" i="1"/>
  <c r="AC128" i="1" s="1"/>
  <c r="AE128" i="1"/>
  <c r="AF32" i="1"/>
  <c r="AG32" i="1" s="1"/>
  <c r="AE32" i="1"/>
  <c r="Y32" i="1"/>
  <c r="AC32" i="1" s="1"/>
  <c r="Y70" i="1"/>
  <c r="AC70" i="1" s="1"/>
  <c r="AF70" i="1"/>
  <c r="AG70" i="1" s="1"/>
  <c r="AE70" i="1"/>
  <c r="Y121" i="1"/>
  <c r="AC121" i="1" s="1"/>
  <c r="AF121" i="1"/>
  <c r="AG121" i="1" s="1"/>
  <c r="T121" i="1"/>
  <c r="R121" i="1" s="1"/>
  <c r="U121" i="1" s="1"/>
  <c r="O121" i="1" s="1"/>
  <c r="P121" i="1" s="1"/>
  <c r="AE121" i="1"/>
  <c r="AF59" i="1"/>
  <c r="AG59" i="1" s="1"/>
  <c r="Y59" i="1"/>
  <c r="AC59" i="1" s="1"/>
  <c r="AE59" i="1"/>
  <c r="T59" i="1"/>
  <c r="R59" i="1" s="1"/>
  <c r="U59" i="1" s="1"/>
  <c r="O59" i="1" s="1"/>
  <c r="P59" i="1" s="1"/>
  <c r="T71" i="1"/>
  <c r="R71" i="1" s="1"/>
  <c r="U71" i="1" s="1"/>
  <c r="O71" i="1" s="1"/>
  <c r="P71" i="1" s="1"/>
  <c r="Y108" i="1"/>
  <c r="AC108" i="1" s="1"/>
  <c r="AF108" i="1"/>
  <c r="AG108" i="1" s="1"/>
  <c r="AE108" i="1"/>
  <c r="T108" i="1"/>
  <c r="R108" i="1" s="1"/>
  <c r="U108" i="1" s="1"/>
  <c r="O108" i="1" s="1"/>
  <c r="P108" i="1" s="1"/>
  <c r="Y103" i="1"/>
  <c r="AC103" i="1" s="1"/>
  <c r="AF103" i="1"/>
  <c r="AG103" i="1" s="1"/>
  <c r="AE103" i="1"/>
  <c r="T103" i="1"/>
  <c r="R103" i="1" s="1"/>
  <c r="U103" i="1" s="1"/>
  <c r="O103" i="1" s="1"/>
  <c r="P103" i="1" s="1"/>
  <c r="T115" i="1"/>
  <c r="R115" i="1" s="1"/>
  <c r="U115" i="1" s="1"/>
  <c r="O115" i="1" s="1"/>
  <c r="P115" i="1" s="1"/>
  <c r="Y26" i="1"/>
  <c r="AC26" i="1" s="1"/>
  <c r="AF26" i="1"/>
  <c r="T26" i="1"/>
  <c r="R26" i="1" s="1"/>
  <c r="U26" i="1" s="1"/>
  <c r="O26" i="1" s="1"/>
  <c r="P26" i="1" s="1"/>
  <c r="AE26" i="1"/>
  <c r="T99" i="1"/>
  <c r="R99" i="1" s="1"/>
  <c r="U99" i="1" s="1"/>
  <c r="O99" i="1" s="1"/>
  <c r="P99" i="1" s="1"/>
  <c r="AG49" i="1"/>
  <c r="Y78" i="1"/>
  <c r="AC78" i="1" s="1"/>
  <c r="AF78" i="1"/>
  <c r="AG78" i="1" s="1"/>
  <c r="AE78" i="1"/>
  <c r="Y95" i="1"/>
  <c r="AC95" i="1" s="1"/>
  <c r="AF95" i="1"/>
  <c r="AG95" i="1" s="1"/>
  <c r="T95" i="1"/>
  <c r="R95" i="1" s="1"/>
  <c r="U95" i="1" s="1"/>
  <c r="O95" i="1" s="1"/>
  <c r="P95" i="1" s="1"/>
  <c r="AE95" i="1"/>
  <c r="AF92" i="1"/>
  <c r="AE92" i="1"/>
  <c r="Y92" i="1"/>
  <c r="AC92" i="1" s="1"/>
  <c r="T92" i="1"/>
  <c r="R92" i="1" s="1"/>
  <c r="U92" i="1" s="1"/>
  <c r="O92" i="1" s="1"/>
  <c r="P92" i="1" s="1"/>
  <c r="Y107" i="1"/>
  <c r="AC107" i="1" s="1"/>
  <c r="AF107" i="1"/>
  <c r="AG107" i="1" s="1"/>
  <c r="AE107" i="1"/>
  <c r="Y33" i="1"/>
  <c r="AC33" i="1" s="1"/>
  <c r="AF33" i="1"/>
  <c r="AE33" i="1"/>
  <c r="T101" i="1"/>
  <c r="R101" i="1" s="1"/>
  <c r="U101" i="1" s="1"/>
  <c r="O101" i="1" s="1"/>
  <c r="P101" i="1" s="1"/>
  <c r="Y84" i="1"/>
  <c r="AC84" i="1" s="1"/>
  <c r="AF84" i="1"/>
  <c r="AE84" i="1"/>
  <c r="AF120" i="1"/>
  <c r="Y120" i="1"/>
  <c r="AC120" i="1" s="1"/>
  <c r="AE120" i="1"/>
  <c r="AE61" i="1"/>
  <c r="Y61" i="1"/>
  <c r="AC61" i="1" s="1"/>
  <c r="AF61" i="1"/>
  <c r="Y97" i="1"/>
  <c r="AC97" i="1" s="1"/>
  <c r="AF97" i="1"/>
  <c r="AG97" i="1" s="1"/>
  <c r="AE97" i="1"/>
  <c r="Y119" i="1"/>
  <c r="AC119" i="1" s="1"/>
  <c r="AF119" i="1"/>
  <c r="AE119" i="1"/>
  <c r="AF44" i="1"/>
  <c r="AG44" i="1" s="1"/>
  <c r="AE44" i="1"/>
  <c r="Y44" i="1"/>
  <c r="AC44" i="1" s="1"/>
  <c r="T44" i="1"/>
  <c r="R44" i="1" s="1"/>
  <c r="U44" i="1" s="1"/>
  <c r="O44" i="1" s="1"/>
  <c r="P44" i="1" s="1"/>
  <c r="Y62" i="1"/>
  <c r="AC62" i="1" s="1"/>
  <c r="AF62" i="1"/>
  <c r="AG62" i="1" s="1"/>
  <c r="AE62" i="1"/>
  <c r="Y67" i="1"/>
  <c r="AC67" i="1" s="1"/>
  <c r="AF67" i="1"/>
  <c r="AG67" i="1" s="1"/>
  <c r="AE67" i="1"/>
  <c r="AF93" i="1"/>
  <c r="Y93" i="1"/>
  <c r="AC93" i="1" s="1"/>
  <c r="AE93" i="1"/>
  <c r="Y24" i="1"/>
  <c r="AC24" i="1" s="1"/>
  <c r="AF24" i="1"/>
  <c r="AE24" i="1"/>
  <c r="Y74" i="1"/>
  <c r="AC74" i="1" s="1"/>
  <c r="AF74" i="1"/>
  <c r="AG74" i="1" s="1"/>
  <c r="AE74" i="1"/>
  <c r="AF17" i="1"/>
  <c r="AG17" i="1" s="1"/>
  <c r="AE17" i="1"/>
  <c r="Y17" i="1"/>
  <c r="AC17" i="1" s="1"/>
  <c r="T112" i="1"/>
  <c r="R112" i="1" s="1"/>
  <c r="U112" i="1" s="1"/>
  <c r="O112" i="1" s="1"/>
  <c r="P112" i="1" s="1"/>
  <c r="Y50" i="1"/>
  <c r="AC50" i="1" s="1"/>
  <c r="AF50" i="1"/>
  <c r="AG50" i="1" s="1"/>
  <c r="AE50" i="1"/>
  <c r="Y82" i="1"/>
  <c r="AC82" i="1" s="1"/>
  <c r="AF82" i="1"/>
  <c r="AG82" i="1" s="1"/>
  <c r="AE82" i="1"/>
  <c r="Y42" i="1"/>
  <c r="AC42" i="1" s="1"/>
  <c r="AF42" i="1"/>
  <c r="AG42" i="1" s="1"/>
  <c r="AE42" i="1"/>
  <c r="T74" i="1"/>
  <c r="R74" i="1" s="1"/>
  <c r="U74" i="1" s="1"/>
  <c r="O74" i="1" s="1"/>
  <c r="P74" i="1" s="1"/>
  <c r="T53" i="1"/>
  <c r="R53" i="1" s="1"/>
  <c r="U53" i="1" s="1"/>
  <c r="O53" i="1" s="1"/>
  <c r="P53" i="1" s="1"/>
  <c r="T97" i="1"/>
  <c r="R97" i="1" s="1"/>
  <c r="U97" i="1" s="1"/>
  <c r="O97" i="1" s="1"/>
  <c r="P97" i="1" s="1"/>
  <c r="Y83" i="1"/>
  <c r="AC83" i="1" s="1"/>
  <c r="AF83" i="1"/>
  <c r="AE83" i="1"/>
  <c r="AG23" i="1"/>
  <c r="AG28" i="1"/>
  <c r="AG21" i="1"/>
  <c r="AG37" i="1"/>
  <c r="T62" i="1"/>
  <c r="R62" i="1" s="1"/>
  <c r="U62" i="1" s="1"/>
  <c r="O62" i="1" s="1"/>
  <c r="P62" i="1" s="1"/>
  <c r="T93" i="1"/>
  <c r="R93" i="1" s="1"/>
  <c r="U93" i="1" s="1"/>
  <c r="O93" i="1" s="1"/>
  <c r="P93" i="1" s="1"/>
  <c r="Y88" i="1"/>
  <c r="AC88" i="1" s="1"/>
  <c r="AF88" i="1"/>
  <c r="AE88" i="1"/>
  <c r="Y81" i="1"/>
  <c r="AC81" i="1" s="1"/>
  <c r="AF81" i="1"/>
  <c r="AG81" i="1" s="1"/>
  <c r="AE81" i="1"/>
  <c r="T17" i="1"/>
  <c r="R17" i="1" s="1"/>
  <c r="U17" i="1" s="1"/>
  <c r="O17" i="1" s="1"/>
  <c r="P17" i="1" s="1"/>
  <c r="AF116" i="1"/>
  <c r="AG116" i="1" s="1"/>
  <c r="Y116" i="1"/>
  <c r="AC116" i="1" s="1"/>
  <c r="AE116" i="1"/>
  <c r="Y38" i="1"/>
  <c r="AC38" i="1" s="1"/>
  <c r="AF38" i="1"/>
  <c r="AE38" i="1"/>
  <c r="T82" i="1"/>
  <c r="R82" i="1" s="1"/>
  <c r="U82" i="1" s="1"/>
  <c r="O82" i="1" s="1"/>
  <c r="P82" i="1" s="1"/>
  <c r="T105" i="1"/>
  <c r="R105" i="1" s="1"/>
  <c r="U105" i="1" s="1"/>
  <c r="O105" i="1" s="1"/>
  <c r="P105" i="1" s="1"/>
  <c r="AG85" i="1"/>
  <c r="AG83" i="1" l="1"/>
  <c r="AG120" i="1"/>
  <c r="AG123" i="1"/>
  <c r="AG91" i="1"/>
  <c r="AG93" i="1"/>
  <c r="AG84" i="1"/>
  <c r="AG26" i="1"/>
  <c r="AG99" i="1"/>
  <c r="AG75" i="1"/>
  <c r="AG61" i="1"/>
  <c r="AG66" i="1"/>
  <c r="AG38" i="1"/>
  <c r="AG53" i="1"/>
  <c r="AG125" i="1"/>
  <c r="AG46" i="1"/>
  <c r="AG63" i="1"/>
  <c r="AG24" i="1"/>
  <c r="AG119" i="1"/>
  <c r="AG33" i="1"/>
  <c r="AG92" i="1"/>
  <c r="AG128" i="1"/>
  <c r="AG65" i="1"/>
  <c r="AG102" i="1"/>
  <c r="AG109" i="1"/>
  <c r="AG20" i="1"/>
  <c r="AG88" i="1"/>
</calcChain>
</file>

<file path=xl/sharedStrings.xml><?xml version="1.0" encoding="utf-8"?>
<sst xmlns="http://schemas.openxmlformats.org/spreadsheetml/2006/main" count="2828" uniqueCount="989">
  <si>
    <t>File opened</t>
  </si>
  <si>
    <t>2023-08-04 09:30:24</t>
  </si>
  <si>
    <t>Console s/n</t>
  </si>
  <si>
    <t>68C-812066</t>
  </si>
  <si>
    <t>Console ver</t>
  </si>
  <si>
    <t>Bluestem v.2.1.08</t>
  </si>
  <si>
    <t>Scripts ver</t>
  </si>
  <si>
    <t>2022.05  2.1.08, Aug 2022</t>
  </si>
  <si>
    <t>Head s/n</t>
  </si>
  <si>
    <t>68H-712056</t>
  </si>
  <si>
    <t>Head ver</t>
  </si>
  <si>
    <t>1.4.22</t>
  </si>
  <si>
    <t>Head cal</t>
  </si>
  <si>
    <t>{"oxygen": "21", "co2azero": "0.915663", "co2aspan1": "0.997522", "co2aspan2": "-0.0196233", "co2aspan2a": "0.284568", "co2aspan2b": "0.282273", "co2aspanconc1": "2490", "co2aspanconc2": "303.6", "co2bzero": "0.933333", "co2bspan1": "0.997855", "co2bspan2": "-0.0208094", "co2bspan2a": "0.285632", "co2bspan2b": "0.283321", "co2bspanconc1": "2490", "co2bspanconc2": "303.6", "h2oazero": "1.04163", "h2oaspan1": "1.0109", "h2oaspan2": "0", "h2oaspan2a": "0.0711453", "h2oaspan2b": "0.0719206", "h2oaspanconc1": "12.1", "h2oaspanconc2": "0", "h2obzero": "1.0344", "h2obspan1": "1.01116", "h2obspan2": "0", "h2obspan2a": "0.0716963", "h2obspan2b": "0.0724964", "h2obspanconc1": "12.1", "h2obspanconc2": "0", "tazero": "0.221279", "tbzero": "0.27083", "flowmeterzero": "0.991305", "flowazero": "0.33504", "flowbzero": "0.28737", "chamberpressurezero": "2.67276", "ssa_ref": "35446.7", "ssb_ref": "34171.9"}</t>
  </si>
  <si>
    <t>CO2 rangematch</t>
  </si>
  <si>
    <t>Sat Jul 29 17:01</t>
  </si>
  <si>
    <t>H2O rangematch</t>
  </si>
  <si>
    <t>Sat Jul 29 16:55</t>
  </si>
  <si>
    <t>Chamber type</t>
  </si>
  <si>
    <t>6800-01A</t>
  </si>
  <si>
    <t>Chamber s/n</t>
  </si>
  <si>
    <t>MPF-281813</t>
  </si>
  <si>
    <t>Chamber rev</t>
  </si>
  <si>
    <t>0</t>
  </si>
  <si>
    <t>Chamber cal</t>
  </si>
  <si>
    <t>Fluorometer</t>
  </si>
  <si>
    <t>Flr. Version</t>
  </si>
  <si>
    <t>09:30:24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</si>
  <si>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</si>
  <si>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</si>
  <si>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</si>
  <si>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</si>
  <si>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</si>
  <si>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</si>
  <si>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</si>
  <si>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</si>
  <si>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</si>
  <si>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</si>
  <si>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</si>
  <si>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</si>
  <si>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</si>
  <si>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</si>
  <si>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</si>
  <si>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</si>
  <si>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</si>
  <si>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</si>
  <si>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</si>
  <si>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</si>
  <si>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</si>
  <si>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</si>
  <si>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</si>
  <si>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</si>
  <si>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</si>
  <si>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</si>
  <si>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</si>
  <si>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</si>
  <si>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</si>
  <si>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</si>
  <si>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</si>
  <si>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</si>
  <si>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</si>
  <si>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</si>
  <si>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</si>
  <si>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</si>
  <si>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</si>
  <si>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</si>
  <si>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</si>
  <si>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</si>
  <si>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</si>
  <si>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</si>
  <si>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</si>
  <si>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</si>
  <si>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</si>
  <si>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</si>
  <si>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</si>
  <si>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</si>
  <si>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</si>
  <si>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</si>
  <si>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</si>
  <si>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</si>
  <si>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</si>
  <si>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2.56195 68.9313 371.523 615.706 866.067 1053.41 1214.74 1282.77</t>
  </si>
  <si>
    <t>Fs_true</t>
  </si>
  <si>
    <t>-0.0578187 100.171 400.285 600.989 800.525 1000.46 1200.79 1402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</si>
  <si>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</si>
  <si>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</si>
  <si>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</si>
  <si>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</si>
  <si>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</si>
  <si>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</si>
  <si>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</si>
  <si>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</si>
  <si>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</si>
  <si>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</si>
  <si>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</si>
  <si>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</si>
  <si>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</si>
  <si>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</si>
  <si>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</si>
  <si>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</si>
  <si>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</si>
  <si>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</si>
  <si>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</si>
  <si>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</si>
  <si>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</si>
  <si>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</si>
  <si>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</si>
  <si>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</si>
  <si>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</si>
  <si>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</si>
  <si>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</si>
  <si>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</si>
  <si>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plot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</si>
  <si>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</si>
  <si>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</si>
  <si>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</si>
  <si>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</si>
  <si>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</si>
  <si>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</si>
  <si>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</si>
  <si>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</si>
  <si>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</si>
  <si>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</si>
  <si>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</si>
  <si>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</si>
  <si>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</si>
  <si>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</si>
  <si>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</si>
  <si>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</si>
  <si>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</si>
  <si>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</si>
  <si>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</si>
  <si>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</si>
  <si>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</si>
  <si>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</si>
  <si>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</si>
  <si>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</si>
  <si>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</si>
  <si>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</si>
  <si>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</si>
  <si>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</si>
  <si>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</si>
  <si>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</si>
  <si>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</si>
  <si>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</si>
  <si>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</si>
  <si>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</si>
  <si>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</si>
  <si>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</si>
  <si>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</si>
  <si>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</si>
  <si>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</si>
  <si>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</si>
  <si>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</si>
  <si>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</si>
  <si>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</si>
  <si>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</si>
  <si>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</si>
  <si>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</si>
  <si>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</si>
  <si>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</si>
  <si>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</si>
  <si>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</si>
  <si>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</si>
  <si>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</si>
  <si>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</si>
  <si>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</si>
  <si>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</si>
  <si>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</si>
  <si>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</si>
  <si>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</si>
  <si>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</si>
  <si>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</si>
  <si>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</si>
  <si>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</si>
  <si>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</si>
  <si>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</si>
  <si>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</si>
  <si>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</si>
  <si>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</si>
  <si>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</si>
  <si>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</si>
  <si>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</si>
  <si>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</si>
  <si>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</si>
  <si>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</si>
  <si>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</si>
  <si>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</si>
  <si>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</si>
  <si>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</si>
  <si>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</si>
  <si>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</si>
  <si>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</si>
  <si>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</si>
  <si>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</si>
  <si>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</si>
  <si>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</si>
  <si>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</si>
  <si>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</si>
  <si>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</si>
  <si>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</si>
  <si>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</si>
  <si>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</si>
  <si>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</si>
  <si>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</si>
  <si>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</si>
  <si>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</si>
  <si>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</si>
  <si>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</si>
  <si>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</si>
  <si>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</si>
  <si>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</si>
  <si>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</si>
  <si>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</si>
  <si>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</si>
  <si>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</si>
  <si>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</si>
  <si>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</si>
  <si>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</si>
  <si>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</si>
  <si>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</si>
  <si>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</si>
  <si>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</si>
  <si>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</si>
  <si>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</si>
  <si>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</si>
  <si>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</si>
  <si>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</si>
  <si>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</si>
  <si>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</si>
  <si>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</si>
  <si>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</si>
  <si>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</si>
  <si>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</si>
  <si>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</si>
  <si>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</si>
  <si>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</si>
  <si>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</si>
  <si>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</si>
  <si>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</si>
  <si>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</si>
  <si>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</si>
  <si>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</si>
  <si>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</si>
  <si>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</si>
  <si>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</si>
  <si>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</si>
  <si>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</si>
  <si>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</si>
  <si>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</si>
  <si>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</si>
  <si>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</si>
  <si>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</si>
  <si>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</si>
  <si>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</si>
  <si>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</si>
  <si>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</si>
  <si>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</si>
  <si>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</si>
  <si>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</si>
  <si>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</si>
  <si>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</si>
  <si>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</si>
  <si>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</si>
  <si>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</si>
  <si>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</si>
  <si>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</si>
  <si>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</si>
  <si>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</si>
  <si>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</si>
  <si>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</si>
  <si>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</si>
  <si>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</si>
  <si>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</si>
  <si>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</si>
  <si>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</si>
  <si>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</si>
  <si>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</si>
  <si>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</si>
  <si>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</si>
  <si>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</si>
  <si>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</si>
  <si>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</si>
  <si>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</si>
  <si>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</si>
  <si>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</si>
  <si>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</si>
  <si>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</si>
  <si>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</si>
  <si>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</si>
  <si>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</si>
  <si>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</si>
  <si>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</si>
  <si>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</si>
  <si>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</si>
  <si>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</si>
  <si>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</si>
  <si>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</si>
  <si>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</si>
  <si>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</si>
  <si>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</si>
  <si>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</si>
  <si>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</si>
  <si>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</si>
  <si>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</si>
  <si>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</si>
  <si>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</si>
  <si>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</si>
  <si>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</si>
  <si>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</si>
  <si>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</si>
  <si>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</si>
  <si>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</si>
  <si>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</si>
  <si>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</si>
  <si>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</si>
  <si>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</si>
  <si>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</si>
  <si>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</si>
  <si>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</si>
  <si>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</si>
  <si>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</si>
  <si>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</si>
  <si>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</si>
  <si>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</si>
  <si>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</si>
  <si>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</si>
  <si>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</si>
  <si>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</si>
  <si>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</si>
  <si>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</si>
  <si>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</si>
  <si>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</si>
  <si>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</si>
  <si>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</si>
  <si>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</si>
  <si>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</si>
  <si>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</si>
  <si>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</si>
  <si>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</si>
  <si>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</si>
  <si>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</si>
  <si>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</si>
  <si>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</si>
  <si>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</si>
  <si>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</si>
  <si>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</si>
  <si>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</si>
  <si>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</si>
  <si>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</si>
  <si>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</si>
  <si>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</si>
  <si>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</si>
  <si>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</si>
  <si>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</si>
  <si>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</si>
  <si>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</si>
  <si>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</si>
  <si>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</si>
  <si>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</si>
  <si>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</si>
  <si>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</si>
  <si>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</si>
  <si>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</si>
  <si>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</si>
  <si>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</si>
  <si>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</si>
  <si>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</si>
  <si>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</si>
  <si>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</si>
  <si>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</si>
  <si>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</si>
  <si>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</si>
  <si>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</si>
  <si>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</si>
  <si>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</si>
  <si>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</si>
  <si>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</si>
  <si>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</si>
  <si>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</si>
  <si>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</si>
  <si>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</si>
  <si>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</si>
  <si>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</si>
  <si>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</si>
  <si>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</si>
  <si>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</si>
  <si>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</si>
  <si>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</si>
  <si>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</si>
  <si>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</si>
  <si>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</si>
  <si>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</si>
  <si>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</si>
  <si>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</si>
  <si>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</si>
  <si>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</si>
  <si>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</si>
  <si>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</si>
  <si>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</si>
  <si>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</si>
  <si>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</si>
  <si>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</si>
  <si>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</si>
  <si>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</si>
  <si>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</si>
  <si>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</si>
  <si>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</si>
  <si>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</si>
  <si>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</si>
  <si>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</si>
  <si>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20230804 09:55:11</t>
  </si>
  <si>
    <t>09:55:11</t>
  </si>
  <si>
    <t>none</t>
  </si>
  <si>
    <t>RECT-6732-20230728-06_48_00</t>
  </si>
  <si>
    <t>MPF-6975-20230804-09_55_02</t>
  </si>
  <si>
    <t>DARK-6976-20230804-09_55_10</t>
  </si>
  <si>
    <t>0: Broadleaf</t>
  </si>
  <si>
    <t>09:54:43</t>
  </si>
  <si>
    <t>2/2</t>
  </si>
  <si>
    <t>11111111</t>
  </si>
  <si>
    <t>oooooooo</t>
  </si>
  <si>
    <t>off</t>
  </si>
  <si>
    <t>20230804 09:56:55</t>
  </si>
  <si>
    <t>09:56:55</t>
  </si>
  <si>
    <t>MPF-6977-20230804-09_56_46</t>
  </si>
  <si>
    <t>DARK-6978-20230804-09_56_53</t>
  </si>
  <si>
    <t>09:56:24</t>
  </si>
  <si>
    <t>20230804 09:58:38</t>
  </si>
  <si>
    <t>09:58:38</t>
  </si>
  <si>
    <t>MPF-6979-20230804-09_58_29</t>
  </si>
  <si>
    <t>DARK-6980-20230804-09_58_37</t>
  </si>
  <si>
    <t>09:58:08</t>
  </si>
  <si>
    <t>20230804 10:00:22</t>
  </si>
  <si>
    <t>10:00:22</t>
  </si>
  <si>
    <t>MPF-6981-20230804-10_00_13</t>
  </si>
  <si>
    <t>DARK-6982-20230804-10_00_21</t>
  </si>
  <si>
    <t>09:59:53</t>
  </si>
  <si>
    <t>20230804 10:02:21</t>
  </si>
  <si>
    <t>10:02:21</t>
  </si>
  <si>
    <t>MPF-6983-20230804-10_02_12</t>
  </si>
  <si>
    <t>DARK-6984-20230804-10_02_19</t>
  </si>
  <si>
    <t>10:01:49</t>
  </si>
  <si>
    <t>20230804 10:04:04</t>
  </si>
  <si>
    <t>10:04:04</t>
  </si>
  <si>
    <t>MPF-6985-20230804-10_03_55</t>
  </si>
  <si>
    <t>DARK-6986-20230804-10_04_02</t>
  </si>
  <si>
    <t>10:03:33</t>
  </si>
  <si>
    <t>20230804 10:05:44</t>
  </si>
  <si>
    <t>10:05:44</t>
  </si>
  <si>
    <t>MPF-6987-20230804-10_05_35</t>
  </si>
  <si>
    <t>DARK-6988-20230804-10_05_43</t>
  </si>
  <si>
    <t>10:05:16</t>
  </si>
  <si>
    <t>20230804 10:08:46</t>
  </si>
  <si>
    <t>10:08:46</t>
  </si>
  <si>
    <t>MPF-6989-20230804-10_08_37</t>
  </si>
  <si>
    <t>DARK-6990-20230804-10_08_45</t>
  </si>
  <si>
    <t>10:07:23</t>
  </si>
  <si>
    <t>20230804 10:10:42</t>
  </si>
  <si>
    <t>10:10:42</t>
  </si>
  <si>
    <t>MPF-6991-20230804-10_10_33</t>
  </si>
  <si>
    <t>DARK-6992-20230804-10_10_40</t>
  </si>
  <si>
    <t>10:10:13</t>
  </si>
  <si>
    <t>20230804 10:12:21</t>
  </si>
  <si>
    <t>10:12:21</t>
  </si>
  <si>
    <t>MPF-6993-20230804-10_12_12</t>
  </si>
  <si>
    <t>DARK-6994-20230804-10_12_20</t>
  </si>
  <si>
    <t>10:11:53</t>
  </si>
  <si>
    <t>20230804 10:14:10</t>
  </si>
  <si>
    <t>10:14:10</t>
  </si>
  <si>
    <t>MPF-6995-20230804-10_14_01</t>
  </si>
  <si>
    <t>DARK-6996-20230804-10_14_09</t>
  </si>
  <si>
    <t>10:13:37</t>
  </si>
  <si>
    <t>20230804 10:15:50</t>
  </si>
  <si>
    <t>10:15:50</t>
  </si>
  <si>
    <t>MPF-6997-20230804-10_15_41</t>
  </si>
  <si>
    <t>DARK-6998-20230804-10_15_48</t>
  </si>
  <si>
    <t>10:15:17</t>
  </si>
  <si>
    <t>20230804 10:17:54</t>
  </si>
  <si>
    <t>10:17:54</t>
  </si>
  <si>
    <t>MPF-6999-20230804-10_17_45</t>
  </si>
  <si>
    <t>DARK-7000-20230804-10_17_52</t>
  </si>
  <si>
    <t>10:17:21</t>
  </si>
  <si>
    <t>20230804 10:19:54</t>
  </si>
  <si>
    <t>10:19:54</t>
  </si>
  <si>
    <t>MPF-7001-20230804-10_19_45</t>
  </si>
  <si>
    <t>DARK-7002-20230804-10_19_52</t>
  </si>
  <si>
    <t>10:19:16</t>
  </si>
  <si>
    <t>20230804 11:19:02</t>
  </si>
  <si>
    <t>11:19:02</t>
  </si>
  <si>
    <t>2</t>
  </si>
  <si>
    <t>zg5b</t>
  </si>
  <si>
    <t>MPF-7003-20230804-11_18_53</t>
  </si>
  <si>
    <t>DARK-7004-20230804-11_19_00</t>
  </si>
  <si>
    <t>11:18:32</t>
  </si>
  <si>
    <t>20230804 11:20:44</t>
  </si>
  <si>
    <t>11:20:44</t>
  </si>
  <si>
    <t>MPF-7005-20230804-11_20_35</t>
  </si>
  <si>
    <t>DARK-7006-20230804-11_20_42</t>
  </si>
  <si>
    <t>11:20:16</t>
  </si>
  <si>
    <t>20230804 11:22:30</t>
  </si>
  <si>
    <t>11:22:30</t>
  </si>
  <si>
    <t>MPF-7007-20230804-11_22_21</t>
  </si>
  <si>
    <t>DARK-7008-20230804-11_22_28</t>
  </si>
  <si>
    <t>11:22:01</t>
  </si>
  <si>
    <t>20230804 11:24:16</t>
  </si>
  <si>
    <t>11:24:16</t>
  </si>
  <si>
    <t>MPF-7009-20230804-11_24_07</t>
  </si>
  <si>
    <t>DARK-7010-20230804-11_24_14</t>
  </si>
  <si>
    <t>11:23:47</t>
  </si>
  <si>
    <t>20230804 11:26:07</t>
  </si>
  <si>
    <t>11:26:07</t>
  </si>
  <si>
    <t>MPF-7011-20230804-11_25_58</t>
  </si>
  <si>
    <t>DARK-7012-20230804-11_26_05</t>
  </si>
  <si>
    <t>11:25:36</t>
  </si>
  <si>
    <t>20230804 11:27:48</t>
  </si>
  <si>
    <t>11:27:48</t>
  </si>
  <si>
    <t>MPF-7013-20230804-11_27_39</t>
  </si>
  <si>
    <t>DARK-7014-20230804-11_27_46</t>
  </si>
  <si>
    <t>11:27:17</t>
  </si>
  <si>
    <t>20230804 11:29:30</t>
  </si>
  <si>
    <t>11:29:30</t>
  </si>
  <si>
    <t>MPF-7015-20230804-11_29_21</t>
  </si>
  <si>
    <t>DARK-7016-20230804-11_29_29</t>
  </si>
  <si>
    <t>11:29:06</t>
  </si>
  <si>
    <t>20230804 11:31:58</t>
  </si>
  <si>
    <t>11:31:58</t>
  </si>
  <si>
    <t>MPF-7017-20230804-11_31_49</t>
  </si>
  <si>
    <t>DARK-7018-20230804-11_31_57</t>
  </si>
  <si>
    <t>11:31:14</t>
  </si>
  <si>
    <t>20230804 11:33:38</t>
  </si>
  <si>
    <t>11:33:38</t>
  </si>
  <si>
    <t>MPF-7019-20230804-11_33_29</t>
  </si>
  <si>
    <t>DARK-7020-20230804-11_33_36</t>
  </si>
  <si>
    <t>11:33:09</t>
  </si>
  <si>
    <t>20230804 11:35:31</t>
  </si>
  <si>
    <t>11:35:31</t>
  </si>
  <si>
    <t>MPF-7021-20230804-11_35_22</t>
  </si>
  <si>
    <t>DARK-7022-20230804-11_35_30</t>
  </si>
  <si>
    <t>11:35:02</t>
  </si>
  <si>
    <t>20230804 11:37:11</t>
  </si>
  <si>
    <t>11:37:11</t>
  </si>
  <si>
    <t>MPF-7023-20230804-11_37_02</t>
  </si>
  <si>
    <t>DARK-7024-20230804-11_37_09</t>
  </si>
  <si>
    <t>11:36:41</t>
  </si>
  <si>
    <t>20230804 11:38:57</t>
  </si>
  <si>
    <t>11:38:57</t>
  </si>
  <si>
    <t>MPF-7025-20230804-11_38_48</t>
  </si>
  <si>
    <t>DARK-7026-20230804-11_38_56</t>
  </si>
  <si>
    <t>11:38:24</t>
  </si>
  <si>
    <t>20230804 11:41:45</t>
  </si>
  <si>
    <t>11:41:45</t>
  </si>
  <si>
    <t>MPF-7027-20230804-11_41_36</t>
  </si>
  <si>
    <t>DARK-7028-20230804-11_41_43</t>
  </si>
  <si>
    <t>11:40:52</t>
  </si>
  <si>
    <t>20230804 11:43:24</t>
  </si>
  <si>
    <t>11:43:24</t>
  </si>
  <si>
    <t>MPF-7029-20230804-11_43_15</t>
  </si>
  <si>
    <t>DARK-7030-20230804-11_43_23</t>
  </si>
  <si>
    <t>11:42:51</t>
  </si>
  <si>
    <t>20230804 11:58:45</t>
  </si>
  <si>
    <t>11:58:45</t>
  </si>
  <si>
    <t>3</t>
  </si>
  <si>
    <t>hn1a</t>
  </si>
  <si>
    <t>MPF-7031-20230804-11_58_36</t>
  </si>
  <si>
    <t>DARK-7032-20230804-11_58_44</t>
  </si>
  <si>
    <t>11:58:14</t>
  </si>
  <si>
    <t>20230804 12:00:51</t>
  </si>
  <si>
    <t>12:00:51</t>
  </si>
  <si>
    <t>MPF-7033-20230804-12_00_42</t>
  </si>
  <si>
    <t>DARK-7034-20230804-12_00_50</t>
  </si>
  <si>
    <t>12:00:22</t>
  </si>
  <si>
    <t>20230804 12:02:44</t>
  </si>
  <si>
    <t>12:02:44</t>
  </si>
  <si>
    <t>MPF-7035-20230804-12_02_35</t>
  </si>
  <si>
    <t>DARK-7036-20230804-12_02_42</t>
  </si>
  <si>
    <t>12:02:16</t>
  </si>
  <si>
    <t>20230804 12:04:40</t>
  </si>
  <si>
    <t>12:04:40</t>
  </si>
  <si>
    <t>MPF-7037-20230804-12_04_31</t>
  </si>
  <si>
    <t>DARK-7038-20230804-12_04_39</t>
  </si>
  <si>
    <t>12:04:11</t>
  </si>
  <si>
    <t>20230804 12:06:27</t>
  </si>
  <si>
    <t>12:06:27</t>
  </si>
  <si>
    <t>MPF-7039-20230804-12_06_18</t>
  </si>
  <si>
    <t>DARK-7040-20230804-12_06_26</t>
  </si>
  <si>
    <t>12:05:57</t>
  </si>
  <si>
    <t>20230804 12:08:26</t>
  </si>
  <si>
    <t>12:08:26</t>
  </si>
  <si>
    <t>MPF-7041-20230804-12_08_17</t>
  </si>
  <si>
    <t>DARK-7042-20230804-12_08_24</t>
  </si>
  <si>
    <t>12:07:47</t>
  </si>
  <si>
    <t>20230804 12:10:06</t>
  </si>
  <si>
    <t>12:10:06</t>
  </si>
  <si>
    <t>MPF-7043-20230804-12_09_57</t>
  </si>
  <si>
    <t>DARK-7044-20230804-12_10_05</t>
  </si>
  <si>
    <t>12:09:41</t>
  </si>
  <si>
    <t>20230804 12:13:16</t>
  </si>
  <si>
    <t>12:13:16</t>
  </si>
  <si>
    <t>MPF-7045-20230804-12_13_07</t>
  </si>
  <si>
    <t>DARK-7046-20230804-12_13_14</t>
  </si>
  <si>
    <t>12:12:12</t>
  </si>
  <si>
    <t>1/2</t>
  </si>
  <si>
    <t>20230804 12:15:07</t>
  </si>
  <si>
    <t>12:15:07</t>
  </si>
  <si>
    <t>MPF-7047-20230804-12_14_58</t>
  </si>
  <si>
    <t>DARK-7048-20230804-12_15_06</t>
  </si>
  <si>
    <t>12:14:39</t>
  </si>
  <si>
    <t>20230804 12:16:47</t>
  </si>
  <si>
    <t>12:16:47</t>
  </si>
  <si>
    <t>MPF-7049-20230804-12_16_38</t>
  </si>
  <si>
    <t>DARK-7050-20230804-12_16_45</t>
  </si>
  <si>
    <t>12:17:19</t>
  </si>
  <si>
    <t>20230804 12:18:51</t>
  </si>
  <si>
    <t>12:18:51</t>
  </si>
  <si>
    <t>MPF-7051-20230804-12_18_42</t>
  </si>
  <si>
    <t>DARK-7052-20230804-12_18_49</t>
  </si>
  <si>
    <t>12:18:19</t>
  </si>
  <si>
    <t>20230804 12:20:55</t>
  </si>
  <si>
    <t>12:20:55</t>
  </si>
  <si>
    <t>MPF-7053-20230804-12_20_46</t>
  </si>
  <si>
    <t>DARK-7054-20230804-12_20_54</t>
  </si>
  <si>
    <t>12:20:12</t>
  </si>
  <si>
    <t>20230804 12:23:05</t>
  </si>
  <si>
    <t>12:23:05</t>
  </si>
  <si>
    <t>MPF-7055-20230804-12_22_56</t>
  </si>
  <si>
    <t>DARK-7056-20230804-12_23_04</t>
  </si>
  <si>
    <t>12:23:46</t>
  </si>
  <si>
    <t>20230804 12:26:47</t>
  </si>
  <si>
    <t>12:26:47</t>
  </si>
  <si>
    <t>MPF-7057-20230804-12_26_38</t>
  </si>
  <si>
    <t>DARK-7058-20230804-12_26_45</t>
  </si>
  <si>
    <t>12:25:56</t>
  </si>
  <si>
    <t>20230804 12:50:29</t>
  </si>
  <si>
    <t>12:50:29</t>
  </si>
  <si>
    <t>6</t>
  </si>
  <si>
    <t>zg12a</t>
  </si>
  <si>
    <t>MPF-7059-20230804-12_50_20</t>
  </si>
  <si>
    <t>DARK-7060-20230804-12_50_28</t>
  </si>
  <si>
    <t>12:50:00</t>
  </si>
  <si>
    <t>20230804 12:52:40</t>
  </si>
  <si>
    <t>12:52:40</t>
  </si>
  <si>
    <t>MPF-7061-20230804-12_52_31</t>
  </si>
  <si>
    <t>DARK-7062-20230804-12_52_38</t>
  </si>
  <si>
    <t>12:51:44</t>
  </si>
  <si>
    <t>20230804 12:55:11</t>
  </si>
  <si>
    <t>12:55:11</t>
  </si>
  <si>
    <t>MPF-7063-20230804-12_55_02</t>
  </si>
  <si>
    <t>DARK-7064-20230804-12_55_10</t>
  </si>
  <si>
    <t>12:54:01</t>
  </si>
  <si>
    <t>20230804 12:58:02</t>
  </si>
  <si>
    <t>12:58:02</t>
  </si>
  <si>
    <t>MPF-7065-20230804-12_57_53</t>
  </si>
  <si>
    <t>DARK-7066-20230804-12_58_01</t>
  </si>
  <si>
    <t>12:57:22</t>
  </si>
  <si>
    <t>20230804 12:59:54</t>
  </si>
  <si>
    <t>12:59:54</t>
  </si>
  <si>
    <t>MPF-7067-20230804-12_59_45</t>
  </si>
  <si>
    <t>DARK-7068-20230804-12_59_52</t>
  </si>
  <si>
    <t>12:59:24</t>
  </si>
  <si>
    <t>20230804 13:01:52</t>
  </si>
  <si>
    <t>13:01:52</t>
  </si>
  <si>
    <t>MPF-7069-20230804-13_01_43</t>
  </si>
  <si>
    <t>DARK-7070-20230804-13_01_51</t>
  </si>
  <si>
    <t>13:01:21</t>
  </si>
  <si>
    <t>20230804 13:03:58</t>
  </si>
  <si>
    <t>13:03:58</t>
  </si>
  <si>
    <t>MPF-7071-20230804-13_03_49</t>
  </si>
  <si>
    <t>DARK-7072-20230804-13_03_56</t>
  </si>
  <si>
    <t>13:03:28</t>
  </si>
  <si>
    <t>20230804 13:06:33</t>
  </si>
  <si>
    <t>13:06:33</t>
  </si>
  <si>
    <t>MPF-7073-20230804-13_06_24</t>
  </si>
  <si>
    <t>DARK-7074-20230804-13_06_31</t>
  </si>
  <si>
    <t>13:05:50</t>
  </si>
  <si>
    <t>20230804 13:09:09</t>
  </si>
  <si>
    <t>13:09:09</t>
  </si>
  <si>
    <t>MPF-7075-20230804-13_09_00</t>
  </si>
  <si>
    <t>DARK-7076-20230804-13_09_07</t>
  </si>
  <si>
    <t>13:07:43</t>
  </si>
  <si>
    <t>20230804 13:10:48</t>
  </si>
  <si>
    <t>13:10:48</t>
  </si>
  <si>
    <t>MPF-7077-20230804-13_10_39</t>
  </si>
  <si>
    <t>DARK-7078-20230804-13_10_47</t>
  </si>
  <si>
    <t>13:11:22</t>
  </si>
  <si>
    <t>20230804 13:13:27</t>
  </si>
  <si>
    <t>13:13:27</t>
  </si>
  <si>
    <t>MPF-7079-20230804-13_13_18</t>
  </si>
  <si>
    <t>DARK-7080-20230804-13_13_26</t>
  </si>
  <si>
    <t>13:12:53</t>
  </si>
  <si>
    <t>20230804 13:15:13</t>
  </si>
  <si>
    <t>13:15:13</t>
  </si>
  <si>
    <t>MPF-7081-20230804-13_15_04</t>
  </si>
  <si>
    <t>DARK-7082-20230804-13_15_12</t>
  </si>
  <si>
    <t>13:14:45</t>
  </si>
  <si>
    <t>20230804 13:18:23</t>
  </si>
  <si>
    <t>13:18:23</t>
  </si>
  <si>
    <t>MPF-7083-20230804-13_18_14</t>
  </si>
  <si>
    <t>DARK-7084-20230804-13_18_22</t>
  </si>
  <si>
    <t>13:17:31</t>
  </si>
  <si>
    <t>20230804 13:20:24</t>
  </si>
  <si>
    <t>13:20:24</t>
  </si>
  <si>
    <t>MPF-7085-20230804-13_20_16</t>
  </si>
  <si>
    <t>DARK-7086-20230804-13_20_23</t>
  </si>
  <si>
    <t>13:20:52</t>
  </si>
  <si>
    <t>20230804 13:50:22</t>
  </si>
  <si>
    <t>13:50:22</t>
  </si>
  <si>
    <t>5</t>
  </si>
  <si>
    <t>MPF-7087-20230804-13_50_13</t>
  </si>
  <si>
    <t>DARK-7088-20230804-13_50_21</t>
  </si>
  <si>
    <t>13:49:47</t>
  </si>
  <si>
    <t>20230804 13:52:22</t>
  </si>
  <si>
    <t>13:52:22</t>
  </si>
  <si>
    <t>MPF-7089-20230804-13_52_13</t>
  </si>
  <si>
    <t>DARK-7090-20230804-13_52_21</t>
  </si>
  <si>
    <t>13:51:41</t>
  </si>
  <si>
    <t>20230804 13:54:18</t>
  </si>
  <si>
    <t>13:54:18</t>
  </si>
  <si>
    <t>MPF-7091-20230804-13_54_09</t>
  </si>
  <si>
    <t>DARK-7092-20230804-13_54_17</t>
  </si>
  <si>
    <t>13:53:34</t>
  </si>
  <si>
    <t>20230804 13:56:05</t>
  </si>
  <si>
    <t>13:56:05</t>
  </si>
  <si>
    <t>MPF-7093-20230804-13_55_56</t>
  </si>
  <si>
    <t>DARK-7094-20230804-13_56_04</t>
  </si>
  <si>
    <t>13:55:34</t>
  </si>
  <si>
    <t>20230804 13:57:53</t>
  </si>
  <si>
    <t>13:57:53</t>
  </si>
  <si>
    <t>MPF-7095-20230804-13_57_45</t>
  </si>
  <si>
    <t>DARK-7096-20230804-13_57_52</t>
  </si>
  <si>
    <t>13:57:14</t>
  </si>
  <si>
    <t>20230804 13:59:36</t>
  </si>
  <si>
    <t>13:59:36</t>
  </si>
  <si>
    <t>MPF-7097-20230804-13_59_28</t>
  </si>
  <si>
    <t>DARK-7098-20230804-13_59_35</t>
  </si>
  <si>
    <t>13:59:09</t>
  </si>
  <si>
    <t>20230804 14:01:26</t>
  </si>
  <si>
    <t>14:01:26</t>
  </si>
  <si>
    <t>MPF-7099-20230804-14_01_18</t>
  </si>
  <si>
    <t>DARK-7100-20230804-14_01_25</t>
  </si>
  <si>
    <t>14:00:56</t>
  </si>
  <si>
    <t>20230804 14:03:58</t>
  </si>
  <si>
    <t>14:03:58</t>
  </si>
  <si>
    <t>MPF-7101-20230804-14_03_50</t>
  </si>
  <si>
    <t>DARK-7102-20230804-14_03_57</t>
  </si>
  <si>
    <t>14:03:06</t>
  </si>
  <si>
    <t>20230804 14:07:08</t>
  </si>
  <si>
    <t>14:07:08</t>
  </si>
  <si>
    <t>MPF-7103-20230804-14_07_00</t>
  </si>
  <si>
    <t>DARK-7104-20230804-14_07_07</t>
  </si>
  <si>
    <t>14:05:06</t>
  </si>
  <si>
    <t>0/2</t>
  </si>
  <si>
    <t>20230804 14:09:15</t>
  </si>
  <si>
    <t>14:09:15</t>
  </si>
  <si>
    <t>MPF-7105-20230804-14_09_06</t>
  </si>
  <si>
    <t>DARK-7106-20230804-14_09_14</t>
  </si>
  <si>
    <t>14:08:41</t>
  </si>
  <si>
    <t>20230804 14:11:05</t>
  </si>
  <si>
    <t>14:11:05</t>
  </si>
  <si>
    <t>MPF-7107-20230804-14_10_57</t>
  </si>
  <si>
    <t>DARK-7108-20230804-14_11_04</t>
  </si>
  <si>
    <t>14:10:25</t>
  </si>
  <si>
    <t>20230804 14:13:26</t>
  </si>
  <si>
    <t>14:13:26</t>
  </si>
  <si>
    <t>MPF-7109-20230804-14_13_18</t>
  </si>
  <si>
    <t>DARK-7110-20230804-14_13_25</t>
  </si>
  <si>
    <t>14:12:34</t>
  </si>
  <si>
    <t>20230804 14:16:20</t>
  </si>
  <si>
    <t>14:16:20</t>
  </si>
  <si>
    <t>MPF-7111-20230804-14_16_11</t>
  </si>
  <si>
    <t>DARK-7112-20230804-14_16_19</t>
  </si>
  <si>
    <t>14:15:29</t>
  </si>
  <si>
    <t>20230804 14:18:20</t>
  </si>
  <si>
    <t>14:18:20</t>
  </si>
  <si>
    <t>MPF-7113-20230804-14_18_11</t>
  </si>
  <si>
    <t>DARK-7114-20230804-14_18_19</t>
  </si>
  <si>
    <t>14:18:44</t>
  </si>
  <si>
    <t>20230804 14:36:51</t>
  </si>
  <si>
    <t>14:36:51</t>
  </si>
  <si>
    <t>4</t>
  </si>
  <si>
    <t>wt</t>
  </si>
  <si>
    <t>MPF-7115-20230804-14_36_43</t>
  </si>
  <si>
    <t>DARK-7116-20230804-14_36_50</t>
  </si>
  <si>
    <t>14:36:19</t>
  </si>
  <si>
    <t>20230804 14:38:35</t>
  </si>
  <si>
    <t>14:38:35</t>
  </si>
  <si>
    <t>MPF-7117-20230804-14_38_27</t>
  </si>
  <si>
    <t>DARK-7118-20230804-14_38_34</t>
  </si>
  <si>
    <t>14:38:08</t>
  </si>
  <si>
    <t>20230804 14:40:36</t>
  </si>
  <si>
    <t>14:40:36</t>
  </si>
  <si>
    <t>MPF-7119-20230804-14_40_27</t>
  </si>
  <si>
    <t>DARK-7120-20230804-14_40_35</t>
  </si>
  <si>
    <t>14:39:56</t>
  </si>
  <si>
    <t>20230804 14:43:33</t>
  </si>
  <si>
    <t>14:43:33</t>
  </si>
  <si>
    <t>MPF-7121-20230804-14_43_25</t>
  </si>
  <si>
    <t>DARK-7122-20230804-14_43_32</t>
  </si>
  <si>
    <t>14:41:46</t>
  </si>
  <si>
    <t>20230804 14:45:22</t>
  </si>
  <si>
    <t>14:45:22</t>
  </si>
  <si>
    <t>MPF-7123-20230804-14_45_14</t>
  </si>
  <si>
    <t>DARK-7124-20230804-14_45_21</t>
  </si>
  <si>
    <t>14:44:56</t>
  </si>
  <si>
    <t>20230804 14:47:17</t>
  </si>
  <si>
    <t>14:47:17</t>
  </si>
  <si>
    <t>MPF-7125-20230804-14_47_09</t>
  </si>
  <si>
    <t>DARK-7126-20230804-14_47_16</t>
  </si>
  <si>
    <t>14:46:51</t>
  </si>
  <si>
    <t>20230804 14:49:17</t>
  </si>
  <si>
    <t>14:49:17</t>
  </si>
  <si>
    <t>MPF-7127-20230804-14_49_08</t>
  </si>
  <si>
    <t>DARK-7128-20230804-14_49_16</t>
  </si>
  <si>
    <t>14:48:50</t>
  </si>
  <si>
    <t>20230804 14:52:19</t>
  </si>
  <si>
    <t>14:52:19</t>
  </si>
  <si>
    <t>MPF-7129-20230804-14_52_10</t>
  </si>
  <si>
    <t>DARK-7130-20230804-14_52_18</t>
  </si>
  <si>
    <t>14:51:11</t>
  </si>
  <si>
    <t>20230804 14:55:09</t>
  </si>
  <si>
    <t>14:55:09</t>
  </si>
  <si>
    <t>MPF-7131-20230804-14_55_00</t>
  </si>
  <si>
    <t>DARK-7132-20230804-14_55_08</t>
  </si>
  <si>
    <t>14:53:39</t>
  </si>
  <si>
    <t>20230804 14:56:51</t>
  </si>
  <si>
    <t>14:56:51</t>
  </si>
  <si>
    <t>MPF-7133-20230804-14_56_43</t>
  </si>
  <si>
    <t>DARK-7134-20230804-14_56_50</t>
  </si>
  <si>
    <t>14:56:22</t>
  </si>
  <si>
    <t>20230804 14:58:53</t>
  </si>
  <si>
    <t>14:58:53</t>
  </si>
  <si>
    <t>MPF-7135-20230804-14_58_44</t>
  </si>
  <si>
    <t>DARK-7136-20230804-14_58_52</t>
  </si>
  <si>
    <t>14:58:11</t>
  </si>
  <si>
    <t>20230804 15:00:57</t>
  </si>
  <si>
    <t>15:00:57</t>
  </si>
  <si>
    <t>MPF-7137-20230804-15_00_49</t>
  </si>
  <si>
    <t>DARK-7138-20230804-15_00_56</t>
  </si>
  <si>
    <t>15:00:15</t>
  </si>
  <si>
    <t>20230804 15:03:02</t>
  </si>
  <si>
    <t>15:03:02</t>
  </si>
  <si>
    <t>MPF-7139-20230804-15_02_53</t>
  </si>
  <si>
    <t>DARK-7140-20230804-15_03_01</t>
  </si>
  <si>
    <t>15:02:10</t>
  </si>
  <si>
    <t>20230804 15:06:11</t>
  </si>
  <si>
    <t>15:06:11</t>
  </si>
  <si>
    <t>MPF-7141-20230804-15_06_03</t>
  </si>
  <si>
    <t>DARK-7142-20230804-15_06_10</t>
  </si>
  <si>
    <t>15:04:07</t>
  </si>
  <si>
    <t>20230804 15:44:05</t>
  </si>
  <si>
    <t>15:44:05</t>
  </si>
  <si>
    <t>MPF-7143-20230804-15_43_57</t>
  </si>
  <si>
    <t>DARK-7144-20230804-15_44_04</t>
  </si>
  <si>
    <t>15:43:30</t>
  </si>
  <si>
    <t>20230804 15:46:59</t>
  </si>
  <si>
    <t>15:46:59</t>
  </si>
  <si>
    <t>MPF-7145-20230804-15_46_51</t>
  </si>
  <si>
    <t>DARK-7146-20230804-15_46_58</t>
  </si>
  <si>
    <t>15:45:17</t>
  </si>
  <si>
    <t>20230804 15:48:39</t>
  </si>
  <si>
    <t>15:48:39</t>
  </si>
  <si>
    <t>MPF-7147-20230804-15_48_30</t>
  </si>
  <si>
    <t>DARK-7148-20230804-15_48_38</t>
  </si>
  <si>
    <t>15:48:10</t>
  </si>
  <si>
    <t>20230804 15:50:26</t>
  </si>
  <si>
    <t>15:50:26</t>
  </si>
  <si>
    <t>MPF-7149-20230804-15_50_17</t>
  </si>
  <si>
    <t>DARK-7150-20230804-15_50_25</t>
  </si>
  <si>
    <t>15:49:54</t>
  </si>
  <si>
    <t>20230804 15:52:22</t>
  </si>
  <si>
    <t>15:52:22</t>
  </si>
  <si>
    <t>MPF-7151-20230804-15_52_13</t>
  </si>
  <si>
    <t>DARK-7152-20230804-15_52_21</t>
  </si>
  <si>
    <t>15:51:52</t>
  </si>
  <si>
    <t>20230804 15:54:05</t>
  </si>
  <si>
    <t>15:54:05</t>
  </si>
  <si>
    <t>MPF-7153-20230804-15_53_57</t>
  </si>
  <si>
    <t>DARK-7154-20230804-15_54_04</t>
  </si>
  <si>
    <t>15:53:35</t>
  </si>
  <si>
    <t>20230804 15:55:56</t>
  </si>
  <si>
    <t>15:55:56</t>
  </si>
  <si>
    <t>MPF-7155-20230804-15_55_47</t>
  </si>
  <si>
    <t>DARK-7156-20230804-15_55_55</t>
  </si>
  <si>
    <t>15:55:29</t>
  </si>
  <si>
    <t>20230804 15:58:24</t>
  </si>
  <si>
    <t>15:58:24</t>
  </si>
  <si>
    <t>MPF-7157-20230804-15_58_15</t>
  </si>
  <si>
    <t>DARK-7158-20230804-15_58_23</t>
  </si>
  <si>
    <t>15:57:42</t>
  </si>
  <si>
    <t>20230804 16:01:33</t>
  </si>
  <si>
    <t>16:01:33</t>
  </si>
  <si>
    <t>MPF-7159-20230804-16_01_25</t>
  </si>
  <si>
    <t>DARK-7160-20230804-16_01_32</t>
  </si>
  <si>
    <t>16:00:27</t>
  </si>
  <si>
    <t>20230804 16:03:15</t>
  </si>
  <si>
    <t>16:03:15</t>
  </si>
  <si>
    <t>MPF-7161-20230804-16_03_06</t>
  </si>
  <si>
    <t>DARK-7162-20230804-16_03_14</t>
  </si>
  <si>
    <t>16:02:47</t>
  </si>
  <si>
    <t>20230804 16:05:12</t>
  </si>
  <si>
    <t>16:05:12</t>
  </si>
  <si>
    <t>MPF-7163-20230804-16_05_04</t>
  </si>
  <si>
    <t>DARK-7164-20230804-16_05_11</t>
  </si>
  <si>
    <t>16:04:29</t>
  </si>
  <si>
    <t>20230804 16:07:06</t>
  </si>
  <si>
    <t>16:07:06</t>
  </si>
  <si>
    <t>MPF-7165-20230804-16_06_58</t>
  </si>
  <si>
    <t>DARK-7166-20230804-16_07_05</t>
  </si>
  <si>
    <t>16:06:34</t>
  </si>
  <si>
    <t>20230804 16:09:56</t>
  </si>
  <si>
    <t>16:09:56</t>
  </si>
  <si>
    <t>MPF-7167-20230804-16_09_47</t>
  </si>
  <si>
    <t>DARK-7168-20230804-16_09_55</t>
  </si>
  <si>
    <t>16:08:48</t>
  </si>
  <si>
    <t>20230804 16:13:03</t>
  </si>
  <si>
    <t>16:13:03</t>
  </si>
  <si>
    <t>MPF-7169-20230804-16_12_55</t>
  </si>
  <si>
    <t>DARK-7170-20230804-16_13_02</t>
  </si>
  <si>
    <t>16:11:15</t>
  </si>
  <si>
    <t>20230804 16:36:55</t>
  </si>
  <si>
    <t>16:36:55</t>
  </si>
  <si>
    <t>MPF-7171-20230804-16_36_47</t>
  </si>
  <si>
    <t>DARK-7172-20230804-16_36_54</t>
  </si>
  <si>
    <t>16:36:24</t>
  </si>
  <si>
    <t>20230804 16:38:39</t>
  </si>
  <si>
    <t>16:38:39</t>
  </si>
  <si>
    <t>MPF-7173-20230804-16_38_31</t>
  </si>
  <si>
    <t>DARK-7174-20230804-16_38_38</t>
  </si>
  <si>
    <t>16:38:10</t>
  </si>
  <si>
    <t>20230804 16:40:21</t>
  </si>
  <si>
    <t>16:40:21</t>
  </si>
  <si>
    <t>MPF-7175-20230804-16_40_13</t>
  </si>
  <si>
    <t>DARK-7176-20230804-16_40_20</t>
  </si>
  <si>
    <t>16:39:53</t>
  </si>
  <si>
    <t>20230804 16:42:06</t>
  </si>
  <si>
    <t>16:42:06</t>
  </si>
  <si>
    <t>MPF-7177-20230804-16_41_58</t>
  </si>
  <si>
    <t>DARK-7178-20230804-16_42_05</t>
  </si>
  <si>
    <t>16:41:39</t>
  </si>
  <si>
    <t>20230804 16:43:59</t>
  </si>
  <si>
    <t>16:43:59</t>
  </si>
  <si>
    <t>MPF-7179-20230804-16_43_51</t>
  </si>
  <si>
    <t>DARK-7180-20230804-16_43_58</t>
  </si>
  <si>
    <t>16:43:31</t>
  </si>
  <si>
    <t>20230804 16:45:41</t>
  </si>
  <si>
    <t>16:45:41</t>
  </si>
  <si>
    <t>MPF-7181-20230804-16_45_33</t>
  </si>
  <si>
    <t>DARK-7182-20230804-16_45_40</t>
  </si>
  <si>
    <t>16:45:12</t>
  </si>
  <si>
    <t>20230804 16:47:32</t>
  </si>
  <si>
    <t>16:47:32</t>
  </si>
  <si>
    <t>MPF-7183-20230804-16_47_24</t>
  </si>
  <si>
    <t>DARK-7184-20230804-16_47_31</t>
  </si>
  <si>
    <t>16:47:06</t>
  </si>
  <si>
    <t>20230804 16:50:02</t>
  </si>
  <si>
    <t>16:50:02</t>
  </si>
  <si>
    <t>MPF-7185-20230804-16_49_54</t>
  </si>
  <si>
    <t>DARK-7186-20230804-16_50_01</t>
  </si>
  <si>
    <t>16:49:17</t>
  </si>
  <si>
    <t>20230804 16:53:02</t>
  </si>
  <si>
    <t>16:53:02</t>
  </si>
  <si>
    <t>MPF-7187-20230804-16_52_54</t>
  </si>
  <si>
    <t>DARK-7188-20230804-16_53_01</t>
  </si>
  <si>
    <t>16:51:09</t>
  </si>
  <si>
    <t>20230804 16:54:50</t>
  </si>
  <si>
    <t>16:54:50</t>
  </si>
  <si>
    <t>MPF-7189-20230804-16_54_42</t>
  </si>
  <si>
    <t>DARK-7190-20230804-16_54_50</t>
  </si>
  <si>
    <t>16:54:21</t>
  </si>
  <si>
    <t>20230804 16:56:38</t>
  </si>
  <si>
    <t>16:56:38</t>
  </si>
  <si>
    <t>MPF-7191-20230804-16_56_30</t>
  </si>
  <si>
    <t>DARK-7192-20230804-16_56_37</t>
  </si>
  <si>
    <t>16:56:07</t>
  </si>
  <si>
    <t>20230804 16:58:23</t>
  </si>
  <si>
    <t>16:58:23</t>
  </si>
  <si>
    <t>MPF-7193-20230804-16_58_15</t>
  </si>
  <si>
    <t>DARK-7194-20230804-16_58_22</t>
  </si>
  <si>
    <t>16:57:49</t>
  </si>
  <si>
    <t>20230804 17:00:41</t>
  </si>
  <si>
    <t>17:00:41</t>
  </si>
  <si>
    <t>MPF-7195-20230804-17_00_33</t>
  </si>
  <si>
    <t>DARK-7196-20230804-17_00_40</t>
  </si>
  <si>
    <t>16:59:54</t>
  </si>
  <si>
    <t>20230804 17:03:07</t>
  </si>
  <si>
    <t>17:03:07</t>
  </si>
  <si>
    <t>MPF-7197-20230804-17_02_59</t>
  </si>
  <si>
    <t>DARK-7198-20230804-17_03_06</t>
  </si>
  <si>
    <t>17:02:31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</si>
</sst>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28"/>
  <sheetViews>
    <sheetView tabSelected="1" workbookViewId="0">
      <selection activeCell="H17" sqref="H17:H30"/>
    </sheetView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1691160911.5</v>
      </c>
      <c r="C17">
        <v>0</v>
      </c>
      <c r="D17" t="s">
        <v>411</v>
      </c>
      <c r="E17" t="s">
        <v>412</v>
      </c>
      <c r="F17" t="s">
        <v>413</v>
      </c>
      <c r="G17">
        <v>1</v>
      </c>
      <c r="H17" t="s">
        <v>780</v>
      </c>
      <c r="I17">
        <v>1</v>
      </c>
      <c r="J17">
        <v>1691160911.5</v>
      </c>
      <c r="K17">
        <f t="shared" ref="K17:K48" si="0">(L17)/1000</f>
        <v>4.0463690577839046E-3</v>
      </c>
      <c r="L17">
        <f t="shared" ref="L17:L48" si="1">1000*DL17*AJ17*(DH17-DI17)/(100*DA17*(1000-AJ17*DH17))</f>
        <v>4.0463690577839042</v>
      </c>
      <c r="M17">
        <f t="shared" ref="M17:M48" si="2">DL17*AJ17*(DG17-DF17*(1000-AJ17*DI17)/(1000-AJ17*DH17))/(100*DA17)</f>
        <v>38.356826567548971</v>
      </c>
      <c r="N17">
        <f t="shared" ref="N17:N48" si="3">DF17 - IF(AJ17&gt;1, M17*DA17*100/(AL17*DT17), 0)</f>
        <v>352.39499999999998</v>
      </c>
      <c r="O17">
        <f t="shared" ref="O17:O48" si="4">((U17-K17/2)*N17-M17)/(U17+K17/2)</f>
        <v>111.99850318215471</v>
      </c>
      <c r="P17">
        <f t="shared" ref="P17:P48" si="5">O17*(DM17+DN17)/1000</f>
        <v>11.108812334903856</v>
      </c>
      <c r="Q17">
        <f t="shared" ref="Q17:Q48" si="6">(DF17 - IF(AJ17&gt;1, M17*DA17*100/(AL17*DT17), 0))*(DM17+DN17)/1000</f>
        <v>34.95305572425</v>
      </c>
      <c r="R17">
        <f t="shared" ref="R17:R48" si="7">2/((1/T17-1/S17)+SIGN(T17)*SQRT((1/T17-1/S17)*(1/T17-1/S17) + 4*DB17/((DB17+1)*(DB17+1))*(2*1/T17*1/S17-1/S17*1/S17)))</f>
        <v>0.27318512779652604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2.9095472868388268</v>
      </c>
      <c r="T17">
        <f t="shared" ref="T17:T48" si="9">K17*(1000-(1000*0.61365*EXP(17.502*X17/(240.97+X17))/(DM17+DN17)+DH17)/2)/(1000*0.61365*EXP(17.502*X17/(240.97+X17))/(DM17+DN17)-DH17)</f>
        <v>0.25969312652713034</v>
      </c>
      <c r="U17">
        <f t="shared" ref="U17:U48" si="10">1/((DB17+1)/(R17/1.6)+1/(S17/1.37)) + DB17/((DB17+1)/(R17/1.6) + DB17/(S17/1.37))</f>
        <v>0.16346486258608392</v>
      </c>
      <c r="V17">
        <f t="shared" ref="V17:V48" si="11">(CW17*CZ17)</f>
        <v>344.33229998679832</v>
      </c>
      <c r="W17">
        <f t="shared" ref="W17:W48" si="12">(DO17+(V17+2*0.95*0.0000000567*(((DO17+$B$7)+273)^4-(DO17+273)^4)-44100*K17)/(1.84*29.3*S17+8*0.95*0.0000000567*(DO17+273)^3))</f>
        <v>30.888237536985102</v>
      </c>
      <c r="X17">
        <f t="shared" ref="X17:X48" si="13">($C$7*DP17+$D$7*DQ17+$E$7*W17)</f>
        <v>30.002199999999998</v>
      </c>
      <c r="Y17">
        <f t="shared" ref="Y17:Y48" si="14">0.61365*EXP(17.502*X17/(240.97+X17))</f>
        <v>4.2609881789030473</v>
      </c>
      <c r="Z17">
        <f t="shared" ref="Z17:Z48" si="15">(AA17/AB17*100)</f>
        <v>65.376863179075897</v>
      </c>
      <c r="AA17">
        <f t="shared" ref="AA17:AA48" si="16">DH17*(DM17+DN17)/1000</f>
        <v>2.7702970995</v>
      </c>
      <c r="AB17">
        <f t="shared" ref="AB17:AB48" si="17">0.61365*EXP(17.502*DO17/(240.97+DO17))</f>
        <v>4.2374273784164114</v>
      </c>
      <c r="AC17">
        <f t="shared" ref="AC17:AC48" si="18">(Y17-DH17*(DM17+DN17)/1000)</f>
        <v>1.4906910794030472</v>
      </c>
      <c r="AD17">
        <f t="shared" ref="AD17:AD48" si="19">(-K17*44100)</f>
        <v>-178.44487544827018</v>
      </c>
      <c r="AE17">
        <f t="shared" ref="AE17:AE48" si="20">2*29.3*S17*0.92*(DO17-X17)</f>
        <v>-15.136943036157124</v>
      </c>
      <c r="AF17">
        <f t="shared" ref="AF17:AF48" si="21">2*0.95*0.0000000567*(((DO17+$B$7)+273)^4-(X17+273)^4)</f>
        <v>-1.1562555583922296</v>
      </c>
      <c r="AG17">
        <f t="shared" ref="AG17:AG48" si="22">V17+AF17+AD17+AE17</f>
        <v>149.59422594397878</v>
      </c>
      <c r="AH17">
        <v>0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51779.827275847056</v>
      </c>
      <c r="AM17" t="s">
        <v>414</v>
      </c>
      <c r="AN17">
        <v>10111.299999999999</v>
      </c>
      <c r="AO17">
        <v>608.58839999999998</v>
      </c>
      <c r="AP17">
        <v>2150.11</v>
      </c>
      <c r="AQ17">
        <f t="shared" ref="AQ17:AQ48" si="26">1-AO17/AP17</f>
        <v>0.71695010952927984</v>
      </c>
      <c r="AR17">
        <v>-1.1786277417053079</v>
      </c>
      <c r="AS17" t="s">
        <v>415</v>
      </c>
      <c r="AT17">
        <v>8110.55</v>
      </c>
      <c r="AU17">
        <v>594.62919999999997</v>
      </c>
      <c r="AV17">
        <v>846.44891468754827</v>
      </c>
      <c r="AW17">
        <f t="shared" ref="AW17:AW48" si="27">1-AU17/AV17</f>
        <v>0.29750137346505212</v>
      </c>
      <c r="AX17">
        <v>0.5</v>
      </c>
      <c r="AY17">
        <f t="shared" ref="AY17:AY48" si="28">CX17</f>
        <v>1512.9947999933993</v>
      </c>
      <c r="AZ17">
        <f t="shared" ref="AZ17:AZ48" si="29">M17</f>
        <v>38.356826567548971</v>
      </c>
      <c r="BA17">
        <f t="shared" ref="BA17:BA48" si="30">AW17*AX17*AY17</f>
        <v>225.05901552175905</v>
      </c>
      <c r="BB17">
        <f t="shared" ref="BB17:BB48" si="31">(AZ17-AR17)/AY17</f>
        <v>2.6130594969279972E-2</v>
      </c>
      <c r="BC17">
        <f t="shared" ref="BC17:BC48" si="32">(AP17-AV17)/AV17</f>
        <v>1.5401532953629877</v>
      </c>
      <c r="BD17">
        <f t="shared" ref="BD17:BD48" si="33">AO17/(AQ17+AO17/AV17)</f>
        <v>423.82572119790086</v>
      </c>
      <c r="BE17" t="s">
        <v>416</v>
      </c>
      <c r="BF17">
        <v>482.9</v>
      </c>
      <c r="BG17">
        <f t="shared" ref="BG17:BG48" si="34">IF(BF17&lt;&gt;0, BF17, BD17)</f>
        <v>482.9</v>
      </c>
      <c r="BH17">
        <f t="shared" ref="BH17:BH48" si="35">1-BG17/AV17</f>
        <v>0.42949894362112329</v>
      </c>
      <c r="BI17">
        <f t="shared" ref="BI17:BI48" si="36">(AV17-AU17)/(AV17-BG17)</f>
        <v>0.69267079205551874</v>
      </c>
      <c r="BJ17">
        <f t="shared" ref="BJ17:BJ48" si="37">(AP17-AV17)/(AP17-BG17)</f>
        <v>0.78194173818082413</v>
      </c>
      <c r="BK17">
        <f t="shared" ref="BK17:BK48" si="38">(AV17-AU17)/(AV17-AO17)</f>
        <v>1.0586864953955755</v>
      </c>
      <c r="BL17">
        <f t="shared" ref="BL17:BL48" si="39">(AP17-AV17)/(AP17-AO17)</f>
        <v>0.84569757914028054</v>
      </c>
      <c r="BM17">
        <f t="shared" ref="BM17:BM48" si="40">(BI17*BG17/AU17)</f>
        <v>0.56251984511290398</v>
      </c>
      <c r="BN17">
        <f t="shared" ref="BN17:BN48" si="41">(1-BM17)</f>
        <v>0.43748015488709602</v>
      </c>
      <c r="BO17">
        <v>6975</v>
      </c>
      <c r="BP17">
        <v>290.00000000000011</v>
      </c>
      <c r="BQ17">
        <v>760.61</v>
      </c>
      <c r="BR17">
        <v>265</v>
      </c>
      <c r="BS17">
        <v>8110.55</v>
      </c>
      <c r="BT17">
        <v>762.32</v>
      </c>
      <c r="BU17">
        <v>-1.71</v>
      </c>
      <c r="BV17">
        <v>300.00000000000011</v>
      </c>
      <c r="BW17">
        <v>19.2</v>
      </c>
      <c r="BX17">
        <v>846.44891468754827</v>
      </c>
      <c r="BY17">
        <v>3.6553829816018748</v>
      </c>
      <c r="BZ17">
        <v>-68.233129461515446</v>
      </c>
      <c r="CA17">
        <v>2.7242172146115049</v>
      </c>
      <c r="CB17">
        <v>0.95727447616707295</v>
      </c>
      <c r="CC17">
        <v>-4.1780709677419463E-3</v>
      </c>
      <c r="CD17">
        <v>289.99999999999989</v>
      </c>
      <c r="CE17">
        <v>757.87</v>
      </c>
      <c r="CF17">
        <v>655</v>
      </c>
      <c r="CG17">
        <v>8105</v>
      </c>
      <c r="CH17">
        <v>762.26</v>
      </c>
      <c r="CI17">
        <v>-4.3899999999999997</v>
      </c>
      <c r="CW17">
        <f t="shared" ref="CW17:CW48" si="42">$B$11*DU17+$C$11*DV17+$F$11*EG17*(1-EJ17)</f>
        <v>1799.77</v>
      </c>
      <c r="CX17">
        <f t="shared" ref="CX17:CX48" si="43">CW17*CY17</f>
        <v>1512.9947999933993</v>
      </c>
      <c r="CY17">
        <f t="shared" ref="CY17:CY48" si="44">($B$11*$D$9+$C$11*$D$9+$F$11*((ET17+EL17)/MAX(ET17+EL17+EU17, 0.1)*$I$9+EU17/MAX(ET17+EL17+EU17, 0.1)*$J$9))/($B$11+$C$11+$F$11)</f>
        <v>0.84066008434044315</v>
      </c>
      <c r="CZ17">
        <f t="shared" ref="CZ17:CZ48" si="45">($B$11*$K$9+$C$11*$K$9+$F$11*((ET17+EL17)/MAX(ET17+EL17+EU17, 0.1)*$P$9+EU17/MAX(ET17+EL17+EU17, 0.1)*$Q$9))/($B$11+$C$11+$F$11)</f>
        <v>0.19132016868088608</v>
      </c>
      <c r="DA17">
        <v>6</v>
      </c>
      <c r="DB17">
        <v>0.5</v>
      </c>
      <c r="DC17" t="s">
        <v>417</v>
      </c>
      <c r="DD17">
        <v>2</v>
      </c>
      <c r="DE17">
        <v>1691160911.5</v>
      </c>
      <c r="DF17">
        <v>352.39499999999998</v>
      </c>
      <c r="DG17">
        <v>400.13</v>
      </c>
      <c r="DH17">
        <v>27.93</v>
      </c>
      <c r="DI17">
        <v>23.2104</v>
      </c>
      <c r="DJ17">
        <v>350.02100000000002</v>
      </c>
      <c r="DK17">
        <v>27.7806</v>
      </c>
      <c r="DL17">
        <v>500.04500000000002</v>
      </c>
      <c r="DM17">
        <v>99.087100000000007</v>
      </c>
      <c r="DN17">
        <v>0.10005</v>
      </c>
      <c r="DO17">
        <v>29.9057</v>
      </c>
      <c r="DP17">
        <v>30.002199999999998</v>
      </c>
      <c r="DQ17">
        <v>999.9</v>
      </c>
      <c r="DR17">
        <v>0</v>
      </c>
      <c r="DS17">
        <v>0</v>
      </c>
      <c r="DT17">
        <v>9977.5</v>
      </c>
      <c r="DU17">
        <v>0</v>
      </c>
      <c r="DV17">
        <v>1364.91</v>
      </c>
      <c r="DW17">
        <v>-47.735199999999999</v>
      </c>
      <c r="DX17">
        <v>362.52</v>
      </c>
      <c r="DY17">
        <v>409.63799999999998</v>
      </c>
      <c r="DZ17">
        <v>4.7196300000000004</v>
      </c>
      <c r="EA17">
        <v>400.13</v>
      </c>
      <c r="EB17">
        <v>23.2104</v>
      </c>
      <c r="EC17">
        <v>2.7675000000000001</v>
      </c>
      <c r="ED17">
        <v>2.2998500000000002</v>
      </c>
      <c r="EE17">
        <v>22.691500000000001</v>
      </c>
      <c r="EF17">
        <v>19.6753</v>
      </c>
      <c r="EG17">
        <v>1799.77</v>
      </c>
      <c r="EH17">
        <v>0.97799700000000001</v>
      </c>
      <c r="EI17">
        <v>2.20033E-2</v>
      </c>
      <c r="EJ17">
        <v>0</v>
      </c>
      <c r="EK17">
        <v>593.005</v>
      </c>
      <c r="EL17">
        <v>0.10001</v>
      </c>
      <c r="EM17">
        <v>15212.5</v>
      </c>
      <c r="EN17">
        <v>16351.4</v>
      </c>
      <c r="EO17">
        <v>46.686999999999998</v>
      </c>
      <c r="EP17">
        <v>48.936999999999998</v>
      </c>
      <c r="EQ17">
        <v>48.125</v>
      </c>
      <c r="ER17">
        <v>47.75</v>
      </c>
      <c r="ES17">
        <v>48.25</v>
      </c>
      <c r="ET17">
        <v>1760.07</v>
      </c>
      <c r="EU17">
        <v>39.6</v>
      </c>
      <c r="EV17">
        <v>0</v>
      </c>
      <c r="EW17">
        <v>1691160911.5</v>
      </c>
      <c r="EX17">
        <v>0</v>
      </c>
      <c r="EY17">
        <v>594.62919999999997</v>
      </c>
      <c r="EZ17">
        <v>-5.1873076014750703</v>
      </c>
      <c r="FA17">
        <v>-70.092307163258099</v>
      </c>
      <c r="FB17">
        <v>15213.196</v>
      </c>
      <c r="FC17">
        <v>15</v>
      </c>
      <c r="FD17">
        <v>1691160883.5</v>
      </c>
      <c r="FE17" t="s">
        <v>418</v>
      </c>
      <c r="FF17">
        <v>1691160883.5</v>
      </c>
      <c r="FG17">
        <v>1691160877.0999999</v>
      </c>
      <c r="FH17">
        <v>2</v>
      </c>
      <c r="FI17">
        <v>-3.4000000000000002E-2</v>
      </c>
      <c r="FJ17">
        <v>-2.7E-2</v>
      </c>
      <c r="FK17">
        <v>2.476</v>
      </c>
      <c r="FL17">
        <v>6.5000000000000002E-2</v>
      </c>
      <c r="FM17">
        <v>400</v>
      </c>
      <c r="FN17">
        <v>23</v>
      </c>
      <c r="FO17">
        <v>0.13</v>
      </c>
      <c r="FP17">
        <v>0.05</v>
      </c>
      <c r="FQ17">
        <v>38.338497967910889</v>
      </c>
      <c r="FR17">
        <v>-0.21696337734878871</v>
      </c>
      <c r="FS17">
        <v>5.3285494144759131E-2</v>
      </c>
      <c r="FT17">
        <v>1</v>
      </c>
      <c r="FU17">
        <v>0.26703094599437288</v>
      </c>
      <c r="FV17">
        <v>3.3623202966186747E-2</v>
      </c>
      <c r="FW17">
        <v>3.245486558753956E-3</v>
      </c>
      <c r="FX17">
        <v>1</v>
      </c>
      <c r="FY17">
        <v>2</v>
      </c>
      <c r="FZ17">
        <v>2</v>
      </c>
      <c r="GA17" t="s">
        <v>419</v>
      </c>
      <c r="GB17">
        <v>2.8865799999999999</v>
      </c>
      <c r="GC17">
        <v>2.8210500000000001</v>
      </c>
      <c r="GD17">
        <v>7.8251000000000001E-2</v>
      </c>
      <c r="GE17">
        <v>8.7346800000000002E-2</v>
      </c>
      <c r="GF17">
        <v>0.12705900000000001</v>
      </c>
      <c r="GG17">
        <v>0.112459</v>
      </c>
      <c r="GH17">
        <v>28360</v>
      </c>
      <c r="GI17">
        <v>26224.1</v>
      </c>
      <c r="GJ17">
        <v>28321.5</v>
      </c>
      <c r="GK17">
        <v>26983.9</v>
      </c>
      <c r="GL17">
        <v>34893.5</v>
      </c>
      <c r="GM17">
        <v>33440.199999999997</v>
      </c>
      <c r="GN17">
        <v>41678</v>
      </c>
      <c r="GO17">
        <v>39034.300000000003</v>
      </c>
      <c r="GP17">
        <v>2.0116999999999998</v>
      </c>
      <c r="GQ17">
        <v>1.7228000000000001</v>
      </c>
      <c r="GR17">
        <v>-8.4042500000000003E-3</v>
      </c>
      <c r="GS17">
        <v>0</v>
      </c>
      <c r="GT17">
        <v>30.1389</v>
      </c>
      <c r="GU17">
        <v>999.9</v>
      </c>
      <c r="GV17">
        <v>51.6</v>
      </c>
      <c r="GW17">
        <v>39.9</v>
      </c>
      <c r="GX17">
        <v>38.400500000000001</v>
      </c>
      <c r="GY17">
        <v>62.570399999999999</v>
      </c>
      <c r="GZ17">
        <v>32.207500000000003</v>
      </c>
      <c r="HA17">
        <v>1</v>
      </c>
      <c r="HB17">
        <v>0.87856699999999999</v>
      </c>
      <c r="HC17">
        <v>4.3692200000000003</v>
      </c>
      <c r="HD17">
        <v>20.192399999999999</v>
      </c>
      <c r="HE17">
        <v>5.2059100000000003</v>
      </c>
      <c r="HF17">
        <v>11.997999999999999</v>
      </c>
      <c r="HG17">
        <v>4.9885999999999999</v>
      </c>
      <c r="HH17">
        <v>3.2909999999999999</v>
      </c>
      <c r="HI17">
        <v>9999</v>
      </c>
      <c r="HJ17">
        <v>9999</v>
      </c>
      <c r="HK17">
        <v>9999</v>
      </c>
      <c r="HL17">
        <v>999.9</v>
      </c>
      <c r="HM17">
        <v>1.86676</v>
      </c>
      <c r="HN17">
        <v>1.8668100000000001</v>
      </c>
      <c r="HO17">
        <v>1.8632500000000001</v>
      </c>
      <c r="HP17">
        <v>1.8644700000000001</v>
      </c>
      <c r="HQ17">
        <v>1.8641099999999999</v>
      </c>
      <c r="HR17">
        <v>1.85991</v>
      </c>
      <c r="HS17">
        <v>1.8631</v>
      </c>
      <c r="HT17">
        <v>1.86595</v>
      </c>
      <c r="HU17">
        <v>5</v>
      </c>
      <c r="HV17">
        <v>0</v>
      </c>
      <c r="HW17">
        <v>0</v>
      </c>
      <c r="HX17">
        <v>0</v>
      </c>
      <c r="HY17" t="s">
        <v>420</v>
      </c>
      <c r="HZ17" t="s">
        <v>421</v>
      </c>
      <c r="IA17" t="s">
        <v>422</v>
      </c>
      <c r="IB17" t="s">
        <v>422</v>
      </c>
      <c r="IC17" t="s">
        <v>422</v>
      </c>
      <c r="ID17" t="s">
        <v>422</v>
      </c>
      <c r="IE17">
        <v>0</v>
      </c>
      <c r="IF17">
        <v>100</v>
      </c>
      <c r="IG17">
        <v>100</v>
      </c>
      <c r="IH17">
        <v>2.3740000000000001</v>
      </c>
      <c r="II17">
        <v>0.14940000000000001</v>
      </c>
      <c r="IJ17">
        <v>1.376138825199037</v>
      </c>
      <c r="IK17">
        <v>3.5576830062418229E-3</v>
      </c>
      <c r="IL17">
        <v>-2.2646740813029151E-6</v>
      </c>
      <c r="IM17">
        <v>6.9609298295988525E-10</v>
      </c>
      <c r="IN17">
        <v>-0.14733605466950581</v>
      </c>
      <c r="IO17">
        <v>-9.4437069492282083E-4</v>
      </c>
      <c r="IP17">
        <v>5.2900373165634467E-4</v>
      </c>
      <c r="IQ17">
        <v>-3.977656803091445E-6</v>
      </c>
      <c r="IR17">
        <v>2</v>
      </c>
      <c r="IS17">
        <v>1759</v>
      </c>
      <c r="IT17">
        <v>2</v>
      </c>
      <c r="IU17">
        <v>42</v>
      </c>
      <c r="IV17">
        <v>0.5</v>
      </c>
      <c r="IW17">
        <v>0.6</v>
      </c>
      <c r="IX17">
        <v>0.98022500000000001</v>
      </c>
      <c r="IY17">
        <v>2.4304199999999998</v>
      </c>
      <c r="IZ17">
        <v>1.54297</v>
      </c>
      <c r="JA17">
        <v>2.3059099999999999</v>
      </c>
      <c r="JB17">
        <v>1.5466299999999999</v>
      </c>
      <c r="JC17">
        <v>2.4145500000000002</v>
      </c>
      <c r="JD17">
        <v>44.167700000000004</v>
      </c>
      <c r="JE17">
        <v>23.921099999999999</v>
      </c>
      <c r="JF17">
        <v>18</v>
      </c>
      <c r="JG17">
        <v>530.11599999999999</v>
      </c>
      <c r="JH17">
        <v>445.88799999999998</v>
      </c>
      <c r="JI17">
        <v>24.371200000000002</v>
      </c>
      <c r="JJ17">
        <v>37.710500000000003</v>
      </c>
      <c r="JK17">
        <v>30.000299999999999</v>
      </c>
      <c r="JL17">
        <v>38.068399999999997</v>
      </c>
      <c r="JM17">
        <v>38.049199999999999</v>
      </c>
      <c r="JN17">
        <v>19.739100000000001</v>
      </c>
      <c r="JO17">
        <v>47.820599999999999</v>
      </c>
      <c r="JP17">
        <v>0</v>
      </c>
      <c r="JQ17">
        <v>24.373699999999999</v>
      </c>
      <c r="JR17">
        <v>400</v>
      </c>
      <c r="JS17">
        <v>23.180199999999999</v>
      </c>
      <c r="JT17">
        <v>98.739099999999993</v>
      </c>
      <c r="JU17">
        <v>96.597200000000001</v>
      </c>
    </row>
    <row r="18" spans="1:281" x14ac:dyDescent="0.25">
      <c r="A18">
        <v>2</v>
      </c>
      <c r="B18">
        <v>1691161015</v>
      </c>
      <c r="C18">
        <v>103.5</v>
      </c>
      <c r="D18" t="s">
        <v>423</v>
      </c>
      <c r="E18" t="s">
        <v>424</v>
      </c>
      <c r="F18" t="s">
        <v>413</v>
      </c>
      <c r="G18">
        <v>1</v>
      </c>
      <c r="H18" t="s">
        <v>780</v>
      </c>
      <c r="I18">
        <v>1</v>
      </c>
      <c r="J18">
        <v>1691161015</v>
      </c>
      <c r="K18">
        <f t="shared" si="0"/>
        <v>4.0700114356822083E-3</v>
      </c>
      <c r="L18">
        <f t="shared" si="1"/>
        <v>4.0700114356822086</v>
      </c>
      <c r="M18">
        <f t="shared" si="2"/>
        <v>29.327629495142439</v>
      </c>
      <c r="N18">
        <f t="shared" si="3"/>
        <v>263.63600000000002</v>
      </c>
      <c r="O18">
        <f t="shared" si="4"/>
        <v>80.958765718164116</v>
      </c>
      <c r="P18">
        <f t="shared" si="5"/>
        <v>8.0303208022751171</v>
      </c>
      <c r="Q18">
        <f t="shared" si="6"/>
        <v>26.150122673542803</v>
      </c>
      <c r="R18">
        <f t="shared" si="7"/>
        <v>0.27476790485892477</v>
      </c>
      <c r="S18">
        <f t="shared" si="8"/>
        <v>2.9139810310819687</v>
      </c>
      <c r="T18">
        <f t="shared" si="9"/>
        <v>0.26114296032732975</v>
      </c>
      <c r="U18">
        <f t="shared" si="10"/>
        <v>0.16438217893855464</v>
      </c>
      <c r="V18">
        <f t="shared" si="11"/>
        <v>344.40259998680108</v>
      </c>
      <c r="W18">
        <f t="shared" si="12"/>
        <v>30.876001067441724</v>
      </c>
      <c r="X18">
        <f t="shared" si="13"/>
        <v>30.014199999999999</v>
      </c>
      <c r="Y18">
        <f t="shared" si="14"/>
        <v>4.2639259854763552</v>
      </c>
      <c r="Z18">
        <f t="shared" si="15"/>
        <v>65.456149062938948</v>
      </c>
      <c r="AA18">
        <f t="shared" si="16"/>
        <v>2.7728438047700399</v>
      </c>
      <c r="AB18">
        <f t="shared" si="17"/>
        <v>4.2361853614453082</v>
      </c>
      <c r="AC18">
        <f t="shared" si="18"/>
        <v>1.4910821807063153</v>
      </c>
      <c r="AD18">
        <f t="shared" si="19"/>
        <v>-179.48750431358539</v>
      </c>
      <c r="AE18">
        <f t="shared" si="20"/>
        <v>-17.846394751497417</v>
      </c>
      <c r="AF18">
        <f t="shared" si="21"/>
        <v>-1.3611929552471749</v>
      </c>
      <c r="AG18">
        <f t="shared" si="22"/>
        <v>145.70750796647107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51906.893403429829</v>
      </c>
      <c r="AM18" t="s">
        <v>414</v>
      </c>
      <c r="AN18">
        <v>10111.299999999999</v>
      </c>
      <c r="AO18">
        <v>608.58839999999998</v>
      </c>
      <c r="AP18">
        <v>2150.11</v>
      </c>
      <c r="AQ18">
        <f t="shared" si="26"/>
        <v>0.71695010952927984</v>
      </c>
      <c r="AR18">
        <v>-1.1786277417053079</v>
      </c>
      <c r="AS18" t="s">
        <v>425</v>
      </c>
      <c r="AT18">
        <v>8109.63</v>
      </c>
      <c r="AU18">
        <v>583.93519230769243</v>
      </c>
      <c r="AV18">
        <v>779.79771101374774</v>
      </c>
      <c r="AW18">
        <f t="shared" si="27"/>
        <v>0.25117093310190841</v>
      </c>
      <c r="AX18">
        <v>0.5</v>
      </c>
      <c r="AY18">
        <f t="shared" si="28"/>
        <v>1513.3055999934006</v>
      </c>
      <c r="AZ18">
        <f t="shared" si="29"/>
        <v>29.327629495142439</v>
      </c>
      <c r="BA18">
        <f t="shared" si="30"/>
        <v>190.04918980934289</v>
      </c>
      <c r="BB18">
        <f t="shared" si="31"/>
        <v>2.015868918807991E-2</v>
      </c>
      <c r="BC18">
        <f t="shared" si="32"/>
        <v>1.7572663648945925</v>
      </c>
      <c r="BD18">
        <f t="shared" si="33"/>
        <v>406.43169320854645</v>
      </c>
      <c r="BE18" t="s">
        <v>426</v>
      </c>
      <c r="BF18">
        <v>473.75</v>
      </c>
      <c r="BG18">
        <f t="shared" si="34"/>
        <v>473.75</v>
      </c>
      <c r="BH18">
        <f t="shared" si="35"/>
        <v>0.39247064551636279</v>
      </c>
      <c r="BI18">
        <f t="shared" si="36"/>
        <v>0.63997380688547978</v>
      </c>
      <c r="BJ18">
        <f t="shared" si="37"/>
        <v>0.81743318200520909</v>
      </c>
      <c r="BK18">
        <f t="shared" si="38"/>
        <v>1.1439945499829034</v>
      </c>
      <c r="BL18">
        <f t="shared" si="39"/>
        <v>0.88893486084544804</v>
      </c>
      <c r="BM18">
        <f t="shared" si="40"/>
        <v>0.51921445223023599</v>
      </c>
      <c r="BN18">
        <f t="shared" si="41"/>
        <v>0.48078554776976401</v>
      </c>
      <c r="BO18">
        <v>6977</v>
      </c>
      <c r="BP18">
        <v>290.00000000000011</v>
      </c>
      <c r="BQ18">
        <v>719.51</v>
      </c>
      <c r="BR18">
        <v>295</v>
      </c>
      <c r="BS18">
        <v>8109.63</v>
      </c>
      <c r="BT18">
        <v>720.77</v>
      </c>
      <c r="BU18">
        <v>-1.26</v>
      </c>
      <c r="BV18">
        <v>300.00000000000011</v>
      </c>
      <c r="BW18">
        <v>19.2</v>
      </c>
      <c r="BX18">
        <v>779.79771101374774</v>
      </c>
      <c r="BY18">
        <v>2.4414250161601818</v>
      </c>
      <c r="BZ18">
        <v>-47.867780867342738</v>
      </c>
      <c r="CA18">
        <v>1.819445456873229</v>
      </c>
      <c r="CB18">
        <v>0.96111992401941726</v>
      </c>
      <c r="CC18">
        <v>-4.1776938820912166E-3</v>
      </c>
      <c r="CD18">
        <v>289.99999999999989</v>
      </c>
      <c r="CE18">
        <v>718.8</v>
      </c>
      <c r="CF18">
        <v>685</v>
      </c>
      <c r="CG18">
        <v>8104.18</v>
      </c>
      <c r="CH18">
        <v>720.73</v>
      </c>
      <c r="CI18">
        <v>-1.93</v>
      </c>
      <c r="CW18">
        <f t="shared" si="42"/>
        <v>1800.14</v>
      </c>
      <c r="CX18">
        <f t="shared" si="43"/>
        <v>1513.3055999934006</v>
      </c>
      <c r="CY18">
        <f t="shared" si="44"/>
        <v>0.8406599486669929</v>
      </c>
      <c r="CZ18">
        <f t="shared" si="45"/>
        <v>0.19131989733398572</v>
      </c>
      <c r="DA18">
        <v>6</v>
      </c>
      <c r="DB18">
        <v>0.5</v>
      </c>
      <c r="DC18" t="s">
        <v>417</v>
      </c>
      <c r="DD18">
        <v>2</v>
      </c>
      <c r="DE18">
        <v>1691161015</v>
      </c>
      <c r="DF18">
        <v>263.63600000000002</v>
      </c>
      <c r="DG18">
        <v>300.08999999999997</v>
      </c>
      <c r="DH18">
        <v>27.954799999999999</v>
      </c>
      <c r="DI18">
        <v>23.210799999999999</v>
      </c>
      <c r="DJ18">
        <v>261.37299999999999</v>
      </c>
      <c r="DK18">
        <v>27.805599999999998</v>
      </c>
      <c r="DL18">
        <v>500.36700000000002</v>
      </c>
      <c r="DM18">
        <v>99.090400000000002</v>
      </c>
      <c r="DN18">
        <v>9.9857299999999996E-2</v>
      </c>
      <c r="DO18">
        <v>29.900600000000001</v>
      </c>
      <c r="DP18">
        <v>30.014199999999999</v>
      </c>
      <c r="DQ18">
        <v>999.9</v>
      </c>
      <c r="DR18">
        <v>0</v>
      </c>
      <c r="DS18">
        <v>0</v>
      </c>
      <c r="DT18">
        <v>10002.5</v>
      </c>
      <c r="DU18">
        <v>0</v>
      </c>
      <c r="DV18">
        <v>1377.36</v>
      </c>
      <c r="DW18">
        <v>-36.453499999999998</v>
      </c>
      <c r="DX18">
        <v>271.21800000000002</v>
      </c>
      <c r="DY18">
        <v>307.22000000000003</v>
      </c>
      <c r="DZ18">
        <v>4.74397</v>
      </c>
      <c r="EA18">
        <v>300.08999999999997</v>
      </c>
      <c r="EB18">
        <v>23.210799999999999</v>
      </c>
      <c r="EC18">
        <v>2.7700499999999999</v>
      </c>
      <c r="ED18">
        <v>2.2999700000000001</v>
      </c>
      <c r="EE18">
        <v>22.706700000000001</v>
      </c>
      <c r="EF18">
        <v>19.676200000000001</v>
      </c>
      <c r="EG18">
        <v>1800.14</v>
      </c>
      <c r="EH18">
        <v>0.97799999999999998</v>
      </c>
      <c r="EI18">
        <v>2.1999600000000001E-2</v>
      </c>
      <c r="EJ18">
        <v>0</v>
      </c>
      <c r="EK18">
        <v>581.04</v>
      </c>
      <c r="EL18">
        <v>0.10001</v>
      </c>
      <c r="EM18">
        <v>15002.5</v>
      </c>
      <c r="EN18">
        <v>16354.8</v>
      </c>
      <c r="EO18">
        <v>46.686999999999998</v>
      </c>
      <c r="EP18">
        <v>48.936999999999998</v>
      </c>
      <c r="EQ18">
        <v>48.125</v>
      </c>
      <c r="ER18">
        <v>47.686999999999998</v>
      </c>
      <c r="ES18">
        <v>48.311999999999998</v>
      </c>
      <c r="ET18">
        <v>1760.44</v>
      </c>
      <c r="EU18">
        <v>39.6</v>
      </c>
      <c r="EV18">
        <v>0</v>
      </c>
      <c r="EW18">
        <v>101.5999999046326</v>
      </c>
      <c r="EX18">
        <v>0</v>
      </c>
      <c r="EY18">
        <v>583.93519230769243</v>
      </c>
      <c r="EZ18">
        <v>-8.5403418952836798</v>
      </c>
      <c r="FA18">
        <v>95.227350269748413</v>
      </c>
      <c r="FB18">
        <v>14983.69230769231</v>
      </c>
      <c r="FC18">
        <v>15</v>
      </c>
      <c r="FD18">
        <v>1691160984</v>
      </c>
      <c r="FE18" t="s">
        <v>427</v>
      </c>
      <c r="FF18">
        <v>1691160982</v>
      </c>
      <c r="FG18">
        <v>1691160984</v>
      </c>
      <c r="FH18">
        <v>3</v>
      </c>
      <c r="FI18">
        <v>9.9000000000000005E-2</v>
      </c>
      <c r="FJ18">
        <v>-1E-3</v>
      </c>
      <c r="FK18">
        <v>2.3519999999999999</v>
      </c>
      <c r="FL18">
        <v>6.4000000000000001E-2</v>
      </c>
      <c r="FM18">
        <v>300</v>
      </c>
      <c r="FN18">
        <v>23</v>
      </c>
      <c r="FO18">
        <v>0.1</v>
      </c>
      <c r="FP18">
        <v>0.06</v>
      </c>
      <c r="FQ18">
        <v>29.178236032184959</v>
      </c>
      <c r="FR18">
        <v>0.44143304207960932</v>
      </c>
      <c r="FS18">
        <v>5.2928769994583007E-2</v>
      </c>
      <c r="FT18">
        <v>1</v>
      </c>
      <c r="FU18">
        <v>0.27204962423074092</v>
      </c>
      <c r="FV18">
        <v>4.8099702019808441E-2</v>
      </c>
      <c r="FW18">
        <v>4.1783412423626199E-3</v>
      </c>
      <c r="FX18">
        <v>1</v>
      </c>
      <c r="FY18">
        <v>2</v>
      </c>
      <c r="FZ18">
        <v>2</v>
      </c>
      <c r="GA18" t="s">
        <v>419</v>
      </c>
      <c r="GB18">
        <v>2.8873099999999998</v>
      </c>
      <c r="GC18">
        <v>2.8210799999999998</v>
      </c>
      <c r="GD18">
        <v>6.1588900000000002E-2</v>
      </c>
      <c r="GE18">
        <v>6.9484599999999994E-2</v>
      </c>
      <c r="GF18">
        <v>0.12712999999999999</v>
      </c>
      <c r="GG18">
        <v>0.112455</v>
      </c>
      <c r="GH18">
        <v>28869.5</v>
      </c>
      <c r="GI18">
        <v>26734.400000000001</v>
      </c>
      <c r="GJ18">
        <v>28319.1</v>
      </c>
      <c r="GK18">
        <v>26981.4</v>
      </c>
      <c r="GL18">
        <v>34886.800000000003</v>
      </c>
      <c r="GM18">
        <v>33437.800000000003</v>
      </c>
      <c r="GN18">
        <v>41673.5</v>
      </c>
      <c r="GO18">
        <v>39031.5</v>
      </c>
      <c r="GP18">
        <v>2.0112000000000001</v>
      </c>
      <c r="GQ18">
        <v>1.7202999999999999</v>
      </c>
      <c r="GR18">
        <v>-1.18613E-2</v>
      </c>
      <c r="GS18">
        <v>0</v>
      </c>
      <c r="GT18">
        <v>30.2072</v>
      </c>
      <c r="GU18">
        <v>999.9</v>
      </c>
      <c r="GV18">
        <v>51.6</v>
      </c>
      <c r="GW18">
        <v>40</v>
      </c>
      <c r="GX18">
        <v>38.605699999999999</v>
      </c>
      <c r="GY18">
        <v>62.4604</v>
      </c>
      <c r="GZ18">
        <v>31.662700000000001</v>
      </c>
      <c r="HA18">
        <v>1</v>
      </c>
      <c r="HB18">
        <v>0.88443099999999997</v>
      </c>
      <c r="HC18">
        <v>4.6601499999999998</v>
      </c>
      <c r="HD18">
        <v>20.1845</v>
      </c>
      <c r="HE18">
        <v>5.2107000000000001</v>
      </c>
      <c r="HF18">
        <v>11.997999999999999</v>
      </c>
      <c r="HG18">
        <v>4.9888000000000003</v>
      </c>
      <c r="HH18">
        <v>3.2909999999999999</v>
      </c>
      <c r="HI18">
        <v>9999</v>
      </c>
      <c r="HJ18">
        <v>9999</v>
      </c>
      <c r="HK18">
        <v>9999</v>
      </c>
      <c r="HL18">
        <v>999.9</v>
      </c>
      <c r="HM18">
        <v>1.8669100000000001</v>
      </c>
      <c r="HN18">
        <v>1.86704</v>
      </c>
      <c r="HO18">
        <v>1.8633999999999999</v>
      </c>
      <c r="HP18">
        <v>1.8646199999999999</v>
      </c>
      <c r="HQ18">
        <v>1.86432</v>
      </c>
      <c r="HR18">
        <v>1.86008</v>
      </c>
      <c r="HS18">
        <v>1.8632500000000001</v>
      </c>
      <c r="HT18">
        <v>1.8661099999999999</v>
      </c>
      <c r="HU18">
        <v>5</v>
      </c>
      <c r="HV18">
        <v>0</v>
      </c>
      <c r="HW18">
        <v>0</v>
      </c>
      <c r="HX18">
        <v>0</v>
      </c>
      <c r="HY18" t="s">
        <v>420</v>
      </c>
      <c r="HZ18" t="s">
        <v>421</v>
      </c>
      <c r="IA18" t="s">
        <v>422</v>
      </c>
      <c r="IB18" t="s">
        <v>422</v>
      </c>
      <c r="IC18" t="s">
        <v>422</v>
      </c>
      <c r="ID18" t="s">
        <v>422</v>
      </c>
      <c r="IE18">
        <v>0</v>
      </c>
      <c r="IF18">
        <v>100</v>
      </c>
      <c r="IG18">
        <v>100</v>
      </c>
      <c r="IH18">
        <v>2.2629999999999999</v>
      </c>
      <c r="II18">
        <v>0.1492</v>
      </c>
      <c r="IJ18">
        <v>1.475082887625945</v>
      </c>
      <c r="IK18">
        <v>3.5576830062418229E-3</v>
      </c>
      <c r="IL18">
        <v>-2.2646740813029151E-6</v>
      </c>
      <c r="IM18">
        <v>6.9609298295988525E-10</v>
      </c>
      <c r="IN18">
        <v>-0.14804911202112089</v>
      </c>
      <c r="IO18">
        <v>-9.4437069492282083E-4</v>
      </c>
      <c r="IP18">
        <v>5.2900373165634467E-4</v>
      </c>
      <c r="IQ18">
        <v>-3.977656803091445E-6</v>
      </c>
      <c r="IR18">
        <v>2</v>
      </c>
      <c r="IS18">
        <v>1759</v>
      </c>
      <c r="IT18">
        <v>2</v>
      </c>
      <c r="IU18">
        <v>42</v>
      </c>
      <c r="IV18">
        <v>0.6</v>
      </c>
      <c r="IW18">
        <v>0.5</v>
      </c>
      <c r="IX18">
        <v>0.76904300000000003</v>
      </c>
      <c r="IY18">
        <v>2.4194300000000002</v>
      </c>
      <c r="IZ18">
        <v>1.54297</v>
      </c>
      <c r="JA18">
        <v>2.3071299999999999</v>
      </c>
      <c r="JB18">
        <v>1.5466299999999999</v>
      </c>
      <c r="JC18">
        <v>2.3913600000000002</v>
      </c>
      <c r="JD18">
        <v>44.669199999999996</v>
      </c>
      <c r="JE18">
        <v>23.912400000000002</v>
      </c>
      <c r="JF18">
        <v>18</v>
      </c>
      <c r="JG18">
        <v>530.101</v>
      </c>
      <c r="JH18">
        <v>444.452</v>
      </c>
      <c r="JI18">
        <v>24.156700000000001</v>
      </c>
      <c r="JJ18">
        <v>37.757199999999997</v>
      </c>
      <c r="JK18">
        <v>30.0002</v>
      </c>
      <c r="JL18">
        <v>38.1081</v>
      </c>
      <c r="JM18">
        <v>38.087000000000003</v>
      </c>
      <c r="JN18">
        <v>15.5199</v>
      </c>
      <c r="JO18">
        <v>47.920299999999997</v>
      </c>
      <c r="JP18">
        <v>0</v>
      </c>
      <c r="JQ18">
        <v>24.1541</v>
      </c>
      <c r="JR18">
        <v>300</v>
      </c>
      <c r="JS18">
        <v>23.1508</v>
      </c>
      <c r="JT18">
        <v>98.729299999999995</v>
      </c>
      <c r="JU18">
        <v>96.589500000000001</v>
      </c>
    </row>
    <row r="19" spans="1:281" x14ac:dyDescent="0.25">
      <c r="A19">
        <v>3</v>
      </c>
      <c r="B19">
        <v>1691161118.5</v>
      </c>
      <c r="C19">
        <v>207</v>
      </c>
      <c r="D19" t="s">
        <v>428</v>
      </c>
      <c r="E19" t="s">
        <v>429</v>
      </c>
      <c r="F19" t="s">
        <v>413</v>
      </c>
      <c r="G19">
        <v>1</v>
      </c>
      <c r="H19" t="s">
        <v>780</v>
      </c>
      <c r="I19">
        <v>1</v>
      </c>
      <c r="J19">
        <v>1691161118.5</v>
      </c>
      <c r="K19">
        <f t="shared" si="0"/>
        <v>4.4168065313747841E-3</v>
      </c>
      <c r="L19">
        <f t="shared" si="1"/>
        <v>4.4168065313747844</v>
      </c>
      <c r="M19">
        <f t="shared" si="2"/>
        <v>19.797278295469628</v>
      </c>
      <c r="N19">
        <f t="shared" si="3"/>
        <v>175.297</v>
      </c>
      <c r="O19">
        <f t="shared" si="4"/>
        <v>62.293155878528275</v>
      </c>
      <c r="P19">
        <f t="shared" si="5"/>
        <v>6.1791974486406058</v>
      </c>
      <c r="Q19">
        <f t="shared" si="6"/>
        <v>17.388664290288698</v>
      </c>
      <c r="R19">
        <f t="shared" si="7"/>
        <v>0.30184625821052813</v>
      </c>
      <c r="S19">
        <f t="shared" si="8"/>
        <v>2.9166946714894673</v>
      </c>
      <c r="T19">
        <f t="shared" si="9"/>
        <v>0.28550369627748251</v>
      </c>
      <c r="U19">
        <f t="shared" si="10"/>
        <v>0.17983435280097337</v>
      </c>
      <c r="V19">
        <f t="shared" si="11"/>
        <v>344.39119998680059</v>
      </c>
      <c r="W19">
        <f t="shared" si="12"/>
        <v>30.779816295944343</v>
      </c>
      <c r="X19">
        <f t="shared" si="13"/>
        <v>29.969899999999999</v>
      </c>
      <c r="Y19">
        <f t="shared" si="14"/>
        <v>4.2530893454648417</v>
      </c>
      <c r="Z19">
        <f t="shared" si="15"/>
        <v>65.47496905344434</v>
      </c>
      <c r="AA19">
        <f t="shared" si="16"/>
        <v>2.77285993050985</v>
      </c>
      <c r="AB19">
        <f t="shared" si="17"/>
        <v>4.2349923498955553</v>
      </c>
      <c r="AC19">
        <f t="shared" si="18"/>
        <v>1.4802294149549917</v>
      </c>
      <c r="AD19">
        <f t="shared" si="19"/>
        <v>-194.78116803362798</v>
      </c>
      <c r="AE19">
        <f t="shared" si="20"/>
        <v>-11.667567360196662</v>
      </c>
      <c r="AF19">
        <f t="shared" si="21"/>
        <v>-0.88887247937607317</v>
      </c>
      <c r="AG19">
        <f t="shared" si="22"/>
        <v>137.05359211359988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51985.100500981382</v>
      </c>
      <c r="AM19" t="s">
        <v>414</v>
      </c>
      <c r="AN19">
        <v>10111.299999999999</v>
      </c>
      <c r="AO19">
        <v>608.58839999999998</v>
      </c>
      <c r="AP19">
        <v>2150.11</v>
      </c>
      <c r="AQ19">
        <f t="shared" si="26"/>
        <v>0.71695010952927984</v>
      </c>
      <c r="AR19">
        <v>-1.1786277417053079</v>
      </c>
      <c r="AS19" t="s">
        <v>430</v>
      </c>
      <c r="AT19">
        <v>8109.52</v>
      </c>
      <c r="AU19">
        <v>587.68692307692299</v>
      </c>
      <c r="AV19">
        <v>726.81614247559048</v>
      </c>
      <c r="AW19">
        <f t="shared" si="27"/>
        <v>0.19142285272418813</v>
      </c>
      <c r="AX19">
        <v>0.5</v>
      </c>
      <c r="AY19">
        <f t="shared" si="28"/>
        <v>1513.2551999934003</v>
      </c>
      <c r="AZ19">
        <f t="shared" si="29"/>
        <v>19.797278295469628</v>
      </c>
      <c r="BA19">
        <f t="shared" si="30"/>
        <v>144.83581364122426</v>
      </c>
      <c r="BB19">
        <f t="shared" si="31"/>
        <v>1.386144652750337E-2</v>
      </c>
      <c r="BC19">
        <f t="shared" si="32"/>
        <v>1.9582584567763779</v>
      </c>
      <c r="BD19">
        <f t="shared" si="33"/>
        <v>391.55525658528785</v>
      </c>
      <c r="BE19" t="s">
        <v>431</v>
      </c>
      <c r="BF19">
        <v>470.48</v>
      </c>
      <c r="BG19">
        <f t="shared" si="34"/>
        <v>470.48</v>
      </c>
      <c r="BH19">
        <f t="shared" si="35"/>
        <v>0.35268361212024035</v>
      </c>
      <c r="BI19">
        <f t="shared" si="36"/>
        <v>0.54276083760570759</v>
      </c>
      <c r="BJ19">
        <f t="shared" si="37"/>
        <v>0.84738535125260306</v>
      </c>
      <c r="BK19">
        <f t="shared" si="38"/>
        <v>1.1767899520486262</v>
      </c>
      <c r="BL19">
        <f t="shared" si="39"/>
        <v>0.9233045177728354</v>
      </c>
      <c r="BM19">
        <f t="shared" si="40"/>
        <v>0.4345138692890555</v>
      </c>
      <c r="BN19">
        <f t="shared" si="41"/>
        <v>0.56548613071094445</v>
      </c>
      <c r="BO19">
        <v>6979</v>
      </c>
      <c r="BP19">
        <v>290.00000000000011</v>
      </c>
      <c r="BQ19">
        <v>684.89</v>
      </c>
      <c r="BR19">
        <v>285</v>
      </c>
      <c r="BS19">
        <v>8109.52</v>
      </c>
      <c r="BT19">
        <v>685.86</v>
      </c>
      <c r="BU19">
        <v>-0.97</v>
      </c>
      <c r="BV19">
        <v>300.00000000000011</v>
      </c>
      <c r="BW19">
        <v>19.2</v>
      </c>
      <c r="BX19">
        <v>726.81614247559048</v>
      </c>
      <c r="BY19">
        <v>2.5653877276696568</v>
      </c>
      <c r="BZ19">
        <v>-33.215625223196547</v>
      </c>
      <c r="CA19">
        <v>1.9118008258570101</v>
      </c>
      <c r="CB19">
        <v>0.91511443140291204</v>
      </c>
      <c r="CC19">
        <v>-4.1776344827586217E-3</v>
      </c>
      <c r="CD19">
        <v>289.99999999999989</v>
      </c>
      <c r="CE19">
        <v>683.85</v>
      </c>
      <c r="CF19">
        <v>625</v>
      </c>
      <c r="CG19">
        <v>8105.3</v>
      </c>
      <c r="CH19">
        <v>685.84</v>
      </c>
      <c r="CI19">
        <v>-1.99</v>
      </c>
      <c r="CW19">
        <f t="shared" si="42"/>
        <v>1800.08</v>
      </c>
      <c r="CX19">
        <f t="shared" si="43"/>
        <v>1513.2551999934003</v>
      </c>
      <c r="CY19">
        <f t="shared" si="44"/>
        <v>0.84065997066430398</v>
      </c>
      <c r="CZ19">
        <f t="shared" si="45"/>
        <v>0.19131994132860794</v>
      </c>
      <c r="DA19">
        <v>6</v>
      </c>
      <c r="DB19">
        <v>0.5</v>
      </c>
      <c r="DC19" t="s">
        <v>417</v>
      </c>
      <c r="DD19">
        <v>2</v>
      </c>
      <c r="DE19">
        <v>1691161118.5</v>
      </c>
      <c r="DF19">
        <v>175.297</v>
      </c>
      <c r="DG19">
        <v>199.97800000000001</v>
      </c>
      <c r="DH19">
        <v>27.953499999999998</v>
      </c>
      <c r="DI19">
        <v>22.802499999999998</v>
      </c>
      <c r="DJ19">
        <v>173.262</v>
      </c>
      <c r="DK19">
        <v>27.807500000000001</v>
      </c>
      <c r="DL19">
        <v>500.09800000000001</v>
      </c>
      <c r="DM19">
        <v>99.095600000000005</v>
      </c>
      <c r="DN19">
        <v>9.9847099999999994E-2</v>
      </c>
      <c r="DO19">
        <v>29.895700000000001</v>
      </c>
      <c r="DP19">
        <v>29.969899999999999</v>
      </c>
      <c r="DQ19">
        <v>999.9</v>
      </c>
      <c r="DR19">
        <v>0</v>
      </c>
      <c r="DS19">
        <v>0</v>
      </c>
      <c r="DT19">
        <v>10017.5</v>
      </c>
      <c r="DU19">
        <v>0</v>
      </c>
      <c r="DV19">
        <v>1389.62</v>
      </c>
      <c r="DW19">
        <v>-24.6814</v>
      </c>
      <c r="DX19">
        <v>180.33799999999999</v>
      </c>
      <c r="DY19">
        <v>204.64500000000001</v>
      </c>
      <c r="DZ19">
        <v>5.15097</v>
      </c>
      <c r="EA19">
        <v>199.97800000000001</v>
      </c>
      <c r="EB19">
        <v>22.802499999999998</v>
      </c>
      <c r="EC19">
        <v>2.77007</v>
      </c>
      <c r="ED19">
        <v>2.25963</v>
      </c>
      <c r="EE19">
        <v>22.706800000000001</v>
      </c>
      <c r="EF19">
        <v>19.391400000000001</v>
      </c>
      <c r="EG19">
        <v>1800.08</v>
      </c>
      <c r="EH19">
        <v>0.97799999999999998</v>
      </c>
      <c r="EI19">
        <v>2.1999600000000001E-2</v>
      </c>
      <c r="EJ19">
        <v>0</v>
      </c>
      <c r="EK19">
        <v>585.69500000000005</v>
      </c>
      <c r="EL19">
        <v>0.10001</v>
      </c>
      <c r="EM19">
        <v>15060.6</v>
      </c>
      <c r="EN19">
        <v>16354.2</v>
      </c>
      <c r="EO19">
        <v>46.686999999999998</v>
      </c>
      <c r="EP19">
        <v>48.936999999999998</v>
      </c>
      <c r="EQ19">
        <v>48.125</v>
      </c>
      <c r="ER19">
        <v>47.686999999999998</v>
      </c>
      <c r="ES19">
        <v>48.311999999999998</v>
      </c>
      <c r="ET19">
        <v>1760.38</v>
      </c>
      <c r="EU19">
        <v>39.6</v>
      </c>
      <c r="EV19">
        <v>0</v>
      </c>
      <c r="EW19">
        <v>101.3999998569489</v>
      </c>
      <c r="EX19">
        <v>0</v>
      </c>
      <c r="EY19">
        <v>587.68692307692299</v>
      </c>
      <c r="EZ19">
        <v>-16.15042735510486</v>
      </c>
      <c r="FA19">
        <v>-236.434187867464</v>
      </c>
      <c r="FB19">
        <v>15073.696153846149</v>
      </c>
      <c r="FC19">
        <v>15</v>
      </c>
      <c r="FD19">
        <v>1691161088.5</v>
      </c>
      <c r="FE19" t="s">
        <v>432</v>
      </c>
      <c r="FF19">
        <v>1691161080.5</v>
      </c>
      <c r="FG19">
        <v>1691161088.5</v>
      </c>
      <c r="FH19">
        <v>4</v>
      </c>
      <c r="FI19">
        <v>8.0000000000000002E-3</v>
      </c>
      <c r="FJ19">
        <v>-3.0000000000000001E-3</v>
      </c>
      <c r="FK19">
        <v>2.1030000000000002</v>
      </c>
      <c r="FL19">
        <v>5.3999999999999999E-2</v>
      </c>
      <c r="FM19">
        <v>200</v>
      </c>
      <c r="FN19">
        <v>23</v>
      </c>
      <c r="FO19">
        <v>0.15</v>
      </c>
      <c r="FP19">
        <v>0.04</v>
      </c>
      <c r="FQ19">
        <v>19.803734265355651</v>
      </c>
      <c r="FR19">
        <v>-0.12812392455672239</v>
      </c>
      <c r="FS19">
        <v>7.168659744033927E-2</v>
      </c>
      <c r="FT19">
        <v>1</v>
      </c>
      <c r="FU19">
        <v>0.29994412953135191</v>
      </c>
      <c r="FV19">
        <v>4.5433033032741953E-2</v>
      </c>
      <c r="FW19">
        <v>3.7227809991254488E-3</v>
      </c>
      <c r="FX19">
        <v>1</v>
      </c>
      <c r="FY19">
        <v>2</v>
      </c>
      <c r="FZ19">
        <v>2</v>
      </c>
      <c r="GA19" t="s">
        <v>419</v>
      </c>
      <c r="GB19">
        <v>2.8865400000000001</v>
      </c>
      <c r="GC19">
        <v>2.8211900000000001</v>
      </c>
      <c r="GD19">
        <v>4.2950099999999998E-2</v>
      </c>
      <c r="GE19">
        <v>4.9140000000000003E-2</v>
      </c>
      <c r="GF19">
        <v>0.12712899999999999</v>
      </c>
      <c r="GG19">
        <v>0.111072</v>
      </c>
      <c r="GH19">
        <v>29437.9</v>
      </c>
      <c r="GI19">
        <v>27313.3</v>
      </c>
      <c r="GJ19">
        <v>28315.3</v>
      </c>
      <c r="GK19">
        <v>26976.9</v>
      </c>
      <c r="GL19">
        <v>34881.9</v>
      </c>
      <c r="GM19">
        <v>33484.800000000003</v>
      </c>
      <c r="GN19">
        <v>41667.599999999999</v>
      </c>
      <c r="GO19">
        <v>39025.800000000003</v>
      </c>
      <c r="GP19">
        <v>2.0108000000000001</v>
      </c>
      <c r="GQ19">
        <v>1.7183999999999999</v>
      </c>
      <c r="GR19">
        <v>-1.26511E-2</v>
      </c>
      <c r="GS19">
        <v>0</v>
      </c>
      <c r="GT19">
        <v>30.175799999999999</v>
      </c>
      <c r="GU19">
        <v>999.9</v>
      </c>
      <c r="GV19">
        <v>51.5</v>
      </c>
      <c r="GW19">
        <v>40.1</v>
      </c>
      <c r="GX19">
        <v>38.734000000000002</v>
      </c>
      <c r="GY19">
        <v>62.540399999999998</v>
      </c>
      <c r="GZ19">
        <v>32.111400000000003</v>
      </c>
      <c r="HA19">
        <v>1</v>
      </c>
      <c r="HB19">
        <v>0.886768</v>
      </c>
      <c r="HC19">
        <v>4.1109900000000001</v>
      </c>
      <c r="HD19">
        <v>20.1981</v>
      </c>
      <c r="HE19">
        <v>5.2077099999999996</v>
      </c>
      <c r="HF19">
        <v>11.997999999999999</v>
      </c>
      <c r="HG19">
        <v>4.9885999999999999</v>
      </c>
      <c r="HH19">
        <v>3.2909999999999999</v>
      </c>
      <c r="HI19">
        <v>9999</v>
      </c>
      <c r="HJ19">
        <v>9999</v>
      </c>
      <c r="HK19">
        <v>9999</v>
      </c>
      <c r="HL19">
        <v>999.9</v>
      </c>
      <c r="HM19">
        <v>1.86693</v>
      </c>
      <c r="HN19">
        <v>1.86707</v>
      </c>
      <c r="HO19">
        <v>1.86348</v>
      </c>
      <c r="HP19">
        <v>1.8646799999999999</v>
      </c>
      <c r="HQ19">
        <v>1.86432</v>
      </c>
      <c r="HR19">
        <v>1.8601000000000001</v>
      </c>
      <c r="HS19">
        <v>1.8632899999999999</v>
      </c>
      <c r="HT19">
        <v>1.86615</v>
      </c>
      <c r="HU19">
        <v>5</v>
      </c>
      <c r="HV19">
        <v>0</v>
      </c>
      <c r="HW19">
        <v>0</v>
      </c>
      <c r="HX19">
        <v>0</v>
      </c>
      <c r="HY19" t="s">
        <v>420</v>
      </c>
      <c r="HZ19" t="s">
        <v>421</v>
      </c>
      <c r="IA19" t="s">
        <v>422</v>
      </c>
      <c r="IB19" t="s">
        <v>422</v>
      </c>
      <c r="IC19" t="s">
        <v>422</v>
      </c>
      <c r="ID19" t="s">
        <v>422</v>
      </c>
      <c r="IE19">
        <v>0</v>
      </c>
      <c r="IF19">
        <v>100</v>
      </c>
      <c r="IG19">
        <v>100</v>
      </c>
      <c r="IH19">
        <v>2.0350000000000001</v>
      </c>
      <c r="II19">
        <v>0.14599999999999999</v>
      </c>
      <c r="IJ19">
        <v>1.4826183388884531</v>
      </c>
      <c r="IK19">
        <v>3.5576830062418229E-3</v>
      </c>
      <c r="IL19">
        <v>-2.2646740813029151E-6</v>
      </c>
      <c r="IM19">
        <v>6.9609298295988525E-10</v>
      </c>
      <c r="IN19">
        <v>-0.15127729122828651</v>
      </c>
      <c r="IO19">
        <v>-9.4437069492282083E-4</v>
      </c>
      <c r="IP19">
        <v>5.2900373165634467E-4</v>
      </c>
      <c r="IQ19">
        <v>-3.977656803091445E-6</v>
      </c>
      <c r="IR19">
        <v>2</v>
      </c>
      <c r="IS19">
        <v>1759</v>
      </c>
      <c r="IT19">
        <v>2</v>
      </c>
      <c r="IU19">
        <v>42</v>
      </c>
      <c r="IV19">
        <v>0.6</v>
      </c>
      <c r="IW19">
        <v>0.5</v>
      </c>
      <c r="IX19">
        <v>0.55053700000000005</v>
      </c>
      <c r="IY19">
        <v>2.4255399999999998</v>
      </c>
      <c r="IZ19">
        <v>1.54297</v>
      </c>
      <c r="JA19">
        <v>2.3059099999999999</v>
      </c>
      <c r="JB19">
        <v>1.5466299999999999</v>
      </c>
      <c r="JC19">
        <v>2.4047900000000002</v>
      </c>
      <c r="JD19">
        <v>45.091700000000003</v>
      </c>
      <c r="JE19">
        <v>23.912400000000002</v>
      </c>
      <c r="JF19">
        <v>18</v>
      </c>
      <c r="JG19">
        <v>530.23699999999997</v>
      </c>
      <c r="JH19">
        <v>443.52800000000002</v>
      </c>
      <c r="JI19">
        <v>24.511099999999999</v>
      </c>
      <c r="JJ19">
        <v>37.814700000000002</v>
      </c>
      <c r="JK19">
        <v>30.0001</v>
      </c>
      <c r="JL19">
        <v>38.158700000000003</v>
      </c>
      <c r="JM19">
        <v>38.139600000000002</v>
      </c>
      <c r="JN19">
        <v>11.1374</v>
      </c>
      <c r="JO19">
        <v>48.8947</v>
      </c>
      <c r="JP19">
        <v>0</v>
      </c>
      <c r="JQ19">
        <v>24.5273</v>
      </c>
      <c r="JR19">
        <v>200</v>
      </c>
      <c r="JS19">
        <v>22.7102</v>
      </c>
      <c r="JT19">
        <v>98.715599999999995</v>
      </c>
      <c r="JU19">
        <v>96.574600000000004</v>
      </c>
    </row>
    <row r="20" spans="1:281" x14ac:dyDescent="0.25">
      <c r="A20">
        <v>4</v>
      </c>
      <c r="B20">
        <v>1691161222.5</v>
      </c>
      <c r="C20">
        <v>311</v>
      </c>
      <c r="D20" t="s">
        <v>433</v>
      </c>
      <c r="E20" t="s">
        <v>434</v>
      </c>
      <c r="F20" t="s">
        <v>413</v>
      </c>
      <c r="G20">
        <v>1</v>
      </c>
      <c r="H20" t="s">
        <v>780</v>
      </c>
      <c r="I20">
        <v>1</v>
      </c>
      <c r="J20">
        <v>1691161222.5</v>
      </c>
      <c r="K20">
        <f t="shared" si="0"/>
        <v>4.6413371173274097E-3</v>
      </c>
      <c r="L20">
        <f t="shared" si="1"/>
        <v>4.6413371173274101</v>
      </c>
      <c r="M20">
        <f t="shared" si="2"/>
        <v>11.730374749473524</v>
      </c>
      <c r="N20">
        <f t="shared" si="3"/>
        <v>105.319</v>
      </c>
      <c r="O20">
        <f t="shared" si="4"/>
        <v>41.301786088296694</v>
      </c>
      <c r="P20">
        <f t="shared" si="5"/>
        <v>4.0969520240519977</v>
      </c>
      <c r="Q20">
        <f t="shared" si="6"/>
        <v>10.447172654923001</v>
      </c>
      <c r="R20">
        <f t="shared" si="7"/>
        <v>0.31725824375880574</v>
      </c>
      <c r="S20">
        <f t="shared" si="8"/>
        <v>2.9118824024008791</v>
      </c>
      <c r="T20">
        <f t="shared" si="9"/>
        <v>0.29922969589093767</v>
      </c>
      <c r="U20">
        <f t="shared" si="10"/>
        <v>0.18855292600586759</v>
      </c>
      <c r="V20">
        <f t="shared" si="11"/>
        <v>344.35319998679921</v>
      </c>
      <c r="W20">
        <f t="shared" si="12"/>
        <v>30.791804364658656</v>
      </c>
      <c r="X20">
        <f t="shared" si="13"/>
        <v>30.0228</v>
      </c>
      <c r="Y20">
        <f t="shared" si="14"/>
        <v>4.2660324992320993</v>
      </c>
      <c r="Z20">
        <f t="shared" si="15"/>
        <v>65.43075549070015</v>
      </c>
      <c r="AA20">
        <f t="shared" si="16"/>
        <v>2.7820771479888</v>
      </c>
      <c r="AB20">
        <f t="shared" si="17"/>
        <v>4.2519410438172676</v>
      </c>
      <c r="AC20">
        <f t="shared" si="18"/>
        <v>1.4839553512432992</v>
      </c>
      <c r="AD20">
        <f t="shared" si="19"/>
        <v>-204.68296687413877</v>
      </c>
      <c r="AE20">
        <f t="shared" si="20"/>
        <v>-9.0423592749065271</v>
      </c>
      <c r="AF20">
        <f t="shared" si="21"/>
        <v>-0.69043249654427008</v>
      </c>
      <c r="AG20">
        <f t="shared" si="22"/>
        <v>129.93744134120968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51836.230712010074</v>
      </c>
      <c r="AM20" t="s">
        <v>414</v>
      </c>
      <c r="AN20">
        <v>10111.299999999999</v>
      </c>
      <c r="AO20">
        <v>608.58839999999998</v>
      </c>
      <c r="AP20">
        <v>2150.11</v>
      </c>
      <c r="AQ20">
        <f t="shared" si="26"/>
        <v>0.71695010952927984</v>
      </c>
      <c r="AR20">
        <v>-1.1786277417053079</v>
      </c>
      <c r="AS20" t="s">
        <v>435</v>
      </c>
      <c r="AT20">
        <v>8111.74</v>
      </c>
      <c r="AU20">
        <v>597.0851923076923</v>
      </c>
      <c r="AV20">
        <v>680.33347927569048</v>
      </c>
      <c r="AW20">
        <f t="shared" si="27"/>
        <v>0.12236394283672114</v>
      </c>
      <c r="AX20">
        <v>0.5</v>
      </c>
      <c r="AY20">
        <f t="shared" si="28"/>
        <v>1513.0871999933997</v>
      </c>
      <c r="AZ20">
        <f t="shared" si="29"/>
        <v>11.730374749473524</v>
      </c>
      <c r="BA20">
        <f t="shared" si="30"/>
        <v>92.573657823483401</v>
      </c>
      <c r="BB20">
        <f t="shared" si="31"/>
        <v>8.5315654585110118E-3</v>
      </c>
      <c r="BC20">
        <f t="shared" si="32"/>
        <v>2.1603765880948429</v>
      </c>
      <c r="BD20">
        <f t="shared" si="33"/>
        <v>377.65468895002749</v>
      </c>
      <c r="BE20" t="s">
        <v>436</v>
      </c>
      <c r="BF20">
        <v>481.92</v>
      </c>
      <c r="BG20">
        <f t="shared" si="34"/>
        <v>481.92</v>
      </c>
      <c r="BH20">
        <f t="shared" si="35"/>
        <v>0.29164150423249668</v>
      </c>
      <c r="BI20">
        <f t="shared" si="36"/>
        <v>0.41956971508133684</v>
      </c>
      <c r="BJ20">
        <f t="shared" si="37"/>
        <v>0.88106062302514077</v>
      </c>
      <c r="BK20">
        <f t="shared" si="38"/>
        <v>1.1603344481383175</v>
      </c>
      <c r="BL20">
        <f t="shared" si="39"/>
        <v>0.95345827182980092</v>
      </c>
      <c r="BM20">
        <f t="shared" si="40"/>
        <v>0.33864352976249973</v>
      </c>
      <c r="BN20">
        <f t="shared" si="41"/>
        <v>0.66135647023750033</v>
      </c>
      <c r="BO20">
        <v>6981</v>
      </c>
      <c r="BP20">
        <v>290.00000000000011</v>
      </c>
      <c r="BQ20">
        <v>656.79</v>
      </c>
      <c r="BR20">
        <v>225</v>
      </c>
      <c r="BS20">
        <v>8111.74</v>
      </c>
      <c r="BT20">
        <v>656.24</v>
      </c>
      <c r="BU20">
        <v>0.55000000000000004</v>
      </c>
      <c r="BV20">
        <v>300.00000000000011</v>
      </c>
      <c r="BW20">
        <v>19.2</v>
      </c>
      <c r="BX20">
        <v>680.33347927569048</v>
      </c>
      <c r="BY20">
        <v>2.6865400699174882</v>
      </c>
      <c r="BZ20">
        <v>-19.540321698354148</v>
      </c>
      <c r="CA20">
        <v>2.002110949551493</v>
      </c>
      <c r="CB20">
        <v>0.77282842806978802</v>
      </c>
      <c r="CC20">
        <v>-4.177642491657395E-3</v>
      </c>
      <c r="CD20">
        <v>289.99999999999989</v>
      </c>
      <c r="CE20">
        <v>655.36</v>
      </c>
      <c r="CF20">
        <v>645</v>
      </c>
      <c r="CG20">
        <v>8104.97</v>
      </c>
      <c r="CH20">
        <v>656.22</v>
      </c>
      <c r="CI20">
        <v>-0.86</v>
      </c>
      <c r="CW20">
        <f t="shared" si="42"/>
        <v>1799.88</v>
      </c>
      <c r="CX20">
        <f t="shared" si="43"/>
        <v>1513.0871999933997</v>
      </c>
      <c r="CY20">
        <f t="shared" si="44"/>
        <v>0.84066004399926642</v>
      </c>
      <c r="CZ20">
        <f t="shared" si="45"/>
        <v>0.19132008799853278</v>
      </c>
      <c r="DA20">
        <v>6</v>
      </c>
      <c r="DB20">
        <v>0.5</v>
      </c>
      <c r="DC20" t="s">
        <v>417</v>
      </c>
      <c r="DD20">
        <v>2</v>
      </c>
      <c r="DE20">
        <v>1691161222.5</v>
      </c>
      <c r="DF20">
        <v>105.319</v>
      </c>
      <c r="DG20">
        <v>119.97499999999999</v>
      </c>
      <c r="DH20">
        <v>28.046399999999998</v>
      </c>
      <c r="DI20">
        <v>22.6356</v>
      </c>
      <c r="DJ20">
        <v>103.54</v>
      </c>
      <c r="DK20">
        <v>27.895700000000001</v>
      </c>
      <c r="DL20">
        <v>500.24</v>
      </c>
      <c r="DM20">
        <v>99.095399999999998</v>
      </c>
      <c r="DN20">
        <v>0.100117</v>
      </c>
      <c r="DO20">
        <v>29.965199999999999</v>
      </c>
      <c r="DP20">
        <v>30.0228</v>
      </c>
      <c r="DQ20">
        <v>999.9</v>
      </c>
      <c r="DR20">
        <v>0</v>
      </c>
      <c r="DS20">
        <v>0</v>
      </c>
      <c r="DT20">
        <v>9990</v>
      </c>
      <c r="DU20">
        <v>0</v>
      </c>
      <c r="DV20">
        <v>1388.2</v>
      </c>
      <c r="DW20">
        <v>-14.656499999999999</v>
      </c>
      <c r="DX20">
        <v>108.358</v>
      </c>
      <c r="DY20">
        <v>122.754</v>
      </c>
      <c r="DZ20">
        <v>5.4108400000000003</v>
      </c>
      <c r="EA20">
        <v>119.97499999999999</v>
      </c>
      <c r="EB20">
        <v>22.6356</v>
      </c>
      <c r="EC20">
        <v>2.7792699999999999</v>
      </c>
      <c r="ED20">
        <v>2.24308</v>
      </c>
      <c r="EE20">
        <v>22.761500000000002</v>
      </c>
      <c r="EF20">
        <v>19.273399999999999</v>
      </c>
      <c r="EG20">
        <v>1799.88</v>
      </c>
      <c r="EH20">
        <v>0.97799700000000001</v>
      </c>
      <c r="EI20">
        <v>2.20033E-2</v>
      </c>
      <c r="EJ20">
        <v>0</v>
      </c>
      <c r="EK20">
        <v>597.78</v>
      </c>
      <c r="EL20">
        <v>0.10001</v>
      </c>
      <c r="EM20">
        <v>15216.3</v>
      </c>
      <c r="EN20">
        <v>16352.4</v>
      </c>
      <c r="EO20">
        <v>46.686999999999998</v>
      </c>
      <c r="EP20">
        <v>48.875</v>
      </c>
      <c r="EQ20">
        <v>48.125</v>
      </c>
      <c r="ER20">
        <v>47.625</v>
      </c>
      <c r="ES20">
        <v>48.25</v>
      </c>
      <c r="ET20">
        <v>1760.18</v>
      </c>
      <c r="EU20">
        <v>39.6</v>
      </c>
      <c r="EV20">
        <v>0</v>
      </c>
      <c r="EW20">
        <v>101.5999999046326</v>
      </c>
      <c r="EX20">
        <v>0</v>
      </c>
      <c r="EY20">
        <v>597.0851923076923</v>
      </c>
      <c r="EZ20">
        <v>0.52529910045580042</v>
      </c>
      <c r="FA20">
        <v>-102.91282023754709</v>
      </c>
      <c r="FB20">
        <v>15229.115384615379</v>
      </c>
      <c r="FC20">
        <v>15</v>
      </c>
      <c r="FD20">
        <v>1691161193</v>
      </c>
      <c r="FE20" t="s">
        <v>437</v>
      </c>
      <c r="FF20">
        <v>1691161189</v>
      </c>
      <c r="FG20">
        <v>1691161193</v>
      </c>
      <c r="FH20">
        <v>5</v>
      </c>
      <c r="FI20">
        <v>-4.9000000000000002E-2</v>
      </c>
      <c r="FJ20">
        <v>3.0000000000000001E-3</v>
      </c>
      <c r="FK20">
        <v>1.823</v>
      </c>
      <c r="FL20">
        <v>5.1999999999999998E-2</v>
      </c>
      <c r="FM20">
        <v>120</v>
      </c>
      <c r="FN20">
        <v>22</v>
      </c>
      <c r="FO20">
        <v>0.32</v>
      </c>
      <c r="FP20">
        <v>0.05</v>
      </c>
      <c r="FQ20">
        <v>11.807024459289</v>
      </c>
      <c r="FR20">
        <v>-0.49444591119013781</v>
      </c>
      <c r="FS20">
        <v>5.1832584824947583E-2</v>
      </c>
      <c r="FT20">
        <v>1</v>
      </c>
      <c r="FU20">
        <v>0.31600678971613738</v>
      </c>
      <c r="FV20">
        <v>1.545494671190124E-2</v>
      </c>
      <c r="FW20">
        <v>3.2327866619827582E-3</v>
      </c>
      <c r="FX20">
        <v>1</v>
      </c>
      <c r="FY20">
        <v>2</v>
      </c>
      <c r="FZ20">
        <v>2</v>
      </c>
      <c r="GA20" t="s">
        <v>419</v>
      </c>
      <c r="GB20">
        <v>2.8868800000000001</v>
      </c>
      <c r="GC20">
        <v>2.8212199999999998</v>
      </c>
      <c r="GD20">
        <v>2.6551600000000002E-2</v>
      </c>
      <c r="GE20">
        <v>3.07546E-2</v>
      </c>
      <c r="GF20">
        <v>0.12740000000000001</v>
      </c>
      <c r="GG20">
        <v>0.110502</v>
      </c>
      <c r="GH20">
        <v>29941.3</v>
      </c>
      <c r="GI20">
        <v>27839.7</v>
      </c>
      <c r="GJ20">
        <v>28315.4</v>
      </c>
      <c r="GK20">
        <v>26976.400000000001</v>
      </c>
      <c r="GL20">
        <v>34871.1</v>
      </c>
      <c r="GM20">
        <v>33505.300000000003</v>
      </c>
      <c r="GN20">
        <v>41667.699999999997</v>
      </c>
      <c r="GO20">
        <v>39025</v>
      </c>
      <c r="GP20">
        <v>2.0110999999999999</v>
      </c>
      <c r="GQ20">
        <v>1.7161999999999999</v>
      </c>
      <c r="GR20">
        <v>-7.7933100000000003E-3</v>
      </c>
      <c r="GS20">
        <v>0</v>
      </c>
      <c r="GT20">
        <v>30.1496</v>
      </c>
      <c r="GU20">
        <v>999.9</v>
      </c>
      <c r="GV20">
        <v>51.3</v>
      </c>
      <c r="GW20">
        <v>40.1</v>
      </c>
      <c r="GX20">
        <v>38.585900000000002</v>
      </c>
      <c r="GY20">
        <v>62.700499999999998</v>
      </c>
      <c r="GZ20">
        <v>31.698699999999999</v>
      </c>
      <c r="HA20">
        <v>1</v>
      </c>
      <c r="HB20">
        <v>0.88948199999999999</v>
      </c>
      <c r="HC20">
        <v>4.4204600000000003</v>
      </c>
      <c r="HD20">
        <v>20.1904</v>
      </c>
      <c r="HE20">
        <v>5.2112999999999996</v>
      </c>
      <c r="HF20">
        <v>11.997999999999999</v>
      </c>
      <c r="HG20">
        <v>4.9884000000000004</v>
      </c>
      <c r="HH20">
        <v>3.2909999999999999</v>
      </c>
      <c r="HI20">
        <v>9999</v>
      </c>
      <c r="HJ20">
        <v>9999</v>
      </c>
      <c r="HK20">
        <v>9999</v>
      </c>
      <c r="HL20">
        <v>999.9</v>
      </c>
      <c r="HM20">
        <v>1.86697</v>
      </c>
      <c r="HN20">
        <v>1.86707</v>
      </c>
      <c r="HO20">
        <v>1.8634999999999999</v>
      </c>
      <c r="HP20">
        <v>1.86476</v>
      </c>
      <c r="HQ20">
        <v>1.86432</v>
      </c>
      <c r="HR20">
        <v>1.8602000000000001</v>
      </c>
      <c r="HS20">
        <v>1.8633599999999999</v>
      </c>
      <c r="HT20">
        <v>1.86616</v>
      </c>
      <c r="HU20">
        <v>5</v>
      </c>
      <c r="HV20">
        <v>0</v>
      </c>
      <c r="HW20">
        <v>0</v>
      </c>
      <c r="HX20">
        <v>0</v>
      </c>
      <c r="HY20" t="s">
        <v>420</v>
      </c>
      <c r="HZ20" t="s">
        <v>421</v>
      </c>
      <c r="IA20" t="s">
        <v>422</v>
      </c>
      <c r="IB20" t="s">
        <v>422</v>
      </c>
      <c r="IC20" t="s">
        <v>422</v>
      </c>
      <c r="ID20" t="s">
        <v>422</v>
      </c>
      <c r="IE20">
        <v>0</v>
      </c>
      <c r="IF20">
        <v>100</v>
      </c>
      <c r="IG20">
        <v>100</v>
      </c>
      <c r="IH20">
        <v>1.7789999999999999</v>
      </c>
      <c r="II20">
        <v>0.1507</v>
      </c>
      <c r="IJ20">
        <v>1.4338692741942161</v>
      </c>
      <c r="IK20">
        <v>3.5576830062418229E-3</v>
      </c>
      <c r="IL20">
        <v>-2.2646740813029151E-6</v>
      </c>
      <c r="IM20">
        <v>6.9609298295988525E-10</v>
      </c>
      <c r="IN20">
        <v>-0.14828258340326861</v>
      </c>
      <c r="IO20">
        <v>-9.4437069492282083E-4</v>
      </c>
      <c r="IP20">
        <v>5.2900373165634467E-4</v>
      </c>
      <c r="IQ20">
        <v>-3.977656803091445E-6</v>
      </c>
      <c r="IR20">
        <v>2</v>
      </c>
      <c r="IS20">
        <v>1759</v>
      </c>
      <c r="IT20">
        <v>2</v>
      </c>
      <c r="IU20">
        <v>42</v>
      </c>
      <c r="IV20">
        <v>0.6</v>
      </c>
      <c r="IW20">
        <v>0.5</v>
      </c>
      <c r="IX20">
        <v>0.37109399999999998</v>
      </c>
      <c r="IY20">
        <v>2.4536099999999998</v>
      </c>
      <c r="IZ20">
        <v>1.54297</v>
      </c>
      <c r="JA20">
        <v>2.3059099999999999</v>
      </c>
      <c r="JB20">
        <v>1.5466299999999999</v>
      </c>
      <c r="JC20">
        <v>2.33643</v>
      </c>
      <c r="JD20">
        <v>45.4328</v>
      </c>
      <c r="JE20">
        <v>23.8949</v>
      </c>
      <c r="JF20">
        <v>18</v>
      </c>
      <c r="JG20">
        <v>530.60199999999998</v>
      </c>
      <c r="JH20">
        <v>442.16500000000002</v>
      </c>
      <c r="JI20">
        <v>24.586400000000001</v>
      </c>
      <c r="JJ20">
        <v>37.825499999999998</v>
      </c>
      <c r="JK20">
        <v>30.000299999999999</v>
      </c>
      <c r="JL20">
        <v>38.180399999999999</v>
      </c>
      <c r="JM20">
        <v>38.157600000000002</v>
      </c>
      <c r="JN20">
        <v>7.5323399999999996</v>
      </c>
      <c r="JO20">
        <v>49.264000000000003</v>
      </c>
      <c r="JP20">
        <v>0</v>
      </c>
      <c r="JQ20">
        <v>24.578299999999999</v>
      </c>
      <c r="JR20">
        <v>120</v>
      </c>
      <c r="JS20">
        <v>22.545999999999999</v>
      </c>
      <c r="JT20">
        <v>98.715999999999994</v>
      </c>
      <c r="JU20">
        <v>96.572599999999994</v>
      </c>
    </row>
    <row r="21" spans="1:281" x14ac:dyDescent="0.25">
      <c r="A21">
        <v>5</v>
      </c>
      <c r="B21">
        <v>1691161341</v>
      </c>
      <c r="C21">
        <v>429.5</v>
      </c>
      <c r="D21" t="s">
        <v>438</v>
      </c>
      <c r="E21" t="s">
        <v>439</v>
      </c>
      <c r="F21" t="s">
        <v>413</v>
      </c>
      <c r="G21">
        <v>1</v>
      </c>
      <c r="H21" t="s">
        <v>780</v>
      </c>
      <c r="I21">
        <v>1</v>
      </c>
      <c r="J21">
        <v>1691161341</v>
      </c>
      <c r="K21">
        <f t="shared" si="0"/>
        <v>5.0106584495628942E-3</v>
      </c>
      <c r="L21">
        <f t="shared" si="1"/>
        <v>5.0106584495628939</v>
      </c>
      <c r="M21">
        <f t="shared" si="2"/>
        <v>6.4598704849447506</v>
      </c>
      <c r="N21">
        <f t="shared" si="3"/>
        <v>61.941299999999998</v>
      </c>
      <c r="O21">
        <f t="shared" si="4"/>
        <v>29.134439854509093</v>
      </c>
      <c r="P21">
        <f t="shared" si="5"/>
        <v>2.8898368878239382</v>
      </c>
      <c r="Q21">
        <f t="shared" si="6"/>
        <v>6.1439401105240492</v>
      </c>
      <c r="R21">
        <f t="shared" si="7"/>
        <v>0.34439901119847899</v>
      </c>
      <c r="S21">
        <f t="shared" si="8"/>
        <v>2.9201139085745957</v>
      </c>
      <c r="T21">
        <f t="shared" si="9"/>
        <v>0.3233198435609711</v>
      </c>
      <c r="U21">
        <f t="shared" si="10"/>
        <v>0.20386117927808078</v>
      </c>
      <c r="V21">
        <f t="shared" si="11"/>
        <v>344.37979998680015</v>
      </c>
      <c r="W21">
        <f t="shared" si="12"/>
        <v>30.712847708772625</v>
      </c>
      <c r="X21">
        <f t="shared" si="13"/>
        <v>29.992799999999999</v>
      </c>
      <c r="Y21">
        <f t="shared" si="14"/>
        <v>4.2586881293617331</v>
      </c>
      <c r="Z21">
        <f t="shared" si="15"/>
        <v>65.215919936552808</v>
      </c>
      <c r="AA21">
        <f t="shared" si="16"/>
        <v>2.7760028137157997</v>
      </c>
      <c r="AB21">
        <f t="shared" si="17"/>
        <v>4.2566336814945096</v>
      </c>
      <c r="AC21">
        <f t="shared" si="18"/>
        <v>1.4826853156459334</v>
      </c>
      <c r="AD21">
        <f t="shared" si="19"/>
        <v>-220.97003762572362</v>
      </c>
      <c r="AE21">
        <f t="shared" si="20"/>
        <v>-1.322405120727933</v>
      </c>
      <c r="AF21">
        <f t="shared" si="21"/>
        <v>-0.10068268818911431</v>
      </c>
      <c r="AG21">
        <f t="shared" si="22"/>
        <v>121.98667455215947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52067.171922992944</v>
      </c>
      <c r="AM21" t="s">
        <v>414</v>
      </c>
      <c r="AN21">
        <v>10111.299999999999</v>
      </c>
      <c r="AO21">
        <v>608.58839999999998</v>
      </c>
      <c r="AP21">
        <v>2150.11</v>
      </c>
      <c r="AQ21">
        <f t="shared" si="26"/>
        <v>0.71695010952927984</v>
      </c>
      <c r="AR21">
        <v>-1.1786277417053079</v>
      </c>
      <c r="AS21" t="s">
        <v>440</v>
      </c>
      <c r="AT21">
        <v>8117.63</v>
      </c>
      <c r="AU21">
        <v>606.40020000000004</v>
      </c>
      <c r="AV21">
        <v>666.81951223694216</v>
      </c>
      <c r="AW21">
        <f t="shared" si="27"/>
        <v>9.0608194763612815E-2</v>
      </c>
      <c r="AX21">
        <v>0.5</v>
      </c>
      <c r="AY21">
        <f t="shared" si="28"/>
        <v>1513.2047999934</v>
      </c>
      <c r="AZ21">
        <f t="shared" si="29"/>
        <v>6.4598704849447506</v>
      </c>
      <c r="BA21">
        <f t="shared" si="30"/>
        <v>68.554377617517886</v>
      </c>
      <c r="BB21">
        <f t="shared" si="31"/>
        <v>5.0478945260306963E-3</v>
      </c>
      <c r="BC21">
        <f t="shared" si="32"/>
        <v>2.2244257412131603</v>
      </c>
      <c r="BD21">
        <f t="shared" si="33"/>
        <v>373.45338603540972</v>
      </c>
      <c r="BE21" t="s">
        <v>441</v>
      </c>
      <c r="BF21">
        <v>495.68</v>
      </c>
      <c r="BG21">
        <f t="shared" si="34"/>
        <v>495.68</v>
      </c>
      <c r="BH21">
        <f t="shared" si="35"/>
        <v>0.25665042653420567</v>
      </c>
      <c r="BI21">
        <f t="shared" si="36"/>
        <v>0.35304127870419405</v>
      </c>
      <c r="BJ21">
        <f t="shared" si="37"/>
        <v>0.8965568127772453</v>
      </c>
      <c r="BK21">
        <f t="shared" si="38"/>
        <v>1.0375778499832899</v>
      </c>
      <c r="BL21">
        <f t="shared" si="39"/>
        <v>0.96222491320462722</v>
      </c>
      <c r="BM21">
        <f t="shared" si="40"/>
        <v>0.28858087617401001</v>
      </c>
      <c r="BN21">
        <f t="shared" si="41"/>
        <v>0.71141912382598993</v>
      </c>
      <c r="BO21">
        <v>6983</v>
      </c>
      <c r="BP21">
        <v>290.00000000000011</v>
      </c>
      <c r="BQ21">
        <v>647.77</v>
      </c>
      <c r="BR21">
        <v>115</v>
      </c>
      <c r="BS21">
        <v>8117.63</v>
      </c>
      <c r="BT21">
        <v>647.29</v>
      </c>
      <c r="BU21">
        <v>0.48</v>
      </c>
      <c r="BV21">
        <v>300.00000000000011</v>
      </c>
      <c r="BW21">
        <v>19.2</v>
      </c>
      <c r="BX21">
        <v>666.81951223694216</v>
      </c>
      <c r="BY21">
        <v>2.1936795399797582</v>
      </c>
      <c r="BZ21">
        <v>-15.85032610573996</v>
      </c>
      <c r="CA21">
        <v>1.63487934216541</v>
      </c>
      <c r="CB21">
        <v>0.77048249415228021</v>
      </c>
      <c r="CC21">
        <v>-4.177713459399335E-3</v>
      </c>
      <c r="CD21">
        <v>289.99999999999989</v>
      </c>
      <c r="CE21">
        <v>646.48</v>
      </c>
      <c r="CF21">
        <v>685</v>
      </c>
      <c r="CG21">
        <v>8104.44</v>
      </c>
      <c r="CH21">
        <v>647.26</v>
      </c>
      <c r="CI21">
        <v>-0.78</v>
      </c>
      <c r="CW21">
        <f t="shared" si="42"/>
        <v>1800.02</v>
      </c>
      <c r="CX21">
        <f t="shared" si="43"/>
        <v>1513.2047999934</v>
      </c>
      <c r="CY21">
        <f t="shared" si="44"/>
        <v>0.84065999266308156</v>
      </c>
      <c r="CZ21">
        <f t="shared" si="45"/>
        <v>0.19131998532616312</v>
      </c>
      <c r="DA21">
        <v>6</v>
      </c>
      <c r="DB21">
        <v>0.5</v>
      </c>
      <c r="DC21" t="s">
        <v>417</v>
      </c>
      <c r="DD21">
        <v>2</v>
      </c>
      <c r="DE21">
        <v>1691161341</v>
      </c>
      <c r="DF21">
        <v>61.941299999999998</v>
      </c>
      <c r="DG21">
        <v>70.069599999999994</v>
      </c>
      <c r="DH21">
        <v>27.986799999999999</v>
      </c>
      <c r="DI21">
        <v>22.139399999999998</v>
      </c>
      <c r="DJ21">
        <v>60.228000000000002</v>
      </c>
      <c r="DK21">
        <v>27.838999999999999</v>
      </c>
      <c r="DL21">
        <v>499.75299999999999</v>
      </c>
      <c r="DM21">
        <v>99.091499999999996</v>
      </c>
      <c r="DN21">
        <v>9.82185E-2</v>
      </c>
      <c r="DO21">
        <v>29.984400000000001</v>
      </c>
      <c r="DP21">
        <v>29.992799999999999</v>
      </c>
      <c r="DQ21">
        <v>999.9</v>
      </c>
      <c r="DR21">
        <v>0</v>
      </c>
      <c r="DS21">
        <v>0</v>
      </c>
      <c r="DT21">
        <v>10037.5</v>
      </c>
      <c r="DU21">
        <v>0</v>
      </c>
      <c r="DV21">
        <v>1396.5</v>
      </c>
      <c r="DW21">
        <v>-8.1283600000000007</v>
      </c>
      <c r="DX21">
        <v>63.724699999999999</v>
      </c>
      <c r="DY21">
        <v>71.656099999999995</v>
      </c>
      <c r="DZ21">
        <v>5.8473699999999997</v>
      </c>
      <c r="EA21">
        <v>70.069599999999994</v>
      </c>
      <c r="EB21">
        <v>22.139399999999998</v>
      </c>
      <c r="EC21">
        <v>2.77325</v>
      </c>
      <c r="ED21">
        <v>2.1938300000000002</v>
      </c>
      <c r="EE21">
        <v>22.7257</v>
      </c>
      <c r="EF21">
        <v>18.917300000000001</v>
      </c>
      <c r="EG21">
        <v>1800.02</v>
      </c>
      <c r="EH21">
        <v>0.97799700000000001</v>
      </c>
      <c r="EI21">
        <v>2.20033E-2</v>
      </c>
      <c r="EJ21">
        <v>0</v>
      </c>
      <c r="EK21">
        <v>605.79999999999995</v>
      </c>
      <c r="EL21">
        <v>0.10001</v>
      </c>
      <c r="EM21">
        <v>15411.6</v>
      </c>
      <c r="EN21">
        <v>16353.7</v>
      </c>
      <c r="EO21">
        <v>46.625</v>
      </c>
      <c r="EP21">
        <v>48.811999999999998</v>
      </c>
      <c r="EQ21">
        <v>48.125</v>
      </c>
      <c r="ER21">
        <v>47.625</v>
      </c>
      <c r="ES21">
        <v>48.25</v>
      </c>
      <c r="ET21">
        <v>1760.32</v>
      </c>
      <c r="EU21">
        <v>39.6</v>
      </c>
      <c r="EV21">
        <v>0</v>
      </c>
      <c r="EW21">
        <v>116.3999998569489</v>
      </c>
      <c r="EX21">
        <v>0</v>
      </c>
      <c r="EY21">
        <v>606.40020000000004</v>
      </c>
      <c r="EZ21">
        <v>8.8538462933347741</v>
      </c>
      <c r="FA21">
        <v>-46.938461884275974</v>
      </c>
      <c r="FB21">
        <v>15415.42</v>
      </c>
      <c r="FC21">
        <v>15</v>
      </c>
      <c r="FD21">
        <v>1691161309</v>
      </c>
      <c r="FE21" t="s">
        <v>442</v>
      </c>
      <c r="FF21">
        <v>1691161300</v>
      </c>
      <c r="FG21">
        <v>1691161309</v>
      </c>
      <c r="FH21">
        <v>6</v>
      </c>
      <c r="FI21">
        <v>7.2999999999999995E-2</v>
      </c>
      <c r="FJ21">
        <v>-2E-3</v>
      </c>
      <c r="FK21">
        <v>1.74</v>
      </c>
      <c r="FL21">
        <v>4.7E-2</v>
      </c>
      <c r="FM21">
        <v>70</v>
      </c>
      <c r="FN21">
        <v>22</v>
      </c>
      <c r="FO21">
        <v>0.65</v>
      </c>
      <c r="FP21">
        <v>0.04</v>
      </c>
      <c r="FQ21">
        <v>6.471064630334971</v>
      </c>
      <c r="FR21">
        <v>-0.14848757738998219</v>
      </c>
      <c r="FS21">
        <v>6.4201450698184961E-2</v>
      </c>
      <c r="FT21">
        <v>1</v>
      </c>
      <c r="FU21">
        <v>0.34537016513524238</v>
      </c>
      <c r="FV21">
        <v>4.7953460829430472E-2</v>
      </c>
      <c r="FW21">
        <v>4.8645209366282201E-3</v>
      </c>
      <c r="FX21">
        <v>1</v>
      </c>
      <c r="FY21">
        <v>2</v>
      </c>
      <c r="FZ21">
        <v>2</v>
      </c>
      <c r="GA21" t="s">
        <v>419</v>
      </c>
      <c r="GB21">
        <v>2.88558</v>
      </c>
      <c r="GC21">
        <v>2.8197399999999999</v>
      </c>
      <c r="GD21">
        <v>1.5677699999999999E-2</v>
      </c>
      <c r="GE21">
        <v>1.83199E-2</v>
      </c>
      <c r="GF21">
        <v>0.12720899999999999</v>
      </c>
      <c r="GG21">
        <v>0.108802</v>
      </c>
      <c r="GH21">
        <v>30272.7</v>
      </c>
      <c r="GI21">
        <v>28195.7</v>
      </c>
      <c r="GJ21">
        <v>28313.4</v>
      </c>
      <c r="GK21">
        <v>26976.3</v>
      </c>
      <c r="GL21">
        <v>34875.9</v>
      </c>
      <c r="GM21">
        <v>33569.1</v>
      </c>
      <c r="GN21">
        <v>41664.5</v>
      </c>
      <c r="GO21">
        <v>39025</v>
      </c>
      <c r="GP21">
        <v>2.0104000000000002</v>
      </c>
      <c r="GQ21">
        <v>1.7152000000000001</v>
      </c>
      <c r="GR21">
        <v>-9.9539799999999994E-3</v>
      </c>
      <c r="GS21">
        <v>0</v>
      </c>
      <c r="GT21">
        <v>30.154800000000002</v>
      </c>
      <c r="GU21">
        <v>999.9</v>
      </c>
      <c r="GV21">
        <v>51</v>
      </c>
      <c r="GW21">
        <v>40.299999999999997</v>
      </c>
      <c r="GX21">
        <v>38.772599999999997</v>
      </c>
      <c r="GY21">
        <v>62.6205</v>
      </c>
      <c r="GZ21">
        <v>32.295699999999997</v>
      </c>
      <c r="HA21">
        <v>1</v>
      </c>
      <c r="HB21">
        <v>0.88964399999999999</v>
      </c>
      <c r="HC21">
        <v>4.1709500000000004</v>
      </c>
      <c r="HD21">
        <v>20.1937</v>
      </c>
      <c r="HE21">
        <v>5.1957300000000002</v>
      </c>
      <c r="HF21">
        <v>11.997999999999999</v>
      </c>
      <c r="HG21">
        <v>4.9843999999999999</v>
      </c>
      <c r="HH21">
        <v>3.2886000000000002</v>
      </c>
      <c r="HI21">
        <v>9999</v>
      </c>
      <c r="HJ21">
        <v>9999</v>
      </c>
      <c r="HK21">
        <v>9999</v>
      </c>
      <c r="HL21">
        <v>999.9</v>
      </c>
      <c r="HM21">
        <v>1.86704</v>
      </c>
      <c r="HN21">
        <v>1.8671</v>
      </c>
      <c r="HO21">
        <v>1.8635600000000001</v>
      </c>
      <c r="HP21">
        <v>1.8647800000000001</v>
      </c>
      <c r="HQ21">
        <v>1.8644099999999999</v>
      </c>
      <c r="HR21">
        <v>1.8602000000000001</v>
      </c>
      <c r="HS21">
        <v>1.8633999999999999</v>
      </c>
      <c r="HT21">
        <v>1.86626</v>
      </c>
      <c r="HU21">
        <v>5</v>
      </c>
      <c r="HV21">
        <v>0</v>
      </c>
      <c r="HW21">
        <v>0</v>
      </c>
      <c r="HX21">
        <v>0</v>
      </c>
      <c r="HY21" t="s">
        <v>420</v>
      </c>
      <c r="HZ21" t="s">
        <v>421</v>
      </c>
      <c r="IA21" t="s">
        <v>422</v>
      </c>
      <c r="IB21" t="s">
        <v>422</v>
      </c>
      <c r="IC21" t="s">
        <v>422</v>
      </c>
      <c r="ID21" t="s">
        <v>422</v>
      </c>
      <c r="IE21">
        <v>0</v>
      </c>
      <c r="IF21">
        <v>100</v>
      </c>
      <c r="IG21">
        <v>100</v>
      </c>
      <c r="IH21">
        <v>1.7130000000000001</v>
      </c>
      <c r="II21">
        <v>0.14779999999999999</v>
      </c>
      <c r="IJ21">
        <v>1.5070994614576561</v>
      </c>
      <c r="IK21">
        <v>3.5576830062418229E-3</v>
      </c>
      <c r="IL21">
        <v>-2.2646740813029151E-6</v>
      </c>
      <c r="IM21">
        <v>6.9609298295988525E-10</v>
      </c>
      <c r="IN21">
        <v>-0.1500654396993138</v>
      </c>
      <c r="IO21">
        <v>-9.4437069492282083E-4</v>
      </c>
      <c r="IP21">
        <v>5.2900373165634467E-4</v>
      </c>
      <c r="IQ21">
        <v>-3.977656803091445E-6</v>
      </c>
      <c r="IR21">
        <v>2</v>
      </c>
      <c r="IS21">
        <v>1759</v>
      </c>
      <c r="IT21">
        <v>2</v>
      </c>
      <c r="IU21">
        <v>42</v>
      </c>
      <c r="IV21">
        <v>0.7</v>
      </c>
      <c r="IW21">
        <v>0.5</v>
      </c>
      <c r="IX21">
        <v>0.25756800000000002</v>
      </c>
      <c r="IY21">
        <v>2.4670399999999999</v>
      </c>
      <c r="IZ21">
        <v>1.54297</v>
      </c>
      <c r="JA21">
        <v>2.3071299999999999</v>
      </c>
      <c r="JB21">
        <v>1.5466299999999999</v>
      </c>
      <c r="JC21">
        <v>2.3339799999999999</v>
      </c>
      <c r="JD21">
        <v>45.776800000000001</v>
      </c>
      <c r="JE21">
        <v>23.8949</v>
      </c>
      <c r="JF21">
        <v>18</v>
      </c>
      <c r="JG21">
        <v>530.34400000000005</v>
      </c>
      <c r="JH21">
        <v>441.66300000000001</v>
      </c>
      <c r="JI21">
        <v>24.689900000000002</v>
      </c>
      <c r="JJ21">
        <v>37.847099999999998</v>
      </c>
      <c r="JK21">
        <v>29.9999</v>
      </c>
      <c r="JL21">
        <v>38.205800000000004</v>
      </c>
      <c r="JM21">
        <v>38.182899999999997</v>
      </c>
      <c r="JN21">
        <v>5.2519999999999998</v>
      </c>
      <c r="JO21">
        <v>49.706299999999999</v>
      </c>
      <c r="JP21">
        <v>0</v>
      </c>
      <c r="JQ21">
        <v>24.6921</v>
      </c>
      <c r="JR21">
        <v>70</v>
      </c>
      <c r="JS21">
        <v>22.279299999999999</v>
      </c>
      <c r="JT21">
        <v>98.708699999999993</v>
      </c>
      <c r="JU21">
        <v>96.572400000000002</v>
      </c>
    </row>
    <row r="22" spans="1:281" x14ac:dyDescent="0.25">
      <c r="A22">
        <v>6</v>
      </c>
      <c r="B22">
        <v>1691161444</v>
      </c>
      <c r="C22">
        <v>532.5</v>
      </c>
      <c r="D22" t="s">
        <v>443</v>
      </c>
      <c r="E22" t="s">
        <v>444</v>
      </c>
      <c r="F22" t="s">
        <v>413</v>
      </c>
      <c r="G22">
        <v>1</v>
      </c>
      <c r="H22" t="s">
        <v>780</v>
      </c>
      <c r="I22">
        <v>1</v>
      </c>
      <c r="J22">
        <v>1691161444</v>
      </c>
      <c r="K22">
        <f t="shared" si="0"/>
        <v>5.0574343509811872E-3</v>
      </c>
      <c r="L22">
        <f t="shared" si="1"/>
        <v>5.057434350981187</v>
      </c>
      <c r="M22">
        <f t="shared" si="2"/>
        <v>1.6791882655537187</v>
      </c>
      <c r="N22">
        <f t="shared" si="3"/>
        <v>27.8154</v>
      </c>
      <c r="O22">
        <f t="shared" si="4"/>
        <v>19.148499513588479</v>
      </c>
      <c r="P22">
        <f t="shared" si="5"/>
        <v>1.8992428442799008</v>
      </c>
      <c r="Q22">
        <f t="shared" si="6"/>
        <v>2.7588688802114398</v>
      </c>
      <c r="R22">
        <f t="shared" si="7"/>
        <v>0.35077022924405671</v>
      </c>
      <c r="S22">
        <f t="shared" si="8"/>
        <v>2.9252293644536644</v>
      </c>
      <c r="T22">
        <f t="shared" si="9"/>
        <v>0.3289661146724257</v>
      </c>
      <c r="U22">
        <f t="shared" si="10"/>
        <v>0.20744978988747714</v>
      </c>
      <c r="V22">
        <f t="shared" si="11"/>
        <v>344.37089998679642</v>
      </c>
      <c r="W22">
        <f t="shared" si="12"/>
        <v>30.780314556486847</v>
      </c>
      <c r="X22">
        <f t="shared" si="13"/>
        <v>30.0121</v>
      </c>
      <c r="Y22">
        <f t="shared" si="14"/>
        <v>4.2634117419352417</v>
      </c>
      <c r="Z22">
        <f t="shared" si="15"/>
        <v>65.306646947847469</v>
      </c>
      <c r="AA22">
        <f t="shared" si="16"/>
        <v>2.7928099679113596</v>
      </c>
      <c r="AB22">
        <f t="shared" si="17"/>
        <v>4.276455917483621</v>
      </c>
      <c r="AC22">
        <f t="shared" si="18"/>
        <v>1.4706017740238821</v>
      </c>
      <c r="AD22">
        <f t="shared" si="19"/>
        <v>-223.03285487827037</v>
      </c>
      <c r="AE22">
        <f t="shared" si="20"/>
        <v>8.3899041644099182</v>
      </c>
      <c r="AF22">
        <f t="shared" si="21"/>
        <v>0.63797339733565006</v>
      </c>
      <c r="AG22">
        <f t="shared" si="22"/>
        <v>130.36592267027163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52198.913789639024</v>
      </c>
      <c r="AM22" t="s">
        <v>414</v>
      </c>
      <c r="AN22">
        <v>10111.299999999999</v>
      </c>
      <c r="AO22">
        <v>608.58839999999998</v>
      </c>
      <c r="AP22">
        <v>2150.11</v>
      </c>
      <c r="AQ22">
        <f t="shared" si="26"/>
        <v>0.71695010952927984</v>
      </c>
      <c r="AR22">
        <v>-1.1786277417053079</v>
      </c>
      <c r="AS22" t="s">
        <v>445</v>
      </c>
      <c r="AT22">
        <v>8118.04</v>
      </c>
      <c r="AU22">
        <v>617.51100000000008</v>
      </c>
      <c r="AV22">
        <v>668.14597881794816</v>
      </c>
      <c r="AW22">
        <f t="shared" si="27"/>
        <v>7.5784305261447638E-2</v>
      </c>
      <c r="AX22">
        <v>0.5</v>
      </c>
      <c r="AY22">
        <f t="shared" si="28"/>
        <v>1513.1630999933982</v>
      </c>
      <c r="AZ22">
        <f t="shared" si="29"/>
        <v>1.6791882655537187</v>
      </c>
      <c r="BA22">
        <f t="shared" si="30"/>
        <v>57.337007140129053</v>
      </c>
      <c r="BB22">
        <f t="shared" si="31"/>
        <v>1.8886371252851033E-3</v>
      </c>
      <c r="BC22">
        <f t="shared" si="32"/>
        <v>2.2180243063108329</v>
      </c>
      <c r="BD22">
        <f t="shared" si="33"/>
        <v>373.86907893254124</v>
      </c>
      <c r="BE22" t="s">
        <v>446</v>
      </c>
      <c r="BF22">
        <v>514.87</v>
      </c>
      <c r="BG22">
        <f t="shared" si="34"/>
        <v>514.87</v>
      </c>
      <c r="BH22">
        <f t="shared" si="35"/>
        <v>0.2294049259850619</v>
      </c>
      <c r="BI22">
        <f t="shared" si="36"/>
        <v>0.33035169116805457</v>
      </c>
      <c r="BJ22">
        <f t="shared" si="37"/>
        <v>0.906266982939539</v>
      </c>
      <c r="BK22">
        <f t="shared" si="38"/>
        <v>0.85018531348841198</v>
      </c>
      <c r="BL22">
        <f t="shared" si="39"/>
        <v>0.96136442147943435</v>
      </c>
      <c r="BM22">
        <f t="shared" si="40"/>
        <v>0.27544153097142599</v>
      </c>
      <c r="BN22">
        <f t="shared" si="41"/>
        <v>0.72455846902857401</v>
      </c>
      <c r="BO22">
        <v>6985</v>
      </c>
      <c r="BP22">
        <v>290.00000000000011</v>
      </c>
      <c r="BQ22">
        <v>647.61</v>
      </c>
      <c r="BR22">
        <v>115</v>
      </c>
      <c r="BS22">
        <v>8118.04</v>
      </c>
      <c r="BT22">
        <v>646.83000000000004</v>
      </c>
      <c r="BU22">
        <v>0.78</v>
      </c>
      <c r="BV22">
        <v>300.00000000000011</v>
      </c>
      <c r="BW22">
        <v>19.2</v>
      </c>
      <c r="BX22">
        <v>668.14597881794816</v>
      </c>
      <c r="BY22">
        <v>2.0736951457527129</v>
      </c>
      <c r="BZ22">
        <v>-17.306787903495561</v>
      </c>
      <c r="CA22">
        <v>1.5455447678734699</v>
      </c>
      <c r="CB22">
        <v>0.81746112289365369</v>
      </c>
      <c r="CC22">
        <v>-4.177970856507238E-3</v>
      </c>
      <c r="CD22">
        <v>289.99999999999989</v>
      </c>
      <c r="CE22">
        <v>645.6</v>
      </c>
      <c r="CF22">
        <v>655</v>
      </c>
      <c r="CG22">
        <v>8105.52</v>
      </c>
      <c r="CH22">
        <v>646.79</v>
      </c>
      <c r="CI22">
        <v>-1.19</v>
      </c>
      <c r="CW22">
        <f t="shared" si="42"/>
        <v>1799.97</v>
      </c>
      <c r="CX22">
        <f t="shared" si="43"/>
        <v>1513.1630999933982</v>
      </c>
      <c r="CY22">
        <f t="shared" si="44"/>
        <v>0.84066017766596013</v>
      </c>
      <c r="CZ22">
        <f t="shared" si="45"/>
        <v>0.19132035533192021</v>
      </c>
      <c r="DA22">
        <v>6</v>
      </c>
      <c r="DB22">
        <v>0.5</v>
      </c>
      <c r="DC22" t="s">
        <v>417</v>
      </c>
      <c r="DD22">
        <v>2</v>
      </c>
      <c r="DE22">
        <v>1691161444</v>
      </c>
      <c r="DF22">
        <v>27.8154</v>
      </c>
      <c r="DG22">
        <v>30</v>
      </c>
      <c r="DH22">
        <v>28.157599999999999</v>
      </c>
      <c r="DI22">
        <v>22.2575</v>
      </c>
      <c r="DJ22">
        <v>26.110600000000002</v>
      </c>
      <c r="DK22">
        <v>28.005700000000001</v>
      </c>
      <c r="DL22">
        <v>499.82499999999999</v>
      </c>
      <c r="DM22">
        <v>99.085099999999997</v>
      </c>
      <c r="DN22">
        <v>9.9843600000000005E-2</v>
      </c>
      <c r="DO22">
        <v>30.065300000000001</v>
      </c>
      <c r="DP22">
        <v>30.0121</v>
      </c>
      <c r="DQ22">
        <v>999.9</v>
      </c>
      <c r="DR22">
        <v>0</v>
      </c>
      <c r="DS22">
        <v>0</v>
      </c>
      <c r="DT22">
        <v>10067.5</v>
      </c>
      <c r="DU22">
        <v>0</v>
      </c>
      <c r="DV22">
        <v>1404.57</v>
      </c>
      <c r="DW22">
        <v>-2.1845400000000001</v>
      </c>
      <c r="DX22">
        <v>28.621300000000002</v>
      </c>
      <c r="DY22">
        <v>30.6829</v>
      </c>
      <c r="DZ22">
        <v>5.90008</v>
      </c>
      <c r="EA22">
        <v>30</v>
      </c>
      <c r="EB22">
        <v>22.2575</v>
      </c>
      <c r="EC22">
        <v>2.79</v>
      </c>
      <c r="ED22">
        <v>2.20539</v>
      </c>
      <c r="EE22">
        <v>22.824999999999999</v>
      </c>
      <c r="EF22">
        <v>19.0015</v>
      </c>
      <c r="EG22">
        <v>1799.97</v>
      </c>
      <c r="EH22">
        <v>0.97799499999999995</v>
      </c>
      <c r="EI22">
        <v>2.2005400000000001E-2</v>
      </c>
      <c r="EJ22">
        <v>0</v>
      </c>
      <c r="EK22">
        <v>617.41</v>
      </c>
      <c r="EL22">
        <v>0.10001</v>
      </c>
      <c r="EM22">
        <v>15582.9</v>
      </c>
      <c r="EN22">
        <v>16353.2</v>
      </c>
      <c r="EO22">
        <v>46.625</v>
      </c>
      <c r="EP22">
        <v>48.75</v>
      </c>
      <c r="EQ22">
        <v>48.061999999999998</v>
      </c>
      <c r="ER22">
        <v>47.561999999999998</v>
      </c>
      <c r="ES22">
        <v>48.25</v>
      </c>
      <c r="ET22">
        <v>1760.26</v>
      </c>
      <c r="EU22">
        <v>39.61</v>
      </c>
      <c r="EV22">
        <v>0</v>
      </c>
      <c r="EW22">
        <v>101</v>
      </c>
      <c r="EX22">
        <v>0</v>
      </c>
      <c r="EY22">
        <v>617.51100000000008</v>
      </c>
      <c r="EZ22">
        <v>-7.5384731398668026E-2</v>
      </c>
      <c r="FA22">
        <v>16.26153869674604</v>
      </c>
      <c r="FB22">
        <v>15593.796</v>
      </c>
      <c r="FC22">
        <v>15</v>
      </c>
      <c r="FD22">
        <v>1691161413.5</v>
      </c>
      <c r="FE22" t="s">
        <v>447</v>
      </c>
      <c r="FF22">
        <v>1691161399.5</v>
      </c>
      <c r="FG22">
        <v>1691161413.5</v>
      </c>
      <c r="FH22">
        <v>7</v>
      </c>
      <c r="FI22">
        <v>0.106</v>
      </c>
      <c r="FJ22">
        <v>1E-3</v>
      </c>
      <c r="FK22">
        <v>1.712</v>
      </c>
      <c r="FL22">
        <v>4.3999999999999997E-2</v>
      </c>
      <c r="FM22">
        <v>30</v>
      </c>
      <c r="FN22">
        <v>22</v>
      </c>
      <c r="FO22">
        <v>0.91</v>
      </c>
      <c r="FP22">
        <v>0.05</v>
      </c>
      <c r="FQ22">
        <v>1.749420125277781</v>
      </c>
      <c r="FR22">
        <v>-0.62777760614297862</v>
      </c>
      <c r="FS22">
        <v>5.5619027420958443E-2</v>
      </c>
      <c r="FT22">
        <v>1</v>
      </c>
      <c r="FU22">
        <v>0.35285053518183862</v>
      </c>
      <c r="FV22">
        <v>7.919911644735959E-3</v>
      </c>
      <c r="FW22">
        <v>2.6307406781285762E-3</v>
      </c>
      <c r="FX22">
        <v>1</v>
      </c>
      <c r="FY22">
        <v>2</v>
      </c>
      <c r="FZ22">
        <v>2</v>
      </c>
      <c r="GA22" t="s">
        <v>419</v>
      </c>
      <c r="GB22">
        <v>2.88578</v>
      </c>
      <c r="GC22">
        <v>2.8216199999999998</v>
      </c>
      <c r="GD22">
        <v>6.84389E-3</v>
      </c>
      <c r="GE22">
        <v>7.9200899999999994E-3</v>
      </c>
      <c r="GF22">
        <v>0.127723</v>
      </c>
      <c r="GG22">
        <v>0.109197</v>
      </c>
      <c r="GH22">
        <v>30543.200000000001</v>
      </c>
      <c r="GI22">
        <v>28493.4</v>
      </c>
      <c r="GJ22">
        <v>28313</v>
      </c>
      <c r="GK22">
        <v>26976.1</v>
      </c>
      <c r="GL22">
        <v>34855</v>
      </c>
      <c r="GM22">
        <v>33554.6</v>
      </c>
      <c r="GN22">
        <v>41664.1</v>
      </c>
      <c r="GO22">
        <v>39025.599999999999</v>
      </c>
      <c r="GP22">
        <v>2.0108000000000001</v>
      </c>
      <c r="GQ22">
        <v>1.7130000000000001</v>
      </c>
      <c r="GR22">
        <v>-6.1392800000000004E-3</v>
      </c>
      <c r="GS22">
        <v>0</v>
      </c>
      <c r="GT22">
        <v>30.111999999999998</v>
      </c>
      <c r="GU22">
        <v>999.9</v>
      </c>
      <c r="GV22">
        <v>50.8</v>
      </c>
      <c r="GW22">
        <v>40.4</v>
      </c>
      <c r="GX22">
        <v>38.827300000000001</v>
      </c>
      <c r="GY22">
        <v>62.3705</v>
      </c>
      <c r="GZ22">
        <v>32.3277</v>
      </c>
      <c r="HA22">
        <v>1</v>
      </c>
      <c r="HB22">
        <v>0.88878000000000001</v>
      </c>
      <c r="HC22">
        <v>4.0981300000000003</v>
      </c>
      <c r="HD22">
        <v>20.197399999999998</v>
      </c>
      <c r="HE22">
        <v>5.2095000000000002</v>
      </c>
      <c r="HF22">
        <v>11.997999999999999</v>
      </c>
      <c r="HG22">
        <v>4.9892000000000003</v>
      </c>
      <c r="HH22">
        <v>3.2909999999999999</v>
      </c>
      <c r="HI22">
        <v>9999</v>
      </c>
      <c r="HJ22">
        <v>9999</v>
      </c>
      <c r="HK22">
        <v>9999</v>
      </c>
      <c r="HL22">
        <v>999.9</v>
      </c>
      <c r="HM22">
        <v>1.8670500000000001</v>
      </c>
      <c r="HN22">
        <v>1.8671</v>
      </c>
      <c r="HO22">
        <v>1.8635600000000001</v>
      </c>
      <c r="HP22">
        <v>1.8647800000000001</v>
      </c>
      <c r="HQ22">
        <v>1.86436</v>
      </c>
      <c r="HR22">
        <v>1.8602000000000001</v>
      </c>
      <c r="HS22">
        <v>1.8633999999999999</v>
      </c>
      <c r="HT22">
        <v>1.86626</v>
      </c>
      <c r="HU22">
        <v>5</v>
      </c>
      <c r="HV22">
        <v>0</v>
      </c>
      <c r="HW22">
        <v>0</v>
      </c>
      <c r="HX22">
        <v>0</v>
      </c>
      <c r="HY22" t="s">
        <v>420</v>
      </c>
      <c r="HZ22" t="s">
        <v>421</v>
      </c>
      <c r="IA22" t="s">
        <v>422</v>
      </c>
      <c r="IB22" t="s">
        <v>422</v>
      </c>
      <c r="IC22" t="s">
        <v>422</v>
      </c>
      <c r="ID22" t="s">
        <v>422</v>
      </c>
      <c r="IE22">
        <v>0</v>
      </c>
      <c r="IF22">
        <v>100</v>
      </c>
      <c r="IG22">
        <v>100</v>
      </c>
      <c r="IH22">
        <v>1.7050000000000001</v>
      </c>
      <c r="II22">
        <v>0.15190000000000001</v>
      </c>
      <c r="IJ22">
        <v>1.613482960673313</v>
      </c>
      <c r="IK22">
        <v>3.5576830062418229E-3</v>
      </c>
      <c r="IL22">
        <v>-2.2646740813029151E-6</v>
      </c>
      <c r="IM22">
        <v>6.9609298295988525E-10</v>
      </c>
      <c r="IN22">
        <v>-0.149210532095847</v>
      </c>
      <c r="IO22">
        <v>-9.4437069492282083E-4</v>
      </c>
      <c r="IP22">
        <v>5.2900373165634467E-4</v>
      </c>
      <c r="IQ22">
        <v>-3.977656803091445E-6</v>
      </c>
      <c r="IR22">
        <v>2</v>
      </c>
      <c r="IS22">
        <v>1759</v>
      </c>
      <c r="IT22">
        <v>2</v>
      </c>
      <c r="IU22">
        <v>42</v>
      </c>
      <c r="IV22">
        <v>0.7</v>
      </c>
      <c r="IW22">
        <v>0.5</v>
      </c>
      <c r="IX22">
        <v>0.167236</v>
      </c>
      <c r="IY22">
        <v>2.49268</v>
      </c>
      <c r="IZ22">
        <v>1.54297</v>
      </c>
      <c r="JA22">
        <v>2.3071299999999999</v>
      </c>
      <c r="JB22">
        <v>1.5466299999999999</v>
      </c>
      <c r="JC22">
        <v>2.4060100000000002</v>
      </c>
      <c r="JD22">
        <v>46.0077</v>
      </c>
      <c r="JE22">
        <v>23.886099999999999</v>
      </c>
      <c r="JF22">
        <v>18</v>
      </c>
      <c r="JG22">
        <v>530.66</v>
      </c>
      <c r="JH22">
        <v>440.23200000000003</v>
      </c>
      <c r="JI22">
        <v>24.8782</v>
      </c>
      <c r="JJ22">
        <v>37.843499999999999</v>
      </c>
      <c r="JK22">
        <v>30.0002</v>
      </c>
      <c r="JL22">
        <v>38.213000000000001</v>
      </c>
      <c r="JM22">
        <v>38.190199999999997</v>
      </c>
      <c r="JN22">
        <v>3.4624199999999998</v>
      </c>
      <c r="JO22">
        <v>50.368400000000001</v>
      </c>
      <c r="JP22">
        <v>0</v>
      </c>
      <c r="JQ22">
        <v>24.871600000000001</v>
      </c>
      <c r="JR22">
        <v>30</v>
      </c>
      <c r="JS22">
        <v>22.1386</v>
      </c>
      <c r="JT22">
        <v>98.707499999999996</v>
      </c>
      <c r="JU22">
        <v>96.573099999999997</v>
      </c>
    </row>
    <row r="23" spans="1:281" x14ac:dyDescent="0.25">
      <c r="A23">
        <v>7</v>
      </c>
      <c r="B23">
        <v>1691161544.5</v>
      </c>
      <c r="C23">
        <v>633</v>
      </c>
      <c r="D23" t="s">
        <v>448</v>
      </c>
      <c r="E23" t="s">
        <v>449</v>
      </c>
      <c r="F23" t="s">
        <v>413</v>
      </c>
      <c r="G23">
        <v>1</v>
      </c>
      <c r="H23" t="s">
        <v>780</v>
      </c>
      <c r="I23">
        <v>1</v>
      </c>
      <c r="J23">
        <v>1691161544.5</v>
      </c>
      <c r="K23">
        <f t="shared" si="0"/>
        <v>5.1555663623947924E-3</v>
      </c>
      <c r="L23">
        <f t="shared" si="1"/>
        <v>5.1555663623947927</v>
      </c>
      <c r="M23">
        <f t="shared" si="2"/>
        <v>0.77146683586084264</v>
      </c>
      <c r="N23">
        <f t="shared" si="3"/>
        <v>20.401199999999999</v>
      </c>
      <c r="O23">
        <f t="shared" si="4"/>
        <v>16.33042557350177</v>
      </c>
      <c r="P23">
        <f t="shared" si="5"/>
        <v>1.6197140934872776</v>
      </c>
      <c r="Q23">
        <f t="shared" si="6"/>
        <v>2.0234690771115602</v>
      </c>
      <c r="R23">
        <f t="shared" si="7"/>
        <v>0.36034161865398767</v>
      </c>
      <c r="S23">
        <f t="shared" si="8"/>
        <v>2.9186814109415216</v>
      </c>
      <c r="T23">
        <f t="shared" si="9"/>
        <v>0.33732513560172361</v>
      </c>
      <c r="U23">
        <f t="shared" si="10"/>
        <v>0.21277351966351515</v>
      </c>
      <c r="V23">
        <f t="shared" si="11"/>
        <v>344.37469998679666</v>
      </c>
      <c r="W23">
        <f t="shared" si="12"/>
        <v>30.772364937333737</v>
      </c>
      <c r="X23">
        <f t="shared" si="13"/>
        <v>30.017600000000002</v>
      </c>
      <c r="Y23">
        <f t="shared" si="14"/>
        <v>4.2647586848662913</v>
      </c>
      <c r="Z23">
        <f t="shared" si="15"/>
        <v>65.481465427865743</v>
      </c>
      <c r="AA23">
        <f t="shared" si="16"/>
        <v>2.80287542094222</v>
      </c>
      <c r="AB23">
        <f t="shared" si="17"/>
        <v>4.2804103460846674</v>
      </c>
      <c r="AC23">
        <f t="shared" si="18"/>
        <v>1.4618832639240713</v>
      </c>
      <c r="AD23">
        <f t="shared" si="19"/>
        <v>-227.36047658161036</v>
      </c>
      <c r="AE23">
        <f t="shared" si="20"/>
        <v>10.039054552061664</v>
      </c>
      <c r="AF23">
        <f t="shared" si="21"/>
        <v>0.76517020403919378</v>
      </c>
      <c r="AG23">
        <f t="shared" si="22"/>
        <v>127.81844816128714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52009.562269642745</v>
      </c>
      <c r="AM23" t="s">
        <v>414</v>
      </c>
      <c r="AN23">
        <v>10111.299999999999</v>
      </c>
      <c r="AO23">
        <v>608.58839999999998</v>
      </c>
      <c r="AP23">
        <v>2150.11</v>
      </c>
      <c r="AQ23">
        <f t="shared" si="26"/>
        <v>0.71695010952927984</v>
      </c>
      <c r="AR23">
        <v>-1.1786277417053079</v>
      </c>
      <c r="AS23" t="s">
        <v>450</v>
      </c>
      <c r="AT23">
        <v>8112.54</v>
      </c>
      <c r="AU23">
        <v>620.28576923076923</v>
      </c>
      <c r="AV23">
        <v>663.64880266174339</v>
      </c>
      <c r="AW23">
        <f t="shared" si="27"/>
        <v>6.5340332502755949E-2</v>
      </c>
      <c r="AX23">
        <v>0.5</v>
      </c>
      <c r="AY23">
        <f t="shared" si="28"/>
        <v>1513.1798999933983</v>
      </c>
      <c r="AZ23">
        <f t="shared" si="29"/>
        <v>0.77146683586084264</v>
      </c>
      <c r="BA23">
        <f t="shared" si="30"/>
        <v>49.435838901027822</v>
      </c>
      <c r="BB23">
        <f t="shared" si="31"/>
        <v>1.2887394139815486E-3</v>
      </c>
      <c r="BC23">
        <f t="shared" si="32"/>
        <v>2.2398310542811215</v>
      </c>
      <c r="BD23">
        <f t="shared" si="33"/>
        <v>372.45678315298392</v>
      </c>
      <c r="BE23" t="s">
        <v>451</v>
      </c>
      <c r="BF23">
        <v>519.61</v>
      </c>
      <c r="BG23">
        <f t="shared" si="34"/>
        <v>519.61</v>
      </c>
      <c r="BH23">
        <f t="shared" si="35"/>
        <v>0.21704070298030631</v>
      </c>
      <c r="BI23">
        <f t="shared" si="36"/>
        <v>0.30105105450512992</v>
      </c>
      <c r="BJ23">
        <f t="shared" si="37"/>
        <v>0.91165973464474492</v>
      </c>
      <c r="BK23">
        <f t="shared" si="38"/>
        <v>0.78755387419466294</v>
      </c>
      <c r="BL23">
        <f t="shared" si="39"/>
        <v>0.96428178323174751</v>
      </c>
      <c r="BM23">
        <f t="shared" si="40"/>
        <v>0.25218882358916916</v>
      </c>
      <c r="BN23">
        <f t="shared" si="41"/>
        <v>0.74781117641083084</v>
      </c>
      <c r="BO23">
        <v>6987</v>
      </c>
      <c r="BP23">
        <v>290.00000000000011</v>
      </c>
      <c r="BQ23">
        <v>649.42999999999995</v>
      </c>
      <c r="BR23">
        <v>235</v>
      </c>
      <c r="BS23">
        <v>8112.54</v>
      </c>
      <c r="BT23">
        <v>648.11</v>
      </c>
      <c r="BU23">
        <v>1.32</v>
      </c>
      <c r="BV23">
        <v>300.00000000000011</v>
      </c>
      <c r="BW23">
        <v>19.2</v>
      </c>
      <c r="BX23">
        <v>663.64880266174339</v>
      </c>
      <c r="BY23">
        <v>1.8245343095012141</v>
      </c>
      <c r="BZ23">
        <v>-12.60310881419899</v>
      </c>
      <c r="CA23">
        <v>1.3599120670936971</v>
      </c>
      <c r="CB23">
        <v>0.7541449465197263</v>
      </c>
      <c r="CC23">
        <v>-4.1781185761957766E-3</v>
      </c>
      <c r="CD23">
        <v>289.99999999999989</v>
      </c>
      <c r="CE23">
        <v>647.75</v>
      </c>
      <c r="CF23">
        <v>625</v>
      </c>
      <c r="CG23">
        <v>8106.6</v>
      </c>
      <c r="CH23">
        <v>648.1</v>
      </c>
      <c r="CI23">
        <v>-0.35</v>
      </c>
      <c r="CW23">
        <f t="shared" si="42"/>
        <v>1799.99</v>
      </c>
      <c r="CX23">
        <f t="shared" si="43"/>
        <v>1513.1798999933983</v>
      </c>
      <c r="CY23">
        <f t="shared" si="44"/>
        <v>0.84066017033061202</v>
      </c>
      <c r="CZ23">
        <f t="shared" si="45"/>
        <v>0.19132034066122403</v>
      </c>
      <c r="DA23">
        <v>6</v>
      </c>
      <c r="DB23">
        <v>0.5</v>
      </c>
      <c r="DC23" t="s">
        <v>417</v>
      </c>
      <c r="DD23">
        <v>2</v>
      </c>
      <c r="DE23">
        <v>1691161544.5</v>
      </c>
      <c r="DF23">
        <v>20.401199999999999</v>
      </c>
      <c r="DG23">
        <v>21.453499999999998</v>
      </c>
      <c r="DH23">
        <v>28.259399999999999</v>
      </c>
      <c r="DI23">
        <v>22.245699999999999</v>
      </c>
      <c r="DJ23">
        <v>18.681899999999999</v>
      </c>
      <c r="DK23">
        <v>28.105499999999999</v>
      </c>
      <c r="DL23">
        <v>499.846</v>
      </c>
      <c r="DM23">
        <v>99.084500000000006</v>
      </c>
      <c r="DN23">
        <v>9.9326300000000006E-2</v>
      </c>
      <c r="DO23">
        <v>30.081399999999999</v>
      </c>
      <c r="DP23">
        <v>30.017600000000002</v>
      </c>
      <c r="DQ23">
        <v>999.9</v>
      </c>
      <c r="DR23">
        <v>0</v>
      </c>
      <c r="DS23">
        <v>0</v>
      </c>
      <c r="DT23">
        <v>10030</v>
      </c>
      <c r="DU23">
        <v>0</v>
      </c>
      <c r="DV23">
        <v>1406.42</v>
      </c>
      <c r="DW23">
        <v>-1.0523</v>
      </c>
      <c r="DX23">
        <v>20.994499999999999</v>
      </c>
      <c r="DY23">
        <v>21.941600000000001</v>
      </c>
      <c r="DZ23">
        <v>6.0136500000000002</v>
      </c>
      <c r="EA23">
        <v>21.453499999999998</v>
      </c>
      <c r="EB23">
        <v>22.245699999999999</v>
      </c>
      <c r="EC23">
        <v>2.8000699999999998</v>
      </c>
      <c r="ED23">
        <v>2.2042099999999998</v>
      </c>
      <c r="EE23">
        <v>22.884499999999999</v>
      </c>
      <c r="EF23">
        <v>18.992899999999999</v>
      </c>
      <c r="EG23">
        <v>1799.99</v>
      </c>
      <c r="EH23">
        <v>0.977993</v>
      </c>
      <c r="EI23">
        <v>2.2006899999999999E-2</v>
      </c>
      <c r="EJ23">
        <v>0</v>
      </c>
      <c r="EK23">
        <v>620.625</v>
      </c>
      <c r="EL23">
        <v>0.10001</v>
      </c>
      <c r="EM23">
        <v>15690.5</v>
      </c>
      <c r="EN23">
        <v>16353.3</v>
      </c>
      <c r="EO23">
        <v>46.5</v>
      </c>
      <c r="EP23">
        <v>48.75</v>
      </c>
      <c r="EQ23">
        <v>48</v>
      </c>
      <c r="ER23">
        <v>47.5</v>
      </c>
      <c r="ES23">
        <v>48.125</v>
      </c>
      <c r="ET23">
        <v>1760.28</v>
      </c>
      <c r="EU23">
        <v>39.61</v>
      </c>
      <c r="EV23">
        <v>0</v>
      </c>
      <c r="EW23">
        <v>98.599999904632568</v>
      </c>
      <c r="EX23">
        <v>0</v>
      </c>
      <c r="EY23">
        <v>620.28576923076923</v>
      </c>
      <c r="EZ23">
        <v>-0.38290602995565309</v>
      </c>
      <c r="FA23">
        <v>96.352136733302601</v>
      </c>
      <c r="FB23">
        <v>15648.596153846151</v>
      </c>
      <c r="FC23">
        <v>15</v>
      </c>
      <c r="FD23">
        <v>1691161516.5</v>
      </c>
      <c r="FE23" t="s">
        <v>452</v>
      </c>
      <c r="FF23">
        <v>1691161504</v>
      </c>
      <c r="FG23">
        <v>1691161516.5</v>
      </c>
      <c r="FH23">
        <v>8</v>
      </c>
      <c r="FI23">
        <v>0.04</v>
      </c>
      <c r="FJ23">
        <v>0</v>
      </c>
      <c r="FK23">
        <v>1.7230000000000001</v>
      </c>
      <c r="FL23">
        <v>4.2000000000000003E-2</v>
      </c>
      <c r="FM23">
        <v>21</v>
      </c>
      <c r="FN23">
        <v>22</v>
      </c>
      <c r="FO23">
        <v>0.81</v>
      </c>
      <c r="FP23">
        <v>0.04</v>
      </c>
      <c r="FQ23">
        <v>0.7136084308141708</v>
      </c>
      <c r="FR23">
        <v>-0.1116084468010915</v>
      </c>
      <c r="FS23">
        <v>4.3494451174585128E-2</v>
      </c>
      <c r="FT23">
        <v>1</v>
      </c>
      <c r="FU23">
        <v>0.35495865589844572</v>
      </c>
      <c r="FV23">
        <v>4.6014858163999459E-2</v>
      </c>
      <c r="FW23">
        <v>5.3102496739268652E-3</v>
      </c>
      <c r="FX23">
        <v>1</v>
      </c>
      <c r="FY23">
        <v>2</v>
      </c>
      <c r="FZ23">
        <v>2</v>
      </c>
      <c r="GA23" t="s">
        <v>419</v>
      </c>
      <c r="GB23">
        <v>2.88585</v>
      </c>
      <c r="GC23">
        <v>2.8207800000000001</v>
      </c>
      <c r="GD23">
        <v>4.9009099999999996E-3</v>
      </c>
      <c r="GE23">
        <v>5.6706100000000004E-3</v>
      </c>
      <c r="GF23">
        <v>0.12803600000000001</v>
      </c>
      <c r="GG23">
        <v>0.109157</v>
      </c>
      <c r="GH23">
        <v>30602.7</v>
      </c>
      <c r="GI23">
        <v>28558.3</v>
      </c>
      <c r="GJ23">
        <v>28312.9</v>
      </c>
      <c r="GK23">
        <v>26976.5</v>
      </c>
      <c r="GL23">
        <v>34842.300000000003</v>
      </c>
      <c r="GM23">
        <v>33556.400000000001</v>
      </c>
      <c r="GN23">
        <v>41664</v>
      </c>
      <c r="GO23">
        <v>39026.1</v>
      </c>
      <c r="GP23">
        <v>2.0101</v>
      </c>
      <c r="GQ23">
        <v>1.712</v>
      </c>
      <c r="GR23">
        <v>-8.4340600000000002E-3</v>
      </c>
      <c r="GS23">
        <v>0</v>
      </c>
      <c r="GT23">
        <v>30.154800000000002</v>
      </c>
      <c r="GU23">
        <v>999.9</v>
      </c>
      <c r="GV23">
        <v>50.5</v>
      </c>
      <c r="GW23">
        <v>40.5</v>
      </c>
      <c r="GX23">
        <v>38.801900000000003</v>
      </c>
      <c r="GY23">
        <v>62.5105</v>
      </c>
      <c r="GZ23">
        <v>32.391800000000003</v>
      </c>
      <c r="HA23">
        <v>1</v>
      </c>
      <c r="HB23">
        <v>0.88985800000000004</v>
      </c>
      <c r="HC23">
        <v>4.4532800000000003</v>
      </c>
      <c r="HD23">
        <v>20.189</v>
      </c>
      <c r="HE23">
        <v>5.2065099999999997</v>
      </c>
      <c r="HF23">
        <v>11.997999999999999</v>
      </c>
      <c r="HG23">
        <v>4.9885999999999999</v>
      </c>
      <c r="HH23">
        <v>3.2909999999999999</v>
      </c>
      <c r="HI23">
        <v>9999</v>
      </c>
      <c r="HJ23">
        <v>9999</v>
      </c>
      <c r="HK23">
        <v>9999</v>
      </c>
      <c r="HL23">
        <v>999.9</v>
      </c>
      <c r="HM23">
        <v>1.86707</v>
      </c>
      <c r="HN23">
        <v>1.8672200000000001</v>
      </c>
      <c r="HO23">
        <v>1.86365</v>
      </c>
      <c r="HP23">
        <v>1.86487</v>
      </c>
      <c r="HQ23">
        <v>1.8644700000000001</v>
      </c>
      <c r="HR23">
        <v>1.86026</v>
      </c>
      <c r="HS23">
        <v>1.8634500000000001</v>
      </c>
      <c r="HT23">
        <v>1.8663000000000001</v>
      </c>
      <c r="HU23">
        <v>5</v>
      </c>
      <c r="HV23">
        <v>0</v>
      </c>
      <c r="HW23">
        <v>0</v>
      </c>
      <c r="HX23">
        <v>0</v>
      </c>
      <c r="HY23" t="s">
        <v>420</v>
      </c>
      <c r="HZ23" t="s">
        <v>421</v>
      </c>
      <c r="IA23" t="s">
        <v>422</v>
      </c>
      <c r="IB23" t="s">
        <v>422</v>
      </c>
      <c r="IC23" t="s">
        <v>422</v>
      </c>
      <c r="ID23" t="s">
        <v>422</v>
      </c>
      <c r="IE23">
        <v>0</v>
      </c>
      <c r="IF23">
        <v>100</v>
      </c>
      <c r="IG23">
        <v>100</v>
      </c>
      <c r="IH23">
        <v>1.7190000000000001</v>
      </c>
      <c r="II23">
        <v>0.15390000000000001</v>
      </c>
      <c r="IJ23">
        <v>1.6535571320393709</v>
      </c>
      <c r="IK23">
        <v>3.5576830062418229E-3</v>
      </c>
      <c r="IL23">
        <v>-2.2646740813029151E-6</v>
      </c>
      <c r="IM23">
        <v>6.9609298295988525E-10</v>
      </c>
      <c r="IN23">
        <v>-0.14917613787964221</v>
      </c>
      <c r="IO23">
        <v>-9.4437069492282083E-4</v>
      </c>
      <c r="IP23">
        <v>5.2900373165634467E-4</v>
      </c>
      <c r="IQ23">
        <v>-3.977656803091445E-6</v>
      </c>
      <c r="IR23">
        <v>2</v>
      </c>
      <c r="IS23">
        <v>1759</v>
      </c>
      <c r="IT23">
        <v>2</v>
      </c>
      <c r="IU23">
        <v>42</v>
      </c>
      <c r="IV23">
        <v>0.7</v>
      </c>
      <c r="IW23">
        <v>0.5</v>
      </c>
      <c r="IX23">
        <v>3.0517599999999999E-2</v>
      </c>
      <c r="IY23">
        <v>4.99634</v>
      </c>
      <c r="IZ23">
        <v>1.54297</v>
      </c>
      <c r="JA23">
        <v>2.3059099999999999</v>
      </c>
      <c r="JB23">
        <v>1.5466299999999999</v>
      </c>
      <c r="JC23">
        <v>2.3852500000000001</v>
      </c>
      <c r="JD23">
        <v>46.210799999999999</v>
      </c>
      <c r="JE23">
        <v>23.877400000000002</v>
      </c>
      <c r="JF23">
        <v>18</v>
      </c>
      <c r="JG23">
        <v>530.178</v>
      </c>
      <c r="JH23">
        <v>439.53699999999998</v>
      </c>
      <c r="JI23">
        <v>24.5898</v>
      </c>
      <c r="JJ23">
        <v>37.825499999999998</v>
      </c>
      <c r="JK23">
        <v>30.0001</v>
      </c>
      <c r="JL23">
        <v>38.209400000000002</v>
      </c>
      <c r="JM23">
        <v>38.186599999999999</v>
      </c>
      <c r="JN23">
        <v>0</v>
      </c>
      <c r="JO23">
        <v>50.165900000000001</v>
      </c>
      <c r="JP23">
        <v>0</v>
      </c>
      <c r="JQ23">
        <v>24.5962</v>
      </c>
      <c r="JR23">
        <v>10</v>
      </c>
      <c r="JS23">
        <v>22.214500000000001</v>
      </c>
      <c r="JT23">
        <v>98.7072</v>
      </c>
      <c r="JU23">
        <v>96.574299999999994</v>
      </c>
    </row>
    <row r="24" spans="1:281" x14ac:dyDescent="0.25">
      <c r="A24">
        <v>8</v>
      </c>
      <c r="B24">
        <v>1691161726.5</v>
      </c>
      <c r="C24">
        <v>815</v>
      </c>
      <c r="D24" t="s">
        <v>453</v>
      </c>
      <c r="E24" t="s">
        <v>454</v>
      </c>
      <c r="F24" t="s">
        <v>413</v>
      </c>
      <c r="G24">
        <v>1</v>
      </c>
      <c r="H24" t="s">
        <v>780</v>
      </c>
      <c r="I24">
        <v>1</v>
      </c>
      <c r="J24">
        <v>1691161726.5</v>
      </c>
      <c r="K24">
        <f t="shared" si="0"/>
        <v>5.0232643841340158E-3</v>
      </c>
      <c r="L24">
        <f t="shared" si="1"/>
        <v>5.0232643841340154</v>
      </c>
      <c r="M24">
        <f t="shared" si="2"/>
        <v>42.759362765538611</v>
      </c>
      <c r="N24">
        <f t="shared" si="3"/>
        <v>346.66399999999999</v>
      </c>
      <c r="O24">
        <f t="shared" si="4"/>
        <v>131.96528982475306</v>
      </c>
      <c r="P24">
        <f t="shared" si="5"/>
        <v>13.088705950632251</v>
      </c>
      <c r="Q24">
        <f t="shared" si="6"/>
        <v>34.383156098815995</v>
      </c>
      <c r="R24">
        <f t="shared" si="7"/>
        <v>0.34607132770423155</v>
      </c>
      <c r="S24">
        <f t="shared" si="8"/>
        <v>2.9094732052203423</v>
      </c>
      <c r="T24">
        <f t="shared" si="9"/>
        <v>0.3247210706750433</v>
      </c>
      <c r="U24">
        <f t="shared" si="10"/>
        <v>0.20475904797958611</v>
      </c>
      <c r="V24">
        <f t="shared" si="11"/>
        <v>344.35949998679604</v>
      </c>
      <c r="W24">
        <f t="shared" si="12"/>
        <v>30.845841363294067</v>
      </c>
      <c r="X24">
        <f t="shared" si="13"/>
        <v>30.0166</v>
      </c>
      <c r="Y24">
        <f t="shared" si="14"/>
        <v>4.2645137585708977</v>
      </c>
      <c r="Z24">
        <f t="shared" si="15"/>
        <v>64.919527093262815</v>
      </c>
      <c r="AA24">
        <f t="shared" si="16"/>
        <v>2.7847297638047999</v>
      </c>
      <c r="AB24">
        <f t="shared" si="17"/>
        <v>4.2895102421252727</v>
      </c>
      <c r="AC24">
        <f t="shared" si="18"/>
        <v>1.4797839947660978</v>
      </c>
      <c r="AD24">
        <f t="shared" si="19"/>
        <v>-221.5259593403101</v>
      </c>
      <c r="AE24">
        <f t="shared" si="20"/>
        <v>15.967891878975745</v>
      </c>
      <c r="AF24">
        <f t="shared" si="21"/>
        <v>1.2211317996822091</v>
      </c>
      <c r="AG24">
        <f t="shared" si="22"/>
        <v>140.02256432514389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51741.299811489451</v>
      </c>
      <c r="AM24" t="s">
        <v>414</v>
      </c>
      <c r="AN24">
        <v>10111.299999999999</v>
      </c>
      <c r="AO24">
        <v>608.58839999999998</v>
      </c>
      <c r="AP24">
        <v>2150.11</v>
      </c>
      <c r="AQ24">
        <f t="shared" si="26"/>
        <v>0.71695010952927984</v>
      </c>
      <c r="AR24">
        <v>-1.1786277417053079</v>
      </c>
      <c r="AS24" t="s">
        <v>455</v>
      </c>
      <c r="AT24">
        <v>8111.97</v>
      </c>
      <c r="AU24">
        <v>588.0308</v>
      </c>
      <c r="AV24">
        <v>883.92429881896919</v>
      </c>
      <c r="AW24">
        <f t="shared" si="27"/>
        <v>0.334749818750677</v>
      </c>
      <c r="AX24">
        <v>0.5</v>
      </c>
      <c r="AY24">
        <f t="shared" si="28"/>
        <v>1513.1126999933981</v>
      </c>
      <c r="AZ24">
        <f t="shared" si="29"/>
        <v>42.759362765538611</v>
      </c>
      <c r="BA24">
        <f t="shared" si="30"/>
        <v>253.25710103606875</v>
      </c>
      <c r="BB24">
        <f t="shared" si="31"/>
        <v>2.9038147989528886E-2</v>
      </c>
      <c r="BC24">
        <f t="shared" si="32"/>
        <v>1.4324594344479609</v>
      </c>
      <c r="BD24">
        <f t="shared" si="33"/>
        <v>433.01800734049493</v>
      </c>
      <c r="BE24" t="s">
        <v>456</v>
      </c>
      <c r="BF24">
        <v>476.05</v>
      </c>
      <c r="BG24">
        <f t="shared" si="34"/>
        <v>476.05</v>
      </c>
      <c r="BH24">
        <f t="shared" si="35"/>
        <v>0.46143578060241019</v>
      </c>
      <c r="BI24">
        <f t="shared" si="36"/>
        <v>0.72545266930461461</v>
      </c>
      <c r="BJ24">
        <f t="shared" si="37"/>
        <v>0.75635622449675088</v>
      </c>
      <c r="BK24">
        <f t="shared" si="38"/>
        <v>1.0746637110822821</v>
      </c>
      <c r="BL24">
        <f t="shared" si="39"/>
        <v>0.82138693429987031</v>
      </c>
      <c r="BM24">
        <f t="shared" si="40"/>
        <v>0.58730213319176783</v>
      </c>
      <c r="BN24">
        <f t="shared" si="41"/>
        <v>0.41269786680823217</v>
      </c>
      <c r="BO24">
        <v>6989</v>
      </c>
      <c r="BP24">
        <v>290.00000000000011</v>
      </c>
      <c r="BQ24">
        <v>755.56</v>
      </c>
      <c r="BR24">
        <v>275</v>
      </c>
      <c r="BS24">
        <v>8111.97</v>
      </c>
      <c r="BT24">
        <v>757.77</v>
      </c>
      <c r="BU24">
        <v>-2.21</v>
      </c>
      <c r="BV24">
        <v>300.00000000000011</v>
      </c>
      <c r="BW24">
        <v>19.2</v>
      </c>
      <c r="BX24">
        <v>883.92429881896919</v>
      </c>
      <c r="BY24">
        <v>3.7598896922217979</v>
      </c>
      <c r="BZ24">
        <v>-102.3366378221789</v>
      </c>
      <c r="CA24">
        <v>2.8027054412724892</v>
      </c>
      <c r="CB24">
        <v>0.97943047473377065</v>
      </c>
      <c r="CC24">
        <v>-4.1789377085650744E-3</v>
      </c>
      <c r="CD24">
        <v>289.99999999999989</v>
      </c>
      <c r="CE24">
        <v>744.47</v>
      </c>
      <c r="CF24">
        <v>615</v>
      </c>
      <c r="CG24">
        <v>8107.62</v>
      </c>
      <c r="CH24">
        <v>757.7</v>
      </c>
      <c r="CI24">
        <v>-13.23</v>
      </c>
      <c r="CW24">
        <f t="shared" si="42"/>
        <v>1799.91</v>
      </c>
      <c r="CX24">
        <f t="shared" si="43"/>
        <v>1513.1126999933981</v>
      </c>
      <c r="CY24">
        <f t="shared" si="44"/>
        <v>0.84066019967298256</v>
      </c>
      <c r="CZ24">
        <f t="shared" si="45"/>
        <v>0.19132039934596509</v>
      </c>
      <c r="DA24">
        <v>6</v>
      </c>
      <c r="DB24">
        <v>0.5</v>
      </c>
      <c r="DC24" t="s">
        <v>417</v>
      </c>
      <c r="DD24">
        <v>2</v>
      </c>
      <c r="DE24">
        <v>1691161726.5</v>
      </c>
      <c r="DF24">
        <v>346.66399999999999</v>
      </c>
      <c r="DG24">
        <v>400.04599999999999</v>
      </c>
      <c r="DH24">
        <v>28.076699999999999</v>
      </c>
      <c r="DI24">
        <v>22.220099999999999</v>
      </c>
      <c r="DJ24">
        <v>344.16399999999999</v>
      </c>
      <c r="DK24">
        <v>27.9269</v>
      </c>
      <c r="DL24">
        <v>500.17700000000002</v>
      </c>
      <c r="DM24">
        <v>99.082899999999995</v>
      </c>
      <c r="DN24">
        <v>0.10004399999999999</v>
      </c>
      <c r="DO24">
        <v>30.118400000000001</v>
      </c>
      <c r="DP24">
        <v>30.0166</v>
      </c>
      <c r="DQ24">
        <v>999.9</v>
      </c>
      <c r="DR24">
        <v>0</v>
      </c>
      <c r="DS24">
        <v>0</v>
      </c>
      <c r="DT24">
        <v>9977.5</v>
      </c>
      <c r="DU24">
        <v>0</v>
      </c>
      <c r="DV24">
        <v>1412.37</v>
      </c>
      <c r="DW24">
        <v>-53.381900000000002</v>
      </c>
      <c r="DX24">
        <v>356.678</v>
      </c>
      <c r="DY24">
        <v>409.137</v>
      </c>
      <c r="DZ24">
        <v>5.8565500000000004</v>
      </c>
      <c r="EA24">
        <v>400.04599999999999</v>
      </c>
      <c r="EB24">
        <v>22.220099999999999</v>
      </c>
      <c r="EC24">
        <v>2.7819199999999999</v>
      </c>
      <c r="ED24">
        <v>2.2016300000000002</v>
      </c>
      <c r="EE24">
        <v>22.777200000000001</v>
      </c>
      <c r="EF24">
        <v>18.9742</v>
      </c>
      <c r="EG24">
        <v>1799.91</v>
      </c>
      <c r="EH24">
        <v>0.977993</v>
      </c>
      <c r="EI24">
        <v>2.2006899999999999E-2</v>
      </c>
      <c r="EJ24">
        <v>0</v>
      </c>
      <c r="EK24">
        <v>586.375</v>
      </c>
      <c r="EL24">
        <v>0.10001</v>
      </c>
      <c r="EM24">
        <v>15087</v>
      </c>
      <c r="EN24">
        <v>16352.6</v>
      </c>
      <c r="EO24">
        <v>46.5</v>
      </c>
      <c r="EP24">
        <v>48.75</v>
      </c>
      <c r="EQ24">
        <v>47.936999999999998</v>
      </c>
      <c r="ER24">
        <v>47.561999999999998</v>
      </c>
      <c r="ES24">
        <v>48.186999999999998</v>
      </c>
      <c r="ET24">
        <v>1760.2</v>
      </c>
      <c r="EU24">
        <v>39.61</v>
      </c>
      <c r="EV24">
        <v>0</v>
      </c>
      <c r="EW24">
        <v>180</v>
      </c>
      <c r="EX24">
        <v>0</v>
      </c>
      <c r="EY24">
        <v>588.0308</v>
      </c>
      <c r="EZ24">
        <v>-6.8353846214499603</v>
      </c>
      <c r="FA24">
        <v>-47.015384609163981</v>
      </c>
      <c r="FB24">
        <v>15084.984</v>
      </c>
      <c r="FC24">
        <v>15</v>
      </c>
      <c r="FD24">
        <v>1691161643</v>
      </c>
      <c r="FE24" t="s">
        <v>457</v>
      </c>
      <c r="FF24">
        <v>1691161635.5</v>
      </c>
      <c r="FG24">
        <v>1691161643</v>
      </c>
      <c r="FH24">
        <v>9</v>
      </c>
      <c r="FI24">
        <v>-0.13700000000000001</v>
      </c>
      <c r="FJ24">
        <v>-1E-3</v>
      </c>
      <c r="FK24">
        <v>2.617</v>
      </c>
      <c r="FL24">
        <v>4.2000000000000003E-2</v>
      </c>
      <c r="FM24">
        <v>401</v>
      </c>
      <c r="FN24">
        <v>22</v>
      </c>
      <c r="FO24">
        <v>0.21</v>
      </c>
      <c r="FP24">
        <v>0.04</v>
      </c>
      <c r="FQ24">
        <v>42.589166576026827</v>
      </c>
      <c r="FR24">
        <v>0.63170997853592703</v>
      </c>
      <c r="FS24">
        <v>8.1416937220983185E-2</v>
      </c>
      <c r="FT24">
        <v>1</v>
      </c>
      <c r="FU24">
        <v>0.34660176426234479</v>
      </c>
      <c r="FV24">
        <v>-4.4035361871106564E-3</v>
      </c>
      <c r="FW24">
        <v>5.0395101328332993E-4</v>
      </c>
      <c r="FX24">
        <v>1</v>
      </c>
      <c r="FY24">
        <v>2</v>
      </c>
      <c r="FZ24">
        <v>2</v>
      </c>
      <c r="GA24" t="s">
        <v>419</v>
      </c>
      <c r="GB24">
        <v>2.88666</v>
      </c>
      <c r="GC24">
        <v>2.82104</v>
      </c>
      <c r="GD24">
        <v>7.7172699999999997E-2</v>
      </c>
      <c r="GE24">
        <v>8.7286000000000002E-2</v>
      </c>
      <c r="GF24">
        <v>0.127468</v>
      </c>
      <c r="GG24">
        <v>0.10906200000000001</v>
      </c>
      <c r="GH24">
        <v>28384.7</v>
      </c>
      <c r="GI24">
        <v>26217.1</v>
      </c>
      <c r="GJ24">
        <v>28313.599999999999</v>
      </c>
      <c r="GK24">
        <v>26975.5</v>
      </c>
      <c r="GL24">
        <v>34866.800000000003</v>
      </c>
      <c r="GM24">
        <v>33560.199999999997</v>
      </c>
      <c r="GN24">
        <v>41664.800000000003</v>
      </c>
      <c r="GO24">
        <v>39025</v>
      </c>
      <c r="GP24">
        <v>2.0106000000000002</v>
      </c>
      <c r="GQ24">
        <v>1.7110000000000001</v>
      </c>
      <c r="GR24">
        <v>-1.2517E-2</v>
      </c>
      <c r="GS24">
        <v>0</v>
      </c>
      <c r="GT24">
        <v>30.220199999999998</v>
      </c>
      <c r="GU24">
        <v>999.9</v>
      </c>
      <c r="GV24">
        <v>50.2</v>
      </c>
      <c r="GW24">
        <v>40.700000000000003</v>
      </c>
      <c r="GX24">
        <v>38.9908</v>
      </c>
      <c r="GY24">
        <v>62.610599999999998</v>
      </c>
      <c r="GZ24">
        <v>32.087299999999999</v>
      </c>
      <c r="HA24">
        <v>1</v>
      </c>
      <c r="HB24">
        <v>0.88910599999999995</v>
      </c>
      <c r="HC24">
        <v>4.1596500000000001</v>
      </c>
      <c r="HD24">
        <v>20.195799999999998</v>
      </c>
      <c r="HE24">
        <v>5.2100999999999997</v>
      </c>
      <c r="HF24">
        <v>11.997999999999999</v>
      </c>
      <c r="HG24">
        <v>4.9882</v>
      </c>
      <c r="HH24">
        <v>3.2909999999999999</v>
      </c>
      <c r="HI24">
        <v>9999</v>
      </c>
      <c r="HJ24">
        <v>9999</v>
      </c>
      <c r="HK24">
        <v>9999</v>
      </c>
      <c r="HL24">
        <v>999.9</v>
      </c>
      <c r="HM24">
        <v>1.86707</v>
      </c>
      <c r="HN24">
        <v>1.8671899999999999</v>
      </c>
      <c r="HO24">
        <v>1.86364</v>
      </c>
      <c r="HP24">
        <v>1.8647800000000001</v>
      </c>
      <c r="HQ24">
        <v>1.8644700000000001</v>
      </c>
      <c r="HR24">
        <v>1.8602000000000001</v>
      </c>
      <c r="HS24">
        <v>1.8634200000000001</v>
      </c>
      <c r="HT24">
        <v>1.8662799999999999</v>
      </c>
      <c r="HU24">
        <v>5</v>
      </c>
      <c r="HV24">
        <v>0</v>
      </c>
      <c r="HW24">
        <v>0</v>
      </c>
      <c r="HX24">
        <v>0</v>
      </c>
      <c r="HY24" t="s">
        <v>420</v>
      </c>
      <c r="HZ24" t="s">
        <v>421</v>
      </c>
      <c r="IA24" t="s">
        <v>422</v>
      </c>
      <c r="IB24" t="s">
        <v>422</v>
      </c>
      <c r="IC24" t="s">
        <v>422</v>
      </c>
      <c r="ID24" t="s">
        <v>422</v>
      </c>
      <c r="IE24">
        <v>0</v>
      </c>
      <c r="IF24">
        <v>100</v>
      </c>
      <c r="IG24">
        <v>100</v>
      </c>
      <c r="IH24">
        <v>2.5</v>
      </c>
      <c r="II24">
        <v>0.14979999999999999</v>
      </c>
      <c r="IJ24">
        <v>1.516010170323866</v>
      </c>
      <c r="IK24">
        <v>3.5576830062418229E-3</v>
      </c>
      <c r="IL24">
        <v>-2.2646740813029151E-6</v>
      </c>
      <c r="IM24">
        <v>6.9609298295988525E-10</v>
      </c>
      <c r="IN24">
        <v>-0.1497554219113342</v>
      </c>
      <c r="IO24">
        <v>-9.4437069492282083E-4</v>
      </c>
      <c r="IP24">
        <v>5.2900373165634467E-4</v>
      </c>
      <c r="IQ24">
        <v>-3.977656803091445E-6</v>
      </c>
      <c r="IR24">
        <v>2</v>
      </c>
      <c r="IS24">
        <v>1759</v>
      </c>
      <c r="IT24">
        <v>2</v>
      </c>
      <c r="IU24">
        <v>42</v>
      </c>
      <c r="IV24">
        <v>1.5</v>
      </c>
      <c r="IW24">
        <v>1.4</v>
      </c>
      <c r="IX24">
        <v>0.98022500000000001</v>
      </c>
      <c r="IY24">
        <v>2.4145500000000002</v>
      </c>
      <c r="IZ24">
        <v>1.54297</v>
      </c>
      <c r="JA24">
        <v>2.3059099999999999</v>
      </c>
      <c r="JB24">
        <v>1.5466299999999999</v>
      </c>
      <c r="JC24">
        <v>2.4377399999999998</v>
      </c>
      <c r="JD24">
        <v>46.590800000000002</v>
      </c>
      <c r="JE24">
        <v>23.877400000000002</v>
      </c>
      <c r="JF24">
        <v>18</v>
      </c>
      <c r="JG24">
        <v>530.64400000000001</v>
      </c>
      <c r="JH24">
        <v>439.01100000000002</v>
      </c>
      <c r="JI24">
        <v>24.813199999999998</v>
      </c>
      <c r="JJ24">
        <v>37.857900000000001</v>
      </c>
      <c r="JK24">
        <v>30</v>
      </c>
      <c r="JL24">
        <v>38.227499999999999</v>
      </c>
      <c r="JM24">
        <v>38.208300000000001</v>
      </c>
      <c r="JN24">
        <v>19.7392</v>
      </c>
      <c r="JO24">
        <v>50.1295</v>
      </c>
      <c r="JP24">
        <v>0</v>
      </c>
      <c r="JQ24">
        <v>24.8127</v>
      </c>
      <c r="JR24">
        <v>400</v>
      </c>
      <c r="JS24">
        <v>22.240500000000001</v>
      </c>
      <c r="JT24">
        <v>98.709400000000002</v>
      </c>
      <c r="JU24">
        <v>96.571299999999994</v>
      </c>
    </row>
    <row r="25" spans="1:281" x14ac:dyDescent="0.25">
      <c r="A25">
        <v>9</v>
      </c>
      <c r="B25">
        <v>1691161842</v>
      </c>
      <c r="C25">
        <v>930.5</v>
      </c>
      <c r="D25" t="s">
        <v>458</v>
      </c>
      <c r="E25" t="s">
        <v>459</v>
      </c>
      <c r="F25" t="s">
        <v>413</v>
      </c>
      <c r="G25">
        <v>1</v>
      </c>
      <c r="H25" t="s">
        <v>780</v>
      </c>
      <c r="I25">
        <v>1</v>
      </c>
      <c r="J25">
        <v>1691161842</v>
      </c>
      <c r="K25">
        <f t="shared" si="0"/>
        <v>4.9557518152162942E-3</v>
      </c>
      <c r="L25">
        <f t="shared" si="1"/>
        <v>4.9557518152162938</v>
      </c>
      <c r="M25">
        <f t="shared" si="2"/>
        <v>44.816470390039555</v>
      </c>
      <c r="N25">
        <f t="shared" si="3"/>
        <v>344.19799999999998</v>
      </c>
      <c r="O25">
        <f t="shared" si="4"/>
        <v>117.83426175294561</v>
      </c>
      <c r="P25">
        <f t="shared" si="5"/>
        <v>11.686959648631962</v>
      </c>
      <c r="Q25">
        <f t="shared" si="6"/>
        <v>34.138017901565597</v>
      </c>
      <c r="R25">
        <f t="shared" si="7"/>
        <v>0.34293659168310059</v>
      </c>
      <c r="S25">
        <f t="shared" si="8"/>
        <v>2.9203803593444211</v>
      </c>
      <c r="T25">
        <f t="shared" si="9"/>
        <v>0.3220320133843389</v>
      </c>
      <c r="U25">
        <f t="shared" si="10"/>
        <v>0.2030419242759301</v>
      </c>
      <c r="V25">
        <f t="shared" si="11"/>
        <v>344.34809998679555</v>
      </c>
      <c r="W25">
        <f t="shared" si="12"/>
        <v>30.845228676284975</v>
      </c>
      <c r="X25">
        <f t="shared" si="13"/>
        <v>30.0366</v>
      </c>
      <c r="Y25">
        <f t="shared" si="14"/>
        <v>4.2694146143133453</v>
      </c>
      <c r="Z25">
        <f t="shared" si="15"/>
        <v>65.275394454573274</v>
      </c>
      <c r="AA25">
        <f t="shared" si="16"/>
        <v>2.7974889607957603</v>
      </c>
      <c r="AB25">
        <f t="shared" si="17"/>
        <v>4.2856714757083552</v>
      </c>
      <c r="AC25">
        <f t="shared" si="18"/>
        <v>1.4719256535175851</v>
      </c>
      <c r="AD25">
        <f t="shared" si="19"/>
        <v>-218.54865505103857</v>
      </c>
      <c r="AE25">
        <f t="shared" si="20"/>
        <v>10.422762740762803</v>
      </c>
      <c r="AF25">
        <f t="shared" si="21"/>
        <v>0.79411281229254571</v>
      </c>
      <c r="AG25">
        <f t="shared" si="22"/>
        <v>137.01632048881234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52054.210723395423</v>
      </c>
      <c r="AM25" t="s">
        <v>414</v>
      </c>
      <c r="AN25">
        <v>10111.299999999999</v>
      </c>
      <c r="AO25">
        <v>608.58839999999998</v>
      </c>
      <c r="AP25">
        <v>2150.11</v>
      </c>
      <c r="AQ25">
        <f t="shared" si="26"/>
        <v>0.71695010952927984</v>
      </c>
      <c r="AR25">
        <v>-1.1786277417053079</v>
      </c>
      <c r="AS25" t="s">
        <v>460</v>
      </c>
      <c r="AT25">
        <v>8111.7</v>
      </c>
      <c r="AU25">
        <v>599.86720000000003</v>
      </c>
      <c r="AV25">
        <v>912.00310474943365</v>
      </c>
      <c r="AW25">
        <f t="shared" si="27"/>
        <v>0.34225311638077238</v>
      </c>
      <c r="AX25">
        <v>0.5</v>
      </c>
      <c r="AY25">
        <f t="shared" si="28"/>
        <v>1513.0622999933976</v>
      </c>
      <c r="AZ25">
        <f t="shared" si="29"/>
        <v>44.816470390039555</v>
      </c>
      <c r="BA25">
        <f t="shared" si="30"/>
        <v>258.92514372549971</v>
      </c>
      <c r="BB25">
        <f t="shared" si="31"/>
        <v>3.0398680961085056E-2</v>
      </c>
      <c r="BC25">
        <f t="shared" si="32"/>
        <v>1.3575687284427915</v>
      </c>
      <c r="BD25">
        <f t="shared" si="33"/>
        <v>439.64901155496432</v>
      </c>
      <c r="BE25" t="s">
        <v>461</v>
      </c>
      <c r="BF25">
        <v>491.35</v>
      </c>
      <c r="BG25">
        <f t="shared" si="34"/>
        <v>491.35</v>
      </c>
      <c r="BH25">
        <f t="shared" si="35"/>
        <v>0.4612408692018708</v>
      </c>
      <c r="BI25">
        <f t="shared" si="36"/>
        <v>0.74202686542718044</v>
      </c>
      <c r="BJ25">
        <f t="shared" si="37"/>
        <v>0.74640508286344409</v>
      </c>
      <c r="BK25">
        <f t="shared" si="38"/>
        <v>1.0287434981346804</v>
      </c>
      <c r="BL25">
        <f t="shared" si="39"/>
        <v>0.80317194079574794</v>
      </c>
      <c r="BM25">
        <f t="shared" si="40"/>
        <v>0.60779269199523678</v>
      </c>
      <c r="BN25">
        <f t="shared" si="41"/>
        <v>0.39220730800476322</v>
      </c>
      <c r="BO25">
        <v>6991</v>
      </c>
      <c r="BP25">
        <v>290.00000000000011</v>
      </c>
      <c r="BQ25">
        <v>787.37</v>
      </c>
      <c r="BR25">
        <v>285</v>
      </c>
      <c r="BS25">
        <v>8111.7</v>
      </c>
      <c r="BT25">
        <v>788.95</v>
      </c>
      <c r="BU25">
        <v>-1.58</v>
      </c>
      <c r="BV25">
        <v>300.00000000000011</v>
      </c>
      <c r="BW25">
        <v>19.2</v>
      </c>
      <c r="BX25">
        <v>912.00310474943365</v>
      </c>
      <c r="BY25">
        <v>2.7243972154317611</v>
      </c>
      <c r="BZ25">
        <v>-99.818644318338372</v>
      </c>
      <c r="CA25">
        <v>2.0308400670228788</v>
      </c>
      <c r="CB25">
        <v>0.98854271847326158</v>
      </c>
      <c r="CC25">
        <v>-4.1789899888765346E-3</v>
      </c>
      <c r="CD25">
        <v>289.99999999999989</v>
      </c>
      <c r="CE25">
        <v>777.49</v>
      </c>
      <c r="CF25">
        <v>625</v>
      </c>
      <c r="CG25">
        <v>8107.45</v>
      </c>
      <c r="CH25">
        <v>788.88</v>
      </c>
      <c r="CI25">
        <v>-11.39</v>
      </c>
      <c r="CW25">
        <f t="shared" si="42"/>
        <v>1799.85</v>
      </c>
      <c r="CX25">
        <f t="shared" si="43"/>
        <v>1513.0622999933976</v>
      </c>
      <c r="CY25">
        <f t="shared" si="44"/>
        <v>0.84066022168147214</v>
      </c>
      <c r="CZ25">
        <f t="shared" si="45"/>
        <v>0.19132044336294446</v>
      </c>
      <c r="DA25">
        <v>6</v>
      </c>
      <c r="DB25">
        <v>0.5</v>
      </c>
      <c r="DC25" t="s">
        <v>417</v>
      </c>
      <c r="DD25">
        <v>2</v>
      </c>
      <c r="DE25">
        <v>1691161842</v>
      </c>
      <c r="DF25">
        <v>344.19799999999998</v>
      </c>
      <c r="DG25">
        <v>399.99700000000001</v>
      </c>
      <c r="DH25">
        <v>28.2058</v>
      </c>
      <c r="DI25">
        <v>22.429500000000001</v>
      </c>
      <c r="DJ25">
        <v>341.774</v>
      </c>
      <c r="DK25">
        <v>28.052499999999998</v>
      </c>
      <c r="DL25">
        <v>500.24799999999999</v>
      </c>
      <c r="DM25">
        <v>99.081900000000005</v>
      </c>
      <c r="DN25">
        <v>9.9437200000000003E-2</v>
      </c>
      <c r="DO25">
        <v>30.102799999999998</v>
      </c>
      <c r="DP25">
        <v>30.0366</v>
      </c>
      <c r="DQ25">
        <v>999.9</v>
      </c>
      <c r="DR25">
        <v>0</v>
      </c>
      <c r="DS25">
        <v>0</v>
      </c>
      <c r="DT25">
        <v>10040</v>
      </c>
      <c r="DU25">
        <v>0</v>
      </c>
      <c r="DV25">
        <v>1417.03</v>
      </c>
      <c r="DW25">
        <v>-55.7988</v>
      </c>
      <c r="DX25">
        <v>354.18799999999999</v>
      </c>
      <c r="DY25">
        <v>409.17399999999998</v>
      </c>
      <c r="DZ25">
        <v>5.7762900000000004</v>
      </c>
      <c r="EA25">
        <v>399.99700000000001</v>
      </c>
      <c r="EB25">
        <v>22.429500000000001</v>
      </c>
      <c r="EC25">
        <v>2.7946900000000001</v>
      </c>
      <c r="ED25">
        <v>2.2223600000000001</v>
      </c>
      <c r="EE25">
        <v>22.852699999999999</v>
      </c>
      <c r="EF25">
        <v>19.124400000000001</v>
      </c>
      <c r="EG25">
        <v>1799.85</v>
      </c>
      <c r="EH25">
        <v>0.977993</v>
      </c>
      <c r="EI25">
        <v>2.2006899999999999E-2</v>
      </c>
      <c r="EJ25">
        <v>0</v>
      </c>
      <c r="EK25">
        <v>599.31500000000005</v>
      </c>
      <c r="EL25">
        <v>0.10001</v>
      </c>
      <c r="EM25">
        <v>15328.9</v>
      </c>
      <c r="EN25">
        <v>16352.1</v>
      </c>
      <c r="EO25">
        <v>46.561999999999998</v>
      </c>
      <c r="EP25">
        <v>48.811999999999998</v>
      </c>
      <c r="EQ25">
        <v>48</v>
      </c>
      <c r="ER25">
        <v>47.561999999999998</v>
      </c>
      <c r="ES25">
        <v>48.186999999999998</v>
      </c>
      <c r="ET25">
        <v>1760.14</v>
      </c>
      <c r="EU25">
        <v>39.61</v>
      </c>
      <c r="EV25">
        <v>0</v>
      </c>
      <c r="EW25">
        <v>113.5999999046326</v>
      </c>
      <c r="EX25">
        <v>0</v>
      </c>
      <c r="EY25">
        <v>599.86720000000003</v>
      </c>
      <c r="EZ25">
        <v>-0.71461534407215788</v>
      </c>
      <c r="FA25">
        <v>216.3846151033637</v>
      </c>
      <c r="FB25">
        <v>15310.992</v>
      </c>
      <c r="FC25">
        <v>15</v>
      </c>
      <c r="FD25">
        <v>1691161813.5</v>
      </c>
      <c r="FE25" t="s">
        <v>462</v>
      </c>
      <c r="FF25">
        <v>1691161813.5</v>
      </c>
      <c r="FG25">
        <v>1691161812.5</v>
      </c>
      <c r="FH25">
        <v>10</v>
      </c>
      <c r="FI25">
        <v>-7.0999999999999994E-2</v>
      </c>
      <c r="FJ25">
        <v>1E-3</v>
      </c>
      <c r="FK25">
        <v>2.5449999999999999</v>
      </c>
      <c r="FL25">
        <v>4.8000000000000001E-2</v>
      </c>
      <c r="FM25">
        <v>400</v>
      </c>
      <c r="FN25">
        <v>22</v>
      </c>
      <c r="FO25">
        <v>0.13</v>
      </c>
      <c r="FP25">
        <v>0.02</v>
      </c>
      <c r="FQ25">
        <v>44.774546091290141</v>
      </c>
      <c r="FR25">
        <v>-4.7170889242905169E-2</v>
      </c>
      <c r="FS25">
        <v>0.1021269149852049</v>
      </c>
      <c r="FT25">
        <v>1</v>
      </c>
      <c r="FU25">
        <v>0.3446424645142675</v>
      </c>
      <c r="FV25">
        <v>1.0442573047752569E-2</v>
      </c>
      <c r="FW25">
        <v>4.2862823930779788E-3</v>
      </c>
      <c r="FX25">
        <v>1</v>
      </c>
      <c r="FY25">
        <v>2</v>
      </c>
      <c r="FZ25">
        <v>2</v>
      </c>
      <c r="GA25" t="s">
        <v>419</v>
      </c>
      <c r="GB25">
        <v>2.88679</v>
      </c>
      <c r="GC25">
        <v>2.8209900000000001</v>
      </c>
      <c r="GD25">
        <v>7.6741699999999996E-2</v>
      </c>
      <c r="GE25">
        <v>8.72753E-2</v>
      </c>
      <c r="GF25">
        <v>0.127857</v>
      </c>
      <c r="GG25">
        <v>0.10977099999999999</v>
      </c>
      <c r="GH25">
        <v>28395.3</v>
      </c>
      <c r="GI25">
        <v>26215</v>
      </c>
      <c r="GJ25">
        <v>28311.1</v>
      </c>
      <c r="GK25">
        <v>26973.1</v>
      </c>
      <c r="GL25">
        <v>34849</v>
      </c>
      <c r="GM25">
        <v>33530.800000000003</v>
      </c>
      <c r="GN25">
        <v>41662</v>
      </c>
      <c r="GO25">
        <v>39021.699999999997</v>
      </c>
      <c r="GP25">
        <v>2.0104000000000002</v>
      </c>
      <c r="GQ25">
        <v>1.7092000000000001</v>
      </c>
      <c r="GR25">
        <v>-1.27405E-2</v>
      </c>
      <c r="GS25">
        <v>0</v>
      </c>
      <c r="GT25">
        <v>30.2439</v>
      </c>
      <c r="GU25">
        <v>999.9</v>
      </c>
      <c r="GV25">
        <v>49.9</v>
      </c>
      <c r="GW25">
        <v>40.9</v>
      </c>
      <c r="GX25">
        <v>39.170999999999999</v>
      </c>
      <c r="GY25">
        <v>62.380600000000001</v>
      </c>
      <c r="GZ25">
        <v>31.814900000000002</v>
      </c>
      <c r="HA25">
        <v>1</v>
      </c>
      <c r="HB25">
        <v>0.89423799999999998</v>
      </c>
      <c r="HC25">
        <v>4.5996899999999998</v>
      </c>
      <c r="HD25">
        <v>20.185300000000002</v>
      </c>
      <c r="HE25">
        <v>5.2095000000000002</v>
      </c>
      <c r="HF25">
        <v>11.997999999999999</v>
      </c>
      <c r="HG25">
        <v>4.9889999999999999</v>
      </c>
      <c r="HH25">
        <v>3.2909999999999999</v>
      </c>
      <c r="HI25">
        <v>9999</v>
      </c>
      <c r="HJ25">
        <v>9999</v>
      </c>
      <c r="HK25">
        <v>9999</v>
      </c>
      <c r="HL25">
        <v>999.9</v>
      </c>
      <c r="HM25">
        <v>1.8671</v>
      </c>
      <c r="HN25">
        <v>1.8672200000000001</v>
      </c>
      <c r="HO25">
        <v>1.86368</v>
      </c>
      <c r="HP25">
        <v>1.86486</v>
      </c>
      <c r="HQ25">
        <v>1.8644700000000001</v>
      </c>
      <c r="HR25">
        <v>1.8603099999999999</v>
      </c>
      <c r="HS25">
        <v>1.8634599999999999</v>
      </c>
      <c r="HT25">
        <v>1.8663000000000001</v>
      </c>
      <c r="HU25">
        <v>5</v>
      </c>
      <c r="HV25">
        <v>0</v>
      </c>
      <c r="HW25">
        <v>0</v>
      </c>
      <c r="HX25">
        <v>0</v>
      </c>
      <c r="HY25" t="s">
        <v>420</v>
      </c>
      <c r="HZ25" t="s">
        <v>421</v>
      </c>
      <c r="IA25" t="s">
        <v>422</v>
      </c>
      <c r="IB25" t="s">
        <v>422</v>
      </c>
      <c r="IC25" t="s">
        <v>422</v>
      </c>
      <c r="ID25" t="s">
        <v>422</v>
      </c>
      <c r="IE25">
        <v>0</v>
      </c>
      <c r="IF25">
        <v>100</v>
      </c>
      <c r="IG25">
        <v>100</v>
      </c>
      <c r="IH25">
        <v>2.4239999999999999</v>
      </c>
      <c r="II25">
        <v>0.15329999999999999</v>
      </c>
      <c r="IJ25">
        <v>1.445018192160763</v>
      </c>
      <c r="IK25">
        <v>3.5576830062418229E-3</v>
      </c>
      <c r="IL25">
        <v>-2.2646740813029151E-6</v>
      </c>
      <c r="IM25">
        <v>6.9609298295988525E-10</v>
      </c>
      <c r="IN25">
        <v>-0.14871585110749</v>
      </c>
      <c r="IO25">
        <v>-9.4437069492282083E-4</v>
      </c>
      <c r="IP25">
        <v>5.2900373165634467E-4</v>
      </c>
      <c r="IQ25">
        <v>-3.977656803091445E-6</v>
      </c>
      <c r="IR25">
        <v>2</v>
      </c>
      <c r="IS25">
        <v>1759</v>
      </c>
      <c r="IT25">
        <v>2</v>
      </c>
      <c r="IU25">
        <v>42</v>
      </c>
      <c r="IV25">
        <v>0.5</v>
      </c>
      <c r="IW25">
        <v>0.5</v>
      </c>
      <c r="IX25">
        <v>0.97900399999999999</v>
      </c>
      <c r="IY25">
        <v>2.4194300000000002</v>
      </c>
      <c r="IZ25">
        <v>1.54297</v>
      </c>
      <c r="JA25">
        <v>2.3059099999999999</v>
      </c>
      <c r="JB25">
        <v>1.5466299999999999</v>
      </c>
      <c r="JC25">
        <v>2.4218799999999998</v>
      </c>
      <c r="JD25">
        <v>46.8264</v>
      </c>
      <c r="JE25">
        <v>23.868600000000001</v>
      </c>
      <c r="JF25">
        <v>18</v>
      </c>
      <c r="JG25">
        <v>530.65499999999997</v>
      </c>
      <c r="JH25">
        <v>437.92599999999999</v>
      </c>
      <c r="JI25">
        <v>24.663399999999999</v>
      </c>
      <c r="JJ25">
        <v>37.875999999999998</v>
      </c>
      <c r="JK25">
        <v>30.001300000000001</v>
      </c>
      <c r="JL25">
        <v>38.245699999999999</v>
      </c>
      <c r="JM25">
        <v>38.226300000000002</v>
      </c>
      <c r="JN25">
        <v>19.713100000000001</v>
      </c>
      <c r="JO25">
        <v>50.044899999999998</v>
      </c>
      <c r="JP25">
        <v>0</v>
      </c>
      <c r="JQ25">
        <v>24.645299999999999</v>
      </c>
      <c r="JR25">
        <v>400</v>
      </c>
      <c r="JS25">
        <v>22.388200000000001</v>
      </c>
      <c r="JT25">
        <v>98.701800000000006</v>
      </c>
      <c r="JU25">
        <v>96.562899999999999</v>
      </c>
    </row>
    <row r="26" spans="1:281" x14ac:dyDescent="0.25">
      <c r="A26">
        <v>10</v>
      </c>
      <c r="B26">
        <v>1691161941.5</v>
      </c>
      <c r="C26">
        <v>1030</v>
      </c>
      <c r="D26" t="s">
        <v>463</v>
      </c>
      <c r="E26" t="s">
        <v>464</v>
      </c>
      <c r="F26" t="s">
        <v>413</v>
      </c>
      <c r="G26">
        <v>1</v>
      </c>
      <c r="H26" t="s">
        <v>780</v>
      </c>
      <c r="I26">
        <v>1</v>
      </c>
      <c r="J26">
        <v>1691161941.5</v>
      </c>
      <c r="K26">
        <f t="shared" si="0"/>
        <v>4.7977907312702125E-3</v>
      </c>
      <c r="L26">
        <f t="shared" si="1"/>
        <v>4.7977907312702124</v>
      </c>
      <c r="M26">
        <f t="shared" si="2"/>
        <v>52.148280398215839</v>
      </c>
      <c r="N26">
        <f t="shared" si="3"/>
        <v>434.98399999999998</v>
      </c>
      <c r="O26">
        <f t="shared" si="4"/>
        <v>164.36334622320496</v>
      </c>
      <c r="P26">
        <f t="shared" si="5"/>
        <v>16.300366687790813</v>
      </c>
      <c r="Q26">
        <f t="shared" si="6"/>
        <v>43.138563835840003</v>
      </c>
      <c r="R26">
        <f t="shared" si="7"/>
        <v>0.33404824875910361</v>
      </c>
      <c r="S26">
        <f t="shared" si="8"/>
        <v>2.9097276135240624</v>
      </c>
      <c r="T26">
        <f t="shared" si="9"/>
        <v>0.31411148450621051</v>
      </c>
      <c r="U26">
        <f t="shared" si="10"/>
        <v>0.19801168617999715</v>
      </c>
      <c r="V26">
        <f t="shared" si="11"/>
        <v>344.34999998679564</v>
      </c>
      <c r="W26">
        <f t="shared" si="12"/>
        <v>30.834346565806339</v>
      </c>
      <c r="X26">
        <f t="shared" si="13"/>
        <v>30.0014</v>
      </c>
      <c r="Y26">
        <f t="shared" si="14"/>
        <v>4.2607923878676965</v>
      </c>
      <c r="Z26">
        <f t="shared" si="15"/>
        <v>65.537938065609296</v>
      </c>
      <c r="AA26">
        <f t="shared" si="16"/>
        <v>2.7999346158040002</v>
      </c>
      <c r="AB26">
        <f t="shared" si="17"/>
        <v>4.2722348283234313</v>
      </c>
      <c r="AC26">
        <f t="shared" si="18"/>
        <v>1.4608577720636964</v>
      </c>
      <c r="AD26">
        <f t="shared" si="19"/>
        <v>-211.58257124901638</v>
      </c>
      <c r="AE26">
        <f t="shared" si="20"/>
        <v>7.3257932791846452</v>
      </c>
      <c r="AF26">
        <f t="shared" si="21"/>
        <v>0.55994818223079845</v>
      </c>
      <c r="AG26">
        <f t="shared" si="22"/>
        <v>140.6531701991947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51760.313168761801</v>
      </c>
      <c r="AM26" t="s">
        <v>414</v>
      </c>
      <c r="AN26">
        <v>10111.299999999999</v>
      </c>
      <c r="AO26">
        <v>608.58839999999998</v>
      </c>
      <c r="AP26">
        <v>2150.11</v>
      </c>
      <c r="AQ26">
        <f t="shared" si="26"/>
        <v>0.71695010952927984</v>
      </c>
      <c r="AR26">
        <v>-1.1786277417053079</v>
      </c>
      <c r="AS26" t="s">
        <v>465</v>
      </c>
      <c r="AT26">
        <v>8111.84</v>
      </c>
      <c r="AU26">
        <v>630.75479999999993</v>
      </c>
      <c r="AV26">
        <v>1008.0676730309719</v>
      </c>
      <c r="AW26">
        <f t="shared" si="27"/>
        <v>0.37429319789265714</v>
      </c>
      <c r="AX26">
        <v>0.5</v>
      </c>
      <c r="AY26">
        <f t="shared" si="28"/>
        <v>1513.0706999933977</v>
      </c>
      <c r="AZ26">
        <f t="shared" si="29"/>
        <v>52.148280398215839</v>
      </c>
      <c r="BA26">
        <f t="shared" si="30"/>
        <v>283.16603546910505</v>
      </c>
      <c r="BB26">
        <f t="shared" si="31"/>
        <v>3.5244161518793428E-2</v>
      </c>
      <c r="BC26">
        <f t="shared" si="32"/>
        <v>1.1329024405030594</v>
      </c>
      <c r="BD26">
        <f t="shared" si="33"/>
        <v>460.81864684464432</v>
      </c>
      <c r="BE26" t="s">
        <v>466</v>
      </c>
      <c r="BF26">
        <v>493.59</v>
      </c>
      <c r="BG26">
        <f t="shared" si="34"/>
        <v>493.59</v>
      </c>
      <c r="BH26">
        <f t="shared" si="35"/>
        <v>0.51036025337870861</v>
      </c>
      <c r="BI26">
        <f t="shared" si="36"/>
        <v>0.73339017961282338</v>
      </c>
      <c r="BJ26">
        <f t="shared" si="37"/>
        <v>0.68942260097615971</v>
      </c>
      <c r="BK26">
        <f t="shared" si="38"/>
        <v>0.94451176444821117</v>
      </c>
      <c r="BL26">
        <f t="shared" si="39"/>
        <v>0.7408539244400002</v>
      </c>
      <c r="BM26">
        <f t="shared" si="40"/>
        <v>0.5739061498304785</v>
      </c>
      <c r="BN26">
        <f t="shared" si="41"/>
        <v>0.4260938501695215</v>
      </c>
      <c r="BO26">
        <v>6993</v>
      </c>
      <c r="BP26">
        <v>290.00000000000011</v>
      </c>
      <c r="BQ26">
        <v>865.4</v>
      </c>
      <c r="BR26">
        <v>295</v>
      </c>
      <c r="BS26">
        <v>8111.84</v>
      </c>
      <c r="BT26">
        <v>867.63</v>
      </c>
      <c r="BU26">
        <v>-2.23</v>
      </c>
      <c r="BV26">
        <v>300.00000000000011</v>
      </c>
      <c r="BW26">
        <v>19.2</v>
      </c>
      <c r="BX26">
        <v>1008.0676730309719</v>
      </c>
      <c r="BY26">
        <v>4.3955406148050331</v>
      </c>
      <c r="BZ26">
        <v>-113.922087467049</v>
      </c>
      <c r="CA26">
        <v>3.2766061142935201</v>
      </c>
      <c r="CB26">
        <v>0.97736159082141083</v>
      </c>
      <c r="CC26">
        <v>-4.1792037819799767E-3</v>
      </c>
      <c r="CD26">
        <v>289.99999999999989</v>
      </c>
      <c r="CE26">
        <v>856.22</v>
      </c>
      <c r="CF26">
        <v>645</v>
      </c>
      <c r="CG26">
        <v>8107.12</v>
      </c>
      <c r="CH26">
        <v>867.55</v>
      </c>
      <c r="CI26">
        <v>-11.33</v>
      </c>
      <c r="CW26">
        <f t="shared" si="42"/>
        <v>1799.86</v>
      </c>
      <c r="CX26">
        <f t="shared" si="43"/>
        <v>1513.0706999933977</v>
      </c>
      <c r="CY26">
        <f t="shared" si="44"/>
        <v>0.84066021801328872</v>
      </c>
      <c r="CZ26">
        <f t="shared" si="45"/>
        <v>0.19132043602657745</v>
      </c>
      <c r="DA26">
        <v>6</v>
      </c>
      <c r="DB26">
        <v>0.5</v>
      </c>
      <c r="DC26" t="s">
        <v>417</v>
      </c>
      <c r="DD26">
        <v>2</v>
      </c>
      <c r="DE26">
        <v>1691161941.5</v>
      </c>
      <c r="DF26">
        <v>434.98399999999998</v>
      </c>
      <c r="DG26">
        <v>500.04300000000001</v>
      </c>
      <c r="DH26">
        <v>28.232900000000001</v>
      </c>
      <c r="DI26">
        <v>22.6401</v>
      </c>
      <c r="DJ26">
        <v>432.49700000000001</v>
      </c>
      <c r="DK26">
        <v>28.082899999999999</v>
      </c>
      <c r="DL26">
        <v>500.17899999999997</v>
      </c>
      <c r="DM26">
        <v>99.072500000000005</v>
      </c>
      <c r="DN26">
        <v>0.10026</v>
      </c>
      <c r="DO26">
        <v>30.048100000000002</v>
      </c>
      <c r="DP26">
        <v>30.0014</v>
      </c>
      <c r="DQ26">
        <v>999.9</v>
      </c>
      <c r="DR26">
        <v>0</v>
      </c>
      <c r="DS26">
        <v>0</v>
      </c>
      <c r="DT26">
        <v>9980</v>
      </c>
      <c r="DU26">
        <v>0</v>
      </c>
      <c r="DV26">
        <v>1423.51</v>
      </c>
      <c r="DW26">
        <v>-65.058300000000003</v>
      </c>
      <c r="DX26">
        <v>447.62200000000001</v>
      </c>
      <c r="DY26">
        <v>511.62599999999998</v>
      </c>
      <c r="DZ26">
        <v>5.5927800000000003</v>
      </c>
      <c r="EA26">
        <v>500.04300000000001</v>
      </c>
      <c r="EB26">
        <v>22.6401</v>
      </c>
      <c r="EC26">
        <v>2.7970999999999999</v>
      </c>
      <c r="ED26">
        <v>2.2430099999999999</v>
      </c>
      <c r="EE26">
        <v>22.867000000000001</v>
      </c>
      <c r="EF26">
        <v>19.2729</v>
      </c>
      <c r="EG26">
        <v>1799.86</v>
      </c>
      <c r="EH26">
        <v>0.977993</v>
      </c>
      <c r="EI26">
        <v>2.2006899999999999E-2</v>
      </c>
      <c r="EJ26">
        <v>0</v>
      </c>
      <c r="EK26">
        <v>627.85500000000002</v>
      </c>
      <c r="EL26">
        <v>0.10001</v>
      </c>
      <c r="EM26">
        <v>15917.2</v>
      </c>
      <c r="EN26">
        <v>16352.2</v>
      </c>
      <c r="EO26">
        <v>46.625</v>
      </c>
      <c r="EP26">
        <v>48.875</v>
      </c>
      <c r="EQ26">
        <v>48.061999999999998</v>
      </c>
      <c r="ER26">
        <v>47.686999999999998</v>
      </c>
      <c r="ES26">
        <v>48.25</v>
      </c>
      <c r="ET26">
        <v>1760.15</v>
      </c>
      <c r="EU26">
        <v>39.61</v>
      </c>
      <c r="EV26">
        <v>0</v>
      </c>
      <c r="EW26">
        <v>97.199999809265137</v>
      </c>
      <c r="EX26">
        <v>0</v>
      </c>
      <c r="EY26">
        <v>630.75479999999993</v>
      </c>
      <c r="EZ26">
        <v>8.1684615248252559</v>
      </c>
      <c r="FA26">
        <v>162.4769234598343</v>
      </c>
      <c r="FB26">
        <v>15897.736000000001</v>
      </c>
      <c r="FC26">
        <v>15</v>
      </c>
      <c r="FD26">
        <v>1691161913</v>
      </c>
      <c r="FE26" t="s">
        <v>467</v>
      </c>
      <c r="FF26">
        <v>1691161911.5</v>
      </c>
      <c r="FG26">
        <v>1691161913</v>
      </c>
      <c r="FH26">
        <v>11</v>
      </c>
      <c r="FI26">
        <v>-0.129</v>
      </c>
      <c r="FJ26">
        <v>-4.0000000000000001E-3</v>
      </c>
      <c r="FK26">
        <v>2.6110000000000002</v>
      </c>
      <c r="FL26">
        <v>4.4999999999999998E-2</v>
      </c>
      <c r="FM26">
        <v>500</v>
      </c>
      <c r="FN26">
        <v>22</v>
      </c>
      <c r="FO26">
        <v>0.09</v>
      </c>
      <c r="FP26">
        <v>0.04</v>
      </c>
      <c r="FQ26">
        <v>52.151504582628327</v>
      </c>
      <c r="FR26">
        <v>-0.22514877388495419</v>
      </c>
      <c r="FS26">
        <v>9.1510027904520744E-2</v>
      </c>
      <c r="FT26">
        <v>1</v>
      </c>
      <c r="FU26">
        <v>0.33201819766258361</v>
      </c>
      <c r="FV26">
        <v>2.6918707199953571E-2</v>
      </c>
      <c r="FW26">
        <v>2.9623026703539E-3</v>
      </c>
      <c r="FX26">
        <v>1</v>
      </c>
      <c r="FY26">
        <v>2</v>
      </c>
      <c r="FZ26">
        <v>2</v>
      </c>
      <c r="GA26" t="s">
        <v>419</v>
      </c>
      <c r="GB26">
        <v>2.88652</v>
      </c>
      <c r="GC26">
        <v>2.8212799999999998</v>
      </c>
      <c r="GD26">
        <v>9.2157199999999995E-2</v>
      </c>
      <c r="GE26">
        <v>0.1032</v>
      </c>
      <c r="GF26">
        <v>0.12792700000000001</v>
      </c>
      <c r="GG26">
        <v>0.11046400000000001</v>
      </c>
      <c r="GH26">
        <v>27918.3</v>
      </c>
      <c r="GI26">
        <v>25753.3</v>
      </c>
      <c r="GJ26">
        <v>28308.2</v>
      </c>
      <c r="GK26">
        <v>26968.7</v>
      </c>
      <c r="GL26">
        <v>34842.800000000003</v>
      </c>
      <c r="GM26">
        <v>33499.9</v>
      </c>
      <c r="GN26">
        <v>41657.199999999997</v>
      </c>
      <c r="GO26">
        <v>39015.599999999999</v>
      </c>
      <c r="GP26">
        <v>2.0099999999999998</v>
      </c>
      <c r="GQ26">
        <v>1.7079</v>
      </c>
      <c r="GR26">
        <v>-1.8775500000000001E-2</v>
      </c>
      <c r="GS26">
        <v>0</v>
      </c>
      <c r="GT26">
        <v>30.306899999999999</v>
      </c>
      <c r="GU26">
        <v>999.9</v>
      </c>
      <c r="GV26">
        <v>49.6</v>
      </c>
      <c r="GW26">
        <v>41.1</v>
      </c>
      <c r="GX26">
        <v>39.353700000000003</v>
      </c>
      <c r="GY26">
        <v>62.680599999999998</v>
      </c>
      <c r="GZ26">
        <v>32.171500000000002</v>
      </c>
      <c r="HA26">
        <v>1</v>
      </c>
      <c r="HB26">
        <v>0.90106699999999995</v>
      </c>
      <c r="HC26">
        <v>4.6753499999999999</v>
      </c>
      <c r="HD26">
        <v>20.182700000000001</v>
      </c>
      <c r="HE26">
        <v>5.2095000000000002</v>
      </c>
      <c r="HF26">
        <v>11.997999999999999</v>
      </c>
      <c r="HG26">
        <v>4.9885999999999999</v>
      </c>
      <c r="HH26">
        <v>3.2909999999999999</v>
      </c>
      <c r="HI26">
        <v>9999</v>
      </c>
      <c r="HJ26">
        <v>9999</v>
      </c>
      <c r="HK26">
        <v>9999</v>
      </c>
      <c r="HL26">
        <v>999.9</v>
      </c>
      <c r="HM26">
        <v>1.86714</v>
      </c>
      <c r="HN26">
        <v>1.8672200000000001</v>
      </c>
      <c r="HO26">
        <v>1.86371</v>
      </c>
      <c r="HP26">
        <v>1.8649</v>
      </c>
      <c r="HQ26">
        <v>1.8644700000000001</v>
      </c>
      <c r="HR26">
        <v>1.8603499999999999</v>
      </c>
      <c r="HS26">
        <v>1.8634599999999999</v>
      </c>
      <c r="HT26">
        <v>1.8663000000000001</v>
      </c>
      <c r="HU26">
        <v>5</v>
      </c>
      <c r="HV26">
        <v>0</v>
      </c>
      <c r="HW26">
        <v>0</v>
      </c>
      <c r="HX26">
        <v>0</v>
      </c>
      <c r="HY26" t="s">
        <v>420</v>
      </c>
      <c r="HZ26" t="s">
        <v>421</v>
      </c>
      <c r="IA26" t="s">
        <v>422</v>
      </c>
      <c r="IB26" t="s">
        <v>422</v>
      </c>
      <c r="IC26" t="s">
        <v>422</v>
      </c>
      <c r="ID26" t="s">
        <v>422</v>
      </c>
      <c r="IE26">
        <v>0</v>
      </c>
      <c r="IF26">
        <v>100</v>
      </c>
      <c r="IG26">
        <v>100</v>
      </c>
      <c r="IH26">
        <v>2.4870000000000001</v>
      </c>
      <c r="II26">
        <v>0.15</v>
      </c>
      <c r="IJ26">
        <v>1.316032876388177</v>
      </c>
      <c r="IK26">
        <v>3.5576830062418229E-3</v>
      </c>
      <c r="IL26">
        <v>-2.2646740813029151E-6</v>
      </c>
      <c r="IM26">
        <v>6.9609298295988525E-10</v>
      </c>
      <c r="IN26">
        <v>-0.15262662412807221</v>
      </c>
      <c r="IO26">
        <v>-9.4437069492282083E-4</v>
      </c>
      <c r="IP26">
        <v>5.2900373165634467E-4</v>
      </c>
      <c r="IQ26">
        <v>-3.977656803091445E-6</v>
      </c>
      <c r="IR26">
        <v>2</v>
      </c>
      <c r="IS26">
        <v>1759</v>
      </c>
      <c r="IT26">
        <v>2</v>
      </c>
      <c r="IU26">
        <v>42</v>
      </c>
      <c r="IV26">
        <v>0.5</v>
      </c>
      <c r="IW26">
        <v>0.5</v>
      </c>
      <c r="IX26">
        <v>1.18042</v>
      </c>
      <c r="IY26">
        <v>2.4291999999999998</v>
      </c>
      <c r="IZ26">
        <v>1.54297</v>
      </c>
      <c r="JA26">
        <v>2.3059099999999999</v>
      </c>
      <c r="JB26">
        <v>1.5466299999999999</v>
      </c>
      <c r="JC26">
        <v>2.4279799999999998</v>
      </c>
      <c r="JD26">
        <v>47.004100000000001</v>
      </c>
      <c r="JE26">
        <v>23.868600000000001</v>
      </c>
      <c r="JF26">
        <v>18</v>
      </c>
      <c r="JG26">
        <v>530.76400000000001</v>
      </c>
      <c r="JH26">
        <v>437.37099999999998</v>
      </c>
      <c r="JI26">
        <v>24.329499999999999</v>
      </c>
      <c r="JJ26">
        <v>37.941099999999999</v>
      </c>
      <c r="JK26">
        <v>30.000299999999999</v>
      </c>
      <c r="JL26">
        <v>38.292999999999999</v>
      </c>
      <c r="JM26">
        <v>38.273499999999999</v>
      </c>
      <c r="JN26">
        <v>23.746700000000001</v>
      </c>
      <c r="JO26">
        <v>49.936</v>
      </c>
      <c r="JP26">
        <v>0</v>
      </c>
      <c r="JQ26">
        <v>24.3323</v>
      </c>
      <c r="JR26">
        <v>500</v>
      </c>
      <c r="JS26">
        <v>22.535399999999999</v>
      </c>
      <c r="JT26">
        <v>98.691000000000003</v>
      </c>
      <c r="JU26">
        <v>96.547700000000006</v>
      </c>
    </row>
    <row r="27" spans="1:281" x14ac:dyDescent="0.25">
      <c r="A27">
        <v>11</v>
      </c>
      <c r="B27">
        <v>1691162050.5</v>
      </c>
      <c r="C27">
        <v>1139</v>
      </c>
      <c r="D27" t="s">
        <v>468</v>
      </c>
      <c r="E27" t="s">
        <v>469</v>
      </c>
      <c r="F27" t="s">
        <v>413</v>
      </c>
      <c r="G27">
        <v>1</v>
      </c>
      <c r="H27" t="s">
        <v>780</v>
      </c>
      <c r="I27">
        <v>1</v>
      </c>
      <c r="J27">
        <v>1691162050.5</v>
      </c>
      <c r="K27">
        <f t="shared" si="0"/>
        <v>4.7703054757266038E-3</v>
      </c>
      <c r="L27">
        <f t="shared" si="1"/>
        <v>4.7703054757266035</v>
      </c>
      <c r="M27">
        <f t="shared" si="2"/>
        <v>56.257096661139805</v>
      </c>
      <c r="N27">
        <f t="shared" si="3"/>
        <v>628.78599999999994</v>
      </c>
      <c r="O27">
        <f t="shared" si="4"/>
        <v>327.00962689961744</v>
      </c>
      <c r="P27">
        <f t="shared" si="5"/>
        <v>32.42773110424428</v>
      </c>
      <c r="Q27">
        <f t="shared" si="6"/>
        <v>62.353220372844</v>
      </c>
      <c r="R27">
        <f t="shared" si="7"/>
        <v>0.32684818156368517</v>
      </c>
      <c r="S27">
        <f t="shared" si="8"/>
        <v>2.9143926483270164</v>
      </c>
      <c r="T27">
        <f t="shared" si="9"/>
        <v>0.30776387841899272</v>
      </c>
      <c r="U27">
        <f t="shared" si="10"/>
        <v>0.19397414918896119</v>
      </c>
      <c r="V27">
        <f t="shared" si="11"/>
        <v>344.40699998679787</v>
      </c>
      <c r="W27">
        <f t="shared" si="12"/>
        <v>30.835584530999707</v>
      </c>
      <c r="X27">
        <f t="shared" si="13"/>
        <v>30.018799999999999</v>
      </c>
      <c r="Y27">
        <f t="shared" si="14"/>
        <v>4.2650526126029344</v>
      </c>
      <c r="Z27">
        <f t="shared" si="15"/>
        <v>65.152057699890179</v>
      </c>
      <c r="AA27">
        <f t="shared" si="16"/>
        <v>2.7826339108032001</v>
      </c>
      <c r="AB27">
        <f t="shared" si="17"/>
        <v>4.2709839244384922</v>
      </c>
      <c r="AC27">
        <f t="shared" si="18"/>
        <v>1.4824187017997343</v>
      </c>
      <c r="AD27">
        <f t="shared" si="19"/>
        <v>-210.37047147954323</v>
      </c>
      <c r="AE27">
        <f t="shared" si="20"/>
        <v>3.802321822249938</v>
      </c>
      <c r="AF27">
        <f t="shared" si="21"/>
        <v>0.29018353362231486</v>
      </c>
      <c r="AG27">
        <f t="shared" si="22"/>
        <v>138.12903386312692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51893.649134591098</v>
      </c>
      <c r="AM27" t="s">
        <v>414</v>
      </c>
      <c r="AN27">
        <v>10111.299999999999</v>
      </c>
      <c r="AO27">
        <v>608.58839999999998</v>
      </c>
      <c r="AP27">
        <v>2150.11</v>
      </c>
      <c r="AQ27">
        <f t="shared" si="26"/>
        <v>0.71695010952927984</v>
      </c>
      <c r="AR27">
        <v>-1.1786277417053079</v>
      </c>
      <c r="AS27" t="s">
        <v>470</v>
      </c>
      <c r="AT27">
        <v>8111.95</v>
      </c>
      <c r="AU27">
        <v>647.32180000000005</v>
      </c>
      <c r="AV27">
        <v>1075.7424935944059</v>
      </c>
      <c r="AW27">
        <f t="shared" si="27"/>
        <v>0.39825580577644826</v>
      </c>
      <c r="AX27">
        <v>0.5</v>
      </c>
      <c r="AY27">
        <f t="shared" si="28"/>
        <v>1513.3226999933988</v>
      </c>
      <c r="AZ27">
        <f t="shared" si="29"/>
        <v>56.257096661139805</v>
      </c>
      <c r="BA27">
        <f t="shared" si="30"/>
        <v>301.34477564283065</v>
      </c>
      <c r="BB27">
        <f t="shared" si="31"/>
        <v>3.7953388529158819E-2</v>
      </c>
      <c r="BC27">
        <f t="shared" si="32"/>
        <v>0.99872182497484374</v>
      </c>
      <c r="BD27">
        <f t="shared" si="33"/>
        <v>474.46327637718315</v>
      </c>
      <c r="BE27" t="s">
        <v>471</v>
      </c>
      <c r="BF27">
        <v>507.07</v>
      </c>
      <c r="BG27">
        <f t="shared" si="34"/>
        <v>507.07</v>
      </c>
      <c r="BH27">
        <f t="shared" si="35"/>
        <v>0.52863254633949242</v>
      </c>
      <c r="BI27">
        <f t="shared" si="36"/>
        <v>0.75336981904380307</v>
      </c>
      <c r="BJ27">
        <f t="shared" si="37"/>
        <v>0.65389004918053983</v>
      </c>
      <c r="BK27">
        <f t="shared" si="38"/>
        <v>0.91708645919813059</v>
      </c>
      <c r="BL27">
        <f t="shared" si="39"/>
        <v>0.69695261253919127</v>
      </c>
      <c r="BM27">
        <f t="shared" si="40"/>
        <v>0.59014115412541523</v>
      </c>
      <c r="BN27">
        <f t="shared" si="41"/>
        <v>0.40985884587458477</v>
      </c>
      <c r="BO27">
        <v>6995</v>
      </c>
      <c r="BP27">
        <v>290.00000000000011</v>
      </c>
      <c r="BQ27">
        <v>914.19</v>
      </c>
      <c r="BR27">
        <v>295</v>
      </c>
      <c r="BS27">
        <v>8111.95</v>
      </c>
      <c r="BT27">
        <v>916.74</v>
      </c>
      <c r="BU27">
        <v>-2.5499999999999998</v>
      </c>
      <c r="BV27">
        <v>300.00000000000011</v>
      </c>
      <c r="BW27">
        <v>19.2</v>
      </c>
      <c r="BX27">
        <v>1075.7424935944059</v>
      </c>
      <c r="BY27">
        <v>4.428567511199323</v>
      </c>
      <c r="BZ27">
        <v>-128.9814984452957</v>
      </c>
      <c r="CA27">
        <v>3.3012771238323428</v>
      </c>
      <c r="CB27">
        <v>0.98198753560052399</v>
      </c>
      <c r="CC27">
        <v>-4.1792400444938772E-3</v>
      </c>
      <c r="CD27">
        <v>289.99999999999989</v>
      </c>
      <c r="CE27">
        <v>904.88</v>
      </c>
      <c r="CF27">
        <v>645</v>
      </c>
      <c r="CG27">
        <v>8107.3</v>
      </c>
      <c r="CH27">
        <v>916.65</v>
      </c>
      <c r="CI27">
        <v>-11.77</v>
      </c>
      <c r="CW27">
        <f t="shared" si="42"/>
        <v>1800.16</v>
      </c>
      <c r="CX27">
        <f t="shared" si="43"/>
        <v>1513.3226999933988</v>
      </c>
      <c r="CY27">
        <f t="shared" si="44"/>
        <v>0.84066010798673385</v>
      </c>
      <c r="CZ27">
        <f t="shared" si="45"/>
        <v>0.19132021597346782</v>
      </c>
      <c r="DA27">
        <v>6</v>
      </c>
      <c r="DB27">
        <v>0.5</v>
      </c>
      <c r="DC27" t="s">
        <v>417</v>
      </c>
      <c r="DD27">
        <v>2</v>
      </c>
      <c r="DE27">
        <v>1691162050.5</v>
      </c>
      <c r="DF27">
        <v>628.78599999999994</v>
      </c>
      <c r="DG27">
        <v>699.85</v>
      </c>
      <c r="DH27">
        <v>28.0608</v>
      </c>
      <c r="DI27">
        <v>22.500499999999999</v>
      </c>
      <c r="DJ27">
        <v>625.60400000000004</v>
      </c>
      <c r="DK27">
        <v>27.9207</v>
      </c>
      <c r="DL27">
        <v>500.30900000000003</v>
      </c>
      <c r="DM27">
        <v>99.0642</v>
      </c>
      <c r="DN27">
        <v>0.100254</v>
      </c>
      <c r="DO27">
        <v>30.042999999999999</v>
      </c>
      <c r="DP27">
        <v>30.018799999999999</v>
      </c>
      <c r="DQ27">
        <v>999.9</v>
      </c>
      <c r="DR27">
        <v>0</v>
      </c>
      <c r="DS27">
        <v>0</v>
      </c>
      <c r="DT27">
        <v>10007.5</v>
      </c>
      <c r="DU27">
        <v>0</v>
      </c>
      <c r="DV27">
        <v>1426.04</v>
      </c>
      <c r="DW27">
        <v>-71.063500000000005</v>
      </c>
      <c r="DX27">
        <v>646.94000000000005</v>
      </c>
      <c r="DY27">
        <v>715.95899999999995</v>
      </c>
      <c r="DZ27">
        <v>5.5603199999999999</v>
      </c>
      <c r="EA27">
        <v>699.85</v>
      </c>
      <c r="EB27">
        <v>22.500499999999999</v>
      </c>
      <c r="EC27">
        <v>2.77983</v>
      </c>
      <c r="ED27">
        <v>2.2290000000000001</v>
      </c>
      <c r="EE27">
        <v>22.764800000000001</v>
      </c>
      <c r="EF27">
        <v>19.1723</v>
      </c>
      <c r="EG27">
        <v>1800.16</v>
      </c>
      <c r="EH27">
        <v>0.97799700000000001</v>
      </c>
      <c r="EI27">
        <v>2.20033E-2</v>
      </c>
      <c r="EJ27">
        <v>0</v>
      </c>
      <c r="EK27">
        <v>647.34</v>
      </c>
      <c r="EL27">
        <v>0.10001</v>
      </c>
      <c r="EM27">
        <v>16255.8</v>
      </c>
      <c r="EN27">
        <v>16355</v>
      </c>
      <c r="EO27">
        <v>46.625</v>
      </c>
      <c r="EP27">
        <v>48.936999999999998</v>
      </c>
      <c r="EQ27">
        <v>48.061999999999998</v>
      </c>
      <c r="ER27">
        <v>47.686999999999998</v>
      </c>
      <c r="ES27">
        <v>48.311999999999998</v>
      </c>
      <c r="ET27">
        <v>1760.45</v>
      </c>
      <c r="EU27">
        <v>39.61</v>
      </c>
      <c r="EV27">
        <v>0</v>
      </c>
      <c r="EW27">
        <v>106.7999999523163</v>
      </c>
      <c r="EX27">
        <v>0</v>
      </c>
      <c r="EY27">
        <v>647.32180000000005</v>
      </c>
      <c r="EZ27">
        <v>0.14769231417358891</v>
      </c>
      <c r="FA27">
        <v>62.930769562758748</v>
      </c>
      <c r="FB27">
        <v>16228.876</v>
      </c>
      <c r="FC27">
        <v>15</v>
      </c>
      <c r="FD27">
        <v>1691162017</v>
      </c>
      <c r="FE27" t="s">
        <v>472</v>
      </c>
      <c r="FF27">
        <v>1691162017</v>
      </c>
      <c r="FG27">
        <v>1691162015.5</v>
      </c>
      <c r="FH27">
        <v>12</v>
      </c>
      <c r="FI27">
        <v>0.35599999999999998</v>
      </c>
      <c r="FJ27">
        <v>-7.0000000000000001E-3</v>
      </c>
      <c r="FK27">
        <v>3.2869999999999999</v>
      </c>
      <c r="FL27">
        <v>3.7999999999999999E-2</v>
      </c>
      <c r="FM27">
        <v>700</v>
      </c>
      <c r="FN27">
        <v>22</v>
      </c>
      <c r="FO27">
        <v>0.15</v>
      </c>
      <c r="FP27">
        <v>0.05</v>
      </c>
      <c r="FQ27">
        <v>56.269421019285119</v>
      </c>
      <c r="FR27">
        <v>-5.4166683248971129E-2</v>
      </c>
      <c r="FS27">
        <v>0.1396833534347125</v>
      </c>
      <c r="FT27">
        <v>1</v>
      </c>
      <c r="FU27">
        <v>0.33221655684514723</v>
      </c>
      <c r="FV27">
        <v>-2.8767345479387259E-2</v>
      </c>
      <c r="FW27">
        <v>2.6093413896472609E-3</v>
      </c>
      <c r="FX27">
        <v>1</v>
      </c>
      <c r="FY27">
        <v>2</v>
      </c>
      <c r="FZ27">
        <v>2</v>
      </c>
      <c r="GA27" t="s">
        <v>419</v>
      </c>
      <c r="GB27">
        <v>2.8866999999999998</v>
      </c>
      <c r="GC27">
        <v>2.82151</v>
      </c>
      <c r="GD27">
        <v>0.12056799999999999</v>
      </c>
      <c r="GE27">
        <v>0.13088900000000001</v>
      </c>
      <c r="GF27">
        <v>0.127391</v>
      </c>
      <c r="GG27">
        <v>0.10996599999999999</v>
      </c>
      <c r="GH27">
        <v>27040.2</v>
      </c>
      <c r="GI27">
        <v>24953.200000000001</v>
      </c>
      <c r="GJ27">
        <v>28304.1</v>
      </c>
      <c r="GK27">
        <v>26964.2</v>
      </c>
      <c r="GL27">
        <v>34859.800000000003</v>
      </c>
      <c r="GM27">
        <v>33514.6</v>
      </c>
      <c r="GN27">
        <v>41651.1</v>
      </c>
      <c r="GO27">
        <v>39010.400000000001</v>
      </c>
      <c r="GP27">
        <v>2.0093000000000001</v>
      </c>
      <c r="GQ27">
        <v>1.7060999999999999</v>
      </c>
      <c r="GR27">
        <v>-1.6093300000000001E-2</v>
      </c>
      <c r="GS27">
        <v>0</v>
      </c>
      <c r="GT27">
        <v>30.2806</v>
      </c>
      <c r="GU27">
        <v>999.9</v>
      </c>
      <c r="GV27">
        <v>49.3</v>
      </c>
      <c r="GW27">
        <v>41.3</v>
      </c>
      <c r="GX27">
        <v>39.537399999999998</v>
      </c>
      <c r="GY27">
        <v>62.6706</v>
      </c>
      <c r="GZ27">
        <v>31.8309</v>
      </c>
      <c r="HA27">
        <v>1</v>
      </c>
      <c r="HB27">
        <v>0.90729700000000002</v>
      </c>
      <c r="HC27">
        <v>4.5646399999999998</v>
      </c>
      <c r="HD27">
        <v>20.185700000000001</v>
      </c>
      <c r="HE27">
        <v>5.2059100000000003</v>
      </c>
      <c r="HF27">
        <v>11.997999999999999</v>
      </c>
      <c r="HG27">
        <v>4.9884000000000004</v>
      </c>
      <c r="HH27">
        <v>3.2909999999999999</v>
      </c>
      <c r="HI27">
        <v>9999</v>
      </c>
      <c r="HJ27">
        <v>9999</v>
      </c>
      <c r="HK27">
        <v>9999</v>
      </c>
      <c r="HL27">
        <v>999.9</v>
      </c>
      <c r="HM27">
        <v>1.86721</v>
      </c>
      <c r="HN27">
        <v>1.8672200000000001</v>
      </c>
      <c r="HO27">
        <v>1.86371</v>
      </c>
      <c r="HP27">
        <v>1.86493</v>
      </c>
      <c r="HQ27">
        <v>1.8644700000000001</v>
      </c>
      <c r="HR27">
        <v>1.86032</v>
      </c>
      <c r="HS27">
        <v>1.86351</v>
      </c>
      <c r="HT27">
        <v>1.8663000000000001</v>
      </c>
      <c r="HU27">
        <v>5</v>
      </c>
      <c r="HV27">
        <v>0</v>
      </c>
      <c r="HW27">
        <v>0</v>
      </c>
      <c r="HX27">
        <v>0</v>
      </c>
      <c r="HY27" t="s">
        <v>420</v>
      </c>
      <c r="HZ27" t="s">
        <v>421</v>
      </c>
      <c r="IA27" t="s">
        <v>422</v>
      </c>
      <c r="IB27" t="s">
        <v>422</v>
      </c>
      <c r="IC27" t="s">
        <v>422</v>
      </c>
      <c r="ID27" t="s">
        <v>422</v>
      </c>
      <c r="IE27">
        <v>0</v>
      </c>
      <c r="IF27">
        <v>100</v>
      </c>
      <c r="IG27">
        <v>100</v>
      </c>
      <c r="IH27">
        <v>3.1819999999999999</v>
      </c>
      <c r="II27">
        <v>0.1401</v>
      </c>
      <c r="IJ27">
        <v>1.6723072023471901</v>
      </c>
      <c r="IK27">
        <v>3.5576830062418229E-3</v>
      </c>
      <c r="IL27">
        <v>-2.2646740813029151E-6</v>
      </c>
      <c r="IM27">
        <v>6.9609298295988525E-10</v>
      </c>
      <c r="IN27">
        <v>-0.15926352412298889</v>
      </c>
      <c r="IO27">
        <v>-9.4437069492282083E-4</v>
      </c>
      <c r="IP27">
        <v>5.2900373165634467E-4</v>
      </c>
      <c r="IQ27">
        <v>-3.977656803091445E-6</v>
      </c>
      <c r="IR27">
        <v>2</v>
      </c>
      <c r="IS27">
        <v>1759</v>
      </c>
      <c r="IT27">
        <v>2</v>
      </c>
      <c r="IU27">
        <v>42</v>
      </c>
      <c r="IV27">
        <v>0.6</v>
      </c>
      <c r="IW27">
        <v>0.6</v>
      </c>
      <c r="IX27">
        <v>1.56494</v>
      </c>
      <c r="IY27">
        <v>2.4182100000000002</v>
      </c>
      <c r="IZ27">
        <v>1.54297</v>
      </c>
      <c r="JA27">
        <v>2.3059099999999999</v>
      </c>
      <c r="JB27">
        <v>1.5466299999999999</v>
      </c>
      <c r="JC27">
        <v>2.3999000000000001</v>
      </c>
      <c r="JD27">
        <v>47.212299999999999</v>
      </c>
      <c r="JE27">
        <v>23.868600000000001</v>
      </c>
      <c r="JF27">
        <v>18</v>
      </c>
      <c r="JG27">
        <v>530.76199999999994</v>
      </c>
      <c r="JH27">
        <v>436.57100000000003</v>
      </c>
      <c r="JI27">
        <v>24.496200000000002</v>
      </c>
      <c r="JJ27">
        <v>38.017200000000003</v>
      </c>
      <c r="JK27">
        <v>30.000699999999998</v>
      </c>
      <c r="JL27">
        <v>38.351300000000002</v>
      </c>
      <c r="JM27">
        <v>38.334499999999998</v>
      </c>
      <c r="JN27">
        <v>31.4467</v>
      </c>
      <c r="JO27">
        <v>49.942599999999999</v>
      </c>
      <c r="JP27">
        <v>0</v>
      </c>
      <c r="JQ27">
        <v>24.485399999999998</v>
      </c>
      <c r="JR27">
        <v>700</v>
      </c>
      <c r="JS27">
        <v>22.5151</v>
      </c>
      <c r="JT27">
        <v>98.676599999999993</v>
      </c>
      <c r="JU27">
        <v>96.533299999999997</v>
      </c>
    </row>
    <row r="28" spans="1:281" x14ac:dyDescent="0.25">
      <c r="A28">
        <v>12</v>
      </c>
      <c r="B28">
        <v>1691162150</v>
      </c>
      <c r="C28">
        <v>1238.5</v>
      </c>
      <c r="D28" t="s">
        <v>473</v>
      </c>
      <c r="E28" t="s">
        <v>474</v>
      </c>
      <c r="F28" t="s">
        <v>413</v>
      </c>
      <c r="G28">
        <v>1</v>
      </c>
      <c r="H28" t="s">
        <v>780</v>
      </c>
      <c r="I28">
        <v>1</v>
      </c>
      <c r="J28">
        <v>1691162150</v>
      </c>
      <c r="K28">
        <f t="shared" si="0"/>
        <v>4.4204568827961544E-3</v>
      </c>
      <c r="L28">
        <f t="shared" si="1"/>
        <v>4.4204568827961541</v>
      </c>
      <c r="M28">
        <f t="shared" si="2"/>
        <v>57.027902892355435</v>
      </c>
      <c r="N28">
        <f t="shared" si="3"/>
        <v>827.18</v>
      </c>
      <c r="O28">
        <f t="shared" si="4"/>
        <v>491.97994384894315</v>
      </c>
      <c r="P28">
        <f t="shared" si="5"/>
        <v>48.785560218266589</v>
      </c>
      <c r="Q28">
        <f t="shared" si="6"/>
        <v>82.024562598300008</v>
      </c>
      <c r="R28">
        <f t="shared" si="7"/>
        <v>0.30012184442828982</v>
      </c>
      <c r="S28">
        <f t="shared" si="8"/>
        <v>2.9077782179930045</v>
      </c>
      <c r="T28">
        <f t="shared" si="9"/>
        <v>0.28391342316738388</v>
      </c>
      <c r="U28">
        <f t="shared" si="10"/>
        <v>0.17882916968244802</v>
      </c>
      <c r="V28">
        <f t="shared" si="11"/>
        <v>344.32469998679807</v>
      </c>
      <c r="W28">
        <f t="shared" si="12"/>
        <v>30.845246827831048</v>
      </c>
      <c r="X28">
        <f t="shared" si="13"/>
        <v>30.0215</v>
      </c>
      <c r="Y28">
        <f t="shared" si="14"/>
        <v>4.2657140145596344</v>
      </c>
      <c r="Z28">
        <f t="shared" si="15"/>
        <v>65.321839601782301</v>
      </c>
      <c r="AA28">
        <f t="shared" si="16"/>
        <v>2.7766164255165005</v>
      </c>
      <c r="AB28">
        <f t="shared" si="17"/>
        <v>4.2506708972732925</v>
      </c>
      <c r="AC28">
        <f t="shared" si="18"/>
        <v>1.4890975890431339</v>
      </c>
      <c r="AD28">
        <f t="shared" si="19"/>
        <v>-194.94214853131041</v>
      </c>
      <c r="AE28">
        <f t="shared" si="20"/>
        <v>-9.640994566238799</v>
      </c>
      <c r="AF28">
        <f t="shared" si="21"/>
        <v>-0.73715680972619269</v>
      </c>
      <c r="AG28">
        <f t="shared" si="22"/>
        <v>139.0044000795227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51719.726471721377</v>
      </c>
      <c r="AM28" t="s">
        <v>414</v>
      </c>
      <c r="AN28">
        <v>10111.299999999999</v>
      </c>
      <c r="AO28">
        <v>608.58839999999998</v>
      </c>
      <c r="AP28">
        <v>2150.11</v>
      </c>
      <c r="AQ28">
        <f t="shared" si="26"/>
        <v>0.71695010952927984</v>
      </c>
      <c r="AR28">
        <v>-1.1786277417053079</v>
      </c>
      <c r="AS28" t="s">
        <v>475</v>
      </c>
      <c r="AT28">
        <v>8111.83</v>
      </c>
      <c r="AU28">
        <v>648.64739999999995</v>
      </c>
      <c r="AV28">
        <v>1095.9192985238219</v>
      </c>
      <c r="AW28">
        <f t="shared" si="27"/>
        <v>0.4081248492715539</v>
      </c>
      <c r="AX28">
        <v>0.5</v>
      </c>
      <c r="AY28">
        <f t="shared" si="28"/>
        <v>1512.9611999933991</v>
      </c>
      <c r="AZ28">
        <f t="shared" si="29"/>
        <v>57.027902892355435</v>
      </c>
      <c r="BA28">
        <f t="shared" si="30"/>
        <v>308.73853085050769</v>
      </c>
      <c r="BB28">
        <f t="shared" si="31"/>
        <v>3.8471925541986599E-2</v>
      </c>
      <c r="BC28">
        <f t="shared" si="32"/>
        <v>0.96192365888268305</v>
      </c>
      <c r="BD28">
        <f t="shared" si="33"/>
        <v>478.34756657389693</v>
      </c>
      <c r="BE28" t="s">
        <v>476</v>
      </c>
      <c r="BF28">
        <v>506.47</v>
      </c>
      <c r="BG28">
        <f t="shared" si="34"/>
        <v>506.47</v>
      </c>
      <c r="BH28">
        <f t="shared" si="35"/>
        <v>0.53785830701019366</v>
      </c>
      <c r="BI28">
        <f t="shared" si="36"/>
        <v>0.75879621817167364</v>
      </c>
      <c r="BJ28">
        <f t="shared" si="37"/>
        <v>0.64137566710239358</v>
      </c>
      <c r="BK28">
        <f t="shared" si="38"/>
        <v>0.91779917891243301</v>
      </c>
      <c r="BL28">
        <f t="shared" si="39"/>
        <v>0.68386372365860992</v>
      </c>
      <c r="BM28">
        <f t="shared" si="40"/>
        <v>0.59247523479999709</v>
      </c>
      <c r="BN28">
        <f t="shared" si="41"/>
        <v>0.40752476520000291</v>
      </c>
      <c r="BO28">
        <v>6997</v>
      </c>
      <c r="BP28">
        <v>290.00000000000011</v>
      </c>
      <c r="BQ28">
        <v>923.77</v>
      </c>
      <c r="BR28">
        <v>285</v>
      </c>
      <c r="BS28">
        <v>8111.83</v>
      </c>
      <c r="BT28">
        <v>926.98</v>
      </c>
      <c r="BU28">
        <v>-3.21</v>
      </c>
      <c r="BV28">
        <v>300.00000000000011</v>
      </c>
      <c r="BW28">
        <v>19.2</v>
      </c>
      <c r="BX28">
        <v>1095.9192985238219</v>
      </c>
      <c r="BY28">
        <v>4.4749649056735512</v>
      </c>
      <c r="BZ28">
        <v>-137.03971175637801</v>
      </c>
      <c r="CA28">
        <v>3.3357971718816639</v>
      </c>
      <c r="CB28">
        <v>0.9836800695774881</v>
      </c>
      <c r="CC28">
        <v>-4.179245606229131E-3</v>
      </c>
      <c r="CD28">
        <v>289.99999999999989</v>
      </c>
      <c r="CE28">
        <v>914.25</v>
      </c>
      <c r="CF28">
        <v>665</v>
      </c>
      <c r="CG28">
        <v>8106.7</v>
      </c>
      <c r="CH28">
        <v>926.87</v>
      </c>
      <c r="CI28">
        <v>-12.62</v>
      </c>
      <c r="CW28">
        <f t="shared" si="42"/>
        <v>1799.73</v>
      </c>
      <c r="CX28">
        <f t="shared" si="43"/>
        <v>1512.9611999933991</v>
      </c>
      <c r="CY28">
        <f t="shared" si="44"/>
        <v>0.84066009901118444</v>
      </c>
      <c r="CZ28">
        <f t="shared" si="45"/>
        <v>0.19132019802236894</v>
      </c>
      <c r="DA28">
        <v>6</v>
      </c>
      <c r="DB28">
        <v>0.5</v>
      </c>
      <c r="DC28" t="s">
        <v>417</v>
      </c>
      <c r="DD28">
        <v>2</v>
      </c>
      <c r="DE28">
        <v>1691162150</v>
      </c>
      <c r="DF28">
        <v>827.18</v>
      </c>
      <c r="DG28">
        <v>899.97</v>
      </c>
      <c r="DH28">
        <v>28.000900000000001</v>
      </c>
      <c r="DI28">
        <v>22.847100000000001</v>
      </c>
      <c r="DJ28">
        <v>823.56500000000005</v>
      </c>
      <c r="DK28">
        <v>27.864599999999999</v>
      </c>
      <c r="DL28">
        <v>500.21499999999997</v>
      </c>
      <c r="DM28">
        <v>99.061300000000003</v>
      </c>
      <c r="DN28">
        <v>0.100385</v>
      </c>
      <c r="DO28">
        <v>29.96</v>
      </c>
      <c r="DP28">
        <v>30.0215</v>
      </c>
      <c r="DQ28">
        <v>999.9</v>
      </c>
      <c r="DR28">
        <v>0</v>
      </c>
      <c r="DS28">
        <v>0</v>
      </c>
      <c r="DT28">
        <v>9970</v>
      </c>
      <c r="DU28">
        <v>0</v>
      </c>
      <c r="DV28">
        <v>1432.52</v>
      </c>
      <c r="DW28">
        <v>-72.789699999999996</v>
      </c>
      <c r="DX28">
        <v>851.00900000000001</v>
      </c>
      <c r="DY28">
        <v>921.01199999999994</v>
      </c>
      <c r="DZ28">
        <v>5.1537899999999999</v>
      </c>
      <c r="EA28">
        <v>899.97</v>
      </c>
      <c r="EB28">
        <v>22.847100000000001</v>
      </c>
      <c r="EC28">
        <v>2.7738100000000001</v>
      </c>
      <c r="ED28">
        <v>2.2632699999999999</v>
      </c>
      <c r="EE28">
        <v>22.728999999999999</v>
      </c>
      <c r="EF28">
        <v>19.417300000000001</v>
      </c>
      <c r="EG28">
        <v>1799.73</v>
      </c>
      <c r="EH28">
        <v>0.977993</v>
      </c>
      <c r="EI28">
        <v>2.2006899999999999E-2</v>
      </c>
      <c r="EJ28">
        <v>0</v>
      </c>
      <c r="EK28">
        <v>646.4</v>
      </c>
      <c r="EL28">
        <v>0.10001</v>
      </c>
      <c r="EM28">
        <v>16221.9</v>
      </c>
      <c r="EN28">
        <v>16351</v>
      </c>
      <c r="EO28">
        <v>46.686999999999998</v>
      </c>
      <c r="EP28">
        <v>49</v>
      </c>
      <c r="EQ28">
        <v>48.125</v>
      </c>
      <c r="ER28">
        <v>47.75</v>
      </c>
      <c r="ES28">
        <v>48.311999999999998</v>
      </c>
      <c r="ET28">
        <v>1760.03</v>
      </c>
      <c r="EU28">
        <v>39.6</v>
      </c>
      <c r="EV28">
        <v>0</v>
      </c>
      <c r="EW28">
        <v>97.399999856948853</v>
      </c>
      <c r="EX28">
        <v>0</v>
      </c>
      <c r="EY28">
        <v>648.64739999999995</v>
      </c>
      <c r="EZ28">
        <v>2.4988461351072919</v>
      </c>
      <c r="FA28">
        <v>-8.5538456701452805</v>
      </c>
      <c r="FB28">
        <v>16264.26</v>
      </c>
      <c r="FC28">
        <v>15</v>
      </c>
      <c r="FD28">
        <v>1691162117</v>
      </c>
      <c r="FE28" t="s">
        <v>477</v>
      </c>
      <c r="FF28">
        <v>1691162115</v>
      </c>
      <c r="FG28">
        <v>1691162117</v>
      </c>
      <c r="FH28">
        <v>13</v>
      </c>
      <c r="FI28">
        <v>0.16</v>
      </c>
      <c r="FJ28">
        <v>-3.0000000000000001E-3</v>
      </c>
      <c r="FK28">
        <v>3.7029999999999998</v>
      </c>
      <c r="FL28">
        <v>3.9E-2</v>
      </c>
      <c r="FM28">
        <v>900</v>
      </c>
      <c r="FN28">
        <v>23</v>
      </c>
      <c r="FO28">
        <v>0.09</v>
      </c>
      <c r="FP28">
        <v>0.04</v>
      </c>
      <c r="FQ28">
        <v>57.027781517266057</v>
      </c>
      <c r="FR28">
        <v>-0.14368617825885449</v>
      </c>
      <c r="FS28">
        <v>9.0294945546811903E-2</v>
      </c>
      <c r="FT28">
        <v>1</v>
      </c>
      <c r="FU28">
        <v>0.30152991155906328</v>
      </c>
      <c r="FV28">
        <v>-6.4050200223769553E-4</v>
      </c>
      <c r="FW28">
        <v>1.1604301993049051E-3</v>
      </c>
      <c r="FX28">
        <v>1</v>
      </c>
      <c r="FY28">
        <v>2</v>
      </c>
      <c r="FZ28">
        <v>2</v>
      </c>
      <c r="GA28" t="s">
        <v>419</v>
      </c>
      <c r="GB28">
        <v>2.8863699999999999</v>
      </c>
      <c r="GC28">
        <v>2.8213200000000001</v>
      </c>
      <c r="GD28">
        <v>0.14539299999999999</v>
      </c>
      <c r="GE28">
        <v>0.15479399999999999</v>
      </c>
      <c r="GF28">
        <v>0.12719800000000001</v>
      </c>
      <c r="GG28">
        <v>0.111125</v>
      </c>
      <c r="GH28">
        <v>26273.599999999999</v>
      </c>
      <c r="GI28">
        <v>24264</v>
      </c>
      <c r="GJ28">
        <v>28301.8</v>
      </c>
      <c r="GK28">
        <v>26962.5</v>
      </c>
      <c r="GL28">
        <v>34865.4</v>
      </c>
      <c r="GM28">
        <v>33468</v>
      </c>
      <c r="GN28">
        <v>41647.800000000003</v>
      </c>
      <c r="GO28">
        <v>39006.300000000003</v>
      </c>
      <c r="GP28">
        <v>2.0087999999999999</v>
      </c>
      <c r="GQ28">
        <v>1.7048000000000001</v>
      </c>
      <c r="GR28">
        <v>-1.8998999999999999E-2</v>
      </c>
      <c r="GS28">
        <v>0</v>
      </c>
      <c r="GT28">
        <v>30.3306</v>
      </c>
      <c r="GU28">
        <v>999.9</v>
      </c>
      <c r="GV28">
        <v>49</v>
      </c>
      <c r="GW28">
        <v>41.4</v>
      </c>
      <c r="GX28">
        <v>39.505299999999998</v>
      </c>
      <c r="GY28">
        <v>62.810600000000001</v>
      </c>
      <c r="GZ28">
        <v>32.191499999999998</v>
      </c>
      <c r="HA28">
        <v>1</v>
      </c>
      <c r="HB28">
        <v>0.91679900000000003</v>
      </c>
      <c r="HC28">
        <v>5.3051700000000004</v>
      </c>
      <c r="HD28">
        <v>20.164000000000001</v>
      </c>
      <c r="HE28">
        <v>5.2065099999999997</v>
      </c>
      <c r="HF28">
        <v>11.997999999999999</v>
      </c>
      <c r="HG28">
        <v>4.9866000000000001</v>
      </c>
      <c r="HH28">
        <v>3.2904</v>
      </c>
      <c r="HI28">
        <v>9999</v>
      </c>
      <c r="HJ28">
        <v>9999</v>
      </c>
      <c r="HK28">
        <v>9999</v>
      </c>
      <c r="HL28">
        <v>999.9</v>
      </c>
      <c r="HM28">
        <v>1.8672200000000001</v>
      </c>
      <c r="HN28">
        <v>1.8672200000000001</v>
      </c>
      <c r="HO28">
        <v>1.8637300000000001</v>
      </c>
      <c r="HP28">
        <v>1.86493</v>
      </c>
      <c r="HQ28">
        <v>1.8645099999999999</v>
      </c>
      <c r="HR28">
        <v>1.8603499999999999</v>
      </c>
      <c r="HS28">
        <v>1.86354</v>
      </c>
      <c r="HT28">
        <v>1.8663000000000001</v>
      </c>
      <c r="HU28">
        <v>5</v>
      </c>
      <c r="HV28">
        <v>0</v>
      </c>
      <c r="HW28">
        <v>0</v>
      </c>
      <c r="HX28">
        <v>0</v>
      </c>
      <c r="HY28" t="s">
        <v>420</v>
      </c>
      <c r="HZ28" t="s">
        <v>421</v>
      </c>
      <c r="IA28" t="s">
        <v>422</v>
      </c>
      <c r="IB28" t="s">
        <v>422</v>
      </c>
      <c r="IC28" t="s">
        <v>422</v>
      </c>
      <c r="ID28" t="s">
        <v>422</v>
      </c>
      <c r="IE28">
        <v>0</v>
      </c>
      <c r="IF28">
        <v>100</v>
      </c>
      <c r="IG28">
        <v>100</v>
      </c>
      <c r="IH28">
        <v>3.6150000000000002</v>
      </c>
      <c r="II28">
        <v>0.1363</v>
      </c>
      <c r="IJ28">
        <v>1.8324615994819831</v>
      </c>
      <c r="IK28">
        <v>3.5576830062418229E-3</v>
      </c>
      <c r="IL28">
        <v>-2.2646740813029151E-6</v>
      </c>
      <c r="IM28">
        <v>6.9609298295988525E-10</v>
      </c>
      <c r="IN28">
        <v>-0.16204488814145471</v>
      </c>
      <c r="IO28">
        <v>-9.4437069492282083E-4</v>
      </c>
      <c r="IP28">
        <v>5.2900373165634467E-4</v>
      </c>
      <c r="IQ28">
        <v>-3.977656803091445E-6</v>
      </c>
      <c r="IR28">
        <v>2</v>
      </c>
      <c r="IS28">
        <v>1759</v>
      </c>
      <c r="IT28">
        <v>2</v>
      </c>
      <c r="IU28">
        <v>42</v>
      </c>
      <c r="IV28">
        <v>0.6</v>
      </c>
      <c r="IW28">
        <v>0.6</v>
      </c>
      <c r="IX28">
        <v>1.9323699999999999</v>
      </c>
      <c r="IY28">
        <v>2.4121100000000002</v>
      </c>
      <c r="IZ28">
        <v>1.54297</v>
      </c>
      <c r="JA28">
        <v>2.3059099999999999</v>
      </c>
      <c r="JB28">
        <v>1.5466299999999999</v>
      </c>
      <c r="JC28">
        <v>2.4426299999999999</v>
      </c>
      <c r="JD28">
        <v>47.421599999999998</v>
      </c>
      <c r="JE28">
        <v>23.8598</v>
      </c>
      <c r="JF28">
        <v>18</v>
      </c>
      <c r="JG28">
        <v>530.80600000000004</v>
      </c>
      <c r="JH28">
        <v>436.024</v>
      </c>
      <c r="JI28">
        <v>23.8523</v>
      </c>
      <c r="JJ28">
        <v>38.0717</v>
      </c>
      <c r="JK28">
        <v>30.000599999999999</v>
      </c>
      <c r="JL28">
        <v>38.398699999999998</v>
      </c>
      <c r="JM28">
        <v>38.382599999999996</v>
      </c>
      <c r="JN28">
        <v>38.812399999999997</v>
      </c>
      <c r="JO28">
        <v>49.482399999999998</v>
      </c>
      <c r="JP28">
        <v>0</v>
      </c>
      <c r="JQ28">
        <v>23.839500000000001</v>
      </c>
      <c r="JR28">
        <v>900</v>
      </c>
      <c r="JS28">
        <v>22.845700000000001</v>
      </c>
      <c r="JT28">
        <v>98.668800000000005</v>
      </c>
      <c r="JU28">
        <v>96.524900000000002</v>
      </c>
    </row>
    <row r="29" spans="1:281" x14ac:dyDescent="0.25">
      <c r="A29">
        <v>13</v>
      </c>
      <c r="B29">
        <v>1691162274</v>
      </c>
      <c r="C29">
        <v>1362.5</v>
      </c>
      <c r="D29" t="s">
        <v>478</v>
      </c>
      <c r="E29" t="s">
        <v>479</v>
      </c>
      <c r="F29" t="s">
        <v>413</v>
      </c>
      <c r="G29">
        <v>1</v>
      </c>
      <c r="H29" t="s">
        <v>780</v>
      </c>
      <c r="I29">
        <v>1</v>
      </c>
      <c r="J29">
        <v>1691162274</v>
      </c>
      <c r="K29">
        <f t="shared" si="0"/>
        <v>4.3174711278590686E-3</v>
      </c>
      <c r="L29">
        <f t="shared" si="1"/>
        <v>4.3174711278590685</v>
      </c>
      <c r="M29">
        <f t="shared" si="2"/>
        <v>56.547373091671325</v>
      </c>
      <c r="N29">
        <f t="shared" si="3"/>
        <v>1126.23</v>
      </c>
      <c r="O29">
        <f t="shared" si="4"/>
        <v>776.50322025621108</v>
      </c>
      <c r="P29">
        <f t="shared" si="5"/>
        <v>77.003571484015524</v>
      </c>
      <c r="Q29">
        <f t="shared" si="6"/>
        <v>111.684961568901</v>
      </c>
      <c r="R29">
        <f t="shared" si="7"/>
        <v>0.29059810459959873</v>
      </c>
      <c r="S29">
        <f t="shared" si="8"/>
        <v>2.9170804798890622</v>
      </c>
      <c r="T29">
        <f t="shared" si="9"/>
        <v>0.27541984924820251</v>
      </c>
      <c r="U29">
        <f t="shared" si="10"/>
        <v>0.17343501978128342</v>
      </c>
      <c r="V29">
        <f t="shared" si="11"/>
        <v>344.4063999868012</v>
      </c>
      <c r="W29">
        <f t="shared" si="12"/>
        <v>30.756413277566484</v>
      </c>
      <c r="X29">
        <f t="shared" si="13"/>
        <v>29.986899999999999</v>
      </c>
      <c r="Y29">
        <f t="shared" si="14"/>
        <v>4.2572450340131791</v>
      </c>
      <c r="Z29">
        <f t="shared" si="15"/>
        <v>65.301555466783228</v>
      </c>
      <c r="AA29">
        <f t="shared" si="16"/>
        <v>2.7576882641989497</v>
      </c>
      <c r="AB29">
        <f t="shared" si="17"/>
        <v>4.223005477414234</v>
      </c>
      <c r="AC29">
        <f t="shared" si="18"/>
        <v>1.4995567698142294</v>
      </c>
      <c r="AD29">
        <f t="shared" si="19"/>
        <v>-190.40047673858493</v>
      </c>
      <c r="AE29">
        <f t="shared" si="20"/>
        <v>-22.095822817864875</v>
      </c>
      <c r="AF29">
        <f t="shared" si="21"/>
        <v>-1.6828384816956086</v>
      </c>
      <c r="AG29">
        <f t="shared" si="22"/>
        <v>130.22726194865578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52003.952897829564</v>
      </c>
      <c r="AM29" t="s">
        <v>414</v>
      </c>
      <c r="AN29">
        <v>10111.299999999999</v>
      </c>
      <c r="AO29">
        <v>608.58839999999998</v>
      </c>
      <c r="AP29">
        <v>2150.11</v>
      </c>
      <c r="AQ29">
        <f t="shared" si="26"/>
        <v>0.71695010952927984</v>
      </c>
      <c r="AR29">
        <v>-1.1786277417053079</v>
      </c>
      <c r="AS29" t="s">
        <v>480</v>
      </c>
      <c r="AT29">
        <v>8111.23</v>
      </c>
      <c r="AU29">
        <v>646.29379999999992</v>
      </c>
      <c r="AV29">
        <v>1088.131352103416</v>
      </c>
      <c r="AW29">
        <f t="shared" si="27"/>
        <v>0.40605166945086224</v>
      </c>
      <c r="AX29">
        <v>0.5</v>
      </c>
      <c r="AY29">
        <f t="shared" si="28"/>
        <v>1513.3223999934007</v>
      </c>
      <c r="AZ29">
        <f t="shared" si="29"/>
        <v>56.547373091671325</v>
      </c>
      <c r="BA29">
        <f t="shared" si="30"/>
        <v>307.24354346735294</v>
      </c>
      <c r="BB29">
        <f t="shared" si="31"/>
        <v>3.8145210058100218E-2</v>
      </c>
      <c r="BC29">
        <f t="shared" si="32"/>
        <v>0.97596548968442332</v>
      </c>
      <c r="BD29">
        <f t="shared" si="33"/>
        <v>476.85787765549162</v>
      </c>
      <c r="BE29" t="s">
        <v>481</v>
      </c>
      <c r="BF29">
        <v>504.29</v>
      </c>
      <c r="BG29">
        <f t="shared" si="34"/>
        <v>504.29</v>
      </c>
      <c r="BH29">
        <f t="shared" si="35"/>
        <v>0.53655411267658026</v>
      </c>
      <c r="BI29">
        <f t="shared" si="36"/>
        <v>0.75677673482976116</v>
      </c>
      <c r="BJ29">
        <f t="shared" si="37"/>
        <v>0.64525807676209068</v>
      </c>
      <c r="BK29">
        <f t="shared" si="38"/>
        <v>0.92137221528413049</v>
      </c>
      <c r="BL29">
        <f t="shared" si="39"/>
        <v>0.68891583997044481</v>
      </c>
      <c r="BM29">
        <f t="shared" si="40"/>
        <v>0.59049760280432884</v>
      </c>
      <c r="BN29">
        <f t="shared" si="41"/>
        <v>0.40950239719567116</v>
      </c>
      <c r="BO29">
        <v>6999</v>
      </c>
      <c r="BP29">
        <v>290.00000000000011</v>
      </c>
      <c r="BQ29">
        <v>926.11</v>
      </c>
      <c r="BR29">
        <v>285</v>
      </c>
      <c r="BS29">
        <v>8111.23</v>
      </c>
      <c r="BT29">
        <v>927.94</v>
      </c>
      <c r="BU29">
        <v>-1.83</v>
      </c>
      <c r="BV29">
        <v>300.00000000000011</v>
      </c>
      <c r="BW29">
        <v>19.2</v>
      </c>
      <c r="BX29">
        <v>1088.131352103416</v>
      </c>
      <c r="BY29">
        <v>3.5259576895760261</v>
      </c>
      <c r="BZ29">
        <v>-129.93888779308031</v>
      </c>
      <c r="CA29">
        <v>2.628168748352302</v>
      </c>
      <c r="CB29">
        <v>0.9886749593542824</v>
      </c>
      <c r="CC29">
        <v>-4.1789506117908808E-3</v>
      </c>
      <c r="CD29">
        <v>289.99999999999989</v>
      </c>
      <c r="CE29">
        <v>917.5</v>
      </c>
      <c r="CF29">
        <v>625</v>
      </c>
      <c r="CG29">
        <v>8106.94</v>
      </c>
      <c r="CH29">
        <v>927.85</v>
      </c>
      <c r="CI29">
        <v>-10.35</v>
      </c>
      <c r="CW29">
        <f t="shared" si="42"/>
        <v>1800.16</v>
      </c>
      <c r="CX29">
        <f t="shared" si="43"/>
        <v>1513.3223999934007</v>
      </c>
      <c r="CY29">
        <f t="shared" si="44"/>
        <v>0.84065994133488176</v>
      </c>
      <c r="CZ29">
        <f t="shared" si="45"/>
        <v>0.19131988266976335</v>
      </c>
      <c r="DA29">
        <v>6</v>
      </c>
      <c r="DB29">
        <v>0.5</v>
      </c>
      <c r="DC29" t="s">
        <v>417</v>
      </c>
      <c r="DD29">
        <v>2</v>
      </c>
      <c r="DE29">
        <v>1691162274</v>
      </c>
      <c r="DF29">
        <v>1126.23</v>
      </c>
      <c r="DG29">
        <v>1199.9000000000001</v>
      </c>
      <c r="DH29">
        <v>27.808499999999999</v>
      </c>
      <c r="DI29">
        <v>22.773099999999999</v>
      </c>
      <c r="DJ29">
        <v>1122.3399999999999</v>
      </c>
      <c r="DK29">
        <v>27.6782</v>
      </c>
      <c r="DL29">
        <v>500.14800000000002</v>
      </c>
      <c r="DM29">
        <v>99.067999999999998</v>
      </c>
      <c r="DN29">
        <v>9.9098699999999998E-2</v>
      </c>
      <c r="DO29">
        <v>29.846399999999999</v>
      </c>
      <c r="DP29">
        <v>29.986899999999999</v>
      </c>
      <c r="DQ29">
        <v>999.9</v>
      </c>
      <c r="DR29">
        <v>0</v>
      </c>
      <c r="DS29">
        <v>0</v>
      </c>
      <c r="DT29">
        <v>10022.5</v>
      </c>
      <c r="DU29">
        <v>0</v>
      </c>
      <c r="DV29">
        <v>1400.5</v>
      </c>
      <c r="DW29">
        <v>-73.668700000000001</v>
      </c>
      <c r="DX29">
        <v>1158.44</v>
      </c>
      <c r="DY29">
        <v>1227.8599999999999</v>
      </c>
      <c r="DZ29">
        <v>5.0354099999999997</v>
      </c>
      <c r="EA29">
        <v>1199.9000000000001</v>
      </c>
      <c r="EB29">
        <v>22.773099999999999</v>
      </c>
      <c r="EC29">
        <v>2.7549399999999999</v>
      </c>
      <c r="ED29">
        <v>2.2560899999999999</v>
      </c>
      <c r="EE29">
        <v>22.616499999999998</v>
      </c>
      <c r="EF29">
        <v>19.366299999999999</v>
      </c>
      <c r="EG29">
        <v>1800.16</v>
      </c>
      <c r="EH29">
        <v>0.97799999999999998</v>
      </c>
      <c r="EI29">
        <v>2.1999600000000001E-2</v>
      </c>
      <c r="EJ29">
        <v>0</v>
      </c>
      <c r="EK29">
        <v>646.33000000000004</v>
      </c>
      <c r="EL29">
        <v>0.10001</v>
      </c>
      <c r="EM29">
        <v>16148.3</v>
      </c>
      <c r="EN29">
        <v>16355</v>
      </c>
      <c r="EO29">
        <v>46.811999999999998</v>
      </c>
      <c r="EP29">
        <v>49.125</v>
      </c>
      <c r="EQ29">
        <v>48.25</v>
      </c>
      <c r="ER29">
        <v>47.936999999999998</v>
      </c>
      <c r="ES29">
        <v>48.436999999999998</v>
      </c>
      <c r="ET29">
        <v>1760.46</v>
      </c>
      <c r="EU29">
        <v>39.6</v>
      </c>
      <c r="EV29">
        <v>0</v>
      </c>
      <c r="EW29">
        <v>122</v>
      </c>
      <c r="EX29">
        <v>0</v>
      </c>
      <c r="EY29">
        <v>646.29379999999992</v>
      </c>
      <c r="EZ29">
        <v>-5.4742307648755899</v>
      </c>
      <c r="FA29">
        <v>-152.7000013690355</v>
      </c>
      <c r="FB29">
        <v>16195.02</v>
      </c>
      <c r="FC29">
        <v>15</v>
      </c>
      <c r="FD29">
        <v>1691162241.5</v>
      </c>
      <c r="FE29" t="s">
        <v>482</v>
      </c>
      <c r="FF29">
        <v>1691162241.5</v>
      </c>
      <c r="FG29">
        <v>1691162234.5</v>
      </c>
      <c r="FH29">
        <v>14</v>
      </c>
      <c r="FI29">
        <v>-7.0000000000000007E-2</v>
      </c>
      <c r="FJ29">
        <v>-2E-3</v>
      </c>
      <c r="FK29">
        <v>3.9710000000000001</v>
      </c>
      <c r="FL29">
        <v>3.9E-2</v>
      </c>
      <c r="FM29">
        <v>1200</v>
      </c>
      <c r="FN29">
        <v>23</v>
      </c>
      <c r="FO29">
        <v>0.15</v>
      </c>
      <c r="FP29">
        <v>0.06</v>
      </c>
      <c r="FQ29">
        <v>56.682578134261902</v>
      </c>
      <c r="FR29">
        <v>-0.54565134360419076</v>
      </c>
      <c r="FS29">
        <v>0.18654368057342491</v>
      </c>
      <c r="FT29">
        <v>1</v>
      </c>
      <c r="FU29">
        <v>0.28716378860539221</v>
      </c>
      <c r="FV29">
        <v>3.5869829236786642E-3</v>
      </c>
      <c r="FW29">
        <v>2.4711767241303259E-3</v>
      </c>
      <c r="FX29">
        <v>1</v>
      </c>
      <c r="FY29">
        <v>2</v>
      </c>
      <c r="FZ29">
        <v>2</v>
      </c>
      <c r="GA29" t="s">
        <v>419</v>
      </c>
      <c r="GB29">
        <v>2.8859900000000001</v>
      </c>
      <c r="GC29">
        <v>2.8204899999999999</v>
      </c>
      <c r="GD29">
        <v>0.17752499999999999</v>
      </c>
      <c r="GE29">
        <v>0.18581900000000001</v>
      </c>
      <c r="GF29">
        <v>0.12659500000000001</v>
      </c>
      <c r="GG29">
        <v>0.110861</v>
      </c>
      <c r="GH29">
        <v>25279.599999999999</v>
      </c>
      <c r="GI29">
        <v>23365.200000000001</v>
      </c>
      <c r="GJ29">
        <v>28298.2</v>
      </c>
      <c r="GK29">
        <v>26956.400000000001</v>
      </c>
      <c r="GL29">
        <v>34884.9</v>
      </c>
      <c r="GM29">
        <v>33471.599999999999</v>
      </c>
      <c r="GN29">
        <v>41641.4</v>
      </c>
      <c r="GO29">
        <v>38998.1</v>
      </c>
      <c r="GP29">
        <v>2.0072000000000001</v>
      </c>
      <c r="GQ29">
        <v>1.7034</v>
      </c>
      <c r="GR29">
        <v>-2.33948E-2</v>
      </c>
      <c r="GS29">
        <v>0</v>
      </c>
      <c r="GT29">
        <v>30.3675</v>
      </c>
      <c r="GU29">
        <v>999.9</v>
      </c>
      <c r="GV29">
        <v>48.7</v>
      </c>
      <c r="GW29">
        <v>41.7</v>
      </c>
      <c r="GX29">
        <v>39.885399999999997</v>
      </c>
      <c r="GY29">
        <v>62.620600000000003</v>
      </c>
      <c r="GZ29">
        <v>31.855</v>
      </c>
      <c r="HA29">
        <v>1</v>
      </c>
      <c r="HB29">
        <v>0.924898</v>
      </c>
      <c r="HC29">
        <v>5.1499300000000003</v>
      </c>
      <c r="HD29">
        <v>20.168500000000002</v>
      </c>
      <c r="HE29">
        <v>5.1999199999999997</v>
      </c>
      <c r="HF29">
        <v>11.997999999999999</v>
      </c>
      <c r="HG29">
        <v>4.9850000000000003</v>
      </c>
      <c r="HH29">
        <v>3.2888999999999999</v>
      </c>
      <c r="HI29">
        <v>9999</v>
      </c>
      <c r="HJ29">
        <v>9999</v>
      </c>
      <c r="HK29">
        <v>9999</v>
      </c>
      <c r="HL29">
        <v>999.9</v>
      </c>
      <c r="HM29">
        <v>1.86721</v>
      </c>
      <c r="HN29">
        <v>1.8672200000000001</v>
      </c>
      <c r="HO29">
        <v>1.8637300000000001</v>
      </c>
      <c r="HP29">
        <v>1.86493</v>
      </c>
      <c r="HQ29">
        <v>1.8645</v>
      </c>
      <c r="HR29">
        <v>1.8603499999999999</v>
      </c>
      <c r="HS29">
        <v>1.8635600000000001</v>
      </c>
      <c r="HT29">
        <v>1.86633</v>
      </c>
      <c r="HU29">
        <v>5</v>
      </c>
      <c r="HV29">
        <v>0</v>
      </c>
      <c r="HW29">
        <v>0</v>
      </c>
      <c r="HX29">
        <v>0</v>
      </c>
      <c r="HY29" t="s">
        <v>420</v>
      </c>
      <c r="HZ29" t="s">
        <v>421</v>
      </c>
      <c r="IA29" t="s">
        <v>422</v>
      </c>
      <c r="IB29" t="s">
        <v>422</v>
      </c>
      <c r="IC29" t="s">
        <v>422</v>
      </c>
      <c r="ID29" t="s">
        <v>422</v>
      </c>
      <c r="IE29">
        <v>0</v>
      </c>
      <c r="IF29">
        <v>100</v>
      </c>
      <c r="IG29">
        <v>100</v>
      </c>
      <c r="IH29">
        <v>3.89</v>
      </c>
      <c r="II29">
        <v>0.1303</v>
      </c>
      <c r="IJ29">
        <v>1.764402129417745</v>
      </c>
      <c r="IK29">
        <v>3.5576830062418229E-3</v>
      </c>
      <c r="IL29">
        <v>-2.2646740813029151E-6</v>
      </c>
      <c r="IM29">
        <v>6.9609298295988525E-10</v>
      </c>
      <c r="IN29">
        <v>-0.16447981682866111</v>
      </c>
      <c r="IO29">
        <v>-9.4437069492282083E-4</v>
      </c>
      <c r="IP29">
        <v>5.2900373165634467E-4</v>
      </c>
      <c r="IQ29">
        <v>-3.977656803091445E-6</v>
      </c>
      <c r="IR29">
        <v>2</v>
      </c>
      <c r="IS29">
        <v>1759</v>
      </c>
      <c r="IT29">
        <v>2</v>
      </c>
      <c r="IU29">
        <v>42</v>
      </c>
      <c r="IV29">
        <v>0.5</v>
      </c>
      <c r="IW29">
        <v>0.7</v>
      </c>
      <c r="IX29">
        <v>2.4584999999999999</v>
      </c>
      <c r="IY29">
        <v>2.4133300000000002</v>
      </c>
      <c r="IZ29">
        <v>1.54297</v>
      </c>
      <c r="JA29">
        <v>2.3059099999999999</v>
      </c>
      <c r="JB29">
        <v>1.5466299999999999</v>
      </c>
      <c r="JC29">
        <v>2.3767100000000001</v>
      </c>
      <c r="JD29">
        <v>47.632100000000001</v>
      </c>
      <c r="JE29">
        <v>23.851099999999999</v>
      </c>
      <c r="JF29">
        <v>18</v>
      </c>
      <c r="JG29">
        <v>530.44600000000003</v>
      </c>
      <c r="JH29">
        <v>435.66899999999998</v>
      </c>
      <c r="JI29">
        <v>23.849499999999999</v>
      </c>
      <c r="JJ29">
        <v>38.181100000000001</v>
      </c>
      <c r="JK29">
        <v>30.000499999999999</v>
      </c>
      <c r="JL29">
        <v>38.486600000000003</v>
      </c>
      <c r="JM29">
        <v>38.470199999999998</v>
      </c>
      <c r="JN29">
        <v>49.3508</v>
      </c>
      <c r="JO29">
        <v>49.749499999999998</v>
      </c>
      <c r="JP29">
        <v>0</v>
      </c>
      <c r="JQ29">
        <v>23.850999999999999</v>
      </c>
      <c r="JR29">
        <v>1200</v>
      </c>
      <c r="JS29">
        <v>22.8566</v>
      </c>
      <c r="JT29">
        <v>98.654499999999999</v>
      </c>
      <c r="JU29">
        <v>96.503900000000002</v>
      </c>
    </row>
    <row r="30" spans="1:281" x14ac:dyDescent="0.25">
      <c r="A30">
        <v>14</v>
      </c>
      <c r="B30">
        <v>1691162394</v>
      </c>
      <c r="C30">
        <v>1482.5</v>
      </c>
      <c r="D30" t="s">
        <v>483</v>
      </c>
      <c r="E30" t="s">
        <v>484</v>
      </c>
      <c r="F30" t="s">
        <v>413</v>
      </c>
      <c r="G30">
        <v>1</v>
      </c>
      <c r="H30" t="s">
        <v>780</v>
      </c>
      <c r="I30">
        <v>1</v>
      </c>
      <c r="J30">
        <v>1691162394</v>
      </c>
      <c r="K30">
        <f t="shared" si="0"/>
        <v>3.9328964452051331E-3</v>
      </c>
      <c r="L30">
        <f t="shared" si="1"/>
        <v>3.9328964452051327</v>
      </c>
      <c r="M30">
        <f t="shared" si="2"/>
        <v>56.85401228564448</v>
      </c>
      <c r="N30">
        <f t="shared" si="3"/>
        <v>1425.58</v>
      </c>
      <c r="O30">
        <f t="shared" si="4"/>
        <v>1028.3519879249445</v>
      </c>
      <c r="P30">
        <f t="shared" si="5"/>
        <v>101.98261889645757</v>
      </c>
      <c r="Q30">
        <f t="shared" si="6"/>
        <v>141.37608868708003</v>
      </c>
      <c r="R30">
        <f t="shared" si="7"/>
        <v>0.25894325132515539</v>
      </c>
      <c r="S30">
        <f t="shared" si="8"/>
        <v>2.9039980290635059</v>
      </c>
      <c r="T30">
        <f t="shared" si="9"/>
        <v>0.24676564848182958</v>
      </c>
      <c r="U30">
        <f t="shared" si="10"/>
        <v>0.15527490661970939</v>
      </c>
      <c r="V30">
        <f t="shared" si="11"/>
        <v>344.35699998679934</v>
      </c>
      <c r="W30">
        <f t="shared" si="12"/>
        <v>30.873453056117782</v>
      </c>
      <c r="X30">
        <f t="shared" si="13"/>
        <v>30.030899999999999</v>
      </c>
      <c r="Y30">
        <f t="shared" si="14"/>
        <v>4.2680173705838893</v>
      </c>
      <c r="Z30">
        <f t="shared" si="15"/>
        <v>64.913282915989882</v>
      </c>
      <c r="AA30">
        <f t="shared" si="16"/>
        <v>2.7433256575676004</v>
      </c>
      <c r="AB30">
        <f t="shared" si="17"/>
        <v>4.226139141842487</v>
      </c>
      <c r="AC30">
        <f t="shared" si="18"/>
        <v>1.5246917130162889</v>
      </c>
      <c r="AD30">
        <f t="shared" si="19"/>
        <v>-173.44073323354638</v>
      </c>
      <c r="AE30">
        <f t="shared" si="20"/>
        <v>-26.865754643076475</v>
      </c>
      <c r="AF30">
        <f t="shared" si="21"/>
        <v>-2.0559178946494439</v>
      </c>
      <c r="AG30">
        <f t="shared" si="22"/>
        <v>141.99459421552703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51629.714428734995</v>
      </c>
      <c r="AM30" t="s">
        <v>414</v>
      </c>
      <c r="AN30">
        <v>10111.299999999999</v>
      </c>
      <c r="AO30">
        <v>608.58839999999998</v>
      </c>
      <c r="AP30">
        <v>2150.11</v>
      </c>
      <c r="AQ30">
        <f t="shared" si="26"/>
        <v>0.71695010952927984</v>
      </c>
      <c r="AR30">
        <v>-1.1786277417053079</v>
      </c>
      <c r="AS30" t="s">
        <v>485</v>
      </c>
      <c r="AT30">
        <v>8111.33</v>
      </c>
      <c r="AU30">
        <v>643.66660000000002</v>
      </c>
      <c r="AV30">
        <v>1089.4630374152159</v>
      </c>
      <c r="AW30">
        <f t="shared" si="27"/>
        <v>0.40918913456016048</v>
      </c>
      <c r="AX30">
        <v>0.5</v>
      </c>
      <c r="AY30">
        <f t="shared" si="28"/>
        <v>1513.1039999933998</v>
      </c>
      <c r="AZ30">
        <f t="shared" si="29"/>
        <v>56.85401228564448</v>
      </c>
      <c r="BA30">
        <f t="shared" si="30"/>
        <v>309.5728581284082</v>
      </c>
      <c r="BB30">
        <f t="shared" si="31"/>
        <v>3.8353371630504528E-2</v>
      </c>
      <c r="BC30">
        <f t="shared" si="32"/>
        <v>0.97355020423749417</v>
      </c>
      <c r="BD30">
        <f t="shared" si="33"/>
        <v>477.11345267883542</v>
      </c>
      <c r="BE30" t="s">
        <v>486</v>
      </c>
      <c r="BF30">
        <v>502.23</v>
      </c>
      <c r="BG30">
        <f t="shared" si="34"/>
        <v>502.23</v>
      </c>
      <c r="BH30">
        <f t="shared" si="35"/>
        <v>0.53901143705475696</v>
      </c>
      <c r="BI30">
        <f t="shared" si="36"/>
        <v>0.75914740658571944</v>
      </c>
      <c r="BJ30">
        <f t="shared" si="37"/>
        <v>0.64364332511152766</v>
      </c>
      <c r="BK30">
        <f t="shared" si="38"/>
        <v>0.92705333725115679</v>
      </c>
      <c r="BL30">
        <f t="shared" si="39"/>
        <v>0.68805196280401404</v>
      </c>
      <c r="BM30">
        <f t="shared" si="40"/>
        <v>0.59233553831990948</v>
      </c>
      <c r="BN30">
        <f t="shared" si="41"/>
        <v>0.40766446168009052</v>
      </c>
      <c r="BO30">
        <v>7001</v>
      </c>
      <c r="BP30">
        <v>290.00000000000011</v>
      </c>
      <c r="BQ30">
        <v>926.3</v>
      </c>
      <c r="BR30">
        <v>275</v>
      </c>
      <c r="BS30">
        <v>8111.33</v>
      </c>
      <c r="BT30">
        <v>929.05</v>
      </c>
      <c r="BU30">
        <v>-2.75</v>
      </c>
      <c r="BV30">
        <v>300.00000000000011</v>
      </c>
      <c r="BW30">
        <v>19.2</v>
      </c>
      <c r="BX30">
        <v>1089.4630374152159</v>
      </c>
      <c r="BY30">
        <v>4.0917369645174997</v>
      </c>
      <c r="BZ30">
        <v>-130.11365672369891</v>
      </c>
      <c r="CA30">
        <v>3.0498016809892081</v>
      </c>
      <c r="CB30">
        <v>0.98484955605981794</v>
      </c>
      <c r="CC30">
        <v>-4.1788135706340409E-3</v>
      </c>
      <c r="CD30">
        <v>289.99999999999989</v>
      </c>
      <c r="CE30">
        <v>918.27</v>
      </c>
      <c r="CF30">
        <v>655</v>
      </c>
      <c r="CG30">
        <v>8106.03</v>
      </c>
      <c r="CH30">
        <v>928.95</v>
      </c>
      <c r="CI30">
        <v>-10.68</v>
      </c>
      <c r="CW30">
        <f t="shared" si="42"/>
        <v>1799.9</v>
      </c>
      <c r="CX30">
        <f t="shared" si="43"/>
        <v>1513.1039999933998</v>
      </c>
      <c r="CY30">
        <f t="shared" si="44"/>
        <v>0.84066003666503686</v>
      </c>
      <c r="CZ30">
        <f t="shared" si="45"/>
        <v>0.1913200733300735</v>
      </c>
      <c r="DA30">
        <v>6</v>
      </c>
      <c r="DB30">
        <v>0.5</v>
      </c>
      <c r="DC30" t="s">
        <v>417</v>
      </c>
      <c r="DD30">
        <v>2</v>
      </c>
      <c r="DE30">
        <v>1691162394</v>
      </c>
      <c r="DF30">
        <v>1425.58</v>
      </c>
      <c r="DG30">
        <v>1500.57</v>
      </c>
      <c r="DH30">
        <v>27.662600000000001</v>
      </c>
      <c r="DI30">
        <v>23.071400000000001</v>
      </c>
      <c r="DJ30">
        <v>1421.23</v>
      </c>
      <c r="DK30">
        <v>27.538699999999999</v>
      </c>
      <c r="DL30">
        <v>499.75200000000001</v>
      </c>
      <c r="DM30">
        <v>99.070700000000002</v>
      </c>
      <c r="DN30">
        <v>0.100226</v>
      </c>
      <c r="DO30">
        <v>29.859300000000001</v>
      </c>
      <c r="DP30">
        <v>30.030899999999999</v>
      </c>
      <c r="DQ30">
        <v>999.9</v>
      </c>
      <c r="DR30">
        <v>0</v>
      </c>
      <c r="DS30">
        <v>0</v>
      </c>
      <c r="DT30">
        <v>9947.5</v>
      </c>
      <c r="DU30">
        <v>0</v>
      </c>
      <c r="DV30">
        <v>1437.51</v>
      </c>
      <c r="DW30">
        <v>-74.9846</v>
      </c>
      <c r="DX30">
        <v>1466.14</v>
      </c>
      <c r="DY30">
        <v>1536.01</v>
      </c>
      <c r="DZ30">
        <v>4.5911499999999998</v>
      </c>
      <c r="EA30">
        <v>1500.57</v>
      </c>
      <c r="EB30">
        <v>23.071400000000001</v>
      </c>
      <c r="EC30">
        <v>2.7405499999999998</v>
      </c>
      <c r="ED30">
        <v>2.2856999999999998</v>
      </c>
      <c r="EE30">
        <v>22.5303</v>
      </c>
      <c r="EF30">
        <v>19.576000000000001</v>
      </c>
      <c r="EG30">
        <v>1799.9</v>
      </c>
      <c r="EH30">
        <v>0.97799700000000001</v>
      </c>
      <c r="EI30">
        <v>2.20033E-2</v>
      </c>
      <c r="EJ30">
        <v>0</v>
      </c>
      <c r="EK30">
        <v>643.57000000000005</v>
      </c>
      <c r="EL30">
        <v>0.10001</v>
      </c>
      <c r="EM30">
        <v>16192.4</v>
      </c>
      <c r="EN30">
        <v>16352.6</v>
      </c>
      <c r="EO30">
        <v>46.875</v>
      </c>
      <c r="EP30">
        <v>49.125</v>
      </c>
      <c r="EQ30">
        <v>48.25</v>
      </c>
      <c r="ER30">
        <v>47.875</v>
      </c>
      <c r="ES30">
        <v>48.436999999999998</v>
      </c>
      <c r="ET30">
        <v>1760.2</v>
      </c>
      <c r="EU30">
        <v>39.6</v>
      </c>
      <c r="EV30">
        <v>0</v>
      </c>
      <c r="EW30">
        <v>117.7999999523163</v>
      </c>
      <c r="EX30">
        <v>0</v>
      </c>
      <c r="EY30">
        <v>643.66660000000002</v>
      </c>
      <c r="EZ30">
        <v>-6.1676923588288721</v>
      </c>
      <c r="FA30">
        <v>17.784615366896031</v>
      </c>
      <c r="FB30">
        <v>16190.528</v>
      </c>
      <c r="FC30">
        <v>15</v>
      </c>
      <c r="FD30">
        <v>1691162356</v>
      </c>
      <c r="FE30" t="s">
        <v>487</v>
      </c>
      <c r="FF30">
        <v>1691162352</v>
      </c>
      <c r="FG30">
        <v>1691162356</v>
      </c>
      <c r="FH30">
        <v>15</v>
      </c>
      <c r="FI30">
        <v>0.112</v>
      </c>
      <c r="FJ30">
        <v>-4.0000000000000001E-3</v>
      </c>
      <c r="FK30">
        <v>4.46</v>
      </c>
      <c r="FL30">
        <v>3.5999999999999997E-2</v>
      </c>
      <c r="FM30">
        <v>1500</v>
      </c>
      <c r="FN30">
        <v>23</v>
      </c>
      <c r="FO30">
        <v>0.16</v>
      </c>
      <c r="FP30">
        <v>7.0000000000000007E-2</v>
      </c>
      <c r="FQ30">
        <v>56.271995054365362</v>
      </c>
      <c r="FR30">
        <v>-0.33261659493436307</v>
      </c>
      <c r="FS30">
        <v>0.17955565234504781</v>
      </c>
      <c r="FT30">
        <v>1</v>
      </c>
      <c r="FU30">
        <v>0.26287423134240318</v>
      </c>
      <c r="FV30">
        <v>-2.4349959677168981E-2</v>
      </c>
      <c r="FW30">
        <v>1.9960057715320782E-3</v>
      </c>
      <c r="FX30">
        <v>1</v>
      </c>
      <c r="FY30">
        <v>2</v>
      </c>
      <c r="FZ30">
        <v>2</v>
      </c>
      <c r="GA30" t="s">
        <v>419</v>
      </c>
      <c r="GB30">
        <v>2.8848400000000001</v>
      </c>
      <c r="GC30">
        <v>2.8209599999999999</v>
      </c>
      <c r="GD30">
        <v>0.20526800000000001</v>
      </c>
      <c r="GE30">
        <v>0.21284900000000001</v>
      </c>
      <c r="GF30">
        <v>0.126138</v>
      </c>
      <c r="GG30">
        <v>0.11185100000000001</v>
      </c>
      <c r="GH30">
        <v>24419.7</v>
      </c>
      <c r="GI30">
        <v>22582.400000000001</v>
      </c>
      <c r="GJ30">
        <v>28293.7</v>
      </c>
      <c r="GK30">
        <v>26951.8</v>
      </c>
      <c r="GL30">
        <v>34898.9</v>
      </c>
      <c r="GM30">
        <v>33429.5</v>
      </c>
      <c r="GN30">
        <v>41635.4</v>
      </c>
      <c r="GO30">
        <v>38991.800000000003</v>
      </c>
      <c r="GP30">
        <v>2.0055999999999998</v>
      </c>
      <c r="GQ30">
        <v>1.7021999999999999</v>
      </c>
      <c r="GR30">
        <v>-1.6316799999999999E-2</v>
      </c>
      <c r="GS30">
        <v>0</v>
      </c>
      <c r="GT30">
        <v>30.296399999999998</v>
      </c>
      <c r="GU30">
        <v>999.9</v>
      </c>
      <c r="GV30">
        <v>48.4</v>
      </c>
      <c r="GW30">
        <v>41.9</v>
      </c>
      <c r="GX30">
        <v>40.059399999999997</v>
      </c>
      <c r="GY30">
        <v>62.8307</v>
      </c>
      <c r="GZ30">
        <v>32.3598</v>
      </c>
      <c r="HA30">
        <v>1</v>
      </c>
      <c r="HB30">
        <v>0.9325</v>
      </c>
      <c r="HC30">
        <v>5.1758699999999997</v>
      </c>
      <c r="HD30">
        <v>20.168399999999998</v>
      </c>
      <c r="HE30">
        <v>5.2112999999999996</v>
      </c>
      <c r="HF30">
        <v>11.997999999999999</v>
      </c>
      <c r="HG30">
        <v>4.9896000000000003</v>
      </c>
      <c r="HH30">
        <v>3.2909999999999999</v>
      </c>
      <c r="HI30">
        <v>9999</v>
      </c>
      <c r="HJ30">
        <v>9999</v>
      </c>
      <c r="HK30">
        <v>9999</v>
      </c>
      <c r="HL30">
        <v>999.9</v>
      </c>
      <c r="HM30">
        <v>1.86721</v>
      </c>
      <c r="HN30">
        <v>1.8672299999999999</v>
      </c>
      <c r="HO30">
        <v>1.86381</v>
      </c>
      <c r="HP30">
        <v>1.86493</v>
      </c>
      <c r="HQ30">
        <v>1.8645499999999999</v>
      </c>
      <c r="HR30">
        <v>1.86036</v>
      </c>
      <c r="HS30">
        <v>1.8635600000000001</v>
      </c>
      <c r="HT30">
        <v>1.86635</v>
      </c>
      <c r="HU30">
        <v>5</v>
      </c>
      <c r="HV30">
        <v>0</v>
      </c>
      <c r="HW30">
        <v>0</v>
      </c>
      <c r="HX30">
        <v>0</v>
      </c>
      <c r="HY30" t="s">
        <v>420</v>
      </c>
      <c r="HZ30" t="s">
        <v>421</v>
      </c>
      <c r="IA30" t="s">
        <v>422</v>
      </c>
      <c r="IB30" t="s">
        <v>422</v>
      </c>
      <c r="IC30" t="s">
        <v>422</v>
      </c>
      <c r="ID30" t="s">
        <v>422</v>
      </c>
      <c r="IE30">
        <v>0</v>
      </c>
      <c r="IF30">
        <v>100</v>
      </c>
      <c r="IG30">
        <v>100</v>
      </c>
      <c r="IH30">
        <v>4.3499999999999996</v>
      </c>
      <c r="II30">
        <v>0.1239</v>
      </c>
      <c r="IJ30">
        <v>1.8761074608202499</v>
      </c>
      <c r="IK30">
        <v>3.5576830062418229E-3</v>
      </c>
      <c r="IL30">
        <v>-2.2646740813029151E-6</v>
      </c>
      <c r="IM30">
        <v>6.9609298295988525E-10</v>
      </c>
      <c r="IN30">
        <v>-0.16821743646033979</v>
      </c>
      <c r="IO30">
        <v>-9.4437069492282083E-4</v>
      </c>
      <c r="IP30">
        <v>5.2900373165634467E-4</v>
      </c>
      <c r="IQ30">
        <v>-3.977656803091445E-6</v>
      </c>
      <c r="IR30">
        <v>2</v>
      </c>
      <c r="IS30">
        <v>1759</v>
      </c>
      <c r="IT30">
        <v>2</v>
      </c>
      <c r="IU30">
        <v>42</v>
      </c>
      <c r="IV30">
        <v>0.7</v>
      </c>
      <c r="IW30">
        <v>0.6</v>
      </c>
      <c r="IX30">
        <v>2.9577599999999999</v>
      </c>
      <c r="IY30">
        <v>2.4108900000000002</v>
      </c>
      <c r="IZ30">
        <v>1.54297</v>
      </c>
      <c r="JA30">
        <v>2.3059099999999999</v>
      </c>
      <c r="JB30">
        <v>1.5466299999999999</v>
      </c>
      <c r="JC30">
        <v>2.3547400000000001</v>
      </c>
      <c r="JD30">
        <v>47.843699999999998</v>
      </c>
      <c r="JE30">
        <v>23.842300000000002</v>
      </c>
      <c r="JF30">
        <v>18</v>
      </c>
      <c r="JG30">
        <v>529.97500000000002</v>
      </c>
      <c r="JH30">
        <v>435.351</v>
      </c>
      <c r="JI30">
        <v>23.937000000000001</v>
      </c>
      <c r="JJ30">
        <v>38.258000000000003</v>
      </c>
      <c r="JK30">
        <v>30.000800000000002</v>
      </c>
      <c r="JL30">
        <v>38.560099999999998</v>
      </c>
      <c r="JM30">
        <v>38.543500000000002</v>
      </c>
      <c r="JN30">
        <v>59.351700000000001</v>
      </c>
      <c r="JO30">
        <v>49.469299999999997</v>
      </c>
      <c r="JP30">
        <v>0</v>
      </c>
      <c r="JQ30">
        <v>23.933700000000002</v>
      </c>
      <c r="JR30">
        <v>1500</v>
      </c>
      <c r="JS30">
        <v>23.090900000000001</v>
      </c>
      <c r="JT30">
        <v>98.639700000000005</v>
      </c>
      <c r="JU30">
        <v>96.488</v>
      </c>
    </row>
    <row r="31" spans="1:281" x14ac:dyDescent="0.25">
      <c r="A31">
        <v>15</v>
      </c>
      <c r="B31">
        <v>1691165942</v>
      </c>
      <c r="C31">
        <v>5030.5</v>
      </c>
      <c r="D31" t="s">
        <v>488</v>
      </c>
      <c r="E31" t="s">
        <v>489</v>
      </c>
      <c r="F31" t="s">
        <v>413</v>
      </c>
      <c r="G31" t="s">
        <v>490</v>
      </c>
      <c r="H31" t="s">
        <v>491</v>
      </c>
      <c r="I31" t="s">
        <v>31</v>
      </c>
      <c r="J31">
        <v>1691165942</v>
      </c>
      <c r="K31">
        <f t="shared" si="0"/>
        <v>5.4759086137597919E-3</v>
      </c>
      <c r="L31">
        <f t="shared" si="1"/>
        <v>5.4759086137597919</v>
      </c>
      <c r="M31">
        <f t="shared" si="2"/>
        <v>47.314582561815072</v>
      </c>
      <c r="N31">
        <f t="shared" si="3"/>
        <v>341.03399999999999</v>
      </c>
      <c r="O31">
        <f t="shared" si="4"/>
        <v>95.852509016022637</v>
      </c>
      <c r="P31">
        <f t="shared" si="5"/>
        <v>9.5090371338959887</v>
      </c>
      <c r="Q31">
        <f t="shared" si="6"/>
        <v>33.832238751090003</v>
      </c>
      <c r="R31">
        <f t="shared" si="7"/>
        <v>0.33377150885049667</v>
      </c>
      <c r="S31">
        <f t="shared" si="8"/>
        <v>2.9098594648955194</v>
      </c>
      <c r="T31">
        <f t="shared" si="9"/>
        <v>0.3138675519298082</v>
      </c>
      <c r="U31">
        <f t="shared" si="10"/>
        <v>0.19785652524628544</v>
      </c>
      <c r="V31">
        <f t="shared" si="11"/>
        <v>344.41969998680179</v>
      </c>
      <c r="W31">
        <f t="shared" si="12"/>
        <v>30.765890327277734</v>
      </c>
      <c r="X31">
        <f t="shared" si="13"/>
        <v>30.010899999999999</v>
      </c>
      <c r="Y31">
        <f t="shared" si="14"/>
        <v>4.2631179127510519</v>
      </c>
      <c r="Z31">
        <f t="shared" si="15"/>
        <v>60.297989349071592</v>
      </c>
      <c r="AA31">
        <f t="shared" si="16"/>
        <v>2.5921343606535001</v>
      </c>
      <c r="AB31">
        <f t="shared" si="17"/>
        <v>4.2988736252005912</v>
      </c>
      <c r="AC31">
        <f t="shared" si="18"/>
        <v>1.6709835520975518</v>
      </c>
      <c r="AD31">
        <f t="shared" si="19"/>
        <v>-241.48756986680684</v>
      </c>
      <c r="AE31">
        <f t="shared" si="20"/>
        <v>22.825507975095885</v>
      </c>
      <c r="AF31">
        <f t="shared" si="21"/>
        <v>1.745609898060094</v>
      </c>
      <c r="AG31">
        <f t="shared" si="22"/>
        <v>127.50324799315092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51746.248944089763</v>
      </c>
      <c r="AM31" t="s">
        <v>414</v>
      </c>
      <c r="AN31">
        <v>10111.299999999999</v>
      </c>
      <c r="AO31">
        <v>608.58839999999998</v>
      </c>
      <c r="AP31">
        <v>2150.11</v>
      </c>
      <c r="AQ31">
        <f t="shared" si="26"/>
        <v>0.71695010952927984</v>
      </c>
      <c r="AR31">
        <v>-1.1786277417053079</v>
      </c>
      <c r="AS31" t="s">
        <v>492</v>
      </c>
      <c r="AT31">
        <v>8096.65</v>
      </c>
      <c r="AU31">
        <v>646.27980000000014</v>
      </c>
      <c r="AV31">
        <v>1009.750091400111</v>
      </c>
      <c r="AW31">
        <f t="shared" si="27"/>
        <v>0.35996064223784918</v>
      </c>
      <c r="AX31">
        <v>0.5</v>
      </c>
      <c r="AY31">
        <f t="shared" si="28"/>
        <v>1513.381199993401</v>
      </c>
      <c r="AZ31">
        <f t="shared" si="29"/>
        <v>47.314582561815072</v>
      </c>
      <c r="BA31">
        <f t="shared" si="30"/>
        <v>272.37883435015573</v>
      </c>
      <c r="BB31">
        <f t="shared" si="31"/>
        <v>3.2042958048991113E-2</v>
      </c>
      <c r="BC31">
        <f t="shared" si="32"/>
        <v>1.1293486559814769</v>
      </c>
      <c r="BD31">
        <f t="shared" si="33"/>
        <v>461.16990095198207</v>
      </c>
      <c r="BE31" t="s">
        <v>493</v>
      </c>
      <c r="BF31">
        <v>509.97</v>
      </c>
      <c r="BG31">
        <f t="shared" si="34"/>
        <v>509.97</v>
      </c>
      <c r="BH31">
        <f t="shared" si="35"/>
        <v>0.49495424229882479</v>
      </c>
      <c r="BI31">
        <f t="shared" si="36"/>
        <v>0.72726044445241012</v>
      </c>
      <c r="BJ31">
        <f t="shared" si="37"/>
        <v>0.69528205433675716</v>
      </c>
      <c r="BK31">
        <f t="shared" si="38"/>
        <v>0.906044368622408</v>
      </c>
      <c r="BL31">
        <f t="shared" si="39"/>
        <v>0.73976252334050263</v>
      </c>
      <c r="BM31">
        <f t="shared" si="40"/>
        <v>0.57387064992189996</v>
      </c>
      <c r="BN31">
        <f t="shared" si="41"/>
        <v>0.42612935007810004</v>
      </c>
      <c r="BO31">
        <v>7003</v>
      </c>
      <c r="BP31">
        <v>290.00000000000011</v>
      </c>
      <c r="BQ31">
        <v>874.2</v>
      </c>
      <c r="BR31">
        <v>275</v>
      </c>
      <c r="BS31">
        <v>8096.65</v>
      </c>
      <c r="BT31">
        <v>876.3</v>
      </c>
      <c r="BU31">
        <v>-2.1</v>
      </c>
      <c r="BV31">
        <v>300.00000000000011</v>
      </c>
      <c r="BW31">
        <v>19.2</v>
      </c>
      <c r="BX31">
        <v>1009.750091400111</v>
      </c>
      <c r="BY31">
        <v>3.4627344847828971</v>
      </c>
      <c r="BZ31">
        <v>-108.0484921752488</v>
      </c>
      <c r="CA31">
        <v>2.5762876482254251</v>
      </c>
      <c r="CB31">
        <v>0.98433067344927605</v>
      </c>
      <c r="CC31">
        <v>-4.1713739710789776E-3</v>
      </c>
      <c r="CD31">
        <v>289.99999999999989</v>
      </c>
      <c r="CE31">
        <v>866.24</v>
      </c>
      <c r="CF31">
        <v>625</v>
      </c>
      <c r="CG31">
        <v>8091.92</v>
      </c>
      <c r="CH31">
        <v>876.22</v>
      </c>
      <c r="CI31">
        <v>-9.98</v>
      </c>
      <c r="CW31">
        <f t="shared" si="42"/>
        <v>1800.23</v>
      </c>
      <c r="CX31">
        <f t="shared" si="43"/>
        <v>1513.381199993401</v>
      </c>
      <c r="CY31">
        <f t="shared" si="44"/>
        <v>0.84065991567377552</v>
      </c>
      <c r="CZ31">
        <f t="shared" si="45"/>
        <v>0.19131983134755101</v>
      </c>
      <c r="DA31">
        <v>6</v>
      </c>
      <c r="DB31">
        <v>0.5</v>
      </c>
      <c r="DC31" t="s">
        <v>417</v>
      </c>
      <c r="DD31">
        <v>2</v>
      </c>
      <c r="DE31">
        <v>1691165942</v>
      </c>
      <c r="DF31">
        <v>341.03399999999999</v>
      </c>
      <c r="DG31">
        <v>400.03500000000003</v>
      </c>
      <c r="DH31">
        <v>26.129100000000001</v>
      </c>
      <c r="DI31">
        <v>19.7316</v>
      </c>
      <c r="DJ31">
        <v>338.51900000000001</v>
      </c>
      <c r="DK31">
        <v>26.009</v>
      </c>
      <c r="DL31">
        <v>500.14800000000002</v>
      </c>
      <c r="DM31">
        <v>99.104799999999997</v>
      </c>
      <c r="DN31">
        <v>0.10008499999999999</v>
      </c>
      <c r="DO31">
        <v>30.156400000000001</v>
      </c>
      <c r="DP31">
        <v>30.010899999999999</v>
      </c>
      <c r="DQ31">
        <v>999.9</v>
      </c>
      <c r="DR31">
        <v>0</v>
      </c>
      <c r="DS31">
        <v>0</v>
      </c>
      <c r="DT31">
        <v>9977.5</v>
      </c>
      <c r="DU31">
        <v>0</v>
      </c>
      <c r="DV31">
        <v>1833.83</v>
      </c>
      <c r="DW31">
        <v>-59.001300000000001</v>
      </c>
      <c r="DX31">
        <v>350.18400000000003</v>
      </c>
      <c r="DY31">
        <v>408.08699999999999</v>
      </c>
      <c r="DZ31">
        <v>6.3974599999999997</v>
      </c>
      <c r="EA31">
        <v>400.03500000000003</v>
      </c>
      <c r="EB31">
        <v>19.7316</v>
      </c>
      <c r="EC31">
        <v>2.5895199999999998</v>
      </c>
      <c r="ED31">
        <v>1.9555</v>
      </c>
      <c r="EE31">
        <v>21.600300000000001</v>
      </c>
      <c r="EF31">
        <v>17.0885</v>
      </c>
      <c r="EG31">
        <v>1800.23</v>
      </c>
      <c r="EH31">
        <v>0.97800299999999996</v>
      </c>
      <c r="EI31">
        <v>2.19974E-2</v>
      </c>
      <c r="EJ31">
        <v>0</v>
      </c>
      <c r="EK31">
        <v>648.66499999999996</v>
      </c>
      <c r="EL31">
        <v>0.10001</v>
      </c>
      <c r="EM31">
        <v>17591.7</v>
      </c>
      <c r="EN31">
        <v>16355.6</v>
      </c>
      <c r="EO31">
        <v>47.5</v>
      </c>
      <c r="EP31">
        <v>50.125</v>
      </c>
      <c r="EQ31">
        <v>48.936999999999998</v>
      </c>
      <c r="ER31">
        <v>49</v>
      </c>
      <c r="ES31">
        <v>49.125</v>
      </c>
      <c r="ET31">
        <v>1760.53</v>
      </c>
      <c r="EU31">
        <v>39.6</v>
      </c>
      <c r="EV31">
        <v>0</v>
      </c>
      <c r="EW31">
        <v>3545.599999904633</v>
      </c>
      <c r="EX31">
        <v>0</v>
      </c>
      <c r="EY31">
        <v>646.27980000000014</v>
      </c>
      <c r="EZ31">
        <v>9.1361536796974701</v>
      </c>
      <c r="FA31">
        <v>91.661538363427894</v>
      </c>
      <c r="FB31">
        <v>17586.060000000001</v>
      </c>
      <c r="FC31">
        <v>15</v>
      </c>
      <c r="FD31">
        <v>1691165912.5</v>
      </c>
      <c r="FE31" t="s">
        <v>494</v>
      </c>
      <c r="FF31">
        <v>1691165905.5</v>
      </c>
      <c r="FG31">
        <v>1691165912.5</v>
      </c>
      <c r="FH31">
        <v>17</v>
      </c>
      <c r="FI31">
        <v>0.24199999999999999</v>
      </c>
      <c r="FJ31">
        <v>1.0999999999999999E-2</v>
      </c>
      <c r="FK31">
        <v>2.6429999999999998</v>
      </c>
      <c r="FL31">
        <v>1.2E-2</v>
      </c>
      <c r="FM31">
        <v>400</v>
      </c>
      <c r="FN31">
        <v>20</v>
      </c>
      <c r="FO31">
        <v>0.11</v>
      </c>
      <c r="FP31">
        <v>0.05</v>
      </c>
      <c r="FQ31">
        <v>47.119396408186759</v>
      </c>
      <c r="FR31">
        <v>-0.66121182119551614</v>
      </c>
      <c r="FS31">
        <v>0.12735600298191341</v>
      </c>
      <c r="FT31">
        <v>1</v>
      </c>
      <c r="FU31">
        <v>0.3393400467133032</v>
      </c>
      <c r="FV31">
        <v>-3.0602235078706391E-2</v>
      </c>
      <c r="FW31">
        <v>3.4768526410809092E-3</v>
      </c>
      <c r="FX31">
        <v>1</v>
      </c>
      <c r="FY31">
        <v>2</v>
      </c>
      <c r="FZ31">
        <v>2</v>
      </c>
      <c r="GA31" t="s">
        <v>419</v>
      </c>
      <c r="GB31">
        <v>2.8845399999999999</v>
      </c>
      <c r="GC31">
        <v>2.8210799999999998</v>
      </c>
      <c r="GD31">
        <v>7.5944300000000006E-2</v>
      </c>
      <c r="GE31">
        <v>8.7039000000000005E-2</v>
      </c>
      <c r="GF31">
        <v>0.12107999999999999</v>
      </c>
      <c r="GG31">
        <v>0.10012600000000001</v>
      </c>
      <c r="GH31">
        <v>28358.6</v>
      </c>
      <c r="GI31">
        <v>26151.9</v>
      </c>
      <c r="GJ31">
        <v>28254.1</v>
      </c>
      <c r="GK31">
        <v>26905.5</v>
      </c>
      <c r="GL31">
        <v>35049.4</v>
      </c>
      <c r="GM31">
        <v>33819.300000000003</v>
      </c>
      <c r="GN31">
        <v>41574.1</v>
      </c>
      <c r="GO31">
        <v>38934.300000000003</v>
      </c>
      <c r="GP31">
        <v>1.9993000000000001</v>
      </c>
      <c r="GQ31">
        <v>1.6812</v>
      </c>
      <c r="GR31">
        <v>-5.1409000000000003E-2</v>
      </c>
      <c r="GS31">
        <v>0</v>
      </c>
      <c r="GT31">
        <v>30.846900000000002</v>
      </c>
      <c r="GU31">
        <v>999.9</v>
      </c>
      <c r="GV31">
        <v>48.7</v>
      </c>
      <c r="GW31">
        <v>42.6</v>
      </c>
      <c r="GX31">
        <v>41.805100000000003</v>
      </c>
      <c r="GY31">
        <v>62.748699999999999</v>
      </c>
      <c r="GZ31">
        <v>31.818899999999999</v>
      </c>
      <c r="HA31">
        <v>1</v>
      </c>
      <c r="HB31">
        <v>0.99872000000000005</v>
      </c>
      <c r="HC31">
        <v>5.1006499999999999</v>
      </c>
      <c r="HD31">
        <v>20.171299999999999</v>
      </c>
      <c r="HE31">
        <v>5.2053099999999999</v>
      </c>
      <c r="HF31">
        <v>11.997999999999999</v>
      </c>
      <c r="HG31">
        <v>4.9882</v>
      </c>
      <c r="HH31">
        <v>3.2909999999999999</v>
      </c>
      <c r="HI31">
        <v>9999</v>
      </c>
      <c r="HJ31">
        <v>9999</v>
      </c>
      <c r="HK31">
        <v>9999</v>
      </c>
      <c r="HL31">
        <v>999.9</v>
      </c>
      <c r="HM31">
        <v>1.8668100000000001</v>
      </c>
      <c r="HN31">
        <v>1.8668899999999999</v>
      </c>
      <c r="HO31">
        <v>1.8633999999999999</v>
      </c>
      <c r="HP31">
        <v>1.8645499999999999</v>
      </c>
      <c r="HQ31">
        <v>1.8641700000000001</v>
      </c>
      <c r="HR31">
        <v>1.8599699999999999</v>
      </c>
      <c r="HS31">
        <v>1.8632</v>
      </c>
      <c r="HT31">
        <v>1.8660000000000001</v>
      </c>
      <c r="HU31">
        <v>5</v>
      </c>
      <c r="HV31">
        <v>0</v>
      </c>
      <c r="HW31">
        <v>0</v>
      </c>
      <c r="HX31">
        <v>0</v>
      </c>
      <c r="HY31" t="s">
        <v>420</v>
      </c>
      <c r="HZ31" t="s">
        <v>421</v>
      </c>
      <c r="IA31" t="s">
        <v>422</v>
      </c>
      <c r="IB31" t="s">
        <v>422</v>
      </c>
      <c r="IC31" t="s">
        <v>422</v>
      </c>
      <c r="ID31" t="s">
        <v>422</v>
      </c>
      <c r="IE31">
        <v>0</v>
      </c>
      <c r="IF31">
        <v>100</v>
      </c>
      <c r="IG31">
        <v>100</v>
      </c>
      <c r="IH31">
        <v>2.5150000000000001</v>
      </c>
      <c r="II31">
        <v>0.1201</v>
      </c>
      <c r="IJ31">
        <v>1.5428817959930381</v>
      </c>
      <c r="IK31">
        <v>3.5576830062418229E-3</v>
      </c>
      <c r="IL31">
        <v>-2.2646740813029151E-6</v>
      </c>
      <c r="IM31">
        <v>6.9609298295988525E-10</v>
      </c>
      <c r="IN31">
        <v>-0.14320989790880789</v>
      </c>
      <c r="IO31">
        <v>-9.4437069492282083E-4</v>
      </c>
      <c r="IP31">
        <v>5.2900373165634467E-4</v>
      </c>
      <c r="IQ31">
        <v>-3.977656803091445E-6</v>
      </c>
      <c r="IR31">
        <v>2</v>
      </c>
      <c r="IS31">
        <v>1759</v>
      </c>
      <c r="IT31">
        <v>2</v>
      </c>
      <c r="IU31">
        <v>42</v>
      </c>
      <c r="IV31">
        <v>0.6</v>
      </c>
      <c r="IW31">
        <v>0.5</v>
      </c>
      <c r="IX31">
        <v>0.97412100000000001</v>
      </c>
      <c r="IY31">
        <v>2.4255399999999998</v>
      </c>
      <c r="IZ31">
        <v>1.54297</v>
      </c>
      <c r="JA31">
        <v>2.3046899999999999</v>
      </c>
      <c r="JB31">
        <v>1.5466299999999999</v>
      </c>
      <c r="JC31">
        <v>2.3645</v>
      </c>
      <c r="JD31">
        <v>46.0657</v>
      </c>
      <c r="JE31">
        <v>23.877400000000002</v>
      </c>
      <c r="JF31">
        <v>18</v>
      </c>
      <c r="JG31">
        <v>532.01</v>
      </c>
      <c r="JH31">
        <v>426.58499999999998</v>
      </c>
      <c r="JI31">
        <v>24.337199999999999</v>
      </c>
      <c r="JJ31">
        <v>38.9803</v>
      </c>
      <c r="JK31">
        <v>30.000800000000002</v>
      </c>
      <c r="JL31">
        <v>39.357100000000003</v>
      </c>
      <c r="JM31">
        <v>39.342100000000002</v>
      </c>
      <c r="JN31">
        <v>19.619599999999998</v>
      </c>
      <c r="JO31">
        <v>58.503500000000003</v>
      </c>
      <c r="JP31">
        <v>0</v>
      </c>
      <c r="JQ31">
        <v>24.3413</v>
      </c>
      <c r="JR31">
        <v>400</v>
      </c>
      <c r="JS31">
        <v>19.762599999999999</v>
      </c>
      <c r="JT31">
        <v>98.497399999999999</v>
      </c>
      <c r="JU31">
        <v>96.336200000000005</v>
      </c>
    </row>
    <row r="32" spans="1:281" x14ac:dyDescent="0.25">
      <c r="A32">
        <v>16</v>
      </c>
      <c r="B32">
        <v>1691166044</v>
      </c>
      <c r="C32">
        <v>5132.5</v>
      </c>
      <c r="D32" t="s">
        <v>495</v>
      </c>
      <c r="E32" t="s">
        <v>496</v>
      </c>
      <c r="F32" t="s">
        <v>413</v>
      </c>
      <c r="G32" t="s">
        <v>490</v>
      </c>
      <c r="H32" t="s">
        <v>491</v>
      </c>
      <c r="I32" t="s">
        <v>31</v>
      </c>
      <c r="J32">
        <v>1691166044</v>
      </c>
      <c r="K32">
        <f t="shared" si="0"/>
        <v>5.586186070524881E-3</v>
      </c>
      <c r="L32">
        <f t="shared" si="1"/>
        <v>5.5861860705248807</v>
      </c>
      <c r="M32">
        <f t="shared" si="2"/>
        <v>36.100574014203247</v>
      </c>
      <c r="N32">
        <f t="shared" si="3"/>
        <v>254.95599999999999</v>
      </c>
      <c r="O32">
        <f t="shared" si="4"/>
        <v>72.947769420324562</v>
      </c>
      <c r="P32">
        <f t="shared" si="5"/>
        <v>7.2368896408216896</v>
      </c>
      <c r="Q32">
        <f t="shared" si="6"/>
        <v>25.293281068458001</v>
      </c>
      <c r="R32">
        <f t="shared" si="7"/>
        <v>0.34359260666403579</v>
      </c>
      <c r="S32">
        <f t="shared" si="8"/>
        <v>2.9116441639635555</v>
      </c>
      <c r="T32">
        <f t="shared" si="9"/>
        <v>0.32255178031941645</v>
      </c>
      <c r="U32">
        <f t="shared" si="10"/>
        <v>0.20337783423812383</v>
      </c>
      <c r="V32">
        <f t="shared" si="11"/>
        <v>344.37729998680339</v>
      </c>
      <c r="W32">
        <f t="shared" si="12"/>
        <v>30.687532144905941</v>
      </c>
      <c r="X32">
        <f t="shared" si="13"/>
        <v>29.996200000000002</v>
      </c>
      <c r="Y32">
        <f t="shared" si="14"/>
        <v>4.2595199372389567</v>
      </c>
      <c r="Z32">
        <f t="shared" si="15"/>
        <v>60.669836511914468</v>
      </c>
      <c r="AA32">
        <f t="shared" si="16"/>
        <v>2.6007964373880004</v>
      </c>
      <c r="AB32">
        <f t="shared" si="17"/>
        <v>4.2868031082913021</v>
      </c>
      <c r="AC32">
        <f t="shared" si="18"/>
        <v>1.6587234998509564</v>
      </c>
      <c r="AD32">
        <f t="shared" si="19"/>
        <v>-246.35080571014726</v>
      </c>
      <c r="AE32">
        <f t="shared" si="20"/>
        <v>17.455348690636953</v>
      </c>
      <c r="AF32">
        <f t="shared" si="21"/>
        <v>1.3336812841971961</v>
      </c>
      <c r="AG32">
        <f t="shared" si="22"/>
        <v>116.8155242514903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51805.379434153008</v>
      </c>
      <c r="AM32" t="s">
        <v>414</v>
      </c>
      <c r="AN32">
        <v>10111.299999999999</v>
      </c>
      <c r="AO32">
        <v>608.58839999999998</v>
      </c>
      <c r="AP32">
        <v>2150.11</v>
      </c>
      <c r="AQ32">
        <f t="shared" si="26"/>
        <v>0.71695010952927984</v>
      </c>
      <c r="AR32">
        <v>-1.1786277417053079</v>
      </c>
      <c r="AS32" t="s">
        <v>497</v>
      </c>
      <c r="AT32">
        <v>8095.56</v>
      </c>
      <c r="AU32">
        <v>610.82538461538468</v>
      </c>
      <c r="AV32">
        <v>883.97760408182933</v>
      </c>
      <c r="AW32">
        <f t="shared" si="27"/>
        <v>0.30900355190577777</v>
      </c>
      <c r="AX32">
        <v>0.5</v>
      </c>
      <c r="AY32">
        <f t="shared" si="28"/>
        <v>1513.1960999934015</v>
      </c>
      <c r="AZ32">
        <f t="shared" si="29"/>
        <v>36.100574014203247</v>
      </c>
      <c r="BA32">
        <f t="shared" si="30"/>
        <v>233.79148481396578</v>
      </c>
      <c r="BB32">
        <f t="shared" si="31"/>
        <v>2.463606782760748E-2</v>
      </c>
      <c r="BC32">
        <f t="shared" si="32"/>
        <v>1.4323127532549633</v>
      </c>
      <c r="BD32">
        <f t="shared" si="33"/>
        <v>433.03079934189572</v>
      </c>
      <c r="BE32" t="s">
        <v>498</v>
      </c>
      <c r="BF32">
        <v>500.79</v>
      </c>
      <c r="BG32">
        <f t="shared" si="34"/>
        <v>500.79</v>
      </c>
      <c r="BH32">
        <f t="shared" si="35"/>
        <v>0.43348112249952186</v>
      </c>
      <c r="BI32">
        <f t="shared" si="36"/>
        <v>0.71284200364715677</v>
      </c>
      <c r="BJ32">
        <f t="shared" si="37"/>
        <v>0.76766934004206022</v>
      </c>
      <c r="BK32">
        <f t="shared" si="38"/>
        <v>0.99187700686073377</v>
      </c>
      <c r="BL32">
        <f t="shared" si="39"/>
        <v>0.82135235465929957</v>
      </c>
      <c r="BM32">
        <f t="shared" si="40"/>
        <v>0.58442912818896686</v>
      </c>
      <c r="BN32">
        <f t="shared" si="41"/>
        <v>0.41557087181103314</v>
      </c>
      <c r="BO32">
        <v>7005</v>
      </c>
      <c r="BP32">
        <v>290.00000000000011</v>
      </c>
      <c r="BQ32">
        <v>789.23</v>
      </c>
      <c r="BR32">
        <v>265</v>
      </c>
      <c r="BS32">
        <v>8095.56</v>
      </c>
      <c r="BT32">
        <v>790.5</v>
      </c>
      <c r="BU32">
        <v>-1.27</v>
      </c>
      <c r="BV32">
        <v>300.00000000000011</v>
      </c>
      <c r="BW32">
        <v>19.2</v>
      </c>
      <c r="BX32">
        <v>883.97760408182933</v>
      </c>
      <c r="BY32">
        <v>3.0355436206659152</v>
      </c>
      <c r="BZ32">
        <v>-75.67228930157323</v>
      </c>
      <c r="CA32">
        <v>2.2580526468835802</v>
      </c>
      <c r="CB32">
        <v>0.97567474093594686</v>
      </c>
      <c r="CC32">
        <v>-4.1706667408231276E-3</v>
      </c>
      <c r="CD32">
        <v>289.99999999999989</v>
      </c>
      <c r="CE32">
        <v>785.24</v>
      </c>
      <c r="CF32">
        <v>645</v>
      </c>
      <c r="CG32">
        <v>8090.01</v>
      </c>
      <c r="CH32">
        <v>790.44</v>
      </c>
      <c r="CI32">
        <v>-5.2</v>
      </c>
      <c r="CW32">
        <f t="shared" si="42"/>
        <v>1800.01</v>
      </c>
      <c r="CX32">
        <f t="shared" si="43"/>
        <v>1513.1960999934015</v>
      </c>
      <c r="CY32">
        <f t="shared" si="44"/>
        <v>0.84065982966394714</v>
      </c>
      <c r="CZ32">
        <f t="shared" si="45"/>
        <v>0.19131965932789452</v>
      </c>
      <c r="DA32">
        <v>6</v>
      </c>
      <c r="DB32">
        <v>0.5</v>
      </c>
      <c r="DC32" t="s">
        <v>417</v>
      </c>
      <c r="DD32">
        <v>2</v>
      </c>
      <c r="DE32">
        <v>1691166044</v>
      </c>
      <c r="DF32">
        <v>254.95599999999999</v>
      </c>
      <c r="DG32">
        <v>299.99</v>
      </c>
      <c r="DH32">
        <v>26.216000000000001</v>
      </c>
      <c r="DI32">
        <v>19.6877</v>
      </c>
      <c r="DJ32">
        <v>252.47900000000001</v>
      </c>
      <c r="DK32">
        <v>26.093800000000002</v>
      </c>
      <c r="DL32">
        <v>499.95299999999997</v>
      </c>
      <c r="DM32">
        <v>99.106700000000004</v>
      </c>
      <c r="DN32">
        <v>9.9755499999999997E-2</v>
      </c>
      <c r="DO32">
        <v>30.107399999999998</v>
      </c>
      <c r="DP32">
        <v>29.996200000000002</v>
      </c>
      <c r="DQ32">
        <v>999.9</v>
      </c>
      <c r="DR32">
        <v>0</v>
      </c>
      <c r="DS32">
        <v>0</v>
      </c>
      <c r="DT32">
        <v>9987.5</v>
      </c>
      <c r="DU32">
        <v>0</v>
      </c>
      <c r="DV32">
        <v>1827.54</v>
      </c>
      <c r="DW32">
        <v>-45.033900000000003</v>
      </c>
      <c r="DX32">
        <v>261.82</v>
      </c>
      <c r="DY32">
        <v>306.01499999999999</v>
      </c>
      <c r="DZ32">
        <v>6.5283199999999999</v>
      </c>
      <c r="EA32">
        <v>299.99</v>
      </c>
      <c r="EB32">
        <v>19.6877</v>
      </c>
      <c r="EC32">
        <v>2.5981800000000002</v>
      </c>
      <c r="ED32">
        <v>1.9511799999999999</v>
      </c>
      <c r="EE32">
        <v>21.655000000000001</v>
      </c>
      <c r="EF32">
        <v>17.053699999999999</v>
      </c>
      <c r="EG32">
        <v>1800.01</v>
      </c>
      <c r="EH32">
        <v>0.97800299999999996</v>
      </c>
      <c r="EI32">
        <v>2.19974E-2</v>
      </c>
      <c r="EJ32">
        <v>0</v>
      </c>
      <c r="EK32">
        <v>607.65499999999997</v>
      </c>
      <c r="EL32">
        <v>0.10001</v>
      </c>
      <c r="EM32">
        <v>16910</v>
      </c>
      <c r="EN32">
        <v>16353.6</v>
      </c>
      <c r="EO32">
        <v>47.75</v>
      </c>
      <c r="EP32">
        <v>50.436999999999998</v>
      </c>
      <c r="EQ32">
        <v>49.186999999999998</v>
      </c>
      <c r="ER32">
        <v>49.311999999999998</v>
      </c>
      <c r="ES32">
        <v>49.375</v>
      </c>
      <c r="ET32">
        <v>1760.32</v>
      </c>
      <c r="EU32">
        <v>39.590000000000003</v>
      </c>
      <c r="EV32">
        <v>0</v>
      </c>
      <c r="EW32">
        <v>99.800000190734863</v>
      </c>
      <c r="EX32">
        <v>0</v>
      </c>
      <c r="EY32">
        <v>610.82538461538468</v>
      </c>
      <c r="EZ32">
        <v>-11.91760673947153</v>
      </c>
      <c r="FA32">
        <v>-128.3384611776022</v>
      </c>
      <c r="FB32">
        <v>16889.849999999999</v>
      </c>
      <c r="FC32">
        <v>15</v>
      </c>
      <c r="FD32">
        <v>1691166016.5</v>
      </c>
      <c r="FE32" t="s">
        <v>499</v>
      </c>
      <c r="FF32">
        <v>1691166009.5</v>
      </c>
      <c r="FG32">
        <v>1691166016.5</v>
      </c>
      <c r="FH32">
        <v>18</v>
      </c>
      <c r="FI32">
        <v>0.16900000000000001</v>
      </c>
      <c r="FJ32">
        <v>1E-3</v>
      </c>
      <c r="FK32">
        <v>2.5880000000000001</v>
      </c>
      <c r="FL32">
        <v>1.4E-2</v>
      </c>
      <c r="FM32">
        <v>300</v>
      </c>
      <c r="FN32">
        <v>20</v>
      </c>
      <c r="FO32">
        <v>0.13</v>
      </c>
      <c r="FP32">
        <v>0.05</v>
      </c>
      <c r="FQ32">
        <v>36.058684793195987</v>
      </c>
      <c r="FR32">
        <v>-0.14934319121278389</v>
      </c>
      <c r="FS32">
        <v>8.3013309434293872E-2</v>
      </c>
      <c r="FT32">
        <v>1</v>
      </c>
      <c r="FU32">
        <v>0.34353739211128081</v>
      </c>
      <c r="FV32">
        <v>3.8894767432271743E-2</v>
      </c>
      <c r="FW32">
        <v>3.3197395837043721E-3</v>
      </c>
      <c r="FX32">
        <v>1</v>
      </c>
      <c r="FY32">
        <v>2</v>
      </c>
      <c r="FZ32">
        <v>2</v>
      </c>
      <c r="GA32" t="s">
        <v>419</v>
      </c>
      <c r="GB32">
        <v>2.8837700000000002</v>
      </c>
      <c r="GC32">
        <v>2.82084</v>
      </c>
      <c r="GD32">
        <v>5.9591499999999999E-2</v>
      </c>
      <c r="GE32">
        <v>6.9211099999999998E-2</v>
      </c>
      <c r="GF32">
        <v>0.12132800000000001</v>
      </c>
      <c r="GG32">
        <v>9.9946999999999994E-2</v>
      </c>
      <c r="GH32">
        <v>28852.799999999999</v>
      </c>
      <c r="GI32">
        <v>26657.200000000001</v>
      </c>
      <c r="GJ32">
        <v>28247.599999999999</v>
      </c>
      <c r="GK32">
        <v>26901.1</v>
      </c>
      <c r="GL32">
        <v>35032.1</v>
      </c>
      <c r="GM32">
        <v>33821.300000000003</v>
      </c>
      <c r="GN32">
        <v>41564.9</v>
      </c>
      <c r="GO32">
        <v>38929</v>
      </c>
      <c r="GP32">
        <v>1.9971000000000001</v>
      </c>
      <c r="GQ32">
        <v>1.6795</v>
      </c>
      <c r="GR32">
        <v>-6.2614699999999995E-2</v>
      </c>
      <c r="GS32">
        <v>0</v>
      </c>
      <c r="GT32">
        <v>31.014299999999999</v>
      </c>
      <c r="GU32">
        <v>999.9</v>
      </c>
      <c r="GV32">
        <v>48.8</v>
      </c>
      <c r="GW32">
        <v>42.6</v>
      </c>
      <c r="GX32">
        <v>41.893599999999999</v>
      </c>
      <c r="GY32">
        <v>62.778700000000001</v>
      </c>
      <c r="GZ32">
        <v>31.995200000000001</v>
      </c>
      <c r="HA32">
        <v>1</v>
      </c>
      <c r="HB32">
        <v>1.0140199999999999</v>
      </c>
      <c r="HC32">
        <v>5.7745600000000001</v>
      </c>
      <c r="HD32">
        <v>20.151399999999999</v>
      </c>
      <c r="HE32">
        <v>5.2112999999999996</v>
      </c>
      <c r="HF32">
        <v>11.997999999999999</v>
      </c>
      <c r="HG32">
        <v>4.9866000000000001</v>
      </c>
      <c r="HH32">
        <v>3.2909999999999999</v>
      </c>
      <c r="HI32">
        <v>9999</v>
      </c>
      <c r="HJ32">
        <v>9999</v>
      </c>
      <c r="HK32">
        <v>9999</v>
      </c>
      <c r="HL32">
        <v>999.9</v>
      </c>
      <c r="HM32">
        <v>1.8667899999999999</v>
      </c>
      <c r="HN32">
        <v>1.8669100000000001</v>
      </c>
      <c r="HO32">
        <v>1.8633999999999999</v>
      </c>
      <c r="HP32">
        <v>1.86459</v>
      </c>
      <c r="HQ32">
        <v>1.8641700000000001</v>
      </c>
      <c r="HR32">
        <v>1.86002</v>
      </c>
      <c r="HS32">
        <v>1.8632200000000001</v>
      </c>
      <c r="HT32">
        <v>1.8660000000000001</v>
      </c>
      <c r="HU32">
        <v>5</v>
      </c>
      <c r="HV32">
        <v>0</v>
      </c>
      <c r="HW32">
        <v>0</v>
      </c>
      <c r="HX32">
        <v>0</v>
      </c>
      <c r="HY32" t="s">
        <v>420</v>
      </c>
      <c r="HZ32" t="s">
        <v>421</v>
      </c>
      <c r="IA32" t="s">
        <v>422</v>
      </c>
      <c r="IB32" t="s">
        <v>422</v>
      </c>
      <c r="IC32" t="s">
        <v>422</v>
      </c>
      <c r="ID32" t="s">
        <v>422</v>
      </c>
      <c r="IE32">
        <v>0</v>
      </c>
      <c r="IF32">
        <v>100</v>
      </c>
      <c r="IG32">
        <v>100</v>
      </c>
      <c r="IH32">
        <v>2.4769999999999999</v>
      </c>
      <c r="II32">
        <v>0.1222</v>
      </c>
      <c r="IJ32">
        <v>1.7122565954555771</v>
      </c>
      <c r="IK32">
        <v>3.5576830062418229E-3</v>
      </c>
      <c r="IL32">
        <v>-2.2646740813029151E-6</v>
      </c>
      <c r="IM32">
        <v>6.9609298295988525E-10</v>
      </c>
      <c r="IN32">
        <v>-0.1426689945883286</v>
      </c>
      <c r="IO32">
        <v>-9.4437069492282083E-4</v>
      </c>
      <c r="IP32">
        <v>5.2900373165634467E-4</v>
      </c>
      <c r="IQ32">
        <v>-3.977656803091445E-6</v>
      </c>
      <c r="IR32">
        <v>2</v>
      </c>
      <c r="IS32">
        <v>1759</v>
      </c>
      <c r="IT32">
        <v>2</v>
      </c>
      <c r="IU32">
        <v>42</v>
      </c>
      <c r="IV32">
        <v>0.6</v>
      </c>
      <c r="IW32">
        <v>0.5</v>
      </c>
      <c r="IX32">
        <v>0.76415999999999995</v>
      </c>
      <c r="IY32">
        <v>2.4182100000000002</v>
      </c>
      <c r="IZ32">
        <v>1.54297</v>
      </c>
      <c r="JA32">
        <v>2.3034699999999999</v>
      </c>
      <c r="JB32">
        <v>1.5466299999999999</v>
      </c>
      <c r="JC32">
        <v>2.4194300000000002</v>
      </c>
      <c r="JD32">
        <v>46.123699999999999</v>
      </c>
      <c r="JE32">
        <v>23.877400000000002</v>
      </c>
      <c r="JF32">
        <v>18</v>
      </c>
      <c r="JG32">
        <v>531.35699999999997</v>
      </c>
      <c r="JH32">
        <v>426.12</v>
      </c>
      <c r="JI32">
        <v>23.797699999999999</v>
      </c>
      <c r="JJ32">
        <v>39.124400000000001</v>
      </c>
      <c r="JK32">
        <v>30.000399999999999</v>
      </c>
      <c r="JL32">
        <v>39.46</v>
      </c>
      <c r="JM32">
        <v>39.445900000000002</v>
      </c>
      <c r="JN32">
        <v>15.4087</v>
      </c>
      <c r="JO32">
        <v>58.700899999999997</v>
      </c>
      <c r="JP32">
        <v>0</v>
      </c>
      <c r="JQ32">
        <v>24.189299999999999</v>
      </c>
      <c r="JR32">
        <v>300</v>
      </c>
      <c r="JS32">
        <v>19.635100000000001</v>
      </c>
      <c r="JT32">
        <v>98.475300000000004</v>
      </c>
      <c r="JU32">
        <v>96.322000000000003</v>
      </c>
    </row>
    <row r="33" spans="1:281" x14ac:dyDescent="0.25">
      <c r="A33">
        <v>17</v>
      </c>
      <c r="B33">
        <v>1691166150.0999999</v>
      </c>
      <c r="C33">
        <v>5238.5999999046326</v>
      </c>
      <c r="D33" t="s">
        <v>500</v>
      </c>
      <c r="E33" t="s">
        <v>501</v>
      </c>
      <c r="F33" t="s">
        <v>413</v>
      </c>
      <c r="G33" t="s">
        <v>490</v>
      </c>
      <c r="H33" t="s">
        <v>491</v>
      </c>
      <c r="I33" t="s">
        <v>31</v>
      </c>
      <c r="J33">
        <v>1691166150.0999999</v>
      </c>
      <c r="K33">
        <f t="shared" si="0"/>
        <v>6.2034532635271604E-3</v>
      </c>
      <c r="L33">
        <f t="shared" si="1"/>
        <v>6.2034532635271606</v>
      </c>
      <c r="M33">
        <f t="shared" si="2"/>
        <v>25.306100183838204</v>
      </c>
      <c r="N33">
        <f t="shared" si="3"/>
        <v>168.441</v>
      </c>
      <c r="O33">
        <f t="shared" si="4"/>
        <v>53.946149189961446</v>
      </c>
      <c r="P33">
        <f t="shared" si="5"/>
        <v>5.3520699485767418</v>
      </c>
      <c r="Q33">
        <f t="shared" si="6"/>
        <v>16.711257944171699</v>
      </c>
      <c r="R33">
        <f t="shared" si="7"/>
        <v>0.38605587541206005</v>
      </c>
      <c r="S33">
        <f t="shared" si="8"/>
        <v>2.9147888868862926</v>
      </c>
      <c r="T33">
        <f t="shared" si="9"/>
        <v>0.35973320331430275</v>
      </c>
      <c r="U33">
        <f t="shared" si="10"/>
        <v>0.22704850168478885</v>
      </c>
      <c r="V33">
        <f t="shared" si="11"/>
        <v>344.38299998680367</v>
      </c>
      <c r="W33">
        <f t="shared" si="12"/>
        <v>30.537042707127576</v>
      </c>
      <c r="X33">
        <f t="shared" si="13"/>
        <v>29.961400000000001</v>
      </c>
      <c r="Y33">
        <f t="shared" si="14"/>
        <v>4.2510128272709569</v>
      </c>
      <c r="Z33">
        <f t="shared" si="15"/>
        <v>60.594753354400574</v>
      </c>
      <c r="AA33">
        <f t="shared" si="16"/>
        <v>2.5992181513275598</v>
      </c>
      <c r="AB33">
        <f t="shared" si="17"/>
        <v>4.2895102421252727</v>
      </c>
      <c r="AC33">
        <f t="shared" si="18"/>
        <v>1.651794675943397</v>
      </c>
      <c r="AD33">
        <f t="shared" si="19"/>
        <v>-273.57228892154779</v>
      </c>
      <c r="AE33">
        <f t="shared" si="20"/>
        <v>24.671309459760774</v>
      </c>
      <c r="AF33">
        <f t="shared" si="21"/>
        <v>1.8827635192735201</v>
      </c>
      <c r="AG33">
        <f t="shared" si="22"/>
        <v>97.364784044290161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51893.024968540274</v>
      </c>
      <c r="AM33" t="s">
        <v>414</v>
      </c>
      <c r="AN33">
        <v>10111.299999999999</v>
      </c>
      <c r="AO33">
        <v>608.58839999999998</v>
      </c>
      <c r="AP33">
        <v>2150.11</v>
      </c>
      <c r="AQ33">
        <f t="shared" si="26"/>
        <v>0.71695010952927984</v>
      </c>
      <c r="AR33">
        <v>-1.1786277417053079</v>
      </c>
      <c r="AS33" t="s">
        <v>502</v>
      </c>
      <c r="AT33">
        <v>8094.46</v>
      </c>
      <c r="AU33">
        <v>593.02365384615382</v>
      </c>
      <c r="AV33">
        <v>776.04597545029753</v>
      </c>
      <c r="AW33">
        <f t="shared" si="27"/>
        <v>0.23583953450431305</v>
      </c>
      <c r="AX33">
        <v>0.5</v>
      </c>
      <c r="AY33">
        <f t="shared" si="28"/>
        <v>1513.2212999934018</v>
      </c>
      <c r="AZ33">
        <f t="shared" si="29"/>
        <v>25.306100183838204</v>
      </c>
      <c r="BA33">
        <f t="shared" si="30"/>
        <v>178.43870349622767</v>
      </c>
      <c r="BB33">
        <f t="shared" si="31"/>
        <v>1.7502217240570824E-2</v>
      </c>
      <c r="BC33">
        <f t="shared" si="32"/>
        <v>1.7705961605591827</v>
      </c>
      <c r="BD33">
        <f t="shared" si="33"/>
        <v>405.41017755355665</v>
      </c>
      <c r="BE33" t="s">
        <v>503</v>
      </c>
      <c r="BF33">
        <v>480.31</v>
      </c>
      <c r="BG33">
        <f t="shared" si="34"/>
        <v>480.31</v>
      </c>
      <c r="BH33">
        <f t="shared" si="35"/>
        <v>0.38108048338076606</v>
      </c>
      <c r="BI33">
        <f t="shared" si="36"/>
        <v>0.61887067112977301</v>
      </c>
      <c r="BJ33">
        <f t="shared" si="37"/>
        <v>0.82289137893741904</v>
      </c>
      <c r="BK33">
        <f t="shared" si="38"/>
        <v>1.0929473994353027</v>
      </c>
      <c r="BL33">
        <f t="shared" si="39"/>
        <v>0.89136864806156624</v>
      </c>
      <c r="BM33">
        <f t="shared" si="40"/>
        <v>0.50124437722252446</v>
      </c>
      <c r="BN33">
        <f t="shared" si="41"/>
        <v>0.49875562277747554</v>
      </c>
      <c r="BO33">
        <v>7007</v>
      </c>
      <c r="BP33">
        <v>290.00000000000011</v>
      </c>
      <c r="BQ33">
        <v>718.22</v>
      </c>
      <c r="BR33">
        <v>265</v>
      </c>
      <c r="BS33">
        <v>8094.46</v>
      </c>
      <c r="BT33">
        <v>720.26</v>
      </c>
      <c r="BU33">
        <v>-2.04</v>
      </c>
      <c r="BV33">
        <v>300.00000000000011</v>
      </c>
      <c r="BW33">
        <v>19.2</v>
      </c>
      <c r="BX33">
        <v>776.04597545029753</v>
      </c>
      <c r="BY33">
        <v>3.2448581533658181</v>
      </c>
      <c r="BZ33">
        <v>-45.155800361081099</v>
      </c>
      <c r="CA33">
        <v>2.4134369562581011</v>
      </c>
      <c r="CB33">
        <v>0.92593968449690389</v>
      </c>
      <c r="CC33">
        <v>-4.1699012235817757E-3</v>
      </c>
      <c r="CD33">
        <v>289.99999999999989</v>
      </c>
      <c r="CE33">
        <v>717.59</v>
      </c>
      <c r="CF33">
        <v>645</v>
      </c>
      <c r="CG33">
        <v>8088.94</v>
      </c>
      <c r="CH33">
        <v>720.22</v>
      </c>
      <c r="CI33">
        <v>-2.63</v>
      </c>
      <c r="CW33">
        <f t="shared" si="42"/>
        <v>1800.04</v>
      </c>
      <c r="CX33">
        <f t="shared" si="43"/>
        <v>1513.2212999934018</v>
      </c>
      <c r="CY33">
        <f t="shared" si="44"/>
        <v>0.84065981866703066</v>
      </c>
      <c r="CZ33">
        <f t="shared" si="45"/>
        <v>0.19131963733406129</v>
      </c>
      <c r="DA33">
        <v>6</v>
      </c>
      <c r="DB33">
        <v>0.5</v>
      </c>
      <c r="DC33" t="s">
        <v>417</v>
      </c>
      <c r="DD33">
        <v>2</v>
      </c>
      <c r="DE33">
        <v>1691166150.0999999</v>
      </c>
      <c r="DF33">
        <v>168.441</v>
      </c>
      <c r="DG33">
        <v>200.07</v>
      </c>
      <c r="DH33">
        <v>26.198799999999999</v>
      </c>
      <c r="DI33">
        <v>18.947900000000001</v>
      </c>
      <c r="DJ33">
        <v>166.334</v>
      </c>
      <c r="DK33">
        <v>26.0763</v>
      </c>
      <c r="DL33">
        <v>499.87700000000001</v>
      </c>
      <c r="DM33">
        <v>99.111400000000003</v>
      </c>
      <c r="DN33">
        <v>9.9943699999999996E-2</v>
      </c>
      <c r="DO33">
        <v>30.118400000000001</v>
      </c>
      <c r="DP33">
        <v>29.961400000000001</v>
      </c>
      <c r="DQ33">
        <v>999.9</v>
      </c>
      <c r="DR33">
        <v>0</v>
      </c>
      <c r="DS33">
        <v>0</v>
      </c>
      <c r="DT33">
        <v>10005</v>
      </c>
      <c r="DU33">
        <v>0</v>
      </c>
      <c r="DV33">
        <v>1824</v>
      </c>
      <c r="DW33">
        <v>-31.6297</v>
      </c>
      <c r="DX33">
        <v>172.97200000000001</v>
      </c>
      <c r="DY33">
        <v>203.935</v>
      </c>
      <c r="DZ33">
        <v>7.2509899999999998</v>
      </c>
      <c r="EA33">
        <v>200.07</v>
      </c>
      <c r="EB33">
        <v>18.947900000000001</v>
      </c>
      <c r="EC33">
        <v>2.5966</v>
      </c>
      <c r="ED33">
        <v>1.87795</v>
      </c>
      <c r="EE33">
        <v>21.645</v>
      </c>
      <c r="EF33">
        <v>16.4512</v>
      </c>
      <c r="EG33">
        <v>1800.04</v>
      </c>
      <c r="EH33">
        <v>0.97800600000000004</v>
      </c>
      <c r="EI33">
        <v>2.1993800000000001E-2</v>
      </c>
      <c r="EJ33">
        <v>0</v>
      </c>
      <c r="EK33">
        <v>593.97500000000002</v>
      </c>
      <c r="EL33">
        <v>0.10001</v>
      </c>
      <c r="EM33">
        <v>16542.8</v>
      </c>
      <c r="EN33">
        <v>16353.9</v>
      </c>
      <c r="EO33">
        <v>47.811999999999998</v>
      </c>
      <c r="EP33">
        <v>50.561999999999998</v>
      </c>
      <c r="EQ33">
        <v>49.311999999999998</v>
      </c>
      <c r="ER33">
        <v>49.311999999999998</v>
      </c>
      <c r="ES33">
        <v>49.436999999999998</v>
      </c>
      <c r="ET33">
        <v>1760.35</v>
      </c>
      <c r="EU33">
        <v>39.590000000000003</v>
      </c>
      <c r="EV33">
        <v>0</v>
      </c>
      <c r="EW33">
        <v>104</v>
      </c>
      <c r="EX33">
        <v>0</v>
      </c>
      <c r="EY33">
        <v>593.02365384615382</v>
      </c>
      <c r="EZ33">
        <v>-9.9717948804473959</v>
      </c>
      <c r="FA33">
        <v>-119.2034183385515</v>
      </c>
      <c r="FB33">
        <v>16530.22692307692</v>
      </c>
      <c r="FC33">
        <v>15</v>
      </c>
      <c r="FD33">
        <v>1691166121.5</v>
      </c>
      <c r="FE33" t="s">
        <v>504</v>
      </c>
      <c r="FF33">
        <v>1691166106.5</v>
      </c>
      <c r="FG33">
        <v>1691166121.5</v>
      </c>
      <c r="FH33">
        <v>19</v>
      </c>
      <c r="FI33">
        <v>-0.13800000000000001</v>
      </c>
      <c r="FJ33">
        <v>1E-3</v>
      </c>
      <c r="FK33">
        <v>2.1949999999999998</v>
      </c>
      <c r="FL33">
        <v>6.0000000000000001E-3</v>
      </c>
      <c r="FM33">
        <v>200</v>
      </c>
      <c r="FN33">
        <v>19</v>
      </c>
      <c r="FO33">
        <v>0.15</v>
      </c>
      <c r="FP33">
        <v>0.03</v>
      </c>
      <c r="FQ33">
        <v>25.250994824449791</v>
      </c>
      <c r="FR33">
        <v>-0.3962779213256164</v>
      </c>
      <c r="FS33">
        <v>9.8808361626288366E-2</v>
      </c>
      <c r="FT33">
        <v>1</v>
      </c>
      <c r="FU33">
        <v>0.39177657163067992</v>
      </c>
      <c r="FV33">
        <v>-2.5650111239548669E-2</v>
      </c>
      <c r="FW33">
        <v>2.8517998192476241E-3</v>
      </c>
      <c r="FX33">
        <v>1</v>
      </c>
      <c r="FY33">
        <v>2</v>
      </c>
      <c r="FZ33">
        <v>2</v>
      </c>
      <c r="GA33" t="s">
        <v>419</v>
      </c>
      <c r="GB33">
        <v>2.8833299999999999</v>
      </c>
      <c r="GC33">
        <v>2.82118</v>
      </c>
      <c r="GD33">
        <v>4.12193E-2</v>
      </c>
      <c r="GE33">
        <v>4.89606E-2</v>
      </c>
      <c r="GF33">
        <v>0.12124500000000001</v>
      </c>
      <c r="GG33">
        <v>9.7258200000000003E-2</v>
      </c>
      <c r="GH33">
        <v>29409.5</v>
      </c>
      <c r="GI33">
        <v>27227.200000000001</v>
      </c>
      <c r="GJ33">
        <v>28242.3</v>
      </c>
      <c r="GK33">
        <v>26892.799999999999</v>
      </c>
      <c r="GL33">
        <v>35028.800000000003</v>
      </c>
      <c r="GM33">
        <v>33912.699999999997</v>
      </c>
      <c r="GN33">
        <v>41556.699999999997</v>
      </c>
      <c r="GO33">
        <v>38918.400000000001</v>
      </c>
      <c r="GP33">
        <v>1.9966999999999999</v>
      </c>
      <c r="GQ33">
        <v>1.6758</v>
      </c>
      <c r="GR33">
        <v>-6.1541800000000001E-2</v>
      </c>
      <c r="GS33">
        <v>0</v>
      </c>
      <c r="GT33">
        <v>30.9621</v>
      </c>
      <c r="GU33">
        <v>999.9</v>
      </c>
      <c r="GV33">
        <v>48.9</v>
      </c>
      <c r="GW33">
        <v>42.6</v>
      </c>
      <c r="GX33">
        <v>41.975499999999997</v>
      </c>
      <c r="GY33">
        <v>62.727800000000002</v>
      </c>
      <c r="GZ33">
        <v>32.335700000000003</v>
      </c>
      <c r="HA33">
        <v>1</v>
      </c>
      <c r="HB33">
        <v>1.02047</v>
      </c>
      <c r="HC33">
        <v>4.9140800000000002</v>
      </c>
      <c r="HD33">
        <v>20.1769</v>
      </c>
      <c r="HE33">
        <v>5.2053099999999999</v>
      </c>
      <c r="HF33">
        <v>11.997999999999999</v>
      </c>
      <c r="HG33">
        <v>4.9871999999999996</v>
      </c>
      <c r="HH33">
        <v>3.2909999999999999</v>
      </c>
      <c r="HI33">
        <v>9999</v>
      </c>
      <c r="HJ33">
        <v>9999</v>
      </c>
      <c r="HK33">
        <v>9999</v>
      </c>
      <c r="HL33">
        <v>999.9</v>
      </c>
      <c r="HM33">
        <v>1.8667899999999999</v>
      </c>
      <c r="HN33">
        <v>1.8668899999999999</v>
      </c>
      <c r="HO33">
        <v>1.8633999999999999</v>
      </c>
      <c r="HP33">
        <v>1.8645</v>
      </c>
      <c r="HQ33">
        <v>1.8641700000000001</v>
      </c>
      <c r="HR33">
        <v>1.86005</v>
      </c>
      <c r="HS33">
        <v>1.8631800000000001</v>
      </c>
      <c r="HT33">
        <v>1.8660000000000001</v>
      </c>
      <c r="HU33">
        <v>5</v>
      </c>
      <c r="HV33">
        <v>0</v>
      </c>
      <c r="HW33">
        <v>0</v>
      </c>
      <c r="HX33">
        <v>0</v>
      </c>
      <c r="HY33" t="s">
        <v>420</v>
      </c>
      <c r="HZ33" t="s">
        <v>421</v>
      </c>
      <c r="IA33" t="s">
        <v>422</v>
      </c>
      <c r="IB33" t="s">
        <v>422</v>
      </c>
      <c r="IC33" t="s">
        <v>422</v>
      </c>
      <c r="ID33" t="s">
        <v>422</v>
      </c>
      <c r="IE33">
        <v>0</v>
      </c>
      <c r="IF33">
        <v>100</v>
      </c>
      <c r="IG33">
        <v>100</v>
      </c>
      <c r="IH33">
        <v>2.1070000000000002</v>
      </c>
      <c r="II33">
        <v>0.1225</v>
      </c>
      <c r="IJ33">
        <v>1.574890174268335</v>
      </c>
      <c r="IK33">
        <v>3.5576830062418229E-3</v>
      </c>
      <c r="IL33">
        <v>-2.2646740813029151E-6</v>
      </c>
      <c r="IM33">
        <v>6.9609298295988525E-10</v>
      </c>
      <c r="IN33">
        <v>-0.14197110113213621</v>
      </c>
      <c r="IO33">
        <v>-9.4437069492282083E-4</v>
      </c>
      <c r="IP33">
        <v>5.2900373165634467E-4</v>
      </c>
      <c r="IQ33">
        <v>-3.977656803091445E-6</v>
      </c>
      <c r="IR33">
        <v>2</v>
      </c>
      <c r="IS33">
        <v>1759</v>
      </c>
      <c r="IT33">
        <v>2</v>
      </c>
      <c r="IU33">
        <v>42</v>
      </c>
      <c r="IV33">
        <v>0.7</v>
      </c>
      <c r="IW33">
        <v>0.5</v>
      </c>
      <c r="IX33">
        <v>0.54565399999999997</v>
      </c>
      <c r="IY33">
        <v>2.4291999999999998</v>
      </c>
      <c r="IZ33">
        <v>1.54297</v>
      </c>
      <c r="JA33">
        <v>2.3034699999999999</v>
      </c>
      <c r="JB33">
        <v>1.5466299999999999</v>
      </c>
      <c r="JC33">
        <v>2.4133300000000002</v>
      </c>
      <c r="JD33">
        <v>46.181800000000003</v>
      </c>
      <c r="JE33">
        <v>23.886099999999999</v>
      </c>
      <c r="JF33">
        <v>18</v>
      </c>
      <c r="JG33">
        <v>532.00300000000004</v>
      </c>
      <c r="JH33">
        <v>424.42599999999999</v>
      </c>
      <c r="JI33">
        <v>24.411799999999999</v>
      </c>
      <c r="JJ33">
        <v>39.263599999999997</v>
      </c>
      <c r="JK33">
        <v>30.000299999999999</v>
      </c>
      <c r="JL33">
        <v>39.578800000000001</v>
      </c>
      <c r="JM33">
        <v>39.563200000000002</v>
      </c>
      <c r="JN33">
        <v>11.0351</v>
      </c>
      <c r="JO33">
        <v>60.417400000000001</v>
      </c>
      <c r="JP33">
        <v>0</v>
      </c>
      <c r="JQ33">
        <v>24.406500000000001</v>
      </c>
      <c r="JR33">
        <v>200</v>
      </c>
      <c r="JS33">
        <v>18.8233</v>
      </c>
      <c r="JT33">
        <v>98.456400000000002</v>
      </c>
      <c r="JU33">
        <v>96.294300000000007</v>
      </c>
    </row>
    <row r="34" spans="1:281" x14ac:dyDescent="0.25">
      <c r="A34">
        <v>18</v>
      </c>
      <c r="B34">
        <v>1691166256.0999999</v>
      </c>
      <c r="C34">
        <v>5344.5999999046326</v>
      </c>
      <c r="D34" t="s">
        <v>505</v>
      </c>
      <c r="E34" t="s">
        <v>506</v>
      </c>
      <c r="F34" t="s">
        <v>413</v>
      </c>
      <c r="G34" t="s">
        <v>490</v>
      </c>
      <c r="H34" t="s">
        <v>491</v>
      </c>
      <c r="I34" t="s">
        <v>31</v>
      </c>
      <c r="J34">
        <v>1691166256.0999999</v>
      </c>
      <c r="K34">
        <f t="shared" si="0"/>
        <v>6.6712154359474859E-3</v>
      </c>
      <c r="L34">
        <f t="shared" si="1"/>
        <v>6.6712154359474862</v>
      </c>
      <c r="M34">
        <f t="shared" si="2"/>
        <v>15.493052464079273</v>
      </c>
      <c r="N34">
        <f t="shared" si="3"/>
        <v>100.65600000000001</v>
      </c>
      <c r="O34">
        <f t="shared" si="4"/>
        <v>35.495683183810051</v>
      </c>
      <c r="P34">
        <f t="shared" si="5"/>
        <v>3.5213909221819342</v>
      </c>
      <c r="Q34">
        <f t="shared" si="6"/>
        <v>9.9856966501439999</v>
      </c>
      <c r="R34">
        <f t="shared" si="7"/>
        <v>0.41821766073586869</v>
      </c>
      <c r="S34">
        <f t="shared" si="8"/>
        <v>2.9094338309113366</v>
      </c>
      <c r="T34">
        <f t="shared" si="9"/>
        <v>0.3874613691335736</v>
      </c>
      <c r="U34">
        <f t="shared" si="10"/>
        <v>0.24473793020846718</v>
      </c>
      <c r="V34">
        <f t="shared" si="11"/>
        <v>344.33549998680178</v>
      </c>
      <c r="W34">
        <f t="shared" si="12"/>
        <v>30.522288878292368</v>
      </c>
      <c r="X34">
        <f t="shared" si="13"/>
        <v>30.006499999999999</v>
      </c>
      <c r="Y34">
        <f t="shared" si="14"/>
        <v>4.262040690059484</v>
      </c>
      <c r="Z34">
        <f t="shared" si="15"/>
        <v>60.54606481457219</v>
      </c>
      <c r="AA34">
        <f t="shared" si="16"/>
        <v>2.6131203850122002</v>
      </c>
      <c r="AB34">
        <f t="shared" si="17"/>
        <v>4.3159210974571485</v>
      </c>
      <c r="AC34">
        <f t="shared" si="18"/>
        <v>1.6489203050472838</v>
      </c>
      <c r="AD34">
        <f t="shared" si="19"/>
        <v>-294.20060072528412</v>
      </c>
      <c r="AE34">
        <f t="shared" si="20"/>
        <v>34.335208535899163</v>
      </c>
      <c r="AF34">
        <f t="shared" si="21"/>
        <v>2.6270530213584924</v>
      </c>
      <c r="AG34">
        <f t="shared" si="22"/>
        <v>87.097160818775336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51722.398781997879</v>
      </c>
      <c r="AM34" t="s">
        <v>414</v>
      </c>
      <c r="AN34">
        <v>10111.299999999999</v>
      </c>
      <c r="AO34">
        <v>608.58839999999998</v>
      </c>
      <c r="AP34">
        <v>2150.11</v>
      </c>
      <c r="AQ34">
        <f t="shared" si="26"/>
        <v>0.71695010952927984</v>
      </c>
      <c r="AR34">
        <v>-1.1786277417053079</v>
      </c>
      <c r="AS34" t="s">
        <v>507</v>
      </c>
      <c r="AT34">
        <v>8094.81</v>
      </c>
      <c r="AU34">
        <v>595.60980769230764</v>
      </c>
      <c r="AV34">
        <v>705.02747561060755</v>
      </c>
      <c r="AW34">
        <f t="shared" si="27"/>
        <v>0.15519631745349483</v>
      </c>
      <c r="AX34">
        <v>0.5</v>
      </c>
      <c r="AY34">
        <f t="shared" si="28"/>
        <v>1513.0112999934011</v>
      </c>
      <c r="AZ34">
        <f t="shared" si="29"/>
        <v>15.493052464079273</v>
      </c>
      <c r="BA34">
        <f t="shared" si="30"/>
        <v>117.40689101225038</v>
      </c>
      <c r="BB34">
        <f t="shared" si="31"/>
        <v>1.1018873557558555E-2</v>
      </c>
      <c r="BC34">
        <f t="shared" si="32"/>
        <v>2.0496825646941503</v>
      </c>
      <c r="BD34">
        <f t="shared" si="33"/>
        <v>385.14293860133677</v>
      </c>
      <c r="BE34" t="s">
        <v>508</v>
      </c>
      <c r="BF34">
        <v>488.57</v>
      </c>
      <c r="BG34">
        <f t="shared" si="34"/>
        <v>488.57</v>
      </c>
      <c r="BH34">
        <f t="shared" si="35"/>
        <v>0.30701991496592229</v>
      </c>
      <c r="BI34">
        <f t="shared" si="36"/>
        <v>0.50549267291250743</v>
      </c>
      <c r="BJ34">
        <f t="shared" si="37"/>
        <v>0.869724788081775</v>
      </c>
      <c r="BK34">
        <f t="shared" si="38"/>
        <v>1.1345781492151175</v>
      </c>
      <c r="BL34">
        <f t="shared" si="39"/>
        <v>0.9374390371107304</v>
      </c>
      <c r="BM34">
        <f t="shared" si="40"/>
        <v>0.41464823449053723</v>
      </c>
      <c r="BN34">
        <f t="shared" si="41"/>
        <v>0.58535176550946277</v>
      </c>
      <c r="BO34">
        <v>7009</v>
      </c>
      <c r="BP34">
        <v>290.00000000000011</v>
      </c>
      <c r="BQ34">
        <v>668.88</v>
      </c>
      <c r="BR34">
        <v>245</v>
      </c>
      <c r="BS34">
        <v>8094.81</v>
      </c>
      <c r="BT34">
        <v>669.78</v>
      </c>
      <c r="BU34">
        <v>-0.9</v>
      </c>
      <c r="BV34">
        <v>300.00000000000011</v>
      </c>
      <c r="BW34">
        <v>19.2</v>
      </c>
      <c r="BX34">
        <v>705.02747561060755</v>
      </c>
      <c r="BY34">
        <v>2.6895202890090819</v>
      </c>
      <c r="BZ34">
        <v>-28.531867139125278</v>
      </c>
      <c r="CA34">
        <v>2.0002974801946962</v>
      </c>
      <c r="CB34">
        <v>0.87902685672241443</v>
      </c>
      <c r="CC34">
        <v>-4.1695946607341518E-3</v>
      </c>
      <c r="CD34">
        <v>289.99999999999989</v>
      </c>
      <c r="CE34">
        <v>667.56</v>
      </c>
      <c r="CF34">
        <v>655</v>
      </c>
      <c r="CG34">
        <v>8088.33</v>
      </c>
      <c r="CH34">
        <v>669.75</v>
      </c>
      <c r="CI34">
        <v>-2.19</v>
      </c>
      <c r="CW34">
        <f t="shared" si="42"/>
        <v>1799.79</v>
      </c>
      <c r="CX34">
        <f t="shared" si="43"/>
        <v>1513.0112999934011</v>
      </c>
      <c r="CY34">
        <f t="shared" si="44"/>
        <v>0.84065991031920451</v>
      </c>
      <c r="CZ34">
        <f t="shared" si="45"/>
        <v>0.1913198206384088</v>
      </c>
      <c r="DA34">
        <v>6</v>
      </c>
      <c r="DB34">
        <v>0.5</v>
      </c>
      <c r="DC34" t="s">
        <v>417</v>
      </c>
      <c r="DD34">
        <v>2</v>
      </c>
      <c r="DE34">
        <v>1691166256.0999999</v>
      </c>
      <c r="DF34">
        <v>100.65600000000001</v>
      </c>
      <c r="DG34">
        <v>120.04900000000001</v>
      </c>
      <c r="DH34">
        <v>26.340299999999999</v>
      </c>
      <c r="DI34">
        <v>18.547499999999999</v>
      </c>
      <c r="DJ34">
        <v>98.826899999999995</v>
      </c>
      <c r="DK34">
        <v>26.218399999999999</v>
      </c>
      <c r="DL34">
        <v>500.11500000000001</v>
      </c>
      <c r="DM34">
        <v>99.105500000000006</v>
      </c>
      <c r="DN34">
        <v>0.100674</v>
      </c>
      <c r="DO34">
        <v>30.2254</v>
      </c>
      <c r="DP34">
        <v>30.006499999999999</v>
      </c>
      <c r="DQ34">
        <v>999.9</v>
      </c>
      <c r="DR34">
        <v>0</v>
      </c>
      <c r="DS34">
        <v>0</v>
      </c>
      <c r="DT34">
        <v>9975</v>
      </c>
      <c r="DU34">
        <v>0</v>
      </c>
      <c r="DV34">
        <v>1833.18</v>
      </c>
      <c r="DW34">
        <v>-19.393000000000001</v>
      </c>
      <c r="DX34">
        <v>103.379</v>
      </c>
      <c r="DY34">
        <v>122.318</v>
      </c>
      <c r="DZ34">
        <v>7.7927799999999996</v>
      </c>
      <c r="EA34">
        <v>120.04900000000001</v>
      </c>
      <c r="EB34">
        <v>18.547499999999999</v>
      </c>
      <c r="EC34">
        <v>2.6104699999999998</v>
      </c>
      <c r="ED34">
        <v>1.83816</v>
      </c>
      <c r="EE34">
        <v>21.732199999999999</v>
      </c>
      <c r="EF34">
        <v>16.115100000000002</v>
      </c>
      <c r="EG34">
        <v>1799.79</v>
      </c>
      <c r="EH34">
        <v>0.97800299999999996</v>
      </c>
      <c r="EI34">
        <v>2.19968E-2</v>
      </c>
      <c r="EJ34">
        <v>0</v>
      </c>
      <c r="EK34">
        <v>593.92499999999995</v>
      </c>
      <c r="EL34">
        <v>0.10001</v>
      </c>
      <c r="EM34">
        <v>16627.900000000001</v>
      </c>
      <c r="EN34">
        <v>16351.6</v>
      </c>
      <c r="EO34">
        <v>47.875</v>
      </c>
      <c r="EP34">
        <v>50.561999999999998</v>
      </c>
      <c r="EQ34">
        <v>49.375</v>
      </c>
      <c r="ER34">
        <v>49.311999999999998</v>
      </c>
      <c r="ES34">
        <v>49.5</v>
      </c>
      <c r="ET34">
        <v>1760.1</v>
      </c>
      <c r="EU34">
        <v>39.590000000000003</v>
      </c>
      <c r="EV34">
        <v>0</v>
      </c>
      <c r="EW34">
        <v>103.7999999523163</v>
      </c>
      <c r="EX34">
        <v>0</v>
      </c>
      <c r="EY34">
        <v>595.60980769230764</v>
      </c>
      <c r="EZ34">
        <v>-6.682564123314938</v>
      </c>
      <c r="FA34">
        <v>60.054700688320722</v>
      </c>
      <c r="FB34">
        <v>16606.5</v>
      </c>
      <c r="FC34">
        <v>15</v>
      </c>
      <c r="FD34">
        <v>1691166227.0999999</v>
      </c>
      <c r="FE34" t="s">
        <v>509</v>
      </c>
      <c r="FF34">
        <v>1691166217.0999999</v>
      </c>
      <c r="FG34">
        <v>1691166227.0999999</v>
      </c>
      <c r="FH34">
        <v>20</v>
      </c>
      <c r="FI34">
        <v>-7.5999999999999998E-2</v>
      </c>
      <c r="FJ34">
        <v>-3.0000000000000001E-3</v>
      </c>
      <c r="FK34">
        <v>1.8879999999999999</v>
      </c>
      <c r="FL34">
        <v>-5.0000000000000001E-3</v>
      </c>
      <c r="FM34">
        <v>120</v>
      </c>
      <c r="FN34">
        <v>19</v>
      </c>
      <c r="FO34">
        <v>0.23</v>
      </c>
      <c r="FP34">
        <v>0.02</v>
      </c>
      <c r="FQ34">
        <v>15.49432720245191</v>
      </c>
      <c r="FR34">
        <v>-0.26127609452442052</v>
      </c>
      <c r="FS34">
        <v>7.1700784408103249E-2</v>
      </c>
      <c r="FT34">
        <v>1</v>
      </c>
      <c r="FU34">
        <v>0.42252000839946369</v>
      </c>
      <c r="FV34">
        <v>-2.106045597658851E-2</v>
      </c>
      <c r="FW34">
        <v>2.7661701825996178E-3</v>
      </c>
      <c r="FX34">
        <v>1</v>
      </c>
      <c r="FY34">
        <v>2</v>
      </c>
      <c r="FZ34">
        <v>2</v>
      </c>
      <c r="GA34" t="s">
        <v>419</v>
      </c>
      <c r="GB34">
        <v>2.88381</v>
      </c>
      <c r="GC34">
        <v>2.82165</v>
      </c>
      <c r="GD34">
        <v>2.52777E-2</v>
      </c>
      <c r="GE34">
        <v>3.06343E-2</v>
      </c>
      <c r="GF34">
        <v>0.121673</v>
      </c>
      <c r="GG34">
        <v>9.5774600000000001E-2</v>
      </c>
      <c r="GH34">
        <v>29892.5</v>
      </c>
      <c r="GI34">
        <v>27745.5</v>
      </c>
      <c r="GJ34">
        <v>28238.2</v>
      </c>
      <c r="GK34">
        <v>26888.1</v>
      </c>
      <c r="GL34">
        <v>35006.300000000003</v>
      </c>
      <c r="GM34">
        <v>33962.800000000003</v>
      </c>
      <c r="GN34">
        <v>41550</v>
      </c>
      <c r="GO34">
        <v>38912.300000000003</v>
      </c>
      <c r="GP34">
        <v>1.9975000000000001</v>
      </c>
      <c r="GQ34">
        <v>1.6741999999999999</v>
      </c>
      <c r="GR34">
        <v>-5.78165E-2</v>
      </c>
      <c r="GS34">
        <v>0</v>
      </c>
      <c r="GT34">
        <v>30.9467</v>
      </c>
      <c r="GU34">
        <v>999.9</v>
      </c>
      <c r="GV34">
        <v>49</v>
      </c>
      <c r="GW34">
        <v>42.7</v>
      </c>
      <c r="GX34">
        <v>42.2834</v>
      </c>
      <c r="GY34">
        <v>62.7179</v>
      </c>
      <c r="GZ34">
        <v>32.307699999999997</v>
      </c>
      <c r="HA34">
        <v>1</v>
      </c>
      <c r="HB34">
        <v>1.02905</v>
      </c>
      <c r="HC34">
        <v>4.9273600000000002</v>
      </c>
      <c r="HD34">
        <v>20.175799999999999</v>
      </c>
      <c r="HE34">
        <v>5.2100999999999997</v>
      </c>
      <c r="HF34">
        <v>11.997999999999999</v>
      </c>
      <c r="HG34">
        <v>4.9875999999999996</v>
      </c>
      <c r="HH34">
        <v>3.2909999999999999</v>
      </c>
      <c r="HI34">
        <v>9999</v>
      </c>
      <c r="HJ34">
        <v>9999</v>
      </c>
      <c r="HK34">
        <v>9999</v>
      </c>
      <c r="HL34">
        <v>999.9</v>
      </c>
      <c r="HM34">
        <v>1.86677</v>
      </c>
      <c r="HN34">
        <v>1.8669100000000001</v>
      </c>
      <c r="HO34">
        <v>1.8633999999999999</v>
      </c>
      <c r="HP34">
        <v>1.8645099999999999</v>
      </c>
      <c r="HQ34">
        <v>1.8641700000000001</v>
      </c>
      <c r="HR34">
        <v>1.8600300000000001</v>
      </c>
      <c r="HS34">
        <v>1.8632200000000001</v>
      </c>
      <c r="HT34">
        <v>1.8660000000000001</v>
      </c>
      <c r="HU34">
        <v>5</v>
      </c>
      <c r="HV34">
        <v>0</v>
      </c>
      <c r="HW34">
        <v>0</v>
      </c>
      <c r="HX34">
        <v>0</v>
      </c>
      <c r="HY34" t="s">
        <v>420</v>
      </c>
      <c r="HZ34" t="s">
        <v>421</v>
      </c>
      <c r="IA34" t="s">
        <v>422</v>
      </c>
      <c r="IB34" t="s">
        <v>422</v>
      </c>
      <c r="IC34" t="s">
        <v>422</v>
      </c>
      <c r="ID34" t="s">
        <v>422</v>
      </c>
      <c r="IE34">
        <v>0</v>
      </c>
      <c r="IF34">
        <v>100</v>
      </c>
      <c r="IG34">
        <v>100</v>
      </c>
      <c r="IH34">
        <v>1.829</v>
      </c>
      <c r="II34">
        <v>0.12189999999999999</v>
      </c>
      <c r="IJ34">
        <v>1.4989089301984719</v>
      </c>
      <c r="IK34">
        <v>3.5576830062418229E-3</v>
      </c>
      <c r="IL34">
        <v>-2.2646740813029151E-6</v>
      </c>
      <c r="IM34">
        <v>6.9609298295988525E-10</v>
      </c>
      <c r="IN34">
        <v>-0.14532434709938291</v>
      </c>
      <c r="IO34">
        <v>-9.4437069492282083E-4</v>
      </c>
      <c r="IP34">
        <v>5.2900373165634467E-4</v>
      </c>
      <c r="IQ34">
        <v>-3.977656803091445E-6</v>
      </c>
      <c r="IR34">
        <v>2</v>
      </c>
      <c r="IS34">
        <v>1759</v>
      </c>
      <c r="IT34">
        <v>2</v>
      </c>
      <c r="IU34">
        <v>42</v>
      </c>
      <c r="IV34">
        <v>0.7</v>
      </c>
      <c r="IW34">
        <v>0.5</v>
      </c>
      <c r="IX34">
        <v>0.36621100000000001</v>
      </c>
      <c r="IY34">
        <v>2.4597199999999999</v>
      </c>
      <c r="IZ34">
        <v>1.54297</v>
      </c>
      <c r="JA34">
        <v>2.3046899999999999</v>
      </c>
      <c r="JB34">
        <v>1.5466299999999999</v>
      </c>
      <c r="JC34">
        <v>2.3156699999999999</v>
      </c>
      <c r="JD34">
        <v>46.24</v>
      </c>
      <c r="JE34">
        <v>23.868600000000001</v>
      </c>
      <c r="JF34">
        <v>18</v>
      </c>
      <c r="JG34">
        <v>533.21</v>
      </c>
      <c r="JH34">
        <v>423.904</v>
      </c>
      <c r="JI34">
        <v>24.573599999999999</v>
      </c>
      <c r="JJ34">
        <v>39.338299999999997</v>
      </c>
      <c r="JK34">
        <v>30.000399999999999</v>
      </c>
      <c r="JL34">
        <v>39.667299999999997</v>
      </c>
      <c r="JM34">
        <v>39.647599999999997</v>
      </c>
      <c r="JN34">
        <v>7.4326499999999998</v>
      </c>
      <c r="JO34">
        <v>60.857100000000003</v>
      </c>
      <c r="JP34">
        <v>0</v>
      </c>
      <c r="JQ34">
        <v>24.574100000000001</v>
      </c>
      <c r="JR34">
        <v>120</v>
      </c>
      <c r="JS34">
        <v>18.450099999999999</v>
      </c>
      <c r="JT34">
        <v>98.440899999999999</v>
      </c>
      <c r="JU34">
        <v>96.278700000000001</v>
      </c>
    </row>
    <row r="35" spans="1:281" x14ac:dyDescent="0.25">
      <c r="A35">
        <v>19</v>
      </c>
      <c r="B35">
        <v>1691166367.0999999</v>
      </c>
      <c r="C35">
        <v>5455.5999999046326</v>
      </c>
      <c r="D35" t="s">
        <v>510</v>
      </c>
      <c r="E35" t="s">
        <v>511</v>
      </c>
      <c r="F35" t="s">
        <v>413</v>
      </c>
      <c r="G35" t="s">
        <v>490</v>
      </c>
      <c r="H35" t="s">
        <v>491</v>
      </c>
      <c r="I35" t="s">
        <v>31</v>
      </c>
      <c r="J35">
        <v>1691166367.0999999</v>
      </c>
      <c r="K35">
        <f t="shared" si="0"/>
        <v>7.1455955754392729E-3</v>
      </c>
      <c r="L35">
        <f t="shared" si="1"/>
        <v>7.1455955754392733</v>
      </c>
      <c r="M35">
        <f t="shared" si="2"/>
        <v>8.8153510937099675</v>
      </c>
      <c r="N35">
        <f t="shared" si="3"/>
        <v>58.911299999999997</v>
      </c>
      <c r="O35">
        <f t="shared" si="4"/>
        <v>24.473233481248602</v>
      </c>
      <c r="P35">
        <f t="shared" si="5"/>
        <v>2.4279096864602918</v>
      </c>
      <c r="Q35">
        <f t="shared" si="6"/>
        <v>5.8443979632506995</v>
      </c>
      <c r="R35">
        <f t="shared" si="7"/>
        <v>0.4547002535768272</v>
      </c>
      <c r="S35">
        <f t="shared" si="8"/>
        <v>2.9098912097293752</v>
      </c>
      <c r="T35">
        <f t="shared" si="9"/>
        <v>0.41859728738440199</v>
      </c>
      <c r="U35">
        <f t="shared" si="10"/>
        <v>0.26462772425100189</v>
      </c>
      <c r="V35">
        <f t="shared" si="11"/>
        <v>344.37659998679675</v>
      </c>
      <c r="W35">
        <f t="shared" si="12"/>
        <v>30.428818246904875</v>
      </c>
      <c r="X35">
        <f t="shared" si="13"/>
        <v>29.984500000000001</v>
      </c>
      <c r="Y35">
        <f t="shared" si="14"/>
        <v>4.256658134126158</v>
      </c>
      <c r="Z35">
        <f t="shared" si="15"/>
        <v>60.643817206443465</v>
      </c>
      <c r="AA35">
        <f t="shared" si="16"/>
        <v>2.6218753809875999</v>
      </c>
      <c r="AB35">
        <f t="shared" si="17"/>
        <v>4.3234009694050446</v>
      </c>
      <c r="AC35">
        <f t="shared" si="18"/>
        <v>1.6347827531385581</v>
      </c>
      <c r="AD35">
        <f t="shared" si="19"/>
        <v>-315.12076487687193</v>
      </c>
      <c r="AE35">
        <f t="shared" si="20"/>
        <v>42.529640683100034</v>
      </c>
      <c r="AF35">
        <f t="shared" si="21"/>
        <v>3.2536456091150896</v>
      </c>
      <c r="AG35">
        <f t="shared" si="22"/>
        <v>75.039121402139955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51730.261415514105</v>
      </c>
      <c r="AM35" t="s">
        <v>414</v>
      </c>
      <c r="AN35">
        <v>10111.299999999999</v>
      </c>
      <c r="AO35">
        <v>608.58839999999998</v>
      </c>
      <c r="AP35">
        <v>2150.11</v>
      </c>
      <c r="AQ35">
        <f t="shared" si="26"/>
        <v>0.71695010952927984</v>
      </c>
      <c r="AR35">
        <v>-1.1786277417053079</v>
      </c>
      <c r="AS35" t="s">
        <v>512</v>
      </c>
      <c r="AT35">
        <v>8093.94</v>
      </c>
      <c r="AU35">
        <v>603.9198076923077</v>
      </c>
      <c r="AV35">
        <v>676.41432203898989</v>
      </c>
      <c r="AW35">
        <f t="shared" si="27"/>
        <v>0.10717471819365687</v>
      </c>
      <c r="AX35">
        <v>0.5</v>
      </c>
      <c r="AY35">
        <f t="shared" si="28"/>
        <v>1513.1882999933982</v>
      </c>
      <c r="AZ35">
        <f t="shared" si="29"/>
        <v>8.8153510937099675</v>
      </c>
      <c r="BA35">
        <f t="shared" si="30"/>
        <v>81.087764812865586</v>
      </c>
      <c r="BB35">
        <f t="shared" si="31"/>
        <v>6.6045837358502425E-3</v>
      </c>
      <c r="BC35">
        <f t="shared" si="32"/>
        <v>2.1786878691726805</v>
      </c>
      <c r="BD35">
        <f t="shared" si="33"/>
        <v>376.44394238862822</v>
      </c>
      <c r="BE35" t="s">
        <v>513</v>
      </c>
      <c r="BF35">
        <v>504.35</v>
      </c>
      <c r="BG35">
        <f t="shared" si="34"/>
        <v>504.35</v>
      </c>
      <c r="BH35">
        <f t="shared" si="35"/>
        <v>0.25437711241878724</v>
      </c>
      <c r="BI35">
        <f t="shared" si="36"/>
        <v>0.42132217468218019</v>
      </c>
      <c r="BJ35">
        <f t="shared" si="37"/>
        <v>0.89544993070739964</v>
      </c>
      <c r="BK35">
        <f t="shared" si="38"/>
        <v>1.0688319770280237</v>
      </c>
      <c r="BL35">
        <f t="shared" si="39"/>
        <v>0.95600066710775267</v>
      </c>
      <c r="BM35">
        <f t="shared" si="40"/>
        <v>0.35185770709017961</v>
      </c>
      <c r="BN35">
        <f t="shared" si="41"/>
        <v>0.64814229290982039</v>
      </c>
      <c r="BO35">
        <v>7011</v>
      </c>
      <c r="BP35">
        <v>290.00000000000011</v>
      </c>
      <c r="BQ35">
        <v>652.75</v>
      </c>
      <c r="BR35">
        <v>255</v>
      </c>
      <c r="BS35">
        <v>8093.94</v>
      </c>
      <c r="BT35">
        <v>652.41</v>
      </c>
      <c r="BU35">
        <v>0.34</v>
      </c>
      <c r="BV35">
        <v>300.00000000000011</v>
      </c>
      <c r="BW35">
        <v>19.2</v>
      </c>
      <c r="BX35">
        <v>676.41432203898989</v>
      </c>
      <c r="BY35">
        <v>1.99839144365125</v>
      </c>
      <c r="BZ35">
        <v>-19.432533040584129</v>
      </c>
      <c r="CA35">
        <v>1.4861791329410881</v>
      </c>
      <c r="CB35">
        <v>0.859274320830544</v>
      </c>
      <c r="CC35">
        <v>-4.1694391546162361E-3</v>
      </c>
      <c r="CD35">
        <v>289.99999999999989</v>
      </c>
      <c r="CE35">
        <v>651.48</v>
      </c>
      <c r="CF35">
        <v>635</v>
      </c>
      <c r="CG35">
        <v>8088.21</v>
      </c>
      <c r="CH35">
        <v>652.39</v>
      </c>
      <c r="CI35">
        <v>-0.91</v>
      </c>
      <c r="CW35">
        <f t="shared" si="42"/>
        <v>1800</v>
      </c>
      <c r="CX35">
        <f t="shared" si="43"/>
        <v>1513.1882999933982</v>
      </c>
      <c r="CY35">
        <f t="shared" si="44"/>
        <v>0.84066016666299903</v>
      </c>
      <c r="CZ35">
        <f t="shared" si="45"/>
        <v>0.19132033332599818</v>
      </c>
      <c r="DA35">
        <v>6</v>
      </c>
      <c r="DB35">
        <v>0.5</v>
      </c>
      <c r="DC35" t="s">
        <v>417</v>
      </c>
      <c r="DD35">
        <v>2</v>
      </c>
      <c r="DE35">
        <v>1691166367.0999999</v>
      </c>
      <c r="DF35">
        <v>58.911299999999997</v>
      </c>
      <c r="DG35">
        <v>69.995800000000003</v>
      </c>
      <c r="DH35">
        <v>26.4284</v>
      </c>
      <c r="DI35">
        <v>18.079599999999999</v>
      </c>
      <c r="DJ35">
        <v>57.126399999999997</v>
      </c>
      <c r="DK35">
        <v>26.301100000000002</v>
      </c>
      <c r="DL35">
        <v>499.95800000000003</v>
      </c>
      <c r="DM35">
        <v>99.1066</v>
      </c>
      <c r="DN35">
        <v>0.10013900000000001</v>
      </c>
      <c r="DO35">
        <v>30.255600000000001</v>
      </c>
      <c r="DP35">
        <v>29.984500000000001</v>
      </c>
      <c r="DQ35">
        <v>999.9</v>
      </c>
      <c r="DR35">
        <v>0</v>
      </c>
      <c r="DS35">
        <v>0</v>
      </c>
      <c r="DT35">
        <v>9977.5</v>
      </c>
      <c r="DU35">
        <v>0</v>
      </c>
      <c r="DV35">
        <v>1091.44</v>
      </c>
      <c r="DW35">
        <v>-11.0845</v>
      </c>
      <c r="DX35">
        <v>60.5105</v>
      </c>
      <c r="DY35">
        <v>71.284599999999998</v>
      </c>
      <c r="DZ35">
        <v>8.3488799999999994</v>
      </c>
      <c r="EA35">
        <v>69.995800000000003</v>
      </c>
      <c r="EB35">
        <v>18.079599999999999</v>
      </c>
      <c r="EC35">
        <v>2.6192299999999999</v>
      </c>
      <c r="ED35">
        <v>1.7918000000000001</v>
      </c>
      <c r="EE35">
        <v>21.786999999999999</v>
      </c>
      <c r="EF35">
        <v>15.7155</v>
      </c>
      <c r="EG35">
        <v>1800</v>
      </c>
      <c r="EH35">
        <v>0.977993</v>
      </c>
      <c r="EI35">
        <v>2.2007200000000001E-2</v>
      </c>
      <c r="EJ35">
        <v>0</v>
      </c>
      <c r="EK35">
        <v>605.72500000000002</v>
      </c>
      <c r="EL35">
        <v>0.10001</v>
      </c>
      <c r="EM35">
        <v>14348.5</v>
      </c>
      <c r="EN35">
        <v>16353.5</v>
      </c>
      <c r="EO35">
        <v>47.936999999999998</v>
      </c>
      <c r="EP35">
        <v>50.561999999999998</v>
      </c>
      <c r="EQ35">
        <v>49.436999999999998</v>
      </c>
      <c r="ER35">
        <v>49.375</v>
      </c>
      <c r="ES35">
        <v>49.561999999999998</v>
      </c>
      <c r="ET35">
        <v>1760.29</v>
      </c>
      <c r="EU35">
        <v>39.61</v>
      </c>
      <c r="EV35">
        <v>0</v>
      </c>
      <c r="EW35">
        <v>108.5999999046326</v>
      </c>
      <c r="EX35">
        <v>0</v>
      </c>
      <c r="EY35">
        <v>603.9198076923077</v>
      </c>
      <c r="EZ35">
        <v>-7.4747009257755712</v>
      </c>
      <c r="FA35">
        <v>-7779.8051353547471</v>
      </c>
      <c r="FB35">
        <v>15279.84230769231</v>
      </c>
      <c r="FC35">
        <v>15</v>
      </c>
      <c r="FD35">
        <v>1691166336.5999999</v>
      </c>
      <c r="FE35" t="s">
        <v>514</v>
      </c>
      <c r="FF35">
        <v>1691166325.5999999</v>
      </c>
      <c r="FG35">
        <v>1691166336.5999999</v>
      </c>
      <c r="FH35">
        <v>21</v>
      </c>
      <c r="FI35">
        <v>0.09</v>
      </c>
      <c r="FJ35">
        <v>4.0000000000000001E-3</v>
      </c>
      <c r="FK35">
        <v>1.821</v>
      </c>
      <c r="FL35">
        <v>-7.0000000000000001E-3</v>
      </c>
      <c r="FM35">
        <v>70</v>
      </c>
      <c r="FN35">
        <v>18</v>
      </c>
      <c r="FO35">
        <v>0.53</v>
      </c>
      <c r="FP35">
        <v>0.03</v>
      </c>
      <c r="FQ35">
        <v>8.8737067961791176</v>
      </c>
      <c r="FR35">
        <v>-0.2785772735154719</v>
      </c>
      <c r="FS35">
        <v>4.8260050354022019E-2</v>
      </c>
      <c r="FT35">
        <v>1</v>
      </c>
      <c r="FU35">
        <v>0.45213919370000788</v>
      </c>
      <c r="FV35">
        <v>-4.4771677507803913E-2</v>
      </c>
      <c r="FW35">
        <v>4.1905324319549946E-3</v>
      </c>
      <c r="FX35">
        <v>1</v>
      </c>
      <c r="FY35">
        <v>2</v>
      </c>
      <c r="FZ35">
        <v>2</v>
      </c>
      <c r="GA35" t="s">
        <v>419</v>
      </c>
      <c r="GB35">
        <v>2.8832900000000001</v>
      </c>
      <c r="GC35">
        <v>2.8211300000000001</v>
      </c>
      <c r="GD35">
        <v>1.4813099999999999E-2</v>
      </c>
      <c r="GE35">
        <v>1.8215200000000001E-2</v>
      </c>
      <c r="GF35">
        <v>0.121921</v>
      </c>
      <c r="GG35">
        <v>9.4037499999999996E-2</v>
      </c>
      <c r="GH35">
        <v>30206.9</v>
      </c>
      <c r="GI35">
        <v>28093.8</v>
      </c>
      <c r="GJ35">
        <v>28233.200000000001</v>
      </c>
      <c r="GK35">
        <v>26882.6</v>
      </c>
      <c r="GL35">
        <v>34991.1</v>
      </c>
      <c r="GM35">
        <v>34021.5</v>
      </c>
      <c r="GN35">
        <v>41543.5</v>
      </c>
      <c r="GO35">
        <v>38905.300000000003</v>
      </c>
      <c r="GP35">
        <v>1.9965999999999999</v>
      </c>
      <c r="GQ35">
        <v>1.6719999999999999</v>
      </c>
      <c r="GR35">
        <v>-6.4000500000000002E-2</v>
      </c>
      <c r="GS35">
        <v>0</v>
      </c>
      <c r="GT35">
        <v>31.025200000000002</v>
      </c>
      <c r="GU35">
        <v>999.9</v>
      </c>
      <c r="GV35">
        <v>49.1</v>
      </c>
      <c r="GW35">
        <v>42.7</v>
      </c>
      <c r="GX35">
        <v>42.370899999999999</v>
      </c>
      <c r="GY35">
        <v>62.867899999999999</v>
      </c>
      <c r="GZ35">
        <v>31.875</v>
      </c>
      <c r="HA35">
        <v>1</v>
      </c>
      <c r="HB35">
        <v>1.03738</v>
      </c>
      <c r="HC35">
        <v>5.1395999999999997</v>
      </c>
      <c r="HD35">
        <v>20.168800000000001</v>
      </c>
      <c r="HE35">
        <v>5.2112999999999996</v>
      </c>
      <c r="HF35">
        <v>11.997999999999999</v>
      </c>
      <c r="HG35">
        <v>4.9885999999999999</v>
      </c>
      <c r="HH35">
        <v>3.2909999999999999</v>
      </c>
      <c r="HI35">
        <v>9999</v>
      </c>
      <c r="HJ35">
        <v>9999</v>
      </c>
      <c r="HK35">
        <v>9999</v>
      </c>
      <c r="HL35">
        <v>999.9</v>
      </c>
      <c r="HM35">
        <v>1.8668199999999999</v>
      </c>
      <c r="HN35">
        <v>1.8669100000000001</v>
      </c>
      <c r="HO35">
        <v>1.86338</v>
      </c>
      <c r="HP35">
        <v>1.8645499999999999</v>
      </c>
      <c r="HQ35">
        <v>1.8641700000000001</v>
      </c>
      <c r="HR35">
        <v>1.86002</v>
      </c>
      <c r="HS35">
        <v>1.8631800000000001</v>
      </c>
      <c r="HT35">
        <v>1.8660000000000001</v>
      </c>
      <c r="HU35">
        <v>5</v>
      </c>
      <c r="HV35">
        <v>0</v>
      </c>
      <c r="HW35">
        <v>0</v>
      </c>
      <c r="HX35">
        <v>0</v>
      </c>
      <c r="HY35" t="s">
        <v>420</v>
      </c>
      <c r="HZ35" t="s">
        <v>421</v>
      </c>
      <c r="IA35" t="s">
        <v>422</v>
      </c>
      <c r="IB35" t="s">
        <v>422</v>
      </c>
      <c r="IC35" t="s">
        <v>422</v>
      </c>
      <c r="ID35" t="s">
        <v>422</v>
      </c>
      <c r="IE35">
        <v>0</v>
      </c>
      <c r="IF35">
        <v>100</v>
      </c>
      <c r="IG35">
        <v>100</v>
      </c>
      <c r="IH35">
        <v>1.7849999999999999</v>
      </c>
      <c r="II35">
        <v>0.1273</v>
      </c>
      <c r="IJ35">
        <v>1.5889509951446441</v>
      </c>
      <c r="IK35">
        <v>3.5576830062418229E-3</v>
      </c>
      <c r="IL35">
        <v>-2.2646740813029151E-6</v>
      </c>
      <c r="IM35">
        <v>6.9609298295988525E-10</v>
      </c>
      <c r="IN35">
        <v>-0.14143976956011309</v>
      </c>
      <c r="IO35">
        <v>-9.4437069492282083E-4</v>
      </c>
      <c r="IP35">
        <v>5.2900373165634467E-4</v>
      </c>
      <c r="IQ35">
        <v>-3.977656803091445E-6</v>
      </c>
      <c r="IR35">
        <v>2</v>
      </c>
      <c r="IS35">
        <v>1759</v>
      </c>
      <c r="IT35">
        <v>2</v>
      </c>
      <c r="IU35">
        <v>42</v>
      </c>
      <c r="IV35">
        <v>0.7</v>
      </c>
      <c r="IW35">
        <v>0.5</v>
      </c>
      <c r="IX35">
        <v>0.25268600000000002</v>
      </c>
      <c r="IY35">
        <v>2.4694799999999999</v>
      </c>
      <c r="IZ35">
        <v>1.54297</v>
      </c>
      <c r="JA35">
        <v>2.3046899999999999</v>
      </c>
      <c r="JB35">
        <v>1.5466299999999999</v>
      </c>
      <c r="JC35">
        <v>2.35229</v>
      </c>
      <c r="JD35">
        <v>46.298200000000001</v>
      </c>
      <c r="JE35">
        <v>23.868600000000001</v>
      </c>
      <c r="JF35">
        <v>18</v>
      </c>
      <c r="JG35">
        <v>533.16</v>
      </c>
      <c r="JH35">
        <v>422.916</v>
      </c>
      <c r="JI35">
        <v>24.355</v>
      </c>
      <c r="JJ35">
        <v>39.399799999999999</v>
      </c>
      <c r="JK35">
        <v>30.0001</v>
      </c>
      <c r="JL35">
        <v>39.738700000000001</v>
      </c>
      <c r="JM35">
        <v>39.720700000000001</v>
      </c>
      <c r="JN35">
        <v>5.1576399999999998</v>
      </c>
      <c r="JO35">
        <v>61.814</v>
      </c>
      <c r="JP35">
        <v>0</v>
      </c>
      <c r="JQ35">
        <v>24.366299999999999</v>
      </c>
      <c r="JR35">
        <v>70</v>
      </c>
      <c r="JS35">
        <v>18.1233</v>
      </c>
      <c r="JT35">
        <v>98.424800000000005</v>
      </c>
      <c r="JU35">
        <v>96.260199999999998</v>
      </c>
    </row>
    <row r="36" spans="1:281" x14ac:dyDescent="0.25">
      <c r="A36">
        <v>20</v>
      </c>
      <c r="B36">
        <v>1691166468.0999999</v>
      </c>
      <c r="C36">
        <v>5556.5999999046326</v>
      </c>
      <c r="D36" t="s">
        <v>515</v>
      </c>
      <c r="E36" t="s">
        <v>516</v>
      </c>
      <c r="F36" t="s">
        <v>413</v>
      </c>
      <c r="G36" t="s">
        <v>490</v>
      </c>
      <c r="H36" t="s">
        <v>491</v>
      </c>
      <c r="I36" t="s">
        <v>31</v>
      </c>
      <c r="J36">
        <v>1691166468.0999999</v>
      </c>
      <c r="K36">
        <f t="shared" si="0"/>
        <v>7.2555030754694943E-3</v>
      </c>
      <c r="L36">
        <f t="shared" si="1"/>
        <v>7.2555030754694947</v>
      </c>
      <c r="M36">
        <f t="shared" si="2"/>
        <v>2.8788762633548375</v>
      </c>
      <c r="N36">
        <f t="shared" si="3"/>
        <v>26.4009</v>
      </c>
      <c r="O36">
        <f t="shared" si="4"/>
        <v>15.075818253435534</v>
      </c>
      <c r="P36">
        <f t="shared" si="5"/>
        <v>1.4956491644377765</v>
      </c>
      <c r="Q36">
        <f t="shared" si="6"/>
        <v>2.6191934236409997</v>
      </c>
      <c r="R36">
        <f t="shared" si="7"/>
        <v>0.45990630994969217</v>
      </c>
      <c r="S36">
        <f t="shared" si="8"/>
        <v>2.9164839058966692</v>
      </c>
      <c r="T36">
        <f t="shared" si="9"/>
        <v>0.42308407181313401</v>
      </c>
      <c r="U36">
        <f t="shared" si="10"/>
        <v>0.26748976824806581</v>
      </c>
      <c r="V36">
        <f t="shared" si="11"/>
        <v>344.3848999868037</v>
      </c>
      <c r="W36">
        <f t="shared" si="12"/>
        <v>30.457460259407661</v>
      </c>
      <c r="X36">
        <f t="shared" si="13"/>
        <v>29.983799999999999</v>
      </c>
      <c r="Y36">
        <f t="shared" si="14"/>
        <v>4.2564869682754418</v>
      </c>
      <c r="Z36">
        <f t="shared" si="15"/>
        <v>60.26385470492054</v>
      </c>
      <c r="AA36">
        <f t="shared" si="16"/>
        <v>2.6140643447080003</v>
      </c>
      <c r="AB36">
        <f t="shared" si="17"/>
        <v>4.3376985383820168</v>
      </c>
      <c r="AC36">
        <f t="shared" si="18"/>
        <v>1.6424226235674415</v>
      </c>
      <c r="AD36">
        <f t="shared" si="19"/>
        <v>-319.96768562820472</v>
      </c>
      <c r="AE36">
        <f t="shared" si="20"/>
        <v>51.792708422250534</v>
      </c>
      <c r="AF36">
        <f t="shared" si="21"/>
        <v>3.9544550669184551</v>
      </c>
      <c r="AG36">
        <f t="shared" si="22"/>
        <v>80.16437784776798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51907.827626516446</v>
      </c>
      <c r="AM36" t="s">
        <v>414</v>
      </c>
      <c r="AN36">
        <v>10111.299999999999</v>
      </c>
      <c r="AO36">
        <v>608.58839999999998</v>
      </c>
      <c r="AP36">
        <v>2150.11</v>
      </c>
      <c r="AQ36">
        <f t="shared" si="26"/>
        <v>0.71695010952927984</v>
      </c>
      <c r="AR36">
        <v>-1.1786277417053079</v>
      </c>
      <c r="AS36" t="s">
        <v>517</v>
      </c>
      <c r="AT36">
        <v>8098.76</v>
      </c>
      <c r="AU36">
        <v>617.46711538461545</v>
      </c>
      <c r="AV36">
        <v>666.38118332294448</v>
      </c>
      <c r="AW36">
        <f t="shared" si="27"/>
        <v>7.3402534709063216E-2</v>
      </c>
      <c r="AX36">
        <v>0.5</v>
      </c>
      <c r="AY36">
        <f t="shared" si="28"/>
        <v>1513.2296999934019</v>
      </c>
      <c r="AZ36">
        <f t="shared" si="29"/>
        <v>2.8788762633548375</v>
      </c>
      <c r="BA36">
        <f t="shared" si="30"/>
        <v>55.5374477882755</v>
      </c>
      <c r="BB36">
        <f t="shared" si="31"/>
        <v>2.6813536669798629E-3</v>
      </c>
      <c r="BC36">
        <f t="shared" si="32"/>
        <v>2.2265466880057518</v>
      </c>
      <c r="BD36">
        <f t="shared" si="33"/>
        <v>373.31586094532338</v>
      </c>
      <c r="BE36" t="s">
        <v>518</v>
      </c>
      <c r="BF36">
        <v>516.99</v>
      </c>
      <c r="BG36">
        <f t="shared" si="34"/>
        <v>516.99</v>
      </c>
      <c r="BH36">
        <f t="shared" si="35"/>
        <v>0.22418277565701594</v>
      </c>
      <c r="BI36">
        <f t="shared" si="36"/>
        <v>0.32742272234760783</v>
      </c>
      <c r="BJ36">
        <f t="shared" si="37"/>
        <v>0.90852406233286931</v>
      </c>
      <c r="BK36">
        <f t="shared" si="38"/>
        <v>0.84636982553684159</v>
      </c>
      <c r="BL36">
        <f t="shared" si="39"/>
        <v>0.96250926141875381</v>
      </c>
      <c r="BM36">
        <f t="shared" si="40"/>
        <v>0.27414297702485768</v>
      </c>
      <c r="BN36">
        <f t="shared" si="41"/>
        <v>0.72585702297514232</v>
      </c>
      <c r="BO36">
        <v>7013</v>
      </c>
      <c r="BP36">
        <v>290.00000000000011</v>
      </c>
      <c r="BQ36">
        <v>651.79999999999995</v>
      </c>
      <c r="BR36">
        <v>155</v>
      </c>
      <c r="BS36">
        <v>8098.76</v>
      </c>
      <c r="BT36">
        <v>650.37</v>
      </c>
      <c r="BU36">
        <v>1.43</v>
      </c>
      <c r="BV36">
        <v>300.00000000000011</v>
      </c>
      <c r="BW36">
        <v>19.2</v>
      </c>
      <c r="BX36">
        <v>666.38118332294448</v>
      </c>
      <c r="BY36">
        <v>2.3695458664587359</v>
      </c>
      <c r="BZ36">
        <v>-12.964638629988031</v>
      </c>
      <c r="CA36">
        <v>1.7622767040759759</v>
      </c>
      <c r="CB36">
        <v>0.65904323788115027</v>
      </c>
      <c r="CC36">
        <v>-4.1695130144605141E-3</v>
      </c>
      <c r="CD36">
        <v>289.99999999999989</v>
      </c>
      <c r="CE36">
        <v>649.70000000000005</v>
      </c>
      <c r="CF36">
        <v>725</v>
      </c>
      <c r="CG36">
        <v>8086.84</v>
      </c>
      <c r="CH36">
        <v>650.35</v>
      </c>
      <c r="CI36">
        <v>-0.65</v>
      </c>
      <c r="CW36">
        <f t="shared" si="42"/>
        <v>1800.05</v>
      </c>
      <c r="CX36">
        <f t="shared" si="43"/>
        <v>1513.2296999934019</v>
      </c>
      <c r="CY36">
        <f t="shared" si="44"/>
        <v>0.84065981500147324</v>
      </c>
      <c r="CZ36">
        <f t="shared" si="45"/>
        <v>0.19131963000294644</v>
      </c>
      <c r="DA36">
        <v>6</v>
      </c>
      <c r="DB36">
        <v>0.5</v>
      </c>
      <c r="DC36" t="s">
        <v>417</v>
      </c>
      <c r="DD36">
        <v>2</v>
      </c>
      <c r="DE36">
        <v>1691166468.0999999</v>
      </c>
      <c r="DF36">
        <v>26.4009</v>
      </c>
      <c r="DG36">
        <v>30.0852</v>
      </c>
      <c r="DH36">
        <v>26.3492</v>
      </c>
      <c r="DI36">
        <v>17.872499999999999</v>
      </c>
      <c r="DJ36">
        <v>24.5533</v>
      </c>
      <c r="DK36">
        <v>26.2271</v>
      </c>
      <c r="DL36">
        <v>500.029</v>
      </c>
      <c r="DM36">
        <v>99.108400000000003</v>
      </c>
      <c r="DN36">
        <v>0.10009</v>
      </c>
      <c r="DO36">
        <v>30.313199999999998</v>
      </c>
      <c r="DP36">
        <v>29.983799999999999</v>
      </c>
      <c r="DQ36">
        <v>999.9</v>
      </c>
      <c r="DR36">
        <v>0</v>
      </c>
      <c r="DS36">
        <v>0</v>
      </c>
      <c r="DT36">
        <v>10015</v>
      </c>
      <c r="DU36">
        <v>0</v>
      </c>
      <c r="DV36">
        <v>1618.43</v>
      </c>
      <c r="DW36">
        <v>-3.6842999999999999</v>
      </c>
      <c r="DX36">
        <v>27.115300000000001</v>
      </c>
      <c r="DY36">
        <v>30.6327</v>
      </c>
      <c r="DZ36">
        <v>8.4766399999999997</v>
      </c>
      <c r="EA36">
        <v>30.0852</v>
      </c>
      <c r="EB36">
        <v>17.872499999999999</v>
      </c>
      <c r="EC36">
        <v>2.6114199999999999</v>
      </c>
      <c r="ED36">
        <v>1.77132</v>
      </c>
      <c r="EE36">
        <v>21.738099999999999</v>
      </c>
      <c r="EF36">
        <v>15.5359</v>
      </c>
      <c r="EG36">
        <v>1800.05</v>
      </c>
      <c r="EH36">
        <v>0.97800600000000004</v>
      </c>
      <c r="EI36">
        <v>2.1993800000000001E-2</v>
      </c>
      <c r="EJ36">
        <v>0</v>
      </c>
      <c r="EK36">
        <v>616.29499999999996</v>
      </c>
      <c r="EL36">
        <v>0.10001</v>
      </c>
      <c r="EM36">
        <v>16361.1</v>
      </c>
      <c r="EN36">
        <v>16354</v>
      </c>
      <c r="EO36">
        <v>47.875</v>
      </c>
      <c r="EP36">
        <v>50.375</v>
      </c>
      <c r="EQ36">
        <v>49.375</v>
      </c>
      <c r="ER36">
        <v>49.186999999999998</v>
      </c>
      <c r="ES36">
        <v>49.436999999999998</v>
      </c>
      <c r="ET36">
        <v>1760.36</v>
      </c>
      <c r="EU36">
        <v>39.590000000000003</v>
      </c>
      <c r="EV36">
        <v>0</v>
      </c>
      <c r="EW36">
        <v>99</v>
      </c>
      <c r="EX36">
        <v>0</v>
      </c>
      <c r="EY36">
        <v>617.46711538461545</v>
      </c>
      <c r="EZ36">
        <v>-0.54512821688410229</v>
      </c>
      <c r="FA36">
        <v>-266.0410279773796</v>
      </c>
      <c r="FB36">
        <v>16486.734615384619</v>
      </c>
      <c r="FC36">
        <v>15</v>
      </c>
      <c r="FD36">
        <v>1691166437.0999999</v>
      </c>
      <c r="FE36" t="s">
        <v>519</v>
      </c>
      <c r="FF36">
        <v>1691166430.0999999</v>
      </c>
      <c r="FG36">
        <v>1691166437.0999999</v>
      </c>
      <c r="FH36">
        <v>22</v>
      </c>
      <c r="FI36">
        <v>0.17299999999999999</v>
      </c>
      <c r="FJ36">
        <v>-4.0000000000000001E-3</v>
      </c>
      <c r="FK36">
        <v>1.86</v>
      </c>
      <c r="FL36">
        <v>-1.6E-2</v>
      </c>
      <c r="FM36">
        <v>30</v>
      </c>
      <c r="FN36">
        <v>18</v>
      </c>
      <c r="FO36">
        <v>0.9</v>
      </c>
      <c r="FP36">
        <v>0.03</v>
      </c>
      <c r="FQ36">
        <v>2.8681324728244602</v>
      </c>
      <c r="FR36">
        <v>0.14883393487665239</v>
      </c>
      <c r="FS36">
        <v>6.7850292400333745E-2</v>
      </c>
      <c r="FT36">
        <v>1</v>
      </c>
      <c r="FU36">
        <v>0.45735265604031222</v>
      </c>
      <c r="FV36">
        <v>-3.1086159177835752E-2</v>
      </c>
      <c r="FW36">
        <v>3.1981932029086389E-3</v>
      </c>
      <c r="FX36">
        <v>1</v>
      </c>
      <c r="FY36">
        <v>2</v>
      </c>
      <c r="FZ36">
        <v>2</v>
      </c>
      <c r="GA36" t="s">
        <v>419</v>
      </c>
      <c r="GB36">
        <v>2.8834900000000001</v>
      </c>
      <c r="GC36">
        <v>2.8214100000000002</v>
      </c>
      <c r="GD36">
        <v>6.4065299999999997E-3</v>
      </c>
      <c r="GE36">
        <v>7.9049399999999992E-3</v>
      </c>
      <c r="GF36">
        <v>0.12167600000000001</v>
      </c>
      <c r="GG36">
        <v>9.3265799999999996E-2</v>
      </c>
      <c r="GH36">
        <v>30463.3</v>
      </c>
      <c r="GI36">
        <v>28389.9</v>
      </c>
      <c r="GJ36">
        <v>28232.799999999999</v>
      </c>
      <c r="GK36">
        <v>26884.6</v>
      </c>
      <c r="GL36">
        <v>34999.599999999999</v>
      </c>
      <c r="GM36">
        <v>34052.400000000001</v>
      </c>
      <c r="GN36">
        <v>41542.300000000003</v>
      </c>
      <c r="GO36">
        <v>38907.699999999997</v>
      </c>
      <c r="GP36">
        <v>1.9972000000000001</v>
      </c>
      <c r="GQ36">
        <v>1.6719999999999999</v>
      </c>
      <c r="GR36">
        <v>-4.3600800000000002E-2</v>
      </c>
      <c r="GS36">
        <v>0</v>
      </c>
      <c r="GT36">
        <v>30.693000000000001</v>
      </c>
      <c r="GU36">
        <v>999.9</v>
      </c>
      <c r="GV36">
        <v>49.1</v>
      </c>
      <c r="GW36">
        <v>42.7</v>
      </c>
      <c r="GX36">
        <v>42.368200000000002</v>
      </c>
      <c r="GY36">
        <v>62.5779</v>
      </c>
      <c r="GZ36">
        <v>31.870999999999999</v>
      </c>
      <c r="HA36">
        <v>1</v>
      </c>
      <c r="HB36">
        <v>1.0285599999999999</v>
      </c>
      <c r="HC36">
        <v>3.9749699999999999</v>
      </c>
      <c r="HD36">
        <v>20.198899999999998</v>
      </c>
      <c r="HE36">
        <v>5.2095000000000002</v>
      </c>
      <c r="HF36">
        <v>11.997999999999999</v>
      </c>
      <c r="HG36">
        <v>4.9874000000000001</v>
      </c>
      <c r="HH36">
        <v>3.2909999999999999</v>
      </c>
      <c r="HI36">
        <v>9999</v>
      </c>
      <c r="HJ36">
        <v>9999</v>
      </c>
      <c r="HK36">
        <v>9999</v>
      </c>
      <c r="HL36">
        <v>999.9</v>
      </c>
      <c r="HM36">
        <v>1.86677</v>
      </c>
      <c r="HN36">
        <v>1.8669100000000001</v>
      </c>
      <c r="HO36">
        <v>1.8633999999999999</v>
      </c>
      <c r="HP36">
        <v>1.8646</v>
      </c>
      <c r="HQ36">
        <v>1.8641700000000001</v>
      </c>
      <c r="HR36">
        <v>1.86005</v>
      </c>
      <c r="HS36">
        <v>1.8632</v>
      </c>
      <c r="HT36">
        <v>1.8660000000000001</v>
      </c>
      <c r="HU36">
        <v>5</v>
      </c>
      <c r="HV36">
        <v>0</v>
      </c>
      <c r="HW36">
        <v>0</v>
      </c>
      <c r="HX36">
        <v>0</v>
      </c>
      <c r="HY36" t="s">
        <v>420</v>
      </c>
      <c r="HZ36" t="s">
        <v>421</v>
      </c>
      <c r="IA36" t="s">
        <v>422</v>
      </c>
      <c r="IB36" t="s">
        <v>422</v>
      </c>
      <c r="IC36" t="s">
        <v>422</v>
      </c>
      <c r="ID36" t="s">
        <v>422</v>
      </c>
      <c r="IE36">
        <v>0</v>
      </c>
      <c r="IF36">
        <v>100</v>
      </c>
      <c r="IG36">
        <v>100</v>
      </c>
      <c r="IH36">
        <v>1.8480000000000001</v>
      </c>
      <c r="II36">
        <v>0.1221</v>
      </c>
      <c r="IJ36">
        <v>1.7615759130263891</v>
      </c>
      <c r="IK36">
        <v>3.5576830062418229E-3</v>
      </c>
      <c r="IL36">
        <v>-2.2646740813029151E-6</v>
      </c>
      <c r="IM36">
        <v>6.9609298295988525E-10</v>
      </c>
      <c r="IN36">
        <v>-0.1453261708616421</v>
      </c>
      <c r="IO36">
        <v>-9.4437069492282083E-4</v>
      </c>
      <c r="IP36">
        <v>5.2900373165634467E-4</v>
      </c>
      <c r="IQ36">
        <v>-3.977656803091445E-6</v>
      </c>
      <c r="IR36">
        <v>2</v>
      </c>
      <c r="IS36">
        <v>1759</v>
      </c>
      <c r="IT36">
        <v>2</v>
      </c>
      <c r="IU36">
        <v>42</v>
      </c>
      <c r="IV36">
        <v>0.6</v>
      </c>
      <c r="IW36">
        <v>0.5</v>
      </c>
      <c r="IX36">
        <v>0.163574</v>
      </c>
      <c r="IY36">
        <v>2.50366</v>
      </c>
      <c r="IZ36">
        <v>1.54297</v>
      </c>
      <c r="JA36">
        <v>2.3046899999999999</v>
      </c>
      <c r="JB36">
        <v>1.5466299999999999</v>
      </c>
      <c r="JC36">
        <v>2.3950200000000001</v>
      </c>
      <c r="JD36">
        <v>46.327399999999997</v>
      </c>
      <c r="JE36">
        <v>23.886099999999999</v>
      </c>
      <c r="JF36">
        <v>18</v>
      </c>
      <c r="JG36">
        <v>533.78</v>
      </c>
      <c r="JH36">
        <v>423.06099999999998</v>
      </c>
      <c r="JI36">
        <v>25.380600000000001</v>
      </c>
      <c r="JJ36">
        <v>39.392099999999999</v>
      </c>
      <c r="JK36">
        <v>29.9998</v>
      </c>
      <c r="JL36">
        <v>39.767699999999998</v>
      </c>
      <c r="JM36">
        <v>39.743899999999996</v>
      </c>
      <c r="JN36">
        <v>3.367</v>
      </c>
      <c r="JO36">
        <v>62.265500000000003</v>
      </c>
      <c r="JP36">
        <v>0</v>
      </c>
      <c r="JQ36">
        <v>25.3748</v>
      </c>
      <c r="JR36">
        <v>30</v>
      </c>
      <c r="JS36">
        <v>17.909700000000001</v>
      </c>
      <c r="JT36">
        <v>98.422399999999996</v>
      </c>
      <c r="JU36">
        <v>96.266599999999997</v>
      </c>
    </row>
    <row r="37" spans="1:281" x14ac:dyDescent="0.25">
      <c r="A37">
        <v>21</v>
      </c>
      <c r="B37">
        <v>1691166570.5999999</v>
      </c>
      <c r="C37">
        <v>5659.0999999046326</v>
      </c>
      <c r="D37" t="s">
        <v>520</v>
      </c>
      <c r="E37" t="s">
        <v>521</v>
      </c>
      <c r="F37" t="s">
        <v>413</v>
      </c>
      <c r="G37" t="s">
        <v>490</v>
      </c>
      <c r="H37" t="s">
        <v>491</v>
      </c>
      <c r="I37" t="s">
        <v>31</v>
      </c>
      <c r="J37">
        <v>1691166570.5999999</v>
      </c>
      <c r="K37">
        <f t="shared" si="0"/>
        <v>7.2531011517811819E-3</v>
      </c>
      <c r="L37">
        <f t="shared" si="1"/>
        <v>7.2531011517811823</v>
      </c>
      <c r="M37">
        <f t="shared" si="2"/>
        <v>1.9473679398218993</v>
      </c>
      <c r="N37">
        <f t="shared" si="3"/>
        <v>20.563600000000001</v>
      </c>
      <c r="O37">
        <f t="shared" si="4"/>
        <v>12.926546018562274</v>
      </c>
      <c r="P37">
        <f t="shared" si="5"/>
        <v>1.2823636467200805</v>
      </c>
      <c r="Q37">
        <f t="shared" si="6"/>
        <v>2.0399891082912798</v>
      </c>
      <c r="R37">
        <f t="shared" si="7"/>
        <v>0.46621874204476982</v>
      </c>
      <c r="S37">
        <f t="shared" si="8"/>
        <v>2.9146564982433718</v>
      </c>
      <c r="T37">
        <f t="shared" si="9"/>
        <v>0.42840159513580262</v>
      </c>
      <c r="U37">
        <f t="shared" si="10"/>
        <v>0.27089263126600371</v>
      </c>
      <c r="V37">
        <f t="shared" si="11"/>
        <v>344.36209998680283</v>
      </c>
      <c r="W37">
        <f t="shared" si="12"/>
        <v>30.551526152637894</v>
      </c>
      <c r="X37">
        <f t="shared" si="13"/>
        <v>30.019100000000002</v>
      </c>
      <c r="Y37">
        <f t="shared" si="14"/>
        <v>4.2651260972955178</v>
      </c>
      <c r="Z37">
        <f t="shared" si="15"/>
        <v>60.629092167246313</v>
      </c>
      <c r="AA37">
        <f t="shared" si="16"/>
        <v>2.6440316728945001</v>
      </c>
      <c r="AB37">
        <f t="shared" si="17"/>
        <v>4.3609949916467441</v>
      </c>
      <c r="AC37">
        <f t="shared" si="18"/>
        <v>1.6210944244010177</v>
      </c>
      <c r="AD37">
        <f t="shared" si="19"/>
        <v>-319.8617607935501</v>
      </c>
      <c r="AE37">
        <f t="shared" si="20"/>
        <v>60.905510935265646</v>
      </c>
      <c r="AF37">
        <f t="shared" si="21"/>
        <v>4.656114154021278</v>
      </c>
      <c r="AG37">
        <f t="shared" si="22"/>
        <v>90.061964282539662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51839.792571339611</v>
      </c>
      <c r="AM37" t="s">
        <v>414</v>
      </c>
      <c r="AN37">
        <v>10111.299999999999</v>
      </c>
      <c r="AO37">
        <v>608.58839999999998</v>
      </c>
      <c r="AP37">
        <v>2150.11</v>
      </c>
      <c r="AQ37">
        <f t="shared" si="26"/>
        <v>0.71695010952927984</v>
      </c>
      <c r="AR37">
        <v>-1.1786277417053079</v>
      </c>
      <c r="AS37" t="s">
        <v>522</v>
      </c>
      <c r="AT37">
        <v>8093.87</v>
      </c>
      <c r="AU37">
        <v>618.04730769230764</v>
      </c>
      <c r="AV37">
        <v>664.9060111114876</v>
      </c>
      <c r="AW37">
        <f t="shared" si="27"/>
        <v>7.0474176253646381E-2</v>
      </c>
      <c r="AX37">
        <v>0.5</v>
      </c>
      <c r="AY37">
        <f t="shared" si="28"/>
        <v>1513.1288999934013</v>
      </c>
      <c r="AZ37">
        <f t="shared" si="29"/>
        <v>1.9473679398218993</v>
      </c>
      <c r="BA37">
        <f t="shared" si="30"/>
        <v>53.318256396310517</v>
      </c>
      <c r="BB37">
        <f t="shared" si="31"/>
        <v>2.0659149934555078E-3</v>
      </c>
      <c r="BC37">
        <f t="shared" si="32"/>
        <v>2.2337051614344361</v>
      </c>
      <c r="BD37">
        <f t="shared" si="33"/>
        <v>372.85244265265959</v>
      </c>
      <c r="BE37" t="s">
        <v>523</v>
      </c>
      <c r="BF37">
        <v>524.30999999999995</v>
      </c>
      <c r="BG37">
        <f t="shared" si="34"/>
        <v>524.30999999999995</v>
      </c>
      <c r="BH37">
        <f t="shared" si="35"/>
        <v>0.21145245908735411</v>
      </c>
      <c r="BI37">
        <f t="shared" si="36"/>
        <v>0.33328615121251676</v>
      </c>
      <c r="BJ37">
        <f t="shared" si="37"/>
        <v>0.91352195158599592</v>
      </c>
      <c r="BK37">
        <f t="shared" si="38"/>
        <v>0.83204352056796949</v>
      </c>
      <c r="BL37">
        <f t="shared" si="39"/>
        <v>0.96346621992744852</v>
      </c>
      <c r="BM37">
        <f t="shared" si="40"/>
        <v>0.28273768005673583</v>
      </c>
      <c r="BN37">
        <f t="shared" si="41"/>
        <v>0.71726231994326417</v>
      </c>
      <c r="BO37">
        <v>7015</v>
      </c>
      <c r="BP37">
        <v>290.00000000000011</v>
      </c>
      <c r="BQ37">
        <v>648.66999999999996</v>
      </c>
      <c r="BR37">
        <v>285</v>
      </c>
      <c r="BS37">
        <v>8093.87</v>
      </c>
      <c r="BT37">
        <v>647.79</v>
      </c>
      <c r="BU37">
        <v>0.88</v>
      </c>
      <c r="BV37">
        <v>300.00000000000011</v>
      </c>
      <c r="BW37">
        <v>19.2</v>
      </c>
      <c r="BX37">
        <v>664.9060111114876</v>
      </c>
      <c r="BY37">
        <v>1.8689868606616069</v>
      </c>
      <c r="BZ37">
        <v>-13.85164781654457</v>
      </c>
      <c r="CA37">
        <v>1.3901217443182059</v>
      </c>
      <c r="CB37">
        <v>0.78002657295359734</v>
      </c>
      <c r="CC37">
        <v>-4.1696618464961126E-3</v>
      </c>
      <c r="CD37">
        <v>289.99999999999989</v>
      </c>
      <c r="CE37">
        <v>646.73</v>
      </c>
      <c r="CF37">
        <v>725</v>
      </c>
      <c r="CG37">
        <v>8087.53</v>
      </c>
      <c r="CH37">
        <v>647.78</v>
      </c>
      <c r="CI37">
        <v>-1.05</v>
      </c>
      <c r="CW37">
        <f t="shared" si="42"/>
        <v>1799.93</v>
      </c>
      <c r="CX37">
        <f t="shared" si="43"/>
        <v>1513.1288999934013</v>
      </c>
      <c r="CY37">
        <f t="shared" si="44"/>
        <v>0.84065985899085038</v>
      </c>
      <c r="CZ37">
        <f t="shared" si="45"/>
        <v>0.19131971798170086</v>
      </c>
      <c r="DA37">
        <v>6</v>
      </c>
      <c r="DB37">
        <v>0.5</v>
      </c>
      <c r="DC37" t="s">
        <v>417</v>
      </c>
      <c r="DD37">
        <v>2</v>
      </c>
      <c r="DE37">
        <v>1691166570.5999999</v>
      </c>
      <c r="DF37">
        <v>20.563600000000001</v>
      </c>
      <c r="DG37">
        <v>23.0792</v>
      </c>
      <c r="DH37">
        <v>26.6525</v>
      </c>
      <c r="DI37">
        <v>18.1815</v>
      </c>
      <c r="DJ37">
        <v>18.713999999999999</v>
      </c>
      <c r="DK37">
        <v>26.522500000000001</v>
      </c>
      <c r="DL37">
        <v>500.04399999999998</v>
      </c>
      <c r="DM37">
        <v>99.103899999999996</v>
      </c>
      <c r="DN37">
        <v>9.9989800000000004E-2</v>
      </c>
      <c r="DO37">
        <v>30.406700000000001</v>
      </c>
      <c r="DP37">
        <v>30.019100000000002</v>
      </c>
      <c r="DQ37">
        <v>999.9</v>
      </c>
      <c r="DR37">
        <v>0</v>
      </c>
      <c r="DS37">
        <v>0</v>
      </c>
      <c r="DT37">
        <v>10005</v>
      </c>
      <c r="DU37">
        <v>0</v>
      </c>
      <c r="DV37">
        <v>1907.65</v>
      </c>
      <c r="DW37">
        <v>-2.5156200000000002</v>
      </c>
      <c r="DX37">
        <v>21.1267</v>
      </c>
      <c r="DY37">
        <v>23.506599999999999</v>
      </c>
      <c r="DZ37">
        <v>8.47105</v>
      </c>
      <c r="EA37">
        <v>23.0792</v>
      </c>
      <c r="EB37">
        <v>18.1815</v>
      </c>
      <c r="EC37">
        <v>2.6413700000000002</v>
      </c>
      <c r="ED37">
        <v>1.80185</v>
      </c>
      <c r="EE37">
        <v>21.924800000000001</v>
      </c>
      <c r="EF37">
        <v>15.802899999999999</v>
      </c>
      <c r="EG37">
        <v>1799.93</v>
      </c>
      <c r="EH37">
        <v>0.97800299999999996</v>
      </c>
      <c r="EI37">
        <v>2.19974E-2</v>
      </c>
      <c r="EJ37">
        <v>0</v>
      </c>
      <c r="EK37">
        <v>616.23500000000001</v>
      </c>
      <c r="EL37">
        <v>0.10001</v>
      </c>
      <c r="EM37">
        <v>17309.2</v>
      </c>
      <c r="EN37">
        <v>16352.8</v>
      </c>
      <c r="EO37">
        <v>47.811999999999998</v>
      </c>
      <c r="EP37">
        <v>50.311999999999998</v>
      </c>
      <c r="EQ37">
        <v>49.311999999999998</v>
      </c>
      <c r="ER37">
        <v>49.125</v>
      </c>
      <c r="ES37">
        <v>49.375</v>
      </c>
      <c r="ET37">
        <v>1760.24</v>
      </c>
      <c r="EU37">
        <v>39.590000000000003</v>
      </c>
      <c r="EV37">
        <v>0</v>
      </c>
      <c r="EW37">
        <v>100.2000000476837</v>
      </c>
      <c r="EX37">
        <v>0</v>
      </c>
      <c r="EY37">
        <v>618.04730769230764</v>
      </c>
      <c r="EZ37">
        <v>-4.3494017650437344</v>
      </c>
      <c r="FA37">
        <v>252.5811961796982</v>
      </c>
      <c r="FB37">
        <v>17298.09230769231</v>
      </c>
      <c r="FC37">
        <v>15</v>
      </c>
      <c r="FD37">
        <v>1691166546.5999999</v>
      </c>
      <c r="FE37" t="s">
        <v>524</v>
      </c>
      <c r="FF37">
        <v>1691166537.5999999</v>
      </c>
      <c r="FG37">
        <v>1691166546.5999999</v>
      </c>
      <c r="FH37">
        <v>23</v>
      </c>
      <c r="FI37">
        <v>2.1999999999999999E-2</v>
      </c>
      <c r="FJ37">
        <v>2E-3</v>
      </c>
      <c r="FK37">
        <v>1.8580000000000001</v>
      </c>
      <c r="FL37">
        <v>-1.2999999999999999E-2</v>
      </c>
      <c r="FM37">
        <v>23</v>
      </c>
      <c r="FN37">
        <v>18</v>
      </c>
      <c r="FO37">
        <v>0.96</v>
      </c>
      <c r="FP37">
        <v>0.02</v>
      </c>
      <c r="FQ37">
        <v>1.9737763885863411</v>
      </c>
      <c r="FR37">
        <v>-0.56364623021261007</v>
      </c>
      <c r="FS37">
        <v>8.2291353148842283E-2</v>
      </c>
      <c r="FT37">
        <v>1</v>
      </c>
      <c r="FU37">
        <v>0.46788720377929399</v>
      </c>
      <c r="FV37">
        <v>4.3743977783748868E-2</v>
      </c>
      <c r="FW37">
        <v>1.2771497832280871E-2</v>
      </c>
      <c r="FX37">
        <v>1</v>
      </c>
      <c r="FY37">
        <v>2</v>
      </c>
      <c r="FZ37">
        <v>2</v>
      </c>
      <c r="GA37" t="s">
        <v>419</v>
      </c>
      <c r="GB37">
        <v>2.8836200000000001</v>
      </c>
      <c r="GC37">
        <v>2.8212199999999998</v>
      </c>
      <c r="GD37">
        <v>4.8861099999999999E-3</v>
      </c>
      <c r="GE37">
        <v>6.0703299999999996E-3</v>
      </c>
      <c r="GF37">
        <v>0.122623</v>
      </c>
      <c r="GG37">
        <v>9.4409900000000005E-2</v>
      </c>
      <c r="GH37">
        <v>30513.1</v>
      </c>
      <c r="GI37">
        <v>28444.799999999999</v>
      </c>
      <c r="GJ37">
        <v>28235.599999999999</v>
      </c>
      <c r="GK37">
        <v>26886.799999999999</v>
      </c>
      <c r="GL37">
        <v>34965.4</v>
      </c>
      <c r="GM37">
        <v>34012.300000000003</v>
      </c>
      <c r="GN37">
        <v>41546.5</v>
      </c>
      <c r="GO37">
        <v>38910.9</v>
      </c>
      <c r="GP37">
        <v>1.9976</v>
      </c>
      <c r="GQ37">
        <v>1.6726000000000001</v>
      </c>
      <c r="GR37">
        <v>-4.4629000000000002E-2</v>
      </c>
      <c r="GS37">
        <v>0</v>
      </c>
      <c r="GT37">
        <v>30.744900000000001</v>
      </c>
      <c r="GU37">
        <v>999.9</v>
      </c>
      <c r="GV37">
        <v>49</v>
      </c>
      <c r="GW37">
        <v>42.7</v>
      </c>
      <c r="GX37">
        <v>42.283499999999997</v>
      </c>
      <c r="GY37">
        <v>62.607900000000001</v>
      </c>
      <c r="GZ37">
        <v>32.139400000000002</v>
      </c>
      <c r="HA37">
        <v>1</v>
      </c>
      <c r="HB37">
        <v>1.02874</v>
      </c>
      <c r="HC37">
        <v>4.7934299999999999</v>
      </c>
      <c r="HD37">
        <v>20.179200000000002</v>
      </c>
      <c r="HE37">
        <v>5.2095000000000002</v>
      </c>
      <c r="HF37">
        <v>11.997999999999999</v>
      </c>
      <c r="HG37">
        <v>4.9880000000000004</v>
      </c>
      <c r="HH37">
        <v>3.2909999999999999</v>
      </c>
      <c r="HI37">
        <v>9999</v>
      </c>
      <c r="HJ37">
        <v>9999</v>
      </c>
      <c r="HK37">
        <v>9999</v>
      </c>
      <c r="HL37">
        <v>999.9</v>
      </c>
      <c r="HM37">
        <v>1.8668199999999999</v>
      </c>
      <c r="HN37">
        <v>1.8669100000000001</v>
      </c>
      <c r="HO37">
        <v>1.8633999999999999</v>
      </c>
      <c r="HP37">
        <v>1.8646199999999999</v>
      </c>
      <c r="HQ37">
        <v>1.8641700000000001</v>
      </c>
      <c r="HR37">
        <v>1.86005</v>
      </c>
      <c r="HS37">
        <v>1.8632500000000001</v>
      </c>
      <c r="HT37">
        <v>1.8660000000000001</v>
      </c>
      <c r="HU37">
        <v>5</v>
      </c>
      <c r="HV37">
        <v>0</v>
      </c>
      <c r="HW37">
        <v>0</v>
      </c>
      <c r="HX37">
        <v>0</v>
      </c>
      <c r="HY37" t="s">
        <v>420</v>
      </c>
      <c r="HZ37" t="s">
        <v>421</v>
      </c>
      <c r="IA37" t="s">
        <v>422</v>
      </c>
      <c r="IB37" t="s">
        <v>422</v>
      </c>
      <c r="IC37" t="s">
        <v>422</v>
      </c>
      <c r="ID37" t="s">
        <v>422</v>
      </c>
      <c r="IE37">
        <v>0</v>
      </c>
      <c r="IF37">
        <v>100</v>
      </c>
      <c r="IG37">
        <v>100</v>
      </c>
      <c r="IH37">
        <v>1.85</v>
      </c>
      <c r="II37">
        <v>0.13</v>
      </c>
      <c r="IJ37">
        <v>1.783828651407011</v>
      </c>
      <c r="IK37">
        <v>3.5576830062418229E-3</v>
      </c>
      <c r="IL37">
        <v>-2.2646740813029151E-6</v>
      </c>
      <c r="IM37">
        <v>6.9609298295988525E-10</v>
      </c>
      <c r="IN37">
        <v>-0.14283609103798969</v>
      </c>
      <c r="IO37">
        <v>-9.4437069492282083E-4</v>
      </c>
      <c r="IP37">
        <v>5.2900373165634467E-4</v>
      </c>
      <c r="IQ37">
        <v>-3.977656803091445E-6</v>
      </c>
      <c r="IR37">
        <v>2</v>
      </c>
      <c r="IS37">
        <v>1759</v>
      </c>
      <c r="IT37">
        <v>2</v>
      </c>
      <c r="IU37">
        <v>42</v>
      </c>
      <c r="IV37">
        <v>0.6</v>
      </c>
      <c r="IW37">
        <v>0.4</v>
      </c>
      <c r="IX37">
        <v>3.0517599999999999E-2</v>
      </c>
      <c r="IY37">
        <v>4.99634</v>
      </c>
      <c r="IZ37">
        <v>1.54297</v>
      </c>
      <c r="JA37">
        <v>2.3034699999999999</v>
      </c>
      <c r="JB37">
        <v>1.5466299999999999</v>
      </c>
      <c r="JC37">
        <v>2.36816</v>
      </c>
      <c r="JD37">
        <v>46.327399999999997</v>
      </c>
      <c r="JE37">
        <v>23.8598</v>
      </c>
      <c r="JF37">
        <v>18</v>
      </c>
      <c r="JG37">
        <v>533.89599999999996</v>
      </c>
      <c r="JH37">
        <v>423.33499999999998</v>
      </c>
      <c r="JI37">
        <v>24.924700000000001</v>
      </c>
      <c r="JJ37">
        <v>39.334499999999998</v>
      </c>
      <c r="JK37">
        <v>30</v>
      </c>
      <c r="JL37">
        <v>39.7483</v>
      </c>
      <c r="JM37">
        <v>39.724600000000002</v>
      </c>
      <c r="JN37">
        <v>0</v>
      </c>
      <c r="JO37">
        <v>61.697000000000003</v>
      </c>
      <c r="JP37">
        <v>0</v>
      </c>
      <c r="JQ37">
        <v>24.893999999999998</v>
      </c>
      <c r="JR37">
        <v>10</v>
      </c>
      <c r="JS37">
        <v>18.062999999999999</v>
      </c>
      <c r="JT37">
        <v>98.432400000000001</v>
      </c>
      <c r="JU37">
        <v>96.274600000000007</v>
      </c>
    </row>
    <row r="38" spans="1:281" x14ac:dyDescent="0.25">
      <c r="A38">
        <v>22</v>
      </c>
      <c r="B38">
        <v>1691166718.5999999</v>
      </c>
      <c r="C38">
        <v>5807.0999999046326</v>
      </c>
      <c r="D38" t="s">
        <v>525</v>
      </c>
      <c r="E38" t="s">
        <v>526</v>
      </c>
      <c r="F38" t="s">
        <v>413</v>
      </c>
      <c r="G38" t="s">
        <v>490</v>
      </c>
      <c r="H38" t="s">
        <v>491</v>
      </c>
      <c r="I38" t="s">
        <v>31</v>
      </c>
      <c r="J38">
        <v>1691166718.5999999</v>
      </c>
      <c r="K38">
        <f t="shared" si="0"/>
        <v>6.6018042496000543E-3</v>
      </c>
      <c r="L38">
        <f t="shared" si="1"/>
        <v>6.601804249600054</v>
      </c>
      <c r="M38">
        <f t="shared" si="2"/>
        <v>47.480790890170759</v>
      </c>
      <c r="N38">
        <f t="shared" si="3"/>
        <v>340.13299999999998</v>
      </c>
      <c r="O38">
        <f t="shared" si="4"/>
        <v>138.28141566370235</v>
      </c>
      <c r="P38">
        <f t="shared" si="5"/>
        <v>13.718669839127323</v>
      </c>
      <c r="Q38">
        <f t="shared" si="6"/>
        <v>33.744030649352993</v>
      </c>
      <c r="R38">
        <f t="shared" si="7"/>
        <v>0.41518510862222885</v>
      </c>
      <c r="S38">
        <f t="shared" si="8"/>
        <v>2.904649979203942</v>
      </c>
      <c r="T38">
        <f t="shared" si="9"/>
        <v>0.38480987008825679</v>
      </c>
      <c r="U38">
        <f t="shared" si="10"/>
        <v>0.24304981411309096</v>
      </c>
      <c r="V38">
        <f t="shared" si="11"/>
        <v>344.37089998679642</v>
      </c>
      <c r="W38">
        <f t="shared" si="12"/>
        <v>30.606392975150179</v>
      </c>
      <c r="X38">
        <f t="shared" si="13"/>
        <v>29.9194</v>
      </c>
      <c r="Y38">
        <f t="shared" si="14"/>
        <v>4.2407653484465921</v>
      </c>
      <c r="Z38">
        <f t="shared" si="15"/>
        <v>59.957021980121951</v>
      </c>
      <c r="AA38">
        <f t="shared" si="16"/>
        <v>2.5974033382232995</v>
      </c>
      <c r="AB38">
        <f t="shared" si="17"/>
        <v>4.3321086545699989</v>
      </c>
      <c r="AC38">
        <f t="shared" si="18"/>
        <v>1.6433620102232926</v>
      </c>
      <c r="AD38">
        <f t="shared" si="19"/>
        <v>-291.13956740736239</v>
      </c>
      <c r="AE38">
        <f t="shared" si="20"/>
        <v>58.143905317754623</v>
      </c>
      <c r="AF38">
        <f t="shared" si="21"/>
        <v>4.4555495705527068</v>
      </c>
      <c r="AG38">
        <f t="shared" si="22"/>
        <v>115.83078746774135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51575.531197414879</v>
      </c>
      <c r="AM38" t="s">
        <v>414</v>
      </c>
      <c r="AN38">
        <v>10111.299999999999</v>
      </c>
      <c r="AO38">
        <v>608.58839999999998</v>
      </c>
      <c r="AP38">
        <v>2150.11</v>
      </c>
      <c r="AQ38">
        <f t="shared" si="26"/>
        <v>0.71695010952927984</v>
      </c>
      <c r="AR38">
        <v>-1.1786277417053079</v>
      </c>
      <c r="AS38" t="s">
        <v>527</v>
      </c>
      <c r="AT38">
        <v>8094.58</v>
      </c>
      <c r="AU38">
        <v>618.42999999999995</v>
      </c>
      <c r="AV38">
        <v>963.39543208640043</v>
      </c>
      <c r="AW38">
        <f t="shared" si="27"/>
        <v>0.35807252203730899</v>
      </c>
      <c r="AX38">
        <v>0.5</v>
      </c>
      <c r="AY38">
        <f t="shared" si="28"/>
        <v>1513.1630999933982</v>
      </c>
      <c r="AZ38">
        <f t="shared" si="29"/>
        <v>47.480790890170759</v>
      </c>
      <c r="BA38">
        <f t="shared" si="30"/>
        <v>270.91106373421445</v>
      </c>
      <c r="BB38">
        <f t="shared" si="31"/>
        <v>3.215741821360061E-2</v>
      </c>
      <c r="BC38">
        <f t="shared" si="32"/>
        <v>1.2318042294881582</v>
      </c>
      <c r="BD38">
        <f t="shared" si="33"/>
        <v>451.25344706637071</v>
      </c>
      <c r="BE38" t="s">
        <v>528</v>
      </c>
      <c r="BF38">
        <v>498.87</v>
      </c>
      <c r="BG38">
        <f t="shared" si="34"/>
        <v>498.87</v>
      </c>
      <c r="BH38">
        <f t="shared" si="35"/>
        <v>0.48217524872459672</v>
      </c>
      <c r="BI38">
        <f t="shared" si="36"/>
        <v>0.74261904356237241</v>
      </c>
      <c r="BJ38">
        <f t="shared" si="37"/>
        <v>0.71868085070225984</v>
      </c>
      <c r="BK38">
        <f t="shared" si="38"/>
        <v>0.97226210556727799</v>
      </c>
      <c r="BL38">
        <f t="shared" si="39"/>
        <v>0.76983324003607845</v>
      </c>
      <c r="BM38">
        <f t="shared" si="40"/>
        <v>0.59904979102236422</v>
      </c>
      <c r="BN38">
        <f t="shared" si="41"/>
        <v>0.40095020897763578</v>
      </c>
      <c r="BO38">
        <v>7017</v>
      </c>
      <c r="BP38">
        <v>290.00000000000011</v>
      </c>
      <c r="BQ38">
        <v>811.96</v>
      </c>
      <c r="BR38">
        <v>275</v>
      </c>
      <c r="BS38">
        <v>8094.58</v>
      </c>
      <c r="BT38">
        <v>814.8</v>
      </c>
      <c r="BU38">
        <v>-2.84</v>
      </c>
      <c r="BV38">
        <v>300.00000000000011</v>
      </c>
      <c r="BW38">
        <v>19.2</v>
      </c>
      <c r="BX38">
        <v>963.39543208640043</v>
      </c>
      <c r="BY38">
        <v>4.004115868481561</v>
      </c>
      <c r="BZ38">
        <v>-120.2796115289913</v>
      </c>
      <c r="CA38">
        <v>2.9782941093363968</v>
      </c>
      <c r="CB38">
        <v>0.98312216830132493</v>
      </c>
      <c r="CC38">
        <v>-4.1706173526140219E-3</v>
      </c>
      <c r="CD38">
        <v>289.99999999999989</v>
      </c>
      <c r="CE38">
        <v>799.45</v>
      </c>
      <c r="CF38">
        <v>615</v>
      </c>
      <c r="CG38">
        <v>8090.01</v>
      </c>
      <c r="CH38">
        <v>814.72</v>
      </c>
      <c r="CI38">
        <v>-15.27</v>
      </c>
      <c r="CW38">
        <f t="shared" si="42"/>
        <v>1799.97</v>
      </c>
      <c r="CX38">
        <f t="shared" si="43"/>
        <v>1513.1630999933982</v>
      </c>
      <c r="CY38">
        <f t="shared" si="44"/>
        <v>0.84066017766596013</v>
      </c>
      <c r="CZ38">
        <f t="shared" si="45"/>
        <v>0.19132035533192021</v>
      </c>
      <c r="DA38">
        <v>6</v>
      </c>
      <c r="DB38">
        <v>0.5</v>
      </c>
      <c r="DC38" t="s">
        <v>417</v>
      </c>
      <c r="DD38">
        <v>2</v>
      </c>
      <c r="DE38">
        <v>1691166718.5999999</v>
      </c>
      <c r="DF38">
        <v>340.13299999999998</v>
      </c>
      <c r="DG38">
        <v>399.80799999999999</v>
      </c>
      <c r="DH38">
        <v>26.1813</v>
      </c>
      <c r="DI38">
        <v>18.466100000000001</v>
      </c>
      <c r="DJ38">
        <v>337.54300000000001</v>
      </c>
      <c r="DK38">
        <v>26.0627</v>
      </c>
      <c r="DL38">
        <v>499.971</v>
      </c>
      <c r="DM38">
        <v>99.107699999999994</v>
      </c>
      <c r="DN38">
        <v>0.10064099999999999</v>
      </c>
      <c r="DO38">
        <v>30.290700000000001</v>
      </c>
      <c r="DP38">
        <v>29.9194</v>
      </c>
      <c r="DQ38">
        <v>999.9</v>
      </c>
      <c r="DR38">
        <v>0</v>
      </c>
      <c r="DS38">
        <v>0</v>
      </c>
      <c r="DT38">
        <v>9947.5</v>
      </c>
      <c r="DU38">
        <v>0</v>
      </c>
      <c r="DV38">
        <v>488.61799999999999</v>
      </c>
      <c r="DW38">
        <v>-59.674900000000001</v>
      </c>
      <c r="DX38">
        <v>349.27800000000002</v>
      </c>
      <c r="DY38">
        <v>407.33</v>
      </c>
      <c r="DZ38">
        <v>7.7152500000000002</v>
      </c>
      <c r="EA38">
        <v>399.80799999999999</v>
      </c>
      <c r="EB38">
        <v>18.466100000000001</v>
      </c>
      <c r="EC38">
        <v>2.59477</v>
      </c>
      <c r="ED38">
        <v>1.83013</v>
      </c>
      <c r="EE38">
        <v>21.633500000000002</v>
      </c>
      <c r="EF38">
        <v>16.046600000000002</v>
      </c>
      <c r="EG38">
        <v>1799.97</v>
      </c>
      <c r="EH38">
        <v>0.977993</v>
      </c>
      <c r="EI38">
        <v>2.2007200000000001E-2</v>
      </c>
      <c r="EJ38">
        <v>0</v>
      </c>
      <c r="EK38">
        <v>615.71500000000003</v>
      </c>
      <c r="EL38">
        <v>0.10001</v>
      </c>
      <c r="EM38">
        <v>12694.6</v>
      </c>
      <c r="EN38">
        <v>16353.2</v>
      </c>
      <c r="EO38">
        <v>47.75</v>
      </c>
      <c r="EP38">
        <v>50.25</v>
      </c>
      <c r="EQ38">
        <v>49.25</v>
      </c>
      <c r="ER38">
        <v>49.125</v>
      </c>
      <c r="ES38">
        <v>49.375</v>
      </c>
      <c r="ET38">
        <v>1760.26</v>
      </c>
      <c r="EU38">
        <v>39.61</v>
      </c>
      <c r="EV38">
        <v>0</v>
      </c>
      <c r="EW38">
        <v>146</v>
      </c>
      <c r="EX38">
        <v>0</v>
      </c>
      <c r="EY38">
        <v>618.42999999999995</v>
      </c>
      <c r="EZ38">
        <v>-19.556923033509129</v>
      </c>
      <c r="FA38">
        <v>-562.26923174024807</v>
      </c>
      <c r="FB38">
        <v>12764.755999999999</v>
      </c>
      <c r="FC38">
        <v>15</v>
      </c>
      <c r="FD38">
        <v>1691166674.0999999</v>
      </c>
      <c r="FE38" t="s">
        <v>529</v>
      </c>
      <c r="FF38">
        <v>1691166673.0999999</v>
      </c>
      <c r="FG38">
        <v>1691166674.0999999</v>
      </c>
      <c r="FH38">
        <v>24</v>
      </c>
      <c r="FI38">
        <v>-0.16300000000000001</v>
      </c>
      <c r="FJ38">
        <v>-3.0000000000000001E-3</v>
      </c>
      <c r="FK38">
        <v>2.722</v>
      </c>
      <c r="FL38">
        <v>-1.4E-2</v>
      </c>
      <c r="FM38">
        <v>401</v>
      </c>
      <c r="FN38">
        <v>18</v>
      </c>
      <c r="FO38">
        <v>0.12</v>
      </c>
      <c r="FP38">
        <v>0.02</v>
      </c>
      <c r="FQ38">
        <v>47.702641904708663</v>
      </c>
      <c r="FR38">
        <v>0.56918504634902756</v>
      </c>
      <c r="FS38">
        <v>0.12753161743211541</v>
      </c>
      <c r="FT38">
        <v>1</v>
      </c>
      <c r="FU38">
        <v>0.42722455832970802</v>
      </c>
      <c r="FV38">
        <v>-4.4631867488162787E-2</v>
      </c>
      <c r="FW38">
        <v>3.6375508197067819E-3</v>
      </c>
      <c r="FX38">
        <v>1</v>
      </c>
      <c r="FY38">
        <v>2</v>
      </c>
      <c r="FZ38">
        <v>2</v>
      </c>
      <c r="GA38" t="s">
        <v>419</v>
      </c>
      <c r="GB38">
        <v>2.88347</v>
      </c>
      <c r="GC38">
        <v>2.82138</v>
      </c>
      <c r="GD38">
        <v>7.5696899999999998E-2</v>
      </c>
      <c r="GE38">
        <v>8.6911799999999997E-2</v>
      </c>
      <c r="GF38">
        <v>0.121154</v>
      </c>
      <c r="GG38">
        <v>9.5461599999999994E-2</v>
      </c>
      <c r="GH38">
        <v>28347.200000000001</v>
      </c>
      <c r="GI38">
        <v>26136.2</v>
      </c>
      <c r="GJ38">
        <v>28236.3</v>
      </c>
      <c r="GK38">
        <v>26887</v>
      </c>
      <c r="GL38">
        <v>35025.300000000003</v>
      </c>
      <c r="GM38">
        <v>33974.300000000003</v>
      </c>
      <c r="GN38">
        <v>41547.300000000003</v>
      </c>
      <c r="GO38">
        <v>38911.300000000003</v>
      </c>
      <c r="GP38">
        <v>1.9972000000000001</v>
      </c>
      <c r="GQ38">
        <v>1.6748000000000001</v>
      </c>
      <c r="GR38">
        <v>-4.5701899999999997E-2</v>
      </c>
      <c r="GS38">
        <v>0</v>
      </c>
      <c r="GT38">
        <v>30.662800000000001</v>
      </c>
      <c r="GU38">
        <v>999.9</v>
      </c>
      <c r="GV38">
        <v>48.7</v>
      </c>
      <c r="GW38">
        <v>42.7</v>
      </c>
      <c r="GX38">
        <v>42.023699999999998</v>
      </c>
      <c r="GY38">
        <v>62.777999999999999</v>
      </c>
      <c r="GZ38">
        <v>31.863</v>
      </c>
      <c r="HA38">
        <v>1</v>
      </c>
      <c r="HB38">
        <v>1.0207999999999999</v>
      </c>
      <c r="HC38">
        <v>3.8422499999999999</v>
      </c>
      <c r="HD38">
        <v>20.202200000000001</v>
      </c>
      <c r="HE38">
        <v>5.2059100000000003</v>
      </c>
      <c r="HF38">
        <v>11.997999999999999</v>
      </c>
      <c r="HG38">
        <v>4.9875999999999996</v>
      </c>
      <c r="HH38">
        <v>3.2909999999999999</v>
      </c>
      <c r="HI38">
        <v>9999</v>
      </c>
      <c r="HJ38">
        <v>9999</v>
      </c>
      <c r="HK38">
        <v>9999</v>
      </c>
      <c r="HL38">
        <v>999.9</v>
      </c>
      <c r="HM38">
        <v>1.8667899999999999</v>
      </c>
      <c r="HN38">
        <v>1.8669100000000001</v>
      </c>
      <c r="HO38">
        <v>1.8633999999999999</v>
      </c>
      <c r="HP38">
        <v>1.8646</v>
      </c>
      <c r="HQ38">
        <v>1.8641700000000001</v>
      </c>
      <c r="HR38">
        <v>1.86005</v>
      </c>
      <c r="HS38">
        <v>1.8632</v>
      </c>
      <c r="HT38">
        <v>1.8660000000000001</v>
      </c>
      <c r="HU38">
        <v>5</v>
      </c>
      <c r="HV38">
        <v>0</v>
      </c>
      <c r="HW38">
        <v>0</v>
      </c>
      <c r="HX38">
        <v>0</v>
      </c>
      <c r="HY38" t="s">
        <v>420</v>
      </c>
      <c r="HZ38" t="s">
        <v>421</v>
      </c>
      <c r="IA38" t="s">
        <v>422</v>
      </c>
      <c r="IB38" t="s">
        <v>422</v>
      </c>
      <c r="IC38" t="s">
        <v>422</v>
      </c>
      <c r="ID38" t="s">
        <v>422</v>
      </c>
      <c r="IE38">
        <v>0</v>
      </c>
      <c r="IF38">
        <v>100</v>
      </c>
      <c r="IG38">
        <v>100</v>
      </c>
      <c r="IH38">
        <v>2.59</v>
      </c>
      <c r="II38">
        <v>0.1186</v>
      </c>
      <c r="IJ38">
        <v>1.620374486475789</v>
      </c>
      <c r="IK38">
        <v>3.5576830062418229E-3</v>
      </c>
      <c r="IL38">
        <v>-2.2646740813029151E-6</v>
      </c>
      <c r="IM38">
        <v>6.9609298295988525E-10</v>
      </c>
      <c r="IN38">
        <v>-0.14563671244041251</v>
      </c>
      <c r="IO38">
        <v>-9.4437069492282083E-4</v>
      </c>
      <c r="IP38">
        <v>5.2900373165634467E-4</v>
      </c>
      <c r="IQ38">
        <v>-3.977656803091445E-6</v>
      </c>
      <c r="IR38">
        <v>2</v>
      </c>
      <c r="IS38">
        <v>1759</v>
      </c>
      <c r="IT38">
        <v>2</v>
      </c>
      <c r="IU38">
        <v>42</v>
      </c>
      <c r="IV38">
        <v>0.8</v>
      </c>
      <c r="IW38">
        <v>0.7</v>
      </c>
      <c r="IX38">
        <v>0.97534200000000004</v>
      </c>
      <c r="IY38">
        <v>2.4352999999999998</v>
      </c>
      <c r="IZ38">
        <v>1.54297</v>
      </c>
      <c r="JA38">
        <v>2.3046899999999999</v>
      </c>
      <c r="JB38">
        <v>1.5466299999999999</v>
      </c>
      <c r="JC38">
        <v>2.3095699999999999</v>
      </c>
      <c r="JD38">
        <v>46.385800000000003</v>
      </c>
      <c r="JE38">
        <v>23.886099999999999</v>
      </c>
      <c r="JF38">
        <v>18</v>
      </c>
      <c r="JG38">
        <v>533.57299999999998</v>
      </c>
      <c r="JH38">
        <v>424.76400000000001</v>
      </c>
      <c r="JI38">
        <v>25.307600000000001</v>
      </c>
      <c r="JJ38">
        <v>39.315300000000001</v>
      </c>
      <c r="JK38">
        <v>29.9998</v>
      </c>
      <c r="JL38">
        <v>39.740600000000001</v>
      </c>
      <c r="JM38">
        <v>39.7211</v>
      </c>
      <c r="JN38">
        <v>19.636900000000001</v>
      </c>
      <c r="JO38">
        <v>60.700499999999998</v>
      </c>
      <c r="JP38">
        <v>0</v>
      </c>
      <c r="JQ38">
        <v>25.349599999999999</v>
      </c>
      <c r="JR38">
        <v>400</v>
      </c>
      <c r="JS38">
        <v>18.491</v>
      </c>
      <c r="JT38">
        <v>98.434600000000003</v>
      </c>
      <c r="JU38">
        <v>96.275499999999994</v>
      </c>
    </row>
    <row r="39" spans="1:281" x14ac:dyDescent="0.25">
      <c r="A39">
        <v>23</v>
      </c>
      <c r="B39">
        <v>1691166818.0999999</v>
      </c>
      <c r="C39">
        <v>5906.5999999046326</v>
      </c>
      <c r="D39" t="s">
        <v>530</v>
      </c>
      <c r="E39" t="s">
        <v>531</v>
      </c>
      <c r="F39" t="s">
        <v>413</v>
      </c>
      <c r="G39" t="s">
        <v>490</v>
      </c>
      <c r="H39" t="s">
        <v>491</v>
      </c>
      <c r="I39" t="s">
        <v>31</v>
      </c>
      <c r="J39">
        <v>1691166818.0999999</v>
      </c>
      <c r="K39">
        <f t="shared" si="0"/>
        <v>5.9053290239327481E-3</v>
      </c>
      <c r="L39">
        <f t="shared" si="1"/>
        <v>5.9053290239327483</v>
      </c>
      <c r="M39">
        <f t="shared" si="2"/>
        <v>47.399698977229804</v>
      </c>
      <c r="N39">
        <f t="shared" si="3"/>
        <v>340.93599999999998</v>
      </c>
      <c r="O39">
        <f t="shared" si="4"/>
        <v>114.85365549695388</v>
      </c>
      <c r="P39">
        <f t="shared" si="5"/>
        <v>11.394428674858153</v>
      </c>
      <c r="Q39">
        <f t="shared" si="6"/>
        <v>33.823659489831996</v>
      </c>
      <c r="R39">
        <f t="shared" si="7"/>
        <v>0.36545713825981202</v>
      </c>
      <c r="S39">
        <f t="shared" si="8"/>
        <v>2.9147253411771641</v>
      </c>
      <c r="T39">
        <f t="shared" si="9"/>
        <v>0.34177565171134211</v>
      </c>
      <c r="U39">
        <f t="shared" si="10"/>
        <v>0.21560946311435777</v>
      </c>
      <c r="V39">
        <f t="shared" si="11"/>
        <v>344.35009998680573</v>
      </c>
      <c r="W39">
        <f t="shared" si="12"/>
        <v>30.789225875456157</v>
      </c>
      <c r="X39">
        <f t="shared" si="13"/>
        <v>29.958500000000001</v>
      </c>
      <c r="Y39">
        <f t="shared" si="14"/>
        <v>4.2503045703034275</v>
      </c>
      <c r="Z39">
        <f t="shared" si="15"/>
        <v>59.899940424087397</v>
      </c>
      <c r="AA39">
        <f t="shared" si="16"/>
        <v>2.5952874799200001</v>
      </c>
      <c r="AB39">
        <f t="shared" si="17"/>
        <v>4.3327046096299027</v>
      </c>
      <c r="AC39">
        <f t="shared" si="18"/>
        <v>1.6550170903834274</v>
      </c>
      <c r="AD39">
        <f t="shared" si="19"/>
        <v>-260.42500995543418</v>
      </c>
      <c r="AE39">
        <f t="shared" si="20"/>
        <v>52.578599849799303</v>
      </c>
      <c r="AF39">
        <f t="shared" si="21"/>
        <v>4.0159789379925481</v>
      </c>
      <c r="AG39">
        <f t="shared" si="22"/>
        <v>140.5196688191634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51861.250230640617</v>
      </c>
      <c r="AM39" t="s">
        <v>414</v>
      </c>
      <c r="AN39">
        <v>10111.299999999999</v>
      </c>
      <c r="AO39">
        <v>608.58839999999998</v>
      </c>
      <c r="AP39">
        <v>2150.11</v>
      </c>
      <c r="AQ39">
        <f t="shared" si="26"/>
        <v>0.71695010952927984</v>
      </c>
      <c r="AR39">
        <v>-1.1786277417053079</v>
      </c>
      <c r="AS39" t="s">
        <v>532</v>
      </c>
      <c r="AT39">
        <v>8095.3</v>
      </c>
      <c r="AU39">
        <v>619.06299999999999</v>
      </c>
      <c r="AV39">
        <v>967.79751712876998</v>
      </c>
      <c r="AW39">
        <f t="shared" si="27"/>
        <v>0.36033830523081334</v>
      </c>
      <c r="AX39">
        <v>0.5</v>
      </c>
      <c r="AY39">
        <f t="shared" si="28"/>
        <v>1513.0781999934029</v>
      </c>
      <c r="AZ39">
        <f t="shared" si="29"/>
        <v>47.399698977229804</v>
      </c>
      <c r="BA39">
        <f t="shared" si="30"/>
        <v>272.61001713365624</v>
      </c>
      <c r="BB39">
        <f t="shared" si="31"/>
        <v>3.2105628591534076E-2</v>
      </c>
      <c r="BC39">
        <f t="shared" si="32"/>
        <v>1.2216527341161985</v>
      </c>
      <c r="BD39">
        <f t="shared" si="33"/>
        <v>452.21691369350663</v>
      </c>
      <c r="BE39" t="s">
        <v>533</v>
      </c>
      <c r="BF39">
        <v>501.45</v>
      </c>
      <c r="BG39">
        <f t="shared" si="34"/>
        <v>501.45</v>
      </c>
      <c r="BH39">
        <f t="shared" si="35"/>
        <v>0.48186475876928736</v>
      </c>
      <c r="BI39">
        <f t="shared" si="36"/>
        <v>0.74779966509926943</v>
      </c>
      <c r="BJ39">
        <f t="shared" si="37"/>
        <v>0.71713542080916026</v>
      </c>
      <c r="BK39">
        <f t="shared" si="38"/>
        <v>0.97083982699624782</v>
      </c>
      <c r="BL39">
        <f t="shared" si="39"/>
        <v>0.76697756481078838</v>
      </c>
      <c r="BM39">
        <f t="shared" si="40"/>
        <v>0.60572856407833886</v>
      </c>
      <c r="BN39">
        <f t="shared" si="41"/>
        <v>0.39427143592166114</v>
      </c>
      <c r="BO39">
        <v>7019</v>
      </c>
      <c r="BP39">
        <v>290.00000000000011</v>
      </c>
      <c r="BQ39">
        <v>828.25</v>
      </c>
      <c r="BR39">
        <v>295</v>
      </c>
      <c r="BS39">
        <v>8095.3</v>
      </c>
      <c r="BT39">
        <v>829.62</v>
      </c>
      <c r="BU39">
        <v>-1.37</v>
      </c>
      <c r="BV39">
        <v>300.00000000000011</v>
      </c>
      <c r="BW39">
        <v>19.2</v>
      </c>
      <c r="BX39">
        <v>967.79751712876998</v>
      </c>
      <c r="BY39">
        <v>3.435952643795086</v>
      </c>
      <c r="BZ39">
        <v>-111.85622928072971</v>
      </c>
      <c r="CA39">
        <v>2.5560366774542529</v>
      </c>
      <c r="CB39">
        <v>0.98558986423045991</v>
      </c>
      <c r="CC39">
        <v>-4.1710309232480597E-3</v>
      </c>
      <c r="CD39">
        <v>289.99999999999989</v>
      </c>
      <c r="CE39">
        <v>816.97</v>
      </c>
      <c r="CF39">
        <v>635</v>
      </c>
      <c r="CG39">
        <v>8090.7</v>
      </c>
      <c r="CH39">
        <v>829.54</v>
      </c>
      <c r="CI39">
        <v>-12.57</v>
      </c>
      <c r="CW39">
        <f t="shared" si="42"/>
        <v>1799.87</v>
      </c>
      <c r="CX39">
        <f t="shared" si="43"/>
        <v>1513.0781999934029</v>
      </c>
      <c r="CY39">
        <f t="shared" si="44"/>
        <v>0.84065971430903508</v>
      </c>
      <c r="CZ39">
        <f t="shared" si="45"/>
        <v>0.19131942861807005</v>
      </c>
      <c r="DA39">
        <v>6</v>
      </c>
      <c r="DB39">
        <v>0.5</v>
      </c>
      <c r="DC39" t="s">
        <v>417</v>
      </c>
      <c r="DD39">
        <v>2</v>
      </c>
      <c r="DE39">
        <v>1691166818.0999999</v>
      </c>
      <c r="DF39">
        <v>340.93599999999998</v>
      </c>
      <c r="DG39">
        <v>400.25299999999999</v>
      </c>
      <c r="DH39">
        <v>26.16</v>
      </c>
      <c r="DI39">
        <v>19.256499999999999</v>
      </c>
      <c r="DJ39">
        <v>338.35599999999999</v>
      </c>
      <c r="DK39">
        <v>26.038799999999998</v>
      </c>
      <c r="DL39">
        <v>499.82</v>
      </c>
      <c r="DM39">
        <v>99.107799999999997</v>
      </c>
      <c r="DN39">
        <v>0.100437</v>
      </c>
      <c r="DO39">
        <v>30.293099999999999</v>
      </c>
      <c r="DP39">
        <v>29.958500000000001</v>
      </c>
      <c r="DQ39">
        <v>999.9</v>
      </c>
      <c r="DR39">
        <v>0</v>
      </c>
      <c r="DS39">
        <v>0</v>
      </c>
      <c r="DT39">
        <v>10005</v>
      </c>
      <c r="DU39">
        <v>0</v>
      </c>
      <c r="DV39">
        <v>428.46300000000002</v>
      </c>
      <c r="DW39">
        <v>-59.316200000000002</v>
      </c>
      <c r="DX39">
        <v>350.09500000000003</v>
      </c>
      <c r="DY39">
        <v>408.11200000000002</v>
      </c>
      <c r="DZ39">
        <v>6.9034599999999999</v>
      </c>
      <c r="EA39">
        <v>400.25299999999999</v>
      </c>
      <c r="EB39">
        <v>19.256499999999999</v>
      </c>
      <c r="EC39">
        <v>2.59266</v>
      </c>
      <c r="ED39">
        <v>1.9084700000000001</v>
      </c>
      <c r="EE39">
        <v>21.620200000000001</v>
      </c>
      <c r="EF39">
        <v>16.704699999999999</v>
      </c>
      <c r="EG39">
        <v>1799.87</v>
      </c>
      <c r="EH39">
        <v>0.97800600000000004</v>
      </c>
      <c r="EI39">
        <v>2.1993800000000001E-2</v>
      </c>
      <c r="EJ39">
        <v>0</v>
      </c>
      <c r="EK39">
        <v>619.97</v>
      </c>
      <c r="EL39">
        <v>0.10001</v>
      </c>
      <c r="EM39">
        <v>12704.9</v>
      </c>
      <c r="EN39">
        <v>16352.3</v>
      </c>
      <c r="EO39">
        <v>47.5</v>
      </c>
      <c r="EP39">
        <v>49.686999999999998</v>
      </c>
      <c r="EQ39">
        <v>49</v>
      </c>
      <c r="ER39">
        <v>48.625</v>
      </c>
      <c r="ES39">
        <v>49.125</v>
      </c>
      <c r="ET39">
        <v>1760.19</v>
      </c>
      <c r="EU39">
        <v>39.58</v>
      </c>
      <c r="EV39">
        <v>0</v>
      </c>
      <c r="EW39">
        <v>97.399999856948853</v>
      </c>
      <c r="EX39">
        <v>0</v>
      </c>
      <c r="EY39">
        <v>619.06299999999999</v>
      </c>
      <c r="EZ39">
        <v>18.98423080133702</v>
      </c>
      <c r="FA39">
        <v>398.44615455604622</v>
      </c>
      <c r="FB39">
        <v>12656.98</v>
      </c>
      <c r="FC39">
        <v>15</v>
      </c>
      <c r="FD39">
        <v>1691166789.0999999</v>
      </c>
      <c r="FE39" t="s">
        <v>534</v>
      </c>
      <c r="FF39">
        <v>1691166788.0999999</v>
      </c>
      <c r="FG39">
        <v>1691166789.0999999</v>
      </c>
      <c r="FH39">
        <v>25</v>
      </c>
      <c r="FI39">
        <v>-1.0999999999999999E-2</v>
      </c>
      <c r="FJ39">
        <v>3.0000000000000001E-3</v>
      </c>
      <c r="FK39">
        <v>2.7090000000000001</v>
      </c>
      <c r="FL39">
        <v>-5.0000000000000001E-3</v>
      </c>
      <c r="FM39">
        <v>400</v>
      </c>
      <c r="FN39">
        <v>18</v>
      </c>
      <c r="FO39">
        <v>0.08</v>
      </c>
      <c r="FP39">
        <v>0.04</v>
      </c>
      <c r="FQ39">
        <v>47.181460915688859</v>
      </c>
      <c r="FR39">
        <v>-0.40765839546905919</v>
      </c>
      <c r="FS39">
        <v>0.1051510444971497</v>
      </c>
      <c r="FT39">
        <v>1</v>
      </c>
      <c r="FU39">
        <v>0.37280966647364772</v>
      </c>
      <c r="FV39">
        <v>-2.6914679331526331E-2</v>
      </c>
      <c r="FW39">
        <v>3.9861262628468792E-3</v>
      </c>
      <c r="FX39">
        <v>1</v>
      </c>
      <c r="FY39">
        <v>2</v>
      </c>
      <c r="FZ39">
        <v>2</v>
      </c>
      <c r="GA39" t="s">
        <v>419</v>
      </c>
      <c r="GB39">
        <v>2.8833500000000001</v>
      </c>
      <c r="GC39">
        <v>2.8216700000000001</v>
      </c>
      <c r="GD39">
        <v>7.5858200000000001E-2</v>
      </c>
      <c r="GE39">
        <v>8.7011900000000003E-2</v>
      </c>
      <c r="GF39">
        <v>0.121098</v>
      </c>
      <c r="GG39">
        <v>9.8357E-2</v>
      </c>
      <c r="GH39">
        <v>28348</v>
      </c>
      <c r="GI39">
        <v>26137.599999999999</v>
      </c>
      <c r="GJ39">
        <v>28241.5</v>
      </c>
      <c r="GK39">
        <v>26890.799999999999</v>
      </c>
      <c r="GL39">
        <v>35033.4</v>
      </c>
      <c r="GM39">
        <v>33870.699999999997</v>
      </c>
      <c r="GN39">
        <v>41555</v>
      </c>
      <c r="GO39">
        <v>38917</v>
      </c>
      <c r="GP39">
        <v>1.9970000000000001</v>
      </c>
      <c r="GQ39">
        <v>1.6779999999999999</v>
      </c>
      <c r="GR39">
        <v>-8.3446499999999995E-4</v>
      </c>
      <c r="GS39">
        <v>0</v>
      </c>
      <c r="GT39">
        <v>29.972100000000001</v>
      </c>
      <c r="GU39">
        <v>999.9</v>
      </c>
      <c r="GV39">
        <v>48.5</v>
      </c>
      <c r="GW39">
        <v>42.7</v>
      </c>
      <c r="GX39">
        <v>41.849800000000002</v>
      </c>
      <c r="GY39">
        <v>62.618000000000002</v>
      </c>
      <c r="GZ39">
        <v>31.979199999999999</v>
      </c>
      <c r="HA39">
        <v>1</v>
      </c>
      <c r="HB39">
        <v>1.01241</v>
      </c>
      <c r="HC39">
        <v>3.94747</v>
      </c>
      <c r="HD39">
        <v>20.199000000000002</v>
      </c>
      <c r="HE39">
        <v>5.2095000000000002</v>
      </c>
      <c r="HF39">
        <v>11.997999999999999</v>
      </c>
      <c r="HG39">
        <v>4.9871999999999996</v>
      </c>
      <c r="HH39">
        <v>3.2909999999999999</v>
      </c>
      <c r="HI39">
        <v>9999</v>
      </c>
      <c r="HJ39">
        <v>9999</v>
      </c>
      <c r="HK39">
        <v>9999</v>
      </c>
      <c r="HL39">
        <v>999.9</v>
      </c>
      <c r="HM39">
        <v>1.8668499999999999</v>
      </c>
      <c r="HN39">
        <v>1.8668899999999999</v>
      </c>
      <c r="HO39">
        <v>1.86338</v>
      </c>
      <c r="HP39">
        <v>1.86459</v>
      </c>
      <c r="HQ39">
        <v>1.8641700000000001</v>
      </c>
      <c r="HR39">
        <v>1.86</v>
      </c>
      <c r="HS39">
        <v>1.8631899999999999</v>
      </c>
      <c r="HT39">
        <v>1.8660000000000001</v>
      </c>
      <c r="HU39">
        <v>5</v>
      </c>
      <c r="HV39">
        <v>0</v>
      </c>
      <c r="HW39">
        <v>0</v>
      </c>
      <c r="HX39">
        <v>0</v>
      </c>
      <c r="HY39" t="s">
        <v>420</v>
      </c>
      <c r="HZ39" t="s">
        <v>421</v>
      </c>
      <c r="IA39" t="s">
        <v>422</v>
      </c>
      <c r="IB39" t="s">
        <v>422</v>
      </c>
      <c r="IC39" t="s">
        <v>422</v>
      </c>
      <c r="ID39" t="s">
        <v>422</v>
      </c>
      <c r="IE39">
        <v>0</v>
      </c>
      <c r="IF39">
        <v>100</v>
      </c>
      <c r="IG39">
        <v>100</v>
      </c>
      <c r="IH39">
        <v>2.58</v>
      </c>
      <c r="II39">
        <v>0.1212</v>
      </c>
      <c r="IJ39">
        <v>1.609343531956331</v>
      </c>
      <c r="IK39">
        <v>3.5576830062418229E-3</v>
      </c>
      <c r="IL39">
        <v>-2.2646740813029151E-6</v>
      </c>
      <c r="IM39">
        <v>6.9609298295988525E-10</v>
      </c>
      <c r="IN39">
        <v>-0.1427294565564366</v>
      </c>
      <c r="IO39">
        <v>-9.4437069492282083E-4</v>
      </c>
      <c r="IP39">
        <v>5.2900373165634467E-4</v>
      </c>
      <c r="IQ39">
        <v>-3.977656803091445E-6</v>
      </c>
      <c r="IR39">
        <v>2</v>
      </c>
      <c r="IS39">
        <v>1759</v>
      </c>
      <c r="IT39">
        <v>2</v>
      </c>
      <c r="IU39">
        <v>42</v>
      </c>
      <c r="IV39">
        <v>0.5</v>
      </c>
      <c r="IW39">
        <v>0.5</v>
      </c>
      <c r="IX39">
        <v>0.97289999999999999</v>
      </c>
      <c r="IY39">
        <v>2.4243199999999998</v>
      </c>
      <c r="IZ39">
        <v>1.54297</v>
      </c>
      <c r="JA39">
        <v>2.3034699999999999</v>
      </c>
      <c r="JB39">
        <v>1.5466299999999999</v>
      </c>
      <c r="JC39">
        <v>2.3925800000000002</v>
      </c>
      <c r="JD39">
        <v>46.327399999999997</v>
      </c>
      <c r="JE39">
        <v>23.886099999999999</v>
      </c>
      <c r="JF39">
        <v>18</v>
      </c>
      <c r="JG39">
        <v>532.83500000000004</v>
      </c>
      <c r="JH39">
        <v>426.31200000000001</v>
      </c>
      <c r="JI39">
        <v>25.657499999999999</v>
      </c>
      <c r="JJ39">
        <v>39.170099999999998</v>
      </c>
      <c r="JK39">
        <v>29.998799999999999</v>
      </c>
      <c r="JL39">
        <v>39.661099999999998</v>
      </c>
      <c r="JM39">
        <v>39.632199999999997</v>
      </c>
      <c r="JN39">
        <v>19.606999999999999</v>
      </c>
      <c r="JO39">
        <v>59.301600000000001</v>
      </c>
      <c r="JP39">
        <v>0</v>
      </c>
      <c r="JQ39">
        <v>25.697600000000001</v>
      </c>
      <c r="JR39">
        <v>400</v>
      </c>
      <c r="JS39">
        <v>19.3596</v>
      </c>
      <c r="JT39">
        <v>98.452799999999996</v>
      </c>
      <c r="JU39">
        <v>96.289400000000001</v>
      </c>
    </row>
    <row r="40" spans="1:281" x14ac:dyDescent="0.25">
      <c r="A40">
        <v>24</v>
      </c>
      <c r="B40">
        <v>1691166931.5999999</v>
      </c>
      <c r="C40">
        <v>6020.0999999046326</v>
      </c>
      <c r="D40" t="s">
        <v>535</v>
      </c>
      <c r="E40" t="s">
        <v>536</v>
      </c>
      <c r="F40" t="s">
        <v>413</v>
      </c>
      <c r="G40" t="s">
        <v>490</v>
      </c>
      <c r="H40" t="s">
        <v>491</v>
      </c>
      <c r="I40" t="s">
        <v>31</v>
      </c>
      <c r="J40">
        <v>1691166931.5999999</v>
      </c>
      <c r="K40">
        <f t="shared" si="0"/>
        <v>5.3312768006735425E-3</v>
      </c>
      <c r="L40">
        <f t="shared" si="1"/>
        <v>5.3312768006735425</v>
      </c>
      <c r="M40">
        <f t="shared" si="2"/>
        <v>54.878638157536578</v>
      </c>
      <c r="N40">
        <f t="shared" si="3"/>
        <v>431.471</v>
      </c>
      <c r="O40">
        <f t="shared" si="4"/>
        <v>143.4372153096775</v>
      </c>
      <c r="P40">
        <f t="shared" si="5"/>
        <v>14.23042190896679</v>
      </c>
      <c r="Q40">
        <f t="shared" si="6"/>
        <v>42.806285371809999</v>
      </c>
      <c r="R40">
        <f t="shared" si="7"/>
        <v>0.33017130450528559</v>
      </c>
      <c r="S40">
        <f t="shared" si="8"/>
        <v>2.9152030458899212</v>
      </c>
      <c r="T40">
        <f t="shared" si="9"/>
        <v>0.3107144295575151</v>
      </c>
      <c r="U40">
        <f t="shared" si="10"/>
        <v>0.19584902386914493</v>
      </c>
      <c r="V40">
        <f t="shared" si="11"/>
        <v>344.35129998679906</v>
      </c>
      <c r="W40">
        <f t="shared" si="12"/>
        <v>30.962578458610647</v>
      </c>
      <c r="X40">
        <f t="shared" si="13"/>
        <v>29.961500000000001</v>
      </c>
      <c r="Y40">
        <f t="shared" si="14"/>
        <v>4.251037251759465</v>
      </c>
      <c r="Z40">
        <f t="shared" si="15"/>
        <v>60.102513512905773</v>
      </c>
      <c r="AA40">
        <f t="shared" si="16"/>
        <v>2.607618689218</v>
      </c>
      <c r="AB40">
        <f t="shared" si="17"/>
        <v>4.3386183652004302</v>
      </c>
      <c r="AC40">
        <f t="shared" si="18"/>
        <v>1.643418562541465</v>
      </c>
      <c r="AD40">
        <f t="shared" si="19"/>
        <v>-235.10930690970324</v>
      </c>
      <c r="AE40">
        <f t="shared" si="20"/>
        <v>55.856237217200118</v>
      </c>
      <c r="AF40">
        <f t="shared" si="21"/>
        <v>4.2661932510392093</v>
      </c>
      <c r="AG40">
        <f t="shared" si="22"/>
        <v>169.36442354533517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51870.810819679857</v>
      </c>
      <c r="AM40" t="s">
        <v>414</v>
      </c>
      <c r="AN40">
        <v>10111.299999999999</v>
      </c>
      <c r="AO40">
        <v>608.58839999999998</v>
      </c>
      <c r="AP40">
        <v>2150.11</v>
      </c>
      <c r="AQ40">
        <f t="shared" si="26"/>
        <v>0.71695010952927984</v>
      </c>
      <c r="AR40">
        <v>-1.1786277417053079</v>
      </c>
      <c r="AS40" t="s">
        <v>537</v>
      </c>
      <c r="AT40">
        <v>8098.34</v>
      </c>
      <c r="AU40">
        <v>669.26919999999996</v>
      </c>
      <c r="AV40">
        <v>1099.0827725517199</v>
      </c>
      <c r="AW40">
        <f t="shared" si="27"/>
        <v>0.39106569885890385</v>
      </c>
      <c r="AX40">
        <v>0.5</v>
      </c>
      <c r="AY40">
        <f t="shared" si="28"/>
        <v>1513.0787999933993</v>
      </c>
      <c r="AZ40">
        <f t="shared" si="29"/>
        <v>54.878638157536578</v>
      </c>
      <c r="BA40">
        <f t="shared" si="30"/>
        <v>295.85660917400514</v>
      </c>
      <c r="BB40">
        <f t="shared" si="31"/>
        <v>3.7048477514513074E-2</v>
      </c>
      <c r="BC40">
        <f t="shared" si="32"/>
        <v>0.9562766824268657</v>
      </c>
      <c r="BD40">
        <f t="shared" si="33"/>
        <v>478.94927818215967</v>
      </c>
      <c r="BE40" t="s">
        <v>538</v>
      </c>
      <c r="BF40">
        <v>517.29999999999995</v>
      </c>
      <c r="BG40">
        <f t="shared" si="34"/>
        <v>517.29999999999995</v>
      </c>
      <c r="BH40">
        <f t="shared" si="35"/>
        <v>0.52933481179129549</v>
      </c>
      <c r="BI40">
        <f t="shared" si="36"/>
        <v>0.73878704016370633</v>
      </c>
      <c r="BJ40">
        <f t="shared" si="37"/>
        <v>0.6436923018895524</v>
      </c>
      <c r="BK40">
        <f t="shared" si="38"/>
        <v>0.87628645017002404</v>
      </c>
      <c r="BL40">
        <f t="shared" si="39"/>
        <v>0.68181154740113936</v>
      </c>
      <c r="BM40">
        <f t="shared" si="40"/>
        <v>0.5710326067248952</v>
      </c>
      <c r="BN40">
        <f t="shared" si="41"/>
        <v>0.4289673932751048</v>
      </c>
      <c r="BO40">
        <v>7021</v>
      </c>
      <c r="BP40">
        <v>290.00000000000011</v>
      </c>
      <c r="BQ40">
        <v>930.66</v>
      </c>
      <c r="BR40">
        <v>275</v>
      </c>
      <c r="BS40">
        <v>8098.34</v>
      </c>
      <c r="BT40">
        <v>933.15</v>
      </c>
      <c r="BU40">
        <v>-2.4900000000000002</v>
      </c>
      <c r="BV40">
        <v>300.00000000000011</v>
      </c>
      <c r="BW40">
        <v>19.2</v>
      </c>
      <c r="BX40">
        <v>1099.0827725517199</v>
      </c>
      <c r="BY40">
        <v>3.7857303477721032</v>
      </c>
      <c r="BZ40">
        <v>-134.3758592555634</v>
      </c>
      <c r="CA40">
        <v>2.8171863442544218</v>
      </c>
      <c r="CB40">
        <v>0.98784277375161911</v>
      </c>
      <c r="CC40">
        <v>-4.1723072302558449E-3</v>
      </c>
      <c r="CD40">
        <v>289.99999999999989</v>
      </c>
      <c r="CE40">
        <v>918.91</v>
      </c>
      <c r="CF40">
        <v>625</v>
      </c>
      <c r="CG40">
        <v>8093.66</v>
      </c>
      <c r="CH40">
        <v>933.06</v>
      </c>
      <c r="CI40">
        <v>-14.15</v>
      </c>
      <c r="CW40">
        <f t="shared" si="42"/>
        <v>1799.87</v>
      </c>
      <c r="CX40">
        <f t="shared" si="43"/>
        <v>1513.0787999933993</v>
      </c>
      <c r="CY40">
        <f t="shared" si="44"/>
        <v>0.84066004766644231</v>
      </c>
      <c r="CZ40">
        <f t="shared" si="45"/>
        <v>0.19132009533288463</v>
      </c>
      <c r="DA40">
        <v>6</v>
      </c>
      <c r="DB40">
        <v>0.5</v>
      </c>
      <c r="DC40" t="s">
        <v>417</v>
      </c>
      <c r="DD40">
        <v>2</v>
      </c>
      <c r="DE40">
        <v>1691166931.5999999</v>
      </c>
      <c r="DF40">
        <v>431.471</v>
      </c>
      <c r="DG40">
        <v>500.065</v>
      </c>
      <c r="DH40">
        <v>26.283799999999999</v>
      </c>
      <c r="DI40">
        <v>20.0563</v>
      </c>
      <c r="DJ40">
        <v>428.75</v>
      </c>
      <c r="DK40">
        <v>26.162800000000001</v>
      </c>
      <c r="DL40">
        <v>500.15100000000001</v>
      </c>
      <c r="DM40">
        <v>99.110100000000003</v>
      </c>
      <c r="DN40">
        <v>0.10001</v>
      </c>
      <c r="DO40">
        <v>30.3169</v>
      </c>
      <c r="DP40">
        <v>29.961500000000001</v>
      </c>
      <c r="DQ40">
        <v>999.9</v>
      </c>
      <c r="DR40">
        <v>0</v>
      </c>
      <c r="DS40">
        <v>0</v>
      </c>
      <c r="DT40">
        <v>10007.5</v>
      </c>
      <c r="DU40">
        <v>0</v>
      </c>
      <c r="DV40">
        <v>487.95699999999999</v>
      </c>
      <c r="DW40">
        <v>-68.593699999999998</v>
      </c>
      <c r="DX40">
        <v>443.11799999999999</v>
      </c>
      <c r="DY40">
        <v>510.29899999999998</v>
      </c>
      <c r="DZ40">
        <v>6.2274599999999998</v>
      </c>
      <c r="EA40">
        <v>500.065</v>
      </c>
      <c r="EB40">
        <v>20.0563</v>
      </c>
      <c r="EC40">
        <v>2.6049799999999999</v>
      </c>
      <c r="ED40">
        <v>1.9877800000000001</v>
      </c>
      <c r="EE40">
        <v>21.697700000000001</v>
      </c>
      <c r="EF40">
        <v>17.347300000000001</v>
      </c>
      <c r="EG40">
        <v>1799.87</v>
      </c>
      <c r="EH40">
        <v>0.97799899999999995</v>
      </c>
      <c r="EI40">
        <v>2.2001E-2</v>
      </c>
      <c r="EJ40">
        <v>0</v>
      </c>
      <c r="EK40">
        <v>670.15</v>
      </c>
      <c r="EL40">
        <v>0.10001</v>
      </c>
      <c r="EM40">
        <v>13828.6</v>
      </c>
      <c r="EN40">
        <v>16352.3</v>
      </c>
      <c r="EO40">
        <v>47</v>
      </c>
      <c r="EP40">
        <v>48.936999999999998</v>
      </c>
      <c r="EQ40">
        <v>48.5</v>
      </c>
      <c r="ER40">
        <v>47.875</v>
      </c>
      <c r="ES40">
        <v>48.686999999999998</v>
      </c>
      <c r="ET40">
        <v>1760.17</v>
      </c>
      <c r="EU40">
        <v>39.6</v>
      </c>
      <c r="EV40">
        <v>0</v>
      </c>
      <c r="EW40">
        <v>111.5999999046326</v>
      </c>
      <c r="EX40">
        <v>0</v>
      </c>
      <c r="EY40">
        <v>669.26919999999996</v>
      </c>
      <c r="EZ40">
        <v>13.507307597726561</v>
      </c>
      <c r="FA40">
        <v>328.46923147980652</v>
      </c>
      <c r="FB40">
        <v>13787.216</v>
      </c>
      <c r="FC40">
        <v>15</v>
      </c>
      <c r="FD40">
        <v>1691166902.0999999</v>
      </c>
      <c r="FE40" t="s">
        <v>539</v>
      </c>
      <c r="FF40">
        <v>1691166902.0999999</v>
      </c>
      <c r="FG40">
        <v>1691166887.5999999</v>
      </c>
      <c r="FH40">
        <v>26</v>
      </c>
      <c r="FI40">
        <v>-5.2999999999999999E-2</v>
      </c>
      <c r="FJ40">
        <v>-3.0000000000000001E-3</v>
      </c>
      <c r="FK40">
        <v>2.8519999999999999</v>
      </c>
      <c r="FL40">
        <v>8.0000000000000002E-3</v>
      </c>
      <c r="FM40">
        <v>500</v>
      </c>
      <c r="FN40">
        <v>19</v>
      </c>
      <c r="FO40">
        <v>0.13</v>
      </c>
      <c r="FP40">
        <v>0.03</v>
      </c>
      <c r="FQ40">
        <v>54.829541572461608</v>
      </c>
      <c r="FR40">
        <v>-0.69353847532654933</v>
      </c>
      <c r="FS40">
        <v>0.1495879328555394</v>
      </c>
      <c r="FT40">
        <v>1</v>
      </c>
      <c r="FU40">
        <v>0.33078259097831769</v>
      </c>
      <c r="FV40">
        <v>2.6800001503663202E-3</v>
      </c>
      <c r="FW40">
        <v>7.0260560814239194E-4</v>
      </c>
      <c r="FX40">
        <v>1</v>
      </c>
      <c r="FY40">
        <v>2</v>
      </c>
      <c r="FZ40">
        <v>2</v>
      </c>
      <c r="GA40" t="s">
        <v>419</v>
      </c>
      <c r="GB40">
        <v>2.88476</v>
      </c>
      <c r="GC40">
        <v>2.8212700000000002</v>
      </c>
      <c r="GD40">
        <v>9.1314000000000006E-2</v>
      </c>
      <c r="GE40">
        <v>0.10294</v>
      </c>
      <c r="GF40">
        <v>0.121563</v>
      </c>
      <c r="GG40">
        <v>0.101276</v>
      </c>
      <c r="GH40">
        <v>27890.7</v>
      </c>
      <c r="GI40">
        <v>25699</v>
      </c>
      <c r="GJ40">
        <v>28257.200000000001</v>
      </c>
      <c r="GK40">
        <v>26907.7</v>
      </c>
      <c r="GL40">
        <v>35032.699999999997</v>
      </c>
      <c r="GM40">
        <v>33780.300000000003</v>
      </c>
      <c r="GN40">
        <v>41577.4</v>
      </c>
      <c r="GO40">
        <v>38939.1</v>
      </c>
      <c r="GP40">
        <v>1.9996</v>
      </c>
      <c r="GQ40">
        <v>1.6836</v>
      </c>
      <c r="GR40">
        <v>3.0353700000000001E-2</v>
      </c>
      <c r="GS40">
        <v>0</v>
      </c>
      <c r="GT40">
        <v>29.467400000000001</v>
      </c>
      <c r="GU40">
        <v>999.9</v>
      </c>
      <c r="GV40">
        <v>48.3</v>
      </c>
      <c r="GW40">
        <v>42.7</v>
      </c>
      <c r="GX40">
        <v>41.677199999999999</v>
      </c>
      <c r="GY40">
        <v>62.387999999999998</v>
      </c>
      <c r="GZ40">
        <v>31.762799999999999</v>
      </c>
      <c r="HA40">
        <v>1</v>
      </c>
      <c r="HB40">
        <v>0.97522399999999998</v>
      </c>
      <c r="HC40">
        <v>2.7816700000000001</v>
      </c>
      <c r="HD40">
        <v>20.2225</v>
      </c>
      <c r="HE40">
        <v>5.2095000000000002</v>
      </c>
      <c r="HF40">
        <v>11.997999999999999</v>
      </c>
      <c r="HG40">
        <v>4.9882</v>
      </c>
      <c r="HH40">
        <v>3.2909999999999999</v>
      </c>
      <c r="HI40">
        <v>9999</v>
      </c>
      <c r="HJ40">
        <v>9999</v>
      </c>
      <c r="HK40">
        <v>9999</v>
      </c>
      <c r="HL40">
        <v>999.9</v>
      </c>
      <c r="HM40">
        <v>1.86676</v>
      </c>
      <c r="HN40">
        <v>1.8668499999999999</v>
      </c>
      <c r="HO40">
        <v>1.86331</v>
      </c>
      <c r="HP40">
        <v>1.8645099999999999</v>
      </c>
      <c r="HQ40">
        <v>1.86415</v>
      </c>
      <c r="HR40">
        <v>1.86002</v>
      </c>
      <c r="HS40">
        <v>1.8631500000000001</v>
      </c>
      <c r="HT40">
        <v>1.8660000000000001</v>
      </c>
      <c r="HU40">
        <v>5</v>
      </c>
      <c r="HV40">
        <v>0</v>
      </c>
      <c r="HW40">
        <v>0</v>
      </c>
      <c r="HX40">
        <v>0</v>
      </c>
      <c r="HY40" t="s">
        <v>420</v>
      </c>
      <c r="HZ40" t="s">
        <v>421</v>
      </c>
      <c r="IA40" t="s">
        <v>422</v>
      </c>
      <c r="IB40" t="s">
        <v>422</v>
      </c>
      <c r="IC40" t="s">
        <v>422</v>
      </c>
      <c r="ID40" t="s">
        <v>422</v>
      </c>
      <c r="IE40">
        <v>0</v>
      </c>
      <c r="IF40">
        <v>100</v>
      </c>
      <c r="IG40">
        <v>100</v>
      </c>
      <c r="IH40">
        <v>2.7210000000000001</v>
      </c>
      <c r="II40">
        <v>0.121</v>
      </c>
      <c r="IJ40">
        <v>1.5568023374218221</v>
      </c>
      <c r="IK40">
        <v>3.5576830062418229E-3</v>
      </c>
      <c r="IL40">
        <v>-2.2646740813029151E-6</v>
      </c>
      <c r="IM40">
        <v>6.9609298295988525E-10</v>
      </c>
      <c r="IN40">
        <v>-0.14525012348736119</v>
      </c>
      <c r="IO40">
        <v>-9.4437069492282083E-4</v>
      </c>
      <c r="IP40">
        <v>5.2900373165634467E-4</v>
      </c>
      <c r="IQ40">
        <v>-3.977656803091445E-6</v>
      </c>
      <c r="IR40">
        <v>2</v>
      </c>
      <c r="IS40">
        <v>1759</v>
      </c>
      <c r="IT40">
        <v>2</v>
      </c>
      <c r="IU40">
        <v>42</v>
      </c>
      <c r="IV40">
        <v>0.5</v>
      </c>
      <c r="IW40">
        <v>0.7</v>
      </c>
      <c r="IX40">
        <v>1.17554</v>
      </c>
      <c r="IY40">
        <v>2.4475099999999999</v>
      </c>
      <c r="IZ40">
        <v>1.54297</v>
      </c>
      <c r="JA40">
        <v>2.3046899999999999</v>
      </c>
      <c r="JB40">
        <v>1.5466299999999999</v>
      </c>
      <c r="JC40">
        <v>2.3315399999999999</v>
      </c>
      <c r="JD40">
        <v>46.210799999999999</v>
      </c>
      <c r="JE40">
        <v>23.903600000000001</v>
      </c>
      <c r="JF40">
        <v>18</v>
      </c>
      <c r="JG40">
        <v>532.76300000000003</v>
      </c>
      <c r="JH40">
        <v>428.51499999999999</v>
      </c>
      <c r="JI40">
        <v>26.234999999999999</v>
      </c>
      <c r="JJ40">
        <v>38.851799999999997</v>
      </c>
      <c r="JK40">
        <v>29.9984</v>
      </c>
      <c r="JL40">
        <v>39.429499999999997</v>
      </c>
      <c r="JM40">
        <v>39.395600000000002</v>
      </c>
      <c r="JN40">
        <v>23.656099999999999</v>
      </c>
      <c r="JO40">
        <v>57.504600000000003</v>
      </c>
      <c r="JP40">
        <v>0</v>
      </c>
      <c r="JQ40">
        <v>26.251300000000001</v>
      </c>
      <c r="JR40">
        <v>500</v>
      </c>
      <c r="JS40">
        <v>19.9879</v>
      </c>
      <c r="JT40">
        <v>98.506399999999999</v>
      </c>
      <c r="JU40">
        <v>96.346400000000003</v>
      </c>
    </row>
    <row r="41" spans="1:281" x14ac:dyDescent="0.25">
      <c r="A41">
        <v>25</v>
      </c>
      <c r="B41">
        <v>1691167031.0999999</v>
      </c>
      <c r="C41">
        <v>6119.5999999046326</v>
      </c>
      <c r="D41" t="s">
        <v>540</v>
      </c>
      <c r="E41" t="s">
        <v>541</v>
      </c>
      <c r="F41" t="s">
        <v>413</v>
      </c>
      <c r="G41" t="s">
        <v>490</v>
      </c>
      <c r="H41" t="s">
        <v>491</v>
      </c>
      <c r="I41" t="s">
        <v>31</v>
      </c>
      <c r="J41">
        <v>1691167031.0999999</v>
      </c>
      <c r="K41">
        <f t="shared" si="0"/>
        <v>4.9513433253807783E-3</v>
      </c>
      <c r="L41">
        <f t="shared" si="1"/>
        <v>4.9513433253807779</v>
      </c>
      <c r="M41">
        <f t="shared" si="2"/>
        <v>59.292186776208148</v>
      </c>
      <c r="N41">
        <f t="shared" si="3"/>
        <v>625.14300000000003</v>
      </c>
      <c r="O41">
        <f t="shared" si="4"/>
        <v>283.62672844014338</v>
      </c>
      <c r="P41">
        <f t="shared" si="5"/>
        <v>28.137698279441885</v>
      </c>
      <c r="Q41">
        <f t="shared" si="6"/>
        <v>62.018432508970498</v>
      </c>
      <c r="R41">
        <f t="shared" si="7"/>
        <v>0.30252861434447081</v>
      </c>
      <c r="S41">
        <f t="shared" si="8"/>
        <v>2.9098947369093509</v>
      </c>
      <c r="T41">
        <f t="shared" si="9"/>
        <v>0.28607811977901276</v>
      </c>
      <c r="U41">
        <f t="shared" si="10"/>
        <v>0.18020225496058667</v>
      </c>
      <c r="V41">
        <f t="shared" si="11"/>
        <v>344.384199986797</v>
      </c>
      <c r="W41">
        <f t="shared" si="12"/>
        <v>31.103545143381517</v>
      </c>
      <c r="X41">
        <f t="shared" si="13"/>
        <v>30.029</v>
      </c>
      <c r="Y41">
        <f t="shared" si="14"/>
        <v>4.2675517112397374</v>
      </c>
      <c r="Z41">
        <f t="shared" si="15"/>
        <v>60.018691017499073</v>
      </c>
      <c r="AA41">
        <f t="shared" si="16"/>
        <v>2.6100315301915002</v>
      </c>
      <c r="AB41">
        <f t="shared" si="17"/>
        <v>4.3486978571900519</v>
      </c>
      <c r="AC41">
        <f t="shared" si="18"/>
        <v>1.6575201810482372</v>
      </c>
      <c r="AD41">
        <f t="shared" si="19"/>
        <v>-218.35424064929234</v>
      </c>
      <c r="AE41">
        <f t="shared" si="20"/>
        <v>51.518815676474539</v>
      </c>
      <c r="AF41">
        <f t="shared" si="21"/>
        <v>3.9441942643758363</v>
      </c>
      <c r="AG41">
        <f t="shared" si="22"/>
        <v>181.49296927835502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51713.006247852922</v>
      </c>
      <c r="AM41" t="s">
        <v>414</v>
      </c>
      <c r="AN41">
        <v>10111.299999999999</v>
      </c>
      <c r="AO41">
        <v>608.58839999999998</v>
      </c>
      <c r="AP41">
        <v>2150.11</v>
      </c>
      <c r="AQ41">
        <f t="shared" si="26"/>
        <v>0.71695010952927984</v>
      </c>
      <c r="AR41">
        <v>-1.1786277417053079</v>
      </c>
      <c r="AS41" t="s">
        <v>542</v>
      </c>
      <c r="AT41">
        <v>8100.33</v>
      </c>
      <c r="AU41">
        <v>687.11807692307696</v>
      </c>
      <c r="AV41">
        <v>1152.5794398360169</v>
      </c>
      <c r="AW41">
        <f t="shared" si="27"/>
        <v>0.40384319451261719</v>
      </c>
      <c r="AX41">
        <v>0.5</v>
      </c>
      <c r="AY41">
        <f t="shared" si="28"/>
        <v>1513.2218999933984</v>
      </c>
      <c r="AZ41">
        <f t="shared" si="29"/>
        <v>59.292186776208148</v>
      </c>
      <c r="BA41">
        <f t="shared" si="30"/>
        <v>305.55218304989307</v>
      </c>
      <c r="BB41">
        <f t="shared" si="31"/>
        <v>3.9961630556746015E-2</v>
      </c>
      <c r="BC41">
        <f t="shared" si="32"/>
        <v>0.86547662198963626</v>
      </c>
      <c r="BD41">
        <f t="shared" si="33"/>
        <v>488.83660061253272</v>
      </c>
      <c r="BE41" t="s">
        <v>543</v>
      </c>
      <c r="BF41">
        <v>527.07000000000005</v>
      </c>
      <c r="BG41">
        <f t="shared" si="34"/>
        <v>527.07000000000005</v>
      </c>
      <c r="BH41">
        <f t="shared" si="35"/>
        <v>0.54270397181908014</v>
      </c>
      <c r="BI41">
        <f t="shared" si="36"/>
        <v>0.7441316361827649</v>
      </c>
      <c r="BJ41">
        <f t="shared" si="37"/>
        <v>0.61460626981712296</v>
      </c>
      <c r="BK41">
        <f t="shared" si="38"/>
        <v>0.85564159853303956</v>
      </c>
      <c r="BL41">
        <f t="shared" si="39"/>
        <v>0.64710774092557843</v>
      </c>
      <c r="BM41">
        <f t="shared" si="40"/>
        <v>0.57080358479166871</v>
      </c>
      <c r="BN41">
        <f t="shared" si="41"/>
        <v>0.42919641520833129</v>
      </c>
      <c r="BO41">
        <v>7023</v>
      </c>
      <c r="BP41">
        <v>290.00000000000011</v>
      </c>
      <c r="BQ41">
        <v>982.75</v>
      </c>
      <c r="BR41">
        <v>285</v>
      </c>
      <c r="BS41">
        <v>8100.33</v>
      </c>
      <c r="BT41">
        <v>985.59</v>
      </c>
      <c r="BU41">
        <v>-2.84</v>
      </c>
      <c r="BV41">
        <v>300.00000000000011</v>
      </c>
      <c r="BW41">
        <v>19.2</v>
      </c>
      <c r="BX41">
        <v>1152.5794398360169</v>
      </c>
      <c r="BY41">
        <v>5.4800681420368687</v>
      </c>
      <c r="BZ41">
        <v>-135.2658179276026</v>
      </c>
      <c r="CA41">
        <v>4.0792593258187972</v>
      </c>
      <c r="CB41">
        <v>0.97516731542164581</v>
      </c>
      <c r="CC41">
        <v>-4.1733317018909878E-3</v>
      </c>
      <c r="CD41">
        <v>289.99999999999989</v>
      </c>
      <c r="CE41">
        <v>974.58</v>
      </c>
      <c r="CF41">
        <v>635</v>
      </c>
      <c r="CG41">
        <v>8095.89</v>
      </c>
      <c r="CH41">
        <v>985.5</v>
      </c>
      <c r="CI41">
        <v>-10.92</v>
      </c>
      <c r="CW41">
        <f t="shared" si="42"/>
        <v>1800.04</v>
      </c>
      <c r="CX41">
        <f t="shared" si="43"/>
        <v>1513.2218999933984</v>
      </c>
      <c r="CY41">
        <f t="shared" si="44"/>
        <v>0.84066015199295485</v>
      </c>
      <c r="CZ41">
        <f t="shared" si="45"/>
        <v>0.19132030398590977</v>
      </c>
      <c r="DA41">
        <v>6</v>
      </c>
      <c r="DB41">
        <v>0.5</v>
      </c>
      <c r="DC41" t="s">
        <v>417</v>
      </c>
      <c r="DD41">
        <v>2</v>
      </c>
      <c r="DE41">
        <v>1691167031.0999999</v>
      </c>
      <c r="DF41">
        <v>625.14300000000003</v>
      </c>
      <c r="DG41">
        <v>699.97699999999998</v>
      </c>
      <c r="DH41">
        <v>26.309000000000001</v>
      </c>
      <c r="DI41">
        <v>20.5261</v>
      </c>
      <c r="DJ41">
        <v>621.74800000000005</v>
      </c>
      <c r="DK41">
        <v>26.186399999999999</v>
      </c>
      <c r="DL41">
        <v>500.20699999999999</v>
      </c>
      <c r="DM41">
        <v>99.106800000000007</v>
      </c>
      <c r="DN41">
        <v>9.9993499999999999E-2</v>
      </c>
      <c r="DO41">
        <v>30.357399999999998</v>
      </c>
      <c r="DP41">
        <v>30.029</v>
      </c>
      <c r="DQ41">
        <v>999.9</v>
      </c>
      <c r="DR41">
        <v>0</v>
      </c>
      <c r="DS41">
        <v>0</v>
      </c>
      <c r="DT41">
        <v>9977.5</v>
      </c>
      <c r="DU41">
        <v>0</v>
      </c>
      <c r="DV41">
        <v>565.64499999999998</v>
      </c>
      <c r="DW41">
        <v>-74.834299999999999</v>
      </c>
      <c r="DX41">
        <v>642.03399999999999</v>
      </c>
      <c r="DY41">
        <v>714.64599999999996</v>
      </c>
      <c r="DZ41">
        <v>5.7829199999999998</v>
      </c>
      <c r="EA41">
        <v>699.97699999999998</v>
      </c>
      <c r="EB41">
        <v>20.5261</v>
      </c>
      <c r="EC41">
        <v>2.6074000000000002</v>
      </c>
      <c r="ED41">
        <v>2.0342699999999998</v>
      </c>
      <c r="EE41">
        <v>21.712900000000001</v>
      </c>
      <c r="EF41">
        <v>17.7136</v>
      </c>
      <c r="EG41">
        <v>1800.04</v>
      </c>
      <c r="EH41">
        <v>0.97799499999999995</v>
      </c>
      <c r="EI41">
        <v>2.2004699999999999E-2</v>
      </c>
      <c r="EJ41">
        <v>0</v>
      </c>
      <c r="EK41">
        <v>688.40499999999997</v>
      </c>
      <c r="EL41">
        <v>0.10001</v>
      </c>
      <c r="EM41">
        <v>14292.1</v>
      </c>
      <c r="EN41">
        <v>16353.8</v>
      </c>
      <c r="EO41">
        <v>46.625</v>
      </c>
      <c r="EP41">
        <v>48.375</v>
      </c>
      <c r="EQ41">
        <v>48.061999999999998</v>
      </c>
      <c r="ER41">
        <v>47.311999999999998</v>
      </c>
      <c r="ES41">
        <v>48.311999999999998</v>
      </c>
      <c r="ET41">
        <v>1760.33</v>
      </c>
      <c r="EU41">
        <v>39.61</v>
      </c>
      <c r="EV41">
        <v>0</v>
      </c>
      <c r="EW41">
        <v>97.200000047683716</v>
      </c>
      <c r="EX41">
        <v>0</v>
      </c>
      <c r="EY41">
        <v>687.11807692307696</v>
      </c>
      <c r="EZ41">
        <v>-1.1487180134631141</v>
      </c>
      <c r="FA41">
        <v>186.1675215950234</v>
      </c>
      <c r="FB41">
        <v>14274.630769230769</v>
      </c>
      <c r="FC41">
        <v>15</v>
      </c>
      <c r="FD41">
        <v>1691167001.0999999</v>
      </c>
      <c r="FE41" t="s">
        <v>544</v>
      </c>
      <c r="FF41">
        <v>1691167001.0999999</v>
      </c>
      <c r="FG41">
        <v>1691167000.5999999</v>
      </c>
      <c r="FH41">
        <v>27</v>
      </c>
      <c r="FI41">
        <v>0.33400000000000002</v>
      </c>
      <c r="FJ41">
        <v>1E-3</v>
      </c>
      <c r="FK41">
        <v>3.5049999999999999</v>
      </c>
      <c r="FL41">
        <v>1.9E-2</v>
      </c>
      <c r="FM41">
        <v>700</v>
      </c>
      <c r="FN41">
        <v>20</v>
      </c>
      <c r="FO41">
        <v>0.13</v>
      </c>
      <c r="FP41">
        <v>0.03</v>
      </c>
      <c r="FQ41">
        <v>59.234281486295728</v>
      </c>
      <c r="FR41">
        <v>-0.54297878236698804</v>
      </c>
      <c r="FS41">
        <v>0.16546713464474519</v>
      </c>
      <c r="FT41">
        <v>1</v>
      </c>
      <c r="FU41">
        <v>0.31008387508867269</v>
      </c>
      <c r="FV41">
        <v>-4.8587526266554389E-2</v>
      </c>
      <c r="FW41">
        <v>4.0695838008022933E-3</v>
      </c>
      <c r="FX41">
        <v>1</v>
      </c>
      <c r="FY41">
        <v>2</v>
      </c>
      <c r="FZ41">
        <v>2</v>
      </c>
      <c r="GA41" t="s">
        <v>419</v>
      </c>
      <c r="GB41">
        <v>2.8854899999999999</v>
      </c>
      <c r="GC41">
        <v>2.8209900000000001</v>
      </c>
      <c r="GD41">
        <v>0.11985</v>
      </c>
      <c r="GE41">
        <v>0.13069500000000001</v>
      </c>
      <c r="GF41">
        <v>0.12170300000000001</v>
      </c>
      <c r="GG41">
        <v>0.102993</v>
      </c>
      <c r="GH41">
        <v>27029</v>
      </c>
      <c r="GI41">
        <v>24919.5</v>
      </c>
      <c r="GJ41">
        <v>28271.200000000001</v>
      </c>
      <c r="GK41">
        <v>26923.8</v>
      </c>
      <c r="GL41">
        <v>35044.199999999997</v>
      </c>
      <c r="GM41">
        <v>33733.800000000003</v>
      </c>
      <c r="GN41">
        <v>41598.800000000003</v>
      </c>
      <c r="GO41">
        <v>38959.9</v>
      </c>
      <c r="GP41">
        <v>2.0026000000000002</v>
      </c>
      <c r="GQ41">
        <v>1.6896</v>
      </c>
      <c r="GR41">
        <v>4.2676899999999997E-2</v>
      </c>
      <c r="GS41">
        <v>0</v>
      </c>
      <c r="GT41">
        <v>29.334099999999999</v>
      </c>
      <c r="GU41">
        <v>999.9</v>
      </c>
      <c r="GV41">
        <v>48.1</v>
      </c>
      <c r="GW41">
        <v>42.7</v>
      </c>
      <c r="GX41">
        <v>41.509399999999999</v>
      </c>
      <c r="GY41">
        <v>62.648099999999999</v>
      </c>
      <c r="GZ41">
        <v>31.838899999999999</v>
      </c>
      <c r="HA41">
        <v>1</v>
      </c>
      <c r="HB41">
        <v>0.94820099999999996</v>
      </c>
      <c r="HC41">
        <v>3.1893600000000002</v>
      </c>
      <c r="HD41">
        <v>20.215499999999999</v>
      </c>
      <c r="HE41">
        <v>5.2095000000000002</v>
      </c>
      <c r="HF41">
        <v>11.997999999999999</v>
      </c>
      <c r="HG41">
        <v>4.9884000000000004</v>
      </c>
      <c r="HH41">
        <v>3.2909999999999999</v>
      </c>
      <c r="HI41">
        <v>9999</v>
      </c>
      <c r="HJ41">
        <v>9999</v>
      </c>
      <c r="HK41">
        <v>9999</v>
      </c>
      <c r="HL41">
        <v>999.9</v>
      </c>
      <c r="HM41">
        <v>1.86677</v>
      </c>
      <c r="HN41">
        <v>1.86677</v>
      </c>
      <c r="HO41">
        <v>1.86338</v>
      </c>
      <c r="HP41">
        <v>1.86449</v>
      </c>
      <c r="HQ41">
        <v>1.8641399999999999</v>
      </c>
      <c r="HR41">
        <v>1.8599699999999999</v>
      </c>
      <c r="HS41">
        <v>1.8631</v>
      </c>
      <c r="HT41">
        <v>1.86598</v>
      </c>
      <c r="HU41">
        <v>5</v>
      </c>
      <c r="HV41">
        <v>0</v>
      </c>
      <c r="HW41">
        <v>0</v>
      </c>
      <c r="HX41">
        <v>0</v>
      </c>
      <c r="HY41" t="s">
        <v>420</v>
      </c>
      <c r="HZ41" t="s">
        <v>421</v>
      </c>
      <c r="IA41" t="s">
        <v>422</v>
      </c>
      <c r="IB41" t="s">
        <v>422</v>
      </c>
      <c r="IC41" t="s">
        <v>422</v>
      </c>
      <c r="ID41" t="s">
        <v>422</v>
      </c>
      <c r="IE41">
        <v>0</v>
      </c>
      <c r="IF41">
        <v>100</v>
      </c>
      <c r="IG41">
        <v>100</v>
      </c>
      <c r="IH41">
        <v>3.395</v>
      </c>
      <c r="II41">
        <v>0.1226</v>
      </c>
      <c r="IJ41">
        <v>1.890665802120538</v>
      </c>
      <c r="IK41">
        <v>3.5576830062418229E-3</v>
      </c>
      <c r="IL41">
        <v>-2.2646740813029151E-6</v>
      </c>
      <c r="IM41">
        <v>6.9609298295988525E-10</v>
      </c>
      <c r="IN41">
        <v>-0.14404089123784419</v>
      </c>
      <c r="IO41">
        <v>-9.4437069492282083E-4</v>
      </c>
      <c r="IP41">
        <v>5.2900373165634467E-4</v>
      </c>
      <c r="IQ41">
        <v>-3.977656803091445E-6</v>
      </c>
      <c r="IR41">
        <v>2</v>
      </c>
      <c r="IS41">
        <v>1759</v>
      </c>
      <c r="IT41">
        <v>2</v>
      </c>
      <c r="IU41">
        <v>42</v>
      </c>
      <c r="IV41">
        <v>0.5</v>
      </c>
      <c r="IW41">
        <v>0.5</v>
      </c>
      <c r="IX41">
        <v>1.56128</v>
      </c>
      <c r="IY41">
        <v>2.4365199999999998</v>
      </c>
      <c r="IZ41">
        <v>1.54297</v>
      </c>
      <c r="JA41">
        <v>2.3034699999999999</v>
      </c>
      <c r="JB41">
        <v>1.5466299999999999</v>
      </c>
      <c r="JC41">
        <v>2.34619</v>
      </c>
      <c r="JD41">
        <v>46.094700000000003</v>
      </c>
      <c r="JE41">
        <v>23.8949</v>
      </c>
      <c r="JF41">
        <v>18</v>
      </c>
      <c r="JG41">
        <v>532.77200000000005</v>
      </c>
      <c r="JH41">
        <v>430.85399999999998</v>
      </c>
      <c r="JI41">
        <v>26.1632</v>
      </c>
      <c r="JJ41">
        <v>38.528399999999998</v>
      </c>
      <c r="JK41">
        <v>29.998999999999999</v>
      </c>
      <c r="JL41">
        <v>39.175199999999997</v>
      </c>
      <c r="JM41">
        <v>39.139899999999997</v>
      </c>
      <c r="JN41">
        <v>31.381399999999999</v>
      </c>
      <c r="JO41">
        <v>55.8142</v>
      </c>
      <c r="JP41">
        <v>0</v>
      </c>
      <c r="JQ41">
        <v>26.1509</v>
      </c>
      <c r="JR41">
        <v>700</v>
      </c>
      <c r="JS41">
        <v>20.5839</v>
      </c>
      <c r="JT41">
        <v>98.556299999999993</v>
      </c>
      <c r="JU41">
        <v>96.400400000000005</v>
      </c>
    </row>
    <row r="42" spans="1:281" x14ac:dyDescent="0.25">
      <c r="A42">
        <v>26</v>
      </c>
      <c r="B42">
        <v>1691167137.5999999</v>
      </c>
      <c r="C42">
        <v>6226.0999999046326</v>
      </c>
      <c r="D42" t="s">
        <v>545</v>
      </c>
      <c r="E42" t="s">
        <v>546</v>
      </c>
      <c r="F42" t="s">
        <v>413</v>
      </c>
      <c r="G42" t="s">
        <v>490</v>
      </c>
      <c r="H42" t="s">
        <v>491</v>
      </c>
      <c r="I42" t="s">
        <v>31</v>
      </c>
      <c r="J42">
        <v>1691167137.5999999</v>
      </c>
      <c r="K42">
        <f t="shared" si="0"/>
        <v>4.0998311808571773E-3</v>
      </c>
      <c r="L42">
        <f t="shared" si="1"/>
        <v>4.0998311808571772</v>
      </c>
      <c r="M42">
        <f t="shared" si="2"/>
        <v>59.331498817772236</v>
      </c>
      <c r="N42">
        <f t="shared" si="3"/>
        <v>824.91300000000001</v>
      </c>
      <c r="O42">
        <f t="shared" si="4"/>
        <v>401.76515868973144</v>
      </c>
      <c r="P42">
        <f t="shared" si="5"/>
        <v>39.853979201342192</v>
      </c>
      <c r="Q42">
        <f t="shared" si="6"/>
        <v>81.829060668513009</v>
      </c>
      <c r="R42">
        <f t="shared" si="7"/>
        <v>0.24310882837462391</v>
      </c>
      <c r="S42">
        <f t="shared" si="8"/>
        <v>2.9123375728646876</v>
      </c>
      <c r="T42">
        <f t="shared" si="9"/>
        <v>0.23237110416980131</v>
      </c>
      <c r="U42">
        <f t="shared" si="10"/>
        <v>0.14615715705462046</v>
      </c>
      <c r="V42">
        <f t="shared" si="11"/>
        <v>344.3506999868024</v>
      </c>
      <c r="W42">
        <f t="shared" si="12"/>
        <v>31.181510329693694</v>
      </c>
      <c r="X42">
        <f t="shared" si="13"/>
        <v>30.0459</v>
      </c>
      <c r="Y42">
        <f t="shared" si="14"/>
        <v>4.2716951835729358</v>
      </c>
      <c r="Z42">
        <f t="shared" si="15"/>
        <v>59.863872665744807</v>
      </c>
      <c r="AA42">
        <f t="shared" si="16"/>
        <v>2.5819741856687002</v>
      </c>
      <c r="AB42">
        <f t="shared" si="17"/>
        <v>4.313075767893233</v>
      </c>
      <c r="AC42">
        <f t="shared" si="18"/>
        <v>1.6897209979042356</v>
      </c>
      <c r="AD42">
        <f t="shared" si="19"/>
        <v>-180.80255507580151</v>
      </c>
      <c r="AE42">
        <f t="shared" si="20"/>
        <v>26.377670462351102</v>
      </c>
      <c r="AF42">
        <f t="shared" si="21"/>
        <v>2.016472459813917</v>
      </c>
      <c r="AG42">
        <f t="shared" si="22"/>
        <v>191.94228783316592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51806.671040960784</v>
      </c>
      <c r="AM42" t="s">
        <v>414</v>
      </c>
      <c r="AN42">
        <v>10111.299999999999</v>
      </c>
      <c r="AO42">
        <v>608.58839999999998</v>
      </c>
      <c r="AP42">
        <v>2150.11</v>
      </c>
      <c r="AQ42">
        <f t="shared" si="26"/>
        <v>0.71695010952927984</v>
      </c>
      <c r="AR42">
        <v>-1.1786277417053079</v>
      </c>
      <c r="AS42" t="s">
        <v>547</v>
      </c>
      <c r="AT42">
        <v>8102.66</v>
      </c>
      <c r="AU42">
        <v>686.74</v>
      </c>
      <c r="AV42">
        <v>1165.0041157171349</v>
      </c>
      <c r="AW42">
        <f t="shared" si="27"/>
        <v>0.41052568764766351</v>
      </c>
      <c r="AX42">
        <v>0.5</v>
      </c>
      <c r="AY42">
        <f t="shared" si="28"/>
        <v>1513.078499993401</v>
      </c>
      <c r="AZ42">
        <f t="shared" si="29"/>
        <v>59.331498817772236</v>
      </c>
      <c r="BA42">
        <f t="shared" si="30"/>
        <v>310.57879583734308</v>
      </c>
      <c r="BB42">
        <f t="shared" si="31"/>
        <v>3.9991399362122614E-2</v>
      </c>
      <c r="BC42">
        <f t="shared" si="32"/>
        <v>0.8455814627542918</v>
      </c>
      <c r="BD42">
        <f t="shared" si="33"/>
        <v>491.05777700619467</v>
      </c>
      <c r="BE42" t="s">
        <v>548</v>
      </c>
      <c r="BF42">
        <v>527.92999999999995</v>
      </c>
      <c r="BG42">
        <f t="shared" si="34"/>
        <v>527.92999999999995</v>
      </c>
      <c r="BH42">
        <f t="shared" si="35"/>
        <v>0.54684280263248253</v>
      </c>
      <c r="BI42">
        <f t="shared" si="36"/>
        <v>0.75071974189183233</v>
      </c>
      <c r="BJ42">
        <f t="shared" si="37"/>
        <v>0.60727285768710315</v>
      </c>
      <c r="BK42">
        <f t="shared" si="38"/>
        <v>0.8595445854736965</v>
      </c>
      <c r="BL42">
        <f t="shared" si="39"/>
        <v>0.63904773328045816</v>
      </c>
      <c r="BM42">
        <f t="shared" si="40"/>
        <v>0.57711429847825235</v>
      </c>
      <c r="BN42">
        <f t="shared" si="41"/>
        <v>0.42288570152174765</v>
      </c>
      <c r="BO42">
        <v>7025</v>
      </c>
      <c r="BP42">
        <v>290.00000000000011</v>
      </c>
      <c r="BQ42">
        <v>988.47</v>
      </c>
      <c r="BR42">
        <v>275</v>
      </c>
      <c r="BS42">
        <v>8102.66</v>
      </c>
      <c r="BT42">
        <v>991.78</v>
      </c>
      <c r="BU42">
        <v>-3.31</v>
      </c>
      <c r="BV42">
        <v>300.00000000000011</v>
      </c>
      <c r="BW42">
        <v>19.2</v>
      </c>
      <c r="BX42">
        <v>1165.0041157171349</v>
      </c>
      <c r="BY42">
        <v>3.9669770131063662</v>
      </c>
      <c r="BZ42">
        <v>-140.35470584356921</v>
      </c>
      <c r="CA42">
        <v>2.9536964351270729</v>
      </c>
      <c r="CB42">
        <v>0.98775148373945731</v>
      </c>
      <c r="CC42">
        <v>-4.1740678531701891E-3</v>
      </c>
      <c r="CD42">
        <v>289.99999999999989</v>
      </c>
      <c r="CE42">
        <v>979.87</v>
      </c>
      <c r="CF42">
        <v>645</v>
      </c>
      <c r="CG42">
        <v>8097.71</v>
      </c>
      <c r="CH42">
        <v>991.68</v>
      </c>
      <c r="CI42">
        <v>-11.81</v>
      </c>
      <c r="CW42">
        <f t="shared" si="42"/>
        <v>1799.87</v>
      </c>
      <c r="CX42">
        <f t="shared" si="43"/>
        <v>1513.078499993401</v>
      </c>
      <c r="CY42">
        <f t="shared" si="44"/>
        <v>0.84065988098773858</v>
      </c>
      <c r="CZ42">
        <f t="shared" si="45"/>
        <v>0.19131976197547734</v>
      </c>
      <c r="DA42">
        <v>6</v>
      </c>
      <c r="DB42">
        <v>0.5</v>
      </c>
      <c r="DC42" t="s">
        <v>417</v>
      </c>
      <c r="DD42">
        <v>2</v>
      </c>
      <c r="DE42">
        <v>1691167137.5999999</v>
      </c>
      <c r="DF42">
        <v>824.91300000000001</v>
      </c>
      <c r="DG42">
        <v>900.13400000000001</v>
      </c>
      <c r="DH42">
        <v>26.028700000000001</v>
      </c>
      <c r="DI42">
        <v>21.2392</v>
      </c>
      <c r="DJ42">
        <v>821.14700000000005</v>
      </c>
      <c r="DK42">
        <v>25.9177</v>
      </c>
      <c r="DL42">
        <v>500.23399999999998</v>
      </c>
      <c r="DM42">
        <v>99.096400000000003</v>
      </c>
      <c r="DN42">
        <v>0.100801</v>
      </c>
      <c r="DO42">
        <v>30.213899999999999</v>
      </c>
      <c r="DP42">
        <v>30.0459</v>
      </c>
      <c r="DQ42">
        <v>999.9</v>
      </c>
      <c r="DR42">
        <v>0</v>
      </c>
      <c r="DS42">
        <v>0</v>
      </c>
      <c r="DT42">
        <v>9992.5</v>
      </c>
      <c r="DU42">
        <v>0</v>
      </c>
      <c r="DV42">
        <v>1744.98</v>
      </c>
      <c r="DW42">
        <v>-75.220399999999998</v>
      </c>
      <c r="DX42">
        <v>846.95899999999995</v>
      </c>
      <c r="DY42">
        <v>919.66700000000003</v>
      </c>
      <c r="DZ42">
        <v>4.7895000000000003</v>
      </c>
      <c r="EA42">
        <v>900.13400000000001</v>
      </c>
      <c r="EB42">
        <v>21.2392</v>
      </c>
      <c r="EC42">
        <v>2.5793499999999998</v>
      </c>
      <c r="ED42">
        <v>2.10473</v>
      </c>
      <c r="EE42">
        <v>21.536100000000001</v>
      </c>
      <c r="EF42">
        <v>18.254999999999999</v>
      </c>
      <c r="EG42">
        <v>1799.87</v>
      </c>
      <c r="EH42">
        <v>0.97800200000000004</v>
      </c>
      <c r="EI42">
        <v>2.1998500000000001E-2</v>
      </c>
      <c r="EJ42">
        <v>0</v>
      </c>
      <c r="EK42">
        <v>687.18</v>
      </c>
      <c r="EL42">
        <v>0.10001</v>
      </c>
      <c r="EM42">
        <v>18028.599999999999</v>
      </c>
      <c r="EN42">
        <v>16352.4</v>
      </c>
      <c r="EO42">
        <v>46.375</v>
      </c>
      <c r="EP42">
        <v>48.125</v>
      </c>
      <c r="EQ42">
        <v>47.75</v>
      </c>
      <c r="ER42">
        <v>47</v>
      </c>
      <c r="ES42">
        <v>48</v>
      </c>
      <c r="ET42">
        <v>1760.18</v>
      </c>
      <c r="EU42">
        <v>39.590000000000003</v>
      </c>
      <c r="EV42">
        <v>0</v>
      </c>
      <c r="EW42">
        <v>104.3999998569489</v>
      </c>
      <c r="EX42">
        <v>0</v>
      </c>
      <c r="EY42">
        <v>686.74</v>
      </c>
      <c r="EZ42">
        <v>-5.1884616128551224</v>
      </c>
      <c r="FA42">
        <v>8564.9769368293109</v>
      </c>
      <c r="FB42">
        <v>17037.099999999999</v>
      </c>
      <c r="FC42">
        <v>15</v>
      </c>
      <c r="FD42">
        <v>1691167104.5999999</v>
      </c>
      <c r="FE42" t="s">
        <v>549</v>
      </c>
      <c r="FF42">
        <v>1691167104.5999999</v>
      </c>
      <c r="FG42">
        <v>1691167098.5999999</v>
      </c>
      <c r="FH42">
        <v>28</v>
      </c>
      <c r="FI42">
        <v>9.6000000000000002E-2</v>
      </c>
      <c r="FJ42">
        <v>-7.0000000000000001E-3</v>
      </c>
      <c r="FK42">
        <v>3.8570000000000002</v>
      </c>
      <c r="FL42">
        <v>2.1000000000000001E-2</v>
      </c>
      <c r="FM42">
        <v>900</v>
      </c>
      <c r="FN42">
        <v>21</v>
      </c>
      <c r="FO42">
        <v>0.15</v>
      </c>
      <c r="FP42">
        <v>0.06</v>
      </c>
      <c r="FQ42">
        <v>59.259552221839527</v>
      </c>
      <c r="FR42">
        <v>-8.6862734732041091E-2</v>
      </c>
      <c r="FS42">
        <v>0.15386613896859361</v>
      </c>
      <c r="FT42">
        <v>1</v>
      </c>
      <c r="FU42">
        <v>0.24660567697863309</v>
      </c>
      <c r="FV42">
        <v>-2.6438075496757411E-2</v>
      </c>
      <c r="FW42">
        <v>1.9392746628614319E-3</v>
      </c>
      <c r="FX42">
        <v>1</v>
      </c>
      <c r="FY42">
        <v>2</v>
      </c>
      <c r="FZ42">
        <v>2</v>
      </c>
      <c r="GA42" t="s">
        <v>419</v>
      </c>
      <c r="GB42">
        <v>2.8861500000000002</v>
      </c>
      <c r="GC42">
        <v>2.82193</v>
      </c>
      <c r="GD42">
        <v>0.14496899999999999</v>
      </c>
      <c r="GE42">
        <v>0.15467600000000001</v>
      </c>
      <c r="GF42">
        <v>0.12090099999999999</v>
      </c>
      <c r="GG42">
        <v>0.105542</v>
      </c>
      <c r="GH42">
        <v>26271.4</v>
      </c>
      <c r="GI42">
        <v>24249.1</v>
      </c>
      <c r="GJ42">
        <v>28286</v>
      </c>
      <c r="GK42">
        <v>26942.7</v>
      </c>
      <c r="GL42">
        <v>35093.699999999997</v>
      </c>
      <c r="GM42">
        <v>33658.6</v>
      </c>
      <c r="GN42">
        <v>41620.699999999997</v>
      </c>
      <c r="GO42">
        <v>38983.800000000003</v>
      </c>
      <c r="GP42">
        <v>2.0045000000000002</v>
      </c>
      <c r="GQ42">
        <v>1.6959</v>
      </c>
      <c r="GR42">
        <v>4.1931900000000001E-2</v>
      </c>
      <c r="GS42">
        <v>0</v>
      </c>
      <c r="GT42">
        <v>29.363199999999999</v>
      </c>
      <c r="GU42">
        <v>999.9</v>
      </c>
      <c r="GV42">
        <v>48</v>
      </c>
      <c r="GW42">
        <v>42.6</v>
      </c>
      <c r="GX42">
        <v>41.207000000000001</v>
      </c>
      <c r="GY42">
        <v>62.6081</v>
      </c>
      <c r="GZ42">
        <v>32.107399999999998</v>
      </c>
      <c r="HA42">
        <v>1</v>
      </c>
      <c r="HB42">
        <v>0.92206299999999997</v>
      </c>
      <c r="HC42">
        <v>3.8092899999999998</v>
      </c>
      <c r="HD42">
        <v>20.203499999999998</v>
      </c>
      <c r="HE42">
        <v>5.2071100000000001</v>
      </c>
      <c r="HF42">
        <v>11.997999999999999</v>
      </c>
      <c r="HG42">
        <v>4.9880000000000004</v>
      </c>
      <c r="HH42">
        <v>3.2904</v>
      </c>
      <c r="HI42">
        <v>9999</v>
      </c>
      <c r="HJ42">
        <v>9999</v>
      </c>
      <c r="HK42">
        <v>9999</v>
      </c>
      <c r="HL42">
        <v>999.9</v>
      </c>
      <c r="HM42">
        <v>1.86676</v>
      </c>
      <c r="HN42">
        <v>1.8668499999999999</v>
      </c>
      <c r="HO42">
        <v>1.8633200000000001</v>
      </c>
      <c r="HP42">
        <v>1.86449</v>
      </c>
      <c r="HQ42">
        <v>1.8641700000000001</v>
      </c>
      <c r="HR42">
        <v>1.8599399999999999</v>
      </c>
      <c r="HS42">
        <v>1.86313</v>
      </c>
      <c r="HT42">
        <v>1.8659699999999999</v>
      </c>
      <c r="HU42">
        <v>5</v>
      </c>
      <c r="HV42">
        <v>0</v>
      </c>
      <c r="HW42">
        <v>0</v>
      </c>
      <c r="HX42">
        <v>0</v>
      </c>
      <c r="HY42" t="s">
        <v>420</v>
      </c>
      <c r="HZ42" t="s">
        <v>421</v>
      </c>
      <c r="IA42" t="s">
        <v>422</v>
      </c>
      <c r="IB42" t="s">
        <v>422</v>
      </c>
      <c r="IC42" t="s">
        <v>422</v>
      </c>
      <c r="ID42" t="s">
        <v>422</v>
      </c>
      <c r="IE42">
        <v>0</v>
      </c>
      <c r="IF42">
        <v>100</v>
      </c>
      <c r="IG42">
        <v>100</v>
      </c>
      <c r="IH42">
        <v>3.766</v>
      </c>
      <c r="II42">
        <v>0.111</v>
      </c>
      <c r="IJ42">
        <v>1.9861279671558769</v>
      </c>
      <c r="IK42">
        <v>3.5576830062418229E-3</v>
      </c>
      <c r="IL42">
        <v>-2.2646740813029151E-6</v>
      </c>
      <c r="IM42">
        <v>6.9609298295988525E-10</v>
      </c>
      <c r="IN42">
        <v>-0.15065259910552581</v>
      </c>
      <c r="IO42">
        <v>-9.4437069492282083E-4</v>
      </c>
      <c r="IP42">
        <v>5.2900373165634467E-4</v>
      </c>
      <c r="IQ42">
        <v>-3.977656803091445E-6</v>
      </c>
      <c r="IR42">
        <v>2</v>
      </c>
      <c r="IS42">
        <v>1759</v>
      </c>
      <c r="IT42">
        <v>2</v>
      </c>
      <c r="IU42">
        <v>42</v>
      </c>
      <c r="IV42">
        <v>0.6</v>
      </c>
      <c r="IW42">
        <v>0.7</v>
      </c>
      <c r="IX42">
        <v>1.9311499999999999</v>
      </c>
      <c r="IY42">
        <v>2.4206500000000002</v>
      </c>
      <c r="IZ42">
        <v>1.54297</v>
      </c>
      <c r="JA42">
        <v>2.3046899999999999</v>
      </c>
      <c r="JB42">
        <v>1.5466299999999999</v>
      </c>
      <c r="JC42">
        <v>2.3999000000000001</v>
      </c>
      <c r="JD42">
        <v>45.9788</v>
      </c>
      <c r="JE42">
        <v>23.8949</v>
      </c>
      <c r="JF42">
        <v>18</v>
      </c>
      <c r="JG42">
        <v>531.80899999999997</v>
      </c>
      <c r="JH42">
        <v>433.21</v>
      </c>
      <c r="JI42">
        <v>25.319600000000001</v>
      </c>
      <c r="JJ42">
        <v>38.213999999999999</v>
      </c>
      <c r="JK42">
        <v>29.998999999999999</v>
      </c>
      <c r="JL42">
        <v>38.889099999999999</v>
      </c>
      <c r="JM42">
        <v>38.857500000000002</v>
      </c>
      <c r="JN42">
        <v>38.7789</v>
      </c>
      <c r="JO42">
        <v>54.314599999999999</v>
      </c>
      <c r="JP42">
        <v>0</v>
      </c>
      <c r="JQ42">
        <v>25.328499999999998</v>
      </c>
      <c r="JR42">
        <v>900</v>
      </c>
      <c r="JS42">
        <v>21.360499999999998</v>
      </c>
      <c r="JT42">
        <v>98.608199999999997</v>
      </c>
      <c r="JU42">
        <v>96.463099999999997</v>
      </c>
    </row>
    <row r="43" spans="1:281" x14ac:dyDescent="0.25">
      <c r="A43">
        <v>27</v>
      </c>
      <c r="B43">
        <v>1691167305.0999999</v>
      </c>
      <c r="C43">
        <v>6393.5999999046326</v>
      </c>
      <c r="D43" t="s">
        <v>550</v>
      </c>
      <c r="E43" t="s">
        <v>551</v>
      </c>
      <c r="F43" t="s">
        <v>413</v>
      </c>
      <c r="G43" t="s">
        <v>490</v>
      </c>
      <c r="H43" t="s">
        <v>491</v>
      </c>
      <c r="I43" t="s">
        <v>31</v>
      </c>
      <c r="J43">
        <v>1691167305.0999999</v>
      </c>
      <c r="K43">
        <f t="shared" si="0"/>
        <v>3.5737504483906099E-3</v>
      </c>
      <c r="L43">
        <f t="shared" si="1"/>
        <v>3.57375044839061</v>
      </c>
      <c r="M43">
        <f t="shared" si="2"/>
        <v>59.615300483638904</v>
      </c>
      <c r="N43">
        <f t="shared" si="3"/>
        <v>1123.71</v>
      </c>
      <c r="O43">
        <f t="shared" si="4"/>
        <v>620.0091317012085</v>
      </c>
      <c r="P43">
        <f t="shared" si="5"/>
        <v>61.503175977281529</v>
      </c>
      <c r="Q43">
        <f t="shared" si="6"/>
        <v>111.46889673672901</v>
      </c>
      <c r="R43">
        <f t="shared" si="7"/>
        <v>0.20592546451957461</v>
      </c>
      <c r="S43">
        <f t="shared" si="8"/>
        <v>2.9228409521049157</v>
      </c>
      <c r="T43">
        <f t="shared" si="9"/>
        <v>0.19819159256292368</v>
      </c>
      <c r="U43">
        <f t="shared" si="10"/>
        <v>0.12454040273922962</v>
      </c>
      <c r="V43">
        <f t="shared" si="11"/>
        <v>344.3506999868024</v>
      </c>
      <c r="W43">
        <f t="shared" si="12"/>
        <v>31.070170787456437</v>
      </c>
      <c r="X43">
        <f t="shared" si="13"/>
        <v>30.058499999999999</v>
      </c>
      <c r="Y43">
        <f t="shared" si="14"/>
        <v>4.2747866805820278</v>
      </c>
      <c r="Z43">
        <f t="shared" si="15"/>
        <v>59.903600976441709</v>
      </c>
      <c r="AA43">
        <f t="shared" si="16"/>
        <v>2.54759266437279</v>
      </c>
      <c r="AB43">
        <f t="shared" si="17"/>
        <v>4.2528205697929273</v>
      </c>
      <c r="AC43">
        <f t="shared" si="18"/>
        <v>1.7271940162092378</v>
      </c>
      <c r="AD43">
        <f t="shared" si="19"/>
        <v>-157.6023947740259</v>
      </c>
      <c r="AE43">
        <f t="shared" si="20"/>
        <v>-14.134585266465782</v>
      </c>
      <c r="AF43">
        <f t="shared" si="21"/>
        <v>-1.0754139906958833</v>
      </c>
      <c r="AG43">
        <f t="shared" si="22"/>
        <v>171.53830595561482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52147.714242628688</v>
      </c>
      <c r="AM43" t="s">
        <v>414</v>
      </c>
      <c r="AN43">
        <v>10111.299999999999</v>
      </c>
      <c r="AO43">
        <v>608.58839999999998</v>
      </c>
      <c r="AP43">
        <v>2150.11</v>
      </c>
      <c r="AQ43">
        <f t="shared" si="26"/>
        <v>0.71695010952927984</v>
      </c>
      <c r="AR43">
        <v>-1.1786277417053079</v>
      </c>
      <c r="AS43" t="s">
        <v>552</v>
      </c>
      <c r="AT43">
        <v>8102.79</v>
      </c>
      <c r="AU43">
        <v>684.84615384615381</v>
      </c>
      <c r="AV43">
        <v>1178.8512991354621</v>
      </c>
      <c r="AW43">
        <f t="shared" si="27"/>
        <v>0.41905636923978318</v>
      </c>
      <c r="AX43">
        <v>0.5</v>
      </c>
      <c r="AY43">
        <f t="shared" si="28"/>
        <v>1513.078499993401</v>
      </c>
      <c r="AZ43">
        <f t="shared" si="29"/>
        <v>59.615300483638904</v>
      </c>
      <c r="BA43">
        <f t="shared" si="30"/>
        <v>317.03259129100599</v>
      </c>
      <c r="BB43">
        <f t="shared" si="31"/>
        <v>4.0178965087144754E-2</v>
      </c>
      <c r="BC43">
        <f t="shared" si="32"/>
        <v>0.82390264283275849</v>
      </c>
      <c r="BD43">
        <f t="shared" si="33"/>
        <v>493.50118365271902</v>
      </c>
      <c r="BE43" t="s">
        <v>553</v>
      </c>
      <c r="BF43">
        <v>531.04999999999995</v>
      </c>
      <c r="BG43">
        <f t="shared" si="34"/>
        <v>531.04999999999995</v>
      </c>
      <c r="BH43">
        <f t="shared" si="35"/>
        <v>0.5495190950805604</v>
      </c>
      <c r="BI43">
        <f t="shared" si="36"/>
        <v>0.76258745690784202</v>
      </c>
      <c r="BJ43">
        <f t="shared" si="37"/>
        <v>0.59989049254785987</v>
      </c>
      <c r="BK43">
        <f t="shared" si="38"/>
        <v>0.86627614392982044</v>
      </c>
      <c r="BL43">
        <f t="shared" si="39"/>
        <v>0.63006493121117346</v>
      </c>
      <c r="BM43">
        <f t="shared" si="40"/>
        <v>0.59133290990473131</v>
      </c>
      <c r="BN43">
        <f t="shared" si="41"/>
        <v>0.40866709009526869</v>
      </c>
      <c r="BO43">
        <v>7027</v>
      </c>
      <c r="BP43">
        <v>290.00000000000011</v>
      </c>
      <c r="BQ43">
        <v>995.99</v>
      </c>
      <c r="BR43">
        <v>285</v>
      </c>
      <c r="BS43">
        <v>8102.79</v>
      </c>
      <c r="BT43">
        <v>998.72</v>
      </c>
      <c r="BU43">
        <v>-2.73</v>
      </c>
      <c r="BV43">
        <v>300.00000000000011</v>
      </c>
      <c r="BW43">
        <v>19.2</v>
      </c>
      <c r="BX43">
        <v>1178.8512991354621</v>
      </c>
      <c r="BY43">
        <v>4.7170936069888647</v>
      </c>
      <c r="BZ43">
        <v>-145.95323164747049</v>
      </c>
      <c r="CA43">
        <v>3.5123877032173598</v>
      </c>
      <c r="CB43">
        <v>0.98404306045914247</v>
      </c>
      <c r="CC43">
        <v>-4.1744591768631736E-3</v>
      </c>
      <c r="CD43">
        <v>289.99999999999989</v>
      </c>
      <c r="CE43">
        <v>986.5</v>
      </c>
      <c r="CF43">
        <v>625</v>
      </c>
      <c r="CG43">
        <v>8098.55</v>
      </c>
      <c r="CH43">
        <v>998.63</v>
      </c>
      <c r="CI43">
        <v>-12.13</v>
      </c>
      <c r="CW43">
        <f t="shared" si="42"/>
        <v>1799.87</v>
      </c>
      <c r="CX43">
        <f t="shared" si="43"/>
        <v>1513.078499993401</v>
      </c>
      <c r="CY43">
        <f t="shared" si="44"/>
        <v>0.84065988098773858</v>
      </c>
      <c r="CZ43">
        <f t="shared" si="45"/>
        <v>0.19131976197547734</v>
      </c>
      <c r="DA43">
        <v>6</v>
      </c>
      <c r="DB43">
        <v>0.5</v>
      </c>
      <c r="DC43" t="s">
        <v>417</v>
      </c>
      <c r="DD43">
        <v>2</v>
      </c>
      <c r="DE43">
        <v>1691167305.0999999</v>
      </c>
      <c r="DF43">
        <v>1123.71</v>
      </c>
      <c r="DG43">
        <v>1200.0899999999999</v>
      </c>
      <c r="DH43">
        <v>25.682099999999998</v>
      </c>
      <c r="DI43">
        <v>21.502500000000001</v>
      </c>
      <c r="DJ43">
        <v>1119.78</v>
      </c>
      <c r="DK43">
        <v>25.577200000000001</v>
      </c>
      <c r="DL43">
        <v>499.85199999999998</v>
      </c>
      <c r="DM43">
        <v>99.097800000000007</v>
      </c>
      <c r="DN43">
        <v>9.9409899999999995E-2</v>
      </c>
      <c r="DO43">
        <v>29.968800000000002</v>
      </c>
      <c r="DP43">
        <v>30.058499999999999</v>
      </c>
      <c r="DQ43">
        <v>999.9</v>
      </c>
      <c r="DR43">
        <v>0</v>
      </c>
      <c r="DS43">
        <v>0</v>
      </c>
      <c r="DT43">
        <v>10052.5</v>
      </c>
      <c r="DU43">
        <v>0</v>
      </c>
      <c r="DV43">
        <v>1861.35</v>
      </c>
      <c r="DW43">
        <v>-76.375600000000006</v>
      </c>
      <c r="DX43">
        <v>1153.33</v>
      </c>
      <c r="DY43">
        <v>1226.46</v>
      </c>
      <c r="DZ43">
        <v>4.1796800000000003</v>
      </c>
      <c r="EA43">
        <v>1200.0899999999999</v>
      </c>
      <c r="EB43">
        <v>21.502500000000001</v>
      </c>
      <c r="EC43">
        <v>2.5450400000000002</v>
      </c>
      <c r="ED43">
        <v>2.1308500000000001</v>
      </c>
      <c r="EE43">
        <v>21.317499999999999</v>
      </c>
      <c r="EF43">
        <v>18.451699999999999</v>
      </c>
      <c r="EG43">
        <v>1799.87</v>
      </c>
      <c r="EH43">
        <v>0.97800200000000004</v>
      </c>
      <c r="EI43">
        <v>2.1998500000000001E-2</v>
      </c>
      <c r="EJ43">
        <v>0</v>
      </c>
      <c r="EK43">
        <v>681.73</v>
      </c>
      <c r="EL43">
        <v>0.10001</v>
      </c>
      <c r="EM43">
        <v>18182.900000000001</v>
      </c>
      <c r="EN43">
        <v>16352.3</v>
      </c>
      <c r="EO43">
        <v>46.5</v>
      </c>
      <c r="EP43">
        <v>48.936999999999998</v>
      </c>
      <c r="EQ43">
        <v>47.936999999999998</v>
      </c>
      <c r="ER43">
        <v>47.561999999999998</v>
      </c>
      <c r="ES43">
        <v>48.125</v>
      </c>
      <c r="ET43">
        <v>1760.18</v>
      </c>
      <c r="EU43">
        <v>39.590000000000003</v>
      </c>
      <c r="EV43">
        <v>0</v>
      </c>
      <c r="EW43">
        <v>165.20000004768369</v>
      </c>
      <c r="EX43">
        <v>0</v>
      </c>
      <c r="EY43">
        <v>684.84615384615381</v>
      </c>
      <c r="EZ43">
        <v>-3.717948772382198</v>
      </c>
      <c r="FA43">
        <v>125.78461529304759</v>
      </c>
      <c r="FB43">
        <v>18170.97692307692</v>
      </c>
      <c r="FC43">
        <v>15</v>
      </c>
      <c r="FD43">
        <v>1691167252.5999999</v>
      </c>
      <c r="FE43" t="s">
        <v>554</v>
      </c>
      <c r="FF43">
        <v>1691167252.5999999</v>
      </c>
      <c r="FG43">
        <v>1691167248.5999999</v>
      </c>
      <c r="FH43">
        <v>29</v>
      </c>
      <c r="FI43">
        <v>-0.17799999999999999</v>
      </c>
      <c r="FJ43">
        <v>0</v>
      </c>
      <c r="FK43">
        <v>4.0149999999999997</v>
      </c>
      <c r="FL43">
        <v>3.6999999999999998E-2</v>
      </c>
      <c r="FM43">
        <v>1200</v>
      </c>
      <c r="FN43">
        <v>22</v>
      </c>
      <c r="FO43">
        <v>0.09</v>
      </c>
      <c r="FP43">
        <v>0.04</v>
      </c>
      <c r="FQ43">
        <v>59.563878918010992</v>
      </c>
      <c r="FR43">
        <v>-0.15595443492777841</v>
      </c>
      <c r="FS43">
        <v>0.19313455232828891</v>
      </c>
      <c r="FT43">
        <v>1</v>
      </c>
      <c r="FU43">
        <v>0.20657686535189659</v>
      </c>
      <c r="FV43">
        <v>-3.007767461995678E-3</v>
      </c>
      <c r="FW43">
        <v>4.3944969790637078E-4</v>
      </c>
      <c r="FX43">
        <v>1</v>
      </c>
      <c r="FY43">
        <v>2</v>
      </c>
      <c r="FZ43">
        <v>2</v>
      </c>
      <c r="GA43" t="s">
        <v>419</v>
      </c>
      <c r="GB43">
        <v>2.8853900000000001</v>
      </c>
      <c r="GC43">
        <v>2.8210600000000001</v>
      </c>
      <c r="GD43">
        <v>0.1772</v>
      </c>
      <c r="GE43">
        <v>0.18578700000000001</v>
      </c>
      <c r="GF43">
        <v>0.119856</v>
      </c>
      <c r="GG43">
        <v>0.106504</v>
      </c>
      <c r="GH43">
        <v>25283.599999999999</v>
      </c>
      <c r="GI43">
        <v>23360.3</v>
      </c>
      <c r="GJ43">
        <v>28291</v>
      </c>
      <c r="GK43">
        <v>26949.200000000001</v>
      </c>
      <c r="GL43">
        <v>35141.5</v>
      </c>
      <c r="GM43">
        <v>33629.4</v>
      </c>
      <c r="GN43">
        <v>41628</v>
      </c>
      <c r="GO43">
        <v>38991.599999999999</v>
      </c>
      <c r="GP43">
        <v>2.0051000000000001</v>
      </c>
      <c r="GQ43">
        <v>1.6988000000000001</v>
      </c>
      <c r="GR43">
        <v>-1.7613199999999999E-2</v>
      </c>
      <c r="GS43">
        <v>0</v>
      </c>
      <c r="GT43">
        <v>30.345099999999999</v>
      </c>
      <c r="GU43">
        <v>999.9</v>
      </c>
      <c r="GV43">
        <v>48.1</v>
      </c>
      <c r="GW43">
        <v>42.6</v>
      </c>
      <c r="GX43">
        <v>41.294800000000002</v>
      </c>
      <c r="GY43">
        <v>62.368099999999998</v>
      </c>
      <c r="GZ43">
        <v>31.6707</v>
      </c>
      <c r="HA43">
        <v>1</v>
      </c>
      <c r="HB43">
        <v>0.91894299999999995</v>
      </c>
      <c r="HC43">
        <v>5.1011699999999998</v>
      </c>
      <c r="HD43">
        <v>20.171900000000001</v>
      </c>
      <c r="HE43">
        <v>5.2077099999999996</v>
      </c>
      <c r="HF43">
        <v>11.997999999999999</v>
      </c>
      <c r="HG43">
        <v>4.9892000000000003</v>
      </c>
      <c r="HH43">
        <v>3.2909999999999999</v>
      </c>
      <c r="HI43">
        <v>9999</v>
      </c>
      <c r="HJ43">
        <v>9999</v>
      </c>
      <c r="HK43">
        <v>9999</v>
      </c>
      <c r="HL43">
        <v>999.9</v>
      </c>
      <c r="HM43">
        <v>1.86676</v>
      </c>
      <c r="HN43">
        <v>1.8668100000000001</v>
      </c>
      <c r="HO43">
        <v>1.8633200000000001</v>
      </c>
      <c r="HP43">
        <v>1.8644700000000001</v>
      </c>
      <c r="HQ43">
        <v>1.86415</v>
      </c>
      <c r="HR43">
        <v>1.85995</v>
      </c>
      <c r="HS43">
        <v>1.8631</v>
      </c>
      <c r="HT43">
        <v>1.86595</v>
      </c>
      <c r="HU43">
        <v>5</v>
      </c>
      <c r="HV43">
        <v>0</v>
      </c>
      <c r="HW43">
        <v>0</v>
      </c>
      <c r="HX43">
        <v>0</v>
      </c>
      <c r="HY43" t="s">
        <v>420</v>
      </c>
      <c r="HZ43" t="s">
        <v>421</v>
      </c>
      <c r="IA43" t="s">
        <v>422</v>
      </c>
      <c r="IB43" t="s">
        <v>422</v>
      </c>
      <c r="IC43" t="s">
        <v>422</v>
      </c>
      <c r="ID43" t="s">
        <v>422</v>
      </c>
      <c r="IE43">
        <v>0</v>
      </c>
      <c r="IF43">
        <v>100</v>
      </c>
      <c r="IG43">
        <v>100</v>
      </c>
      <c r="IH43">
        <v>3.93</v>
      </c>
      <c r="II43">
        <v>0.10489999999999999</v>
      </c>
      <c r="IJ43">
        <v>1.8085471780101261</v>
      </c>
      <c r="IK43">
        <v>3.5576830062418229E-3</v>
      </c>
      <c r="IL43">
        <v>-2.2646740813029151E-6</v>
      </c>
      <c r="IM43">
        <v>6.9609298295988525E-10</v>
      </c>
      <c r="IN43">
        <v>-0.15039731708765591</v>
      </c>
      <c r="IO43">
        <v>-9.4437069492282083E-4</v>
      </c>
      <c r="IP43">
        <v>5.2900373165634467E-4</v>
      </c>
      <c r="IQ43">
        <v>-3.977656803091445E-6</v>
      </c>
      <c r="IR43">
        <v>2</v>
      </c>
      <c r="IS43">
        <v>1759</v>
      </c>
      <c r="IT43">
        <v>2</v>
      </c>
      <c r="IU43">
        <v>42</v>
      </c>
      <c r="IV43">
        <v>0.9</v>
      </c>
      <c r="IW43">
        <v>0.9</v>
      </c>
      <c r="IX43">
        <v>2.4572799999999999</v>
      </c>
      <c r="IY43">
        <v>2.4157700000000002</v>
      </c>
      <c r="IZ43">
        <v>1.54297</v>
      </c>
      <c r="JA43">
        <v>2.3046899999999999</v>
      </c>
      <c r="JB43">
        <v>1.5466299999999999</v>
      </c>
      <c r="JC43">
        <v>2.32544</v>
      </c>
      <c r="JD43">
        <v>45.892099999999999</v>
      </c>
      <c r="JE43">
        <v>23.886099999999999</v>
      </c>
      <c r="JF43">
        <v>18</v>
      </c>
      <c r="JG43">
        <v>530.53499999999997</v>
      </c>
      <c r="JH43">
        <v>433.81</v>
      </c>
      <c r="JI43">
        <v>24.032599999999999</v>
      </c>
      <c r="JJ43">
        <v>38.097200000000001</v>
      </c>
      <c r="JK43">
        <v>30</v>
      </c>
      <c r="JL43">
        <v>38.674500000000002</v>
      </c>
      <c r="JM43">
        <v>38.6539</v>
      </c>
      <c r="JN43">
        <v>49.348999999999997</v>
      </c>
      <c r="JO43">
        <v>53.704799999999999</v>
      </c>
      <c r="JP43">
        <v>0</v>
      </c>
      <c r="JQ43">
        <v>23.999300000000002</v>
      </c>
      <c r="JR43">
        <v>1200</v>
      </c>
      <c r="JS43">
        <v>21.540500000000002</v>
      </c>
      <c r="JT43">
        <v>98.625600000000006</v>
      </c>
      <c r="JU43">
        <v>96.483999999999995</v>
      </c>
    </row>
    <row r="44" spans="1:281" x14ac:dyDescent="0.25">
      <c r="A44">
        <v>28</v>
      </c>
      <c r="B44">
        <v>1691167404.5999999</v>
      </c>
      <c r="C44">
        <v>6493.0999999046326</v>
      </c>
      <c r="D44" t="s">
        <v>555</v>
      </c>
      <c r="E44" t="s">
        <v>556</v>
      </c>
      <c r="F44" t="s">
        <v>413</v>
      </c>
      <c r="G44" t="s">
        <v>490</v>
      </c>
      <c r="H44" t="s">
        <v>491</v>
      </c>
      <c r="I44" t="s">
        <v>31</v>
      </c>
      <c r="J44">
        <v>1691167404.5999999</v>
      </c>
      <c r="K44">
        <f t="shared" si="0"/>
        <v>3.2238134912665039E-3</v>
      </c>
      <c r="L44">
        <f t="shared" si="1"/>
        <v>3.2238134912665037</v>
      </c>
      <c r="M44">
        <f t="shared" si="2"/>
        <v>58.920565050301633</v>
      </c>
      <c r="N44">
        <f t="shared" si="3"/>
        <v>1424.01</v>
      </c>
      <c r="O44">
        <f t="shared" si="4"/>
        <v>868.18825819591336</v>
      </c>
      <c r="P44">
        <f t="shared" si="5"/>
        <v>86.130315198746871</v>
      </c>
      <c r="Q44">
        <f t="shared" si="6"/>
        <v>141.27169883757</v>
      </c>
      <c r="R44">
        <f t="shared" si="7"/>
        <v>0.18569056621778077</v>
      </c>
      <c r="S44">
        <f t="shared" si="8"/>
        <v>2.917327429840384</v>
      </c>
      <c r="T44">
        <f t="shared" si="9"/>
        <v>0.17936536550075252</v>
      </c>
      <c r="U44">
        <f t="shared" si="10"/>
        <v>0.1126536984353641</v>
      </c>
      <c r="V44">
        <f t="shared" si="11"/>
        <v>344.38109998680358</v>
      </c>
      <c r="W44">
        <f t="shared" si="12"/>
        <v>31.007788177893804</v>
      </c>
      <c r="X44">
        <f t="shared" si="13"/>
        <v>30.003499999999999</v>
      </c>
      <c r="Y44">
        <f t="shared" si="14"/>
        <v>4.2613063560585509</v>
      </c>
      <c r="Z44">
        <f t="shared" si="15"/>
        <v>60.246511425295189</v>
      </c>
      <c r="AA44">
        <f t="shared" si="16"/>
        <v>2.5393310334591002</v>
      </c>
      <c r="AB44">
        <f t="shared" si="17"/>
        <v>4.2149013667087329</v>
      </c>
      <c r="AC44">
        <f t="shared" si="18"/>
        <v>1.7219753225994507</v>
      </c>
      <c r="AD44">
        <f t="shared" si="19"/>
        <v>-142.17017496485283</v>
      </c>
      <c r="AE44">
        <f t="shared" si="20"/>
        <v>-29.961641193734206</v>
      </c>
      <c r="AF44">
        <f t="shared" si="21"/>
        <v>-2.2815236758892943</v>
      </c>
      <c r="AG44">
        <f t="shared" si="22"/>
        <v>169.96776015232726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52017.564717506153</v>
      </c>
      <c r="AM44" t="s">
        <v>414</v>
      </c>
      <c r="AN44">
        <v>10111.299999999999</v>
      </c>
      <c r="AO44">
        <v>608.58839999999998</v>
      </c>
      <c r="AP44">
        <v>2150.11</v>
      </c>
      <c r="AQ44">
        <f t="shared" si="26"/>
        <v>0.71695010952927984</v>
      </c>
      <c r="AR44">
        <v>-1.1786277417053079</v>
      </c>
      <c r="AS44" t="s">
        <v>557</v>
      </c>
      <c r="AT44">
        <v>8101.87</v>
      </c>
      <c r="AU44">
        <v>682.34059999999999</v>
      </c>
      <c r="AV44">
        <v>1172.1221371654381</v>
      </c>
      <c r="AW44">
        <f t="shared" si="27"/>
        <v>0.41785878931515164</v>
      </c>
      <c r="AX44">
        <v>0.5</v>
      </c>
      <c r="AY44">
        <f t="shared" si="28"/>
        <v>1513.2128999934018</v>
      </c>
      <c r="AZ44">
        <f t="shared" si="29"/>
        <v>58.920565050301633</v>
      </c>
      <c r="BA44">
        <f t="shared" si="30"/>
        <v>316.15465518365625</v>
      </c>
      <c r="BB44">
        <f t="shared" si="31"/>
        <v>3.9716283671827668E-2</v>
      </c>
      <c r="BC44">
        <f t="shared" si="32"/>
        <v>0.8343736815684123</v>
      </c>
      <c r="BD44">
        <f t="shared" si="33"/>
        <v>492.31797053887738</v>
      </c>
      <c r="BE44" t="s">
        <v>558</v>
      </c>
      <c r="BF44">
        <v>531.67999999999995</v>
      </c>
      <c r="BG44">
        <f t="shared" si="34"/>
        <v>531.67999999999995</v>
      </c>
      <c r="BH44">
        <f t="shared" si="35"/>
        <v>0.54639539418155669</v>
      </c>
      <c r="BI44">
        <f t="shared" si="36"/>
        <v>0.76475532876894137</v>
      </c>
      <c r="BJ44">
        <f t="shared" si="37"/>
        <v>0.60428184279490738</v>
      </c>
      <c r="BK44">
        <f t="shared" si="38"/>
        <v>0.86912549305216058</v>
      </c>
      <c r="BL44">
        <f t="shared" si="39"/>
        <v>0.63443020378991899</v>
      </c>
      <c r="BM44">
        <f t="shared" si="40"/>
        <v>0.59589758135434223</v>
      </c>
      <c r="BN44">
        <f t="shared" si="41"/>
        <v>0.40410241864565777</v>
      </c>
      <c r="BO44">
        <v>7029</v>
      </c>
      <c r="BP44">
        <v>290.00000000000011</v>
      </c>
      <c r="BQ44">
        <v>993.43</v>
      </c>
      <c r="BR44">
        <v>285</v>
      </c>
      <c r="BS44">
        <v>8101.87</v>
      </c>
      <c r="BT44">
        <v>995.52</v>
      </c>
      <c r="BU44">
        <v>-2.09</v>
      </c>
      <c r="BV44">
        <v>300.00000000000011</v>
      </c>
      <c r="BW44">
        <v>19.2</v>
      </c>
      <c r="BX44">
        <v>1172.1221371654381</v>
      </c>
      <c r="BY44">
        <v>4.9009007418569093</v>
      </c>
      <c r="BZ44">
        <v>-143.0768073968766</v>
      </c>
      <c r="CA44">
        <v>3.6488065882969769</v>
      </c>
      <c r="CB44">
        <v>0.98211521693700099</v>
      </c>
      <c r="CC44">
        <v>-4.1740954393770843E-3</v>
      </c>
      <c r="CD44">
        <v>289.99999999999989</v>
      </c>
      <c r="CE44">
        <v>983.74</v>
      </c>
      <c r="CF44">
        <v>635</v>
      </c>
      <c r="CG44">
        <v>8097.33</v>
      </c>
      <c r="CH44">
        <v>995.43</v>
      </c>
      <c r="CI44">
        <v>-11.69</v>
      </c>
      <c r="CW44">
        <f t="shared" si="42"/>
        <v>1800.03</v>
      </c>
      <c r="CX44">
        <f t="shared" si="43"/>
        <v>1513.2128999934018</v>
      </c>
      <c r="CY44">
        <f t="shared" si="44"/>
        <v>0.84065982233262881</v>
      </c>
      <c r="CZ44">
        <f t="shared" si="45"/>
        <v>0.19131964466525755</v>
      </c>
      <c r="DA44">
        <v>6</v>
      </c>
      <c r="DB44">
        <v>0.5</v>
      </c>
      <c r="DC44" t="s">
        <v>417</v>
      </c>
      <c r="DD44">
        <v>2</v>
      </c>
      <c r="DE44">
        <v>1691167404.5999999</v>
      </c>
      <c r="DF44">
        <v>1424.01</v>
      </c>
      <c r="DG44">
        <v>1500.18</v>
      </c>
      <c r="DH44">
        <v>25.596299999999999</v>
      </c>
      <c r="DI44">
        <v>21.828900000000001</v>
      </c>
      <c r="DJ44">
        <v>1419.74</v>
      </c>
      <c r="DK44">
        <v>25.499199999999998</v>
      </c>
      <c r="DL44">
        <v>500.286</v>
      </c>
      <c r="DM44">
        <v>99.106700000000004</v>
      </c>
      <c r="DN44">
        <v>0.100257</v>
      </c>
      <c r="DO44">
        <v>29.812999999999999</v>
      </c>
      <c r="DP44">
        <v>30.003499999999999</v>
      </c>
      <c r="DQ44">
        <v>999.9</v>
      </c>
      <c r="DR44">
        <v>0</v>
      </c>
      <c r="DS44">
        <v>0</v>
      </c>
      <c r="DT44">
        <v>10020</v>
      </c>
      <c r="DU44">
        <v>0</v>
      </c>
      <c r="DV44">
        <v>1911.25</v>
      </c>
      <c r="DW44">
        <v>-76.163799999999995</v>
      </c>
      <c r="DX44">
        <v>1461.42</v>
      </c>
      <c r="DY44">
        <v>1533.65</v>
      </c>
      <c r="DZ44">
        <v>3.7673199999999998</v>
      </c>
      <c r="EA44">
        <v>1500.18</v>
      </c>
      <c r="EB44">
        <v>21.828900000000001</v>
      </c>
      <c r="EC44">
        <v>2.5367600000000001</v>
      </c>
      <c r="ED44">
        <v>2.1633900000000001</v>
      </c>
      <c r="EE44">
        <v>21.264299999999999</v>
      </c>
      <c r="EF44">
        <v>18.6938</v>
      </c>
      <c r="EG44">
        <v>1800.03</v>
      </c>
      <c r="EH44">
        <v>0.97800500000000001</v>
      </c>
      <c r="EI44">
        <v>2.1994900000000001E-2</v>
      </c>
      <c r="EJ44">
        <v>0</v>
      </c>
      <c r="EK44">
        <v>681.13499999999999</v>
      </c>
      <c r="EL44">
        <v>0.10001</v>
      </c>
      <c r="EM44">
        <v>18408.5</v>
      </c>
      <c r="EN44">
        <v>16353.8</v>
      </c>
      <c r="EO44">
        <v>46.75</v>
      </c>
      <c r="EP44">
        <v>49.375</v>
      </c>
      <c r="EQ44">
        <v>48.25</v>
      </c>
      <c r="ER44">
        <v>48.061999999999998</v>
      </c>
      <c r="ES44">
        <v>48.436999999999998</v>
      </c>
      <c r="ET44">
        <v>1760.34</v>
      </c>
      <c r="EU44">
        <v>39.590000000000003</v>
      </c>
      <c r="EV44">
        <v>0</v>
      </c>
      <c r="EW44">
        <v>97.200000047683716</v>
      </c>
      <c r="EX44">
        <v>0</v>
      </c>
      <c r="EY44">
        <v>682.34059999999999</v>
      </c>
      <c r="EZ44">
        <v>-2.8819230268779128</v>
      </c>
      <c r="FA44">
        <v>372.77692191675038</v>
      </c>
      <c r="FB44">
        <v>18378.452000000001</v>
      </c>
      <c r="FC44">
        <v>15</v>
      </c>
      <c r="FD44">
        <v>1691167371.0999999</v>
      </c>
      <c r="FE44" t="s">
        <v>559</v>
      </c>
      <c r="FF44">
        <v>1691167371.0999999</v>
      </c>
      <c r="FG44">
        <v>1691167369.5999999</v>
      </c>
      <c r="FH44">
        <v>30</v>
      </c>
      <c r="FI44">
        <v>-1.7999999999999999E-2</v>
      </c>
      <c r="FJ44">
        <v>-7.0000000000000001E-3</v>
      </c>
      <c r="FK44">
        <v>4.3760000000000003</v>
      </c>
      <c r="FL44">
        <v>2.7E-2</v>
      </c>
      <c r="FM44">
        <v>1500</v>
      </c>
      <c r="FN44">
        <v>22</v>
      </c>
      <c r="FO44">
        <v>0.17</v>
      </c>
      <c r="FP44">
        <v>7.0000000000000007E-2</v>
      </c>
      <c r="FQ44">
        <v>58.810772423819841</v>
      </c>
      <c r="FR44">
        <v>0.1195309058893579</v>
      </c>
      <c r="FS44">
        <v>0.18088844447568911</v>
      </c>
      <c r="FT44">
        <v>1</v>
      </c>
      <c r="FU44">
        <v>0.18753958732240439</v>
      </c>
      <c r="FV44">
        <v>-1.135688097747516E-2</v>
      </c>
      <c r="FW44">
        <v>1.014827660374467E-3</v>
      </c>
      <c r="FX44">
        <v>1</v>
      </c>
      <c r="FY44">
        <v>2</v>
      </c>
      <c r="FZ44">
        <v>2</v>
      </c>
      <c r="GA44" t="s">
        <v>419</v>
      </c>
      <c r="GB44">
        <v>2.8863099999999999</v>
      </c>
      <c r="GC44">
        <v>2.8216299999999999</v>
      </c>
      <c r="GD44">
        <v>0.205092</v>
      </c>
      <c r="GE44">
        <v>0.21279500000000001</v>
      </c>
      <c r="GF44">
        <v>0.11960899999999999</v>
      </c>
      <c r="GG44">
        <v>0.10763499999999999</v>
      </c>
      <c r="GH44">
        <v>24418.1</v>
      </c>
      <c r="GI44">
        <v>22576.799999999999</v>
      </c>
      <c r="GJ44">
        <v>28285.3</v>
      </c>
      <c r="GK44">
        <v>26943.1</v>
      </c>
      <c r="GL44">
        <v>35145.5</v>
      </c>
      <c r="GM44">
        <v>33579.599999999999</v>
      </c>
      <c r="GN44">
        <v>41620.1</v>
      </c>
      <c r="GO44">
        <v>38982.400000000001</v>
      </c>
      <c r="GP44">
        <v>2.0051999999999999</v>
      </c>
      <c r="GQ44">
        <v>1.6980999999999999</v>
      </c>
      <c r="GR44">
        <v>-3.9666899999999998E-2</v>
      </c>
      <c r="GS44">
        <v>0</v>
      </c>
      <c r="GT44">
        <v>30.648700000000002</v>
      </c>
      <c r="GU44">
        <v>999.9</v>
      </c>
      <c r="GV44">
        <v>48.1</v>
      </c>
      <c r="GW44">
        <v>42.5</v>
      </c>
      <c r="GX44">
        <v>41.078299999999999</v>
      </c>
      <c r="GY44">
        <v>62.578200000000002</v>
      </c>
      <c r="GZ44">
        <v>31.614599999999999</v>
      </c>
      <c r="HA44">
        <v>1</v>
      </c>
      <c r="HB44">
        <v>0.93033500000000002</v>
      </c>
      <c r="HC44">
        <v>5.4239600000000001</v>
      </c>
      <c r="HD44">
        <v>20.162700000000001</v>
      </c>
      <c r="HE44">
        <v>5.2112999999999996</v>
      </c>
      <c r="HF44">
        <v>11.997999999999999</v>
      </c>
      <c r="HG44">
        <v>4.9880000000000004</v>
      </c>
      <c r="HH44">
        <v>3.2909999999999999</v>
      </c>
      <c r="HI44">
        <v>9999</v>
      </c>
      <c r="HJ44">
        <v>9999</v>
      </c>
      <c r="HK44">
        <v>9999</v>
      </c>
      <c r="HL44">
        <v>999.9</v>
      </c>
      <c r="HM44">
        <v>1.86676</v>
      </c>
      <c r="HN44">
        <v>1.8668800000000001</v>
      </c>
      <c r="HO44">
        <v>1.86331</v>
      </c>
      <c r="HP44">
        <v>1.8644700000000001</v>
      </c>
      <c r="HQ44">
        <v>1.8641700000000001</v>
      </c>
      <c r="HR44">
        <v>1.85995</v>
      </c>
      <c r="HS44">
        <v>1.8631</v>
      </c>
      <c r="HT44">
        <v>1.86598</v>
      </c>
      <c r="HU44">
        <v>5</v>
      </c>
      <c r="HV44">
        <v>0</v>
      </c>
      <c r="HW44">
        <v>0</v>
      </c>
      <c r="HX44">
        <v>0</v>
      </c>
      <c r="HY44" t="s">
        <v>420</v>
      </c>
      <c r="HZ44" t="s">
        <v>421</v>
      </c>
      <c r="IA44" t="s">
        <v>422</v>
      </c>
      <c r="IB44" t="s">
        <v>422</v>
      </c>
      <c r="IC44" t="s">
        <v>422</v>
      </c>
      <c r="ID44" t="s">
        <v>422</v>
      </c>
      <c r="IE44">
        <v>0</v>
      </c>
      <c r="IF44">
        <v>100</v>
      </c>
      <c r="IG44">
        <v>100</v>
      </c>
      <c r="IH44">
        <v>4.2699999999999996</v>
      </c>
      <c r="II44">
        <v>9.7100000000000006E-2</v>
      </c>
      <c r="IJ44">
        <v>1.7917214723284851</v>
      </c>
      <c r="IK44">
        <v>3.5576830062418229E-3</v>
      </c>
      <c r="IL44">
        <v>-2.2646740813029151E-6</v>
      </c>
      <c r="IM44">
        <v>6.9609298295988525E-10</v>
      </c>
      <c r="IN44">
        <v>-0.15692374741566631</v>
      </c>
      <c r="IO44">
        <v>-9.4437069492282083E-4</v>
      </c>
      <c r="IP44">
        <v>5.2900373165634467E-4</v>
      </c>
      <c r="IQ44">
        <v>-3.977656803091445E-6</v>
      </c>
      <c r="IR44">
        <v>2</v>
      </c>
      <c r="IS44">
        <v>1759</v>
      </c>
      <c r="IT44">
        <v>2</v>
      </c>
      <c r="IU44">
        <v>42</v>
      </c>
      <c r="IV44">
        <v>0.6</v>
      </c>
      <c r="IW44">
        <v>0.6</v>
      </c>
      <c r="IX44">
        <v>2.9589799999999999</v>
      </c>
      <c r="IY44">
        <v>2.4096700000000002</v>
      </c>
      <c r="IZ44">
        <v>1.54297</v>
      </c>
      <c r="JA44">
        <v>2.3034699999999999</v>
      </c>
      <c r="JB44">
        <v>1.5466299999999999</v>
      </c>
      <c r="JC44">
        <v>2.3339799999999999</v>
      </c>
      <c r="JD44">
        <v>45.920999999999999</v>
      </c>
      <c r="JE44">
        <v>23.877400000000002</v>
      </c>
      <c r="JF44">
        <v>18</v>
      </c>
      <c r="JG44">
        <v>530.71500000000003</v>
      </c>
      <c r="JH44">
        <v>433.46499999999997</v>
      </c>
      <c r="JI44">
        <v>23.605599999999999</v>
      </c>
      <c r="JJ44">
        <v>38.199399999999997</v>
      </c>
      <c r="JK44">
        <v>30.000699999999998</v>
      </c>
      <c r="JL44">
        <v>38.6892</v>
      </c>
      <c r="JM44">
        <v>38.6723</v>
      </c>
      <c r="JN44">
        <v>59.396500000000003</v>
      </c>
      <c r="JO44">
        <v>53.202500000000001</v>
      </c>
      <c r="JP44">
        <v>0</v>
      </c>
      <c r="JQ44">
        <v>23.6082</v>
      </c>
      <c r="JR44">
        <v>1500</v>
      </c>
      <c r="JS44">
        <v>21.787600000000001</v>
      </c>
      <c r="JT44">
        <v>98.606399999999994</v>
      </c>
      <c r="JU44">
        <v>96.461500000000001</v>
      </c>
    </row>
    <row r="45" spans="1:281" x14ac:dyDescent="0.25">
      <c r="A45">
        <v>29</v>
      </c>
      <c r="B45">
        <v>1691168325.5</v>
      </c>
      <c r="C45">
        <v>7414</v>
      </c>
      <c r="D45" t="s">
        <v>560</v>
      </c>
      <c r="E45" t="s">
        <v>561</v>
      </c>
      <c r="F45" t="s">
        <v>413</v>
      </c>
      <c r="G45" t="s">
        <v>562</v>
      </c>
      <c r="H45" t="s">
        <v>563</v>
      </c>
      <c r="I45" t="s">
        <v>31</v>
      </c>
      <c r="J45">
        <v>1691168325.5</v>
      </c>
      <c r="K45">
        <f t="shared" si="0"/>
        <v>6.5280197218033319E-3</v>
      </c>
      <c r="L45">
        <f t="shared" si="1"/>
        <v>6.5280197218033322</v>
      </c>
      <c r="M45">
        <f t="shared" si="2"/>
        <v>52.420930604679739</v>
      </c>
      <c r="N45">
        <f t="shared" si="3"/>
        <v>334.36700000000002</v>
      </c>
      <c r="O45">
        <f t="shared" si="4"/>
        <v>113.04785388458311</v>
      </c>
      <c r="P45">
        <f t="shared" si="5"/>
        <v>11.216653620713453</v>
      </c>
      <c r="Q45">
        <f t="shared" si="6"/>
        <v>33.176028489901</v>
      </c>
      <c r="R45">
        <f t="shared" si="7"/>
        <v>0.41578349673687792</v>
      </c>
      <c r="S45">
        <f t="shared" si="8"/>
        <v>2.9193138848623739</v>
      </c>
      <c r="T45">
        <f t="shared" si="9"/>
        <v>0.38546512416926521</v>
      </c>
      <c r="U45">
        <f t="shared" si="10"/>
        <v>0.24345520053458933</v>
      </c>
      <c r="V45">
        <f t="shared" si="11"/>
        <v>344.34239998679539</v>
      </c>
      <c r="W45">
        <f t="shared" si="12"/>
        <v>30.62185948312624</v>
      </c>
      <c r="X45">
        <f t="shared" si="13"/>
        <v>30.001000000000001</v>
      </c>
      <c r="Y45">
        <f t="shared" si="14"/>
        <v>4.2606944952902355</v>
      </c>
      <c r="Z45">
        <f t="shared" si="15"/>
        <v>60.919390191442368</v>
      </c>
      <c r="AA45">
        <f t="shared" si="16"/>
        <v>2.6387765398253</v>
      </c>
      <c r="AB45">
        <f t="shared" si="17"/>
        <v>4.331587252486945</v>
      </c>
      <c r="AC45">
        <f t="shared" si="18"/>
        <v>1.6219179554649354</v>
      </c>
      <c r="AD45">
        <f t="shared" si="19"/>
        <v>-287.88566973152695</v>
      </c>
      <c r="AE45">
        <f t="shared" si="20"/>
        <v>45.264228026217033</v>
      </c>
      <c r="AF45">
        <f t="shared" si="21"/>
        <v>3.452518381502466</v>
      </c>
      <c r="AG45">
        <f t="shared" si="22"/>
        <v>105.17347666298792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51992.809119112142</v>
      </c>
      <c r="AM45" t="s">
        <v>414</v>
      </c>
      <c r="AN45">
        <v>10111.299999999999</v>
      </c>
      <c r="AO45">
        <v>608.58839999999998</v>
      </c>
      <c r="AP45">
        <v>2150.11</v>
      </c>
      <c r="AQ45">
        <f t="shared" si="26"/>
        <v>0.71695010952927984</v>
      </c>
      <c r="AR45">
        <v>-1.1786277417053079</v>
      </c>
      <c r="AS45" t="s">
        <v>564</v>
      </c>
      <c r="AT45">
        <v>8099.21</v>
      </c>
      <c r="AU45">
        <v>650.10134615384607</v>
      </c>
      <c r="AV45">
        <v>1027.224086025511</v>
      </c>
      <c r="AW45">
        <f t="shared" si="27"/>
        <v>0.36712801520339267</v>
      </c>
      <c r="AX45">
        <v>0.5</v>
      </c>
      <c r="AY45">
        <f t="shared" si="28"/>
        <v>1513.0370999933975</v>
      </c>
      <c r="AZ45">
        <f t="shared" si="29"/>
        <v>52.420930604679739</v>
      </c>
      <c r="BA45">
        <f t="shared" si="30"/>
        <v>277.73915372483663</v>
      </c>
      <c r="BB45">
        <f t="shared" si="31"/>
        <v>3.5425144794280945E-2</v>
      </c>
      <c r="BC45">
        <f t="shared" si="32"/>
        <v>1.093126542932914</v>
      </c>
      <c r="BD45">
        <f t="shared" si="33"/>
        <v>464.78085773130442</v>
      </c>
      <c r="BE45" t="s">
        <v>565</v>
      </c>
      <c r="BF45">
        <v>507.38</v>
      </c>
      <c r="BG45">
        <f t="shared" si="34"/>
        <v>507.38</v>
      </c>
      <c r="BH45">
        <f t="shared" si="35"/>
        <v>0.5060668778093671</v>
      </c>
      <c r="BI45">
        <f t="shared" si="36"/>
        <v>0.72545355426657276</v>
      </c>
      <c r="BJ45">
        <f t="shared" si="37"/>
        <v>0.68354867444710277</v>
      </c>
      <c r="BK45">
        <f t="shared" si="38"/>
        <v>0.90083753597796168</v>
      </c>
      <c r="BL45">
        <f t="shared" si="39"/>
        <v>0.72842697369565823</v>
      </c>
      <c r="BM45">
        <f t="shared" si="40"/>
        <v>0.56618960496148185</v>
      </c>
      <c r="BN45">
        <f t="shared" si="41"/>
        <v>0.43381039503851815</v>
      </c>
      <c r="BO45">
        <v>7031</v>
      </c>
      <c r="BP45">
        <v>290.00000000000011</v>
      </c>
      <c r="BQ45">
        <v>904.11</v>
      </c>
      <c r="BR45">
        <v>285</v>
      </c>
      <c r="BS45">
        <v>8099.21</v>
      </c>
      <c r="BT45">
        <v>905.71</v>
      </c>
      <c r="BU45">
        <v>-1.6</v>
      </c>
      <c r="BV45">
        <v>300.00000000000011</v>
      </c>
      <c r="BW45">
        <v>19.2</v>
      </c>
      <c r="BX45">
        <v>1027.224086025511</v>
      </c>
      <c r="BY45">
        <v>3.2405422487437852</v>
      </c>
      <c r="BZ45">
        <v>-98.415685728188578</v>
      </c>
      <c r="CA45">
        <v>2.4118649620677499</v>
      </c>
      <c r="CB45">
        <v>0.98346162703525297</v>
      </c>
      <c r="CC45">
        <v>-4.1725530589543942E-3</v>
      </c>
      <c r="CD45">
        <v>289.99999999999989</v>
      </c>
      <c r="CE45">
        <v>901.12</v>
      </c>
      <c r="CF45">
        <v>655</v>
      </c>
      <c r="CG45">
        <v>8094.33</v>
      </c>
      <c r="CH45">
        <v>905.64</v>
      </c>
      <c r="CI45">
        <v>-4.5199999999999996</v>
      </c>
      <c r="CW45">
        <f t="shared" si="42"/>
        <v>1799.82</v>
      </c>
      <c r="CX45">
        <f t="shared" si="43"/>
        <v>1513.0370999933975</v>
      </c>
      <c r="CY45">
        <f t="shared" si="44"/>
        <v>0.84066023268626733</v>
      </c>
      <c r="CZ45">
        <f t="shared" si="45"/>
        <v>0.19132046537253469</v>
      </c>
      <c r="DA45">
        <v>6</v>
      </c>
      <c r="DB45">
        <v>0.5</v>
      </c>
      <c r="DC45" t="s">
        <v>417</v>
      </c>
      <c r="DD45">
        <v>2</v>
      </c>
      <c r="DE45">
        <v>1691168325.5</v>
      </c>
      <c r="DF45">
        <v>334.36700000000002</v>
      </c>
      <c r="DG45">
        <v>399.85199999999998</v>
      </c>
      <c r="DH45">
        <v>26.595099999999999</v>
      </c>
      <c r="DI45">
        <v>18.974399999999999</v>
      </c>
      <c r="DJ45">
        <v>331.98899999999998</v>
      </c>
      <c r="DK45">
        <v>26.463999999999999</v>
      </c>
      <c r="DL45">
        <v>500.30099999999999</v>
      </c>
      <c r="DM45">
        <v>99.1203</v>
      </c>
      <c r="DN45">
        <v>0.100103</v>
      </c>
      <c r="DO45">
        <v>30.288599999999999</v>
      </c>
      <c r="DP45">
        <v>30.001000000000001</v>
      </c>
      <c r="DQ45">
        <v>999.9</v>
      </c>
      <c r="DR45">
        <v>0</v>
      </c>
      <c r="DS45">
        <v>0</v>
      </c>
      <c r="DT45">
        <v>10030</v>
      </c>
      <c r="DU45">
        <v>0</v>
      </c>
      <c r="DV45">
        <v>1786.49</v>
      </c>
      <c r="DW45">
        <v>-65.484899999999996</v>
      </c>
      <c r="DX45">
        <v>343.50299999999999</v>
      </c>
      <c r="DY45">
        <v>407.58600000000001</v>
      </c>
      <c r="DZ45">
        <v>7.62066</v>
      </c>
      <c r="EA45">
        <v>399.85199999999998</v>
      </c>
      <c r="EB45">
        <v>18.974399999999999</v>
      </c>
      <c r="EC45">
        <v>2.63612</v>
      </c>
      <c r="ED45">
        <v>1.8807499999999999</v>
      </c>
      <c r="EE45">
        <v>21.892199999999999</v>
      </c>
      <c r="EF45">
        <v>16.474599999999999</v>
      </c>
      <c r="EG45">
        <v>1799.82</v>
      </c>
      <c r="EH45">
        <v>0.97799199999999997</v>
      </c>
      <c r="EI45">
        <v>2.2008300000000001E-2</v>
      </c>
      <c r="EJ45">
        <v>0</v>
      </c>
      <c r="EK45">
        <v>648.61500000000001</v>
      </c>
      <c r="EL45">
        <v>0.10001</v>
      </c>
      <c r="EM45">
        <v>17207.400000000001</v>
      </c>
      <c r="EN45">
        <v>16351.8</v>
      </c>
      <c r="EO45">
        <v>46.811999999999998</v>
      </c>
      <c r="EP45">
        <v>49.125</v>
      </c>
      <c r="EQ45">
        <v>48.186999999999998</v>
      </c>
      <c r="ER45">
        <v>48</v>
      </c>
      <c r="ES45">
        <v>48.5</v>
      </c>
      <c r="ET45">
        <v>1760.11</v>
      </c>
      <c r="EU45">
        <v>39.61</v>
      </c>
      <c r="EV45">
        <v>0</v>
      </c>
      <c r="EW45">
        <v>918.59999990463257</v>
      </c>
      <c r="EX45">
        <v>0</v>
      </c>
      <c r="EY45">
        <v>650.10134615384607</v>
      </c>
      <c r="EZ45">
        <v>4.2121368293767567</v>
      </c>
      <c r="FA45">
        <v>-282.49572689980431</v>
      </c>
      <c r="FB45">
        <v>17207.669230769228</v>
      </c>
      <c r="FC45">
        <v>15</v>
      </c>
      <c r="FD45">
        <v>1691168294.5</v>
      </c>
      <c r="FE45" t="s">
        <v>566</v>
      </c>
      <c r="FF45">
        <v>1691168290.5</v>
      </c>
      <c r="FG45">
        <v>1691168294.5</v>
      </c>
      <c r="FH45">
        <v>32</v>
      </c>
      <c r="FI45">
        <v>-3.7999999999999999E-2</v>
      </c>
      <c r="FJ45">
        <v>8.0000000000000002E-3</v>
      </c>
      <c r="FK45">
        <v>2.5219999999999998</v>
      </c>
      <c r="FL45">
        <v>8.0000000000000002E-3</v>
      </c>
      <c r="FM45">
        <v>400</v>
      </c>
      <c r="FN45">
        <v>19</v>
      </c>
      <c r="FO45">
        <v>0.1</v>
      </c>
      <c r="FP45">
        <v>0.03</v>
      </c>
      <c r="FQ45">
        <v>52.328468440639391</v>
      </c>
      <c r="FR45">
        <v>-5.8044619118872397E-2</v>
      </c>
      <c r="FS45">
        <v>8.5998249342243857E-2</v>
      </c>
      <c r="FT45">
        <v>1</v>
      </c>
      <c r="FU45">
        <v>0.41323846821389992</v>
      </c>
      <c r="FV45">
        <v>-2.8099892101711649E-3</v>
      </c>
      <c r="FW45">
        <v>2.0826246290284942E-3</v>
      </c>
      <c r="FX45">
        <v>1</v>
      </c>
      <c r="FY45">
        <v>2</v>
      </c>
      <c r="FZ45">
        <v>2</v>
      </c>
      <c r="GA45" t="s">
        <v>419</v>
      </c>
      <c r="GB45">
        <v>2.8868</v>
      </c>
      <c r="GC45">
        <v>2.8215599999999998</v>
      </c>
      <c r="GD45">
        <v>7.4956099999999998E-2</v>
      </c>
      <c r="GE45">
        <v>8.7211499999999997E-2</v>
      </c>
      <c r="GF45">
        <v>0.122809</v>
      </c>
      <c r="GG45">
        <v>9.7613800000000001E-2</v>
      </c>
      <c r="GH45">
        <v>28430.799999999999</v>
      </c>
      <c r="GI45">
        <v>26195.9</v>
      </c>
      <c r="GJ45">
        <v>28292.1</v>
      </c>
      <c r="GK45">
        <v>26951.9</v>
      </c>
      <c r="GL45">
        <v>35022.9</v>
      </c>
      <c r="GM45">
        <v>33964.699999999997</v>
      </c>
      <c r="GN45">
        <v>41629.300000000003</v>
      </c>
      <c r="GO45">
        <v>38995</v>
      </c>
      <c r="GP45">
        <v>2.0089000000000001</v>
      </c>
      <c r="GQ45">
        <v>1.6908000000000001</v>
      </c>
      <c r="GR45">
        <v>-1.8626500000000001E-2</v>
      </c>
      <c r="GS45">
        <v>0</v>
      </c>
      <c r="GT45">
        <v>30.303999999999998</v>
      </c>
      <c r="GU45">
        <v>999.9</v>
      </c>
      <c r="GV45">
        <v>48.4</v>
      </c>
      <c r="GW45">
        <v>43</v>
      </c>
      <c r="GX45">
        <v>42.4208</v>
      </c>
      <c r="GY45">
        <v>62.488300000000002</v>
      </c>
      <c r="GZ45">
        <v>31.931100000000001</v>
      </c>
      <c r="HA45">
        <v>1</v>
      </c>
      <c r="HB45">
        <v>0.88700199999999996</v>
      </c>
      <c r="HC45">
        <v>2.1404100000000001</v>
      </c>
      <c r="HD45">
        <v>20.284800000000001</v>
      </c>
      <c r="HE45">
        <v>5.2095000000000002</v>
      </c>
      <c r="HF45">
        <v>11.997999999999999</v>
      </c>
      <c r="HG45">
        <v>4.9888000000000003</v>
      </c>
      <c r="HH45">
        <v>3.2909999999999999</v>
      </c>
      <c r="HI45">
        <v>9999</v>
      </c>
      <c r="HJ45">
        <v>9999</v>
      </c>
      <c r="HK45">
        <v>9999</v>
      </c>
      <c r="HL45">
        <v>999.9</v>
      </c>
      <c r="HM45">
        <v>1.8663000000000001</v>
      </c>
      <c r="HN45">
        <v>1.86643</v>
      </c>
      <c r="HO45">
        <v>1.8629500000000001</v>
      </c>
      <c r="HP45">
        <v>1.8640099999999999</v>
      </c>
      <c r="HQ45">
        <v>1.86368</v>
      </c>
      <c r="HR45">
        <v>1.8594999999999999</v>
      </c>
      <c r="HS45">
        <v>1.86267</v>
      </c>
      <c r="HT45">
        <v>1.86554</v>
      </c>
      <c r="HU45">
        <v>5</v>
      </c>
      <c r="HV45">
        <v>0</v>
      </c>
      <c r="HW45">
        <v>0</v>
      </c>
      <c r="HX45">
        <v>0</v>
      </c>
      <c r="HY45" t="s">
        <v>420</v>
      </c>
      <c r="HZ45" t="s">
        <v>421</v>
      </c>
      <c r="IA45" t="s">
        <v>422</v>
      </c>
      <c r="IB45" t="s">
        <v>422</v>
      </c>
      <c r="IC45" t="s">
        <v>422</v>
      </c>
      <c r="ID45" t="s">
        <v>422</v>
      </c>
      <c r="IE45">
        <v>0</v>
      </c>
      <c r="IF45">
        <v>100</v>
      </c>
      <c r="IG45">
        <v>100</v>
      </c>
      <c r="IH45">
        <v>2.3780000000000001</v>
      </c>
      <c r="II45">
        <v>0.13109999999999999</v>
      </c>
      <c r="IJ45">
        <v>1.421324564631548</v>
      </c>
      <c r="IK45">
        <v>3.5576830062418229E-3</v>
      </c>
      <c r="IL45">
        <v>-2.2646740813029151E-6</v>
      </c>
      <c r="IM45">
        <v>6.9609298295988525E-10</v>
      </c>
      <c r="IN45">
        <v>-0.14063422244587109</v>
      </c>
      <c r="IO45">
        <v>-9.4437069492282083E-4</v>
      </c>
      <c r="IP45">
        <v>5.2900373165634467E-4</v>
      </c>
      <c r="IQ45">
        <v>-3.977656803091445E-6</v>
      </c>
      <c r="IR45">
        <v>2</v>
      </c>
      <c r="IS45">
        <v>1759</v>
      </c>
      <c r="IT45">
        <v>2</v>
      </c>
      <c r="IU45">
        <v>42</v>
      </c>
      <c r="IV45">
        <v>0.6</v>
      </c>
      <c r="IW45">
        <v>0.5</v>
      </c>
      <c r="IX45">
        <v>0.96923800000000004</v>
      </c>
      <c r="IY45">
        <v>2.4206500000000002</v>
      </c>
      <c r="IZ45">
        <v>1.54297</v>
      </c>
      <c r="JA45">
        <v>2.3046899999999999</v>
      </c>
      <c r="JB45">
        <v>1.5466299999999999</v>
      </c>
      <c r="JC45">
        <v>2.3767100000000001</v>
      </c>
      <c r="JD45">
        <v>46.502800000000001</v>
      </c>
      <c r="JE45">
        <v>15.6381</v>
      </c>
      <c r="JF45">
        <v>18</v>
      </c>
      <c r="JG45">
        <v>531.24199999999996</v>
      </c>
      <c r="JH45">
        <v>427.06099999999998</v>
      </c>
      <c r="JI45">
        <v>25.379100000000001</v>
      </c>
      <c r="JJ45">
        <v>37.962800000000001</v>
      </c>
      <c r="JK45">
        <v>29.9941</v>
      </c>
      <c r="JL45">
        <v>38.446300000000001</v>
      </c>
      <c r="JM45">
        <v>38.43</v>
      </c>
      <c r="JN45">
        <v>19.5198</v>
      </c>
      <c r="JO45">
        <v>60.488100000000003</v>
      </c>
      <c r="JP45">
        <v>0</v>
      </c>
      <c r="JQ45">
        <v>25.4131</v>
      </c>
      <c r="JR45">
        <v>400</v>
      </c>
      <c r="JS45">
        <v>18.850200000000001</v>
      </c>
      <c r="JT45">
        <v>98.628900000000002</v>
      </c>
      <c r="JU45">
        <v>96.492900000000006</v>
      </c>
    </row>
    <row r="46" spans="1:281" x14ac:dyDescent="0.25">
      <c r="A46">
        <v>30</v>
      </c>
      <c r="B46">
        <v>1691168451.5</v>
      </c>
      <c r="C46">
        <v>7540</v>
      </c>
      <c r="D46" t="s">
        <v>567</v>
      </c>
      <c r="E46" t="s">
        <v>568</v>
      </c>
      <c r="F46" t="s">
        <v>413</v>
      </c>
      <c r="G46" t="s">
        <v>562</v>
      </c>
      <c r="H46" t="s">
        <v>563</v>
      </c>
      <c r="I46" t="s">
        <v>31</v>
      </c>
      <c r="J46">
        <v>1691168451.5</v>
      </c>
      <c r="K46">
        <f t="shared" si="0"/>
        <v>6.8638825974967187E-3</v>
      </c>
      <c r="L46">
        <f t="shared" si="1"/>
        <v>6.863882597496719</v>
      </c>
      <c r="M46">
        <f t="shared" si="2"/>
        <v>41.94418803556421</v>
      </c>
      <c r="N46">
        <f t="shared" si="3"/>
        <v>247.60599999999999</v>
      </c>
      <c r="O46">
        <f t="shared" si="4"/>
        <v>76.953038869553623</v>
      </c>
      <c r="P46">
        <f t="shared" si="5"/>
        <v>7.6348980677292317</v>
      </c>
      <c r="Q46">
        <f t="shared" si="6"/>
        <v>24.566236742940596</v>
      </c>
      <c r="R46">
        <f t="shared" si="7"/>
        <v>0.43200729226276613</v>
      </c>
      <c r="S46">
        <f t="shared" si="8"/>
        <v>2.9152966049744897</v>
      </c>
      <c r="T46">
        <f t="shared" si="9"/>
        <v>0.39933488031932329</v>
      </c>
      <c r="U46">
        <f t="shared" si="10"/>
        <v>0.25231355682149176</v>
      </c>
      <c r="V46">
        <f t="shared" si="11"/>
        <v>344.4063999868012</v>
      </c>
      <c r="W46">
        <f t="shared" si="12"/>
        <v>30.545619225227295</v>
      </c>
      <c r="X46">
        <f t="shared" si="13"/>
        <v>30.0288</v>
      </c>
      <c r="Y46">
        <f t="shared" si="14"/>
        <v>4.2675026970423975</v>
      </c>
      <c r="Z46">
        <f t="shared" si="15"/>
        <v>60.481135407907146</v>
      </c>
      <c r="AA46">
        <f t="shared" si="16"/>
        <v>2.62137023177511</v>
      </c>
      <c r="AB46">
        <f t="shared" si="17"/>
        <v>4.3341948098289151</v>
      </c>
      <c r="AC46">
        <f t="shared" si="18"/>
        <v>1.6461324652672875</v>
      </c>
      <c r="AD46">
        <f t="shared" si="19"/>
        <v>-302.69722254960527</v>
      </c>
      <c r="AE46">
        <f t="shared" si="20"/>
        <v>42.482907894363912</v>
      </c>
      <c r="AF46">
        <f t="shared" si="21"/>
        <v>3.245453970931123</v>
      </c>
      <c r="AG46">
        <f t="shared" si="22"/>
        <v>87.437539302490961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51876.629010961369</v>
      </c>
      <c r="AM46" t="s">
        <v>414</v>
      </c>
      <c r="AN46">
        <v>10111.299999999999</v>
      </c>
      <c r="AO46">
        <v>608.58839999999998</v>
      </c>
      <c r="AP46">
        <v>2150.11</v>
      </c>
      <c r="AQ46">
        <f t="shared" si="26"/>
        <v>0.71695010952927984</v>
      </c>
      <c r="AR46">
        <v>-1.1786277417053079</v>
      </c>
      <c r="AS46" t="s">
        <v>569</v>
      </c>
      <c r="AT46">
        <v>8096.94</v>
      </c>
      <c r="AU46">
        <v>624.17673076923074</v>
      </c>
      <c r="AV46">
        <v>915.29345282470319</v>
      </c>
      <c r="AW46">
        <f t="shared" si="27"/>
        <v>0.31805834637738528</v>
      </c>
      <c r="AX46">
        <v>0.5</v>
      </c>
      <c r="AY46">
        <f t="shared" si="28"/>
        <v>1513.3223999934007</v>
      </c>
      <c r="AZ46">
        <f t="shared" si="29"/>
        <v>41.94418803556421</v>
      </c>
      <c r="BA46">
        <f t="shared" si="30"/>
        <v>240.66241003887853</v>
      </c>
      <c r="BB46">
        <f t="shared" si="31"/>
        <v>2.8495458586655139E-2</v>
      </c>
      <c r="BC46">
        <f t="shared" si="32"/>
        <v>1.349093608573849</v>
      </c>
      <c r="BD46">
        <f t="shared" si="33"/>
        <v>440.41223314133555</v>
      </c>
      <c r="BE46" t="s">
        <v>570</v>
      </c>
      <c r="BF46">
        <v>493.98</v>
      </c>
      <c r="BG46">
        <f t="shared" si="34"/>
        <v>493.98</v>
      </c>
      <c r="BH46">
        <f t="shared" si="35"/>
        <v>0.46030423524223885</v>
      </c>
      <c r="BI46">
        <f t="shared" si="36"/>
        <v>0.69097419060244925</v>
      </c>
      <c r="BJ46">
        <f t="shared" si="37"/>
        <v>0.74560363448237565</v>
      </c>
      <c r="BK46">
        <f t="shared" si="38"/>
        <v>0.94917484852086786</v>
      </c>
      <c r="BL46">
        <f t="shared" si="39"/>
        <v>0.80103746011427723</v>
      </c>
      <c r="BM46">
        <f t="shared" si="40"/>
        <v>0.54684420909627396</v>
      </c>
      <c r="BN46">
        <f t="shared" si="41"/>
        <v>0.45315579090372604</v>
      </c>
      <c r="BO46">
        <v>7033</v>
      </c>
      <c r="BP46">
        <v>290.00000000000011</v>
      </c>
      <c r="BQ46">
        <v>819.28</v>
      </c>
      <c r="BR46">
        <v>295</v>
      </c>
      <c r="BS46">
        <v>8096.94</v>
      </c>
      <c r="BT46">
        <v>821.03</v>
      </c>
      <c r="BU46">
        <v>-1.75</v>
      </c>
      <c r="BV46">
        <v>300.00000000000011</v>
      </c>
      <c r="BW46">
        <v>19.2</v>
      </c>
      <c r="BX46">
        <v>915.29345282470319</v>
      </c>
      <c r="BY46">
        <v>2.418825126021368</v>
      </c>
      <c r="BZ46">
        <v>-76.325694598513763</v>
      </c>
      <c r="CA46">
        <v>1.799765304977831</v>
      </c>
      <c r="CB46">
        <v>0.98467011110995017</v>
      </c>
      <c r="CC46">
        <v>-4.1714880978865436E-3</v>
      </c>
      <c r="CD46">
        <v>289.99999999999989</v>
      </c>
      <c r="CE46">
        <v>818.28</v>
      </c>
      <c r="CF46">
        <v>725</v>
      </c>
      <c r="CG46">
        <v>8090.69</v>
      </c>
      <c r="CH46">
        <v>820.96</v>
      </c>
      <c r="CI46">
        <v>-2.68</v>
      </c>
      <c r="CW46">
        <f t="shared" si="42"/>
        <v>1800.16</v>
      </c>
      <c r="CX46">
        <f t="shared" si="43"/>
        <v>1513.3223999934007</v>
      </c>
      <c r="CY46">
        <f t="shared" si="44"/>
        <v>0.84065994133488176</v>
      </c>
      <c r="CZ46">
        <f t="shared" si="45"/>
        <v>0.19131988266976335</v>
      </c>
      <c r="DA46">
        <v>6</v>
      </c>
      <c r="DB46">
        <v>0.5</v>
      </c>
      <c r="DC46" t="s">
        <v>417</v>
      </c>
      <c r="DD46">
        <v>2</v>
      </c>
      <c r="DE46">
        <v>1691168451.5</v>
      </c>
      <c r="DF46">
        <v>247.60599999999999</v>
      </c>
      <c r="DG46">
        <v>299.94099999999997</v>
      </c>
      <c r="DH46">
        <v>26.421099999999999</v>
      </c>
      <c r="DI46">
        <v>18.407800000000002</v>
      </c>
      <c r="DJ46">
        <v>245.33</v>
      </c>
      <c r="DK46">
        <v>26.287199999999999</v>
      </c>
      <c r="DL46">
        <v>500.358</v>
      </c>
      <c r="DM46">
        <v>99.115399999999994</v>
      </c>
      <c r="DN46">
        <v>9.9630099999999999E-2</v>
      </c>
      <c r="DO46">
        <v>30.299099999999999</v>
      </c>
      <c r="DP46">
        <v>30.0288</v>
      </c>
      <c r="DQ46">
        <v>999.9</v>
      </c>
      <c r="DR46">
        <v>0</v>
      </c>
      <c r="DS46">
        <v>0</v>
      </c>
      <c r="DT46">
        <v>10007.5</v>
      </c>
      <c r="DU46">
        <v>0</v>
      </c>
      <c r="DV46">
        <v>1530.14</v>
      </c>
      <c r="DW46">
        <v>-52.335299999999997</v>
      </c>
      <c r="DX46">
        <v>254.32599999999999</v>
      </c>
      <c r="DY46">
        <v>305.56599999999997</v>
      </c>
      <c r="DZ46">
        <v>8.0132999999999992</v>
      </c>
      <c r="EA46">
        <v>299.94099999999997</v>
      </c>
      <c r="EB46">
        <v>18.407800000000002</v>
      </c>
      <c r="EC46">
        <v>2.6187399999999998</v>
      </c>
      <c r="ED46">
        <v>1.8245</v>
      </c>
      <c r="EE46">
        <v>21.783899999999999</v>
      </c>
      <c r="EF46">
        <v>15.9983</v>
      </c>
      <c r="EG46">
        <v>1800.16</v>
      </c>
      <c r="EH46">
        <v>0.97800200000000004</v>
      </c>
      <c r="EI46">
        <v>2.1998E-2</v>
      </c>
      <c r="EJ46">
        <v>0</v>
      </c>
      <c r="EK46">
        <v>622.84</v>
      </c>
      <c r="EL46">
        <v>0.10001</v>
      </c>
      <c r="EM46">
        <v>16008</v>
      </c>
      <c r="EN46">
        <v>16355</v>
      </c>
      <c r="EO46">
        <v>47.125</v>
      </c>
      <c r="EP46">
        <v>49.561999999999998</v>
      </c>
      <c r="EQ46">
        <v>48.561999999999998</v>
      </c>
      <c r="ER46">
        <v>48.375</v>
      </c>
      <c r="ES46">
        <v>48.686999999999998</v>
      </c>
      <c r="ET46">
        <v>1760.46</v>
      </c>
      <c r="EU46">
        <v>39.6</v>
      </c>
      <c r="EV46">
        <v>0</v>
      </c>
      <c r="EW46">
        <v>123.6000001430511</v>
      </c>
      <c r="EX46">
        <v>0</v>
      </c>
      <c r="EY46">
        <v>624.17673076923074</v>
      </c>
      <c r="EZ46">
        <v>-8.6158973709379207</v>
      </c>
      <c r="FA46">
        <v>-2448.8478650216111</v>
      </c>
      <c r="FB46">
        <v>16179.6</v>
      </c>
      <c r="FC46">
        <v>15</v>
      </c>
      <c r="FD46">
        <v>1691168422.5</v>
      </c>
      <c r="FE46" t="s">
        <v>571</v>
      </c>
      <c r="FF46">
        <v>1691168410.5</v>
      </c>
      <c r="FG46">
        <v>1691168422.5</v>
      </c>
      <c r="FH46">
        <v>33</v>
      </c>
      <c r="FI46">
        <v>0.108</v>
      </c>
      <c r="FJ46">
        <v>6.0000000000000001E-3</v>
      </c>
      <c r="FK46">
        <v>2.4060000000000001</v>
      </c>
      <c r="FL46">
        <v>8.9999999999999993E-3</v>
      </c>
      <c r="FM46">
        <v>300</v>
      </c>
      <c r="FN46">
        <v>19</v>
      </c>
      <c r="FO46">
        <v>0.12</v>
      </c>
      <c r="FP46">
        <v>0.03</v>
      </c>
      <c r="FQ46">
        <v>41.972583165579152</v>
      </c>
      <c r="FR46">
        <v>8.5582289859328115E-2</v>
      </c>
      <c r="FS46">
        <v>7.0906318739404686E-2</v>
      </c>
      <c r="FT46">
        <v>1</v>
      </c>
      <c r="FU46">
        <v>0.44082403944947812</v>
      </c>
      <c r="FV46">
        <v>-1.209954439568022E-2</v>
      </c>
      <c r="FW46">
        <v>2.769711732454808E-3</v>
      </c>
      <c r="FX46">
        <v>1</v>
      </c>
      <c r="FY46">
        <v>2</v>
      </c>
      <c r="FZ46">
        <v>2</v>
      </c>
      <c r="GA46" t="s">
        <v>419</v>
      </c>
      <c r="GB46">
        <v>2.88652</v>
      </c>
      <c r="GC46">
        <v>2.8209</v>
      </c>
      <c r="GD46">
        <v>5.8294100000000001E-2</v>
      </c>
      <c r="GE46">
        <v>6.9360199999999997E-2</v>
      </c>
      <c r="GF46">
        <v>0.122197</v>
      </c>
      <c r="GG46">
        <v>9.5503900000000003E-2</v>
      </c>
      <c r="GH46">
        <v>28931.4</v>
      </c>
      <c r="GI46">
        <v>26693.5</v>
      </c>
      <c r="GJ46">
        <v>28282.3</v>
      </c>
      <c r="GK46">
        <v>26938.400000000001</v>
      </c>
      <c r="GL46">
        <v>35035.800000000003</v>
      </c>
      <c r="GM46">
        <v>34028.400000000001</v>
      </c>
      <c r="GN46">
        <v>41614.699999999997</v>
      </c>
      <c r="GO46">
        <v>38977.1</v>
      </c>
      <c r="GP46">
        <v>2.0076999999999998</v>
      </c>
      <c r="GQ46">
        <v>1.6846000000000001</v>
      </c>
      <c r="GR46">
        <v>-3.0904999999999998E-2</v>
      </c>
      <c r="GS46">
        <v>0</v>
      </c>
      <c r="GT46">
        <v>30.531500000000001</v>
      </c>
      <c r="GU46">
        <v>999.9</v>
      </c>
      <c r="GV46">
        <v>48.2</v>
      </c>
      <c r="GW46">
        <v>43.3</v>
      </c>
      <c r="GX46">
        <v>42.9146</v>
      </c>
      <c r="GY46">
        <v>62.458399999999997</v>
      </c>
      <c r="GZ46">
        <v>32.3277</v>
      </c>
      <c r="HA46">
        <v>1</v>
      </c>
      <c r="HB46">
        <v>0.92131099999999999</v>
      </c>
      <c r="HC46">
        <v>4.5422500000000001</v>
      </c>
      <c r="HD46">
        <v>20.237500000000001</v>
      </c>
      <c r="HE46">
        <v>5.2095000000000002</v>
      </c>
      <c r="HF46">
        <v>11.997999999999999</v>
      </c>
      <c r="HG46">
        <v>4.9885999999999999</v>
      </c>
      <c r="HH46">
        <v>3.2909999999999999</v>
      </c>
      <c r="HI46">
        <v>9999</v>
      </c>
      <c r="HJ46">
        <v>9999</v>
      </c>
      <c r="HK46">
        <v>9999</v>
      </c>
      <c r="HL46">
        <v>999.9</v>
      </c>
      <c r="HM46">
        <v>1.86646</v>
      </c>
      <c r="HN46">
        <v>1.86646</v>
      </c>
      <c r="HO46">
        <v>1.8629500000000001</v>
      </c>
      <c r="HP46">
        <v>1.8641700000000001</v>
      </c>
      <c r="HQ46">
        <v>1.86371</v>
      </c>
      <c r="HR46">
        <v>1.8595900000000001</v>
      </c>
      <c r="HS46">
        <v>1.8627899999999999</v>
      </c>
      <c r="HT46">
        <v>1.86557</v>
      </c>
      <c r="HU46">
        <v>5</v>
      </c>
      <c r="HV46">
        <v>0</v>
      </c>
      <c r="HW46">
        <v>0</v>
      </c>
      <c r="HX46">
        <v>0</v>
      </c>
      <c r="HY46" t="s">
        <v>420</v>
      </c>
      <c r="HZ46" t="s">
        <v>421</v>
      </c>
      <c r="IA46" t="s">
        <v>422</v>
      </c>
      <c r="IB46" t="s">
        <v>422</v>
      </c>
      <c r="IC46" t="s">
        <v>422</v>
      </c>
      <c r="ID46" t="s">
        <v>422</v>
      </c>
      <c r="IE46">
        <v>0</v>
      </c>
      <c r="IF46">
        <v>100</v>
      </c>
      <c r="IG46">
        <v>100</v>
      </c>
      <c r="IH46">
        <v>2.2759999999999998</v>
      </c>
      <c r="II46">
        <v>0.13389999999999999</v>
      </c>
      <c r="IJ46">
        <v>1.5290770607817801</v>
      </c>
      <c r="IK46">
        <v>3.5576830062418229E-3</v>
      </c>
      <c r="IL46">
        <v>-2.2646740813029151E-6</v>
      </c>
      <c r="IM46">
        <v>6.9609298295988525E-10</v>
      </c>
      <c r="IN46">
        <v>-0.13457003312545049</v>
      </c>
      <c r="IO46">
        <v>-9.4437069492282083E-4</v>
      </c>
      <c r="IP46">
        <v>5.2900373165634467E-4</v>
      </c>
      <c r="IQ46">
        <v>-3.977656803091445E-6</v>
      </c>
      <c r="IR46">
        <v>2</v>
      </c>
      <c r="IS46">
        <v>1759</v>
      </c>
      <c r="IT46">
        <v>2</v>
      </c>
      <c r="IU46">
        <v>42</v>
      </c>
      <c r="IV46">
        <v>0.7</v>
      </c>
      <c r="IW46">
        <v>0.5</v>
      </c>
      <c r="IX46">
        <v>0.75805699999999998</v>
      </c>
      <c r="IY46">
        <v>2.4218799999999998</v>
      </c>
      <c r="IZ46">
        <v>1.54297</v>
      </c>
      <c r="JA46">
        <v>2.3034699999999999</v>
      </c>
      <c r="JB46">
        <v>1.5466299999999999</v>
      </c>
      <c r="JC46">
        <v>2.4243199999999998</v>
      </c>
      <c r="JD46">
        <v>47.271999999999998</v>
      </c>
      <c r="JE46">
        <v>15.5768</v>
      </c>
      <c r="JF46">
        <v>18</v>
      </c>
      <c r="JG46">
        <v>531.54499999999996</v>
      </c>
      <c r="JH46">
        <v>423.90899999999999</v>
      </c>
      <c r="JI46">
        <v>24.976900000000001</v>
      </c>
      <c r="JJ46">
        <v>38.199399999999997</v>
      </c>
      <c r="JK46">
        <v>30.0031</v>
      </c>
      <c r="JL46">
        <v>38.586199999999998</v>
      </c>
      <c r="JM46">
        <v>38.572499999999998</v>
      </c>
      <c r="JN46">
        <v>15.2841</v>
      </c>
      <c r="JO46">
        <v>61.994900000000001</v>
      </c>
      <c r="JP46">
        <v>0</v>
      </c>
      <c r="JQ46">
        <v>24.914999999999999</v>
      </c>
      <c r="JR46">
        <v>300</v>
      </c>
      <c r="JS46">
        <v>18.361699999999999</v>
      </c>
      <c r="JT46">
        <v>98.594499999999996</v>
      </c>
      <c r="JU46">
        <v>96.446899999999999</v>
      </c>
    </row>
    <row r="47" spans="1:281" x14ac:dyDescent="0.25">
      <c r="A47">
        <v>31</v>
      </c>
      <c r="B47">
        <v>1691168564</v>
      </c>
      <c r="C47">
        <v>7652.5</v>
      </c>
      <c r="D47" t="s">
        <v>572</v>
      </c>
      <c r="E47" t="s">
        <v>573</v>
      </c>
      <c r="F47" t="s">
        <v>413</v>
      </c>
      <c r="G47" t="s">
        <v>562</v>
      </c>
      <c r="H47" t="s">
        <v>563</v>
      </c>
      <c r="I47" t="s">
        <v>31</v>
      </c>
      <c r="J47">
        <v>1691168564</v>
      </c>
      <c r="K47">
        <f t="shared" si="0"/>
        <v>7.0882563829484171E-3</v>
      </c>
      <c r="L47">
        <f t="shared" si="1"/>
        <v>7.0882563829484173</v>
      </c>
      <c r="M47">
        <f t="shared" si="2"/>
        <v>29.003102779088305</v>
      </c>
      <c r="N47">
        <f t="shared" si="3"/>
        <v>163.79499999999999</v>
      </c>
      <c r="O47">
        <f t="shared" si="4"/>
        <v>50.815387832628424</v>
      </c>
      <c r="P47">
        <f t="shared" si="5"/>
        <v>5.0419363748062889</v>
      </c>
      <c r="Q47">
        <f t="shared" si="6"/>
        <v>16.2518481848745</v>
      </c>
      <c r="R47">
        <f t="shared" si="7"/>
        <v>0.45242883597914418</v>
      </c>
      <c r="S47">
        <f t="shared" si="8"/>
        <v>2.9175799641902871</v>
      </c>
      <c r="T47">
        <f t="shared" si="9"/>
        <v>0.41675675708159893</v>
      </c>
      <c r="U47">
        <f t="shared" si="10"/>
        <v>0.26344319062359889</v>
      </c>
      <c r="V47">
        <f t="shared" si="11"/>
        <v>344.3436999867987</v>
      </c>
      <c r="W47">
        <f t="shared" si="12"/>
        <v>30.462232381810228</v>
      </c>
      <c r="X47">
        <f t="shared" si="13"/>
        <v>29.987200000000001</v>
      </c>
      <c r="Y47">
        <f t="shared" si="14"/>
        <v>4.2573184014574643</v>
      </c>
      <c r="Z47">
        <f t="shared" si="15"/>
        <v>60.726251352429415</v>
      </c>
      <c r="AA47">
        <f t="shared" si="16"/>
        <v>2.6283156242745598</v>
      </c>
      <c r="AB47">
        <f t="shared" si="17"/>
        <v>4.3281374458978705</v>
      </c>
      <c r="AC47">
        <f t="shared" si="18"/>
        <v>1.6290027771829045</v>
      </c>
      <c r="AD47">
        <f t="shared" si="19"/>
        <v>-312.59210648802519</v>
      </c>
      <c r="AE47">
        <f t="shared" si="20"/>
        <v>45.22161417095986</v>
      </c>
      <c r="AF47">
        <f t="shared" si="21"/>
        <v>3.4508448955170521</v>
      </c>
      <c r="AG47">
        <f t="shared" si="22"/>
        <v>80.424052565250406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51945.868236332004</v>
      </c>
      <c r="AM47" t="s">
        <v>414</v>
      </c>
      <c r="AN47">
        <v>10111.299999999999</v>
      </c>
      <c r="AO47">
        <v>608.58839999999998</v>
      </c>
      <c r="AP47">
        <v>2150.11</v>
      </c>
      <c r="AQ47">
        <f t="shared" si="26"/>
        <v>0.71695010952927984</v>
      </c>
      <c r="AR47">
        <v>-1.1786277417053079</v>
      </c>
      <c r="AS47" t="s">
        <v>574</v>
      </c>
      <c r="AT47">
        <v>8096.23</v>
      </c>
      <c r="AU47">
        <v>617.90826923076918</v>
      </c>
      <c r="AV47">
        <v>817.24125853587407</v>
      </c>
      <c r="AW47">
        <f t="shared" si="27"/>
        <v>0.24390960101821002</v>
      </c>
      <c r="AX47">
        <v>0.5</v>
      </c>
      <c r="AY47">
        <f t="shared" si="28"/>
        <v>1513.0451999933994</v>
      </c>
      <c r="AZ47">
        <f t="shared" si="29"/>
        <v>29.003102779088305</v>
      </c>
      <c r="BA47">
        <f t="shared" si="30"/>
        <v>184.52312552645392</v>
      </c>
      <c r="BB47">
        <f t="shared" si="31"/>
        <v>1.9947672760156326E-2</v>
      </c>
      <c r="BC47">
        <f t="shared" si="32"/>
        <v>1.6309366757278294</v>
      </c>
      <c r="BD47">
        <f t="shared" si="33"/>
        <v>416.37467447552712</v>
      </c>
      <c r="BE47" t="s">
        <v>575</v>
      </c>
      <c r="BF47">
        <v>483.59</v>
      </c>
      <c r="BG47">
        <f t="shared" si="34"/>
        <v>483.59</v>
      </c>
      <c r="BH47">
        <f t="shared" si="35"/>
        <v>0.40826531339549099</v>
      </c>
      <c r="BI47">
        <f t="shared" si="36"/>
        <v>0.59742915456041257</v>
      </c>
      <c r="BJ47">
        <f t="shared" si="37"/>
        <v>0.79979162654161118</v>
      </c>
      <c r="BK47">
        <f t="shared" si="38"/>
        <v>0.95533313420114574</v>
      </c>
      <c r="BL47">
        <f t="shared" si="39"/>
        <v>0.86464486872199908</v>
      </c>
      <c r="BM47">
        <f t="shared" si="40"/>
        <v>0.46756254810043801</v>
      </c>
      <c r="BN47">
        <f t="shared" si="41"/>
        <v>0.53243745189956204</v>
      </c>
      <c r="BO47">
        <v>7035</v>
      </c>
      <c r="BP47">
        <v>290.00000000000011</v>
      </c>
      <c r="BQ47">
        <v>762.98</v>
      </c>
      <c r="BR47">
        <v>275</v>
      </c>
      <c r="BS47">
        <v>8096.23</v>
      </c>
      <c r="BT47">
        <v>764.07</v>
      </c>
      <c r="BU47">
        <v>-1.0900000000000001</v>
      </c>
      <c r="BV47">
        <v>300.00000000000011</v>
      </c>
      <c r="BW47">
        <v>19.2</v>
      </c>
      <c r="BX47">
        <v>817.24125853587407</v>
      </c>
      <c r="BY47">
        <v>2.7247375025219132</v>
      </c>
      <c r="BZ47">
        <v>-43.045464423326273</v>
      </c>
      <c r="CA47">
        <v>2.027138653745379</v>
      </c>
      <c r="CB47">
        <v>0.94153364879241219</v>
      </c>
      <c r="CC47">
        <v>-4.1707430478309304E-3</v>
      </c>
      <c r="CD47">
        <v>289.99999999999989</v>
      </c>
      <c r="CE47">
        <v>764.67</v>
      </c>
      <c r="CF47">
        <v>715</v>
      </c>
      <c r="CG47">
        <v>8089.91</v>
      </c>
      <c r="CH47">
        <v>764.03</v>
      </c>
      <c r="CI47">
        <v>0.64</v>
      </c>
      <c r="CW47">
        <f t="shared" si="42"/>
        <v>1799.83</v>
      </c>
      <c r="CX47">
        <f t="shared" si="43"/>
        <v>1513.0451999933994</v>
      </c>
      <c r="CY47">
        <f t="shared" si="44"/>
        <v>0.84066006233555357</v>
      </c>
      <c r="CZ47">
        <f t="shared" si="45"/>
        <v>0.19132012467110712</v>
      </c>
      <c r="DA47">
        <v>6</v>
      </c>
      <c r="DB47">
        <v>0.5</v>
      </c>
      <c r="DC47" t="s">
        <v>417</v>
      </c>
      <c r="DD47">
        <v>2</v>
      </c>
      <c r="DE47">
        <v>1691168564</v>
      </c>
      <c r="DF47">
        <v>163.79499999999999</v>
      </c>
      <c r="DG47">
        <v>199.98500000000001</v>
      </c>
      <c r="DH47">
        <v>26.489599999999999</v>
      </c>
      <c r="DI47">
        <v>18.210599999999999</v>
      </c>
      <c r="DJ47">
        <v>161.76400000000001</v>
      </c>
      <c r="DK47">
        <v>26.360299999999999</v>
      </c>
      <c r="DL47">
        <v>500.096</v>
      </c>
      <c r="DM47">
        <v>99.120999999999995</v>
      </c>
      <c r="DN47">
        <v>9.9661100000000002E-2</v>
      </c>
      <c r="DO47">
        <v>30.274699999999999</v>
      </c>
      <c r="DP47">
        <v>29.987200000000001</v>
      </c>
      <c r="DQ47">
        <v>999.9</v>
      </c>
      <c r="DR47">
        <v>0</v>
      </c>
      <c r="DS47">
        <v>0</v>
      </c>
      <c r="DT47">
        <v>10020</v>
      </c>
      <c r="DU47">
        <v>0</v>
      </c>
      <c r="DV47">
        <v>1679.2</v>
      </c>
      <c r="DW47">
        <v>-36.1907</v>
      </c>
      <c r="DX47">
        <v>168.251</v>
      </c>
      <c r="DY47">
        <v>203.69499999999999</v>
      </c>
      <c r="DZ47">
        <v>8.2789699999999993</v>
      </c>
      <c r="EA47">
        <v>199.98500000000001</v>
      </c>
      <c r="EB47">
        <v>18.210599999999999</v>
      </c>
      <c r="EC47">
        <v>2.62568</v>
      </c>
      <c r="ED47">
        <v>1.8050600000000001</v>
      </c>
      <c r="EE47">
        <v>21.827200000000001</v>
      </c>
      <c r="EF47">
        <v>15.8307</v>
      </c>
      <c r="EG47">
        <v>1799.83</v>
      </c>
      <c r="EH47">
        <v>0.97799899999999995</v>
      </c>
      <c r="EI47">
        <v>2.2001E-2</v>
      </c>
      <c r="EJ47">
        <v>0</v>
      </c>
      <c r="EK47">
        <v>618.30999999999995</v>
      </c>
      <c r="EL47">
        <v>0.10001</v>
      </c>
      <c r="EM47">
        <v>16227</v>
      </c>
      <c r="EN47">
        <v>16352</v>
      </c>
      <c r="EO47">
        <v>47.186999999999998</v>
      </c>
      <c r="EP47">
        <v>49.686999999999998</v>
      </c>
      <c r="EQ47">
        <v>48.686999999999998</v>
      </c>
      <c r="ER47">
        <v>48.561999999999998</v>
      </c>
      <c r="ES47">
        <v>48.811999999999998</v>
      </c>
      <c r="ET47">
        <v>1760.13</v>
      </c>
      <c r="EU47">
        <v>39.6</v>
      </c>
      <c r="EV47">
        <v>0</v>
      </c>
      <c r="EW47">
        <v>110.4000000953674</v>
      </c>
      <c r="EX47">
        <v>0</v>
      </c>
      <c r="EY47">
        <v>617.90826923076918</v>
      </c>
      <c r="EZ47">
        <v>-11.74307686693359</v>
      </c>
      <c r="FA47">
        <v>-221.51111070916829</v>
      </c>
      <c r="FB47">
        <v>16238.776923076921</v>
      </c>
      <c r="FC47">
        <v>15</v>
      </c>
      <c r="FD47">
        <v>1691168536</v>
      </c>
      <c r="FE47" t="s">
        <v>576</v>
      </c>
      <c r="FF47">
        <v>1691168529.5</v>
      </c>
      <c r="FG47">
        <v>1691168536</v>
      </c>
      <c r="FH47">
        <v>34</v>
      </c>
      <c r="FI47">
        <v>-1.7999999999999999E-2</v>
      </c>
      <c r="FJ47">
        <v>-6.0000000000000001E-3</v>
      </c>
      <c r="FK47">
        <v>2.1320000000000001</v>
      </c>
      <c r="FL47">
        <v>-4.0000000000000001E-3</v>
      </c>
      <c r="FM47">
        <v>200</v>
      </c>
      <c r="FN47">
        <v>18</v>
      </c>
      <c r="FO47">
        <v>0.1</v>
      </c>
      <c r="FP47">
        <v>0.03</v>
      </c>
      <c r="FQ47">
        <v>29.05775459694101</v>
      </c>
      <c r="FR47">
        <v>-0.41393091780953728</v>
      </c>
      <c r="FS47">
        <v>0.117423403812688</v>
      </c>
      <c r="FT47">
        <v>1</v>
      </c>
      <c r="FU47">
        <v>0.45292465501954837</v>
      </c>
      <c r="FV47">
        <v>-1.0631603976133429E-2</v>
      </c>
      <c r="FW47">
        <v>2.3047220635150131E-3</v>
      </c>
      <c r="FX47">
        <v>1</v>
      </c>
      <c r="FY47">
        <v>2</v>
      </c>
      <c r="FZ47">
        <v>2</v>
      </c>
      <c r="GA47" t="s">
        <v>419</v>
      </c>
      <c r="GB47">
        <v>2.8855200000000001</v>
      </c>
      <c r="GC47">
        <v>2.8210299999999999</v>
      </c>
      <c r="GD47">
        <v>4.0289100000000001E-2</v>
      </c>
      <c r="GE47">
        <v>4.9064099999999999E-2</v>
      </c>
      <c r="GF47">
        <v>0.122402</v>
      </c>
      <c r="GG47">
        <v>9.4752699999999995E-2</v>
      </c>
      <c r="GH47">
        <v>29473.3</v>
      </c>
      <c r="GI47">
        <v>27263.599999999999</v>
      </c>
      <c r="GJ47">
        <v>28273</v>
      </c>
      <c r="GK47">
        <v>26928</v>
      </c>
      <c r="GL47">
        <v>35016.300000000003</v>
      </c>
      <c r="GM47">
        <v>34044.400000000001</v>
      </c>
      <c r="GN47">
        <v>41600.699999999997</v>
      </c>
      <c r="GO47">
        <v>38963.1</v>
      </c>
      <c r="GP47">
        <v>2.0053999999999998</v>
      </c>
      <c r="GQ47">
        <v>1.6802999999999999</v>
      </c>
      <c r="GR47">
        <v>-3.65674E-2</v>
      </c>
      <c r="GS47">
        <v>0</v>
      </c>
      <c r="GT47">
        <v>30.582000000000001</v>
      </c>
      <c r="GU47">
        <v>999.9</v>
      </c>
      <c r="GV47">
        <v>47.8</v>
      </c>
      <c r="GW47">
        <v>43.7</v>
      </c>
      <c r="GX47">
        <v>43.451799999999999</v>
      </c>
      <c r="GY47">
        <v>62.498399999999997</v>
      </c>
      <c r="GZ47">
        <v>32.343800000000002</v>
      </c>
      <c r="HA47">
        <v>1</v>
      </c>
      <c r="HB47">
        <v>0.94243900000000003</v>
      </c>
      <c r="HC47">
        <v>4.9178300000000004</v>
      </c>
      <c r="HD47">
        <v>20.226400000000002</v>
      </c>
      <c r="HE47">
        <v>5.2095000000000002</v>
      </c>
      <c r="HF47">
        <v>11.997999999999999</v>
      </c>
      <c r="HG47">
        <v>4.9875999999999996</v>
      </c>
      <c r="HH47">
        <v>3.2909999999999999</v>
      </c>
      <c r="HI47">
        <v>9999</v>
      </c>
      <c r="HJ47">
        <v>9999</v>
      </c>
      <c r="HK47">
        <v>9999</v>
      </c>
      <c r="HL47">
        <v>999.9</v>
      </c>
      <c r="HM47">
        <v>1.86646</v>
      </c>
      <c r="HN47">
        <v>1.86653</v>
      </c>
      <c r="HO47">
        <v>1.8631</v>
      </c>
      <c r="HP47">
        <v>1.8641700000000001</v>
      </c>
      <c r="HQ47">
        <v>1.8638600000000001</v>
      </c>
      <c r="HR47">
        <v>1.8595900000000001</v>
      </c>
      <c r="HS47">
        <v>1.8627899999999999</v>
      </c>
      <c r="HT47">
        <v>1.8656900000000001</v>
      </c>
      <c r="HU47">
        <v>5</v>
      </c>
      <c r="HV47">
        <v>0</v>
      </c>
      <c r="HW47">
        <v>0</v>
      </c>
      <c r="HX47">
        <v>0</v>
      </c>
      <c r="HY47" t="s">
        <v>420</v>
      </c>
      <c r="HZ47" t="s">
        <v>421</v>
      </c>
      <c r="IA47" t="s">
        <v>422</v>
      </c>
      <c r="IB47" t="s">
        <v>422</v>
      </c>
      <c r="IC47" t="s">
        <v>422</v>
      </c>
      <c r="ID47" t="s">
        <v>422</v>
      </c>
      <c r="IE47">
        <v>0</v>
      </c>
      <c r="IF47">
        <v>100</v>
      </c>
      <c r="IG47">
        <v>100</v>
      </c>
      <c r="IH47">
        <v>2.0310000000000001</v>
      </c>
      <c r="II47">
        <v>0.1293</v>
      </c>
      <c r="IJ47">
        <v>1.5111618759989001</v>
      </c>
      <c r="IK47">
        <v>3.5576830062418229E-3</v>
      </c>
      <c r="IL47">
        <v>-2.2646740813029151E-6</v>
      </c>
      <c r="IM47">
        <v>6.9609298295988525E-10</v>
      </c>
      <c r="IN47">
        <v>-0.14047728277657781</v>
      </c>
      <c r="IO47">
        <v>-9.4437069492282083E-4</v>
      </c>
      <c r="IP47">
        <v>5.2900373165634467E-4</v>
      </c>
      <c r="IQ47">
        <v>-3.977656803091445E-6</v>
      </c>
      <c r="IR47">
        <v>2</v>
      </c>
      <c r="IS47">
        <v>1759</v>
      </c>
      <c r="IT47">
        <v>2</v>
      </c>
      <c r="IU47">
        <v>42</v>
      </c>
      <c r="IV47">
        <v>0.6</v>
      </c>
      <c r="IW47">
        <v>0.5</v>
      </c>
      <c r="IX47">
        <v>0.539551</v>
      </c>
      <c r="IY47">
        <v>2.4328599999999998</v>
      </c>
      <c r="IZ47">
        <v>1.54297</v>
      </c>
      <c r="JA47">
        <v>2.3034699999999999</v>
      </c>
      <c r="JB47">
        <v>1.5466299999999999</v>
      </c>
      <c r="JC47">
        <v>2.4243199999999998</v>
      </c>
      <c r="JD47">
        <v>47.843699999999998</v>
      </c>
      <c r="JE47">
        <v>15.532999999999999</v>
      </c>
      <c r="JF47">
        <v>18</v>
      </c>
      <c r="JG47">
        <v>531.10299999999995</v>
      </c>
      <c r="JH47">
        <v>421.95600000000002</v>
      </c>
      <c r="JI47">
        <v>24.467500000000001</v>
      </c>
      <c r="JJ47">
        <v>38.379300000000001</v>
      </c>
      <c r="JK47">
        <v>30.000299999999999</v>
      </c>
      <c r="JL47">
        <v>38.7226</v>
      </c>
      <c r="JM47">
        <v>38.707000000000001</v>
      </c>
      <c r="JN47">
        <v>10.9132</v>
      </c>
      <c r="JO47">
        <v>62.506900000000002</v>
      </c>
      <c r="JP47">
        <v>0</v>
      </c>
      <c r="JQ47">
        <v>24.831600000000002</v>
      </c>
      <c r="JR47">
        <v>200</v>
      </c>
      <c r="JS47">
        <v>18.168900000000001</v>
      </c>
      <c r="JT47">
        <v>98.561599999999999</v>
      </c>
      <c r="JU47">
        <v>96.411299999999997</v>
      </c>
    </row>
    <row r="48" spans="1:281" x14ac:dyDescent="0.25">
      <c r="A48">
        <v>32</v>
      </c>
      <c r="B48">
        <v>1691168680.5</v>
      </c>
      <c r="C48">
        <v>7769</v>
      </c>
      <c r="D48" t="s">
        <v>577</v>
      </c>
      <c r="E48" t="s">
        <v>578</v>
      </c>
      <c r="F48" t="s">
        <v>413</v>
      </c>
      <c r="G48" t="s">
        <v>562</v>
      </c>
      <c r="H48" t="s">
        <v>563</v>
      </c>
      <c r="I48" t="s">
        <v>31</v>
      </c>
      <c r="J48">
        <v>1691168680.5</v>
      </c>
      <c r="K48">
        <f t="shared" si="0"/>
        <v>7.7104421030637985E-3</v>
      </c>
      <c r="L48">
        <f t="shared" si="1"/>
        <v>7.7104421030637988</v>
      </c>
      <c r="M48">
        <f t="shared" si="2"/>
        <v>17.897631747145276</v>
      </c>
      <c r="N48">
        <f t="shared" si="3"/>
        <v>97.639799999999994</v>
      </c>
      <c r="O48">
        <f t="shared" si="4"/>
        <v>33.726339956472927</v>
      </c>
      <c r="P48">
        <f t="shared" si="5"/>
        <v>3.3465001630681606</v>
      </c>
      <c r="Q48">
        <f t="shared" si="6"/>
        <v>9.6883209694157983</v>
      </c>
      <c r="R48">
        <f t="shared" si="7"/>
        <v>0.49796920817439122</v>
      </c>
      <c r="S48">
        <f t="shared" si="8"/>
        <v>2.9124011008485753</v>
      </c>
      <c r="T48">
        <f t="shared" si="9"/>
        <v>0.45504926675169027</v>
      </c>
      <c r="U48">
        <f t="shared" si="10"/>
        <v>0.28795307346574894</v>
      </c>
      <c r="V48">
        <f t="shared" si="11"/>
        <v>344.34879998680236</v>
      </c>
      <c r="W48">
        <f t="shared" si="12"/>
        <v>30.321746656624764</v>
      </c>
      <c r="X48">
        <f t="shared" si="13"/>
        <v>29.9712</v>
      </c>
      <c r="Y48">
        <f t="shared" si="14"/>
        <v>4.2534070085267306</v>
      </c>
      <c r="Z48">
        <f t="shared" si="15"/>
        <v>60.700440682516543</v>
      </c>
      <c r="AA48">
        <f t="shared" si="16"/>
        <v>2.6304381126857992</v>
      </c>
      <c r="AB48">
        <f t="shared" si="17"/>
        <v>4.3334744906447451</v>
      </c>
      <c r="AC48">
        <f t="shared" si="18"/>
        <v>1.6229688958409314</v>
      </c>
      <c r="AD48">
        <f t="shared" si="19"/>
        <v>-340.03049674511351</v>
      </c>
      <c r="AE48">
        <f t="shared" si="20"/>
        <v>51.029344648408113</v>
      </c>
      <c r="AF48">
        <f t="shared" si="21"/>
        <v>3.9010615122447532</v>
      </c>
      <c r="AG48">
        <f t="shared" si="22"/>
        <v>59.248709402341746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51795.02182232964</v>
      </c>
      <c r="AM48" t="s">
        <v>414</v>
      </c>
      <c r="AN48">
        <v>10111.299999999999</v>
      </c>
      <c r="AO48">
        <v>608.58839999999998</v>
      </c>
      <c r="AP48">
        <v>2150.11</v>
      </c>
      <c r="AQ48">
        <f t="shared" si="26"/>
        <v>0.71695010952927984</v>
      </c>
      <c r="AR48">
        <v>-1.1786277417053079</v>
      </c>
      <c r="AS48" t="s">
        <v>579</v>
      </c>
      <c r="AT48">
        <v>8095.12</v>
      </c>
      <c r="AU48">
        <v>625.70192307692298</v>
      </c>
      <c r="AV48">
        <v>754.72006104623517</v>
      </c>
      <c r="AW48">
        <f t="shared" si="27"/>
        <v>0.17094833518862618</v>
      </c>
      <c r="AX48">
        <v>0.5</v>
      </c>
      <c r="AY48">
        <f t="shared" si="28"/>
        <v>1513.0700999934011</v>
      </c>
      <c r="AZ48">
        <f t="shared" si="29"/>
        <v>17.897631747145276</v>
      </c>
      <c r="BA48">
        <f t="shared" si="30"/>
        <v>129.32840730878002</v>
      </c>
      <c r="BB48">
        <f t="shared" si="31"/>
        <v>1.260765082128963E-2</v>
      </c>
      <c r="BC48">
        <f t="shared" si="32"/>
        <v>1.8488841240279177</v>
      </c>
      <c r="BD48">
        <f t="shared" si="33"/>
        <v>399.51279023596868</v>
      </c>
      <c r="BE48" t="s">
        <v>580</v>
      </c>
      <c r="BF48">
        <v>484.72</v>
      </c>
      <c r="BG48">
        <f t="shared" si="34"/>
        <v>484.72</v>
      </c>
      <c r="BH48">
        <f t="shared" si="35"/>
        <v>0.35774862095482918</v>
      </c>
      <c r="BI48">
        <f t="shared" si="36"/>
        <v>0.47784484740253064</v>
      </c>
      <c r="BJ48">
        <f t="shared" si="37"/>
        <v>0.83787577621684106</v>
      </c>
      <c r="BK48">
        <f t="shared" si="38"/>
        <v>0.88288969717857113</v>
      </c>
      <c r="BL48">
        <f t="shared" si="39"/>
        <v>0.90520297539377004</v>
      </c>
      <c r="BM48">
        <f t="shared" si="40"/>
        <v>0.37017778896051035</v>
      </c>
      <c r="BN48">
        <f t="shared" si="41"/>
        <v>0.62982221103948965</v>
      </c>
      <c r="BO48">
        <v>7037</v>
      </c>
      <c r="BP48">
        <v>290.00000000000011</v>
      </c>
      <c r="BQ48">
        <v>718.97</v>
      </c>
      <c r="BR48">
        <v>275</v>
      </c>
      <c r="BS48">
        <v>8095.12</v>
      </c>
      <c r="BT48">
        <v>719.49</v>
      </c>
      <c r="BU48">
        <v>-0.52</v>
      </c>
      <c r="BV48">
        <v>300.00000000000011</v>
      </c>
      <c r="BW48">
        <v>19.2</v>
      </c>
      <c r="BX48">
        <v>754.72006104623517</v>
      </c>
      <c r="BY48">
        <v>2.4021331615096551</v>
      </c>
      <c r="BZ48">
        <v>-28.520028677705859</v>
      </c>
      <c r="CA48">
        <v>1.7868717504896601</v>
      </c>
      <c r="CB48">
        <v>0.9009723764061992</v>
      </c>
      <c r="CC48">
        <v>-4.1702827586206888E-3</v>
      </c>
      <c r="CD48">
        <v>289.99999999999989</v>
      </c>
      <c r="CE48">
        <v>718.6</v>
      </c>
      <c r="CF48">
        <v>635</v>
      </c>
      <c r="CG48">
        <v>8090.25</v>
      </c>
      <c r="CH48">
        <v>719.47</v>
      </c>
      <c r="CI48">
        <v>-0.87</v>
      </c>
      <c r="CW48">
        <f t="shared" si="42"/>
        <v>1799.86</v>
      </c>
      <c r="CX48">
        <f t="shared" si="43"/>
        <v>1513.0700999934011</v>
      </c>
      <c r="CY48">
        <f t="shared" si="44"/>
        <v>0.8406598846540293</v>
      </c>
      <c r="CZ48">
        <f t="shared" si="45"/>
        <v>0.19131976930805861</v>
      </c>
      <c r="DA48">
        <v>6</v>
      </c>
      <c r="DB48">
        <v>0.5</v>
      </c>
      <c r="DC48" t="s">
        <v>417</v>
      </c>
      <c r="DD48">
        <v>2</v>
      </c>
      <c r="DE48">
        <v>1691168680.5</v>
      </c>
      <c r="DF48">
        <v>97.639799999999994</v>
      </c>
      <c r="DG48">
        <v>120.021</v>
      </c>
      <c r="DH48">
        <v>26.509799999999998</v>
      </c>
      <c r="DI48">
        <v>17.502300000000002</v>
      </c>
      <c r="DJ48">
        <v>95.858699999999999</v>
      </c>
      <c r="DK48">
        <v>26.378499999999999</v>
      </c>
      <c r="DL48">
        <v>499.98599999999999</v>
      </c>
      <c r="DM48">
        <v>99.124799999999993</v>
      </c>
      <c r="DN48">
        <v>0.10032099999999999</v>
      </c>
      <c r="DO48">
        <v>30.296199999999999</v>
      </c>
      <c r="DP48">
        <v>29.9712</v>
      </c>
      <c r="DQ48">
        <v>999.9</v>
      </c>
      <c r="DR48">
        <v>0</v>
      </c>
      <c r="DS48">
        <v>0</v>
      </c>
      <c r="DT48">
        <v>9990</v>
      </c>
      <c r="DU48">
        <v>0</v>
      </c>
      <c r="DV48">
        <v>1710.35</v>
      </c>
      <c r="DW48">
        <v>-22.380800000000001</v>
      </c>
      <c r="DX48">
        <v>100.29900000000001</v>
      </c>
      <c r="DY48">
        <v>122.15900000000001</v>
      </c>
      <c r="DZ48">
        <v>9.0075099999999999</v>
      </c>
      <c r="EA48">
        <v>120.021</v>
      </c>
      <c r="EB48">
        <v>17.502300000000002</v>
      </c>
      <c r="EC48">
        <v>2.62778</v>
      </c>
      <c r="ED48">
        <v>1.73491</v>
      </c>
      <c r="EE48">
        <v>21.840299999999999</v>
      </c>
      <c r="EF48">
        <v>15.212400000000001</v>
      </c>
      <c r="EG48">
        <v>1799.86</v>
      </c>
      <c r="EH48">
        <v>0.97800299999999996</v>
      </c>
      <c r="EI48">
        <v>2.19974E-2</v>
      </c>
      <c r="EJ48">
        <v>0</v>
      </c>
      <c r="EK48">
        <v>624.625</v>
      </c>
      <c r="EL48">
        <v>0.10001</v>
      </c>
      <c r="EM48">
        <v>16474.2</v>
      </c>
      <c r="EN48">
        <v>16352.2</v>
      </c>
      <c r="EO48">
        <v>47.436999999999998</v>
      </c>
      <c r="EP48">
        <v>49.936999999999998</v>
      </c>
      <c r="EQ48">
        <v>48.875</v>
      </c>
      <c r="ER48">
        <v>48.75</v>
      </c>
      <c r="ES48">
        <v>49</v>
      </c>
      <c r="ET48">
        <v>1760.17</v>
      </c>
      <c r="EU48">
        <v>39.590000000000003</v>
      </c>
      <c r="EV48">
        <v>0</v>
      </c>
      <c r="EW48">
        <v>114.5999999046326</v>
      </c>
      <c r="EX48">
        <v>0</v>
      </c>
      <c r="EY48">
        <v>625.70192307692298</v>
      </c>
      <c r="EZ48">
        <v>-1.1319658188742789</v>
      </c>
      <c r="FA48">
        <v>8.4205126700582973</v>
      </c>
      <c r="FB48">
        <v>16442.119230769229</v>
      </c>
      <c r="FC48">
        <v>15</v>
      </c>
      <c r="FD48">
        <v>1691168651</v>
      </c>
      <c r="FE48" t="s">
        <v>581</v>
      </c>
      <c r="FF48">
        <v>1691168634.5</v>
      </c>
      <c r="FG48">
        <v>1691168651</v>
      </c>
      <c r="FH48">
        <v>35</v>
      </c>
      <c r="FI48">
        <v>-5.0999999999999997E-2</v>
      </c>
      <c r="FJ48">
        <v>2E-3</v>
      </c>
      <c r="FK48">
        <v>1.85</v>
      </c>
      <c r="FL48">
        <v>-0.01</v>
      </c>
      <c r="FM48">
        <v>120</v>
      </c>
      <c r="FN48">
        <v>18</v>
      </c>
      <c r="FO48">
        <v>0.24</v>
      </c>
      <c r="FP48">
        <v>0.02</v>
      </c>
      <c r="FQ48">
        <v>17.866795457343439</v>
      </c>
      <c r="FR48">
        <v>0.42114749381221872</v>
      </c>
      <c r="FS48">
        <v>6.7500550210793805E-2</v>
      </c>
      <c r="FT48">
        <v>1</v>
      </c>
      <c r="FU48">
        <v>0.49543843810547977</v>
      </c>
      <c r="FV48">
        <v>-1.914363921467415E-2</v>
      </c>
      <c r="FW48">
        <v>3.6617108443505872E-3</v>
      </c>
      <c r="FX48">
        <v>1</v>
      </c>
      <c r="FY48">
        <v>2</v>
      </c>
      <c r="FZ48">
        <v>2</v>
      </c>
      <c r="GA48" t="s">
        <v>419</v>
      </c>
      <c r="GB48">
        <v>2.8849</v>
      </c>
      <c r="GC48">
        <v>2.8214299999999999</v>
      </c>
      <c r="GD48">
        <v>2.46117E-2</v>
      </c>
      <c r="GE48">
        <v>3.0705300000000001E-2</v>
      </c>
      <c r="GF48">
        <v>0.12242400000000001</v>
      </c>
      <c r="GG48">
        <v>9.20845E-2</v>
      </c>
      <c r="GH48">
        <v>29942.799999999999</v>
      </c>
      <c r="GI48">
        <v>27778.799999999999</v>
      </c>
      <c r="GJ48">
        <v>28263.4</v>
      </c>
      <c r="GK48">
        <v>26919.1</v>
      </c>
      <c r="GL48">
        <v>35004.199999999997</v>
      </c>
      <c r="GM48">
        <v>34134.300000000003</v>
      </c>
      <c r="GN48">
        <v>41586.6</v>
      </c>
      <c r="GO48">
        <v>38951.599999999999</v>
      </c>
      <c r="GP48">
        <v>2.0041000000000002</v>
      </c>
      <c r="GQ48">
        <v>1.6747000000000001</v>
      </c>
      <c r="GR48">
        <v>-4.0829200000000003E-2</v>
      </c>
      <c r="GS48">
        <v>0</v>
      </c>
      <c r="GT48">
        <v>30.635300000000001</v>
      </c>
      <c r="GU48">
        <v>999.9</v>
      </c>
      <c r="GV48">
        <v>47.6</v>
      </c>
      <c r="GW48">
        <v>44</v>
      </c>
      <c r="GX48">
        <v>43.955500000000001</v>
      </c>
      <c r="GY48">
        <v>62.688400000000001</v>
      </c>
      <c r="GZ48">
        <v>32.339700000000001</v>
      </c>
      <c r="HA48">
        <v>1</v>
      </c>
      <c r="HB48">
        <v>0.95676799999999995</v>
      </c>
      <c r="HC48">
        <v>4.6249900000000004</v>
      </c>
      <c r="HD48">
        <v>20.234000000000002</v>
      </c>
      <c r="HE48">
        <v>5.2095000000000002</v>
      </c>
      <c r="HF48">
        <v>11.997999999999999</v>
      </c>
      <c r="HG48">
        <v>4.9885999999999999</v>
      </c>
      <c r="HH48">
        <v>3.2909999999999999</v>
      </c>
      <c r="HI48">
        <v>9999</v>
      </c>
      <c r="HJ48">
        <v>9999</v>
      </c>
      <c r="HK48">
        <v>9999</v>
      </c>
      <c r="HL48">
        <v>999.9</v>
      </c>
      <c r="HM48">
        <v>1.8664700000000001</v>
      </c>
      <c r="HN48">
        <v>1.86652</v>
      </c>
      <c r="HO48">
        <v>1.8631</v>
      </c>
      <c r="HP48">
        <v>1.8642700000000001</v>
      </c>
      <c r="HQ48">
        <v>1.86385</v>
      </c>
      <c r="HR48">
        <v>1.85961</v>
      </c>
      <c r="HS48">
        <v>1.8627899999999999</v>
      </c>
      <c r="HT48">
        <v>1.8656600000000001</v>
      </c>
      <c r="HU48">
        <v>5</v>
      </c>
      <c r="HV48">
        <v>0</v>
      </c>
      <c r="HW48">
        <v>0</v>
      </c>
      <c r="HX48">
        <v>0</v>
      </c>
      <c r="HY48" t="s">
        <v>420</v>
      </c>
      <c r="HZ48" t="s">
        <v>421</v>
      </c>
      <c r="IA48" t="s">
        <v>422</v>
      </c>
      <c r="IB48" t="s">
        <v>422</v>
      </c>
      <c r="IC48" t="s">
        <v>422</v>
      </c>
      <c r="ID48" t="s">
        <v>422</v>
      </c>
      <c r="IE48">
        <v>0</v>
      </c>
      <c r="IF48">
        <v>100</v>
      </c>
      <c r="IG48">
        <v>100</v>
      </c>
      <c r="IH48">
        <v>1.7809999999999999</v>
      </c>
      <c r="II48">
        <v>0.1313</v>
      </c>
      <c r="IJ48">
        <v>1.4602113537778389</v>
      </c>
      <c r="IK48">
        <v>3.5576830062418229E-3</v>
      </c>
      <c r="IL48">
        <v>-2.2646740813029151E-6</v>
      </c>
      <c r="IM48">
        <v>6.9609298295988525E-10</v>
      </c>
      <c r="IN48">
        <v>-0.13894289818267139</v>
      </c>
      <c r="IO48">
        <v>-9.4437069492282083E-4</v>
      </c>
      <c r="IP48">
        <v>5.2900373165634467E-4</v>
      </c>
      <c r="IQ48">
        <v>-3.977656803091445E-6</v>
      </c>
      <c r="IR48">
        <v>2</v>
      </c>
      <c r="IS48">
        <v>1759</v>
      </c>
      <c r="IT48">
        <v>2</v>
      </c>
      <c r="IU48">
        <v>42</v>
      </c>
      <c r="IV48">
        <v>0.8</v>
      </c>
      <c r="IW48">
        <v>0.5</v>
      </c>
      <c r="IX48">
        <v>0.35888700000000001</v>
      </c>
      <c r="IY48">
        <v>2.4597199999999999</v>
      </c>
      <c r="IZ48">
        <v>1.54297</v>
      </c>
      <c r="JA48">
        <v>2.3034699999999999</v>
      </c>
      <c r="JB48">
        <v>1.5466299999999999</v>
      </c>
      <c r="JC48">
        <v>2.36694</v>
      </c>
      <c r="JD48">
        <v>48.270299999999999</v>
      </c>
      <c r="JE48">
        <v>15.5067</v>
      </c>
      <c r="JF48">
        <v>18</v>
      </c>
      <c r="JG48">
        <v>531.43499999999995</v>
      </c>
      <c r="JH48">
        <v>419.28699999999998</v>
      </c>
      <c r="JI48">
        <v>24.7514</v>
      </c>
      <c r="JJ48">
        <v>38.564399999999999</v>
      </c>
      <c r="JK48">
        <v>30.000699999999998</v>
      </c>
      <c r="JL48">
        <v>38.875</v>
      </c>
      <c r="JM48">
        <v>38.861199999999997</v>
      </c>
      <c r="JN48">
        <v>7.3043399999999998</v>
      </c>
      <c r="JO48">
        <v>64.158699999999996</v>
      </c>
      <c r="JP48">
        <v>0</v>
      </c>
      <c r="JQ48">
        <v>24.753799999999998</v>
      </c>
      <c r="JR48">
        <v>120</v>
      </c>
      <c r="JS48">
        <v>17.442799999999998</v>
      </c>
      <c r="JT48">
        <v>98.528300000000002</v>
      </c>
      <c r="JU48">
        <v>96.381299999999996</v>
      </c>
    </row>
    <row r="49" spans="1:281" x14ac:dyDescent="0.25">
      <c r="A49">
        <v>33</v>
      </c>
      <c r="B49">
        <v>1691168787.5</v>
      </c>
      <c r="C49">
        <v>7876</v>
      </c>
      <c r="D49" t="s">
        <v>582</v>
      </c>
      <c r="E49" t="s">
        <v>583</v>
      </c>
      <c r="F49" t="s">
        <v>413</v>
      </c>
      <c r="G49" t="s">
        <v>562</v>
      </c>
      <c r="H49" t="s">
        <v>563</v>
      </c>
      <c r="I49" t="s">
        <v>31</v>
      </c>
      <c r="J49">
        <v>1691168787.5</v>
      </c>
      <c r="K49">
        <f t="shared" ref="K49:K80" si="46">(L49)/1000</f>
        <v>7.9051970336461441E-3</v>
      </c>
      <c r="L49">
        <f t="shared" ref="L49:L80" si="47">1000*DL49*AJ49*(DH49-DI49)/(100*DA49*(1000-AJ49*DH49))</f>
        <v>7.9051970336461448</v>
      </c>
      <c r="M49">
        <f t="shared" ref="M49:M80" si="48">DL49*AJ49*(DG49-DF49*(1000-AJ49*DI49)/(1000-AJ49*DH49))/(100*DA49)</f>
        <v>10.221582821483981</v>
      </c>
      <c r="N49">
        <f t="shared" ref="N49:N80" si="49">DF49 - IF(AJ49&gt;1, M49*DA49*100/(AL49*DT49), 0)</f>
        <v>57.184899999999999</v>
      </c>
      <c r="O49">
        <f t="shared" ref="O49:O80" si="50">((U49-K49/2)*N49-M49)/(U49+K49/2)</f>
        <v>21.240972192386934</v>
      </c>
      <c r="P49">
        <f t="shared" ref="P49:P80" si="51">O49*(DM49+DN49)/1000</f>
        <v>2.107581583815433</v>
      </c>
      <c r="Q49">
        <f t="shared" ref="Q49:Q80" si="52">(DF49 - IF(AJ49&gt;1, M49*DA49*100/(AL49*DT49), 0))*(DM49+DN49)/1000</f>
        <v>5.6740266415641702</v>
      </c>
      <c r="R49">
        <f t="shared" ref="R49:R80" si="53">2/((1/T49-1/S49)+SIGN(T49)*SQRT((1/T49-1/S49)*(1/T49-1/S49) + 4*DB49/((DB49+1)*(DB49+1))*(2*1/T49*1/S49-1/S49*1/S49)))</f>
        <v>0.50738064210156131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2.9145546719585687</v>
      </c>
      <c r="T49">
        <f t="shared" ref="T49:T80" si="55">K49*(1000-(1000*0.61365*EXP(17.502*X49/(240.97+X49))/(DM49+DN49)+DH49)/2)/(1000*0.61365*EXP(17.502*X49/(240.97+X49))/(DM49+DN49)-DH49)</f>
        <v>0.46293034175994702</v>
      </c>
      <c r="U49">
        <f t="shared" ref="U49:U80" si="56">1/((DB49+1)/(R49/1.6)+1/(S49/1.37)) + DB49/((DB49+1)/(R49/1.6) + DB49/(S49/1.37))</f>
        <v>0.2929999432438638</v>
      </c>
      <c r="V49">
        <f t="shared" ref="V49:V80" si="57">(CW49*CZ49)</f>
        <v>344.40389998680445</v>
      </c>
      <c r="W49">
        <f t="shared" ref="W49:W80" si="58">(DO49+(V49+2*0.95*0.0000000567*(((DO49+$B$7)+273)^4-(DO49+273)^4)-44100*K49)/(1.84*29.3*S49+8*0.95*0.0000000567*(DO49+273)^3))</f>
        <v>30.316180667568709</v>
      </c>
      <c r="X49">
        <f t="shared" ref="X49:X80" si="59">($C$7*DP49+$D$7*DQ49+$E$7*W49)</f>
        <v>30.018000000000001</v>
      </c>
      <c r="Y49">
        <f t="shared" ref="Y49:Y80" si="60">0.61365*EXP(17.502*X49/(240.97+X49))</f>
        <v>4.2648566588169912</v>
      </c>
      <c r="Z49">
        <f t="shared" ref="Z49:Z80" si="61">(AA49/AB49*100)</f>
        <v>60.519545046107794</v>
      </c>
      <c r="AA49">
        <f t="shared" ref="AA49:AA80" si="62">DH49*(DM49+DN49)/1000</f>
        <v>2.6293555884646804</v>
      </c>
      <c r="AB49">
        <f t="shared" ref="AB49:AB80" si="63">0.61365*EXP(17.502*DO49/(240.97+DO49))</f>
        <v>4.3446387220218909</v>
      </c>
      <c r="AC49">
        <f t="shared" ref="AC49:AC80" si="64">(Y49-DH49*(DM49+DN49)/1000)</f>
        <v>1.6355010703523107</v>
      </c>
      <c r="AD49">
        <f t="shared" ref="AD49:AD80" si="65">(-K49*44100)</f>
        <v>-348.61918918379496</v>
      </c>
      <c r="AE49">
        <f t="shared" ref="AE49:AE80" si="66">2*29.3*S49*0.92*(DO49-X49)</f>
        <v>50.768532233453101</v>
      </c>
      <c r="AF49">
        <f t="shared" ref="AF49:AF80" si="67">2*0.95*0.0000000567*(((DO49+$B$7)+273)^4-(X49+273)^4)</f>
        <v>3.8800153571339822</v>
      </c>
      <c r="AG49">
        <f t="shared" ref="AG49:AG80" si="68">V49+AF49+AD49+AE49</f>
        <v>50.43325839359656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51848.516130530807</v>
      </c>
      <c r="AM49" t="s">
        <v>414</v>
      </c>
      <c r="AN49">
        <v>10111.299999999999</v>
      </c>
      <c r="AO49">
        <v>608.58839999999998</v>
      </c>
      <c r="AP49">
        <v>2150.11</v>
      </c>
      <c r="AQ49">
        <f t="shared" ref="AQ49:AQ80" si="72">1-AO49/AP49</f>
        <v>0.71695010952927984</v>
      </c>
      <c r="AR49">
        <v>-1.1786277417053079</v>
      </c>
      <c r="AS49" t="s">
        <v>584</v>
      </c>
      <c r="AT49">
        <v>8094.81</v>
      </c>
      <c r="AU49">
        <v>634.15700000000004</v>
      </c>
      <c r="AV49">
        <v>715.44327278719481</v>
      </c>
      <c r="AW49">
        <f t="shared" ref="AW49:AW80" si="73">1-AU49/AV49</f>
        <v>0.11361665680428168</v>
      </c>
      <c r="AX49">
        <v>0.5</v>
      </c>
      <c r="AY49">
        <f t="shared" ref="AY49:AY80" si="74">CX49</f>
        <v>1513.3136999934022</v>
      </c>
      <c r="AZ49">
        <f t="shared" ref="AZ49:AZ80" si="75">M49</f>
        <v>10.221582821483981</v>
      </c>
      <c r="BA49">
        <f t="shared" ref="BA49:BA80" si="76">AW49*AX49*AY49</f>
        <v>85.968821644684027</v>
      </c>
      <c r="BB49">
        <f t="shared" ref="BB49:BB80" si="77">(AZ49-AR49)/AY49</f>
        <v>7.5332765197585879E-3</v>
      </c>
      <c r="BC49">
        <f t="shared" ref="BC49:BC80" si="78">(AP49-AV49)/AV49</f>
        <v>2.005283691638736</v>
      </c>
      <c r="BD49">
        <f t="shared" ref="BD49:BD80" si="79">AO49/(AQ49+AO49/AV49)</f>
        <v>388.23055200037652</v>
      </c>
      <c r="BE49" t="s">
        <v>585</v>
      </c>
      <c r="BF49">
        <v>511.16</v>
      </c>
      <c r="BG49">
        <f t="shared" ref="BG49:BG80" si="80">IF(BF49&lt;&gt;0, BF49, BD49)</f>
        <v>511.16</v>
      </c>
      <c r="BH49">
        <f t="shared" ref="BH49:BH80" si="81">1-BG49/AV49</f>
        <v>0.28553385091085748</v>
      </c>
      <c r="BI49">
        <f t="shared" ref="BI49:BI80" si="82">(AV49-AU49)/(AV49-BG49)</f>
        <v>0.39790958739863153</v>
      </c>
      <c r="BJ49">
        <f t="shared" ref="BJ49:BJ80" si="83">(AP49-AV49)/(AP49-BG49)</f>
        <v>0.87535722701290775</v>
      </c>
      <c r="BK49">
        <f t="shared" ref="BK49:BK80" si="84">(AV49-AU49)/(AV49-AO49)</f>
        <v>0.76071657442407137</v>
      </c>
      <c r="BL49">
        <f t="shared" ref="BL49:BL80" si="85">(AP49-AV49)/(AP49-AO49)</f>
        <v>0.93068220854823258</v>
      </c>
      <c r="BM49">
        <f t="shared" ref="BM49:BM80" si="86">(BI49*BG49/AU49)</f>
        <v>0.3207336112266907</v>
      </c>
      <c r="BN49">
        <f t="shared" ref="BN49:BN80" si="87">(1-BM49)</f>
        <v>0.67926638877330925</v>
      </c>
      <c r="BO49">
        <v>7039</v>
      </c>
      <c r="BP49">
        <v>290.00000000000011</v>
      </c>
      <c r="BQ49">
        <v>690.01</v>
      </c>
      <c r="BR49">
        <v>275</v>
      </c>
      <c r="BS49">
        <v>8094.81</v>
      </c>
      <c r="BT49">
        <v>689.76</v>
      </c>
      <c r="BU49">
        <v>0.25</v>
      </c>
      <c r="BV49">
        <v>300.00000000000011</v>
      </c>
      <c r="BW49">
        <v>19.2</v>
      </c>
      <c r="BX49">
        <v>715.44327278719481</v>
      </c>
      <c r="BY49">
        <v>2.3690324812960619</v>
      </c>
      <c r="BZ49">
        <v>-20.789065150848359</v>
      </c>
      <c r="CA49">
        <v>1.762182783604592</v>
      </c>
      <c r="CB49">
        <v>0.83251301963961333</v>
      </c>
      <c r="CC49">
        <v>-4.1701212458287E-3</v>
      </c>
      <c r="CD49">
        <v>289.99999999999989</v>
      </c>
      <c r="CE49">
        <v>689.07</v>
      </c>
      <c r="CF49">
        <v>645</v>
      </c>
      <c r="CG49">
        <v>8089.72</v>
      </c>
      <c r="CH49">
        <v>689.75</v>
      </c>
      <c r="CI49">
        <v>-0.68</v>
      </c>
      <c r="CW49">
        <f t="shared" ref="CW49:CW80" si="88">$B$11*DU49+$C$11*DV49+$F$11*EG49*(1-EJ49)</f>
        <v>1800.15</v>
      </c>
      <c r="CX49">
        <f t="shared" ref="CX49:CX80" si="89">CW49*CY49</f>
        <v>1513.3136999934022</v>
      </c>
      <c r="CY49">
        <f t="shared" ref="CY49:CY80" si="90">($B$11*$D$9+$C$11*$D$9+$F$11*((ET49+EL49)/MAX(ET49+EL49+EU49, 0.1)*$I$9+EU49/MAX(ET49+EL49+EU49, 0.1)*$J$9))/($B$11+$C$11+$F$11)</f>
        <v>0.84065977834813888</v>
      </c>
      <c r="CZ49">
        <f t="shared" ref="CZ49:CZ80" si="91">($B$11*$K$9+$C$11*$K$9+$F$11*((ET49+EL49)/MAX(ET49+EL49+EU49, 0.1)*$P$9+EU49/MAX(ET49+EL49+EU49, 0.1)*$Q$9))/($B$11+$C$11+$F$11)</f>
        <v>0.19131955669627776</v>
      </c>
      <c r="DA49">
        <v>6</v>
      </c>
      <c r="DB49">
        <v>0.5</v>
      </c>
      <c r="DC49" t="s">
        <v>417</v>
      </c>
      <c r="DD49">
        <v>2</v>
      </c>
      <c r="DE49">
        <v>1691168787.5</v>
      </c>
      <c r="DF49">
        <v>57.184899999999999</v>
      </c>
      <c r="DG49">
        <v>69.983900000000006</v>
      </c>
      <c r="DH49">
        <v>26.499600000000001</v>
      </c>
      <c r="DI49">
        <v>17.2715</v>
      </c>
      <c r="DJ49">
        <v>55.459299999999999</v>
      </c>
      <c r="DK49">
        <v>26.3673</v>
      </c>
      <c r="DL49">
        <v>500.36599999999999</v>
      </c>
      <c r="DM49">
        <v>99.122900000000001</v>
      </c>
      <c r="DN49">
        <v>9.9563299999999993E-2</v>
      </c>
      <c r="DO49">
        <v>30.341100000000001</v>
      </c>
      <c r="DP49">
        <v>30.018000000000001</v>
      </c>
      <c r="DQ49">
        <v>999.9</v>
      </c>
      <c r="DR49">
        <v>0</v>
      </c>
      <c r="DS49">
        <v>0</v>
      </c>
      <c r="DT49">
        <v>10002.5</v>
      </c>
      <c r="DU49">
        <v>0</v>
      </c>
      <c r="DV49">
        <v>1709.79</v>
      </c>
      <c r="DW49">
        <v>-12.798999999999999</v>
      </c>
      <c r="DX49">
        <v>58.741500000000002</v>
      </c>
      <c r="DY49">
        <v>71.213800000000006</v>
      </c>
      <c r="DZ49">
        <v>9.2280599999999993</v>
      </c>
      <c r="EA49">
        <v>69.983900000000006</v>
      </c>
      <c r="EB49">
        <v>17.2715</v>
      </c>
      <c r="EC49">
        <v>2.6267200000000002</v>
      </c>
      <c r="ED49">
        <v>1.71201</v>
      </c>
      <c r="EE49">
        <v>21.8337</v>
      </c>
      <c r="EF49">
        <v>15.005699999999999</v>
      </c>
      <c r="EG49">
        <v>1800.15</v>
      </c>
      <c r="EH49">
        <v>0.97800600000000004</v>
      </c>
      <c r="EI49">
        <v>2.1993800000000001E-2</v>
      </c>
      <c r="EJ49">
        <v>0</v>
      </c>
      <c r="EK49">
        <v>634.06500000000005</v>
      </c>
      <c r="EL49">
        <v>0.10001</v>
      </c>
      <c r="EM49">
        <v>16623.099999999999</v>
      </c>
      <c r="EN49">
        <v>16354.9</v>
      </c>
      <c r="EO49">
        <v>47.5</v>
      </c>
      <c r="EP49">
        <v>50</v>
      </c>
      <c r="EQ49">
        <v>48.936999999999998</v>
      </c>
      <c r="ER49">
        <v>48.936999999999998</v>
      </c>
      <c r="ES49">
        <v>49.125</v>
      </c>
      <c r="ET49">
        <v>1760.46</v>
      </c>
      <c r="EU49">
        <v>39.590000000000003</v>
      </c>
      <c r="EV49">
        <v>0</v>
      </c>
      <c r="EW49">
        <v>105</v>
      </c>
      <c r="EX49">
        <v>0</v>
      </c>
      <c r="EY49">
        <v>634.15700000000004</v>
      </c>
      <c r="EZ49">
        <v>-5.459230865606445</v>
      </c>
      <c r="FA49">
        <v>-130.84615472968389</v>
      </c>
      <c r="FB49">
        <v>16574.928</v>
      </c>
      <c r="FC49">
        <v>15</v>
      </c>
      <c r="FD49">
        <v>1691168757</v>
      </c>
      <c r="FE49" t="s">
        <v>586</v>
      </c>
      <c r="FF49">
        <v>1691168753</v>
      </c>
      <c r="FG49">
        <v>1691168757</v>
      </c>
      <c r="FH49">
        <v>36</v>
      </c>
      <c r="FI49">
        <v>7.4999999999999997E-2</v>
      </c>
      <c r="FJ49">
        <v>1E-3</v>
      </c>
      <c r="FK49">
        <v>1.768</v>
      </c>
      <c r="FL49">
        <v>-1.7000000000000001E-2</v>
      </c>
      <c r="FM49">
        <v>70</v>
      </c>
      <c r="FN49">
        <v>17</v>
      </c>
      <c r="FO49">
        <v>0.27</v>
      </c>
      <c r="FP49">
        <v>0.03</v>
      </c>
      <c r="FQ49">
        <v>10.23288620816686</v>
      </c>
      <c r="FR49">
        <v>-0.46369305298940128</v>
      </c>
      <c r="FS49">
        <v>5.7827478881651392E-2</v>
      </c>
      <c r="FT49">
        <v>1</v>
      </c>
      <c r="FU49">
        <v>0.5137161579720384</v>
      </c>
      <c r="FV49">
        <v>-2.603328829087061E-2</v>
      </c>
      <c r="FW49">
        <v>4.4572716957543418E-3</v>
      </c>
      <c r="FX49">
        <v>1</v>
      </c>
      <c r="FY49">
        <v>2</v>
      </c>
      <c r="FZ49">
        <v>2</v>
      </c>
      <c r="GA49" t="s">
        <v>419</v>
      </c>
      <c r="GB49">
        <v>2.88557</v>
      </c>
      <c r="GC49">
        <v>2.8207800000000001</v>
      </c>
      <c r="GD49">
        <v>1.44216E-2</v>
      </c>
      <c r="GE49">
        <v>1.8255299999999999E-2</v>
      </c>
      <c r="GF49">
        <v>0.122345</v>
      </c>
      <c r="GG49">
        <v>9.1183200000000006E-2</v>
      </c>
      <c r="GH49">
        <v>30247.200000000001</v>
      </c>
      <c r="GI49">
        <v>28126.400000000001</v>
      </c>
      <c r="GJ49">
        <v>28257.1</v>
      </c>
      <c r="GK49">
        <v>26911.9</v>
      </c>
      <c r="GL49">
        <v>35000.199999999997</v>
      </c>
      <c r="GM49">
        <v>34160.6</v>
      </c>
      <c r="GN49">
        <v>41577.599999999999</v>
      </c>
      <c r="GO49">
        <v>38943</v>
      </c>
      <c r="GP49">
        <v>2.0034000000000001</v>
      </c>
      <c r="GQ49">
        <v>1.6695</v>
      </c>
      <c r="GR49">
        <v>-4.2557699999999997E-2</v>
      </c>
      <c r="GS49">
        <v>0</v>
      </c>
      <c r="GT49">
        <v>30.710100000000001</v>
      </c>
      <c r="GU49">
        <v>999.9</v>
      </c>
      <c r="GV49">
        <v>47.6</v>
      </c>
      <c r="GW49">
        <v>44.1</v>
      </c>
      <c r="GX49">
        <v>44.182099999999998</v>
      </c>
      <c r="GY49">
        <v>62.608499999999999</v>
      </c>
      <c r="GZ49">
        <v>32.263599999999997</v>
      </c>
      <c r="HA49">
        <v>1</v>
      </c>
      <c r="HB49">
        <v>0.97365900000000005</v>
      </c>
      <c r="HC49">
        <v>5.0065799999999996</v>
      </c>
      <c r="HD49">
        <v>20.222899999999999</v>
      </c>
      <c r="HE49">
        <v>5.2112999999999996</v>
      </c>
      <c r="HF49">
        <v>11.997999999999999</v>
      </c>
      <c r="HG49">
        <v>4.9874000000000001</v>
      </c>
      <c r="HH49">
        <v>3.2909999999999999</v>
      </c>
      <c r="HI49">
        <v>9999</v>
      </c>
      <c r="HJ49">
        <v>9999</v>
      </c>
      <c r="HK49">
        <v>9999</v>
      </c>
      <c r="HL49">
        <v>999.9</v>
      </c>
      <c r="HM49">
        <v>1.86646</v>
      </c>
      <c r="HN49">
        <v>1.8666</v>
      </c>
      <c r="HO49">
        <v>1.8631</v>
      </c>
      <c r="HP49">
        <v>1.8643099999999999</v>
      </c>
      <c r="HQ49">
        <v>1.8638600000000001</v>
      </c>
      <c r="HR49">
        <v>1.85971</v>
      </c>
      <c r="HS49">
        <v>1.8628400000000001</v>
      </c>
      <c r="HT49">
        <v>1.8656900000000001</v>
      </c>
      <c r="HU49">
        <v>5</v>
      </c>
      <c r="HV49">
        <v>0</v>
      </c>
      <c r="HW49">
        <v>0</v>
      </c>
      <c r="HX49">
        <v>0</v>
      </c>
      <c r="HY49" t="s">
        <v>420</v>
      </c>
      <c r="HZ49" t="s">
        <v>421</v>
      </c>
      <c r="IA49" t="s">
        <v>422</v>
      </c>
      <c r="IB49" t="s">
        <v>422</v>
      </c>
      <c r="IC49" t="s">
        <v>422</v>
      </c>
      <c r="ID49" t="s">
        <v>422</v>
      </c>
      <c r="IE49">
        <v>0</v>
      </c>
      <c r="IF49">
        <v>100</v>
      </c>
      <c r="IG49">
        <v>100</v>
      </c>
      <c r="IH49">
        <v>1.726</v>
      </c>
      <c r="II49">
        <v>0.1323</v>
      </c>
      <c r="IJ49">
        <v>1.5351285470151099</v>
      </c>
      <c r="IK49">
        <v>3.5576830062418229E-3</v>
      </c>
      <c r="IL49">
        <v>-2.2646740813029151E-6</v>
      </c>
      <c r="IM49">
        <v>6.9609298295988525E-10</v>
      </c>
      <c r="IN49">
        <v>-0.13762887244805219</v>
      </c>
      <c r="IO49">
        <v>-9.4437069492282083E-4</v>
      </c>
      <c r="IP49">
        <v>5.2900373165634467E-4</v>
      </c>
      <c r="IQ49">
        <v>-3.977656803091445E-6</v>
      </c>
      <c r="IR49">
        <v>2</v>
      </c>
      <c r="IS49">
        <v>1759</v>
      </c>
      <c r="IT49">
        <v>2</v>
      </c>
      <c r="IU49">
        <v>42</v>
      </c>
      <c r="IV49">
        <v>0.6</v>
      </c>
      <c r="IW49">
        <v>0.5</v>
      </c>
      <c r="IX49">
        <v>0.246582</v>
      </c>
      <c r="IY49">
        <v>2.48047</v>
      </c>
      <c r="IZ49">
        <v>1.54297</v>
      </c>
      <c r="JA49">
        <v>2.3034699999999999</v>
      </c>
      <c r="JB49">
        <v>1.5466299999999999</v>
      </c>
      <c r="JC49">
        <v>2.4121100000000002</v>
      </c>
      <c r="JD49">
        <v>48.5779</v>
      </c>
      <c r="JE49">
        <v>15.4717</v>
      </c>
      <c r="JF49">
        <v>18</v>
      </c>
      <c r="JG49">
        <v>532.13400000000001</v>
      </c>
      <c r="JH49">
        <v>416.84899999999999</v>
      </c>
      <c r="JI49">
        <v>24.585699999999999</v>
      </c>
      <c r="JJ49">
        <v>38.725000000000001</v>
      </c>
      <c r="JK49">
        <v>30.000599999999999</v>
      </c>
      <c r="JL49">
        <v>39.0246</v>
      </c>
      <c r="JM49">
        <v>39.0105</v>
      </c>
      <c r="JN49">
        <v>5.0254300000000001</v>
      </c>
      <c r="JO49">
        <v>65.159300000000002</v>
      </c>
      <c r="JP49">
        <v>0</v>
      </c>
      <c r="JQ49">
        <v>24.5944</v>
      </c>
      <c r="JR49">
        <v>70</v>
      </c>
      <c r="JS49">
        <v>17.158200000000001</v>
      </c>
      <c r="JT49">
        <v>98.506600000000006</v>
      </c>
      <c r="JU49">
        <v>96.3583</v>
      </c>
    </row>
    <row r="50" spans="1:281" x14ac:dyDescent="0.25">
      <c r="A50">
        <v>34</v>
      </c>
      <c r="B50">
        <v>1691168906</v>
      </c>
      <c r="C50">
        <v>7994.5</v>
      </c>
      <c r="D50" t="s">
        <v>587</v>
      </c>
      <c r="E50" t="s">
        <v>588</v>
      </c>
      <c r="F50" t="s">
        <v>413</v>
      </c>
      <c r="G50" t="s">
        <v>562</v>
      </c>
      <c r="H50" t="s">
        <v>563</v>
      </c>
      <c r="I50" t="s">
        <v>31</v>
      </c>
      <c r="J50">
        <v>1691168906</v>
      </c>
      <c r="K50">
        <f t="shared" si="46"/>
        <v>8.1028532809250559E-3</v>
      </c>
      <c r="L50">
        <f t="shared" si="47"/>
        <v>8.1028532809250553</v>
      </c>
      <c r="M50">
        <f t="shared" si="48"/>
        <v>3.6285151231006481</v>
      </c>
      <c r="N50">
        <f t="shared" si="49"/>
        <v>25.377300000000002</v>
      </c>
      <c r="O50">
        <f t="shared" si="50"/>
        <v>12.736693781407757</v>
      </c>
      <c r="P50">
        <f t="shared" si="51"/>
        <v>1.2638777391156677</v>
      </c>
      <c r="Q50">
        <f t="shared" si="52"/>
        <v>2.5182205915698006</v>
      </c>
      <c r="R50">
        <f t="shared" si="53"/>
        <v>0.51914110802188684</v>
      </c>
      <c r="S50">
        <f t="shared" si="54"/>
        <v>2.9146993860194854</v>
      </c>
      <c r="T50">
        <f t="shared" si="55"/>
        <v>0.47270927695485138</v>
      </c>
      <c r="U50">
        <f t="shared" si="56"/>
        <v>0.29926817649908277</v>
      </c>
      <c r="V50">
        <f t="shared" si="57"/>
        <v>344.38869998680383</v>
      </c>
      <c r="W50">
        <f t="shared" si="58"/>
        <v>30.25386399935816</v>
      </c>
      <c r="X50">
        <f t="shared" si="59"/>
        <v>30.0002</v>
      </c>
      <c r="Y50">
        <f t="shared" si="60"/>
        <v>4.2604987160155758</v>
      </c>
      <c r="Z50">
        <f t="shared" si="61"/>
        <v>60.306729236023862</v>
      </c>
      <c r="AA50">
        <f t="shared" si="62"/>
        <v>2.6185036685654</v>
      </c>
      <c r="AB50">
        <f t="shared" si="63"/>
        <v>4.3419759316034217</v>
      </c>
      <c r="AC50">
        <f t="shared" si="64"/>
        <v>1.6419950474501759</v>
      </c>
      <c r="AD50">
        <f t="shared" si="65"/>
        <v>-357.33582968879495</v>
      </c>
      <c r="AE50">
        <f t="shared" si="66"/>
        <v>51.886727643357254</v>
      </c>
      <c r="AF50">
        <f t="shared" si="67"/>
        <v>3.9647181738416668</v>
      </c>
      <c r="AG50">
        <f t="shared" si="68"/>
        <v>42.904316115207813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51854.634440567766</v>
      </c>
      <c r="AM50" t="s">
        <v>414</v>
      </c>
      <c r="AN50">
        <v>10111.299999999999</v>
      </c>
      <c r="AO50">
        <v>608.58839999999998</v>
      </c>
      <c r="AP50">
        <v>2150.11</v>
      </c>
      <c r="AQ50">
        <f t="shared" si="72"/>
        <v>0.71695010952927984</v>
      </c>
      <c r="AR50">
        <v>-1.1786277417053079</v>
      </c>
      <c r="AS50" t="s">
        <v>589</v>
      </c>
      <c r="AT50">
        <v>8100.77</v>
      </c>
      <c r="AU50">
        <v>645.60400000000004</v>
      </c>
      <c r="AV50">
        <v>695.51317423126204</v>
      </c>
      <c r="AW50">
        <f t="shared" si="73"/>
        <v>7.1758776225088305E-2</v>
      </c>
      <c r="AX50">
        <v>0.5</v>
      </c>
      <c r="AY50">
        <f t="shared" si="74"/>
        <v>1513.2464999934018</v>
      </c>
      <c r="AZ50">
        <f t="shared" si="75"/>
        <v>3.6285151231006481</v>
      </c>
      <c r="BA50">
        <f t="shared" si="76"/>
        <v>54.294358483212307</v>
      </c>
      <c r="BB50">
        <f t="shared" si="77"/>
        <v>3.176708398021681E-3</v>
      </c>
      <c r="BC50">
        <f t="shared" si="78"/>
        <v>2.0914008241130406</v>
      </c>
      <c r="BD50">
        <f t="shared" si="79"/>
        <v>382.28616370644272</v>
      </c>
      <c r="BE50" t="s">
        <v>590</v>
      </c>
      <c r="BF50">
        <v>533.66999999999996</v>
      </c>
      <c r="BG50">
        <f t="shared" si="80"/>
        <v>533.66999999999996</v>
      </c>
      <c r="BH50">
        <f t="shared" si="81"/>
        <v>0.23269605843217045</v>
      </c>
      <c r="BI50">
        <f t="shared" si="82"/>
        <v>0.30837985270818669</v>
      </c>
      <c r="BJ50">
        <f t="shared" si="83"/>
        <v>0.89987678216867817</v>
      </c>
      <c r="BK50">
        <f t="shared" si="84"/>
        <v>0.57416512924703589</v>
      </c>
      <c r="BL50">
        <f t="shared" si="85"/>
        <v>0.94361105661363298</v>
      </c>
      <c r="BM50">
        <f t="shared" si="86"/>
        <v>0.25491334625370654</v>
      </c>
      <c r="BN50">
        <f t="shared" si="87"/>
        <v>0.74508665374629346</v>
      </c>
      <c r="BO50">
        <v>7041</v>
      </c>
      <c r="BP50">
        <v>290.00000000000011</v>
      </c>
      <c r="BQ50">
        <v>682.14</v>
      </c>
      <c r="BR50">
        <v>135</v>
      </c>
      <c r="BS50">
        <v>8100.77</v>
      </c>
      <c r="BT50">
        <v>680.87</v>
      </c>
      <c r="BU50">
        <v>1.27</v>
      </c>
      <c r="BV50">
        <v>300.00000000000011</v>
      </c>
      <c r="BW50">
        <v>19.2</v>
      </c>
      <c r="BX50">
        <v>695.51317423126204</v>
      </c>
      <c r="BY50">
        <v>2.51936602359608</v>
      </c>
      <c r="BZ50">
        <v>-11.86259921120039</v>
      </c>
      <c r="CA50">
        <v>1.8739064802125911</v>
      </c>
      <c r="CB50">
        <v>0.58868357032253682</v>
      </c>
      <c r="CC50">
        <v>-4.1701196885428294E-3</v>
      </c>
      <c r="CD50">
        <v>289.99999999999989</v>
      </c>
      <c r="CE50">
        <v>680.38</v>
      </c>
      <c r="CF50">
        <v>725</v>
      </c>
      <c r="CG50">
        <v>8087.76</v>
      </c>
      <c r="CH50">
        <v>680.85</v>
      </c>
      <c r="CI50">
        <v>-0.47</v>
      </c>
      <c r="CW50">
        <f t="shared" si="88"/>
        <v>1800.07</v>
      </c>
      <c r="CX50">
        <f t="shared" si="89"/>
        <v>1513.2464999934018</v>
      </c>
      <c r="CY50">
        <f t="shared" si="90"/>
        <v>0.84065980767048054</v>
      </c>
      <c r="CZ50">
        <f t="shared" si="91"/>
        <v>0.19131961534096109</v>
      </c>
      <c r="DA50">
        <v>6</v>
      </c>
      <c r="DB50">
        <v>0.5</v>
      </c>
      <c r="DC50" t="s">
        <v>417</v>
      </c>
      <c r="DD50">
        <v>2</v>
      </c>
      <c r="DE50">
        <v>1691168906</v>
      </c>
      <c r="DF50">
        <v>25.377300000000002</v>
      </c>
      <c r="DG50">
        <v>29.978300000000001</v>
      </c>
      <c r="DH50">
        <v>26.387899999999998</v>
      </c>
      <c r="DI50">
        <v>16.920999999999999</v>
      </c>
      <c r="DJ50">
        <v>23.643899999999999</v>
      </c>
      <c r="DK50">
        <v>26.261500000000002</v>
      </c>
      <c r="DL50">
        <v>499.99700000000001</v>
      </c>
      <c r="DM50">
        <v>99.131100000000004</v>
      </c>
      <c r="DN50">
        <v>0.10012600000000001</v>
      </c>
      <c r="DO50">
        <v>30.330400000000001</v>
      </c>
      <c r="DP50">
        <v>30.0002</v>
      </c>
      <c r="DQ50">
        <v>999.9</v>
      </c>
      <c r="DR50">
        <v>0</v>
      </c>
      <c r="DS50">
        <v>0</v>
      </c>
      <c r="DT50">
        <v>10002.5</v>
      </c>
      <c r="DU50">
        <v>0</v>
      </c>
      <c r="DV50">
        <v>687.94100000000003</v>
      </c>
      <c r="DW50">
        <v>-4.6010499999999999</v>
      </c>
      <c r="DX50">
        <v>26.065100000000001</v>
      </c>
      <c r="DY50">
        <v>30.494299999999999</v>
      </c>
      <c r="DZ50">
        <v>9.4669399999999992</v>
      </c>
      <c r="EA50">
        <v>29.978300000000001</v>
      </c>
      <c r="EB50">
        <v>16.920999999999999</v>
      </c>
      <c r="EC50">
        <v>2.6158600000000001</v>
      </c>
      <c r="ED50">
        <v>1.6773899999999999</v>
      </c>
      <c r="EE50">
        <v>21.765899999999998</v>
      </c>
      <c r="EF50">
        <v>14.688800000000001</v>
      </c>
      <c r="EG50">
        <v>1800.07</v>
      </c>
      <c r="EH50">
        <v>0.97800600000000004</v>
      </c>
      <c r="EI50">
        <v>2.1993800000000001E-2</v>
      </c>
      <c r="EJ50">
        <v>0</v>
      </c>
      <c r="EK50">
        <v>645.43499999999995</v>
      </c>
      <c r="EL50">
        <v>0.10001</v>
      </c>
      <c r="EM50">
        <v>15440.4</v>
      </c>
      <c r="EN50">
        <v>16354.2</v>
      </c>
      <c r="EO50">
        <v>47.625</v>
      </c>
      <c r="EP50">
        <v>50.125</v>
      </c>
      <c r="EQ50">
        <v>49.125</v>
      </c>
      <c r="ER50">
        <v>49.061999999999998</v>
      </c>
      <c r="ES50">
        <v>49.25</v>
      </c>
      <c r="ET50">
        <v>1760.38</v>
      </c>
      <c r="EU50">
        <v>39.590000000000003</v>
      </c>
      <c r="EV50">
        <v>0</v>
      </c>
      <c r="EW50">
        <v>116.3999998569489</v>
      </c>
      <c r="EX50">
        <v>0</v>
      </c>
      <c r="EY50">
        <v>645.60400000000004</v>
      </c>
      <c r="EZ50">
        <v>3.031923069502529</v>
      </c>
      <c r="FA50">
        <v>-7667.5077067188731</v>
      </c>
      <c r="FB50">
        <v>15904.484</v>
      </c>
      <c r="FC50">
        <v>15</v>
      </c>
      <c r="FD50">
        <v>1691168867</v>
      </c>
      <c r="FE50" t="s">
        <v>591</v>
      </c>
      <c r="FF50">
        <v>1691168855</v>
      </c>
      <c r="FG50">
        <v>1691168867</v>
      </c>
      <c r="FH50">
        <v>37</v>
      </c>
      <c r="FI50">
        <v>0.115</v>
      </c>
      <c r="FJ50">
        <v>-4.0000000000000001E-3</v>
      </c>
      <c r="FK50">
        <v>1.7490000000000001</v>
      </c>
      <c r="FL50">
        <v>-2.3E-2</v>
      </c>
      <c r="FM50">
        <v>30</v>
      </c>
      <c r="FN50">
        <v>17</v>
      </c>
      <c r="FO50">
        <v>0.86</v>
      </c>
      <c r="FP50">
        <v>0.03</v>
      </c>
      <c r="FQ50">
        <v>3.5536467075231082</v>
      </c>
      <c r="FR50">
        <v>0.34548743835100471</v>
      </c>
      <c r="FS50">
        <v>3.7551148889494748E-2</v>
      </c>
      <c r="FT50">
        <v>1</v>
      </c>
      <c r="FU50">
        <v>0.52338694574943245</v>
      </c>
      <c r="FV50">
        <v>-4.8975865493733069E-2</v>
      </c>
      <c r="FW50">
        <v>3.9779989847597823E-3</v>
      </c>
      <c r="FX50">
        <v>1</v>
      </c>
      <c r="FY50">
        <v>2</v>
      </c>
      <c r="FZ50">
        <v>2</v>
      </c>
      <c r="GA50" t="s">
        <v>419</v>
      </c>
      <c r="GB50">
        <v>2.8843299999999998</v>
      </c>
      <c r="GC50">
        <v>2.8213400000000002</v>
      </c>
      <c r="GD50">
        <v>6.1827799999999997E-3</v>
      </c>
      <c r="GE50">
        <v>7.8929900000000008E-3</v>
      </c>
      <c r="GF50">
        <v>0.121971</v>
      </c>
      <c r="GG50">
        <v>8.9828500000000006E-2</v>
      </c>
      <c r="GH50">
        <v>30491</v>
      </c>
      <c r="GI50">
        <v>28413.1</v>
      </c>
      <c r="GJ50">
        <v>28250.1</v>
      </c>
      <c r="GK50">
        <v>26904</v>
      </c>
      <c r="GL50">
        <v>35006.1</v>
      </c>
      <c r="GM50">
        <v>34201.599999999999</v>
      </c>
      <c r="GN50">
        <v>41566.300000000003</v>
      </c>
      <c r="GO50">
        <v>38931.800000000003</v>
      </c>
      <c r="GP50">
        <v>2.0015999999999998</v>
      </c>
      <c r="GQ50">
        <v>1.665</v>
      </c>
      <c r="GR50">
        <v>-4.8100900000000002E-2</v>
      </c>
      <c r="GS50">
        <v>0</v>
      </c>
      <c r="GT50">
        <v>30.782399999999999</v>
      </c>
      <c r="GU50">
        <v>999.9</v>
      </c>
      <c r="GV50">
        <v>47.7</v>
      </c>
      <c r="GW50">
        <v>44.4</v>
      </c>
      <c r="GX50">
        <v>44.967399999999998</v>
      </c>
      <c r="GY50">
        <v>62.588500000000003</v>
      </c>
      <c r="GZ50">
        <v>32.596200000000003</v>
      </c>
      <c r="HA50">
        <v>1</v>
      </c>
      <c r="HB50">
        <v>0.98811000000000004</v>
      </c>
      <c r="HC50">
        <v>4.9876300000000002</v>
      </c>
      <c r="HD50">
        <v>20.222899999999999</v>
      </c>
      <c r="HE50">
        <v>5.2107000000000001</v>
      </c>
      <c r="HF50">
        <v>11.997999999999999</v>
      </c>
      <c r="HG50">
        <v>4.9889999999999999</v>
      </c>
      <c r="HH50">
        <v>3.2909999999999999</v>
      </c>
      <c r="HI50">
        <v>9999</v>
      </c>
      <c r="HJ50">
        <v>9999</v>
      </c>
      <c r="HK50">
        <v>9999</v>
      </c>
      <c r="HL50">
        <v>999.9</v>
      </c>
      <c r="HM50">
        <v>1.86646</v>
      </c>
      <c r="HN50">
        <v>1.8666100000000001</v>
      </c>
      <c r="HO50">
        <v>1.8631</v>
      </c>
      <c r="HP50">
        <v>1.86432</v>
      </c>
      <c r="HQ50">
        <v>1.8638600000000001</v>
      </c>
      <c r="HR50">
        <v>1.85971</v>
      </c>
      <c r="HS50">
        <v>1.8629199999999999</v>
      </c>
      <c r="HT50">
        <v>1.8656999999999999</v>
      </c>
      <c r="HU50">
        <v>5</v>
      </c>
      <c r="HV50">
        <v>0</v>
      </c>
      <c r="HW50">
        <v>0</v>
      </c>
      <c r="HX50">
        <v>0</v>
      </c>
      <c r="HY50" t="s">
        <v>420</v>
      </c>
      <c r="HZ50" t="s">
        <v>421</v>
      </c>
      <c r="IA50" t="s">
        <v>422</v>
      </c>
      <c r="IB50" t="s">
        <v>422</v>
      </c>
      <c r="IC50" t="s">
        <v>422</v>
      </c>
      <c r="ID50" t="s">
        <v>422</v>
      </c>
      <c r="IE50">
        <v>0</v>
      </c>
      <c r="IF50">
        <v>100</v>
      </c>
      <c r="IG50">
        <v>100</v>
      </c>
      <c r="IH50">
        <v>1.7330000000000001</v>
      </c>
      <c r="II50">
        <v>0.12640000000000001</v>
      </c>
      <c r="IJ50">
        <v>1.6504745378683161</v>
      </c>
      <c r="IK50">
        <v>3.5576830062418229E-3</v>
      </c>
      <c r="IL50">
        <v>-2.2646740813029151E-6</v>
      </c>
      <c r="IM50">
        <v>6.9609298295988525E-10</v>
      </c>
      <c r="IN50">
        <v>-0.1415392912066962</v>
      </c>
      <c r="IO50">
        <v>-9.4437069492282083E-4</v>
      </c>
      <c r="IP50">
        <v>5.2900373165634467E-4</v>
      </c>
      <c r="IQ50">
        <v>-3.977656803091445E-6</v>
      </c>
      <c r="IR50">
        <v>2</v>
      </c>
      <c r="IS50">
        <v>1759</v>
      </c>
      <c r="IT50">
        <v>2</v>
      </c>
      <c r="IU50">
        <v>42</v>
      </c>
      <c r="IV50">
        <v>0.8</v>
      </c>
      <c r="IW50">
        <v>0.7</v>
      </c>
      <c r="IX50">
        <v>0.15625</v>
      </c>
      <c r="IY50">
        <v>2.50488</v>
      </c>
      <c r="IZ50">
        <v>1.54297</v>
      </c>
      <c r="JA50">
        <v>2.3046899999999999</v>
      </c>
      <c r="JB50">
        <v>1.5466299999999999</v>
      </c>
      <c r="JC50">
        <v>2.4279799999999998</v>
      </c>
      <c r="JD50">
        <v>48.887999999999998</v>
      </c>
      <c r="JE50">
        <v>15.445399999999999</v>
      </c>
      <c r="JF50">
        <v>18</v>
      </c>
      <c r="JG50">
        <v>532.19000000000005</v>
      </c>
      <c r="JH50">
        <v>414.964</v>
      </c>
      <c r="JI50">
        <v>24.5764</v>
      </c>
      <c r="JJ50">
        <v>38.895800000000001</v>
      </c>
      <c r="JK50">
        <v>30.001100000000001</v>
      </c>
      <c r="JL50">
        <v>39.185000000000002</v>
      </c>
      <c r="JM50">
        <v>39.175699999999999</v>
      </c>
      <c r="JN50">
        <v>3.2218800000000001</v>
      </c>
      <c r="JO50">
        <v>66.188599999999994</v>
      </c>
      <c r="JP50">
        <v>0</v>
      </c>
      <c r="JQ50">
        <v>24.574999999999999</v>
      </c>
      <c r="JR50">
        <v>30</v>
      </c>
      <c r="JS50">
        <v>16.824100000000001</v>
      </c>
      <c r="JT50">
        <v>98.480699999999999</v>
      </c>
      <c r="JU50">
        <v>96.330399999999997</v>
      </c>
    </row>
    <row r="51" spans="1:281" x14ac:dyDescent="0.25">
      <c r="A51">
        <v>35</v>
      </c>
      <c r="B51">
        <v>1691169006.5</v>
      </c>
      <c r="C51">
        <v>8095</v>
      </c>
      <c r="D51" t="s">
        <v>592</v>
      </c>
      <c r="E51" t="s">
        <v>593</v>
      </c>
      <c r="F51" t="s">
        <v>413</v>
      </c>
      <c r="G51" t="s">
        <v>562</v>
      </c>
      <c r="H51" t="s">
        <v>563</v>
      </c>
      <c r="I51" t="s">
        <v>31</v>
      </c>
      <c r="J51">
        <v>1691169006.5</v>
      </c>
      <c r="K51">
        <f t="shared" si="46"/>
        <v>8.2808273451523279E-3</v>
      </c>
      <c r="L51">
        <f t="shared" si="47"/>
        <v>8.2808273451523284</v>
      </c>
      <c r="M51">
        <f t="shared" si="48"/>
        <v>3.1097316674543847</v>
      </c>
      <c r="N51">
        <f t="shared" si="49"/>
        <v>22.2028</v>
      </c>
      <c r="O51">
        <f t="shared" si="50"/>
        <v>11.588538040370683</v>
      </c>
      <c r="P51">
        <f t="shared" si="51"/>
        <v>1.1499450342987667</v>
      </c>
      <c r="Q51">
        <f t="shared" si="52"/>
        <v>2.2032114420803994</v>
      </c>
      <c r="R51">
        <f t="shared" si="53"/>
        <v>0.53215182041168907</v>
      </c>
      <c r="S51">
        <f t="shared" si="54"/>
        <v>2.9125087090459991</v>
      </c>
      <c r="T51">
        <f t="shared" si="55"/>
        <v>0.4834471433661951</v>
      </c>
      <c r="U51">
        <f t="shared" si="56"/>
        <v>0.30615805393264162</v>
      </c>
      <c r="V51">
        <f t="shared" si="57"/>
        <v>344.3943999868041</v>
      </c>
      <c r="W51">
        <f t="shared" si="58"/>
        <v>30.218116005657027</v>
      </c>
      <c r="X51">
        <f t="shared" si="59"/>
        <v>30.028500000000001</v>
      </c>
      <c r="Y51">
        <f t="shared" si="60"/>
        <v>4.2674291766662593</v>
      </c>
      <c r="Z51">
        <f t="shared" si="61"/>
        <v>60.460034717896264</v>
      </c>
      <c r="AA51">
        <f t="shared" si="62"/>
        <v>2.6267700797015996</v>
      </c>
      <c r="AB51">
        <f t="shared" si="63"/>
        <v>4.3446387220218909</v>
      </c>
      <c r="AC51">
        <f t="shared" si="64"/>
        <v>1.6406590969646597</v>
      </c>
      <c r="AD51">
        <f t="shared" si="65"/>
        <v>-365.18448592121769</v>
      </c>
      <c r="AE51">
        <f t="shared" si="66"/>
        <v>49.084192392604642</v>
      </c>
      <c r="AF51">
        <f t="shared" si="67"/>
        <v>3.7541188138966093</v>
      </c>
      <c r="AG51">
        <f t="shared" si="68"/>
        <v>32.048225272087642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51790.542137643919</v>
      </c>
      <c r="AM51" t="s">
        <v>414</v>
      </c>
      <c r="AN51">
        <v>10111.299999999999</v>
      </c>
      <c r="AO51">
        <v>608.58839999999998</v>
      </c>
      <c r="AP51">
        <v>2150.11</v>
      </c>
      <c r="AQ51">
        <f t="shared" si="72"/>
        <v>0.71695010952927984</v>
      </c>
      <c r="AR51">
        <v>-1.1786277417053079</v>
      </c>
      <c r="AS51" t="s">
        <v>594</v>
      </c>
      <c r="AT51">
        <v>8098.17</v>
      </c>
      <c r="AU51">
        <v>644.37920000000008</v>
      </c>
      <c r="AV51">
        <v>698.25756535192784</v>
      </c>
      <c r="AW51">
        <f t="shared" si="73"/>
        <v>7.7161162335237399E-2</v>
      </c>
      <c r="AX51">
        <v>0.5</v>
      </c>
      <c r="AY51">
        <f t="shared" si="74"/>
        <v>1513.2716999934021</v>
      </c>
      <c r="AZ51">
        <f t="shared" si="75"/>
        <v>3.1097316674543847</v>
      </c>
      <c r="BA51">
        <f t="shared" si="76"/>
        <v>58.382901650255782</v>
      </c>
      <c r="BB51">
        <f t="shared" si="77"/>
        <v>2.8338330844212508E-3</v>
      </c>
      <c r="BC51">
        <f t="shared" si="78"/>
        <v>2.0792505612400003</v>
      </c>
      <c r="BD51">
        <f t="shared" si="79"/>
        <v>383.1138035205044</v>
      </c>
      <c r="BE51" t="s">
        <v>595</v>
      </c>
      <c r="BF51">
        <v>531.64</v>
      </c>
      <c r="BG51">
        <f t="shared" si="80"/>
        <v>531.64</v>
      </c>
      <c r="BH51">
        <f t="shared" si="81"/>
        <v>0.23861906210489991</v>
      </c>
      <c r="BI51">
        <f t="shared" si="82"/>
        <v>0.32336545812637729</v>
      </c>
      <c r="BJ51">
        <f t="shared" si="83"/>
        <v>0.89705242274992547</v>
      </c>
      <c r="BK51">
        <f t="shared" si="84"/>
        <v>0.60085721931802716</v>
      </c>
      <c r="BL51">
        <f t="shared" si="85"/>
        <v>0.94183074349919726</v>
      </c>
      <c r="BM51">
        <f t="shared" si="86"/>
        <v>0.2667901325156169</v>
      </c>
      <c r="BN51">
        <f t="shared" si="87"/>
        <v>0.7332098674843831</v>
      </c>
      <c r="BO51">
        <v>7043</v>
      </c>
      <c r="BP51">
        <v>290.00000000000011</v>
      </c>
      <c r="BQ51">
        <v>677.43</v>
      </c>
      <c r="BR51">
        <v>185</v>
      </c>
      <c r="BS51">
        <v>8098.17</v>
      </c>
      <c r="BT51">
        <v>677.12</v>
      </c>
      <c r="BU51">
        <v>0.31</v>
      </c>
      <c r="BV51">
        <v>300.00000000000011</v>
      </c>
      <c r="BW51">
        <v>19.2</v>
      </c>
      <c r="BX51">
        <v>698.25756535192784</v>
      </c>
      <c r="BY51">
        <v>2.4068606021333991</v>
      </c>
      <c r="BZ51">
        <v>-17.115966345798029</v>
      </c>
      <c r="CA51">
        <v>1.790248720696541</v>
      </c>
      <c r="CB51">
        <v>0.76550649941141968</v>
      </c>
      <c r="CC51">
        <v>-4.169951946607341E-3</v>
      </c>
      <c r="CD51">
        <v>289.99999999999989</v>
      </c>
      <c r="CE51">
        <v>675.52</v>
      </c>
      <c r="CF51">
        <v>835</v>
      </c>
      <c r="CG51">
        <v>8086.31</v>
      </c>
      <c r="CH51">
        <v>677.09</v>
      </c>
      <c r="CI51">
        <v>-1.57</v>
      </c>
      <c r="CW51">
        <f t="shared" si="88"/>
        <v>1800.1</v>
      </c>
      <c r="CX51">
        <f t="shared" si="89"/>
        <v>1513.2716999934021</v>
      </c>
      <c r="CY51">
        <f t="shared" si="90"/>
        <v>0.84065979667429702</v>
      </c>
      <c r="CZ51">
        <f t="shared" si="91"/>
        <v>0.19131959334859402</v>
      </c>
      <c r="DA51">
        <v>6</v>
      </c>
      <c r="DB51">
        <v>0.5</v>
      </c>
      <c r="DC51" t="s">
        <v>417</v>
      </c>
      <c r="DD51">
        <v>2</v>
      </c>
      <c r="DE51">
        <v>1691169006.5</v>
      </c>
      <c r="DF51">
        <v>22.2028</v>
      </c>
      <c r="DG51">
        <v>26.1557</v>
      </c>
      <c r="DH51">
        <v>26.4712</v>
      </c>
      <c r="DI51">
        <v>16.7958</v>
      </c>
      <c r="DJ51">
        <v>20.4221</v>
      </c>
      <c r="DK51">
        <v>26.341699999999999</v>
      </c>
      <c r="DL51">
        <v>499.92500000000001</v>
      </c>
      <c r="DM51">
        <v>99.130899999999997</v>
      </c>
      <c r="DN51">
        <v>0.100343</v>
      </c>
      <c r="DO51">
        <v>30.341100000000001</v>
      </c>
      <c r="DP51">
        <v>30.028500000000001</v>
      </c>
      <c r="DQ51">
        <v>999.9</v>
      </c>
      <c r="DR51">
        <v>0</v>
      </c>
      <c r="DS51">
        <v>0</v>
      </c>
      <c r="DT51">
        <v>9990</v>
      </c>
      <c r="DU51">
        <v>0</v>
      </c>
      <c r="DV51">
        <v>1701.03</v>
      </c>
      <c r="DW51">
        <v>-3.9528599999999998</v>
      </c>
      <c r="DX51">
        <v>22.8065</v>
      </c>
      <c r="DY51">
        <v>26.602499999999999</v>
      </c>
      <c r="DZ51">
        <v>9.6753900000000002</v>
      </c>
      <c r="EA51">
        <v>26.1557</v>
      </c>
      <c r="EB51">
        <v>16.7958</v>
      </c>
      <c r="EC51">
        <v>2.6241099999999999</v>
      </c>
      <c r="ED51">
        <v>1.6649799999999999</v>
      </c>
      <c r="EE51">
        <v>21.817399999999999</v>
      </c>
      <c r="EF51">
        <v>14.573700000000001</v>
      </c>
      <c r="EG51">
        <v>1800.1</v>
      </c>
      <c r="EH51">
        <v>0.97800600000000004</v>
      </c>
      <c r="EI51">
        <v>2.1993800000000001E-2</v>
      </c>
      <c r="EJ51">
        <v>0</v>
      </c>
      <c r="EK51">
        <v>643.53</v>
      </c>
      <c r="EL51">
        <v>0.10001</v>
      </c>
      <c r="EM51">
        <v>16859.8</v>
      </c>
      <c r="EN51">
        <v>16354.4</v>
      </c>
      <c r="EO51">
        <v>47.686999999999998</v>
      </c>
      <c r="EP51">
        <v>50.125</v>
      </c>
      <c r="EQ51">
        <v>49.125</v>
      </c>
      <c r="ER51">
        <v>49.061999999999998</v>
      </c>
      <c r="ES51">
        <v>49.311999999999998</v>
      </c>
      <c r="ET51">
        <v>1760.41</v>
      </c>
      <c r="EU51">
        <v>39.590000000000003</v>
      </c>
      <c r="EV51">
        <v>0</v>
      </c>
      <c r="EW51">
        <v>98.399999856948853</v>
      </c>
      <c r="EX51">
        <v>0</v>
      </c>
      <c r="EY51">
        <v>644.37920000000008</v>
      </c>
      <c r="EZ51">
        <v>-3.150769189934103</v>
      </c>
      <c r="FA51">
        <v>757.3692317448249</v>
      </c>
      <c r="FB51">
        <v>16749.84</v>
      </c>
      <c r="FC51">
        <v>15</v>
      </c>
      <c r="FD51">
        <v>1691168981.5</v>
      </c>
      <c r="FE51" t="s">
        <v>596</v>
      </c>
      <c r="FF51">
        <v>1691168963.5</v>
      </c>
      <c r="FG51">
        <v>1691168981.5</v>
      </c>
      <c r="FH51">
        <v>38</v>
      </c>
      <c r="FI51">
        <v>5.8999999999999997E-2</v>
      </c>
      <c r="FJ51">
        <v>2E-3</v>
      </c>
      <c r="FK51">
        <v>1.7929999999999999</v>
      </c>
      <c r="FL51">
        <v>-2.7E-2</v>
      </c>
      <c r="FM51">
        <v>26</v>
      </c>
      <c r="FN51">
        <v>17</v>
      </c>
      <c r="FO51">
        <v>1.07</v>
      </c>
      <c r="FP51">
        <v>0.01</v>
      </c>
      <c r="FQ51">
        <v>3.147878917893403</v>
      </c>
      <c r="FR51">
        <v>-0.59575667384570907</v>
      </c>
      <c r="FS51">
        <v>5.7161847003866208E-2</v>
      </c>
      <c r="FT51">
        <v>1</v>
      </c>
      <c r="FU51">
        <v>0.53345535136234556</v>
      </c>
      <c r="FV51">
        <v>4.4798061785202632E-2</v>
      </c>
      <c r="FW51">
        <v>5.0202590350214007E-3</v>
      </c>
      <c r="FX51">
        <v>1</v>
      </c>
      <c r="FY51">
        <v>2</v>
      </c>
      <c r="FZ51">
        <v>2</v>
      </c>
      <c r="GA51" t="s">
        <v>419</v>
      </c>
      <c r="GB51">
        <v>2.8839700000000001</v>
      </c>
      <c r="GC51">
        <v>2.82145</v>
      </c>
      <c r="GD51">
        <v>5.3401500000000001E-3</v>
      </c>
      <c r="GE51">
        <v>6.8880800000000004E-3</v>
      </c>
      <c r="GF51">
        <v>0.122196</v>
      </c>
      <c r="GG51">
        <v>8.9329099999999995E-2</v>
      </c>
      <c r="GH51">
        <v>30509.1</v>
      </c>
      <c r="GI51">
        <v>28435.5</v>
      </c>
      <c r="GJ51">
        <v>28243.4</v>
      </c>
      <c r="GK51">
        <v>26898.400000000001</v>
      </c>
      <c r="GL51">
        <v>34989.4</v>
      </c>
      <c r="GM51">
        <v>34214.300000000003</v>
      </c>
      <c r="GN51">
        <v>41556.6</v>
      </c>
      <c r="GO51">
        <v>38924.800000000003</v>
      </c>
      <c r="GP51">
        <v>2</v>
      </c>
      <c r="GQ51">
        <v>1.6624000000000001</v>
      </c>
      <c r="GR51">
        <v>-3.9607299999999998E-2</v>
      </c>
      <c r="GS51">
        <v>0</v>
      </c>
      <c r="GT51">
        <v>30.672699999999999</v>
      </c>
      <c r="GU51">
        <v>999.9</v>
      </c>
      <c r="GV51">
        <v>47.6</v>
      </c>
      <c r="GW51">
        <v>44.5</v>
      </c>
      <c r="GX51">
        <v>45.103999999999999</v>
      </c>
      <c r="GY51">
        <v>62.848500000000001</v>
      </c>
      <c r="GZ51">
        <v>32.3277</v>
      </c>
      <c r="HA51">
        <v>1</v>
      </c>
      <c r="HB51">
        <v>0.99504099999999995</v>
      </c>
      <c r="HC51">
        <v>4.6062700000000003</v>
      </c>
      <c r="HD51">
        <v>20.234000000000002</v>
      </c>
      <c r="HE51">
        <v>5.2107000000000001</v>
      </c>
      <c r="HF51">
        <v>11.997999999999999</v>
      </c>
      <c r="HG51">
        <v>4.9880000000000004</v>
      </c>
      <c r="HH51">
        <v>3.2909999999999999</v>
      </c>
      <c r="HI51">
        <v>9999</v>
      </c>
      <c r="HJ51">
        <v>9999</v>
      </c>
      <c r="HK51">
        <v>9999</v>
      </c>
      <c r="HL51">
        <v>999.9</v>
      </c>
      <c r="HM51">
        <v>1.8665799999999999</v>
      </c>
      <c r="HN51">
        <v>1.8666100000000001</v>
      </c>
      <c r="HO51">
        <v>1.8632</v>
      </c>
      <c r="HP51">
        <v>1.8643400000000001</v>
      </c>
      <c r="HQ51">
        <v>1.86389</v>
      </c>
      <c r="HR51">
        <v>1.8597399999999999</v>
      </c>
      <c r="HS51">
        <v>1.8629500000000001</v>
      </c>
      <c r="HT51">
        <v>1.86575</v>
      </c>
      <c r="HU51">
        <v>5</v>
      </c>
      <c r="HV51">
        <v>0</v>
      </c>
      <c r="HW51">
        <v>0</v>
      </c>
      <c r="HX51">
        <v>0</v>
      </c>
      <c r="HY51" t="s">
        <v>420</v>
      </c>
      <c r="HZ51" t="s">
        <v>421</v>
      </c>
      <c r="IA51" t="s">
        <v>422</v>
      </c>
      <c r="IB51" t="s">
        <v>422</v>
      </c>
      <c r="IC51" t="s">
        <v>422</v>
      </c>
      <c r="ID51" t="s">
        <v>422</v>
      </c>
      <c r="IE51">
        <v>0</v>
      </c>
      <c r="IF51">
        <v>100</v>
      </c>
      <c r="IG51">
        <v>100</v>
      </c>
      <c r="IH51">
        <v>1.7809999999999999</v>
      </c>
      <c r="II51">
        <v>0.1295</v>
      </c>
      <c r="IJ51">
        <v>1.709057268109561</v>
      </c>
      <c r="IK51">
        <v>3.5576830062418229E-3</v>
      </c>
      <c r="IL51">
        <v>-2.2646740813029151E-6</v>
      </c>
      <c r="IM51">
        <v>6.9609298295988525E-10</v>
      </c>
      <c r="IN51">
        <v>-0.13999825616713221</v>
      </c>
      <c r="IO51">
        <v>-9.4437069492282083E-4</v>
      </c>
      <c r="IP51">
        <v>5.2900373165634467E-4</v>
      </c>
      <c r="IQ51">
        <v>-3.977656803091445E-6</v>
      </c>
      <c r="IR51">
        <v>2</v>
      </c>
      <c r="IS51">
        <v>1759</v>
      </c>
      <c r="IT51">
        <v>2</v>
      </c>
      <c r="IU51">
        <v>42</v>
      </c>
      <c r="IV51">
        <v>0.7</v>
      </c>
      <c r="IW51">
        <v>0.4</v>
      </c>
      <c r="IX51">
        <v>3.1738299999999997E-2</v>
      </c>
      <c r="IY51">
        <v>4.99634</v>
      </c>
      <c r="IZ51">
        <v>1.54297</v>
      </c>
      <c r="JA51">
        <v>2.3034699999999999</v>
      </c>
      <c r="JB51">
        <v>1.5466299999999999</v>
      </c>
      <c r="JC51">
        <v>2.3144499999999999</v>
      </c>
      <c r="JD51">
        <v>49.075299999999999</v>
      </c>
      <c r="JE51">
        <v>15.4016</v>
      </c>
      <c r="JF51">
        <v>18</v>
      </c>
      <c r="JG51">
        <v>532.05999999999995</v>
      </c>
      <c r="JH51">
        <v>413.96199999999999</v>
      </c>
      <c r="JI51">
        <v>24.822399999999998</v>
      </c>
      <c r="JJ51">
        <v>38.991700000000002</v>
      </c>
      <c r="JK51">
        <v>30.000499999999999</v>
      </c>
      <c r="JL51">
        <v>39.303899999999999</v>
      </c>
      <c r="JM51">
        <v>39.285200000000003</v>
      </c>
      <c r="JN51">
        <v>0</v>
      </c>
      <c r="JO51">
        <v>66.522099999999995</v>
      </c>
      <c r="JP51">
        <v>0</v>
      </c>
      <c r="JQ51">
        <v>24.821000000000002</v>
      </c>
      <c r="JR51">
        <v>10</v>
      </c>
      <c r="JS51">
        <v>16.893799999999999</v>
      </c>
      <c r="JT51">
        <v>98.457599999999999</v>
      </c>
      <c r="JU51">
        <v>96.311999999999998</v>
      </c>
    </row>
    <row r="52" spans="1:281" x14ac:dyDescent="0.25">
      <c r="A52">
        <v>36</v>
      </c>
      <c r="B52">
        <v>1691169196</v>
      </c>
      <c r="C52">
        <v>8284.5</v>
      </c>
      <c r="D52" t="s">
        <v>597</v>
      </c>
      <c r="E52" t="s">
        <v>598</v>
      </c>
      <c r="F52" t="s">
        <v>413</v>
      </c>
      <c r="G52" t="s">
        <v>562</v>
      </c>
      <c r="H52" t="s">
        <v>563</v>
      </c>
      <c r="I52" t="s">
        <v>31</v>
      </c>
      <c r="J52">
        <v>1691169196</v>
      </c>
      <c r="K52">
        <f t="shared" si="46"/>
        <v>7.5047359460858306E-3</v>
      </c>
      <c r="L52">
        <f t="shared" si="47"/>
        <v>7.5047359460858303</v>
      </c>
      <c r="M52">
        <f t="shared" si="48"/>
        <v>48.695662051378207</v>
      </c>
      <c r="N52">
        <f t="shared" si="49"/>
        <v>338.60399999999998</v>
      </c>
      <c r="O52">
        <f t="shared" si="50"/>
        <v>155.95986288182681</v>
      </c>
      <c r="P52">
        <f t="shared" si="51"/>
        <v>15.475278282643814</v>
      </c>
      <c r="Q52">
        <f t="shared" si="52"/>
        <v>33.598331203886396</v>
      </c>
      <c r="R52">
        <f t="shared" si="53"/>
        <v>0.47714551334732302</v>
      </c>
      <c r="S52">
        <f t="shared" si="54"/>
        <v>2.9128616033619972</v>
      </c>
      <c r="T52">
        <f t="shared" si="55"/>
        <v>0.43759320871501317</v>
      </c>
      <c r="U52">
        <f t="shared" si="56"/>
        <v>0.27677563840099012</v>
      </c>
      <c r="V52">
        <f t="shared" si="57"/>
        <v>344.36709998679635</v>
      </c>
      <c r="W52">
        <f t="shared" si="58"/>
        <v>30.390409375613494</v>
      </c>
      <c r="X52">
        <f t="shared" si="59"/>
        <v>29.908000000000001</v>
      </c>
      <c r="Y52">
        <f t="shared" si="60"/>
        <v>4.2379876075478373</v>
      </c>
      <c r="Z52">
        <f t="shared" si="61"/>
        <v>59.828093225872777</v>
      </c>
      <c r="AA52">
        <f t="shared" si="62"/>
        <v>2.5948500297684398</v>
      </c>
      <c r="AB52">
        <f t="shared" si="63"/>
        <v>4.33717655010655</v>
      </c>
      <c r="AC52">
        <f t="shared" si="64"/>
        <v>1.6431375777793975</v>
      </c>
      <c r="AD52">
        <f t="shared" si="65"/>
        <v>-330.95885522238513</v>
      </c>
      <c r="AE52">
        <f t="shared" si="66"/>
        <v>63.302096307937958</v>
      </c>
      <c r="AF52">
        <f t="shared" si="67"/>
        <v>4.8373610204914064</v>
      </c>
      <c r="AG52">
        <f t="shared" si="68"/>
        <v>81.547702092840595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51805.590823598402</v>
      </c>
      <c r="AM52" t="s">
        <v>414</v>
      </c>
      <c r="AN52">
        <v>10111.299999999999</v>
      </c>
      <c r="AO52">
        <v>608.58839999999998</v>
      </c>
      <c r="AP52">
        <v>2150.11</v>
      </c>
      <c r="AQ52">
        <f t="shared" si="72"/>
        <v>0.71695010952927984</v>
      </c>
      <c r="AR52">
        <v>-1.1786277417053079</v>
      </c>
      <c r="AS52" t="s">
        <v>599</v>
      </c>
      <c r="AT52">
        <v>8093.64</v>
      </c>
      <c r="AU52">
        <v>618.88519999999994</v>
      </c>
      <c r="AV52">
        <v>982.80191074373215</v>
      </c>
      <c r="AW52">
        <f t="shared" si="73"/>
        <v>0.37028490356550026</v>
      </c>
      <c r="AX52">
        <v>0.5</v>
      </c>
      <c r="AY52">
        <f t="shared" si="74"/>
        <v>1513.1462999933983</v>
      </c>
      <c r="AZ52">
        <f t="shared" si="75"/>
        <v>48.695662051378207</v>
      </c>
      <c r="BA52">
        <f t="shared" si="76"/>
        <v>280.14761588677453</v>
      </c>
      <c r="BB52">
        <f t="shared" si="77"/>
        <v>3.2960652775809653E-2</v>
      </c>
      <c r="BC52">
        <f t="shared" si="78"/>
        <v>1.1877348593806776</v>
      </c>
      <c r="BD52">
        <f t="shared" si="79"/>
        <v>455.46607135533242</v>
      </c>
      <c r="BE52" t="s">
        <v>600</v>
      </c>
      <c r="BF52">
        <v>495.87</v>
      </c>
      <c r="BG52">
        <f t="shared" si="80"/>
        <v>495.87</v>
      </c>
      <c r="BH52">
        <f t="shared" si="81"/>
        <v>0.49545275138430289</v>
      </c>
      <c r="BI52">
        <f t="shared" si="82"/>
        <v>0.74736673180423019</v>
      </c>
      <c r="BJ52">
        <f t="shared" si="83"/>
        <v>0.70564615125753694</v>
      </c>
      <c r="BK52">
        <f t="shared" si="84"/>
        <v>0.97248415756145323</v>
      </c>
      <c r="BL52">
        <f t="shared" si="85"/>
        <v>0.75724406927302734</v>
      </c>
      <c r="BM52">
        <f t="shared" si="86"/>
        <v>0.59881338461440614</v>
      </c>
      <c r="BN52">
        <f t="shared" si="87"/>
        <v>0.40118661538559386</v>
      </c>
      <c r="BO52">
        <v>7045</v>
      </c>
      <c r="BP52">
        <v>290.00000000000011</v>
      </c>
      <c r="BQ52">
        <v>830.13</v>
      </c>
      <c r="BR52">
        <v>295</v>
      </c>
      <c r="BS52">
        <v>8093.64</v>
      </c>
      <c r="BT52">
        <v>833.28</v>
      </c>
      <c r="BU52">
        <v>-3.15</v>
      </c>
      <c r="BV52">
        <v>300.00000000000011</v>
      </c>
      <c r="BW52">
        <v>19.2</v>
      </c>
      <c r="BX52">
        <v>982.80191074373215</v>
      </c>
      <c r="BY52">
        <v>3.3471156659030461</v>
      </c>
      <c r="BZ52">
        <v>-121.020179660332</v>
      </c>
      <c r="CA52">
        <v>2.4894252926047469</v>
      </c>
      <c r="CB52">
        <v>0.98829084880150653</v>
      </c>
      <c r="CC52">
        <v>-4.1701432703003371E-3</v>
      </c>
      <c r="CD52">
        <v>289.99999999999989</v>
      </c>
      <c r="CE52">
        <v>818.98</v>
      </c>
      <c r="CF52">
        <v>625</v>
      </c>
      <c r="CG52">
        <v>8089.16</v>
      </c>
      <c r="CH52">
        <v>833.19</v>
      </c>
      <c r="CI52">
        <v>-14.21</v>
      </c>
      <c r="CW52">
        <f t="shared" si="88"/>
        <v>1799.95</v>
      </c>
      <c r="CX52">
        <f t="shared" si="89"/>
        <v>1513.1462999933983</v>
      </c>
      <c r="CY52">
        <f t="shared" si="90"/>
        <v>0.84066018500147133</v>
      </c>
      <c r="CZ52">
        <f t="shared" si="91"/>
        <v>0.1913203700029425</v>
      </c>
      <c r="DA52">
        <v>6</v>
      </c>
      <c r="DB52">
        <v>0.5</v>
      </c>
      <c r="DC52" t="s">
        <v>417</v>
      </c>
      <c r="DD52">
        <v>2</v>
      </c>
      <c r="DE52">
        <v>1691169196</v>
      </c>
      <c r="DF52">
        <v>338.60399999999998</v>
      </c>
      <c r="DG52">
        <v>400.07499999999999</v>
      </c>
      <c r="DH52">
        <v>26.1509</v>
      </c>
      <c r="DI52">
        <v>17.3826</v>
      </c>
      <c r="DJ52">
        <v>335.98599999999999</v>
      </c>
      <c r="DK52">
        <v>26.029299999999999</v>
      </c>
      <c r="DL52">
        <v>500.10700000000003</v>
      </c>
      <c r="DM52">
        <v>99.126099999999994</v>
      </c>
      <c r="DN52">
        <v>9.9931599999999995E-2</v>
      </c>
      <c r="DO52">
        <v>30.3111</v>
      </c>
      <c r="DP52">
        <v>29.908000000000001</v>
      </c>
      <c r="DQ52">
        <v>999.9</v>
      </c>
      <c r="DR52">
        <v>0</v>
      </c>
      <c r="DS52">
        <v>0</v>
      </c>
      <c r="DT52">
        <v>9992.5</v>
      </c>
      <c r="DU52">
        <v>0</v>
      </c>
      <c r="DV52">
        <v>672.98199999999997</v>
      </c>
      <c r="DW52">
        <v>-61.4709</v>
      </c>
      <c r="DX52">
        <v>347.697</v>
      </c>
      <c r="DY52">
        <v>407.15300000000002</v>
      </c>
      <c r="DZ52">
        <v>8.7682699999999993</v>
      </c>
      <c r="EA52">
        <v>400.07499999999999</v>
      </c>
      <c r="EB52">
        <v>17.3826</v>
      </c>
      <c r="EC52">
        <v>2.5922399999999999</v>
      </c>
      <c r="ED52">
        <v>1.7230700000000001</v>
      </c>
      <c r="EE52">
        <v>21.6175</v>
      </c>
      <c r="EF52">
        <v>15.1059</v>
      </c>
      <c r="EG52">
        <v>1799.95</v>
      </c>
      <c r="EH52">
        <v>0.977993</v>
      </c>
      <c r="EI52">
        <v>2.2007200000000001E-2</v>
      </c>
      <c r="EJ52">
        <v>0</v>
      </c>
      <c r="EK52">
        <v>618.74</v>
      </c>
      <c r="EL52">
        <v>0.10001</v>
      </c>
      <c r="EM52">
        <v>13930</v>
      </c>
      <c r="EN52">
        <v>16353</v>
      </c>
      <c r="EO52">
        <v>47.686999999999998</v>
      </c>
      <c r="EP52">
        <v>49.936999999999998</v>
      </c>
      <c r="EQ52">
        <v>49.125</v>
      </c>
      <c r="ER52">
        <v>48.875</v>
      </c>
      <c r="ES52">
        <v>49.311999999999998</v>
      </c>
      <c r="ET52">
        <v>1760.24</v>
      </c>
      <c r="EU52">
        <v>39.61</v>
      </c>
      <c r="EV52">
        <v>0</v>
      </c>
      <c r="EW52">
        <v>187.20000004768369</v>
      </c>
      <c r="EX52">
        <v>0</v>
      </c>
      <c r="EY52">
        <v>618.88519999999994</v>
      </c>
      <c r="EZ52">
        <v>-4.9361537614050226</v>
      </c>
      <c r="FA52">
        <v>148.46153831096501</v>
      </c>
      <c r="FB52">
        <v>13910.064</v>
      </c>
      <c r="FC52">
        <v>15</v>
      </c>
      <c r="FD52">
        <v>1691169132</v>
      </c>
      <c r="FE52" t="s">
        <v>601</v>
      </c>
      <c r="FF52">
        <v>1691169121.5</v>
      </c>
      <c r="FG52">
        <v>1691169132</v>
      </c>
      <c r="FH52">
        <v>39</v>
      </c>
      <c r="FI52">
        <v>-5.7000000000000002E-2</v>
      </c>
      <c r="FJ52">
        <v>-2E-3</v>
      </c>
      <c r="FK52">
        <v>2.7530000000000001</v>
      </c>
      <c r="FL52">
        <v>-2.8000000000000001E-2</v>
      </c>
      <c r="FM52">
        <v>401</v>
      </c>
      <c r="FN52">
        <v>17</v>
      </c>
      <c r="FO52">
        <v>0.12</v>
      </c>
      <c r="FP52">
        <v>0.02</v>
      </c>
      <c r="FQ52">
        <v>48.423949510695152</v>
      </c>
      <c r="FR52">
        <v>2.218782917079507</v>
      </c>
      <c r="FS52">
        <v>0.1874869405284901</v>
      </c>
      <c r="FT52">
        <v>0</v>
      </c>
      <c r="FU52">
        <v>0.48009237280966122</v>
      </c>
      <c r="FV52">
        <v>-1.8110664050527931E-2</v>
      </c>
      <c r="FW52">
        <v>1.465106938798217E-3</v>
      </c>
      <c r="FX52">
        <v>1</v>
      </c>
      <c r="FY52">
        <v>1</v>
      </c>
      <c r="FZ52">
        <v>2</v>
      </c>
      <c r="GA52" t="s">
        <v>602</v>
      </c>
      <c r="GB52">
        <v>2.8841700000000001</v>
      </c>
      <c r="GC52">
        <v>2.8210600000000001</v>
      </c>
      <c r="GD52">
        <v>7.5479900000000003E-2</v>
      </c>
      <c r="GE52">
        <v>8.7018200000000004E-2</v>
      </c>
      <c r="GF52">
        <v>0.12113699999999999</v>
      </c>
      <c r="GG52">
        <v>9.1509300000000002E-2</v>
      </c>
      <c r="GH52">
        <v>28357.3</v>
      </c>
      <c r="GI52">
        <v>26135</v>
      </c>
      <c r="GJ52">
        <v>28239.1</v>
      </c>
      <c r="GK52">
        <v>26888.2</v>
      </c>
      <c r="GL52">
        <v>35027.5</v>
      </c>
      <c r="GM52">
        <v>34122.9</v>
      </c>
      <c r="GN52">
        <v>41550.1</v>
      </c>
      <c r="GO52">
        <v>38912.300000000003</v>
      </c>
      <c r="GP52">
        <v>1.9988999999999999</v>
      </c>
      <c r="GQ52">
        <v>1.6592</v>
      </c>
      <c r="GR52">
        <v>-2.6300500000000001E-2</v>
      </c>
      <c r="GS52">
        <v>0</v>
      </c>
      <c r="GT52">
        <v>30.335899999999999</v>
      </c>
      <c r="GU52">
        <v>999.9</v>
      </c>
      <c r="GV52">
        <v>47.7</v>
      </c>
      <c r="GW52">
        <v>44.8</v>
      </c>
      <c r="GX52">
        <v>45.905799999999999</v>
      </c>
      <c r="GY52">
        <v>62.658499999999997</v>
      </c>
      <c r="GZ52">
        <v>32.484000000000002</v>
      </c>
      <c r="HA52">
        <v>1</v>
      </c>
      <c r="HB52">
        <v>1.00122</v>
      </c>
      <c r="HC52">
        <v>3.16798</v>
      </c>
      <c r="HD52">
        <v>20.264800000000001</v>
      </c>
      <c r="HE52">
        <v>5.2112999999999996</v>
      </c>
      <c r="HF52">
        <v>11.997999999999999</v>
      </c>
      <c r="HG52">
        <v>4.9874000000000001</v>
      </c>
      <c r="HH52">
        <v>3.2909999999999999</v>
      </c>
      <c r="HI52">
        <v>9999</v>
      </c>
      <c r="HJ52">
        <v>9999</v>
      </c>
      <c r="HK52">
        <v>9999</v>
      </c>
      <c r="HL52">
        <v>999.9</v>
      </c>
      <c r="HM52">
        <v>1.86652</v>
      </c>
      <c r="HN52">
        <v>1.8666100000000001</v>
      </c>
      <c r="HO52">
        <v>1.86324</v>
      </c>
      <c r="HP52">
        <v>1.86432</v>
      </c>
      <c r="HQ52">
        <v>1.8638999999999999</v>
      </c>
      <c r="HR52">
        <v>1.8597399999999999</v>
      </c>
      <c r="HS52">
        <v>1.8629500000000001</v>
      </c>
      <c r="HT52">
        <v>1.8656900000000001</v>
      </c>
      <c r="HU52">
        <v>5</v>
      </c>
      <c r="HV52">
        <v>0</v>
      </c>
      <c r="HW52">
        <v>0</v>
      </c>
      <c r="HX52">
        <v>0</v>
      </c>
      <c r="HY52" t="s">
        <v>420</v>
      </c>
      <c r="HZ52" t="s">
        <v>421</v>
      </c>
      <c r="IA52" t="s">
        <v>422</v>
      </c>
      <c r="IB52" t="s">
        <v>422</v>
      </c>
      <c r="IC52" t="s">
        <v>422</v>
      </c>
      <c r="ID52" t="s">
        <v>422</v>
      </c>
      <c r="IE52">
        <v>0</v>
      </c>
      <c r="IF52">
        <v>100</v>
      </c>
      <c r="IG52">
        <v>100</v>
      </c>
      <c r="IH52">
        <v>2.6179999999999999</v>
      </c>
      <c r="II52">
        <v>0.1216</v>
      </c>
      <c r="IJ52">
        <v>1.6523394361178201</v>
      </c>
      <c r="IK52">
        <v>3.5576830062418229E-3</v>
      </c>
      <c r="IL52">
        <v>-2.2646740813029151E-6</v>
      </c>
      <c r="IM52">
        <v>6.9609298295988525E-10</v>
      </c>
      <c r="IN52">
        <v>-0.14212910279673999</v>
      </c>
      <c r="IO52">
        <v>-9.4437069492282083E-4</v>
      </c>
      <c r="IP52">
        <v>5.2900373165634467E-4</v>
      </c>
      <c r="IQ52">
        <v>-3.977656803091445E-6</v>
      </c>
      <c r="IR52">
        <v>2</v>
      </c>
      <c r="IS52">
        <v>1759</v>
      </c>
      <c r="IT52">
        <v>2</v>
      </c>
      <c r="IU52">
        <v>42</v>
      </c>
      <c r="IV52">
        <v>1.2</v>
      </c>
      <c r="IW52">
        <v>1.1000000000000001</v>
      </c>
      <c r="IX52">
        <v>0.96191400000000005</v>
      </c>
      <c r="IY52">
        <v>2.4450699999999999</v>
      </c>
      <c r="IZ52">
        <v>1.54297</v>
      </c>
      <c r="JA52">
        <v>2.3034699999999999</v>
      </c>
      <c r="JB52">
        <v>1.5466299999999999</v>
      </c>
      <c r="JC52">
        <v>2.31812</v>
      </c>
      <c r="JD52">
        <v>49.3264</v>
      </c>
      <c r="JE52">
        <v>15.410399999999999</v>
      </c>
      <c r="JF52">
        <v>18</v>
      </c>
      <c r="JG52">
        <v>532.71400000000006</v>
      </c>
      <c r="JH52">
        <v>413.00400000000002</v>
      </c>
      <c r="JI52">
        <v>25.676600000000001</v>
      </c>
      <c r="JJ52">
        <v>39.135800000000003</v>
      </c>
      <c r="JK52">
        <v>29.999400000000001</v>
      </c>
      <c r="JL52">
        <v>39.482999999999997</v>
      </c>
      <c r="JM52">
        <v>39.465699999999998</v>
      </c>
      <c r="JN52">
        <v>19.377700000000001</v>
      </c>
      <c r="JO52">
        <v>66.440399999999997</v>
      </c>
      <c r="JP52">
        <v>0</v>
      </c>
      <c r="JQ52">
        <v>25.7151</v>
      </c>
      <c r="JR52">
        <v>400</v>
      </c>
      <c r="JS52">
        <v>17.462800000000001</v>
      </c>
      <c r="JT52">
        <v>98.442400000000006</v>
      </c>
      <c r="JU52">
        <v>96.278800000000004</v>
      </c>
    </row>
    <row r="53" spans="1:281" x14ac:dyDescent="0.25">
      <c r="A53">
        <v>37</v>
      </c>
      <c r="B53">
        <v>1691169307.5</v>
      </c>
      <c r="C53">
        <v>8396</v>
      </c>
      <c r="D53" t="s">
        <v>603</v>
      </c>
      <c r="E53" t="s">
        <v>604</v>
      </c>
      <c r="F53" t="s">
        <v>413</v>
      </c>
      <c r="G53" t="s">
        <v>562</v>
      </c>
      <c r="H53" t="s">
        <v>563</v>
      </c>
      <c r="I53" t="s">
        <v>31</v>
      </c>
      <c r="J53">
        <v>1691169307.5</v>
      </c>
      <c r="K53">
        <f t="shared" si="46"/>
        <v>6.9368922051708717E-3</v>
      </c>
      <c r="L53">
        <f t="shared" si="47"/>
        <v>6.9368922051708717</v>
      </c>
      <c r="M53">
        <f t="shared" si="48"/>
        <v>53.059124931570615</v>
      </c>
      <c r="N53">
        <f t="shared" si="49"/>
        <v>333.60199999999998</v>
      </c>
      <c r="O53">
        <f t="shared" si="50"/>
        <v>120.72912567994877</v>
      </c>
      <c r="P53">
        <f t="shared" si="51"/>
        <v>11.979273911190814</v>
      </c>
      <c r="Q53">
        <f t="shared" si="52"/>
        <v>33.101455119580997</v>
      </c>
      <c r="R53">
        <f t="shared" si="53"/>
        <v>0.43988801496377655</v>
      </c>
      <c r="S53">
        <f t="shared" si="54"/>
        <v>2.9228771663027793</v>
      </c>
      <c r="T53">
        <f t="shared" si="55"/>
        <v>0.40614321205560516</v>
      </c>
      <c r="U53">
        <f t="shared" si="56"/>
        <v>0.25665528371442786</v>
      </c>
      <c r="V53">
        <f t="shared" si="57"/>
        <v>344.35949998679604</v>
      </c>
      <c r="W53">
        <f t="shared" si="58"/>
        <v>30.653344276946527</v>
      </c>
      <c r="X53">
        <f t="shared" si="59"/>
        <v>30.007899999999999</v>
      </c>
      <c r="Y53">
        <f t="shared" si="60"/>
        <v>4.262383416999719</v>
      </c>
      <c r="Z53">
        <f t="shared" si="61"/>
        <v>60.15744931249715</v>
      </c>
      <c r="AA53">
        <f t="shared" si="62"/>
        <v>2.6264696165349997</v>
      </c>
      <c r="AB53">
        <f t="shared" si="63"/>
        <v>4.3659923194073578</v>
      </c>
      <c r="AC53">
        <f t="shared" si="64"/>
        <v>1.6359138004647193</v>
      </c>
      <c r="AD53">
        <f t="shared" si="65"/>
        <v>-305.91694624803546</v>
      </c>
      <c r="AE53">
        <f t="shared" si="66"/>
        <v>65.993730807132977</v>
      </c>
      <c r="AF53">
        <f t="shared" si="67"/>
        <v>5.0311290823659265</v>
      </c>
      <c r="AG53">
        <f t="shared" si="68"/>
        <v>109.46741362825946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52070.639860149429</v>
      </c>
      <c r="AM53" t="s">
        <v>414</v>
      </c>
      <c r="AN53">
        <v>10111.299999999999</v>
      </c>
      <c r="AO53">
        <v>608.58839999999998</v>
      </c>
      <c r="AP53">
        <v>2150.11</v>
      </c>
      <c r="AQ53">
        <f t="shared" si="72"/>
        <v>0.71695010952927984</v>
      </c>
      <c r="AR53">
        <v>-1.1786277417053079</v>
      </c>
      <c r="AS53" t="s">
        <v>605</v>
      </c>
      <c r="AT53">
        <v>8093.95</v>
      </c>
      <c r="AU53">
        <v>634.48919999999998</v>
      </c>
      <c r="AV53">
        <v>1018.753493264975</v>
      </c>
      <c r="AW53">
        <f t="shared" si="73"/>
        <v>0.37719065093308979</v>
      </c>
      <c r="AX53">
        <v>0.5</v>
      </c>
      <c r="AY53">
        <f t="shared" si="74"/>
        <v>1513.1126999933981</v>
      </c>
      <c r="AZ53">
        <f t="shared" si="75"/>
        <v>53.059124931570615</v>
      </c>
      <c r="BA53">
        <f t="shared" si="76"/>
        <v>285.3659821228174</v>
      </c>
      <c r="BB53">
        <f t="shared" si="77"/>
        <v>3.5845150644438162E-2</v>
      </c>
      <c r="BC53">
        <f t="shared" si="78"/>
        <v>1.1105301863644872</v>
      </c>
      <c r="BD53">
        <f t="shared" si="79"/>
        <v>463.03886964655453</v>
      </c>
      <c r="BE53" t="s">
        <v>606</v>
      </c>
      <c r="BF53">
        <v>504.73</v>
      </c>
      <c r="BG53">
        <f t="shared" si="80"/>
        <v>504.73</v>
      </c>
      <c r="BH53">
        <f t="shared" si="81"/>
        <v>0.50456120804807769</v>
      </c>
      <c r="BI53">
        <f t="shared" si="82"/>
        <v>0.74756173268308157</v>
      </c>
      <c r="BJ53">
        <f t="shared" si="83"/>
        <v>0.68759587860252647</v>
      </c>
      <c r="BK53">
        <f t="shared" si="84"/>
        <v>0.93685274435758104</v>
      </c>
      <c r="BL53">
        <f t="shared" si="85"/>
        <v>0.73392192930350442</v>
      </c>
      <c r="BM53">
        <f t="shared" si="86"/>
        <v>0.59467810222322426</v>
      </c>
      <c r="BN53">
        <f t="shared" si="87"/>
        <v>0.40532189777677574</v>
      </c>
      <c r="BO53">
        <v>7047</v>
      </c>
      <c r="BP53">
        <v>290.00000000000011</v>
      </c>
      <c r="BQ53">
        <v>868.55</v>
      </c>
      <c r="BR53">
        <v>285</v>
      </c>
      <c r="BS53">
        <v>8093.95</v>
      </c>
      <c r="BT53">
        <v>870.62</v>
      </c>
      <c r="BU53">
        <v>-2.0699999999999998</v>
      </c>
      <c r="BV53">
        <v>300.00000000000011</v>
      </c>
      <c r="BW53">
        <v>19.2</v>
      </c>
      <c r="BX53">
        <v>1018.753493264975</v>
      </c>
      <c r="BY53">
        <v>2.964678365162388</v>
      </c>
      <c r="BZ53">
        <v>-119.89817942244829</v>
      </c>
      <c r="CA53">
        <v>2.205070312335093</v>
      </c>
      <c r="CB53">
        <v>0.99061824556571432</v>
      </c>
      <c r="CC53">
        <v>-4.1703908787541714E-3</v>
      </c>
      <c r="CD53">
        <v>289.99999999999989</v>
      </c>
      <c r="CE53">
        <v>858.73</v>
      </c>
      <c r="CF53">
        <v>655</v>
      </c>
      <c r="CG53">
        <v>8088.87</v>
      </c>
      <c r="CH53">
        <v>870.53</v>
      </c>
      <c r="CI53">
        <v>-11.8</v>
      </c>
      <c r="CW53">
        <f t="shared" si="88"/>
        <v>1799.91</v>
      </c>
      <c r="CX53">
        <f t="shared" si="89"/>
        <v>1513.1126999933981</v>
      </c>
      <c r="CY53">
        <f t="shared" si="90"/>
        <v>0.84066019967298256</v>
      </c>
      <c r="CZ53">
        <f t="shared" si="91"/>
        <v>0.19132039934596509</v>
      </c>
      <c r="DA53">
        <v>6</v>
      </c>
      <c r="DB53">
        <v>0.5</v>
      </c>
      <c r="DC53" t="s">
        <v>417</v>
      </c>
      <c r="DD53">
        <v>2</v>
      </c>
      <c r="DE53">
        <v>1691169307.5</v>
      </c>
      <c r="DF53">
        <v>333.60199999999998</v>
      </c>
      <c r="DG53">
        <v>400.053</v>
      </c>
      <c r="DH53">
        <v>26.47</v>
      </c>
      <c r="DI53">
        <v>18.3657</v>
      </c>
      <c r="DJ53">
        <v>331.08</v>
      </c>
      <c r="DK53">
        <v>26.343399999999999</v>
      </c>
      <c r="DL53">
        <v>499.97699999999998</v>
      </c>
      <c r="DM53">
        <v>99.124499999999998</v>
      </c>
      <c r="DN53">
        <v>9.9890499999999993E-2</v>
      </c>
      <c r="DO53">
        <v>30.4267</v>
      </c>
      <c r="DP53">
        <v>30.007899999999999</v>
      </c>
      <c r="DQ53">
        <v>999.9</v>
      </c>
      <c r="DR53">
        <v>0</v>
      </c>
      <c r="DS53">
        <v>0</v>
      </c>
      <c r="DT53">
        <v>10050</v>
      </c>
      <c r="DU53">
        <v>0</v>
      </c>
      <c r="DV53">
        <v>662.71299999999997</v>
      </c>
      <c r="DW53">
        <v>-66.451400000000007</v>
      </c>
      <c r="DX53">
        <v>342.673</v>
      </c>
      <c r="DY53">
        <v>407.53800000000001</v>
      </c>
      <c r="DZ53">
        <v>8.1042900000000007</v>
      </c>
      <c r="EA53">
        <v>400.053</v>
      </c>
      <c r="EB53">
        <v>18.3657</v>
      </c>
      <c r="EC53">
        <v>2.6238299999999999</v>
      </c>
      <c r="ED53">
        <v>1.8204899999999999</v>
      </c>
      <c r="EE53">
        <v>21.8157</v>
      </c>
      <c r="EF53">
        <v>15.963900000000001</v>
      </c>
      <c r="EG53">
        <v>1799.91</v>
      </c>
      <c r="EH53">
        <v>0.977993</v>
      </c>
      <c r="EI53">
        <v>2.2007200000000001E-2</v>
      </c>
      <c r="EJ53">
        <v>0</v>
      </c>
      <c r="EK53">
        <v>635.16999999999996</v>
      </c>
      <c r="EL53">
        <v>0.10001</v>
      </c>
      <c r="EM53">
        <v>14214</v>
      </c>
      <c r="EN53">
        <v>16352.7</v>
      </c>
      <c r="EO53">
        <v>47.561999999999998</v>
      </c>
      <c r="EP53">
        <v>49.625</v>
      </c>
      <c r="EQ53">
        <v>49</v>
      </c>
      <c r="ER53">
        <v>48.686999999999998</v>
      </c>
      <c r="ES53">
        <v>49.125</v>
      </c>
      <c r="ET53">
        <v>1760.2</v>
      </c>
      <c r="EU53">
        <v>39.61</v>
      </c>
      <c r="EV53">
        <v>0</v>
      </c>
      <c r="EW53">
        <v>109.2000000476837</v>
      </c>
      <c r="EX53">
        <v>0</v>
      </c>
      <c r="EY53">
        <v>634.48919999999998</v>
      </c>
      <c r="EZ53">
        <v>6.6700000136035156</v>
      </c>
      <c r="FA53">
        <v>-90.13846141206929</v>
      </c>
      <c r="FB53">
        <v>14228.68</v>
      </c>
      <c r="FC53">
        <v>15</v>
      </c>
      <c r="FD53">
        <v>1691169279</v>
      </c>
      <c r="FE53" t="s">
        <v>607</v>
      </c>
      <c r="FF53">
        <v>1691169279</v>
      </c>
      <c r="FG53">
        <v>1691169274</v>
      </c>
      <c r="FH53">
        <v>40</v>
      </c>
      <c r="FI53">
        <v>-8.5000000000000006E-2</v>
      </c>
      <c r="FJ53">
        <v>-1E-3</v>
      </c>
      <c r="FK53">
        <v>2.6680000000000001</v>
      </c>
      <c r="FL53">
        <v>-1.2999999999999999E-2</v>
      </c>
      <c r="FM53">
        <v>400</v>
      </c>
      <c r="FN53">
        <v>18</v>
      </c>
      <c r="FO53">
        <v>0.09</v>
      </c>
      <c r="FP53">
        <v>0.03</v>
      </c>
      <c r="FQ53">
        <v>52.813408944812707</v>
      </c>
      <c r="FR53">
        <v>0.42727770182020952</v>
      </c>
      <c r="FS53">
        <v>8.9394676867277395E-2</v>
      </c>
      <c r="FT53">
        <v>1</v>
      </c>
      <c r="FU53">
        <v>0.44516288134061371</v>
      </c>
      <c r="FV53">
        <v>-2.5908573202987069E-2</v>
      </c>
      <c r="FW53">
        <v>2.3120819771319059E-3</v>
      </c>
      <c r="FX53">
        <v>1</v>
      </c>
      <c r="FY53">
        <v>2</v>
      </c>
      <c r="FZ53">
        <v>2</v>
      </c>
      <c r="GA53" t="s">
        <v>419</v>
      </c>
      <c r="GB53">
        <v>2.8839600000000001</v>
      </c>
      <c r="GC53">
        <v>2.82152</v>
      </c>
      <c r="GD53">
        <v>7.4595300000000003E-2</v>
      </c>
      <c r="GE53">
        <v>8.7024000000000004E-2</v>
      </c>
      <c r="GF53">
        <v>0.12214800000000001</v>
      </c>
      <c r="GG53">
        <v>9.5166799999999996E-2</v>
      </c>
      <c r="GH53">
        <v>28386.799999999999</v>
      </c>
      <c r="GI53">
        <v>26137.1</v>
      </c>
      <c r="GJ53">
        <v>28241.200000000001</v>
      </c>
      <c r="GK53">
        <v>26890.2</v>
      </c>
      <c r="GL53">
        <v>34989.699999999997</v>
      </c>
      <c r="GM53">
        <v>33988.699999999997</v>
      </c>
      <c r="GN53">
        <v>41553.1</v>
      </c>
      <c r="GO53">
        <v>38915.5</v>
      </c>
      <c r="GP53">
        <v>1.9982</v>
      </c>
      <c r="GQ53">
        <v>1.6601999999999999</v>
      </c>
      <c r="GR53">
        <v>-3.0994400000000002E-3</v>
      </c>
      <c r="GS53">
        <v>0</v>
      </c>
      <c r="GT53">
        <v>30.058299999999999</v>
      </c>
      <c r="GU53">
        <v>999.9</v>
      </c>
      <c r="GV53">
        <v>47.6</v>
      </c>
      <c r="GW53">
        <v>44.9</v>
      </c>
      <c r="GX53">
        <v>46.048400000000001</v>
      </c>
      <c r="GY53">
        <v>62.238500000000002</v>
      </c>
      <c r="GZ53">
        <v>32.484000000000002</v>
      </c>
      <c r="HA53">
        <v>1</v>
      </c>
      <c r="HB53">
        <v>0.99793699999999996</v>
      </c>
      <c r="HC53">
        <v>3.7606299999999999</v>
      </c>
      <c r="HD53">
        <v>20.253900000000002</v>
      </c>
      <c r="HE53">
        <v>5.2107000000000001</v>
      </c>
      <c r="HF53">
        <v>11.997999999999999</v>
      </c>
      <c r="HG53">
        <v>4.9882</v>
      </c>
      <c r="HH53">
        <v>3.2909999999999999</v>
      </c>
      <c r="HI53">
        <v>9999</v>
      </c>
      <c r="HJ53">
        <v>9999</v>
      </c>
      <c r="HK53">
        <v>9999</v>
      </c>
      <c r="HL53">
        <v>999.9</v>
      </c>
      <c r="HM53">
        <v>1.8665099999999999</v>
      </c>
      <c r="HN53">
        <v>1.8666100000000001</v>
      </c>
      <c r="HO53">
        <v>1.8632</v>
      </c>
      <c r="HP53">
        <v>1.86432</v>
      </c>
      <c r="HQ53">
        <v>1.8638600000000001</v>
      </c>
      <c r="HR53">
        <v>1.85972</v>
      </c>
      <c r="HS53">
        <v>1.8629199999999999</v>
      </c>
      <c r="HT53">
        <v>1.8656900000000001</v>
      </c>
      <c r="HU53">
        <v>5</v>
      </c>
      <c r="HV53">
        <v>0</v>
      </c>
      <c r="HW53">
        <v>0</v>
      </c>
      <c r="HX53">
        <v>0</v>
      </c>
      <c r="HY53" t="s">
        <v>420</v>
      </c>
      <c r="HZ53" t="s">
        <v>421</v>
      </c>
      <c r="IA53" t="s">
        <v>422</v>
      </c>
      <c r="IB53" t="s">
        <v>422</v>
      </c>
      <c r="IC53" t="s">
        <v>422</v>
      </c>
      <c r="ID53" t="s">
        <v>422</v>
      </c>
      <c r="IE53">
        <v>0</v>
      </c>
      <c r="IF53">
        <v>100</v>
      </c>
      <c r="IG53">
        <v>100</v>
      </c>
      <c r="IH53">
        <v>2.5219999999999998</v>
      </c>
      <c r="II53">
        <v>0.12659999999999999</v>
      </c>
      <c r="IJ53">
        <v>1.5672445526497401</v>
      </c>
      <c r="IK53">
        <v>3.5576830062418229E-3</v>
      </c>
      <c r="IL53">
        <v>-2.2646740813029151E-6</v>
      </c>
      <c r="IM53">
        <v>6.9609298295988525E-10</v>
      </c>
      <c r="IN53">
        <v>-0.14289952248535859</v>
      </c>
      <c r="IO53">
        <v>-9.4437069492282083E-4</v>
      </c>
      <c r="IP53">
        <v>5.2900373165634467E-4</v>
      </c>
      <c r="IQ53">
        <v>-3.977656803091445E-6</v>
      </c>
      <c r="IR53">
        <v>2</v>
      </c>
      <c r="IS53">
        <v>1759</v>
      </c>
      <c r="IT53">
        <v>2</v>
      </c>
      <c r="IU53">
        <v>42</v>
      </c>
      <c r="IV53">
        <v>0.5</v>
      </c>
      <c r="IW53">
        <v>0.6</v>
      </c>
      <c r="IX53">
        <v>0.96069300000000002</v>
      </c>
      <c r="IY53">
        <v>2.4304199999999998</v>
      </c>
      <c r="IZ53">
        <v>1.54297</v>
      </c>
      <c r="JA53">
        <v>2.3034699999999999</v>
      </c>
      <c r="JB53">
        <v>1.5466299999999999</v>
      </c>
      <c r="JC53">
        <v>2.4316399999999998</v>
      </c>
      <c r="JD53">
        <v>49.231999999999999</v>
      </c>
      <c r="JE53">
        <v>15.3841</v>
      </c>
      <c r="JF53">
        <v>18</v>
      </c>
      <c r="JG53">
        <v>532.19200000000001</v>
      </c>
      <c r="JH53">
        <v>413.57</v>
      </c>
      <c r="JI53">
        <v>25.710999999999999</v>
      </c>
      <c r="JJ53">
        <v>39.062899999999999</v>
      </c>
      <c r="JK53">
        <v>29.999400000000001</v>
      </c>
      <c r="JL53">
        <v>39.474600000000002</v>
      </c>
      <c r="JM53">
        <v>39.452300000000001</v>
      </c>
      <c r="JN53">
        <v>19.343</v>
      </c>
      <c r="JO53">
        <v>65.051199999999994</v>
      </c>
      <c r="JP53">
        <v>0</v>
      </c>
      <c r="JQ53">
        <v>25.7197</v>
      </c>
      <c r="JR53">
        <v>400</v>
      </c>
      <c r="JS53">
        <v>18.2957</v>
      </c>
      <c r="JT53">
        <v>98.449700000000007</v>
      </c>
      <c r="JU53">
        <v>96.286299999999997</v>
      </c>
    </row>
    <row r="54" spans="1:281" x14ac:dyDescent="0.25">
      <c r="A54">
        <v>38</v>
      </c>
      <c r="B54">
        <v>1691169407</v>
      </c>
      <c r="C54">
        <v>8495.5</v>
      </c>
      <c r="D54" t="s">
        <v>608</v>
      </c>
      <c r="E54" t="s">
        <v>609</v>
      </c>
      <c r="F54" t="s">
        <v>413</v>
      </c>
      <c r="G54" t="s">
        <v>562</v>
      </c>
      <c r="H54" t="s">
        <v>563</v>
      </c>
      <c r="I54" t="s">
        <v>31</v>
      </c>
      <c r="J54">
        <v>1691169407</v>
      </c>
      <c r="K54">
        <f t="shared" si="46"/>
        <v>6.5050490668649239E-3</v>
      </c>
      <c r="L54">
        <f t="shared" si="47"/>
        <v>6.5050490668649239</v>
      </c>
      <c r="M54">
        <f t="shared" si="48"/>
        <v>57.183492194975379</v>
      </c>
      <c r="N54">
        <f t="shared" si="49"/>
        <v>427.88600000000002</v>
      </c>
      <c r="O54">
        <f t="shared" si="50"/>
        <v>178.91807943900716</v>
      </c>
      <c r="P54">
        <f t="shared" si="51"/>
        <v>17.753128003773302</v>
      </c>
      <c r="Q54">
        <f t="shared" si="52"/>
        <v>42.456944277742004</v>
      </c>
      <c r="R54">
        <f t="shared" si="53"/>
        <v>0.40516653551368759</v>
      </c>
      <c r="S54">
        <f t="shared" si="54"/>
        <v>2.9172226666057632</v>
      </c>
      <c r="T54">
        <f t="shared" si="55"/>
        <v>0.37630007898720819</v>
      </c>
      <c r="U54">
        <f t="shared" si="56"/>
        <v>0.23760947682352185</v>
      </c>
      <c r="V54">
        <f t="shared" si="57"/>
        <v>344.33109998680499</v>
      </c>
      <c r="W54">
        <f t="shared" si="58"/>
        <v>30.769864502257484</v>
      </c>
      <c r="X54">
        <f t="shared" si="59"/>
        <v>29.975100000000001</v>
      </c>
      <c r="Y54">
        <f t="shared" si="60"/>
        <v>4.2543601217822991</v>
      </c>
      <c r="Z54">
        <f t="shared" si="61"/>
        <v>59.499368881055723</v>
      </c>
      <c r="AA54">
        <f t="shared" si="62"/>
        <v>2.598303152842</v>
      </c>
      <c r="AB54">
        <f t="shared" si="63"/>
        <v>4.366942375533811</v>
      </c>
      <c r="AC54">
        <f t="shared" si="64"/>
        <v>1.6560569689402991</v>
      </c>
      <c r="AD54">
        <f t="shared" si="65"/>
        <v>-286.87266384874317</v>
      </c>
      <c r="AE54">
        <f t="shared" si="66"/>
        <v>71.622264646293118</v>
      </c>
      <c r="AF54">
        <f t="shared" si="67"/>
        <v>5.4700279459184502</v>
      </c>
      <c r="AG54">
        <f t="shared" si="68"/>
        <v>134.55072873027336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51909.133878076362</v>
      </c>
      <c r="AM54" t="s">
        <v>414</v>
      </c>
      <c r="AN54">
        <v>10111.299999999999</v>
      </c>
      <c r="AO54">
        <v>608.58839999999998</v>
      </c>
      <c r="AP54">
        <v>2150.11</v>
      </c>
      <c r="AQ54">
        <f t="shared" si="72"/>
        <v>0.71695010952927984</v>
      </c>
      <c r="AR54">
        <v>-1.1786277417053079</v>
      </c>
      <c r="AS54" t="s">
        <v>610</v>
      </c>
      <c r="AT54">
        <v>8094.83</v>
      </c>
      <c r="AU54">
        <v>657.06319999999994</v>
      </c>
      <c r="AV54">
        <v>1077.173984441808</v>
      </c>
      <c r="AW54">
        <f t="shared" si="73"/>
        <v>0.39001200410489822</v>
      </c>
      <c r="AX54">
        <v>0.5</v>
      </c>
      <c r="AY54">
        <f t="shared" si="74"/>
        <v>1512.9941999934024</v>
      </c>
      <c r="AZ54">
        <f t="shared" si="75"/>
        <v>57.183492194975379</v>
      </c>
      <c r="BA54">
        <f t="shared" si="76"/>
        <v>295.04295006925702</v>
      </c>
      <c r="BB54">
        <f t="shared" si="77"/>
        <v>3.8573921788289195E-2</v>
      </c>
      <c r="BC54">
        <f t="shared" si="78"/>
        <v>0.99606565982392159</v>
      </c>
      <c r="BD54">
        <f t="shared" si="79"/>
        <v>474.74153858833841</v>
      </c>
      <c r="BE54" t="s">
        <v>611</v>
      </c>
      <c r="BF54">
        <v>511.09</v>
      </c>
      <c r="BG54">
        <f t="shared" si="80"/>
        <v>511.09</v>
      </c>
      <c r="BH54">
        <f t="shared" si="81"/>
        <v>0.52552697393184156</v>
      </c>
      <c r="BI54">
        <f t="shared" si="82"/>
        <v>0.74213508240488713</v>
      </c>
      <c r="BJ54">
        <f t="shared" si="83"/>
        <v>0.6546204534161828</v>
      </c>
      <c r="BK54">
        <f t="shared" si="84"/>
        <v>0.89655080819922262</v>
      </c>
      <c r="BL54">
        <f t="shared" si="85"/>
        <v>0.69602399055465203</v>
      </c>
      <c r="BM54">
        <f t="shared" si="86"/>
        <v>0.57726230789719135</v>
      </c>
      <c r="BN54">
        <f t="shared" si="87"/>
        <v>0.42273769210280865</v>
      </c>
      <c r="BO54">
        <v>7049</v>
      </c>
      <c r="BP54">
        <v>290.00000000000011</v>
      </c>
      <c r="BQ54">
        <v>925.53</v>
      </c>
      <c r="BR54">
        <v>285</v>
      </c>
      <c r="BS54">
        <v>8094.83</v>
      </c>
      <c r="BT54">
        <v>927.96</v>
      </c>
      <c r="BU54">
        <v>-2.4300000000000002</v>
      </c>
      <c r="BV54">
        <v>300.00000000000011</v>
      </c>
      <c r="BW54">
        <v>19.2</v>
      </c>
      <c r="BX54">
        <v>1077.173984441808</v>
      </c>
      <c r="BY54">
        <v>3.306673167069123</v>
      </c>
      <c r="BZ54">
        <v>-120.78324534823339</v>
      </c>
      <c r="CA54">
        <v>2.4597252210611509</v>
      </c>
      <c r="CB54">
        <v>0.98852100850116076</v>
      </c>
      <c r="CC54">
        <v>-4.1707624026696361E-3</v>
      </c>
      <c r="CD54">
        <v>289.99999999999989</v>
      </c>
      <c r="CE54">
        <v>917.91</v>
      </c>
      <c r="CF54">
        <v>635</v>
      </c>
      <c r="CG54">
        <v>8090.25</v>
      </c>
      <c r="CH54">
        <v>927.88</v>
      </c>
      <c r="CI54">
        <v>-9.9700000000000006</v>
      </c>
      <c r="CW54">
        <f t="shared" si="88"/>
        <v>1799.77</v>
      </c>
      <c r="CX54">
        <f t="shared" si="89"/>
        <v>1512.9941999934024</v>
      </c>
      <c r="CY54">
        <f t="shared" si="90"/>
        <v>0.84065975096451351</v>
      </c>
      <c r="CZ54">
        <f t="shared" si="91"/>
        <v>0.19131950192902702</v>
      </c>
      <c r="DA54">
        <v>6</v>
      </c>
      <c r="DB54">
        <v>0.5</v>
      </c>
      <c r="DC54" t="s">
        <v>417</v>
      </c>
      <c r="DD54">
        <v>2</v>
      </c>
      <c r="DE54">
        <v>1691169407</v>
      </c>
      <c r="DF54">
        <v>427.88600000000002</v>
      </c>
      <c r="DG54">
        <v>499.82499999999999</v>
      </c>
      <c r="DH54">
        <v>26.186</v>
      </c>
      <c r="DI54">
        <v>18.586600000000001</v>
      </c>
      <c r="DJ54">
        <v>425.12799999999999</v>
      </c>
      <c r="DK54">
        <v>26.187999999999999</v>
      </c>
      <c r="DL54">
        <v>500.14800000000002</v>
      </c>
      <c r="DM54">
        <v>99.125500000000002</v>
      </c>
      <c r="DN54">
        <v>9.9396999999999999E-2</v>
      </c>
      <c r="DO54">
        <v>30.430499999999999</v>
      </c>
      <c r="DP54">
        <v>29.975100000000001</v>
      </c>
      <c r="DQ54">
        <v>999.9</v>
      </c>
      <c r="DR54">
        <v>0</v>
      </c>
      <c r="DS54">
        <v>0</v>
      </c>
      <c r="DT54">
        <v>10017.5</v>
      </c>
      <c r="DU54">
        <v>0</v>
      </c>
      <c r="DV54">
        <v>665.45500000000004</v>
      </c>
      <c r="DW54">
        <v>-71.973200000000006</v>
      </c>
      <c r="DX54">
        <v>439.41300000000001</v>
      </c>
      <c r="DY54">
        <v>509.291</v>
      </c>
      <c r="DZ54">
        <v>7.7250399999999999</v>
      </c>
      <c r="EA54">
        <v>499.82499999999999</v>
      </c>
      <c r="EB54">
        <v>18.586600000000001</v>
      </c>
      <c r="EC54">
        <v>2.6081599999999998</v>
      </c>
      <c r="ED54">
        <v>1.8424100000000001</v>
      </c>
      <c r="EE54">
        <v>21.717700000000001</v>
      </c>
      <c r="EF54">
        <v>16.151299999999999</v>
      </c>
      <c r="EG54">
        <v>1799.77</v>
      </c>
      <c r="EH54">
        <v>0.97800600000000004</v>
      </c>
      <c r="EI54">
        <v>2.1993800000000001E-2</v>
      </c>
      <c r="EJ54">
        <v>0</v>
      </c>
      <c r="EK54">
        <v>658.26499999999999</v>
      </c>
      <c r="EL54">
        <v>0.10001</v>
      </c>
      <c r="EM54">
        <v>14601.3</v>
      </c>
      <c r="EN54">
        <v>16351.4</v>
      </c>
      <c r="EO54">
        <v>47.375</v>
      </c>
      <c r="EP54">
        <v>49.25</v>
      </c>
      <c r="EQ54">
        <v>48.75</v>
      </c>
      <c r="ER54">
        <v>48.375</v>
      </c>
      <c r="ES54">
        <v>48.936999999999998</v>
      </c>
      <c r="ET54">
        <v>1760.09</v>
      </c>
      <c r="EU54">
        <v>39.58</v>
      </c>
      <c r="EV54">
        <v>0</v>
      </c>
      <c r="EW54">
        <v>97.200000047683716</v>
      </c>
      <c r="EX54">
        <v>0</v>
      </c>
      <c r="EY54">
        <v>657.06319999999994</v>
      </c>
      <c r="EZ54">
        <v>8.4446154957142365</v>
      </c>
      <c r="FA54">
        <v>214.30769194672089</v>
      </c>
      <c r="FB54">
        <v>14577.384</v>
      </c>
      <c r="FC54">
        <v>15</v>
      </c>
      <c r="FD54">
        <v>1691169439</v>
      </c>
      <c r="FE54" t="s">
        <v>612</v>
      </c>
      <c r="FF54">
        <v>1691169439</v>
      </c>
      <c r="FG54">
        <v>1691169438.5</v>
      </c>
      <c r="FH54">
        <v>41</v>
      </c>
      <c r="FI54">
        <v>-0.105</v>
      </c>
      <c r="FJ54">
        <v>0</v>
      </c>
      <c r="FK54">
        <v>2.758</v>
      </c>
      <c r="FL54">
        <v>-2E-3</v>
      </c>
      <c r="FM54">
        <v>500</v>
      </c>
      <c r="FN54">
        <v>19</v>
      </c>
      <c r="FO54">
        <v>0.1</v>
      </c>
      <c r="FP54">
        <v>0.03</v>
      </c>
      <c r="FQ54">
        <v>57.432577629850208</v>
      </c>
      <c r="FR54">
        <v>0.22210850555045611</v>
      </c>
      <c r="FS54">
        <v>8.5455037046374901E-2</v>
      </c>
      <c r="FT54">
        <v>1</v>
      </c>
      <c r="FU54">
        <v>0.4177134578439114</v>
      </c>
      <c r="FV54">
        <v>-1.880127248003292E-2</v>
      </c>
      <c r="FW54">
        <v>1.544991831800401E-3</v>
      </c>
      <c r="FX54">
        <v>1</v>
      </c>
      <c r="FY54">
        <v>2</v>
      </c>
      <c r="FZ54">
        <v>2</v>
      </c>
      <c r="GA54" t="s">
        <v>419</v>
      </c>
      <c r="GB54">
        <v>2.8846400000000001</v>
      </c>
      <c r="GC54">
        <v>2.8207499999999999</v>
      </c>
      <c r="GD54">
        <v>9.0747499999999995E-2</v>
      </c>
      <c r="GE54">
        <v>0.102908</v>
      </c>
      <c r="GF54">
        <v>0.121671</v>
      </c>
      <c r="GG54">
        <v>9.5995200000000003E-2</v>
      </c>
      <c r="GH54">
        <v>27897.7</v>
      </c>
      <c r="GI54">
        <v>25689.5</v>
      </c>
      <c r="GJ54">
        <v>28247</v>
      </c>
      <c r="GK54">
        <v>26897.1</v>
      </c>
      <c r="GL54">
        <v>35015.300000000003</v>
      </c>
      <c r="GM54">
        <v>33965.699999999997</v>
      </c>
      <c r="GN54">
        <v>41561.4</v>
      </c>
      <c r="GO54">
        <v>38924.6</v>
      </c>
      <c r="GP54">
        <v>1.9993000000000001</v>
      </c>
      <c r="GQ54">
        <v>1.6612</v>
      </c>
      <c r="GR54">
        <v>9.4473400000000003E-3</v>
      </c>
      <c r="GS54">
        <v>0</v>
      </c>
      <c r="GT54">
        <v>29.821400000000001</v>
      </c>
      <c r="GU54">
        <v>999.9</v>
      </c>
      <c r="GV54">
        <v>47.7</v>
      </c>
      <c r="GW54">
        <v>45</v>
      </c>
      <c r="GX54">
        <v>46.380400000000002</v>
      </c>
      <c r="GY54">
        <v>62.468600000000002</v>
      </c>
      <c r="GZ54">
        <v>32.223599999999998</v>
      </c>
      <c r="HA54">
        <v>1</v>
      </c>
      <c r="HB54">
        <v>0.98314000000000001</v>
      </c>
      <c r="HC54">
        <v>3.24655</v>
      </c>
      <c r="HD54">
        <v>20.264900000000001</v>
      </c>
      <c r="HE54">
        <v>5.2100999999999997</v>
      </c>
      <c r="HF54">
        <v>11.997999999999999</v>
      </c>
      <c r="HG54">
        <v>4.9878</v>
      </c>
      <c r="HH54">
        <v>3.2909999999999999</v>
      </c>
      <c r="HI54">
        <v>9999</v>
      </c>
      <c r="HJ54">
        <v>9999</v>
      </c>
      <c r="HK54">
        <v>9999</v>
      </c>
      <c r="HL54">
        <v>999.9</v>
      </c>
      <c r="HM54">
        <v>1.8665099999999999</v>
      </c>
      <c r="HN54">
        <v>1.8666</v>
      </c>
      <c r="HO54">
        <v>1.8631200000000001</v>
      </c>
      <c r="HP54">
        <v>1.86432</v>
      </c>
      <c r="HQ54">
        <v>1.8638600000000001</v>
      </c>
      <c r="HR54">
        <v>1.85968</v>
      </c>
      <c r="HS54">
        <v>1.8628499999999999</v>
      </c>
      <c r="HT54">
        <v>1.8656900000000001</v>
      </c>
      <c r="HU54">
        <v>5</v>
      </c>
      <c r="HV54">
        <v>0</v>
      </c>
      <c r="HW54">
        <v>0</v>
      </c>
      <c r="HX54">
        <v>0</v>
      </c>
      <c r="HY54" t="s">
        <v>420</v>
      </c>
      <c r="HZ54" t="s">
        <v>421</v>
      </c>
      <c r="IA54" t="s">
        <v>422</v>
      </c>
      <c r="IB54" t="s">
        <v>422</v>
      </c>
      <c r="IC54" t="s">
        <v>422</v>
      </c>
      <c r="ID54" t="s">
        <v>422</v>
      </c>
      <c r="IE54">
        <v>0</v>
      </c>
      <c r="IF54">
        <v>100</v>
      </c>
      <c r="IG54">
        <v>100</v>
      </c>
      <c r="IH54">
        <v>2.758</v>
      </c>
      <c r="II54">
        <v>-2E-3</v>
      </c>
      <c r="IJ54">
        <v>1.5672445526497401</v>
      </c>
      <c r="IK54">
        <v>3.5576830062418229E-3</v>
      </c>
      <c r="IL54">
        <v>-2.2646740813029151E-6</v>
      </c>
      <c r="IM54">
        <v>6.9609298295988525E-10</v>
      </c>
      <c r="IN54">
        <v>-0.14289952248535859</v>
      </c>
      <c r="IO54">
        <v>-9.4437069492282083E-4</v>
      </c>
      <c r="IP54">
        <v>5.2900373165634467E-4</v>
      </c>
      <c r="IQ54">
        <v>-3.977656803091445E-6</v>
      </c>
      <c r="IR54">
        <v>2</v>
      </c>
      <c r="IS54">
        <v>1759</v>
      </c>
      <c r="IT54">
        <v>2</v>
      </c>
      <c r="IU54">
        <v>42</v>
      </c>
      <c r="IV54">
        <v>2.1</v>
      </c>
      <c r="IW54">
        <v>2.2000000000000002</v>
      </c>
      <c r="IX54">
        <v>1.16089</v>
      </c>
      <c r="IY54">
        <v>2.4584999999999999</v>
      </c>
      <c r="IZ54">
        <v>1.54297</v>
      </c>
      <c r="JA54">
        <v>2.3034699999999999</v>
      </c>
      <c r="JB54">
        <v>1.5466299999999999</v>
      </c>
      <c r="JC54">
        <v>2.3339799999999999</v>
      </c>
      <c r="JD54">
        <v>49.075299999999999</v>
      </c>
      <c r="JE54">
        <v>15.3666</v>
      </c>
      <c r="JF54">
        <v>18</v>
      </c>
      <c r="JG54">
        <v>532.31299999999999</v>
      </c>
      <c r="JH54">
        <v>413.74700000000001</v>
      </c>
      <c r="JI54">
        <v>26.083200000000001</v>
      </c>
      <c r="JJ54">
        <v>38.931199999999997</v>
      </c>
      <c r="JK54">
        <v>29.999500000000001</v>
      </c>
      <c r="JL54">
        <v>39.396299999999997</v>
      </c>
      <c r="JM54">
        <v>39.376199999999997</v>
      </c>
      <c r="JN54">
        <v>23.365100000000002</v>
      </c>
      <c r="JO54">
        <v>64.712999999999994</v>
      </c>
      <c r="JP54">
        <v>0</v>
      </c>
      <c r="JQ54">
        <v>26.085599999999999</v>
      </c>
      <c r="JR54">
        <v>500</v>
      </c>
      <c r="JS54">
        <v>18.675799999999999</v>
      </c>
      <c r="JT54">
        <v>98.469499999999996</v>
      </c>
      <c r="JU54">
        <v>96.309799999999996</v>
      </c>
    </row>
    <row r="55" spans="1:281" x14ac:dyDescent="0.25">
      <c r="A55">
        <v>39</v>
      </c>
      <c r="B55">
        <v>1691169531</v>
      </c>
      <c r="C55">
        <v>8619.5</v>
      </c>
      <c r="D55" t="s">
        <v>613</v>
      </c>
      <c r="E55" t="s">
        <v>614</v>
      </c>
      <c r="F55" t="s">
        <v>413</v>
      </c>
      <c r="G55" t="s">
        <v>562</v>
      </c>
      <c r="H55" t="s">
        <v>563</v>
      </c>
      <c r="I55" t="s">
        <v>31</v>
      </c>
      <c r="J55">
        <v>1691169531</v>
      </c>
      <c r="K55">
        <f t="shared" si="46"/>
        <v>6.1727982207566406E-3</v>
      </c>
      <c r="L55">
        <f t="shared" si="47"/>
        <v>6.1727982207566408</v>
      </c>
      <c r="M55">
        <f t="shared" si="48"/>
        <v>59.778394110640015</v>
      </c>
      <c r="N55">
        <f t="shared" si="49"/>
        <v>623.54600000000005</v>
      </c>
      <c r="O55">
        <f t="shared" si="50"/>
        <v>348.24135687206171</v>
      </c>
      <c r="P55">
        <f t="shared" si="51"/>
        <v>34.557394996289659</v>
      </c>
      <c r="Q55">
        <f t="shared" si="52"/>
        <v>61.876985588110003</v>
      </c>
      <c r="R55">
        <f t="shared" si="53"/>
        <v>0.38787357009653317</v>
      </c>
      <c r="S55">
        <f t="shared" si="54"/>
        <v>2.9094965106922821</v>
      </c>
      <c r="T55">
        <f t="shared" si="55"/>
        <v>0.36126682005526067</v>
      </c>
      <c r="U55">
        <f t="shared" si="56"/>
        <v>0.22802999989794243</v>
      </c>
      <c r="V55">
        <f t="shared" si="57"/>
        <v>344.36019998680274</v>
      </c>
      <c r="W55">
        <f t="shared" si="58"/>
        <v>30.818738960187595</v>
      </c>
      <c r="X55">
        <f t="shared" si="59"/>
        <v>30.045000000000002</v>
      </c>
      <c r="Y55">
        <f t="shared" si="60"/>
        <v>4.271474436933647</v>
      </c>
      <c r="Z55">
        <f t="shared" si="61"/>
        <v>60.472239230474543</v>
      </c>
      <c r="AA55">
        <f t="shared" si="62"/>
        <v>2.6349117143374996</v>
      </c>
      <c r="AB55">
        <f t="shared" si="63"/>
        <v>4.3572253117586808</v>
      </c>
      <c r="AC55">
        <f t="shared" si="64"/>
        <v>1.6365627225961474</v>
      </c>
      <c r="AD55">
        <f t="shared" si="65"/>
        <v>-272.22040153536784</v>
      </c>
      <c r="AE55">
        <f t="shared" si="66"/>
        <v>54.366558521547503</v>
      </c>
      <c r="AF55">
        <f t="shared" si="67"/>
        <v>4.1638164537634887</v>
      </c>
      <c r="AG55">
        <f t="shared" si="68"/>
        <v>130.67017342674592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51696.440328614168</v>
      </c>
      <c r="AM55" t="s">
        <v>414</v>
      </c>
      <c r="AN55">
        <v>10111.299999999999</v>
      </c>
      <c r="AO55">
        <v>608.58839999999998</v>
      </c>
      <c r="AP55">
        <v>2150.11</v>
      </c>
      <c r="AQ55">
        <f t="shared" si="72"/>
        <v>0.71695010952927984</v>
      </c>
      <c r="AR55">
        <v>-1.1786277417053079</v>
      </c>
      <c r="AS55" t="s">
        <v>615</v>
      </c>
      <c r="AT55">
        <v>8095.78</v>
      </c>
      <c r="AU55">
        <v>668.10057692307703</v>
      </c>
      <c r="AV55">
        <v>1127.4853906606099</v>
      </c>
      <c r="AW55">
        <f t="shared" si="73"/>
        <v>0.40744192123711043</v>
      </c>
      <c r="AX55">
        <v>0.5</v>
      </c>
      <c r="AY55">
        <f t="shared" si="74"/>
        <v>1513.1204999934014</v>
      </c>
      <c r="AZ55">
        <f t="shared" si="75"/>
        <v>59.778394110640015</v>
      </c>
      <c r="BA55">
        <f t="shared" si="76"/>
        <v>308.25436179028429</v>
      </c>
      <c r="BB55">
        <f t="shared" si="77"/>
        <v>4.0285636109358869E-2</v>
      </c>
      <c r="BC55">
        <f t="shared" si="78"/>
        <v>0.90699588465640313</v>
      </c>
      <c r="BD55">
        <f t="shared" si="79"/>
        <v>484.26533923132524</v>
      </c>
      <c r="BE55" t="s">
        <v>616</v>
      </c>
      <c r="BF55">
        <v>518.11</v>
      </c>
      <c r="BG55">
        <f t="shared" si="80"/>
        <v>518.11</v>
      </c>
      <c r="BH55">
        <f t="shared" si="81"/>
        <v>0.54047298147567846</v>
      </c>
      <c r="BI55">
        <f t="shared" si="82"/>
        <v>0.75386177515229869</v>
      </c>
      <c r="BJ55">
        <f t="shared" si="83"/>
        <v>0.62660821650697929</v>
      </c>
      <c r="BK55">
        <f t="shared" si="84"/>
        <v>0.88531022920886115</v>
      </c>
      <c r="BL55">
        <f t="shared" si="85"/>
        <v>0.66338649379897774</v>
      </c>
      <c r="BM55">
        <f t="shared" si="86"/>
        <v>0.58461755282861849</v>
      </c>
      <c r="BN55">
        <f t="shared" si="87"/>
        <v>0.41538244717138151</v>
      </c>
      <c r="BO55">
        <v>7051</v>
      </c>
      <c r="BP55">
        <v>290.00000000000011</v>
      </c>
      <c r="BQ55">
        <v>957.94</v>
      </c>
      <c r="BR55">
        <v>285</v>
      </c>
      <c r="BS55">
        <v>8095.78</v>
      </c>
      <c r="BT55">
        <v>960.65</v>
      </c>
      <c r="BU55">
        <v>-2.71</v>
      </c>
      <c r="BV55">
        <v>300.00000000000011</v>
      </c>
      <c r="BW55">
        <v>19.2</v>
      </c>
      <c r="BX55">
        <v>1127.4853906606099</v>
      </c>
      <c r="BY55">
        <v>4.2819053000565344</v>
      </c>
      <c r="BZ55">
        <v>-135.06380656808761</v>
      </c>
      <c r="CA55">
        <v>3.1855521348367768</v>
      </c>
      <c r="CB55">
        <v>0.98466311488508262</v>
      </c>
      <c r="CC55">
        <v>-4.1710840934371506E-3</v>
      </c>
      <c r="CD55">
        <v>289.99999999999989</v>
      </c>
      <c r="CE55">
        <v>949.21</v>
      </c>
      <c r="CF55">
        <v>655</v>
      </c>
      <c r="CG55">
        <v>8090.8</v>
      </c>
      <c r="CH55">
        <v>960.55</v>
      </c>
      <c r="CI55">
        <v>-11.34</v>
      </c>
      <c r="CW55">
        <f t="shared" si="88"/>
        <v>1799.92</v>
      </c>
      <c r="CX55">
        <f t="shared" si="89"/>
        <v>1513.1204999934014</v>
      </c>
      <c r="CY55">
        <f t="shared" si="90"/>
        <v>0.84065986265689663</v>
      </c>
      <c r="CZ55">
        <f t="shared" si="91"/>
        <v>0.19131972531379324</v>
      </c>
      <c r="DA55">
        <v>6</v>
      </c>
      <c r="DB55">
        <v>0.5</v>
      </c>
      <c r="DC55" t="s">
        <v>417</v>
      </c>
      <c r="DD55">
        <v>2</v>
      </c>
      <c r="DE55">
        <v>1691169531</v>
      </c>
      <c r="DF55">
        <v>623.54600000000005</v>
      </c>
      <c r="DG55">
        <v>699.89599999999996</v>
      </c>
      <c r="DH55">
        <v>26.552499999999998</v>
      </c>
      <c r="DI55">
        <v>19.342099999999999</v>
      </c>
      <c r="DJ55">
        <v>620.19899999999996</v>
      </c>
      <c r="DK55">
        <v>26.429400000000001</v>
      </c>
      <c r="DL55">
        <v>500.01900000000001</v>
      </c>
      <c r="DM55">
        <v>99.133899999999997</v>
      </c>
      <c r="DN55">
        <v>0.100135</v>
      </c>
      <c r="DO55">
        <v>30.3916</v>
      </c>
      <c r="DP55">
        <v>30.045000000000002</v>
      </c>
      <c r="DQ55">
        <v>999.9</v>
      </c>
      <c r="DR55">
        <v>0</v>
      </c>
      <c r="DS55">
        <v>0</v>
      </c>
      <c r="DT55">
        <v>9972.5</v>
      </c>
      <c r="DU55">
        <v>0</v>
      </c>
      <c r="DV55">
        <v>1595.81</v>
      </c>
      <c r="DW55">
        <v>-76.3506</v>
      </c>
      <c r="DX55">
        <v>640.55399999999997</v>
      </c>
      <c r="DY55">
        <v>713.70100000000002</v>
      </c>
      <c r="DZ55">
        <v>7.2103700000000002</v>
      </c>
      <c r="EA55">
        <v>699.89599999999996</v>
      </c>
      <c r="EB55">
        <v>19.342099999999999</v>
      </c>
      <c r="EC55">
        <v>2.63225</v>
      </c>
      <c r="ED55">
        <v>1.9174599999999999</v>
      </c>
      <c r="EE55">
        <v>21.868200000000002</v>
      </c>
      <c r="EF55">
        <v>16.778700000000001</v>
      </c>
      <c r="EG55">
        <v>1799.92</v>
      </c>
      <c r="EH55">
        <v>0.97800299999999996</v>
      </c>
      <c r="EI55">
        <v>2.19974E-2</v>
      </c>
      <c r="EJ55">
        <v>0</v>
      </c>
      <c r="EK55">
        <v>669.97</v>
      </c>
      <c r="EL55">
        <v>0.10001</v>
      </c>
      <c r="EM55">
        <v>17162.5</v>
      </c>
      <c r="EN55">
        <v>16352.8</v>
      </c>
      <c r="EO55">
        <v>47.25</v>
      </c>
      <c r="EP55">
        <v>49.186999999999998</v>
      </c>
      <c r="EQ55">
        <v>48.625</v>
      </c>
      <c r="ER55">
        <v>48.311999999999998</v>
      </c>
      <c r="ES55">
        <v>48.811999999999998</v>
      </c>
      <c r="ET55">
        <v>1760.23</v>
      </c>
      <c r="EU55">
        <v>39.590000000000003</v>
      </c>
      <c r="EV55">
        <v>0</v>
      </c>
      <c r="EW55">
        <v>122</v>
      </c>
      <c r="EX55">
        <v>0</v>
      </c>
      <c r="EY55">
        <v>668.10057692307703</v>
      </c>
      <c r="EZ55">
        <v>8.9680342151596584</v>
      </c>
      <c r="FA55">
        <v>1031.251282294985</v>
      </c>
      <c r="FB55">
        <v>17075.865384615379</v>
      </c>
      <c r="FC55">
        <v>15</v>
      </c>
      <c r="FD55">
        <v>1691169499.5</v>
      </c>
      <c r="FE55" t="s">
        <v>617</v>
      </c>
      <c r="FF55">
        <v>1691169499.5</v>
      </c>
      <c r="FG55">
        <v>1691169496.5</v>
      </c>
      <c r="FH55">
        <v>42</v>
      </c>
      <c r="FI55">
        <v>0.38200000000000001</v>
      </c>
      <c r="FJ55">
        <v>-5.0000000000000001E-3</v>
      </c>
      <c r="FK55">
        <v>3.46</v>
      </c>
      <c r="FL55">
        <v>0</v>
      </c>
      <c r="FM55">
        <v>700</v>
      </c>
      <c r="FN55">
        <v>19</v>
      </c>
      <c r="FO55">
        <v>0.1</v>
      </c>
      <c r="FP55">
        <v>0.02</v>
      </c>
      <c r="FQ55">
        <v>59.876163620705583</v>
      </c>
      <c r="FR55">
        <v>-0.34836794168048002</v>
      </c>
      <c r="FS55">
        <v>0.1218307792367853</v>
      </c>
      <c r="FT55">
        <v>1</v>
      </c>
      <c r="FU55">
        <v>0.39419154544670099</v>
      </c>
      <c r="FV55">
        <v>-2.962453889746779E-2</v>
      </c>
      <c r="FW55">
        <v>2.6622864336053671E-3</v>
      </c>
      <c r="FX55">
        <v>1</v>
      </c>
      <c r="FY55">
        <v>2</v>
      </c>
      <c r="FZ55">
        <v>2</v>
      </c>
      <c r="GA55" t="s">
        <v>419</v>
      </c>
      <c r="GB55">
        <v>2.8845800000000001</v>
      </c>
      <c r="GC55">
        <v>2.8210899999999999</v>
      </c>
      <c r="GD55">
        <v>0.119646</v>
      </c>
      <c r="GE55">
        <v>0.130665</v>
      </c>
      <c r="GF55">
        <v>0.122487</v>
      </c>
      <c r="GG55">
        <v>9.8773399999999997E-2</v>
      </c>
      <c r="GH55">
        <v>27017.5</v>
      </c>
      <c r="GI55">
        <v>24901.3</v>
      </c>
      <c r="GJ55">
        <v>28253.4</v>
      </c>
      <c r="GK55">
        <v>26904.2</v>
      </c>
      <c r="GL55">
        <v>34991.300000000003</v>
      </c>
      <c r="GM55">
        <v>33869.599999999999</v>
      </c>
      <c r="GN55">
        <v>41571.599999999999</v>
      </c>
      <c r="GO55">
        <v>38933.599999999999</v>
      </c>
      <c r="GP55">
        <v>2</v>
      </c>
      <c r="GQ55">
        <v>1.663</v>
      </c>
      <c r="GR55">
        <v>-5.8114500000000003E-4</v>
      </c>
      <c r="GS55">
        <v>0</v>
      </c>
      <c r="GT55">
        <v>30.054400000000001</v>
      </c>
      <c r="GU55">
        <v>999.9</v>
      </c>
      <c r="GV55">
        <v>47.7</v>
      </c>
      <c r="GW55">
        <v>45.1</v>
      </c>
      <c r="GX55">
        <v>46.624600000000001</v>
      </c>
      <c r="GY55">
        <v>62.758600000000001</v>
      </c>
      <c r="GZ55">
        <v>32.215499999999999</v>
      </c>
      <c r="HA55">
        <v>1</v>
      </c>
      <c r="HB55">
        <v>0.982012</v>
      </c>
      <c r="HC55">
        <v>5.25868</v>
      </c>
      <c r="HD55">
        <v>20.215399999999999</v>
      </c>
      <c r="HE55">
        <v>5.2107000000000001</v>
      </c>
      <c r="HF55">
        <v>11.997999999999999</v>
      </c>
      <c r="HG55">
        <v>4.9878</v>
      </c>
      <c r="HH55">
        <v>3.2909999999999999</v>
      </c>
      <c r="HI55">
        <v>9999</v>
      </c>
      <c r="HJ55">
        <v>9999</v>
      </c>
      <c r="HK55">
        <v>9999</v>
      </c>
      <c r="HL55">
        <v>999.9</v>
      </c>
      <c r="HM55">
        <v>1.86646</v>
      </c>
      <c r="HN55">
        <v>1.86653</v>
      </c>
      <c r="HO55">
        <v>1.8631</v>
      </c>
      <c r="HP55">
        <v>1.86432</v>
      </c>
      <c r="HQ55">
        <v>1.86385</v>
      </c>
      <c r="HR55">
        <v>1.85965</v>
      </c>
      <c r="HS55">
        <v>1.8628199999999999</v>
      </c>
      <c r="HT55">
        <v>1.8656900000000001</v>
      </c>
      <c r="HU55">
        <v>5</v>
      </c>
      <c r="HV55">
        <v>0</v>
      </c>
      <c r="HW55">
        <v>0</v>
      </c>
      <c r="HX55">
        <v>0</v>
      </c>
      <c r="HY55" t="s">
        <v>420</v>
      </c>
      <c r="HZ55" t="s">
        <v>421</v>
      </c>
      <c r="IA55" t="s">
        <v>422</v>
      </c>
      <c r="IB55" t="s">
        <v>422</v>
      </c>
      <c r="IC55" t="s">
        <v>422</v>
      </c>
      <c r="ID55" t="s">
        <v>422</v>
      </c>
      <c r="IE55">
        <v>0</v>
      </c>
      <c r="IF55">
        <v>100</v>
      </c>
      <c r="IG55">
        <v>100</v>
      </c>
      <c r="IH55">
        <v>3.347</v>
      </c>
      <c r="II55">
        <v>0.1231</v>
      </c>
      <c r="IJ55">
        <v>1.8448019520060279</v>
      </c>
      <c r="IK55">
        <v>3.5576830062418229E-3</v>
      </c>
      <c r="IL55">
        <v>-2.2646740813029151E-6</v>
      </c>
      <c r="IM55">
        <v>6.9609298295988525E-10</v>
      </c>
      <c r="IN55">
        <v>-0.1481055428720392</v>
      </c>
      <c r="IO55">
        <v>-9.4437069492282083E-4</v>
      </c>
      <c r="IP55">
        <v>5.2900373165634467E-4</v>
      </c>
      <c r="IQ55">
        <v>-3.977656803091445E-6</v>
      </c>
      <c r="IR55">
        <v>2</v>
      </c>
      <c r="IS55">
        <v>1759</v>
      </c>
      <c r="IT55">
        <v>2</v>
      </c>
      <c r="IU55">
        <v>42</v>
      </c>
      <c r="IV55">
        <v>0.5</v>
      </c>
      <c r="IW55">
        <v>0.6</v>
      </c>
      <c r="IX55">
        <v>1.54541</v>
      </c>
      <c r="IY55">
        <v>2.4487299999999999</v>
      </c>
      <c r="IZ55">
        <v>1.54297</v>
      </c>
      <c r="JA55">
        <v>2.3022499999999999</v>
      </c>
      <c r="JB55">
        <v>1.5466299999999999</v>
      </c>
      <c r="JC55">
        <v>2.3327599999999999</v>
      </c>
      <c r="JD55">
        <v>48.950299999999999</v>
      </c>
      <c r="JE55">
        <v>15.305300000000001</v>
      </c>
      <c r="JF55">
        <v>18</v>
      </c>
      <c r="JG55">
        <v>531.91300000000001</v>
      </c>
      <c r="JH55">
        <v>414.209</v>
      </c>
      <c r="JI55">
        <v>24.466999999999999</v>
      </c>
      <c r="JJ55">
        <v>38.780799999999999</v>
      </c>
      <c r="JK55">
        <v>29.999700000000001</v>
      </c>
      <c r="JL55">
        <v>39.2849</v>
      </c>
      <c r="JM55">
        <v>39.262500000000003</v>
      </c>
      <c r="JN55">
        <v>31.058299999999999</v>
      </c>
      <c r="JO55">
        <v>64.606899999999996</v>
      </c>
      <c r="JP55">
        <v>0</v>
      </c>
      <c r="JQ55">
        <v>24.462199999999999</v>
      </c>
      <c r="JR55">
        <v>700</v>
      </c>
      <c r="JS55">
        <v>19.192599999999999</v>
      </c>
      <c r="JT55">
        <v>98.492999999999995</v>
      </c>
      <c r="JU55">
        <v>96.333299999999994</v>
      </c>
    </row>
    <row r="56" spans="1:281" x14ac:dyDescent="0.25">
      <c r="A56">
        <v>40</v>
      </c>
      <c r="B56">
        <v>1691169655.5999999</v>
      </c>
      <c r="C56">
        <v>8744.0999999046326</v>
      </c>
      <c r="D56" t="s">
        <v>618</v>
      </c>
      <c r="E56" t="s">
        <v>619</v>
      </c>
      <c r="F56" t="s">
        <v>413</v>
      </c>
      <c r="G56" t="s">
        <v>562</v>
      </c>
      <c r="H56" t="s">
        <v>563</v>
      </c>
      <c r="I56" t="s">
        <v>31</v>
      </c>
      <c r="J56">
        <v>1691169655.5999999</v>
      </c>
      <c r="K56">
        <f t="shared" si="46"/>
        <v>5.9367159398289893E-3</v>
      </c>
      <c r="L56">
        <f t="shared" si="47"/>
        <v>5.9367159398289893</v>
      </c>
      <c r="M56">
        <f t="shared" si="48"/>
        <v>59.91882741747532</v>
      </c>
      <c r="N56">
        <f t="shared" si="49"/>
        <v>822.13499999999999</v>
      </c>
      <c r="O56">
        <f t="shared" si="50"/>
        <v>526.48687563073418</v>
      </c>
      <c r="P56">
        <f t="shared" si="51"/>
        <v>52.244050809938663</v>
      </c>
      <c r="Q56">
        <f t="shared" si="52"/>
        <v>81.581639924400008</v>
      </c>
      <c r="R56">
        <f t="shared" si="53"/>
        <v>0.36657113321660073</v>
      </c>
      <c r="S56">
        <f t="shared" si="54"/>
        <v>2.9098870002623052</v>
      </c>
      <c r="T56">
        <f t="shared" si="55"/>
        <v>0.34271325714365547</v>
      </c>
      <c r="U56">
        <f t="shared" si="56"/>
        <v>0.21620979347247926</v>
      </c>
      <c r="V56">
        <f t="shared" si="57"/>
        <v>344.39249998680401</v>
      </c>
      <c r="W56">
        <f t="shared" si="58"/>
        <v>30.661889319985537</v>
      </c>
      <c r="X56">
        <f t="shared" si="59"/>
        <v>30.002800000000001</v>
      </c>
      <c r="Y56">
        <f t="shared" si="60"/>
        <v>4.261135027325067</v>
      </c>
      <c r="Z56">
        <f t="shared" si="61"/>
        <v>60.461386719405986</v>
      </c>
      <c r="AA56">
        <f t="shared" si="62"/>
        <v>2.6016201244880004</v>
      </c>
      <c r="AB56">
        <f t="shared" si="63"/>
        <v>4.3029448473648246</v>
      </c>
      <c r="AC56">
        <f t="shared" si="64"/>
        <v>1.6595149028370666</v>
      </c>
      <c r="AD56">
        <f t="shared" si="65"/>
        <v>-261.80917294645843</v>
      </c>
      <c r="AE56">
        <f t="shared" si="66"/>
        <v>26.684918535679529</v>
      </c>
      <c r="AF56">
        <f t="shared" si="67"/>
        <v>2.0408288261711247</v>
      </c>
      <c r="AG56">
        <f t="shared" si="68"/>
        <v>111.30907440219626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51744.770427967007</v>
      </c>
      <c r="AM56" t="s">
        <v>414</v>
      </c>
      <c r="AN56">
        <v>10111.299999999999</v>
      </c>
      <c r="AO56">
        <v>608.58839999999998</v>
      </c>
      <c r="AP56">
        <v>2150.11</v>
      </c>
      <c r="AQ56">
        <f t="shared" si="72"/>
        <v>0.71695010952927984</v>
      </c>
      <c r="AR56">
        <v>-1.1786277417053079</v>
      </c>
      <c r="AS56" t="s">
        <v>620</v>
      </c>
      <c r="AT56">
        <v>8095.5</v>
      </c>
      <c r="AU56">
        <v>665.97300000000007</v>
      </c>
      <c r="AV56">
        <v>1125.421271850857</v>
      </c>
      <c r="AW56">
        <f t="shared" si="73"/>
        <v>0.40824559064469501</v>
      </c>
      <c r="AX56">
        <v>0.5</v>
      </c>
      <c r="AY56">
        <f t="shared" si="74"/>
        <v>1513.2632999934019</v>
      </c>
      <c r="AZ56">
        <f t="shared" si="75"/>
        <v>59.91882741747532</v>
      </c>
      <c r="BA56">
        <f t="shared" si="76"/>
        <v>308.89153485337334</v>
      </c>
      <c r="BB56">
        <f t="shared" si="77"/>
        <v>4.0374636165065932E-2</v>
      </c>
      <c r="BC56">
        <f t="shared" si="78"/>
        <v>0.91049347811237824</v>
      </c>
      <c r="BD56">
        <f t="shared" si="79"/>
        <v>483.88415630746118</v>
      </c>
      <c r="BE56" t="s">
        <v>621</v>
      </c>
      <c r="BF56">
        <v>516.99</v>
      </c>
      <c r="BG56">
        <f t="shared" si="80"/>
        <v>516.99</v>
      </c>
      <c r="BH56">
        <f t="shared" si="81"/>
        <v>0.54062535254041966</v>
      </c>
      <c r="BI56">
        <f t="shared" si="82"/>
        <v>0.75513586021508794</v>
      </c>
      <c r="BJ56">
        <f t="shared" si="83"/>
        <v>0.62744239746567498</v>
      </c>
      <c r="BK56">
        <f t="shared" si="84"/>
        <v>0.88896874961823324</v>
      </c>
      <c r="BL56">
        <f t="shared" si="85"/>
        <v>0.66472550767316074</v>
      </c>
      <c r="BM56">
        <f t="shared" si="86"/>
        <v>0.58620648040175549</v>
      </c>
      <c r="BN56">
        <f t="shared" si="87"/>
        <v>0.41379351959824451</v>
      </c>
      <c r="BO56">
        <v>7053</v>
      </c>
      <c r="BP56">
        <v>290.00000000000011</v>
      </c>
      <c r="BQ56">
        <v>961.13</v>
      </c>
      <c r="BR56">
        <v>285</v>
      </c>
      <c r="BS56">
        <v>8095.5</v>
      </c>
      <c r="BT56">
        <v>962.71</v>
      </c>
      <c r="BU56">
        <v>-1.58</v>
      </c>
      <c r="BV56">
        <v>300.00000000000011</v>
      </c>
      <c r="BW56">
        <v>19.2</v>
      </c>
      <c r="BX56">
        <v>1125.421271850857</v>
      </c>
      <c r="BY56">
        <v>3.7706010524677929</v>
      </c>
      <c r="BZ56">
        <v>-131.72001053338721</v>
      </c>
      <c r="CA56">
        <v>2.8050559532585169</v>
      </c>
      <c r="CB56">
        <v>0.98746115324506101</v>
      </c>
      <c r="CC56">
        <v>-4.1710602892102424E-3</v>
      </c>
      <c r="CD56">
        <v>289.99999999999989</v>
      </c>
      <c r="CE56">
        <v>952.93</v>
      </c>
      <c r="CF56">
        <v>625</v>
      </c>
      <c r="CG56">
        <v>8091.12</v>
      </c>
      <c r="CH56">
        <v>962.63</v>
      </c>
      <c r="CI56">
        <v>-9.6999999999999993</v>
      </c>
      <c r="CW56">
        <f t="shared" si="88"/>
        <v>1800.09</v>
      </c>
      <c r="CX56">
        <f t="shared" si="89"/>
        <v>1513.2632999934019</v>
      </c>
      <c r="CY56">
        <f t="shared" si="90"/>
        <v>0.84065980033965082</v>
      </c>
      <c r="CZ56">
        <f t="shared" si="91"/>
        <v>0.19131960067930159</v>
      </c>
      <c r="DA56">
        <v>6</v>
      </c>
      <c r="DB56">
        <v>0.5</v>
      </c>
      <c r="DC56" t="s">
        <v>417</v>
      </c>
      <c r="DD56">
        <v>2</v>
      </c>
      <c r="DE56">
        <v>1691169655.5999999</v>
      </c>
      <c r="DF56">
        <v>822.13499999999999</v>
      </c>
      <c r="DG56">
        <v>899.88800000000003</v>
      </c>
      <c r="DH56">
        <v>26.217700000000001</v>
      </c>
      <c r="DI56">
        <v>19.280999999999999</v>
      </c>
      <c r="DJ56">
        <v>818.34100000000001</v>
      </c>
      <c r="DK56">
        <v>26.1005</v>
      </c>
      <c r="DL56">
        <v>500.04199999999997</v>
      </c>
      <c r="DM56">
        <v>99.131200000000007</v>
      </c>
      <c r="DN56">
        <v>0.10024</v>
      </c>
      <c r="DO56">
        <v>30.172899999999998</v>
      </c>
      <c r="DP56">
        <v>30.002800000000001</v>
      </c>
      <c r="DQ56">
        <v>999.9</v>
      </c>
      <c r="DR56">
        <v>0</v>
      </c>
      <c r="DS56">
        <v>0</v>
      </c>
      <c r="DT56">
        <v>9975</v>
      </c>
      <c r="DU56">
        <v>0</v>
      </c>
      <c r="DV56">
        <v>1669.41</v>
      </c>
      <c r="DW56">
        <v>-77.753600000000006</v>
      </c>
      <c r="DX56">
        <v>844.27</v>
      </c>
      <c r="DY56">
        <v>917.58</v>
      </c>
      <c r="DZ56">
        <v>6.9367799999999997</v>
      </c>
      <c r="EA56">
        <v>899.88800000000003</v>
      </c>
      <c r="EB56">
        <v>19.280999999999999</v>
      </c>
      <c r="EC56">
        <v>2.5990000000000002</v>
      </c>
      <c r="ED56">
        <v>1.91134</v>
      </c>
      <c r="EE56">
        <v>21.6601</v>
      </c>
      <c r="EF56">
        <v>16.728400000000001</v>
      </c>
      <c r="EG56">
        <v>1800.09</v>
      </c>
      <c r="EH56">
        <v>0.97800600000000004</v>
      </c>
      <c r="EI56">
        <v>2.1993800000000001E-2</v>
      </c>
      <c r="EJ56">
        <v>0</v>
      </c>
      <c r="EK56">
        <v>664.58</v>
      </c>
      <c r="EL56">
        <v>0.10001</v>
      </c>
      <c r="EM56">
        <v>17266.7</v>
      </c>
      <c r="EN56">
        <v>16354.3</v>
      </c>
      <c r="EO56">
        <v>47.375</v>
      </c>
      <c r="EP56">
        <v>49.625</v>
      </c>
      <c r="EQ56">
        <v>48.75</v>
      </c>
      <c r="ER56">
        <v>48.5</v>
      </c>
      <c r="ES56">
        <v>48.936999999999998</v>
      </c>
      <c r="ET56">
        <v>1760.4</v>
      </c>
      <c r="EU56">
        <v>39.590000000000003</v>
      </c>
      <c r="EV56">
        <v>0</v>
      </c>
      <c r="EW56">
        <v>122.3999998569489</v>
      </c>
      <c r="EX56">
        <v>0</v>
      </c>
      <c r="EY56">
        <v>665.97300000000007</v>
      </c>
      <c r="EZ56">
        <v>-3.170000049150024</v>
      </c>
      <c r="FA56">
        <v>95.115384646293023</v>
      </c>
      <c r="FB56">
        <v>17251.900000000001</v>
      </c>
      <c r="FC56">
        <v>15</v>
      </c>
      <c r="FD56">
        <v>1691169612</v>
      </c>
      <c r="FE56" t="s">
        <v>622</v>
      </c>
      <c r="FF56">
        <v>1691169611.5</v>
      </c>
      <c r="FG56">
        <v>1691169612</v>
      </c>
      <c r="FH56">
        <v>43</v>
      </c>
      <c r="FI56">
        <v>0.17299999999999999</v>
      </c>
      <c r="FJ56">
        <v>0</v>
      </c>
      <c r="FK56">
        <v>3.8879999999999999</v>
      </c>
      <c r="FL56">
        <v>-1E-3</v>
      </c>
      <c r="FM56">
        <v>900</v>
      </c>
      <c r="FN56">
        <v>19</v>
      </c>
      <c r="FO56">
        <v>0.1</v>
      </c>
      <c r="FP56">
        <v>0.03</v>
      </c>
      <c r="FQ56">
        <v>59.999945698255168</v>
      </c>
      <c r="FR56">
        <v>-0.1891835692109497</v>
      </c>
      <c r="FS56">
        <v>0.12560631968530511</v>
      </c>
      <c r="FT56">
        <v>1</v>
      </c>
      <c r="FU56">
        <v>0.36810773031298483</v>
      </c>
      <c r="FV56">
        <v>-9.6638650274916034E-3</v>
      </c>
      <c r="FW56">
        <v>8.7997115421693925E-4</v>
      </c>
      <c r="FX56">
        <v>1</v>
      </c>
      <c r="FY56">
        <v>2</v>
      </c>
      <c r="FZ56">
        <v>2</v>
      </c>
      <c r="GA56" t="s">
        <v>419</v>
      </c>
      <c r="GB56">
        <v>2.8845399999999999</v>
      </c>
      <c r="GC56">
        <v>2.8212100000000002</v>
      </c>
      <c r="GD56">
        <v>0.144569</v>
      </c>
      <c r="GE56">
        <v>0.15452399999999999</v>
      </c>
      <c r="GF56">
        <v>0.121424</v>
      </c>
      <c r="GG56">
        <v>9.8547700000000002E-2</v>
      </c>
      <c r="GH56">
        <v>26251.5</v>
      </c>
      <c r="GI56">
        <v>24215.5</v>
      </c>
      <c r="GJ56">
        <v>28253.599999999999</v>
      </c>
      <c r="GK56">
        <v>26903.200000000001</v>
      </c>
      <c r="GL56">
        <v>35034.199999999997</v>
      </c>
      <c r="GM56">
        <v>33876.6</v>
      </c>
      <c r="GN56">
        <v>41571.800000000003</v>
      </c>
      <c r="GO56">
        <v>38931.5</v>
      </c>
      <c r="GP56">
        <v>1.9998</v>
      </c>
      <c r="GQ56">
        <v>1.6620999999999999</v>
      </c>
      <c r="GR56">
        <v>-2.3067000000000001E-2</v>
      </c>
      <c r="GS56">
        <v>0</v>
      </c>
      <c r="GT56">
        <v>30.378</v>
      </c>
      <c r="GU56">
        <v>999.9</v>
      </c>
      <c r="GV56">
        <v>47.8</v>
      </c>
      <c r="GW56">
        <v>45.2</v>
      </c>
      <c r="GX56">
        <v>46.957500000000003</v>
      </c>
      <c r="GY56">
        <v>62.822299999999998</v>
      </c>
      <c r="GZ56">
        <v>32.564100000000003</v>
      </c>
      <c r="HA56">
        <v>1</v>
      </c>
      <c r="HB56">
        <v>0.97923800000000005</v>
      </c>
      <c r="HC56">
        <v>4.5514299999999999</v>
      </c>
      <c r="HD56">
        <v>20.235900000000001</v>
      </c>
      <c r="HE56">
        <v>5.2071100000000001</v>
      </c>
      <c r="HF56">
        <v>11.997999999999999</v>
      </c>
      <c r="HG56">
        <v>4.9878</v>
      </c>
      <c r="HH56">
        <v>3.2909999999999999</v>
      </c>
      <c r="HI56">
        <v>9999</v>
      </c>
      <c r="HJ56">
        <v>9999</v>
      </c>
      <c r="HK56">
        <v>9999</v>
      </c>
      <c r="HL56">
        <v>999.9</v>
      </c>
      <c r="HM56">
        <v>1.8664700000000001</v>
      </c>
      <c r="HN56">
        <v>1.8666100000000001</v>
      </c>
      <c r="HO56">
        <v>1.8631</v>
      </c>
      <c r="HP56">
        <v>1.8643099999999999</v>
      </c>
      <c r="HQ56">
        <v>1.8638600000000001</v>
      </c>
      <c r="HR56">
        <v>1.8597399999999999</v>
      </c>
      <c r="HS56">
        <v>1.8629199999999999</v>
      </c>
      <c r="HT56">
        <v>1.8656900000000001</v>
      </c>
      <c r="HU56">
        <v>5</v>
      </c>
      <c r="HV56">
        <v>0</v>
      </c>
      <c r="HW56">
        <v>0</v>
      </c>
      <c r="HX56">
        <v>0</v>
      </c>
      <c r="HY56" t="s">
        <v>420</v>
      </c>
      <c r="HZ56" t="s">
        <v>421</v>
      </c>
      <c r="IA56" t="s">
        <v>422</v>
      </c>
      <c r="IB56" t="s">
        <v>422</v>
      </c>
      <c r="IC56" t="s">
        <v>422</v>
      </c>
      <c r="ID56" t="s">
        <v>422</v>
      </c>
      <c r="IE56">
        <v>0</v>
      </c>
      <c r="IF56">
        <v>100</v>
      </c>
      <c r="IG56">
        <v>100</v>
      </c>
      <c r="IH56">
        <v>3.794</v>
      </c>
      <c r="II56">
        <v>0.1172</v>
      </c>
      <c r="IJ56">
        <v>2.017478643099845</v>
      </c>
      <c r="IK56">
        <v>3.5576830062418229E-3</v>
      </c>
      <c r="IL56">
        <v>-2.2646740813029151E-6</v>
      </c>
      <c r="IM56">
        <v>6.9609298295988525E-10</v>
      </c>
      <c r="IN56">
        <v>-0.147807377675197</v>
      </c>
      <c r="IO56">
        <v>-9.4437069492282083E-4</v>
      </c>
      <c r="IP56">
        <v>5.2900373165634467E-4</v>
      </c>
      <c r="IQ56">
        <v>-3.977656803091445E-6</v>
      </c>
      <c r="IR56">
        <v>2</v>
      </c>
      <c r="IS56">
        <v>1759</v>
      </c>
      <c r="IT56">
        <v>2</v>
      </c>
      <c r="IU56">
        <v>42</v>
      </c>
      <c r="IV56">
        <v>0.7</v>
      </c>
      <c r="IW56">
        <v>0.7</v>
      </c>
      <c r="IX56">
        <v>1.9128400000000001</v>
      </c>
      <c r="IY56">
        <v>2.4365199999999998</v>
      </c>
      <c r="IZ56">
        <v>1.54297</v>
      </c>
      <c r="JA56">
        <v>2.3022499999999999</v>
      </c>
      <c r="JB56">
        <v>1.5466299999999999</v>
      </c>
      <c r="JC56">
        <v>2.3315399999999999</v>
      </c>
      <c r="JD56">
        <v>49.043999999999997</v>
      </c>
      <c r="JE56">
        <v>15.305300000000001</v>
      </c>
      <c r="JF56">
        <v>18</v>
      </c>
      <c r="JG56">
        <v>531.84</v>
      </c>
      <c r="JH56">
        <v>413.69799999999998</v>
      </c>
      <c r="JI56">
        <v>24.445499999999999</v>
      </c>
      <c r="JJ56">
        <v>38.8371</v>
      </c>
      <c r="JK56">
        <v>30.000399999999999</v>
      </c>
      <c r="JL56">
        <v>39.292499999999997</v>
      </c>
      <c r="JM56">
        <v>39.273899999999998</v>
      </c>
      <c r="JN56">
        <v>38.418300000000002</v>
      </c>
      <c r="JO56">
        <v>65.404300000000006</v>
      </c>
      <c r="JP56">
        <v>0</v>
      </c>
      <c r="JQ56">
        <v>24.421900000000001</v>
      </c>
      <c r="JR56">
        <v>900</v>
      </c>
      <c r="JS56">
        <v>19.142600000000002</v>
      </c>
      <c r="JT56">
        <v>98.493499999999997</v>
      </c>
      <c r="JU56">
        <v>96.328800000000001</v>
      </c>
    </row>
    <row r="57" spans="1:281" x14ac:dyDescent="0.25">
      <c r="A57">
        <v>41</v>
      </c>
      <c r="B57">
        <v>1691169785.5999999</v>
      </c>
      <c r="C57">
        <v>8874.0999999046326</v>
      </c>
      <c r="D57" t="s">
        <v>623</v>
      </c>
      <c r="E57" t="s">
        <v>624</v>
      </c>
      <c r="F57" t="s">
        <v>413</v>
      </c>
      <c r="G57" t="s">
        <v>562</v>
      </c>
      <c r="H57" t="s">
        <v>563</v>
      </c>
      <c r="I57" t="s">
        <v>31</v>
      </c>
      <c r="J57">
        <v>1691169785.5999999</v>
      </c>
      <c r="K57">
        <f t="shared" si="46"/>
        <v>5.4575916621014617E-3</v>
      </c>
      <c r="L57">
        <f t="shared" si="47"/>
        <v>5.4575916621014615</v>
      </c>
      <c r="M57">
        <f t="shared" si="48"/>
        <v>59.698765210910302</v>
      </c>
      <c r="N57">
        <f t="shared" si="49"/>
        <v>1121.2550000000001</v>
      </c>
      <c r="O57">
        <f t="shared" si="50"/>
        <v>784.44476751455352</v>
      </c>
      <c r="P57">
        <f t="shared" si="51"/>
        <v>77.842411862386484</v>
      </c>
      <c r="Q57">
        <f t="shared" si="52"/>
        <v>111.26493174185251</v>
      </c>
      <c r="R57">
        <f t="shared" si="53"/>
        <v>0.32458947800739185</v>
      </c>
      <c r="S57">
        <f t="shared" si="54"/>
        <v>2.9103479399557455</v>
      </c>
      <c r="T57">
        <f t="shared" si="55"/>
        <v>0.30573533792540714</v>
      </c>
      <c r="U57">
        <f t="shared" si="56"/>
        <v>0.19268723017357442</v>
      </c>
      <c r="V57">
        <f t="shared" si="57"/>
        <v>344.34439998680546</v>
      </c>
      <c r="W57">
        <f t="shared" si="58"/>
        <v>30.709458032176656</v>
      </c>
      <c r="X57">
        <f t="shared" si="59"/>
        <v>30.034800000000001</v>
      </c>
      <c r="Y57">
        <f t="shared" si="60"/>
        <v>4.2689733363917428</v>
      </c>
      <c r="Z57">
        <f t="shared" si="61"/>
        <v>59.724224870975874</v>
      </c>
      <c r="AA57">
        <f t="shared" si="62"/>
        <v>2.5585412012251498</v>
      </c>
      <c r="AB57">
        <f t="shared" si="63"/>
        <v>4.2839253364149092</v>
      </c>
      <c r="AC57">
        <f t="shared" si="64"/>
        <v>1.710432135166593</v>
      </c>
      <c r="AD57">
        <f t="shared" si="65"/>
        <v>-240.67979229867447</v>
      </c>
      <c r="AE57">
        <f t="shared" si="66"/>
        <v>9.5553730986586807</v>
      </c>
      <c r="AF57">
        <f t="shared" si="67"/>
        <v>0.7305036242243288</v>
      </c>
      <c r="AG57">
        <f t="shared" si="68"/>
        <v>113.95048441101402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51771.07808065365</v>
      </c>
      <c r="AM57" t="s">
        <v>414</v>
      </c>
      <c r="AN57">
        <v>10111.299999999999</v>
      </c>
      <c r="AO57">
        <v>608.58839999999998</v>
      </c>
      <c r="AP57">
        <v>2150.11</v>
      </c>
      <c r="AQ57">
        <f t="shared" si="72"/>
        <v>0.71695010952927984</v>
      </c>
      <c r="AR57">
        <v>-1.1786277417053079</v>
      </c>
      <c r="AS57" t="s">
        <v>625</v>
      </c>
      <c r="AT57">
        <v>8094.88</v>
      </c>
      <c r="AU57">
        <v>663.65288461538466</v>
      </c>
      <c r="AV57">
        <v>1121.715561370348</v>
      </c>
      <c r="AW57">
        <f t="shared" si="73"/>
        <v>0.4083590283755798</v>
      </c>
      <c r="AX57">
        <v>0.5</v>
      </c>
      <c r="AY57">
        <f t="shared" si="74"/>
        <v>1513.0529999934026</v>
      </c>
      <c r="AZ57">
        <f t="shared" si="75"/>
        <v>59.698765210910302</v>
      </c>
      <c r="BA57">
        <f t="shared" si="76"/>
        <v>308.934426479031</v>
      </c>
      <c r="BB57">
        <f t="shared" si="77"/>
        <v>4.0234805359019847E-2</v>
      </c>
      <c r="BC57">
        <f t="shared" si="78"/>
        <v>0.91680500301993684</v>
      </c>
      <c r="BD57">
        <f t="shared" si="79"/>
        <v>483.19781524021693</v>
      </c>
      <c r="BE57" t="s">
        <v>626</v>
      </c>
      <c r="BF57">
        <v>519.1</v>
      </c>
      <c r="BG57">
        <f t="shared" si="80"/>
        <v>519.1</v>
      </c>
      <c r="BH57">
        <f t="shared" si="81"/>
        <v>0.53722671069496486</v>
      </c>
      <c r="BI57">
        <f t="shared" si="82"/>
        <v>0.76012420872990516</v>
      </c>
      <c r="BJ57">
        <f t="shared" si="83"/>
        <v>0.63052613940420477</v>
      </c>
      <c r="BK57">
        <f t="shared" si="84"/>
        <v>0.89268842353164379</v>
      </c>
      <c r="BL57">
        <f t="shared" si="85"/>
        <v>0.66712943797197011</v>
      </c>
      <c r="BM57">
        <f t="shared" si="86"/>
        <v>0.59455851982074948</v>
      </c>
      <c r="BN57">
        <f t="shared" si="87"/>
        <v>0.40544148017925052</v>
      </c>
      <c r="BO57">
        <v>7055</v>
      </c>
      <c r="BP57">
        <v>290.00000000000011</v>
      </c>
      <c r="BQ57">
        <v>960.49</v>
      </c>
      <c r="BR57">
        <v>275</v>
      </c>
      <c r="BS57">
        <v>8094.88</v>
      </c>
      <c r="BT57">
        <v>962.23</v>
      </c>
      <c r="BU57">
        <v>-1.74</v>
      </c>
      <c r="BV57">
        <v>300.00000000000011</v>
      </c>
      <c r="BW57">
        <v>19.2</v>
      </c>
      <c r="BX57">
        <v>1121.715561370348</v>
      </c>
      <c r="BY57">
        <v>3.5957221704725821</v>
      </c>
      <c r="BZ57">
        <v>-129.10192136708639</v>
      </c>
      <c r="CA57">
        <v>2.6746375545490562</v>
      </c>
      <c r="CB57">
        <v>0.9881249793216923</v>
      </c>
      <c r="CC57">
        <v>-4.1705359288098029E-3</v>
      </c>
      <c r="CD57">
        <v>289.99999999999989</v>
      </c>
      <c r="CE57">
        <v>952.28</v>
      </c>
      <c r="CF57">
        <v>635</v>
      </c>
      <c r="CG57">
        <v>8089.91</v>
      </c>
      <c r="CH57">
        <v>962.13</v>
      </c>
      <c r="CI57">
        <v>-9.85</v>
      </c>
      <c r="CW57">
        <f t="shared" si="88"/>
        <v>1799.84</v>
      </c>
      <c r="CX57">
        <f t="shared" si="89"/>
        <v>1513.0529999934026</v>
      </c>
      <c r="CY57">
        <f t="shared" si="90"/>
        <v>0.8406597253052509</v>
      </c>
      <c r="CZ57">
        <f t="shared" si="91"/>
        <v>0.19131945061050176</v>
      </c>
      <c r="DA57">
        <v>6</v>
      </c>
      <c r="DB57">
        <v>0.5</v>
      </c>
      <c r="DC57" t="s">
        <v>417</v>
      </c>
      <c r="DD57">
        <v>2</v>
      </c>
      <c r="DE57">
        <v>1691169785.5999999</v>
      </c>
      <c r="DF57">
        <v>1121.2550000000001</v>
      </c>
      <c r="DG57">
        <v>1200.22</v>
      </c>
      <c r="DH57">
        <v>25.783300000000001</v>
      </c>
      <c r="DI57">
        <v>19.404399999999999</v>
      </c>
      <c r="DJ57">
        <v>1117.07</v>
      </c>
      <c r="DK57">
        <v>25.784300000000002</v>
      </c>
      <c r="DL57">
        <v>500.10599999999999</v>
      </c>
      <c r="DM57">
        <v>99.132499999999993</v>
      </c>
      <c r="DN57">
        <v>9.9995500000000001E-2</v>
      </c>
      <c r="DO57">
        <v>30.095700000000001</v>
      </c>
      <c r="DP57">
        <v>30.034800000000001</v>
      </c>
      <c r="DQ57">
        <v>999.9</v>
      </c>
      <c r="DR57">
        <v>0</v>
      </c>
      <c r="DS57">
        <v>0</v>
      </c>
      <c r="DT57">
        <v>9977.5</v>
      </c>
      <c r="DU57">
        <v>0</v>
      </c>
      <c r="DV57">
        <v>1622.17</v>
      </c>
      <c r="DW57">
        <v>-79.011600000000001</v>
      </c>
      <c r="DX57">
        <v>1151.02</v>
      </c>
      <c r="DY57">
        <v>1223.97</v>
      </c>
      <c r="DZ57">
        <v>6.49132</v>
      </c>
      <c r="EA57">
        <v>1200.22</v>
      </c>
      <c r="EB57">
        <v>19.404399999999999</v>
      </c>
      <c r="EC57">
        <v>2.56711</v>
      </c>
      <c r="ED57">
        <v>1.9236</v>
      </c>
      <c r="EE57">
        <v>21.458300000000001</v>
      </c>
      <c r="EF57">
        <v>16.8291</v>
      </c>
      <c r="EG57">
        <v>1799.84</v>
      </c>
      <c r="EH57">
        <v>0.97800600000000004</v>
      </c>
      <c r="EI57">
        <v>2.1993800000000001E-2</v>
      </c>
      <c r="EJ57">
        <v>0</v>
      </c>
      <c r="EK57">
        <v>662.23500000000001</v>
      </c>
      <c r="EL57">
        <v>0.10001</v>
      </c>
      <c r="EM57">
        <v>17101</v>
      </c>
      <c r="EN57">
        <v>16352.1</v>
      </c>
      <c r="EO57">
        <v>47.5</v>
      </c>
      <c r="EP57">
        <v>49.875</v>
      </c>
      <c r="EQ57">
        <v>48.936999999999998</v>
      </c>
      <c r="ER57">
        <v>48.75</v>
      </c>
      <c r="ES57">
        <v>49.125</v>
      </c>
      <c r="ET57">
        <v>1760.16</v>
      </c>
      <c r="EU57">
        <v>39.58</v>
      </c>
      <c r="EV57">
        <v>0</v>
      </c>
      <c r="EW57">
        <v>128</v>
      </c>
      <c r="EX57">
        <v>0</v>
      </c>
      <c r="EY57">
        <v>663.65288461538466</v>
      </c>
      <c r="EZ57">
        <v>-6.8070085350509419</v>
      </c>
      <c r="FA57">
        <v>-217.21709412040249</v>
      </c>
      <c r="FB57">
        <v>17164.807692307691</v>
      </c>
      <c r="FC57">
        <v>15</v>
      </c>
      <c r="FD57">
        <v>1691169826.0999999</v>
      </c>
      <c r="FE57" t="s">
        <v>627</v>
      </c>
      <c r="FF57">
        <v>1691169826.0999999</v>
      </c>
      <c r="FG57">
        <v>1691169814.5999999</v>
      </c>
      <c r="FH57">
        <v>44</v>
      </c>
      <c r="FI57">
        <v>-3.7999999999999999E-2</v>
      </c>
      <c r="FJ57">
        <v>-6.0000000000000001E-3</v>
      </c>
      <c r="FK57">
        <v>4.1849999999999996</v>
      </c>
      <c r="FL57">
        <v>-1E-3</v>
      </c>
      <c r="FM57">
        <v>1200</v>
      </c>
      <c r="FN57">
        <v>19</v>
      </c>
      <c r="FO57">
        <v>0.14000000000000001</v>
      </c>
      <c r="FP57">
        <v>0.03</v>
      </c>
      <c r="FQ57">
        <v>59.296068081326517</v>
      </c>
      <c r="FR57">
        <v>1.335471333404287E-2</v>
      </c>
      <c r="FS57">
        <v>0.18849678499000919</v>
      </c>
      <c r="FT57">
        <v>1</v>
      </c>
      <c r="FU57">
        <v>0.33487917782863519</v>
      </c>
      <c r="FV57">
        <v>-2.7552367822355531E-3</v>
      </c>
      <c r="FW57">
        <v>6.8610733470104491E-4</v>
      </c>
      <c r="FX57">
        <v>1</v>
      </c>
      <c r="FY57">
        <v>2</v>
      </c>
      <c r="FZ57">
        <v>2</v>
      </c>
      <c r="GA57" t="s">
        <v>419</v>
      </c>
      <c r="GB57">
        <v>2.8844599999999998</v>
      </c>
      <c r="GC57">
        <v>2.8209900000000001</v>
      </c>
      <c r="GD57">
        <v>0.17674400000000001</v>
      </c>
      <c r="GE57">
        <v>0.18553900000000001</v>
      </c>
      <c r="GF57">
        <v>0.120381</v>
      </c>
      <c r="GG57">
        <v>9.8972599999999994E-2</v>
      </c>
      <c r="GH57">
        <v>25254.9</v>
      </c>
      <c r="GI57">
        <v>23319</v>
      </c>
      <c r="GJ57">
        <v>28246.7</v>
      </c>
      <c r="GK57">
        <v>26897.3</v>
      </c>
      <c r="GL57">
        <v>35068.199999999997</v>
      </c>
      <c r="GM57">
        <v>33853.5</v>
      </c>
      <c r="GN57">
        <v>41561.699999999997</v>
      </c>
      <c r="GO57">
        <v>38922.5</v>
      </c>
      <c r="GP57">
        <v>1.9984999999999999</v>
      </c>
      <c r="GQ57">
        <v>1.6594</v>
      </c>
      <c r="GR57">
        <v>-2.8580399999999999E-2</v>
      </c>
      <c r="GS57">
        <v>0</v>
      </c>
      <c r="GT57">
        <v>30.499700000000001</v>
      </c>
      <c r="GU57">
        <v>999.9</v>
      </c>
      <c r="GV57">
        <v>47.9</v>
      </c>
      <c r="GW57">
        <v>45.4</v>
      </c>
      <c r="GX57">
        <v>47.549599999999998</v>
      </c>
      <c r="GY57">
        <v>62.8123</v>
      </c>
      <c r="GZ57">
        <v>32.239600000000003</v>
      </c>
      <c r="HA57">
        <v>1</v>
      </c>
      <c r="HB57">
        <v>0.99346500000000004</v>
      </c>
      <c r="HC57">
        <v>4.8423400000000001</v>
      </c>
      <c r="HD57">
        <v>20.227499999999999</v>
      </c>
      <c r="HE57">
        <v>5.2095000000000002</v>
      </c>
      <c r="HF57">
        <v>11.997999999999999</v>
      </c>
      <c r="HG57">
        <v>4.9875999999999996</v>
      </c>
      <c r="HH57">
        <v>3.2909999999999999</v>
      </c>
      <c r="HI57">
        <v>9999</v>
      </c>
      <c r="HJ57">
        <v>9999</v>
      </c>
      <c r="HK57">
        <v>9999</v>
      </c>
      <c r="HL57">
        <v>999.9</v>
      </c>
      <c r="HM57">
        <v>1.86656</v>
      </c>
      <c r="HN57">
        <v>1.8666100000000001</v>
      </c>
      <c r="HO57">
        <v>1.86313</v>
      </c>
      <c r="HP57">
        <v>1.8643099999999999</v>
      </c>
      <c r="HQ57">
        <v>1.8638600000000001</v>
      </c>
      <c r="HR57">
        <v>1.8597399999999999</v>
      </c>
      <c r="HS57">
        <v>1.8629500000000001</v>
      </c>
      <c r="HT57">
        <v>1.8656900000000001</v>
      </c>
      <c r="HU57">
        <v>5</v>
      </c>
      <c r="HV57">
        <v>0</v>
      </c>
      <c r="HW57">
        <v>0</v>
      </c>
      <c r="HX57">
        <v>0</v>
      </c>
      <c r="HY57" t="s">
        <v>420</v>
      </c>
      <c r="HZ57" t="s">
        <v>421</v>
      </c>
      <c r="IA57" t="s">
        <v>422</v>
      </c>
      <c r="IB57" t="s">
        <v>422</v>
      </c>
      <c r="IC57" t="s">
        <v>422</v>
      </c>
      <c r="ID57" t="s">
        <v>422</v>
      </c>
      <c r="IE57">
        <v>0</v>
      </c>
      <c r="IF57">
        <v>100</v>
      </c>
      <c r="IG57">
        <v>100</v>
      </c>
      <c r="IH57">
        <v>4.1849999999999996</v>
      </c>
      <c r="II57">
        <v>-1E-3</v>
      </c>
      <c r="IJ57">
        <v>2.017478643099845</v>
      </c>
      <c r="IK57">
        <v>3.5576830062418229E-3</v>
      </c>
      <c r="IL57">
        <v>-2.2646740813029151E-6</v>
      </c>
      <c r="IM57">
        <v>6.9609298295988525E-10</v>
      </c>
      <c r="IN57">
        <v>-0.147807377675197</v>
      </c>
      <c r="IO57">
        <v>-9.4437069492282083E-4</v>
      </c>
      <c r="IP57">
        <v>5.2900373165634467E-4</v>
      </c>
      <c r="IQ57">
        <v>-3.977656803091445E-6</v>
      </c>
      <c r="IR57">
        <v>2</v>
      </c>
      <c r="IS57">
        <v>1759</v>
      </c>
      <c r="IT57">
        <v>2</v>
      </c>
      <c r="IU57">
        <v>42</v>
      </c>
      <c r="IV57">
        <v>2.9</v>
      </c>
      <c r="IW57">
        <v>2.9</v>
      </c>
      <c r="IX57">
        <v>2.4377399999999998</v>
      </c>
      <c r="IY57">
        <v>2.4279799999999998</v>
      </c>
      <c r="IZ57">
        <v>1.54297</v>
      </c>
      <c r="JA57">
        <v>2.3034699999999999</v>
      </c>
      <c r="JB57">
        <v>1.5466299999999999</v>
      </c>
      <c r="JC57">
        <v>2.3754900000000001</v>
      </c>
      <c r="JD57">
        <v>49.263500000000001</v>
      </c>
      <c r="JE57">
        <v>15.2791</v>
      </c>
      <c r="JF57">
        <v>18</v>
      </c>
      <c r="JG57">
        <v>531.63099999999997</v>
      </c>
      <c r="JH57">
        <v>412.517</v>
      </c>
      <c r="JI57">
        <v>24.325600000000001</v>
      </c>
      <c r="JJ57">
        <v>38.976599999999998</v>
      </c>
      <c r="JK57">
        <v>30.002500000000001</v>
      </c>
      <c r="JL57">
        <v>39.376100000000001</v>
      </c>
      <c r="JM57">
        <v>39.364800000000002</v>
      </c>
      <c r="JN57">
        <v>48.944400000000002</v>
      </c>
      <c r="JO57">
        <v>65.686099999999996</v>
      </c>
      <c r="JP57">
        <v>0</v>
      </c>
      <c r="JQ57">
        <v>24.2621</v>
      </c>
      <c r="JR57">
        <v>1200</v>
      </c>
      <c r="JS57">
        <v>19.378</v>
      </c>
      <c r="JT57">
        <v>98.4696</v>
      </c>
      <c r="JU57">
        <v>96.307000000000002</v>
      </c>
    </row>
    <row r="58" spans="1:281" x14ac:dyDescent="0.25">
      <c r="A58">
        <v>42</v>
      </c>
      <c r="B58">
        <v>1691170007.0999999</v>
      </c>
      <c r="C58">
        <v>9095.5999999046326</v>
      </c>
      <c r="D58" t="s">
        <v>628</v>
      </c>
      <c r="E58" t="s">
        <v>629</v>
      </c>
      <c r="F58" t="s">
        <v>413</v>
      </c>
      <c r="G58" t="s">
        <v>562</v>
      </c>
      <c r="H58" t="s">
        <v>563</v>
      </c>
      <c r="I58" t="s">
        <v>31</v>
      </c>
      <c r="J58">
        <v>1691170007.0999999</v>
      </c>
      <c r="K58">
        <f t="shared" si="46"/>
        <v>4.4938794246648546E-3</v>
      </c>
      <c r="L58">
        <f t="shared" si="47"/>
        <v>4.493879424664855</v>
      </c>
      <c r="M58">
        <f t="shared" si="48"/>
        <v>58.564185071603688</v>
      </c>
      <c r="N58">
        <f t="shared" si="49"/>
        <v>1422.25</v>
      </c>
      <c r="O58">
        <f t="shared" si="50"/>
        <v>1017.5328779417354</v>
      </c>
      <c r="P58">
        <f t="shared" si="51"/>
        <v>100.95696758142921</v>
      </c>
      <c r="Q58">
        <f t="shared" si="52"/>
        <v>141.11194857224999</v>
      </c>
      <c r="R58">
        <f t="shared" si="53"/>
        <v>0.26408286005031151</v>
      </c>
      <c r="S58">
        <f t="shared" si="54"/>
        <v>2.912702817352955</v>
      </c>
      <c r="T58">
        <f t="shared" si="55"/>
        <v>0.25146561239017728</v>
      </c>
      <c r="U58">
        <f t="shared" si="56"/>
        <v>0.15824937127394204</v>
      </c>
      <c r="V58">
        <f t="shared" si="57"/>
        <v>344.3385999867952</v>
      </c>
      <c r="W58">
        <f t="shared" si="58"/>
        <v>30.896536888174889</v>
      </c>
      <c r="X58">
        <f t="shared" si="59"/>
        <v>29.976099999999999</v>
      </c>
      <c r="Y58">
        <f t="shared" si="60"/>
        <v>4.2546045397765999</v>
      </c>
      <c r="Z58">
        <f t="shared" si="61"/>
        <v>59.561989953320669</v>
      </c>
      <c r="AA58">
        <f t="shared" si="62"/>
        <v>2.5422474658229999</v>
      </c>
      <c r="AB58">
        <f t="shared" si="63"/>
        <v>4.2682379615177144</v>
      </c>
      <c r="AC58">
        <f t="shared" si="64"/>
        <v>1.7123570739536</v>
      </c>
      <c r="AD58">
        <f t="shared" si="65"/>
        <v>-198.18008262772008</v>
      </c>
      <c r="AE58">
        <f t="shared" si="66"/>
        <v>8.7465506299049398</v>
      </c>
      <c r="AF58">
        <f t="shared" si="67"/>
        <v>0.66772359077942733</v>
      </c>
      <c r="AG58">
        <f t="shared" si="68"/>
        <v>155.57279157975947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51848.631339475709</v>
      </c>
      <c r="AM58" t="s">
        <v>414</v>
      </c>
      <c r="AN58">
        <v>10111.299999999999</v>
      </c>
      <c r="AO58">
        <v>608.58839999999998</v>
      </c>
      <c r="AP58">
        <v>2150.11</v>
      </c>
      <c r="AQ58">
        <f t="shared" si="72"/>
        <v>0.71695010952927984</v>
      </c>
      <c r="AR58">
        <v>-1.1786277417053079</v>
      </c>
      <c r="AS58" t="s">
        <v>630</v>
      </c>
      <c r="AT58">
        <v>8093.91</v>
      </c>
      <c r="AU58">
        <v>661.61019230769239</v>
      </c>
      <c r="AV58">
        <v>1124.5382518612371</v>
      </c>
      <c r="AW58">
        <f t="shared" si="73"/>
        <v>0.41166057160558722</v>
      </c>
      <c r="AX58">
        <v>0.5</v>
      </c>
      <c r="AY58">
        <f t="shared" si="74"/>
        <v>1513.0202999933977</v>
      </c>
      <c r="AZ58">
        <f t="shared" si="75"/>
        <v>58.564185071603688</v>
      </c>
      <c r="BA58">
        <f t="shared" si="76"/>
        <v>311.42540077306955</v>
      </c>
      <c r="BB58">
        <f t="shared" si="77"/>
        <v>3.9485797258351191E-2</v>
      </c>
      <c r="BC58">
        <f t="shared" si="78"/>
        <v>0.91199365289826884</v>
      </c>
      <c r="BD58">
        <f t="shared" si="79"/>
        <v>483.72084457439564</v>
      </c>
      <c r="BE58" t="s">
        <v>631</v>
      </c>
      <c r="BF58">
        <v>518.25</v>
      </c>
      <c r="BG58">
        <f t="shared" si="80"/>
        <v>518.25</v>
      </c>
      <c r="BH58">
        <f t="shared" si="81"/>
        <v>0.53914417838411621</v>
      </c>
      <c r="BI58">
        <f t="shared" si="82"/>
        <v>0.76354449906031885</v>
      </c>
      <c r="BJ58">
        <f t="shared" si="83"/>
        <v>0.62846797405338872</v>
      </c>
      <c r="BK58">
        <f t="shared" si="84"/>
        <v>0.89723460116051656</v>
      </c>
      <c r="BL58">
        <f t="shared" si="85"/>
        <v>0.66529833129731231</v>
      </c>
      <c r="BM58">
        <f t="shared" si="86"/>
        <v>0.59809679663154347</v>
      </c>
      <c r="BN58">
        <f t="shared" si="87"/>
        <v>0.40190320336845653</v>
      </c>
      <c r="BO58">
        <v>7057</v>
      </c>
      <c r="BP58">
        <v>290.00000000000011</v>
      </c>
      <c r="BQ58">
        <v>959.49</v>
      </c>
      <c r="BR58">
        <v>285</v>
      </c>
      <c r="BS58">
        <v>8093.91</v>
      </c>
      <c r="BT58">
        <v>962.06</v>
      </c>
      <c r="BU58">
        <v>-2.57</v>
      </c>
      <c r="BV58">
        <v>300.00000000000011</v>
      </c>
      <c r="BW58">
        <v>19.2</v>
      </c>
      <c r="BX58">
        <v>1124.5382518612371</v>
      </c>
      <c r="BY58">
        <v>4.012718530853264</v>
      </c>
      <c r="BZ58">
        <v>-131.50738217416219</v>
      </c>
      <c r="CA58">
        <v>2.9845827242697962</v>
      </c>
      <c r="CB58">
        <v>0.98578305264413613</v>
      </c>
      <c r="CC58">
        <v>-4.1703508342602934E-3</v>
      </c>
      <c r="CD58">
        <v>289.99999999999989</v>
      </c>
      <c r="CE58">
        <v>952.77</v>
      </c>
      <c r="CF58">
        <v>625</v>
      </c>
      <c r="CG58">
        <v>8089.54</v>
      </c>
      <c r="CH58">
        <v>961.97</v>
      </c>
      <c r="CI58">
        <v>-9.1999999999999993</v>
      </c>
      <c r="CW58">
        <f t="shared" si="88"/>
        <v>1799.8</v>
      </c>
      <c r="CX58">
        <f t="shared" si="89"/>
        <v>1513.0202999933977</v>
      </c>
      <c r="CY58">
        <f t="shared" si="90"/>
        <v>0.84066024002300122</v>
      </c>
      <c r="CZ58">
        <f t="shared" si="91"/>
        <v>0.19132048004600244</v>
      </c>
      <c r="DA58">
        <v>6</v>
      </c>
      <c r="DB58">
        <v>0.5</v>
      </c>
      <c r="DC58" t="s">
        <v>417</v>
      </c>
      <c r="DD58">
        <v>2</v>
      </c>
      <c r="DE58">
        <v>1691170007.0999999</v>
      </c>
      <c r="DF58">
        <v>1422.25</v>
      </c>
      <c r="DG58">
        <v>1500.2</v>
      </c>
      <c r="DH58">
        <v>25.623000000000001</v>
      </c>
      <c r="DI58">
        <v>20.368300000000001</v>
      </c>
      <c r="DJ58">
        <v>1417.88</v>
      </c>
      <c r="DK58">
        <v>25.524899999999999</v>
      </c>
      <c r="DL58">
        <v>499.97899999999998</v>
      </c>
      <c r="DM58">
        <v>99.117099999999994</v>
      </c>
      <c r="DN58">
        <v>0.100301</v>
      </c>
      <c r="DO58">
        <v>30.0318</v>
      </c>
      <c r="DP58">
        <v>29.976099999999999</v>
      </c>
      <c r="DQ58">
        <v>999.9</v>
      </c>
      <c r="DR58">
        <v>0</v>
      </c>
      <c r="DS58">
        <v>0</v>
      </c>
      <c r="DT58">
        <v>9992.5</v>
      </c>
      <c r="DU58">
        <v>0</v>
      </c>
      <c r="DV58">
        <v>622.55899999999997</v>
      </c>
      <c r="DW58">
        <v>-77.946799999999996</v>
      </c>
      <c r="DX58">
        <v>1459.65</v>
      </c>
      <c r="DY58">
        <v>1531.39</v>
      </c>
      <c r="DZ58">
        <v>5.2546900000000001</v>
      </c>
      <c r="EA58">
        <v>1500.2</v>
      </c>
      <c r="EB58">
        <v>20.368300000000001</v>
      </c>
      <c r="EC58">
        <v>2.5396700000000001</v>
      </c>
      <c r="ED58">
        <v>2.01884</v>
      </c>
      <c r="EE58">
        <v>21.283000000000001</v>
      </c>
      <c r="EF58">
        <v>17.5929</v>
      </c>
      <c r="EG58">
        <v>1799.8</v>
      </c>
      <c r="EH58">
        <v>0.977993</v>
      </c>
      <c r="EI58">
        <v>2.2007200000000001E-2</v>
      </c>
      <c r="EJ58">
        <v>0</v>
      </c>
      <c r="EK58">
        <v>661.21500000000003</v>
      </c>
      <c r="EL58">
        <v>0.10001</v>
      </c>
      <c r="EM58">
        <v>14605.8</v>
      </c>
      <c r="EN58">
        <v>16351.6</v>
      </c>
      <c r="EO58">
        <v>47.375</v>
      </c>
      <c r="EP58">
        <v>49.561999999999998</v>
      </c>
      <c r="EQ58">
        <v>48.811999999999998</v>
      </c>
      <c r="ER58">
        <v>48.5</v>
      </c>
      <c r="ES58">
        <v>48.936999999999998</v>
      </c>
      <c r="ET58">
        <v>1760.09</v>
      </c>
      <c r="EU58">
        <v>39.61</v>
      </c>
      <c r="EV58">
        <v>0</v>
      </c>
      <c r="EW58">
        <v>219.20000004768369</v>
      </c>
      <c r="EX58">
        <v>0</v>
      </c>
      <c r="EY58">
        <v>661.61019230769239</v>
      </c>
      <c r="EZ58">
        <v>1.763247907859707</v>
      </c>
      <c r="FA58">
        <v>-53.227350596342831</v>
      </c>
      <c r="FB58">
        <v>14614.85</v>
      </c>
      <c r="FC58">
        <v>15</v>
      </c>
      <c r="FD58">
        <v>1691169956.0999999</v>
      </c>
      <c r="FE58" t="s">
        <v>632</v>
      </c>
      <c r="FF58">
        <v>1691169956.0999999</v>
      </c>
      <c r="FG58">
        <v>1691169956.0999999</v>
      </c>
      <c r="FH58">
        <v>45</v>
      </c>
      <c r="FI58">
        <v>-8.2000000000000003E-2</v>
      </c>
      <c r="FJ58">
        <v>-3.0000000000000001E-3</v>
      </c>
      <c r="FK58">
        <v>4.4800000000000004</v>
      </c>
      <c r="FL58">
        <v>5.0000000000000001E-3</v>
      </c>
      <c r="FM58">
        <v>1500</v>
      </c>
      <c r="FN58">
        <v>20</v>
      </c>
      <c r="FO58">
        <v>0.15</v>
      </c>
      <c r="FP58">
        <v>0.03</v>
      </c>
      <c r="FQ58">
        <v>58.50272959541072</v>
      </c>
      <c r="FR58">
        <v>-1.108412943525384</v>
      </c>
      <c r="FS58">
        <v>0.30134196058700202</v>
      </c>
      <c r="FT58">
        <v>0</v>
      </c>
      <c r="FU58">
        <v>0.2678304864393653</v>
      </c>
      <c r="FV58">
        <v>-2.7482928136541129E-2</v>
      </c>
      <c r="FW58">
        <v>2.0352834053046411E-3</v>
      </c>
      <c r="FX58">
        <v>1</v>
      </c>
      <c r="FY58">
        <v>1</v>
      </c>
      <c r="FZ58">
        <v>2</v>
      </c>
      <c r="GA58" t="s">
        <v>602</v>
      </c>
      <c r="GB58">
        <v>2.8841100000000002</v>
      </c>
      <c r="GC58">
        <v>2.8214299999999999</v>
      </c>
      <c r="GD58">
        <v>0.20465700000000001</v>
      </c>
      <c r="GE58">
        <v>0.21246799999999999</v>
      </c>
      <c r="GF58">
        <v>0.119507</v>
      </c>
      <c r="GG58">
        <v>0.102384</v>
      </c>
      <c r="GH58">
        <v>24392.7</v>
      </c>
      <c r="GI58">
        <v>22539</v>
      </c>
      <c r="GJ58">
        <v>28243.8</v>
      </c>
      <c r="GK58">
        <v>26890.5</v>
      </c>
      <c r="GL58">
        <v>35099.5</v>
      </c>
      <c r="GM58">
        <v>33718.400000000001</v>
      </c>
      <c r="GN58">
        <v>41557.300000000003</v>
      </c>
      <c r="GO58">
        <v>38913.599999999999</v>
      </c>
      <c r="GP58">
        <v>1.9972000000000001</v>
      </c>
      <c r="GQ58">
        <v>1.6595</v>
      </c>
      <c r="GR58">
        <v>9.5069400000000002E-3</v>
      </c>
      <c r="GS58">
        <v>0</v>
      </c>
      <c r="GT58">
        <v>29.821400000000001</v>
      </c>
      <c r="GU58">
        <v>999.9</v>
      </c>
      <c r="GV58">
        <v>47.6</v>
      </c>
      <c r="GW58">
        <v>45.6</v>
      </c>
      <c r="GX58">
        <v>47.737099999999998</v>
      </c>
      <c r="GY58">
        <v>62.632399999999997</v>
      </c>
      <c r="GZ58">
        <v>32.724400000000003</v>
      </c>
      <c r="HA58">
        <v>1</v>
      </c>
      <c r="HB58">
        <v>0.99048800000000004</v>
      </c>
      <c r="HC58">
        <v>3.5443799999999999</v>
      </c>
      <c r="HD58">
        <v>20.258700000000001</v>
      </c>
      <c r="HE58">
        <v>5.2100999999999997</v>
      </c>
      <c r="HF58">
        <v>11.997999999999999</v>
      </c>
      <c r="HG58">
        <v>4.9871999999999996</v>
      </c>
      <c r="HH58">
        <v>3.2909999999999999</v>
      </c>
      <c r="HI58">
        <v>9999</v>
      </c>
      <c r="HJ58">
        <v>9999</v>
      </c>
      <c r="HK58">
        <v>9999</v>
      </c>
      <c r="HL58">
        <v>999.9</v>
      </c>
      <c r="HM58">
        <v>1.8664700000000001</v>
      </c>
      <c r="HN58">
        <v>1.8666100000000001</v>
      </c>
      <c r="HO58">
        <v>1.8631200000000001</v>
      </c>
      <c r="HP58">
        <v>1.86432</v>
      </c>
      <c r="HQ58">
        <v>1.8638600000000001</v>
      </c>
      <c r="HR58">
        <v>1.8597399999999999</v>
      </c>
      <c r="HS58">
        <v>1.8629500000000001</v>
      </c>
      <c r="HT58">
        <v>1.8656900000000001</v>
      </c>
      <c r="HU58">
        <v>5</v>
      </c>
      <c r="HV58">
        <v>0</v>
      </c>
      <c r="HW58">
        <v>0</v>
      </c>
      <c r="HX58">
        <v>0</v>
      </c>
      <c r="HY58" t="s">
        <v>420</v>
      </c>
      <c r="HZ58" t="s">
        <v>421</v>
      </c>
      <c r="IA58" t="s">
        <v>422</v>
      </c>
      <c r="IB58" t="s">
        <v>422</v>
      </c>
      <c r="IC58" t="s">
        <v>422</v>
      </c>
      <c r="ID58" t="s">
        <v>422</v>
      </c>
      <c r="IE58">
        <v>0</v>
      </c>
      <c r="IF58">
        <v>100</v>
      </c>
      <c r="IG58">
        <v>100</v>
      </c>
      <c r="IH58">
        <v>4.37</v>
      </c>
      <c r="II58">
        <v>9.8100000000000007E-2</v>
      </c>
      <c r="IJ58">
        <v>1.896665653957146</v>
      </c>
      <c r="IK58">
        <v>3.5576830062418229E-3</v>
      </c>
      <c r="IL58">
        <v>-2.2646740813029151E-6</v>
      </c>
      <c r="IM58">
        <v>6.9609298295988525E-10</v>
      </c>
      <c r="IN58">
        <v>-0.15639691904474209</v>
      </c>
      <c r="IO58">
        <v>-9.4437069492282083E-4</v>
      </c>
      <c r="IP58">
        <v>5.2900373165634467E-4</v>
      </c>
      <c r="IQ58">
        <v>-3.977656803091445E-6</v>
      </c>
      <c r="IR58">
        <v>2</v>
      </c>
      <c r="IS58">
        <v>1759</v>
      </c>
      <c r="IT58">
        <v>2</v>
      </c>
      <c r="IU58">
        <v>42</v>
      </c>
      <c r="IV58">
        <v>0.8</v>
      </c>
      <c r="IW58">
        <v>0.8</v>
      </c>
      <c r="IX58">
        <v>2.9382299999999999</v>
      </c>
      <c r="IY58">
        <v>2.4121100000000002</v>
      </c>
      <c r="IZ58">
        <v>1.54297</v>
      </c>
      <c r="JA58">
        <v>2.3034699999999999</v>
      </c>
      <c r="JB58">
        <v>1.5466299999999999</v>
      </c>
      <c r="JC58">
        <v>2.4194300000000002</v>
      </c>
      <c r="JD58">
        <v>49.357900000000001</v>
      </c>
      <c r="JE58">
        <v>15.270300000000001</v>
      </c>
      <c r="JF58">
        <v>18</v>
      </c>
      <c r="JG58">
        <v>531.21699999999998</v>
      </c>
      <c r="JH58">
        <v>412.86099999999999</v>
      </c>
      <c r="JI58">
        <v>25.391999999999999</v>
      </c>
      <c r="JJ58">
        <v>38.987900000000003</v>
      </c>
      <c r="JK58">
        <v>29.999500000000001</v>
      </c>
      <c r="JL58">
        <v>39.433300000000003</v>
      </c>
      <c r="JM58">
        <v>39.410400000000003</v>
      </c>
      <c r="JN58">
        <v>58.968000000000004</v>
      </c>
      <c r="JO58">
        <v>64.341700000000003</v>
      </c>
      <c r="JP58">
        <v>0</v>
      </c>
      <c r="JQ58">
        <v>25.3901</v>
      </c>
      <c r="JR58">
        <v>1500</v>
      </c>
      <c r="JS58">
        <v>20.5213</v>
      </c>
      <c r="JT58">
        <v>98.459199999999996</v>
      </c>
      <c r="JU58">
        <v>96.283900000000003</v>
      </c>
    </row>
    <row r="59" spans="1:281" x14ac:dyDescent="0.25">
      <c r="A59">
        <v>43</v>
      </c>
      <c r="B59">
        <v>1691171429.5</v>
      </c>
      <c r="C59">
        <v>10518</v>
      </c>
      <c r="D59" t="s">
        <v>633</v>
      </c>
      <c r="E59" t="s">
        <v>634</v>
      </c>
      <c r="F59" t="s">
        <v>413</v>
      </c>
      <c r="G59" t="s">
        <v>635</v>
      </c>
      <c r="H59" t="s">
        <v>636</v>
      </c>
      <c r="I59" t="s">
        <v>31</v>
      </c>
      <c r="J59">
        <v>1691171429.5</v>
      </c>
      <c r="K59">
        <f t="shared" si="46"/>
        <v>5.2595114864435466E-3</v>
      </c>
      <c r="L59">
        <f t="shared" si="47"/>
        <v>5.2595114864435466</v>
      </c>
      <c r="M59">
        <f t="shared" si="48"/>
        <v>45.608980303139951</v>
      </c>
      <c r="N59">
        <f t="shared" si="49"/>
        <v>343.20400000000001</v>
      </c>
      <c r="O59">
        <f t="shared" si="50"/>
        <v>95.048184595407804</v>
      </c>
      <c r="P59">
        <f t="shared" si="51"/>
        <v>9.427135863415506</v>
      </c>
      <c r="Q59">
        <f t="shared" si="52"/>
        <v>34.039900400412002</v>
      </c>
      <c r="R59">
        <f t="shared" si="53"/>
        <v>0.31703547048395064</v>
      </c>
      <c r="S59">
        <f t="shared" si="54"/>
        <v>2.9147157782235817</v>
      </c>
      <c r="T59">
        <f t="shared" si="55"/>
        <v>0.29904789686822186</v>
      </c>
      <c r="U59">
        <f t="shared" si="56"/>
        <v>0.18843594870553204</v>
      </c>
      <c r="V59">
        <f t="shared" si="57"/>
        <v>344.35509998679925</v>
      </c>
      <c r="W59">
        <f t="shared" si="58"/>
        <v>30.744520708621046</v>
      </c>
      <c r="X59">
        <f t="shared" si="59"/>
        <v>30.008400000000002</v>
      </c>
      <c r="Y59">
        <f t="shared" si="60"/>
        <v>4.2625058252990362</v>
      </c>
      <c r="Z59">
        <f t="shared" si="61"/>
        <v>60.239695028961272</v>
      </c>
      <c r="AA59">
        <f t="shared" si="62"/>
        <v>2.5782841192958998</v>
      </c>
      <c r="AB59">
        <f t="shared" si="63"/>
        <v>4.2800417864936824</v>
      </c>
      <c r="AC59">
        <f t="shared" si="64"/>
        <v>1.6842217060031364</v>
      </c>
      <c r="AD59">
        <f t="shared" si="65"/>
        <v>-231.9444565521604</v>
      </c>
      <c r="AE59">
        <f t="shared" si="66"/>
        <v>11.235378228044162</v>
      </c>
      <c r="AF59">
        <f t="shared" si="67"/>
        <v>0.85747291976600182</v>
      </c>
      <c r="AG59">
        <f t="shared" si="68"/>
        <v>124.50349458244901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51896.916157766573</v>
      </c>
      <c r="AM59" t="s">
        <v>414</v>
      </c>
      <c r="AN59">
        <v>10111.299999999999</v>
      </c>
      <c r="AO59">
        <v>608.58839999999998</v>
      </c>
      <c r="AP59">
        <v>2150.11</v>
      </c>
      <c r="AQ59">
        <f t="shared" si="72"/>
        <v>0.71695010952927984</v>
      </c>
      <c r="AR59">
        <v>-1.1786277417053079</v>
      </c>
      <c r="AS59" t="s">
        <v>637</v>
      </c>
      <c r="AT59">
        <v>8098.24</v>
      </c>
      <c r="AU59">
        <v>666.95360000000005</v>
      </c>
      <c r="AV59">
        <v>987.80016943240514</v>
      </c>
      <c r="AW59">
        <f t="shared" si="73"/>
        <v>0.32480918647418855</v>
      </c>
      <c r="AX59">
        <v>0.5</v>
      </c>
      <c r="AY59">
        <f t="shared" si="74"/>
        <v>1513.0955999933999</v>
      </c>
      <c r="AZ59">
        <f t="shared" si="75"/>
        <v>45.608980303139951</v>
      </c>
      <c r="BA59">
        <f t="shared" si="76"/>
        <v>245.73367544576521</v>
      </c>
      <c r="BB59">
        <f t="shared" si="77"/>
        <v>3.0921779195610209E-2</v>
      </c>
      <c r="BC59">
        <f t="shared" si="78"/>
        <v>1.1766649435132854</v>
      </c>
      <c r="BD59">
        <f t="shared" si="79"/>
        <v>456.53664195424176</v>
      </c>
      <c r="BE59" t="s">
        <v>638</v>
      </c>
      <c r="BF59">
        <v>528.62</v>
      </c>
      <c r="BG59">
        <f t="shared" si="80"/>
        <v>528.62</v>
      </c>
      <c r="BH59">
        <f t="shared" si="81"/>
        <v>0.46485127624168388</v>
      </c>
      <c r="BI59">
        <f t="shared" si="82"/>
        <v>0.69873786106443825</v>
      </c>
      <c r="BJ59">
        <f t="shared" si="83"/>
        <v>0.71681591040807824</v>
      </c>
      <c r="BK59">
        <f t="shared" si="84"/>
        <v>0.84608811037864229</v>
      </c>
      <c r="BL59">
        <f t="shared" si="85"/>
        <v>0.75400165042617295</v>
      </c>
      <c r="BM59">
        <f t="shared" si="86"/>
        <v>0.55381185155291668</v>
      </c>
      <c r="BN59">
        <f t="shared" si="87"/>
        <v>0.44618814844708332</v>
      </c>
      <c r="BO59">
        <v>7059</v>
      </c>
      <c r="BP59">
        <v>290.00000000000011</v>
      </c>
      <c r="BQ59">
        <v>878.24</v>
      </c>
      <c r="BR59">
        <v>275</v>
      </c>
      <c r="BS59">
        <v>8098.24</v>
      </c>
      <c r="BT59">
        <v>879.55</v>
      </c>
      <c r="BU59">
        <v>-1.31</v>
      </c>
      <c r="BV59">
        <v>300.00000000000011</v>
      </c>
      <c r="BW59">
        <v>19.2</v>
      </c>
      <c r="BX59">
        <v>987.80016943240514</v>
      </c>
      <c r="BY59">
        <v>2.864690314967917</v>
      </c>
      <c r="BZ59">
        <v>-87.663980134685872</v>
      </c>
      <c r="CA59">
        <v>2.1317815244082108</v>
      </c>
      <c r="CB59">
        <v>0.98371195356849972</v>
      </c>
      <c r="CC59">
        <v>-4.171828698553955E-3</v>
      </c>
      <c r="CD59">
        <v>289.99999999999989</v>
      </c>
      <c r="CE59">
        <v>873.75</v>
      </c>
      <c r="CF59">
        <v>645</v>
      </c>
      <c r="CG59">
        <v>8093.21</v>
      </c>
      <c r="CH59">
        <v>879.48</v>
      </c>
      <c r="CI59">
        <v>-5.73</v>
      </c>
      <c r="CW59">
        <f t="shared" si="88"/>
        <v>1799.89</v>
      </c>
      <c r="CX59">
        <f t="shared" si="89"/>
        <v>1513.0955999933999</v>
      </c>
      <c r="CY59">
        <f t="shared" si="90"/>
        <v>0.84066004033213126</v>
      </c>
      <c r="CZ59">
        <f t="shared" si="91"/>
        <v>0.1913200806642624</v>
      </c>
      <c r="DA59">
        <v>6</v>
      </c>
      <c r="DB59">
        <v>0.5</v>
      </c>
      <c r="DC59" t="s">
        <v>417</v>
      </c>
      <c r="DD59">
        <v>2</v>
      </c>
      <c r="DE59">
        <v>1691171429.5</v>
      </c>
      <c r="DF59">
        <v>343.20400000000001</v>
      </c>
      <c r="DG59">
        <v>400.10599999999999</v>
      </c>
      <c r="DH59">
        <v>25.9953</v>
      </c>
      <c r="DI59">
        <v>19.8474</v>
      </c>
      <c r="DJ59">
        <v>340.72399999999999</v>
      </c>
      <c r="DK59">
        <v>25.8766</v>
      </c>
      <c r="DL59">
        <v>499.95499999999998</v>
      </c>
      <c r="DM59">
        <v>99.082499999999996</v>
      </c>
      <c r="DN59">
        <v>0.100203</v>
      </c>
      <c r="DO59">
        <v>30.079899999999999</v>
      </c>
      <c r="DP59">
        <v>30.008400000000002</v>
      </c>
      <c r="DQ59">
        <v>999.9</v>
      </c>
      <c r="DR59">
        <v>0</v>
      </c>
      <c r="DS59">
        <v>0</v>
      </c>
      <c r="DT59">
        <v>10007.5</v>
      </c>
      <c r="DU59">
        <v>0</v>
      </c>
      <c r="DV59">
        <v>1667.86</v>
      </c>
      <c r="DW59">
        <v>-56.902200000000001</v>
      </c>
      <c r="DX59">
        <v>352.36399999999998</v>
      </c>
      <c r="DY59">
        <v>408.20800000000003</v>
      </c>
      <c r="DZ59">
        <v>6.1478700000000002</v>
      </c>
      <c r="EA59">
        <v>400.10599999999999</v>
      </c>
      <c r="EB59">
        <v>19.8474</v>
      </c>
      <c r="EC59">
        <v>2.5756800000000002</v>
      </c>
      <c r="ED59">
        <v>1.9665299999999999</v>
      </c>
      <c r="EE59">
        <v>21.512799999999999</v>
      </c>
      <c r="EF59">
        <v>17.177399999999999</v>
      </c>
      <c r="EG59">
        <v>1799.89</v>
      </c>
      <c r="EH59">
        <v>0.97799499999999995</v>
      </c>
      <c r="EI59">
        <v>2.2004699999999999E-2</v>
      </c>
      <c r="EJ59">
        <v>0</v>
      </c>
      <c r="EK59">
        <v>668.8</v>
      </c>
      <c r="EL59">
        <v>0.10001</v>
      </c>
      <c r="EM59">
        <v>17565</v>
      </c>
      <c r="EN59">
        <v>16352.5</v>
      </c>
      <c r="EO59">
        <v>46.936999999999998</v>
      </c>
      <c r="EP59">
        <v>49.436999999999998</v>
      </c>
      <c r="EQ59">
        <v>48.25</v>
      </c>
      <c r="ER59">
        <v>48.375</v>
      </c>
      <c r="ES59">
        <v>48.561999999999998</v>
      </c>
      <c r="ET59">
        <v>1760.19</v>
      </c>
      <c r="EU59">
        <v>39.6</v>
      </c>
      <c r="EV59">
        <v>0</v>
      </c>
      <c r="EW59">
        <v>1420.2000000476839</v>
      </c>
      <c r="EX59">
        <v>0</v>
      </c>
      <c r="EY59">
        <v>666.95360000000005</v>
      </c>
      <c r="EZ59">
        <v>6.3434615744509273</v>
      </c>
      <c r="FA59">
        <v>4.9923074006976957</v>
      </c>
      <c r="FB59">
        <v>17584.788</v>
      </c>
      <c r="FC59">
        <v>15</v>
      </c>
      <c r="FD59">
        <v>1691171400.5</v>
      </c>
      <c r="FE59" t="s">
        <v>639</v>
      </c>
      <c r="FF59">
        <v>1691171392</v>
      </c>
      <c r="FG59">
        <v>1691171400.5</v>
      </c>
      <c r="FH59">
        <v>47</v>
      </c>
      <c r="FI59">
        <v>0.12</v>
      </c>
      <c r="FJ59">
        <v>1E-3</v>
      </c>
      <c r="FK59">
        <v>2.6030000000000002</v>
      </c>
      <c r="FL59">
        <v>1.2999999999999999E-2</v>
      </c>
      <c r="FM59">
        <v>400</v>
      </c>
      <c r="FN59">
        <v>20</v>
      </c>
      <c r="FO59">
        <v>0.12</v>
      </c>
      <c r="FP59">
        <v>0.04</v>
      </c>
      <c r="FQ59">
        <v>45.252609540828999</v>
      </c>
      <c r="FR59">
        <v>0.21992082993811979</v>
      </c>
      <c r="FS59">
        <v>0.12820784944989061</v>
      </c>
      <c r="FT59">
        <v>1</v>
      </c>
      <c r="FU59">
        <v>0.32068165800531601</v>
      </c>
      <c r="FV59">
        <v>-4.4148979901301427E-2</v>
      </c>
      <c r="FW59">
        <v>3.4769363717935642E-3</v>
      </c>
      <c r="FX59">
        <v>1</v>
      </c>
      <c r="FY59">
        <v>2</v>
      </c>
      <c r="FZ59">
        <v>2</v>
      </c>
      <c r="GA59" t="s">
        <v>419</v>
      </c>
      <c r="GB59">
        <v>2.88443</v>
      </c>
      <c r="GC59">
        <v>2.8214600000000001</v>
      </c>
      <c r="GD59">
        <v>7.6381599999999994E-2</v>
      </c>
      <c r="GE59">
        <v>8.7096900000000005E-2</v>
      </c>
      <c r="GF59">
        <v>0.12070699999999999</v>
      </c>
      <c r="GG59">
        <v>0.10058499999999999</v>
      </c>
      <c r="GH59">
        <v>28339.5</v>
      </c>
      <c r="GI59">
        <v>26143.1</v>
      </c>
      <c r="GJ59">
        <v>28247.599999999999</v>
      </c>
      <c r="GK59">
        <v>26897.5</v>
      </c>
      <c r="GL59">
        <v>35052.9</v>
      </c>
      <c r="GM59">
        <v>33790.400000000001</v>
      </c>
      <c r="GN59">
        <v>41561.599999999999</v>
      </c>
      <c r="GO59">
        <v>38921.199999999997</v>
      </c>
      <c r="GP59">
        <v>1.9991000000000001</v>
      </c>
      <c r="GQ59">
        <v>1.6516999999999999</v>
      </c>
      <c r="GR59">
        <v>-5.9366200000000001E-2</v>
      </c>
      <c r="GS59">
        <v>0</v>
      </c>
      <c r="GT59">
        <v>30.973700000000001</v>
      </c>
      <c r="GU59">
        <v>999.9</v>
      </c>
      <c r="GV59">
        <v>45.4</v>
      </c>
      <c r="GW59">
        <v>46.6</v>
      </c>
      <c r="GX59">
        <v>47.944200000000002</v>
      </c>
      <c r="GY59">
        <v>62.692700000000002</v>
      </c>
      <c r="GZ59">
        <v>32.463900000000002</v>
      </c>
      <c r="HA59">
        <v>1</v>
      </c>
      <c r="HB59">
        <v>0.98451200000000005</v>
      </c>
      <c r="HC59">
        <v>5.3217100000000004</v>
      </c>
      <c r="HD59">
        <v>20.163799999999998</v>
      </c>
      <c r="HE59">
        <v>5.2107000000000001</v>
      </c>
      <c r="HF59">
        <v>11.997999999999999</v>
      </c>
      <c r="HG59">
        <v>4.9889999999999999</v>
      </c>
      <c r="HH59">
        <v>3.2909999999999999</v>
      </c>
      <c r="HI59">
        <v>9999</v>
      </c>
      <c r="HJ59">
        <v>9999</v>
      </c>
      <c r="HK59">
        <v>9999</v>
      </c>
      <c r="HL59">
        <v>999.9</v>
      </c>
      <c r="HM59">
        <v>1.86693</v>
      </c>
      <c r="HN59">
        <v>1.86707</v>
      </c>
      <c r="HO59">
        <v>1.8635999999999999</v>
      </c>
      <c r="HP59">
        <v>1.8647800000000001</v>
      </c>
      <c r="HQ59">
        <v>1.86432</v>
      </c>
      <c r="HR59">
        <v>1.86019</v>
      </c>
      <c r="HS59">
        <v>1.86337</v>
      </c>
      <c r="HT59">
        <v>1.86615</v>
      </c>
      <c r="HU59">
        <v>5</v>
      </c>
      <c r="HV59">
        <v>0</v>
      </c>
      <c r="HW59">
        <v>0</v>
      </c>
      <c r="HX59">
        <v>0</v>
      </c>
      <c r="HY59" t="s">
        <v>420</v>
      </c>
      <c r="HZ59" t="s">
        <v>421</v>
      </c>
      <c r="IA59" t="s">
        <v>422</v>
      </c>
      <c r="IB59" t="s">
        <v>422</v>
      </c>
      <c r="IC59" t="s">
        <v>422</v>
      </c>
      <c r="ID59" t="s">
        <v>422</v>
      </c>
      <c r="IE59">
        <v>0</v>
      </c>
      <c r="IF59">
        <v>100</v>
      </c>
      <c r="IG59">
        <v>100</v>
      </c>
      <c r="IH59">
        <v>2.48</v>
      </c>
      <c r="II59">
        <v>0.1187</v>
      </c>
      <c r="IJ59">
        <v>1.5030274382255739</v>
      </c>
      <c r="IK59">
        <v>3.5576830062418229E-3</v>
      </c>
      <c r="IL59">
        <v>-2.2646740813029151E-6</v>
      </c>
      <c r="IM59">
        <v>6.9609298295988525E-10</v>
      </c>
      <c r="IN59">
        <v>-0.14219367630991389</v>
      </c>
      <c r="IO59">
        <v>-9.4437069492282083E-4</v>
      </c>
      <c r="IP59">
        <v>5.2900373165634467E-4</v>
      </c>
      <c r="IQ59">
        <v>-3.977656803091445E-6</v>
      </c>
      <c r="IR59">
        <v>2</v>
      </c>
      <c r="IS59">
        <v>1759</v>
      </c>
      <c r="IT59">
        <v>2</v>
      </c>
      <c r="IU59">
        <v>42</v>
      </c>
      <c r="IV59">
        <v>0.6</v>
      </c>
      <c r="IW59">
        <v>0.5</v>
      </c>
      <c r="IX59">
        <v>0.95703099999999997</v>
      </c>
      <c r="IY59">
        <v>2.4377399999999998</v>
      </c>
      <c r="IZ59">
        <v>1.54297</v>
      </c>
      <c r="JA59">
        <v>2.3034699999999999</v>
      </c>
      <c r="JB59">
        <v>1.5466299999999999</v>
      </c>
      <c r="JC59">
        <v>2.33643</v>
      </c>
      <c r="JD59">
        <v>50.705500000000001</v>
      </c>
      <c r="JE59">
        <v>24.017499999999998</v>
      </c>
      <c r="JF59">
        <v>18</v>
      </c>
      <c r="JG59">
        <v>529.52599999999995</v>
      </c>
      <c r="JH59">
        <v>405.62099999999998</v>
      </c>
      <c r="JI59">
        <v>24.255600000000001</v>
      </c>
      <c r="JJ59">
        <v>38.780799999999999</v>
      </c>
      <c r="JK59">
        <v>30.001200000000001</v>
      </c>
      <c r="JL59">
        <v>39.050899999999999</v>
      </c>
      <c r="JM59">
        <v>39.040399999999998</v>
      </c>
      <c r="JN59">
        <v>19.289000000000001</v>
      </c>
      <c r="JO59">
        <v>68.913700000000006</v>
      </c>
      <c r="JP59">
        <v>0</v>
      </c>
      <c r="JQ59">
        <v>24.228999999999999</v>
      </c>
      <c r="JR59">
        <v>400</v>
      </c>
      <c r="JS59">
        <v>19.7531</v>
      </c>
      <c r="JT59">
        <v>98.470600000000005</v>
      </c>
      <c r="JU59">
        <v>96.305199999999999</v>
      </c>
    </row>
    <row r="60" spans="1:281" x14ac:dyDescent="0.25">
      <c r="A60">
        <v>44</v>
      </c>
      <c r="B60">
        <v>1691171560</v>
      </c>
      <c r="C60">
        <v>10648.5</v>
      </c>
      <c r="D60" t="s">
        <v>640</v>
      </c>
      <c r="E60" t="s">
        <v>641</v>
      </c>
      <c r="F60" t="s">
        <v>413</v>
      </c>
      <c r="G60" t="s">
        <v>635</v>
      </c>
      <c r="H60" t="s">
        <v>636</v>
      </c>
      <c r="I60" t="s">
        <v>31</v>
      </c>
      <c r="J60">
        <v>1691171560</v>
      </c>
      <c r="K60">
        <f t="shared" si="46"/>
        <v>5.4967546791554831E-3</v>
      </c>
      <c r="L60">
        <f t="shared" si="47"/>
        <v>5.4967546791554831</v>
      </c>
      <c r="M60">
        <f t="shared" si="48"/>
        <v>35.848287004449077</v>
      </c>
      <c r="N60">
        <f t="shared" si="49"/>
        <v>255.292</v>
      </c>
      <c r="O60">
        <f t="shared" si="50"/>
        <v>70.185410758626844</v>
      </c>
      <c r="P60">
        <f t="shared" si="51"/>
        <v>6.9612280905496533</v>
      </c>
      <c r="Q60">
        <f t="shared" si="52"/>
        <v>25.320730084551997</v>
      </c>
      <c r="R60">
        <f t="shared" si="53"/>
        <v>0.33489660785880732</v>
      </c>
      <c r="S60">
        <f t="shared" si="54"/>
        <v>2.9116688945339431</v>
      </c>
      <c r="T60">
        <f t="shared" si="55"/>
        <v>0.31487421049810066</v>
      </c>
      <c r="U60">
        <f t="shared" si="56"/>
        <v>0.19849548249636345</v>
      </c>
      <c r="V60">
        <f t="shared" si="57"/>
        <v>344.35509998679925</v>
      </c>
      <c r="W60">
        <f t="shared" si="58"/>
        <v>30.626372387949445</v>
      </c>
      <c r="X60">
        <f t="shared" si="59"/>
        <v>29.9801</v>
      </c>
      <c r="Y60">
        <f t="shared" si="60"/>
        <v>4.2555823341366743</v>
      </c>
      <c r="Z60">
        <f t="shared" si="61"/>
        <v>60.56698234260017</v>
      </c>
      <c r="AA60">
        <f t="shared" si="62"/>
        <v>2.5838368280465995</v>
      </c>
      <c r="AB60">
        <f t="shared" si="63"/>
        <v>4.2660814987132705</v>
      </c>
      <c r="AC60">
        <f t="shared" si="64"/>
        <v>1.6717455060900748</v>
      </c>
      <c r="AD60">
        <f t="shared" si="65"/>
        <v>-242.40688135075681</v>
      </c>
      <c r="AE60">
        <f t="shared" si="66"/>
        <v>6.7341800286666098</v>
      </c>
      <c r="AF60">
        <f t="shared" si="67"/>
        <v>0.51426680931559898</v>
      </c>
      <c r="AG60">
        <f t="shared" si="68"/>
        <v>109.19666547402464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51820.014998351573</v>
      </c>
      <c r="AM60" t="s">
        <v>414</v>
      </c>
      <c r="AN60">
        <v>10111.299999999999</v>
      </c>
      <c r="AO60">
        <v>608.58839999999998</v>
      </c>
      <c r="AP60">
        <v>2150.11</v>
      </c>
      <c r="AQ60">
        <f t="shared" si="72"/>
        <v>0.71695010952927984</v>
      </c>
      <c r="AR60">
        <v>-1.1786277417053079</v>
      </c>
      <c r="AS60" t="s">
        <v>642</v>
      </c>
      <c r="AT60">
        <v>8096.36</v>
      </c>
      <c r="AU60">
        <v>644.43299999999999</v>
      </c>
      <c r="AV60">
        <v>886.21809060724979</v>
      </c>
      <c r="AW60">
        <f t="shared" si="73"/>
        <v>0.27282797899281774</v>
      </c>
      <c r="AX60">
        <v>0.5</v>
      </c>
      <c r="AY60">
        <f t="shared" si="74"/>
        <v>1513.0955999933999</v>
      </c>
      <c r="AZ60">
        <f t="shared" si="75"/>
        <v>35.848287004449077</v>
      </c>
      <c r="BA60">
        <f t="shared" si="76"/>
        <v>206.40740728456214</v>
      </c>
      <c r="BB60">
        <f t="shared" si="77"/>
        <v>2.447096848759318E-2</v>
      </c>
      <c r="BC60">
        <f t="shared" si="78"/>
        <v>1.4261635175227723</v>
      </c>
      <c r="BD60">
        <f t="shared" si="79"/>
        <v>433.56775227950521</v>
      </c>
      <c r="BE60" t="s">
        <v>643</v>
      </c>
      <c r="BF60">
        <v>515.67999999999995</v>
      </c>
      <c r="BG60">
        <f t="shared" si="80"/>
        <v>515.67999999999995</v>
      </c>
      <c r="BH60">
        <f t="shared" si="81"/>
        <v>0.41811163023466569</v>
      </c>
      <c r="BI60">
        <f t="shared" si="82"/>
        <v>0.65252425252962398</v>
      </c>
      <c r="BJ60">
        <f t="shared" si="83"/>
        <v>0.77329216264554002</v>
      </c>
      <c r="BK60">
        <f t="shared" si="84"/>
        <v>0.87089061000068702</v>
      </c>
      <c r="BL60">
        <f t="shared" si="85"/>
        <v>0.81989892933887543</v>
      </c>
      <c r="BM60">
        <f t="shared" si="86"/>
        <v>0.52215467945383998</v>
      </c>
      <c r="BN60">
        <f t="shared" si="87"/>
        <v>0.47784532054616002</v>
      </c>
      <c r="BO60">
        <v>7061</v>
      </c>
      <c r="BP60">
        <v>290.00000000000011</v>
      </c>
      <c r="BQ60">
        <v>804.86</v>
      </c>
      <c r="BR60">
        <v>295</v>
      </c>
      <c r="BS60">
        <v>8096.36</v>
      </c>
      <c r="BT60">
        <v>805.72</v>
      </c>
      <c r="BU60">
        <v>-0.86</v>
      </c>
      <c r="BV60">
        <v>300.00000000000011</v>
      </c>
      <c r="BW60">
        <v>19.2</v>
      </c>
      <c r="BX60">
        <v>886.21809060724979</v>
      </c>
      <c r="BY60">
        <v>2.7519504625576712</v>
      </c>
      <c r="BZ60">
        <v>-65.173986093803251</v>
      </c>
      <c r="CA60">
        <v>2.0474952030975579</v>
      </c>
      <c r="CB60">
        <v>0.97310841031512185</v>
      </c>
      <c r="CC60">
        <v>-4.1710282536151369E-3</v>
      </c>
      <c r="CD60">
        <v>289.99999999999989</v>
      </c>
      <c r="CE60">
        <v>803.39</v>
      </c>
      <c r="CF60">
        <v>655</v>
      </c>
      <c r="CG60">
        <v>8091.46</v>
      </c>
      <c r="CH60">
        <v>805.67</v>
      </c>
      <c r="CI60">
        <v>-2.2799999999999998</v>
      </c>
      <c r="CW60">
        <f t="shared" si="88"/>
        <v>1799.89</v>
      </c>
      <c r="CX60">
        <f t="shared" si="89"/>
        <v>1513.0955999933999</v>
      </c>
      <c r="CY60">
        <f t="shared" si="90"/>
        <v>0.84066004033213126</v>
      </c>
      <c r="CZ60">
        <f t="shared" si="91"/>
        <v>0.1913200806642624</v>
      </c>
      <c r="DA60">
        <v>6</v>
      </c>
      <c r="DB60">
        <v>0.5</v>
      </c>
      <c r="DC60" t="s">
        <v>417</v>
      </c>
      <c r="DD60">
        <v>2</v>
      </c>
      <c r="DE60">
        <v>1691171560</v>
      </c>
      <c r="DF60">
        <v>255.292</v>
      </c>
      <c r="DG60">
        <v>299.99200000000002</v>
      </c>
      <c r="DH60">
        <v>26.051100000000002</v>
      </c>
      <c r="DI60">
        <v>19.627099999999999</v>
      </c>
      <c r="DJ60">
        <v>252.886</v>
      </c>
      <c r="DK60">
        <v>25.9285</v>
      </c>
      <c r="DL60">
        <v>500.02100000000002</v>
      </c>
      <c r="DM60">
        <v>99.083299999999994</v>
      </c>
      <c r="DN60">
        <v>0.100106</v>
      </c>
      <c r="DO60">
        <v>30.023</v>
      </c>
      <c r="DP60">
        <v>29.9801</v>
      </c>
      <c r="DQ60">
        <v>999.9</v>
      </c>
      <c r="DR60">
        <v>0</v>
      </c>
      <c r="DS60">
        <v>0</v>
      </c>
      <c r="DT60">
        <v>9990</v>
      </c>
      <c r="DU60">
        <v>0</v>
      </c>
      <c r="DV60">
        <v>1652.22</v>
      </c>
      <c r="DW60">
        <v>-44.700299999999999</v>
      </c>
      <c r="DX60">
        <v>262.12</v>
      </c>
      <c r="DY60">
        <v>305.99799999999999</v>
      </c>
      <c r="DZ60">
        <v>6.4240000000000004</v>
      </c>
      <c r="EA60">
        <v>299.99200000000002</v>
      </c>
      <c r="EB60">
        <v>19.627099999999999</v>
      </c>
      <c r="EC60">
        <v>2.5812300000000001</v>
      </c>
      <c r="ED60">
        <v>1.94472</v>
      </c>
      <c r="EE60">
        <v>21.547999999999998</v>
      </c>
      <c r="EF60">
        <v>17.001300000000001</v>
      </c>
      <c r="EG60">
        <v>1799.89</v>
      </c>
      <c r="EH60">
        <v>0.97799899999999995</v>
      </c>
      <c r="EI60">
        <v>2.2001E-2</v>
      </c>
      <c r="EJ60">
        <v>0</v>
      </c>
      <c r="EK60">
        <v>642.58000000000004</v>
      </c>
      <c r="EL60">
        <v>0.10001</v>
      </c>
      <c r="EM60">
        <v>17019.5</v>
      </c>
      <c r="EN60">
        <v>16352.5</v>
      </c>
      <c r="EO60">
        <v>47.061999999999998</v>
      </c>
      <c r="EP60">
        <v>49.625</v>
      </c>
      <c r="EQ60">
        <v>48.436999999999998</v>
      </c>
      <c r="ER60">
        <v>48.561999999999998</v>
      </c>
      <c r="ES60">
        <v>48.686999999999998</v>
      </c>
      <c r="ET60">
        <v>1760.19</v>
      </c>
      <c r="EU60">
        <v>39.6</v>
      </c>
      <c r="EV60">
        <v>0</v>
      </c>
      <c r="EW60">
        <v>128.39999985694891</v>
      </c>
      <c r="EX60">
        <v>0</v>
      </c>
      <c r="EY60">
        <v>644.43299999999999</v>
      </c>
      <c r="EZ60">
        <v>-4.4169230573196518</v>
      </c>
      <c r="FA60">
        <v>-433.86153952669201</v>
      </c>
      <c r="FB60">
        <v>17068.655999999999</v>
      </c>
      <c r="FC60">
        <v>15</v>
      </c>
      <c r="FD60">
        <v>1691171504.5</v>
      </c>
      <c r="FE60" t="s">
        <v>644</v>
      </c>
      <c r="FF60">
        <v>1691171496.5</v>
      </c>
      <c r="FG60">
        <v>1691171504.5</v>
      </c>
      <c r="FH60">
        <v>48</v>
      </c>
      <c r="FI60">
        <v>0.13600000000000001</v>
      </c>
      <c r="FJ60">
        <v>3.0000000000000001E-3</v>
      </c>
      <c r="FK60">
        <v>2.516</v>
      </c>
      <c r="FL60">
        <v>1.7999999999999999E-2</v>
      </c>
      <c r="FM60">
        <v>300</v>
      </c>
      <c r="FN60">
        <v>20</v>
      </c>
      <c r="FO60">
        <v>0.15</v>
      </c>
      <c r="FP60">
        <v>0.04</v>
      </c>
      <c r="FQ60">
        <v>35.697955974496189</v>
      </c>
      <c r="FR60">
        <v>0.45942849482481518</v>
      </c>
      <c r="FS60">
        <v>0.10465824939048619</v>
      </c>
      <c r="FT60">
        <v>1</v>
      </c>
      <c r="FU60">
        <v>0.33374200362654532</v>
      </c>
      <c r="FV60">
        <v>3.3641357826533463E-2</v>
      </c>
      <c r="FW60">
        <v>3.734884675866084E-3</v>
      </c>
      <c r="FX60">
        <v>1</v>
      </c>
      <c r="FY60">
        <v>2</v>
      </c>
      <c r="FZ60">
        <v>2</v>
      </c>
      <c r="GA60" t="s">
        <v>419</v>
      </c>
      <c r="GB60">
        <v>2.8841100000000002</v>
      </c>
      <c r="GC60">
        <v>2.8212100000000002</v>
      </c>
      <c r="GD60">
        <v>5.9688900000000003E-2</v>
      </c>
      <c r="GE60">
        <v>6.9227200000000003E-2</v>
      </c>
      <c r="GF60">
        <v>0.12081600000000001</v>
      </c>
      <c r="GG60">
        <v>9.9746600000000005E-2</v>
      </c>
      <c r="GH60">
        <v>28837.9</v>
      </c>
      <c r="GI60">
        <v>26640.5</v>
      </c>
      <c r="GJ60">
        <v>28235.7</v>
      </c>
      <c r="GK60">
        <v>26884.5</v>
      </c>
      <c r="GL60">
        <v>35034.400000000001</v>
      </c>
      <c r="GM60">
        <v>33806.9</v>
      </c>
      <c r="GN60">
        <v>41543.800000000003</v>
      </c>
      <c r="GO60">
        <v>38903.9</v>
      </c>
      <c r="GP60">
        <v>1.998</v>
      </c>
      <c r="GQ60">
        <v>1.6465000000000001</v>
      </c>
      <c r="GR60">
        <v>-6.7278699999999997E-2</v>
      </c>
      <c r="GS60">
        <v>0</v>
      </c>
      <c r="GT60">
        <v>31.074000000000002</v>
      </c>
      <c r="GU60">
        <v>999.9</v>
      </c>
      <c r="GV60">
        <v>45.4</v>
      </c>
      <c r="GW60">
        <v>46.7</v>
      </c>
      <c r="GX60">
        <v>48.182299999999998</v>
      </c>
      <c r="GY60">
        <v>62.762799999999999</v>
      </c>
      <c r="GZ60">
        <v>32.560099999999998</v>
      </c>
      <c r="HA60">
        <v>1</v>
      </c>
      <c r="HB60">
        <v>1.0065999999999999</v>
      </c>
      <c r="HC60">
        <v>5.1392499999999997</v>
      </c>
      <c r="HD60">
        <v>20.1694</v>
      </c>
      <c r="HE60">
        <v>5.2095000000000002</v>
      </c>
      <c r="HF60">
        <v>11.9986</v>
      </c>
      <c r="HG60">
        <v>4.9884000000000004</v>
      </c>
      <c r="HH60">
        <v>3.2909999999999999</v>
      </c>
      <c r="HI60">
        <v>9999</v>
      </c>
      <c r="HJ60">
        <v>9999</v>
      </c>
      <c r="HK60">
        <v>9999</v>
      </c>
      <c r="HL60">
        <v>999.9</v>
      </c>
      <c r="HM60">
        <v>1.86693</v>
      </c>
      <c r="HN60">
        <v>1.8670500000000001</v>
      </c>
      <c r="HO60">
        <v>1.86371</v>
      </c>
      <c r="HP60">
        <v>1.8647899999999999</v>
      </c>
      <c r="HQ60">
        <v>1.8643400000000001</v>
      </c>
      <c r="HR60">
        <v>1.8602000000000001</v>
      </c>
      <c r="HS60">
        <v>1.86338</v>
      </c>
      <c r="HT60">
        <v>1.86615</v>
      </c>
      <c r="HU60">
        <v>5</v>
      </c>
      <c r="HV60">
        <v>0</v>
      </c>
      <c r="HW60">
        <v>0</v>
      </c>
      <c r="HX60">
        <v>0</v>
      </c>
      <c r="HY60" t="s">
        <v>420</v>
      </c>
      <c r="HZ60" t="s">
        <v>421</v>
      </c>
      <c r="IA60" t="s">
        <v>422</v>
      </c>
      <c r="IB60" t="s">
        <v>422</v>
      </c>
      <c r="IC60" t="s">
        <v>422</v>
      </c>
      <c r="ID60" t="s">
        <v>422</v>
      </c>
      <c r="IE60">
        <v>0</v>
      </c>
      <c r="IF60">
        <v>100</v>
      </c>
      <c r="IG60">
        <v>100</v>
      </c>
      <c r="IH60">
        <v>2.4060000000000001</v>
      </c>
      <c r="II60">
        <v>0.1226</v>
      </c>
      <c r="IJ60">
        <v>1.6393623311505241</v>
      </c>
      <c r="IK60">
        <v>3.5576830062418229E-3</v>
      </c>
      <c r="IL60">
        <v>-2.2646740813029151E-6</v>
      </c>
      <c r="IM60">
        <v>6.9609298295988525E-10</v>
      </c>
      <c r="IN60">
        <v>-0.13914240307355599</v>
      </c>
      <c r="IO60">
        <v>-9.4437069492282083E-4</v>
      </c>
      <c r="IP60">
        <v>5.2900373165634467E-4</v>
      </c>
      <c r="IQ60">
        <v>-3.977656803091445E-6</v>
      </c>
      <c r="IR60">
        <v>2</v>
      </c>
      <c r="IS60">
        <v>1759</v>
      </c>
      <c r="IT60">
        <v>2</v>
      </c>
      <c r="IU60">
        <v>42</v>
      </c>
      <c r="IV60">
        <v>1.1000000000000001</v>
      </c>
      <c r="IW60">
        <v>0.9</v>
      </c>
      <c r="IX60">
        <v>0.74707000000000001</v>
      </c>
      <c r="IY60">
        <v>2.4426299999999999</v>
      </c>
      <c r="IZ60">
        <v>1.54297</v>
      </c>
      <c r="JA60">
        <v>2.3046899999999999</v>
      </c>
      <c r="JB60">
        <v>1.5466299999999999</v>
      </c>
      <c r="JC60">
        <v>2.3584000000000001</v>
      </c>
      <c r="JD60">
        <v>50.934899999999999</v>
      </c>
      <c r="JE60">
        <v>24.008700000000001</v>
      </c>
      <c r="JF60">
        <v>18</v>
      </c>
      <c r="JG60">
        <v>530.53300000000002</v>
      </c>
      <c r="JH60">
        <v>403.70699999999999</v>
      </c>
      <c r="JI60">
        <v>24.1982</v>
      </c>
      <c r="JJ60">
        <v>39.048400000000001</v>
      </c>
      <c r="JK60">
        <v>30.001799999999999</v>
      </c>
      <c r="JL60">
        <v>39.276200000000003</v>
      </c>
      <c r="JM60">
        <v>39.270099999999999</v>
      </c>
      <c r="JN60">
        <v>15.0631</v>
      </c>
      <c r="JO60">
        <v>70.072900000000004</v>
      </c>
      <c r="JP60">
        <v>0</v>
      </c>
      <c r="JQ60">
        <v>24.165099999999999</v>
      </c>
      <c r="JR60">
        <v>300</v>
      </c>
      <c r="JS60">
        <v>19.491700000000002</v>
      </c>
      <c r="JT60">
        <v>98.428799999999995</v>
      </c>
      <c r="JU60">
        <v>96.260900000000007</v>
      </c>
    </row>
    <row r="61" spans="1:281" x14ac:dyDescent="0.25">
      <c r="A61">
        <v>45</v>
      </c>
      <c r="B61">
        <v>1691171711.5</v>
      </c>
      <c r="C61">
        <v>10800</v>
      </c>
      <c r="D61" t="s">
        <v>645</v>
      </c>
      <c r="E61" t="s">
        <v>646</v>
      </c>
      <c r="F61" t="s">
        <v>413</v>
      </c>
      <c r="G61" t="s">
        <v>635</v>
      </c>
      <c r="H61" t="s">
        <v>636</v>
      </c>
      <c r="I61" t="s">
        <v>31</v>
      </c>
      <c r="J61">
        <v>1691171711.5</v>
      </c>
      <c r="K61">
        <f t="shared" si="46"/>
        <v>5.8593018714971608E-3</v>
      </c>
      <c r="L61">
        <f t="shared" si="47"/>
        <v>5.859301871497161</v>
      </c>
      <c r="M61">
        <f t="shared" si="48"/>
        <v>24.834706780924442</v>
      </c>
      <c r="N61">
        <f t="shared" si="49"/>
        <v>168.99600000000001</v>
      </c>
      <c r="O61">
        <f t="shared" si="50"/>
        <v>48.670177571291084</v>
      </c>
      <c r="P61">
        <f t="shared" si="51"/>
        <v>4.8275022355442312</v>
      </c>
      <c r="Q61">
        <f t="shared" si="52"/>
        <v>16.762391437816802</v>
      </c>
      <c r="R61">
        <f t="shared" si="53"/>
        <v>0.35845898475994792</v>
      </c>
      <c r="S61">
        <f t="shared" si="54"/>
        <v>2.9117553585005398</v>
      </c>
      <c r="T61">
        <f t="shared" si="55"/>
        <v>0.33562372670883572</v>
      </c>
      <c r="U61">
        <f t="shared" si="56"/>
        <v>0.21169514728909467</v>
      </c>
      <c r="V61">
        <f t="shared" si="57"/>
        <v>344.38679998680379</v>
      </c>
      <c r="W61">
        <f t="shared" si="58"/>
        <v>30.588000240322089</v>
      </c>
      <c r="X61">
        <f t="shared" si="59"/>
        <v>29.898599999999998</v>
      </c>
      <c r="Y61">
        <f t="shared" si="60"/>
        <v>4.2356983825822834</v>
      </c>
      <c r="Z61">
        <f t="shared" si="61"/>
        <v>59.895321613197225</v>
      </c>
      <c r="AA61">
        <f t="shared" si="62"/>
        <v>2.5634270666647798</v>
      </c>
      <c r="AB61">
        <f t="shared" si="63"/>
        <v>4.2798452326866858</v>
      </c>
      <c r="AC61">
        <f t="shared" si="64"/>
        <v>1.6722713159175036</v>
      </c>
      <c r="AD61">
        <f t="shared" si="65"/>
        <v>-258.39521253302479</v>
      </c>
      <c r="AE61">
        <f t="shared" si="66"/>
        <v>28.334629157190673</v>
      </c>
      <c r="AF61">
        <f t="shared" si="67"/>
        <v>2.1634847395227581</v>
      </c>
      <c r="AG61">
        <f t="shared" si="68"/>
        <v>116.48970135049242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51812.985301962624</v>
      </c>
      <c r="AM61" t="s">
        <v>414</v>
      </c>
      <c r="AN61">
        <v>10111.299999999999</v>
      </c>
      <c r="AO61">
        <v>608.58839999999998</v>
      </c>
      <c r="AP61">
        <v>2150.11</v>
      </c>
      <c r="AQ61">
        <f t="shared" si="72"/>
        <v>0.71695010952927984</v>
      </c>
      <c r="AR61">
        <v>-1.1786277417053079</v>
      </c>
      <c r="AS61" t="s">
        <v>647</v>
      </c>
      <c r="AT61">
        <v>8096.02</v>
      </c>
      <c r="AU61">
        <v>641.74839999999995</v>
      </c>
      <c r="AV61">
        <v>799.14586592467833</v>
      </c>
      <c r="AW61">
        <f t="shared" si="73"/>
        <v>0.19695711713725306</v>
      </c>
      <c r="AX61">
        <v>0.5</v>
      </c>
      <c r="AY61">
        <f t="shared" si="74"/>
        <v>1513.2380999934019</v>
      </c>
      <c r="AZ61">
        <f t="shared" si="75"/>
        <v>24.834706780924442</v>
      </c>
      <c r="BA61">
        <f t="shared" si="76"/>
        <v>149.02150685847735</v>
      </c>
      <c r="BB61">
        <f t="shared" si="77"/>
        <v>1.7190509889186096E-2</v>
      </c>
      <c r="BC61">
        <f t="shared" si="78"/>
        <v>1.6905100704139211</v>
      </c>
      <c r="BD61">
        <f t="shared" si="79"/>
        <v>411.62593109144626</v>
      </c>
      <c r="BE61" t="s">
        <v>648</v>
      </c>
      <c r="BF61">
        <v>513.20000000000005</v>
      </c>
      <c r="BG61">
        <f t="shared" si="80"/>
        <v>513.20000000000005</v>
      </c>
      <c r="BH61">
        <f t="shared" si="81"/>
        <v>0.35781435920188998</v>
      </c>
      <c r="BI61">
        <f t="shared" si="82"/>
        <v>0.55044497816289062</v>
      </c>
      <c r="BJ61">
        <f t="shared" si="83"/>
        <v>0.82531362999512603</v>
      </c>
      <c r="BK61">
        <f t="shared" si="84"/>
        <v>0.82598425184187152</v>
      </c>
      <c r="BL61">
        <f t="shared" si="85"/>
        <v>0.87638352526187235</v>
      </c>
      <c r="BM61">
        <f t="shared" si="86"/>
        <v>0.44018553500592372</v>
      </c>
      <c r="BN61">
        <f t="shared" si="87"/>
        <v>0.55981446499407628</v>
      </c>
      <c r="BO61">
        <v>7063</v>
      </c>
      <c r="BP61">
        <v>290.00000000000011</v>
      </c>
      <c r="BQ61">
        <v>753.67</v>
      </c>
      <c r="BR61">
        <v>265</v>
      </c>
      <c r="BS61">
        <v>8096.02</v>
      </c>
      <c r="BT61">
        <v>755.31</v>
      </c>
      <c r="BU61">
        <v>-1.64</v>
      </c>
      <c r="BV61">
        <v>300.00000000000011</v>
      </c>
      <c r="BW61">
        <v>19.2</v>
      </c>
      <c r="BX61">
        <v>799.14586592467833</v>
      </c>
      <c r="BY61">
        <v>2.258558346660259</v>
      </c>
      <c r="BZ61">
        <v>-35.487018252071373</v>
      </c>
      <c r="CA61">
        <v>1.6801935832632431</v>
      </c>
      <c r="CB61">
        <v>0.94093921386898594</v>
      </c>
      <c r="CC61">
        <v>-4.1705321468298107E-3</v>
      </c>
      <c r="CD61">
        <v>289.99999999999989</v>
      </c>
      <c r="CE61">
        <v>756.07</v>
      </c>
      <c r="CF61">
        <v>735</v>
      </c>
      <c r="CG61">
        <v>8089</v>
      </c>
      <c r="CH61">
        <v>755.28</v>
      </c>
      <c r="CI61">
        <v>0.79</v>
      </c>
      <c r="CW61">
        <f t="shared" si="88"/>
        <v>1800.06</v>
      </c>
      <c r="CX61">
        <f t="shared" si="89"/>
        <v>1513.2380999934019</v>
      </c>
      <c r="CY61">
        <f t="shared" si="90"/>
        <v>0.84065981133595657</v>
      </c>
      <c r="CZ61">
        <f t="shared" si="91"/>
        <v>0.19131962267191305</v>
      </c>
      <c r="DA61">
        <v>6</v>
      </c>
      <c r="DB61">
        <v>0.5</v>
      </c>
      <c r="DC61" t="s">
        <v>417</v>
      </c>
      <c r="DD61">
        <v>2</v>
      </c>
      <c r="DE61">
        <v>1691171711.5</v>
      </c>
      <c r="DF61">
        <v>168.99600000000001</v>
      </c>
      <c r="DG61">
        <v>199.97300000000001</v>
      </c>
      <c r="DH61">
        <v>25.844100000000001</v>
      </c>
      <c r="DI61">
        <v>18.997499999999999</v>
      </c>
      <c r="DJ61">
        <v>166.93700000000001</v>
      </c>
      <c r="DK61">
        <v>25.7285</v>
      </c>
      <c r="DL61">
        <v>500.20800000000003</v>
      </c>
      <c r="DM61">
        <v>99.088200000000001</v>
      </c>
      <c r="DN61">
        <v>9.9895800000000007E-2</v>
      </c>
      <c r="DO61">
        <v>30.0791</v>
      </c>
      <c r="DP61">
        <v>29.898599999999998</v>
      </c>
      <c r="DQ61">
        <v>999.9</v>
      </c>
      <c r="DR61">
        <v>0</v>
      </c>
      <c r="DS61">
        <v>0</v>
      </c>
      <c r="DT61">
        <v>9990</v>
      </c>
      <c r="DU61">
        <v>0</v>
      </c>
      <c r="DV61">
        <v>647.06600000000003</v>
      </c>
      <c r="DW61">
        <v>-30.977599999999999</v>
      </c>
      <c r="DX61">
        <v>173.47900000000001</v>
      </c>
      <c r="DY61">
        <v>203.846</v>
      </c>
      <c r="DZ61">
        <v>6.8465600000000002</v>
      </c>
      <c r="EA61">
        <v>199.97300000000001</v>
      </c>
      <c r="EB61">
        <v>18.997499999999999</v>
      </c>
      <c r="EC61">
        <v>2.5608399999999998</v>
      </c>
      <c r="ED61">
        <v>1.88243</v>
      </c>
      <c r="EE61">
        <v>21.418399999999998</v>
      </c>
      <c r="EF61">
        <v>16.488600000000002</v>
      </c>
      <c r="EG61">
        <v>1800.06</v>
      </c>
      <c r="EH61">
        <v>0.97800600000000004</v>
      </c>
      <c r="EI61">
        <v>2.19939E-2</v>
      </c>
      <c r="EJ61">
        <v>0</v>
      </c>
      <c r="EK61">
        <v>641.71</v>
      </c>
      <c r="EL61">
        <v>0.10001</v>
      </c>
      <c r="EM61">
        <v>14345.5</v>
      </c>
      <c r="EN61">
        <v>16354</v>
      </c>
      <c r="EO61">
        <v>47.061999999999998</v>
      </c>
      <c r="EP61">
        <v>49.375</v>
      </c>
      <c r="EQ61">
        <v>48.5</v>
      </c>
      <c r="ER61">
        <v>48.436999999999998</v>
      </c>
      <c r="ES61">
        <v>48.686999999999998</v>
      </c>
      <c r="ET61">
        <v>1760.37</v>
      </c>
      <c r="EU61">
        <v>39.590000000000003</v>
      </c>
      <c r="EV61">
        <v>0</v>
      </c>
      <c r="EW61">
        <v>149.60000014305109</v>
      </c>
      <c r="EX61">
        <v>0</v>
      </c>
      <c r="EY61">
        <v>641.74839999999995</v>
      </c>
      <c r="EZ61">
        <v>-1.2161539164872111</v>
      </c>
      <c r="FA61">
        <v>-1831.261538294601</v>
      </c>
      <c r="FB61">
        <v>14480.987999999999</v>
      </c>
      <c r="FC61">
        <v>15</v>
      </c>
      <c r="FD61">
        <v>1691171641.5</v>
      </c>
      <c r="FE61" t="s">
        <v>649</v>
      </c>
      <c r="FF61">
        <v>1691171629</v>
      </c>
      <c r="FG61">
        <v>1691171641.5</v>
      </c>
      <c r="FH61">
        <v>49</v>
      </c>
      <c r="FI61">
        <v>-0.115</v>
      </c>
      <c r="FJ61">
        <v>-3.0000000000000001E-3</v>
      </c>
      <c r="FK61">
        <v>2.145</v>
      </c>
      <c r="FL61">
        <v>8.0000000000000002E-3</v>
      </c>
      <c r="FM61">
        <v>200</v>
      </c>
      <c r="FN61">
        <v>19</v>
      </c>
      <c r="FO61">
        <v>0.14000000000000001</v>
      </c>
      <c r="FP61">
        <v>0.03</v>
      </c>
      <c r="FQ61">
        <v>24.832825743225751</v>
      </c>
      <c r="FR61">
        <v>0.64702020446519337</v>
      </c>
      <c r="FS61">
        <v>8.0258566653145208E-2</v>
      </c>
      <c r="FT61">
        <v>1</v>
      </c>
      <c r="FU61">
        <v>0.35404364271144911</v>
      </c>
      <c r="FV61">
        <v>4.289362759299685E-2</v>
      </c>
      <c r="FW61">
        <v>3.2493442949825301E-3</v>
      </c>
      <c r="FX61">
        <v>1</v>
      </c>
      <c r="FY61">
        <v>2</v>
      </c>
      <c r="FZ61">
        <v>2</v>
      </c>
      <c r="GA61" t="s">
        <v>419</v>
      </c>
      <c r="GB61">
        <v>2.8842099999999999</v>
      </c>
      <c r="GC61">
        <v>2.8210000000000002</v>
      </c>
      <c r="GD61">
        <v>4.1353800000000003E-2</v>
      </c>
      <c r="GE61">
        <v>4.8937099999999997E-2</v>
      </c>
      <c r="GF61">
        <v>0.120112</v>
      </c>
      <c r="GG61">
        <v>9.7429799999999997E-2</v>
      </c>
      <c r="GH61">
        <v>29387.1</v>
      </c>
      <c r="GI61">
        <v>27204.5</v>
      </c>
      <c r="GJ61">
        <v>28224.799999999999</v>
      </c>
      <c r="GK61">
        <v>26869.7</v>
      </c>
      <c r="GL61">
        <v>35049.1</v>
      </c>
      <c r="GM61">
        <v>33877.4</v>
      </c>
      <c r="GN61">
        <v>41527.599999999999</v>
      </c>
      <c r="GO61">
        <v>38885.300000000003</v>
      </c>
      <c r="GP61">
        <v>1.9966999999999999</v>
      </c>
      <c r="GQ61">
        <v>1.6413</v>
      </c>
      <c r="GR61">
        <v>-3.2678199999999998E-2</v>
      </c>
      <c r="GS61">
        <v>0</v>
      </c>
      <c r="GT61">
        <v>30.430299999999999</v>
      </c>
      <c r="GU61">
        <v>999.9</v>
      </c>
      <c r="GV61">
        <v>45.3</v>
      </c>
      <c r="GW61">
        <v>46.8</v>
      </c>
      <c r="GX61">
        <v>48.322099999999999</v>
      </c>
      <c r="GY61">
        <v>62.662799999999997</v>
      </c>
      <c r="GZ61">
        <v>32.552100000000003</v>
      </c>
      <c r="HA61">
        <v>1</v>
      </c>
      <c r="HB61">
        <v>1.01667</v>
      </c>
      <c r="HC61">
        <v>3.3568799999999999</v>
      </c>
      <c r="HD61">
        <v>20.209399999999999</v>
      </c>
      <c r="HE61">
        <v>5.2107000000000001</v>
      </c>
      <c r="HF61">
        <v>11.997999999999999</v>
      </c>
      <c r="HG61">
        <v>4.9875999999999996</v>
      </c>
      <c r="HH61">
        <v>3.2909999999999999</v>
      </c>
      <c r="HI61">
        <v>9999</v>
      </c>
      <c r="HJ61">
        <v>9999</v>
      </c>
      <c r="HK61">
        <v>9999</v>
      </c>
      <c r="HL61">
        <v>999.9</v>
      </c>
      <c r="HM61">
        <v>1.86694</v>
      </c>
      <c r="HN61">
        <v>1.86707</v>
      </c>
      <c r="HO61">
        <v>1.86371</v>
      </c>
      <c r="HP61">
        <v>1.86486</v>
      </c>
      <c r="HQ61">
        <v>1.86432</v>
      </c>
      <c r="HR61">
        <v>1.8602000000000001</v>
      </c>
      <c r="HS61">
        <v>1.8633999999999999</v>
      </c>
      <c r="HT61">
        <v>1.86616</v>
      </c>
      <c r="HU61">
        <v>5</v>
      </c>
      <c r="HV61">
        <v>0</v>
      </c>
      <c r="HW61">
        <v>0</v>
      </c>
      <c r="HX61">
        <v>0</v>
      </c>
      <c r="HY61" t="s">
        <v>420</v>
      </c>
      <c r="HZ61" t="s">
        <v>421</v>
      </c>
      <c r="IA61" t="s">
        <v>422</v>
      </c>
      <c r="IB61" t="s">
        <v>422</v>
      </c>
      <c r="IC61" t="s">
        <v>422</v>
      </c>
      <c r="ID61" t="s">
        <v>422</v>
      </c>
      <c r="IE61">
        <v>0</v>
      </c>
      <c r="IF61">
        <v>100</v>
      </c>
      <c r="IG61">
        <v>100</v>
      </c>
      <c r="IH61">
        <v>2.0590000000000002</v>
      </c>
      <c r="II61">
        <v>0.11559999999999999</v>
      </c>
      <c r="IJ61">
        <v>1.5248665535514341</v>
      </c>
      <c r="IK61">
        <v>3.5576830062418229E-3</v>
      </c>
      <c r="IL61">
        <v>-2.2646740813029151E-6</v>
      </c>
      <c r="IM61">
        <v>6.9609298295988525E-10</v>
      </c>
      <c r="IN61">
        <v>-0.14252490462475009</v>
      </c>
      <c r="IO61">
        <v>-9.4437069492282083E-4</v>
      </c>
      <c r="IP61">
        <v>5.2900373165634467E-4</v>
      </c>
      <c r="IQ61">
        <v>-3.977656803091445E-6</v>
      </c>
      <c r="IR61">
        <v>2</v>
      </c>
      <c r="IS61">
        <v>1759</v>
      </c>
      <c r="IT61">
        <v>2</v>
      </c>
      <c r="IU61">
        <v>42</v>
      </c>
      <c r="IV61">
        <v>1.4</v>
      </c>
      <c r="IW61">
        <v>1.2</v>
      </c>
      <c r="IX61">
        <v>0.52856400000000003</v>
      </c>
      <c r="IY61">
        <v>2.4572799999999999</v>
      </c>
      <c r="IZ61">
        <v>1.54297</v>
      </c>
      <c r="JA61">
        <v>2.3034699999999999</v>
      </c>
      <c r="JB61">
        <v>1.5466299999999999</v>
      </c>
      <c r="JC61">
        <v>2.3584000000000001</v>
      </c>
      <c r="JD61">
        <v>51.1327</v>
      </c>
      <c r="JE61">
        <v>24.026199999999999</v>
      </c>
      <c r="JF61">
        <v>18</v>
      </c>
      <c r="JG61">
        <v>531.48099999999999</v>
      </c>
      <c r="JH61">
        <v>401.80099999999999</v>
      </c>
      <c r="JI61">
        <v>25.809899999999999</v>
      </c>
      <c r="JJ61">
        <v>39.259</v>
      </c>
      <c r="JK61">
        <v>30.0001</v>
      </c>
      <c r="JL61">
        <v>39.510899999999999</v>
      </c>
      <c r="JM61">
        <v>39.502000000000002</v>
      </c>
      <c r="JN61">
        <v>10.6747</v>
      </c>
      <c r="JO61">
        <v>74.343000000000004</v>
      </c>
      <c r="JP61">
        <v>0</v>
      </c>
      <c r="JQ61">
        <v>25.792100000000001</v>
      </c>
      <c r="JR61">
        <v>200</v>
      </c>
      <c r="JS61">
        <v>18.9345</v>
      </c>
      <c r="JT61">
        <v>98.390600000000006</v>
      </c>
      <c r="JU61">
        <v>96.212100000000007</v>
      </c>
    </row>
    <row r="62" spans="1:281" x14ac:dyDescent="0.25">
      <c r="A62">
        <v>46</v>
      </c>
      <c r="B62">
        <v>1691171882.5</v>
      </c>
      <c r="C62">
        <v>10971</v>
      </c>
      <c r="D62" t="s">
        <v>650</v>
      </c>
      <c r="E62" t="s">
        <v>651</v>
      </c>
      <c r="F62" t="s">
        <v>413</v>
      </c>
      <c r="G62" t="s">
        <v>635</v>
      </c>
      <c r="H62" t="s">
        <v>636</v>
      </c>
      <c r="I62" t="s">
        <v>31</v>
      </c>
      <c r="J62">
        <v>1691171882.5</v>
      </c>
      <c r="K62">
        <f t="shared" si="46"/>
        <v>6.9312826472121003E-3</v>
      </c>
      <c r="L62">
        <f t="shared" si="47"/>
        <v>6.9312826472121003</v>
      </c>
      <c r="M62">
        <f t="shared" si="48"/>
        <v>16.450246212335461</v>
      </c>
      <c r="N62">
        <f t="shared" si="49"/>
        <v>99.431600000000003</v>
      </c>
      <c r="O62">
        <f t="shared" si="50"/>
        <v>33.264519929146417</v>
      </c>
      <c r="P62">
        <f t="shared" si="51"/>
        <v>3.2995602231844816</v>
      </c>
      <c r="Q62">
        <f t="shared" si="52"/>
        <v>9.8627773070648015</v>
      </c>
      <c r="R62">
        <f t="shared" si="53"/>
        <v>0.4379947155313878</v>
      </c>
      <c r="S62">
        <f t="shared" si="54"/>
        <v>2.9131223943608626</v>
      </c>
      <c r="T62">
        <f t="shared" si="55"/>
        <v>0.40442506460725647</v>
      </c>
      <c r="U62">
        <f t="shared" si="56"/>
        <v>0.25556701838642804</v>
      </c>
      <c r="V62">
        <f t="shared" si="57"/>
        <v>344.40259998680108</v>
      </c>
      <c r="W62">
        <f t="shared" si="58"/>
        <v>30.552283769240344</v>
      </c>
      <c r="X62">
        <f t="shared" si="59"/>
        <v>30.060400000000001</v>
      </c>
      <c r="Y62">
        <f t="shared" si="60"/>
        <v>4.2752530278385201</v>
      </c>
      <c r="Z62">
        <f t="shared" si="61"/>
        <v>60.699230774967702</v>
      </c>
      <c r="AA62">
        <f t="shared" si="62"/>
        <v>2.6344588775753999</v>
      </c>
      <c r="AB62">
        <f t="shared" si="63"/>
        <v>4.340184947882153</v>
      </c>
      <c r="AC62">
        <f t="shared" si="64"/>
        <v>1.6407941502631203</v>
      </c>
      <c r="AD62">
        <f t="shared" si="65"/>
        <v>-305.66956474205364</v>
      </c>
      <c r="AE62">
        <f t="shared" si="66"/>
        <v>41.273332489112711</v>
      </c>
      <c r="AF62">
        <f t="shared" si="67"/>
        <v>3.1562721826294928</v>
      </c>
      <c r="AG62">
        <f t="shared" si="68"/>
        <v>83.162639916489638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51810.193537221916</v>
      </c>
      <c r="AM62" t="s">
        <v>414</v>
      </c>
      <c r="AN62">
        <v>10111.299999999999</v>
      </c>
      <c r="AO62">
        <v>608.58839999999998</v>
      </c>
      <c r="AP62">
        <v>2150.11</v>
      </c>
      <c r="AQ62">
        <f t="shared" si="72"/>
        <v>0.71695010952927984</v>
      </c>
      <c r="AR62">
        <v>-1.1786277417053079</v>
      </c>
      <c r="AS62" t="s">
        <v>652</v>
      </c>
      <c r="AT62">
        <v>8096.39</v>
      </c>
      <c r="AU62">
        <v>651.30240000000003</v>
      </c>
      <c r="AV62">
        <v>756.25436255988529</v>
      </c>
      <c r="AW62">
        <f t="shared" si="73"/>
        <v>0.13877865405579659</v>
      </c>
      <c r="AX62">
        <v>0.5</v>
      </c>
      <c r="AY62">
        <f t="shared" si="74"/>
        <v>1513.3055999934006</v>
      </c>
      <c r="AZ62">
        <f t="shared" si="75"/>
        <v>16.450246212335461</v>
      </c>
      <c r="BA62">
        <f t="shared" si="76"/>
        <v>105.00725717109192</v>
      </c>
      <c r="BB62">
        <f t="shared" si="77"/>
        <v>1.1649249136537688E-2</v>
      </c>
      <c r="BC62">
        <f t="shared" si="78"/>
        <v>1.84310426021475</v>
      </c>
      <c r="BD62">
        <f t="shared" si="79"/>
        <v>399.94231179446319</v>
      </c>
      <c r="BE62" t="s">
        <v>653</v>
      </c>
      <c r="BF62">
        <v>527.48</v>
      </c>
      <c r="BG62">
        <f t="shared" si="80"/>
        <v>527.48</v>
      </c>
      <c r="BH62">
        <f t="shared" si="81"/>
        <v>0.30250980871765798</v>
      </c>
      <c r="BI62">
        <f t="shared" si="82"/>
        <v>0.45875753465344021</v>
      </c>
      <c r="BJ62">
        <f t="shared" si="83"/>
        <v>0.85901014861065972</v>
      </c>
      <c r="BK62">
        <f t="shared" si="84"/>
        <v>0.71073902706131364</v>
      </c>
      <c r="BL62">
        <f t="shared" si="85"/>
        <v>0.90420765913375123</v>
      </c>
      <c r="BM62">
        <f t="shared" si="86"/>
        <v>0.37154081480276541</v>
      </c>
      <c r="BN62">
        <f t="shared" si="87"/>
        <v>0.62845918519723454</v>
      </c>
      <c r="BO62">
        <v>7065</v>
      </c>
      <c r="BP62">
        <v>290.00000000000011</v>
      </c>
      <c r="BQ62">
        <v>731.91</v>
      </c>
      <c r="BR62">
        <v>265</v>
      </c>
      <c r="BS62">
        <v>8096.39</v>
      </c>
      <c r="BT62">
        <v>732.73</v>
      </c>
      <c r="BU62">
        <v>-0.82</v>
      </c>
      <c r="BV62">
        <v>300.00000000000011</v>
      </c>
      <c r="BW62">
        <v>19.2</v>
      </c>
      <c r="BX62">
        <v>756.25436255988529</v>
      </c>
      <c r="BY62">
        <v>2.9800247988589952</v>
      </c>
      <c r="BZ62">
        <v>-19.042542767174989</v>
      </c>
      <c r="CA62">
        <v>2.2170120014823742</v>
      </c>
      <c r="CB62">
        <v>0.72488542093151098</v>
      </c>
      <c r="CC62">
        <v>-4.1706322580645173E-3</v>
      </c>
      <c r="CD62">
        <v>289.99999999999989</v>
      </c>
      <c r="CE62">
        <v>733.45</v>
      </c>
      <c r="CF62">
        <v>705</v>
      </c>
      <c r="CG62">
        <v>8089.9</v>
      </c>
      <c r="CH62">
        <v>732.72</v>
      </c>
      <c r="CI62">
        <v>0.73</v>
      </c>
      <c r="CW62">
        <f t="shared" si="88"/>
        <v>1800.14</v>
      </c>
      <c r="CX62">
        <f t="shared" si="89"/>
        <v>1513.3055999934006</v>
      </c>
      <c r="CY62">
        <f t="shared" si="90"/>
        <v>0.8406599486669929</v>
      </c>
      <c r="CZ62">
        <f t="shared" si="91"/>
        <v>0.19131989733398572</v>
      </c>
      <c r="DA62">
        <v>6</v>
      </c>
      <c r="DB62">
        <v>0.5</v>
      </c>
      <c r="DC62" t="s">
        <v>417</v>
      </c>
      <c r="DD62">
        <v>2</v>
      </c>
      <c r="DE62">
        <v>1691171882.5</v>
      </c>
      <c r="DF62">
        <v>99.431600000000003</v>
      </c>
      <c r="DG62">
        <v>119.99299999999999</v>
      </c>
      <c r="DH62">
        <v>26.5593</v>
      </c>
      <c r="DI62">
        <v>18.465</v>
      </c>
      <c r="DJ62">
        <v>97.595299999999995</v>
      </c>
      <c r="DK62">
        <v>26.4267</v>
      </c>
      <c r="DL62">
        <v>500.14400000000001</v>
      </c>
      <c r="DM62">
        <v>99.091300000000004</v>
      </c>
      <c r="DN62">
        <v>0.10027800000000001</v>
      </c>
      <c r="DO62">
        <v>30.3232</v>
      </c>
      <c r="DP62">
        <v>30.060400000000001</v>
      </c>
      <c r="DQ62">
        <v>999.9</v>
      </c>
      <c r="DR62">
        <v>0</v>
      </c>
      <c r="DS62">
        <v>0</v>
      </c>
      <c r="DT62">
        <v>9997.5</v>
      </c>
      <c r="DU62">
        <v>0</v>
      </c>
      <c r="DV62">
        <v>1576.59</v>
      </c>
      <c r="DW62">
        <v>-20.561699999999998</v>
      </c>
      <c r="DX62">
        <v>102.145</v>
      </c>
      <c r="DY62">
        <v>122.251</v>
      </c>
      <c r="DZ62">
        <v>8.0943000000000005</v>
      </c>
      <c r="EA62">
        <v>119.99299999999999</v>
      </c>
      <c r="EB62">
        <v>18.465</v>
      </c>
      <c r="EC62">
        <v>2.6317900000000001</v>
      </c>
      <c r="ED62">
        <v>1.82972</v>
      </c>
      <c r="EE62">
        <v>21.865300000000001</v>
      </c>
      <c r="EF62">
        <v>16.042999999999999</v>
      </c>
      <c r="EG62">
        <v>1800.14</v>
      </c>
      <c r="EH62">
        <v>0.97800200000000004</v>
      </c>
      <c r="EI62">
        <v>2.1997699999999999E-2</v>
      </c>
      <c r="EJ62">
        <v>0</v>
      </c>
      <c r="EK62">
        <v>651.73500000000001</v>
      </c>
      <c r="EL62">
        <v>0.10001</v>
      </c>
      <c r="EM62">
        <v>16849.7</v>
      </c>
      <c r="EN62">
        <v>16354.7</v>
      </c>
      <c r="EO62">
        <v>47.125</v>
      </c>
      <c r="EP62">
        <v>49.5</v>
      </c>
      <c r="EQ62">
        <v>48.5</v>
      </c>
      <c r="ER62">
        <v>48.5</v>
      </c>
      <c r="ES62">
        <v>48.75</v>
      </c>
      <c r="ET62">
        <v>1760.44</v>
      </c>
      <c r="EU62">
        <v>39.6</v>
      </c>
      <c r="EV62">
        <v>0</v>
      </c>
      <c r="EW62">
        <v>168.60000014305109</v>
      </c>
      <c r="EX62">
        <v>0</v>
      </c>
      <c r="EY62">
        <v>651.30240000000003</v>
      </c>
      <c r="EZ62">
        <v>-1.8876922948233501</v>
      </c>
      <c r="FA62">
        <v>-422.45384607254448</v>
      </c>
      <c r="FB62">
        <v>16904.135999999999</v>
      </c>
      <c r="FC62">
        <v>15</v>
      </c>
      <c r="FD62">
        <v>1691171842</v>
      </c>
      <c r="FE62" t="s">
        <v>654</v>
      </c>
      <c r="FF62">
        <v>1691171826.5</v>
      </c>
      <c r="FG62">
        <v>1691171842</v>
      </c>
      <c r="FH62">
        <v>50</v>
      </c>
      <c r="FI62">
        <v>-1.4999999999999999E-2</v>
      </c>
      <c r="FJ62">
        <v>4.0000000000000001E-3</v>
      </c>
      <c r="FK62">
        <v>1.9</v>
      </c>
      <c r="FL62">
        <v>0.01</v>
      </c>
      <c r="FM62">
        <v>120</v>
      </c>
      <c r="FN62">
        <v>19</v>
      </c>
      <c r="FO62">
        <v>0.28000000000000003</v>
      </c>
      <c r="FP62">
        <v>0.03</v>
      </c>
      <c r="FQ62">
        <v>16.378621004933638</v>
      </c>
      <c r="FR62">
        <v>0.58233027969580198</v>
      </c>
      <c r="FS62">
        <v>6.1217254989948518E-2</v>
      </c>
      <c r="FT62">
        <v>1</v>
      </c>
      <c r="FU62">
        <v>0.44040205090867551</v>
      </c>
      <c r="FV62">
        <v>4.0163924700189702E-2</v>
      </c>
      <c r="FW62">
        <v>4.4795453725172884E-3</v>
      </c>
      <c r="FX62">
        <v>1</v>
      </c>
      <c r="FY62">
        <v>2</v>
      </c>
      <c r="FZ62">
        <v>2</v>
      </c>
      <c r="GA62" t="s">
        <v>419</v>
      </c>
      <c r="GB62">
        <v>2.8838900000000001</v>
      </c>
      <c r="GC62">
        <v>2.82145</v>
      </c>
      <c r="GD62">
        <v>2.49734E-2</v>
      </c>
      <c r="GE62">
        <v>3.0618200000000002E-2</v>
      </c>
      <c r="GF62">
        <v>0.12232999999999999</v>
      </c>
      <c r="GG62">
        <v>9.5462199999999997E-2</v>
      </c>
      <c r="GH62">
        <v>29886.2</v>
      </c>
      <c r="GI62">
        <v>27726.6</v>
      </c>
      <c r="GJ62">
        <v>28223.4</v>
      </c>
      <c r="GK62">
        <v>26869.5</v>
      </c>
      <c r="GL62">
        <v>34959.9</v>
      </c>
      <c r="GM62">
        <v>33950.6</v>
      </c>
      <c r="GN62">
        <v>41525.699999999997</v>
      </c>
      <c r="GO62">
        <v>38885</v>
      </c>
      <c r="GP62">
        <v>1.9958</v>
      </c>
      <c r="GQ62">
        <v>1.6388</v>
      </c>
      <c r="GR62">
        <v>-4.3422000000000002E-2</v>
      </c>
      <c r="GS62">
        <v>0</v>
      </c>
      <c r="GT62">
        <v>30.7666</v>
      </c>
      <c r="GU62">
        <v>999.9</v>
      </c>
      <c r="GV62">
        <v>45.2</v>
      </c>
      <c r="GW62">
        <v>47</v>
      </c>
      <c r="GX62">
        <v>48.709200000000003</v>
      </c>
      <c r="GY62">
        <v>62.512799999999999</v>
      </c>
      <c r="GZ62">
        <v>32.708300000000001</v>
      </c>
      <c r="HA62">
        <v>1</v>
      </c>
      <c r="HB62">
        <v>1.0263599999999999</v>
      </c>
      <c r="HC62">
        <v>4.4167300000000003</v>
      </c>
      <c r="HD62">
        <v>20.188500000000001</v>
      </c>
      <c r="HE62">
        <v>5.2112999999999996</v>
      </c>
      <c r="HF62">
        <v>11.997999999999999</v>
      </c>
      <c r="HG62">
        <v>4.9871999999999996</v>
      </c>
      <c r="HH62">
        <v>3.2909999999999999</v>
      </c>
      <c r="HI62">
        <v>9999</v>
      </c>
      <c r="HJ62">
        <v>9999</v>
      </c>
      <c r="HK62">
        <v>9999</v>
      </c>
      <c r="HL62">
        <v>999.9</v>
      </c>
      <c r="HM62">
        <v>1.86697</v>
      </c>
      <c r="HN62">
        <v>1.86707</v>
      </c>
      <c r="HO62">
        <v>1.86368</v>
      </c>
      <c r="HP62">
        <v>1.8647800000000001</v>
      </c>
      <c r="HQ62">
        <v>1.8643400000000001</v>
      </c>
      <c r="HR62">
        <v>1.8602000000000001</v>
      </c>
      <c r="HS62">
        <v>1.8633999999999999</v>
      </c>
      <c r="HT62">
        <v>1.8661799999999999</v>
      </c>
      <c r="HU62">
        <v>5</v>
      </c>
      <c r="HV62">
        <v>0</v>
      </c>
      <c r="HW62">
        <v>0</v>
      </c>
      <c r="HX62">
        <v>0</v>
      </c>
      <c r="HY62" t="s">
        <v>420</v>
      </c>
      <c r="HZ62" t="s">
        <v>421</v>
      </c>
      <c r="IA62" t="s">
        <v>422</v>
      </c>
      <c r="IB62" t="s">
        <v>422</v>
      </c>
      <c r="IC62" t="s">
        <v>422</v>
      </c>
      <c r="ID62" t="s">
        <v>422</v>
      </c>
      <c r="IE62">
        <v>0</v>
      </c>
      <c r="IF62">
        <v>100</v>
      </c>
      <c r="IG62">
        <v>100</v>
      </c>
      <c r="IH62">
        <v>1.8360000000000001</v>
      </c>
      <c r="II62">
        <v>0.1326</v>
      </c>
      <c r="IJ62">
        <v>1.510011152644122</v>
      </c>
      <c r="IK62">
        <v>3.5576830062418229E-3</v>
      </c>
      <c r="IL62">
        <v>-2.2646740813029151E-6</v>
      </c>
      <c r="IM62">
        <v>6.9609298295988525E-10</v>
      </c>
      <c r="IN62">
        <v>-0.13851128927019279</v>
      </c>
      <c r="IO62">
        <v>-9.4437069492282083E-4</v>
      </c>
      <c r="IP62">
        <v>5.2900373165634467E-4</v>
      </c>
      <c r="IQ62">
        <v>-3.977656803091445E-6</v>
      </c>
      <c r="IR62">
        <v>2</v>
      </c>
      <c r="IS62">
        <v>1759</v>
      </c>
      <c r="IT62">
        <v>2</v>
      </c>
      <c r="IU62">
        <v>42</v>
      </c>
      <c r="IV62">
        <v>0.9</v>
      </c>
      <c r="IW62">
        <v>0.7</v>
      </c>
      <c r="IX62">
        <v>0.34667999999999999</v>
      </c>
      <c r="IY62">
        <v>2.4719199999999999</v>
      </c>
      <c r="IZ62">
        <v>1.54297</v>
      </c>
      <c r="JA62">
        <v>2.3034699999999999</v>
      </c>
      <c r="JB62">
        <v>1.5466299999999999</v>
      </c>
      <c r="JC62">
        <v>2.3779300000000001</v>
      </c>
      <c r="JD62">
        <v>51.198900000000002</v>
      </c>
      <c r="JE62">
        <v>24.017499999999998</v>
      </c>
      <c r="JF62">
        <v>18</v>
      </c>
      <c r="JG62">
        <v>531.88300000000004</v>
      </c>
      <c r="JH62">
        <v>400.971</v>
      </c>
      <c r="JI62">
        <v>25.321100000000001</v>
      </c>
      <c r="JJ62">
        <v>39.345999999999997</v>
      </c>
      <c r="JK62">
        <v>30.003699999999998</v>
      </c>
      <c r="JL62">
        <v>39.6404</v>
      </c>
      <c r="JM62">
        <v>39.628300000000003</v>
      </c>
      <c r="JN62">
        <v>7.0406500000000003</v>
      </c>
      <c r="JO62">
        <v>76.116299999999995</v>
      </c>
      <c r="JP62">
        <v>0</v>
      </c>
      <c r="JQ62">
        <v>25.2027</v>
      </c>
      <c r="JR62">
        <v>120</v>
      </c>
      <c r="JS62">
        <v>18.290500000000002</v>
      </c>
      <c r="JT62">
        <v>98.385900000000007</v>
      </c>
      <c r="JU62">
        <v>96.211399999999998</v>
      </c>
    </row>
    <row r="63" spans="1:281" x14ac:dyDescent="0.25">
      <c r="A63">
        <v>47</v>
      </c>
      <c r="B63">
        <v>1691171994</v>
      </c>
      <c r="C63">
        <v>11082.5</v>
      </c>
      <c r="D63" t="s">
        <v>655</v>
      </c>
      <c r="E63" t="s">
        <v>656</v>
      </c>
      <c r="F63" t="s">
        <v>413</v>
      </c>
      <c r="G63" t="s">
        <v>635</v>
      </c>
      <c r="H63" t="s">
        <v>636</v>
      </c>
      <c r="I63" t="s">
        <v>31</v>
      </c>
      <c r="J63">
        <v>1691171994</v>
      </c>
      <c r="K63">
        <f t="shared" si="46"/>
        <v>7.0481080764591766E-3</v>
      </c>
      <c r="L63">
        <f t="shared" si="47"/>
        <v>7.0481080764591768</v>
      </c>
      <c r="M63">
        <f t="shared" si="48"/>
        <v>9.7410934907470637</v>
      </c>
      <c r="N63">
        <f t="shared" si="49"/>
        <v>57.763300000000001</v>
      </c>
      <c r="O63">
        <f t="shared" si="50"/>
        <v>19.518637019899487</v>
      </c>
      <c r="P63">
        <f t="shared" si="51"/>
        <v>1.9357727991804798</v>
      </c>
      <c r="Q63">
        <f t="shared" si="52"/>
        <v>5.7287107095082197</v>
      </c>
      <c r="R63">
        <f t="shared" si="53"/>
        <v>0.44945395558027845</v>
      </c>
      <c r="S63">
        <f t="shared" si="54"/>
        <v>2.9172165098151259</v>
      </c>
      <c r="T63">
        <f t="shared" si="55"/>
        <v>0.41422587015822387</v>
      </c>
      <c r="U63">
        <f t="shared" si="56"/>
        <v>0.26182579300527353</v>
      </c>
      <c r="V63">
        <f t="shared" si="57"/>
        <v>344.36589998680296</v>
      </c>
      <c r="W63">
        <f t="shared" si="58"/>
        <v>30.442447889387697</v>
      </c>
      <c r="X63">
        <f t="shared" si="59"/>
        <v>29.978899999999999</v>
      </c>
      <c r="Y63">
        <f t="shared" si="60"/>
        <v>4.2552889752672334</v>
      </c>
      <c r="Z63">
        <f t="shared" si="61"/>
        <v>60.786655076433874</v>
      </c>
      <c r="AA63">
        <f t="shared" si="62"/>
        <v>2.6263487589361203</v>
      </c>
      <c r="AB63">
        <f t="shared" si="63"/>
        <v>4.3206008878654663</v>
      </c>
      <c r="AC63">
        <f t="shared" si="64"/>
        <v>1.6289402163311131</v>
      </c>
      <c r="AD63">
        <f t="shared" si="65"/>
        <v>-310.82156617184967</v>
      </c>
      <c r="AE63">
        <f t="shared" si="66"/>
        <v>41.740247957036367</v>
      </c>
      <c r="AF63">
        <f t="shared" si="67"/>
        <v>3.1849698388963752</v>
      </c>
      <c r="AG63">
        <f t="shared" si="68"/>
        <v>78.469551610886043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51939.7529273666</v>
      </c>
      <c r="AM63" t="s">
        <v>414</v>
      </c>
      <c r="AN63">
        <v>10111.299999999999</v>
      </c>
      <c r="AO63">
        <v>608.58839999999998</v>
      </c>
      <c r="AP63">
        <v>2150.11</v>
      </c>
      <c r="AQ63">
        <f t="shared" si="72"/>
        <v>0.71695010952927984</v>
      </c>
      <c r="AR63">
        <v>-1.1786277417053079</v>
      </c>
      <c r="AS63" t="s">
        <v>657</v>
      </c>
      <c r="AT63">
        <v>8095.32</v>
      </c>
      <c r="AU63">
        <v>661.26660000000004</v>
      </c>
      <c r="AV63">
        <v>741.17190764803627</v>
      </c>
      <c r="AW63">
        <f t="shared" si="73"/>
        <v>0.10780941212626372</v>
      </c>
      <c r="AX63">
        <v>0.5</v>
      </c>
      <c r="AY63">
        <f t="shared" si="74"/>
        <v>1513.1456999934014</v>
      </c>
      <c r="AZ63">
        <f t="shared" si="75"/>
        <v>9.7410934907470637</v>
      </c>
      <c r="BA63">
        <f t="shared" si="76"/>
        <v>81.565674188836198</v>
      </c>
      <c r="BB63">
        <f t="shared" si="77"/>
        <v>7.2165695824929418E-3</v>
      </c>
      <c r="BC63">
        <f t="shared" si="78"/>
        <v>1.9009599228105565</v>
      </c>
      <c r="BD63">
        <f t="shared" si="79"/>
        <v>395.6840623047247</v>
      </c>
      <c r="BE63" t="s">
        <v>658</v>
      </c>
      <c r="BF63">
        <v>553.84</v>
      </c>
      <c r="BG63">
        <f t="shared" si="80"/>
        <v>553.84</v>
      </c>
      <c r="BH63">
        <f t="shared" si="81"/>
        <v>0.2527509552304773</v>
      </c>
      <c r="BI63">
        <f t="shared" si="82"/>
        <v>0.42654403433591392</v>
      </c>
      <c r="BJ63">
        <f t="shared" si="83"/>
        <v>0.88264397147848661</v>
      </c>
      <c r="BK63">
        <f t="shared" si="84"/>
        <v>0.60267908931899283</v>
      </c>
      <c r="BL63">
        <f t="shared" si="85"/>
        <v>0.91399179379125395</v>
      </c>
      <c r="BM63">
        <f t="shared" si="86"/>
        <v>0.3572494784654216</v>
      </c>
      <c r="BN63">
        <f t="shared" si="87"/>
        <v>0.64275052153457835</v>
      </c>
      <c r="BO63">
        <v>7067</v>
      </c>
      <c r="BP63">
        <v>290.00000000000011</v>
      </c>
      <c r="BQ63">
        <v>719.03</v>
      </c>
      <c r="BR63">
        <v>285</v>
      </c>
      <c r="BS63">
        <v>8095.32</v>
      </c>
      <c r="BT63">
        <v>719.85</v>
      </c>
      <c r="BU63">
        <v>-0.82</v>
      </c>
      <c r="BV63">
        <v>300.00000000000011</v>
      </c>
      <c r="BW63">
        <v>19.2</v>
      </c>
      <c r="BX63">
        <v>741.17190764803627</v>
      </c>
      <c r="BY63">
        <v>2.286174368609617</v>
      </c>
      <c r="BZ63">
        <v>-17.262561125739051</v>
      </c>
      <c r="CA63">
        <v>1.7007340220410829</v>
      </c>
      <c r="CB63">
        <v>0.78629840385806771</v>
      </c>
      <c r="CC63">
        <v>-4.1703806451612894E-3</v>
      </c>
      <c r="CD63">
        <v>289.99999999999989</v>
      </c>
      <c r="CE63">
        <v>718.92</v>
      </c>
      <c r="CF63">
        <v>625</v>
      </c>
      <c r="CG63">
        <v>8091.09</v>
      </c>
      <c r="CH63">
        <v>719.84</v>
      </c>
      <c r="CI63">
        <v>-0.92</v>
      </c>
      <c r="CW63">
        <f t="shared" si="88"/>
        <v>1799.95</v>
      </c>
      <c r="CX63">
        <f t="shared" si="89"/>
        <v>1513.1456999934014</v>
      </c>
      <c r="CY63">
        <f t="shared" si="90"/>
        <v>0.84065985165888024</v>
      </c>
      <c r="CZ63">
        <f t="shared" si="91"/>
        <v>0.19131970331776046</v>
      </c>
      <c r="DA63">
        <v>6</v>
      </c>
      <c r="DB63">
        <v>0.5</v>
      </c>
      <c r="DC63" t="s">
        <v>417</v>
      </c>
      <c r="DD63">
        <v>2</v>
      </c>
      <c r="DE63">
        <v>1691171994</v>
      </c>
      <c r="DF63">
        <v>57.763300000000001</v>
      </c>
      <c r="DG63">
        <v>69.939599999999999</v>
      </c>
      <c r="DH63">
        <v>26.4818</v>
      </c>
      <c r="DI63">
        <v>18.249099999999999</v>
      </c>
      <c r="DJ63">
        <v>56.043700000000001</v>
      </c>
      <c r="DK63">
        <v>26.351400000000002</v>
      </c>
      <c r="DL63">
        <v>500.06400000000002</v>
      </c>
      <c r="DM63">
        <v>99.075699999999998</v>
      </c>
      <c r="DN63">
        <v>9.9913399999999999E-2</v>
      </c>
      <c r="DO63">
        <v>30.244299999999999</v>
      </c>
      <c r="DP63">
        <v>29.978899999999999</v>
      </c>
      <c r="DQ63">
        <v>999.9</v>
      </c>
      <c r="DR63">
        <v>0</v>
      </c>
      <c r="DS63">
        <v>0</v>
      </c>
      <c r="DT63">
        <v>10022.5</v>
      </c>
      <c r="DU63">
        <v>0</v>
      </c>
      <c r="DV63">
        <v>1629.15</v>
      </c>
      <c r="DW63">
        <v>-12.176299999999999</v>
      </c>
      <c r="DX63">
        <v>59.334499999999998</v>
      </c>
      <c r="DY63">
        <v>71.239599999999996</v>
      </c>
      <c r="DZ63">
        <v>8.2327499999999993</v>
      </c>
      <c r="EA63">
        <v>69.939599999999999</v>
      </c>
      <c r="EB63">
        <v>18.249099999999999</v>
      </c>
      <c r="EC63">
        <v>2.62371</v>
      </c>
      <c r="ED63">
        <v>1.8080400000000001</v>
      </c>
      <c r="EE63">
        <v>21.814900000000002</v>
      </c>
      <c r="EF63">
        <v>15.8565</v>
      </c>
      <c r="EG63">
        <v>1799.95</v>
      </c>
      <c r="EH63">
        <v>0.97800299999999996</v>
      </c>
      <c r="EI63">
        <v>2.19974E-2</v>
      </c>
      <c r="EJ63">
        <v>0</v>
      </c>
      <c r="EK63">
        <v>661.48</v>
      </c>
      <c r="EL63">
        <v>0.10001</v>
      </c>
      <c r="EM63">
        <v>17130</v>
      </c>
      <c r="EN63">
        <v>16353.1</v>
      </c>
      <c r="EO63">
        <v>47.25</v>
      </c>
      <c r="EP63">
        <v>49.875</v>
      </c>
      <c r="EQ63">
        <v>48.686999999999998</v>
      </c>
      <c r="ER63">
        <v>48.75</v>
      </c>
      <c r="ES63">
        <v>48.875</v>
      </c>
      <c r="ET63">
        <v>1760.26</v>
      </c>
      <c r="EU63">
        <v>39.590000000000003</v>
      </c>
      <c r="EV63">
        <v>0</v>
      </c>
      <c r="EW63">
        <v>109.2000000476837</v>
      </c>
      <c r="EX63">
        <v>0</v>
      </c>
      <c r="EY63">
        <v>661.26660000000004</v>
      </c>
      <c r="EZ63">
        <v>-0.28653847080714662</v>
      </c>
      <c r="FA63">
        <v>-350.85384549829132</v>
      </c>
      <c r="FB63">
        <v>17129.844000000001</v>
      </c>
      <c r="FC63">
        <v>15</v>
      </c>
      <c r="FD63">
        <v>1691171964</v>
      </c>
      <c r="FE63" t="s">
        <v>659</v>
      </c>
      <c r="FF63">
        <v>1691171954</v>
      </c>
      <c r="FG63">
        <v>1691171964</v>
      </c>
      <c r="FH63">
        <v>51</v>
      </c>
      <c r="FI63">
        <v>1.7000000000000001E-2</v>
      </c>
      <c r="FJ63">
        <v>-1E-3</v>
      </c>
      <c r="FK63">
        <v>1.76</v>
      </c>
      <c r="FL63">
        <v>-6.0000000000000001E-3</v>
      </c>
      <c r="FM63">
        <v>70</v>
      </c>
      <c r="FN63">
        <v>18</v>
      </c>
      <c r="FO63">
        <v>0.46</v>
      </c>
      <c r="FP63">
        <v>0.04</v>
      </c>
      <c r="FQ63">
        <v>9.5311128100142533</v>
      </c>
      <c r="FR63">
        <v>0.20778240599705861</v>
      </c>
      <c r="FS63">
        <v>9.2720013834280246E-2</v>
      </c>
      <c r="FT63">
        <v>1</v>
      </c>
      <c r="FU63">
        <v>0.45307574042036708</v>
      </c>
      <c r="FV63">
        <v>6.0750355641152288E-3</v>
      </c>
      <c r="FW63">
        <v>5.9811581241443531E-3</v>
      </c>
      <c r="FX63">
        <v>1</v>
      </c>
      <c r="FY63">
        <v>2</v>
      </c>
      <c r="FZ63">
        <v>2</v>
      </c>
      <c r="GA63" t="s">
        <v>419</v>
      </c>
      <c r="GB63">
        <v>2.8833899999999999</v>
      </c>
      <c r="GC63">
        <v>2.8212999999999999</v>
      </c>
      <c r="GD63">
        <v>1.4529500000000001E-2</v>
      </c>
      <c r="GE63">
        <v>1.8192E-2</v>
      </c>
      <c r="GF63">
        <v>0.12203</v>
      </c>
      <c r="GG63">
        <v>9.4621399999999994E-2</v>
      </c>
      <c r="GH63">
        <v>30195.1</v>
      </c>
      <c r="GI63">
        <v>28070.7</v>
      </c>
      <c r="GJ63">
        <v>28214.6</v>
      </c>
      <c r="GK63">
        <v>26860.3</v>
      </c>
      <c r="GL63">
        <v>34961.4</v>
      </c>
      <c r="GM63">
        <v>33971.1</v>
      </c>
      <c r="GN63">
        <v>41512.800000000003</v>
      </c>
      <c r="GO63">
        <v>38872.400000000001</v>
      </c>
      <c r="GP63">
        <v>1.9944</v>
      </c>
      <c r="GQ63">
        <v>1.6351</v>
      </c>
      <c r="GR63">
        <v>-6.40154E-2</v>
      </c>
      <c r="GS63">
        <v>0</v>
      </c>
      <c r="GT63">
        <v>31.0197</v>
      </c>
      <c r="GU63">
        <v>999.9</v>
      </c>
      <c r="GV63">
        <v>45</v>
      </c>
      <c r="GW63">
        <v>47.2</v>
      </c>
      <c r="GX63">
        <v>48.995100000000001</v>
      </c>
      <c r="GY63">
        <v>62.562899999999999</v>
      </c>
      <c r="GZ63">
        <v>32.515999999999998</v>
      </c>
      <c r="HA63">
        <v>1</v>
      </c>
      <c r="HB63">
        <v>1.05277</v>
      </c>
      <c r="HC63">
        <v>5.6883100000000004</v>
      </c>
      <c r="HD63">
        <v>20.149799999999999</v>
      </c>
      <c r="HE63">
        <v>5.2065099999999997</v>
      </c>
      <c r="HF63">
        <v>11.9992</v>
      </c>
      <c r="HG63">
        <v>4.9880000000000004</v>
      </c>
      <c r="HH63">
        <v>3.2909999999999999</v>
      </c>
      <c r="HI63">
        <v>9999</v>
      </c>
      <c r="HJ63">
        <v>9999</v>
      </c>
      <c r="HK63">
        <v>9999</v>
      </c>
      <c r="HL63">
        <v>999.9</v>
      </c>
      <c r="HM63">
        <v>1.86707</v>
      </c>
      <c r="HN63">
        <v>1.8670800000000001</v>
      </c>
      <c r="HO63">
        <v>1.86371</v>
      </c>
      <c r="HP63">
        <v>1.8648800000000001</v>
      </c>
      <c r="HQ63">
        <v>1.86435</v>
      </c>
      <c r="HR63">
        <v>1.8602000000000001</v>
      </c>
      <c r="HS63">
        <v>1.8633999999999999</v>
      </c>
      <c r="HT63">
        <v>1.8662099999999999</v>
      </c>
      <c r="HU63">
        <v>5</v>
      </c>
      <c r="HV63">
        <v>0</v>
      </c>
      <c r="HW63">
        <v>0</v>
      </c>
      <c r="HX63">
        <v>0</v>
      </c>
      <c r="HY63" t="s">
        <v>420</v>
      </c>
      <c r="HZ63" t="s">
        <v>421</v>
      </c>
      <c r="IA63" t="s">
        <v>422</v>
      </c>
      <c r="IB63" t="s">
        <v>422</v>
      </c>
      <c r="IC63" t="s">
        <v>422</v>
      </c>
      <c r="ID63" t="s">
        <v>422</v>
      </c>
      <c r="IE63">
        <v>0</v>
      </c>
      <c r="IF63">
        <v>100</v>
      </c>
      <c r="IG63">
        <v>100</v>
      </c>
      <c r="IH63">
        <v>1.72</v>
      </c>
      <c r="II63">
        <v>0.13039999999999999</v>
      </c>
      <c r="IJ63">
        <v>1.527142854245777</v>
      </c>
      <c r="IK63">
        <v>3.5576830062418229E-3</v>
      </c>
      <c r="IL63">
        <v>-2.2646740813029151E-6</v>
      </c>
      <c r="IM63">
        <v>6.9609298295988525E-10</v>
      </c>
      <c r="IN63">
        <v>-0.13926281324773959</v>
      </c>
      <c r="IO63">
        <v>-9.4437069492282083E-4</v>
      </c>
      <c r="IP63">
        <v>5.2900373165634467E-4</v>
      </c>
      <c r="IQ63">
        <v>-3.977656803091445E-6</v>
      </c>
      <c r="IR63">
        <v>2</v>
      </c>
      <c r="IS63">
        <v>1759</v>
      </c>
      <c r="IT63">
        <v>2</v>
      </c>
      <c r="IU63">
        <v>42</v>
      </c>
      <c r="IV63">
        <v>0.7</v>
      </c>
      <c r="IW63">
        <v>0.5</v>
      </c>
      <c r="IX63">
        <v>0.231934</v>
      </c>
      <c r="IY63">
        <v>2.50366</v>
      </c>
      <c r="IZ63">
        <v>1.54297</v>
      </c>
      <c r="JA63">
        <v>2.3034699999999999</v>
      </c>
      <c r="JB63">
        <v>1.5466299999999999</v>
      </c>
      <c r="JC63">
        <v>2.33765</v>
      </c>
      <c r="JD63">
        <v>51.498100000000001</v>
      </c>
      <c r="JE63">
        <v>23.9999</v>
      </c>
      <c r="JF63">
        <v>18</v>
      </c>
      <c r="JG63">
        <v>532.11400000000003</v>
      </c>
      <c r="JH63">
        <v>399.524</v>
      </c>
      <c r="JI63">
        <v>24.0275</v>
      </c>
      <c r="JJ63">
        <v>39.507800000000003</v>
      </c>
      <c r="JK63">
        <v>30.000599999999999</v>
      </c>
      <c r="JL63">
        <v>39.790999999999997</v>
      </c>
      <c r="JM63">
        <v>39.778599999999997</v>
      </c>
      <c r="JN63">
        <v>4.7389999999999999</v>
      </c>
      <c r="JO63">
        <v>77.212500000000006</v>
      </c>
      <c r="JP63">
        <v>0</v>
      </c>
      <c r="JQ63">
        <v>24.035299999999999</v>
      </c>
      <c r="JR63">
        <v>70</v>
      </c>
      <c r="JS63">
        <v>18.200900000000001</v>
      </c>
      <c r="JT63">
        <v>98.355199999999996</v>
      </c>
      <c r="JU63">
        <v>96.179500000000004</v>
      </c>
    </row>
    <row r="64" spans="1:281" x14ac:dyDescent="0.25">
      <c r="A64">
        <v>48</v>
      </c>
      <c r="B64">
        <v>1691172112.5</v>
      </c>
      <c r="C64">
        <v>11201</v>
      </c>
      <c r="D64" t="s">
        <v>660</v>
      </c>
      <c r="E64" t="s">
        <v>661</v>
      </c>
      <c r="F64" t="s">
        <v>413</v>
      </c>
      <c r="G64" t="s">
        <v>635</v>
      </c>
      <c r="H64" t="s">
        <v>636</v>
      </c>
      <c r="I64" t="s">
        <v>31</v>
      </c>
      <c r="J64">
        <v>1691172112.5</v>
      </c>
      <c r="K64">
        <f t="shared" si="46"/>
        <v>7.6274666331269756E-3</v>
      </c>
      <c r="L64">
        <f t="shared" si="47"/>
        <v>7.6274666331269758</v>
      </c>
      <c r="M64">
        <f t="shared" si="48"/>
        <v>4.1427965333789256</v>
      </c>
      <c r="N64">
        <f t="shared" si="49"/>
        <v>26.8019</v>
      </c>
      <c r="O64">
        <f t="shared" si="50"/>
        <v>11.603281544703044</v>
      </c>
      <c r="P64">
        <f t="shared" si="51"/>
        <v>1.1507358956665217</v>
      </c>
      <c r="Q64">
        <f t="shared" si="52"/>
        <v>2.6580332712985002</v>
      </c>
      <c r="R64">
        <f t="shared" si="53"/>
        <v>0.4872761986470831</v>
      </c>
      <c r="S64">
        <f t="shared" si="54"/>
        <v>2.9114906638572267</v>
      </c>
      <c r="T64">
        <f t="shared" si="55"/>
        <v>0.44608645514866258</v>
      </c>
      <c r="U64">
        <f t="shared" si="56"/>
        <v>0.28221404901902475</v>
      </c>
      <c r="V64">
        <f t="shared" si="57"/>
        <v>344.34309998680214</v>
      </c>
      <c r="W64">
        <f t="shared" si="58"/>
        <v>30.31527514146309</v>
      </c>
      <c r="X64">
        <f t="shared" si="59"/>
        <v>29.989100000000001</v>
      </c>
      <c r="Y64">
        <f t="shared" si="60"/>
        <v>4.257783087527419</v>
      </c>
      <c r="Z64">
        <f t="shared" si="61"/>
        <v>60.576978236603196</v>
      </c>
      <c r="AA64">
        <f t="shared" si="62"/>
        <v>2.6208631128365001</v>
      </c>
      <c r="AB64">
        <f t="shared" si="63"/>
        <v>4.3265002466776439</v>
      </c>
      <c r="AC64">
        <f t="shared" si="64"/>
        <v>1.6369199746909189</v>
      </c>
      <c r="AD64">
        <f t="shared" si="65"/>
        <v>-336.37127852089964</v>
      </c>
      <c r="AE64">
        <f t="shared" si="66"/>
        <v>43.793035422893944</v>
      </c>
      <c r="AF64">
        <f t="shared" si="67"/>
        <v>3.3487419883143628</v>
      </c>
      <c r="AG64">
        <f t="shared" si="68"/>
        <v>55.113598877110825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51772.856305919107</v>
      </c>
      <c r="AM64" t="s">
        <v>414</v>
      </c>
      <c r="AN64">
        <v>10111.299999999999</v>
      </c>
      <c r="AO64">
        <v>608.58839999999998</v>
      </c>
      <c r="AP64">
        <v>2150.11</v>
      </c>
      <c r="AQ64">
        <f t="shared" si="72"/>
        <v>0.71695010952927984</v>
      </c>
      <c r="AR64">
        <v>-1.1786277417053079</v>
      </c>
      <c r="AS64" t="s">
        <v>662</v>
      </c>
      <c r="AT64">
        <v>8094.58</v>
      </c>
      <c r="AU64">
        <v>670.0409615384616</v>
      </c>
      <c r="AV64">
        <v>728.54544956623818</v>
      </c>
      <c r="AW64">
        <f t="shared" si="73"/>
        <v>8.0303141091072616E-2</v>
      </c>
      <c r="AX64">
        <v>0.5</v>
      </c>
      <c r="AY64">
        <f t="shared" si="74"/>
        <v>1513.044899993401</v>
      </c>
      <c r="AZ64">
        <f t="shared" si="75"/>
        <v>4.1427965333789256</v>
      </c>
      <c r="BA64">
        <f t="shared" si="76"/>
        <v>60.751129040648969</v>
      </c>
      <c r="BB64">
        <f t="shared" si="77"/>
        <v>3.5170299804767472E-3</v>
      </c>
      <c r="BC64">
        <f t="shared" si="78"/>
        <v>1.9512366061446598</v>
      </c>
      <c r="BD64">
        <f t="shared" si="79"/>
        <v>392.05659701920399</v>
      </c>
      <c r="BE64" t="s">
        <v>663</v>
      </c>
      <c r="BF64">
        <v>566.04999999999995</v>
      </c>
      <c r="BG64">
        <f t="shared" si="80"/>
        <v>566.04999999999995</v>
      </c>
      <c r="BH64">
        <f t="shared" si="81"/>
        <v>0.22304092306524581</v>
      </c>
      <c r="BI64">
        <f t="shared" si="82"/>
        <v>0.3600377006491392</v>
      </c>
      <c r="BJ64">
        <f t="shared" si="83"/>
        <v>0.8974183745778328</v>
      </c>
      <c r="BK64">
        <f t="shared" si="84"/>
        <v>0.48771196223421126</v>
      </c>
      <c r="BL64">
        <f t="shared" si="85"/>
        <v>0.92218269950532117</v>
      </c>
      <c r="BM64">
        <f t="shared" si="86"/>
        <v>0.30415952479160002</v>
      </c>
      <c r="BN64">
        <f t="shared" si="87"/>
        <v>0.69584047520839998</v>
      </c>
      <c r="BO64">
        <v>7069</v>
      </c>
      <c r="BP64">
        <v>290.00000000000011</v>
      </c>
      <c r="BQ64">
        <v>707.56</v>
      </c>
      <c r="BR64">
        <v>285</v>
      </c>
      <c r="BS64">
        <v>8094.58</v>
      </c>
      <c r="BT64">
        <v>707.6</v>
      </c>
      <c r="BU64">
        <v>-0.04</v>
      </c>
      <c r="BV64">
        <v>300.00000000000011</v>
      </c>
      <c r="BW64">
        <v>19.2</v>
      </c>
      <c r="BX64">
        <v>728.54544956623818</v>
      </c>
      <c r="BY64">
        <v>2.1652903424482721</v>
      </c>
      <c r="BZ64">
        <v>-16.957812285021781</v>
      </c>
      <c r="CA64">
        <v>1.6106395466893879</v>
      </c>
      <c r="CB64">
        <v>0.79834621744706302</v>
      </c>
      <c r="CC64">
        <v>-4.170181535038937E-3</v>
      </c>
      <c r="CD64">
        <v>289.99999999999989</v>
      </c>
      <c r="CE64">
        <v>706.07</v>
      </c>
      <c r="CF64">
        <v>675</v>
      </c>
      <c r="CG64">
        <v>8089.17</v>
      </c>
      <c r="CH64">
        <v>707.58</v>
      </c>
      <c r="CI64">
        <v>-1.51</v>
      </c>
      <c r="CW64">
        <f t="shared" si="88"/>
        <v>1799.83</v>
      </c>
      <c r="CX64">
        <f t="shared" si="89"/>
        <v>1513.044899993401</v>
      </c>
      <c r="CY64">
        <f t="shared" si="90"/>
        <v>0.84065989565314558</v>
      </c>
      <c r="CZ64">
        <f t="shared" si="91"/>
        <v>0.19131979130629123</v>
      </c>
      <c r="DA64">
        <v>6</v>
      </c>
      <c r="DB64">
        <v>0.5</v>
      </c>
      <c r="DC64" t="s">
        <v>417</v>
      </c>
      <c r="DD64">
        <v>2</v>
      </c>
      <c r="DE64">
        <v>1691172112.5</v>
      </c>
      <c r="DF64">
        <v>26.8019</v>
      </c>
      <c r="DG64">
        <v>32.017299999999999</v>
      </c>
      <c r="DH64">
        <v>26.427099999999999</v>
      </c>
      <c r="DI64">
        <v>17.5182</v>
      </c>
      <c r="DJ64">
        <v>25.054500000000001</v>
      </c>
      <c r="DK64">
        <v>26.301400000000001</v>
      </c>
      <c r="DL64">
        <v>500.12200000000001</v>
      </c>
      <c r="DM64">
        <v>99.0732</v>
      </c>
      <c r="DN64">
        <v>0.100115</v>
      </c>
      <c r="DO64">
        <v>30.2681</v>
      </c>
      <c r="DP64">
        <v>29.989100000000001</v>
      </c>
      <c r="DQ64">
        <v>999.9</v>
      </c>
      <c r="DR64">
        <v>0</v>
      </c>
      <c r="DS64">
        <v>0</v>
      </c>
      <c r="DT64">
        <v>9990</v>
      </c>
      <c r="DU64">
        <v>0</v>
      </c>
      <c r="DV64">
        <v>1607.7</v>
      </c>
      <c r="DW64">
        <v>-5.2153499999999999</v>
      </c>
      <c r="DX64">
        <v>27.529499999999999</v>
      </c>
      <c r="DY64">
        <v>32.588200000000001</v>
      </c>
      <c r="DZ64">
        <v>8.9089100000000006</v>
      </c>
      <c r="EA64">
        <v>32.017299999999999</v>
      </c>
      <c r="EB64">
        <v>17.5182</v>
      </c>
      <c r="EC64">
        <v>2.61822</v>
      </c>
      <c r="ED64">
        <v>1.7355799999999999</v>
      </c>
      <c r="EE64">
        <v>21.7806</v>
      </c>
      <c r="EF64">
        <v>15.218400000000001</v>
      </c>
      <c r="EG64">
        <v>1799.83</v>
      </c>
      <c r="EH64">
        <v>0.97800299999999996</v>
      </c>
      <c r="EI64">
        <v>2.19974E-2</v>
      </c>
      <c r="EJ64">
        <v>0</v>
      </c>
      <c r="EK64">
        <v>668.97</v>
      </c>
      <c r="EL64">
        <v>0.10001</v>
      </c>
      <c r="EM64">
        <v>17187.599999999999</v>
      </c>
      <c r="EN64">
        <v>16351.9</v>
      </c>
      <c r="EO64">
        <v>47.5</v>
      </c>
      <c r="EP64">
        <v>50.186999999999998</v>
      </c>
      <c r="EQ64">
        <v>48.936999999999998</v>
      </c>
      <c r="ER64">
        <v>49.125</v>
      </c>
      <c r="ES64">
        <v>49.125</v>
      </c>
      <c r="ET64">
        <v>1760.14</v>
      </c>
      <c r="EU64">
        <v>39.590000000000003</v>
      </c>
      <c r="EV64">
        <v>0</v>
      </c>
      <c r="EW64">
        <v>116.4000000953674</v>
      </c>
      <c r="EX64">
        <v>0</v>
      </c>
      <c r="EY64">
        <v>670.0409615384616</v>
      </c>
      <c r="EZ64">
        <v>-8.4148718265629956</v>
      </c>
      <c r="FA64">
        <v>-952.79657963318459</v>
      </c>
      <c r="FB64">
        <v>17275.47307692307</v>
      </c>
      <c r="FC64">
        <v>15</v>
      </c>
      <c r="FD64">
        <v>1691172081.5</v>
      </c>
      <c r="FE64" t="s">
        <v>664</v>
      </c>
      <c r="FF64">
        <v>1691172068.5</v>
      </c>
      <c r="FG64">
        <v>1691172081.5</v>
      </c>
      <c r="FH64">
        <v>52</v>
      </c>
      <c r="FI64">
        <v>0.13300000000000001</v>
      </c>
      <c r="FJ64">
        <v>-4.0000000000000001E-3</v>
      </c>
      <c r="FK64">
        <v>1.764</v>
      </c>
      <c r="FL64">
        <v>-1.7000000000000001E-2</v>
      </c>
      <c r="FM64">
        <v>32</v>
      </c>
      <c r="FN64">
        <v>18</v>
      </c>
      <c r="FO64">
        <v>0.95</v>
      </c>
      <c r="FP64">
        <v>0.03</v>
      </c>
      <c r="FQ64">
        <v>4.1195556931558297</v>
      </c>
      <c r="FR64">
        <v>-0.4943042724253357</v>
      </c>
      <c r="FS64">
        <v>7.9574887672884786E-2</v>
      </c>
      <c r="FT64">
        <v>1</v>
      </c>
      <c r="FU64">
        <v>0.4866458728765129</v>
      </c>
      <c r="FV64">
        <v>-5.466057144845572E-3</v>
      </c>
      <c r="FW64">
        <v>2.4393483198381898E-3</v>
      </c>
      <c r="FX64">
        <v>1</v>
      </c>
      <c r="FY64">
        <v>2</v>
      </c>
      <c r="FZ64">
        <v>2</v>
      </c>
      <c r="GA64" t="s">
        <v>419</v>
      </c>
      <c r="GB64">
        <v>2.8830800000000001</v>
      </c>
      <c r="GC64">
        <v>2.8212199999999998</v>
      </c>
      <c r="GD64">
        <v>6.5297799999999998E-3</v>
      </c>
      <c r="GE64">
        <v>8.4004200000000005E-3</v>
      </c>
      <c r="GF64">
        <v>0.121809</v>
      </c>
      <c r="GG64">
        <v>9.1859800000000005E-2</v>
      </c>
      <c r="GH64">
        <v>30428.1</v>
      </c>
      <c r="GI64">
        <v>28335.9</v>
      </c>
      <c r="GJ64">
        <v>28205</v>
      </c>
      <c r="GK64">
        <v>26848.3</v>
      </c>
      <c r="GL64">
        <v>34958.6</v>
      </c>
      <c r="GM64">
        <v>34060.9</v>
      </c>
      <c r="GN64">
        <v>41498.1</v>
      </c>
      <c r="GO64">
        <v>38857</v>
      </c>
      <c r="GP64">
        <v>1.9926999999999999</v>
      </c>
      <c r="GQ64">
        <v>1.6292</v>
      </c>
      <c r="GR64">
        <v>-7.0914599999999994E-2</v>
      </c>
      <c r="GS64">
        <v>0</v>
      </c>
      <c r="GT64">
        <v>31.141999999999999</v>
      </c>
      <c r="GU64">
        <v>999.9</v>
      </c>
      <c r="GV64">
        <v>44.6</v>
      </c>
      <c r="GW64">
        <v>47.6</v>
      </c>
      <c r="GX64">
        <v>49.556199999999997</v>
      </c>
      <c r="GY64">
        <v>62.822899999999997</v>
      </c>
      <c r="GZ64">
        <v>32.752400000000002</v>
      </c>
      <c r="HA64">
        <v>1</v>
      </c>
      <c r="HB64">
        <v>1.0728500000000001</v>
      </c>
      <c r="HC64">
        <v>5.2370299999999999</v>
      </c>
      <c r="HD64">
        <v>20.164100000000001</v>
      </c>
      <c r="HE64">
        <v>5.2100999999999997</v>
      </c>
      <c r="HF64">
        <v>11.9986</v>
      </c>
      <c r="HG64">
        <v>4.9875999999999996</v>
      </c>
      <c r="HH64">
        <v>3.2909999999999999</v>
      </c>
      <c r="HI64">
        <v>9999</v>
      </c>
      <c r="HJ64">
        <v>9999</v>
      </c>
      <c r="HK64">
        <v>9999</v>
      </c>
      <c r="HL64">
        <v>999.9</v>
      </c>
      <c r="HM64">
        <v>1.86707</v>
      </c>
      <c r="HN64">
        <v>1.8671899999999999</v>
      </c>
      <c r="HO64">
        <v>1.8638300000000001</v>
      </c>
      <c r="HP64">
        <v>1.86493</v>
      </c>
      <c r="HQ64">
        <v>1.8644700000000001</v>
      </c>
      <c r="HR64">
        <v>1.8603099999999999</v>
      </c>
      <c r="HS64">
        <v>1.8634299999999999</v>
      </c>
      <c r="HT64">
        <v>1.8663000000000001</v>
      </c>
      <c r="HU64">
        <v>5</v>
      </c>
      <c r="HV64">
        <v>0</v>
      </c>
      <c r="HW64">
        <v>0</v>
      </c>
      <c r="HX64">
        <v>0</v>
      </c>
      <c r="HY64" t="s">
        <v>420</v>
      </c>
      <c r="HZ64" t="s">
        <v>421</v>
      </c>
      <c r="IA64" t="s">
        <v>422</v>
      </c>
      <c r="IB64" t="s">
        <v>422</v>
      </c>
      <c r="IC64" t="s">
        <v>422</v>
      </c>
      <c r="ID64" t="s">
        <v>422</v>
      </c>
      <c r="IE64">
        <v>0</v>
      </c>
      <c r="IF64">
        <v>100</v>
      </c>
      <c r="IG64">
        <v>100</v>
      </c>
      <c r="IH64">
        <v>1.7470000000000001</v>
      </c>
      <c r="II64">
        <v>0.12570000000000001</v>
      </c>
      <c r="IJ64">
        <v>1.659710612529431</v>
      </c>
      <c r="IK64">
        <v>3.5576830062418229E-3</v>
      </c>
      <c r="IL64">
        <v>-2.2646740813029151E-6</v>
      </c>
      <c r="IM64">
        <v>6.9609298295988525E-10</v>
      </c>
      <c r="IN64">
        <v>-0.14306765737193991</v>
      </c>
      <c r="IO64">
        <v>-9.4437069492282083E-4</v>
      </c>
      <c r="IP64">
        <v>5.2900373165634467E-4</v>
      </c>
      <c r="IQ64">
        <v>-3.977656803091445E-6</v>
      </c>
      <c r="IR64">
        <v>2</v>
      </c>
      <c r="IS64">
        <v>1759</v>
      </c>
      <c r="IT64">
        <v>2</v>
      </c>
      <c r="IU64">
        <v>42</v>
      </c>
      <c r="IV64">
        <v>0.7</v>
      </c>
      <c r="IW64">
        <v>0.5</v>
      </c>
      <c r="IX64">
        <v>9.0331999999999996E-2</v>
      </c>
      <c r="IY64">
        <v>2.5781200000000002</v>
      </c>
      <c r="IZ64">
        <v>1.54297</v>
      </c>
      <c r="JA64">
        <v>2.3034699999999999</v>
      </c>
      <c r="JB64">
        <v>1.5466299999999999</v>
      </c>
      <c r="JC64">
        <v>2.3925800000000002</v>
      </c>
      <c r="JD64">
        <v>51.934600000000003</v>
      </c>
      <c r="JE64">
        <v>24.008700000000001</v>
      </c>
      <c r="JF64">
        <v>18</v>
      </c>
      <c r="JG64">
        <v>532.60400000000004</v>
      </c>
      <c r="JH64">
        <v>397.06</v>
      </c>
      <c r="JI64">
        <v>24.384</v>
      </c>
      <c r="JJ64">
        <v>39.7498</v>
      </c>
      <c r="JK64">
        <v>30.001000000000001</v>
      </c>
      <c r="JL64">
        <v>40.002299999999998</v>
      </c>
      <c r="JM64">
        <v>39.9925</v>
      </c>
      <c r="JN64">
        <v>1.90757</v>
      </c>
      <c r="JO64">
        <v>79.346500000000006</v>
      </c>
      <c r="JP64">
        <v>0</v>
      </c>
      <c r="JQ64">
        <v>24.3902</v>
      </c>
      <c r="JR64">
        <v>30</v>
      </c>
      <c r="JS64">
        <v>17.461200000000002</v>
      </c>
      <c r="JT64">
        <v>98.320999999999998</v>
      </c>
      <c r="JU64">
        <v>96.139399999999995</v>
      </c>
    </row>
    <row r="65" spans="1:281" x14ac:dyDescent="0.25">
      <c r="A65">
        <v>49</v>
      </c>
      <c r="B65">
        <v>1691172238</v>
      </c>
      <c r="C65">
        <v>11326.5</v>
      </c>
      <c r="D65" t="s">
        <v>665</v>
      </c>
      <c r="E65" t="s">
        <v>666</v>
      </c>
      <c r="F65" t="s">
        <v>413</v>
      </c>
      <c r="G65" t="s">
        <v>635</v>
      </c>
      <c r="H65" t="s">
        <v>636</v>
      </c>
      <c r="I65" t="s">
        <v>31</v>
      </c>
      <c r="J65">
        <v>1691172238</v>
      </c>
      <c r="K65">
        <f t="shared" si="46"/>
        <v>7.9379650381752476E-3</v>
      </c>
      <c r="L65">
        <f t="shared" si="47"/>
        <v>7.9379650381752471</v>
      </c>
      <c r="M65">
        <f t="shared" si="48"/>
        <v>4.343138857805898</v>
      </c>
      <c r="N65">
        <f t="shared" si="49"/>
        <v>26.918099999999999</v>
      </c>
      <c r="O65">
        <f t="shared" si="50"/>
        <v>11.676809348687179</v>
      </c>
      <c r="P65">
        <f t="shared" si="51"/>
        <v>1.1580060911292445</v>
      </c>
      <c r="Q65">
        <f t="shared" si="52"/>
        <v>2.6695069544087997</v>
      </c>
      <c r="R65">
        <f t="shared" si="53"/>
        <v>0.51126137384087489</v>
      </c>
      <c r="S65">
        <f t="shared" si="54"/>
        <v>2.9066399143522239</v>
      </c>
      <c r="T65">
        <f t="shared" si="55"/>
        <v>0.46604965432197443</v>
      </c>
      <c r="U65">
        <f t="shared" si="56"/>
        <v>0.29500922731562207</v>
      </c>
      <c r="V65">
        <f t="shared" si="57"/>
        <v>344.38109998680358</v>
      </c>
      <c r="W65">
        <f t="shared" si="58"/>
        <v>30.296717916847808</v>
      </c>
      <c r="X65">
        <f t="shared" si="59"/>
        <v>29.988</v>
      </c>
      <c r="Y65">
        <f t="shared" si="60"/>
        <v>4.2575140533627343</v>
      </c>
      <c r="Z65">
        <f t="shared" si="61"/>
        <v>60.502684269156845</v>
      </c>
      <c r="AA65">
        <f t="shared" si="62"/>
        <v>2.6270119889407999</v>
      </c>
      <c r="AB65">
        <f t="shared" si="63"/>
        <v>4.3419759316034217</v>
      </c>
      <c r="AC65">
        <f t="shared" si="64"/>
        <v>1.6305020644219343</v>
      </c>
      <c r="AD65">
        <f t="shared" si="65"/>
        <v>-350.06425818352841</v>
      </c>
      <c r="AE65">
        <f t="shared" si="66"/>
        <v>53.655028811819768</v>
      </c>
      <c r="AF65">
        <f t="shared" si="67"/>
        <v>4.1109557558764065</v>
      </c>
      <c r="AG65">
        <f t="shared" si="68"/>
        <v>52.082826370971368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51624.478862838834</v>
      </c>
      <c r="AM65" t="s">
        <v>414</v>
      </c>
      <c r="AN65">
        <v>10111.299999999999</v>
      </c>
      <c r="AO65">
        <v>608.58839999999998</v>
      </c>
      <c r="AP65">
        <v>2150.11</v>
      </c>
      <c r="AQ65">
        <f t="shared" si="72"/>
        <v>0.71695010952927984</v>
      </c>
      <c r="AR65">
        <v>-1.1786277417053079</v>
      </c>
      <c r="AS65" t="s">
        <v>667</v>
      </c>
      <c r="AT65">
        <v>8095.04</v>
      </c>
      <c r="AU65">
        <v>665.82461538461553</v>
      </c>
      <c r="AV65">
        <v>717.05128039893714</v>
      </c>
      <c r="AW65">
        <f t="shared" si="73"/>
        <v>7.1440727343546784E-2</v>
      </c>
      <c r="AX65">
        <v>0.5</v>
      </c>
      <c r="AY65">
        <f t="shared" si="74"/>
        <v>1513.2128999934018</v>
      </c>
      <c r="AZ65">
        <f t="shared" si="75"/>
        <v>4.343138857805898</v>
      </c>
      <c r="BA65">
        <f t="shared" si="76"/>
        <v>54.052515100583172</v>
      </c>
      <c r="BB65">
        <f t="shared" si="77"/>
        <v>3.6490348446905807E-3</v>
      </c>
      <c r="BC65">
        <f t="shared" si="78"/>
        <v>1.9985442586529785</v>
      </c>
      <c r="BD65">
        <f t="shared" si="79"/>
        <v>388.70356264121403</v>
      </c>
      <c r="BE65" t="s">
        <v>668</v>
      </c>
      <c r="BF65">
        <v>564.27</v>
      </c>
      <c r="BG65">
        <f t="shared" si="80"/>
        <v>564.27</v>
      </c>
      <c r="BH65">
        <f t="shared" si="81"/>
        <v>0.21306883423168299</v>
      </c>
      <c r="BI65">
        <f t="shared" si="82"/>
        <v>0.33529412033045103</v>
      </c>
      <c r="BJ65">
        <f t="shared" si="83"/>
        <v>0.90365908263195704</v>
      </c>
      <c r="BK65">
        <f t="shared" si="84"/>
        <v>0.47229674175999098</v>
      </c>
      <c r="BL65">
        <f t="shared" si="85"/>
        <v>0.9296390784281342</v>
      </c>
      <c r="BM65">
        <f t="shared" si="86"/>
        <v>0.28415352768172103</v>
      </c>
      <c r="BN65">
        <f t="shared" si="87"/>
        <v>0.71584647231827891</v>
      </c>
      <c r="BO65">
        <v>7071</v>
      </c>
      <c r="BP65">
        <v>290.00000000000011</v>
      </c>
      <c r="BQ65">
        <v>702.29</v>
      </c>
      <c r="BR65">
        <v>295</v>
      </c>
      <c r="BS65">
        <v>8095.04</v>
      </c>
      <c r="BT65">
        <v>701.14</v>
      </c>
      <c r="BU65">
        <v>1.1499999999999999</v>
      </c>
      <c r="BV65">
        <v>300.00000000000011</v>
      </c>
      <c r="BW65">
        <v>19.2</v>
      </c>
      <c r="BX65">
        <v>717.05128039893714</v>
      </c>
      <c r="BY65">
        <v>1.943736170824534</v>
      </c>
      <c r="BZ65">
        <v>-12.88180337955934</v>
      </c>
      <c r="CA65">
        <v>1.4459243597538209</v>
      </c>
      <c r="CB65">
        <v>0.73922209702470576</v>
      </c>
      <c r="CC65">
        <v>-4.1703833147942234E-3</v>
      </c>
      <c r="CD65">
        <v>289.99999999999989</v>
      </c>
      <c r="CE65">
        <v>700.36</v>
      </c>
      <c r="CF65">
        <v>715</v>
      </c>
      <c r="CG65">
        <v>8088.91</v>
      </c>
      <c r="CH65">
        <v>701.13</v>
      </c>
      <c r="CI65">
        <v>-0.77</v>
      </c>
      <c r="CW65">
        <f t="shared" si="88"/>
        <v>1800.03</v>
      </c>
      <c r="CX65">
        <f t="shared" si="89"/>
        <v>1513.2128999934018</v>
      </c>
      <c r="CY65">
        <f t="shared" si="90"/>
        <v>0.84065982233262881</v>
      </c>
      <c r="CZ65">
        <f t="shared" si="91"/>
        <v>0.19131964466525755</v>
      </c>
      <c r="DA65">
        <v>6</v>
      </c>
      <c r="DB65">
        <v>0.5</v>
      </c>
      <c r="DC65" t="s">
        <v>417</v>
      </c>
      <c r="DD65">
        <v>2</v>
      </c>
      <c r="DE65">
        <v>1691172238</v>
      </c>
      <c r="DF65">
        <v>26.918099999999999</v>
      </c>
      <c r="DG65">
        <v>32.386200000000002</v>
      </c>
      <c r="DH65">
        <v>26.489599999999999</v>
      </c>
      <c r="DI65">
        <v>17.2165</v>
      </c>
      <c r="DJ65">
        <v>25.162099999999999</v>
      </c>
      <c r="DK65">
        <v>26.361999999999998</v>
      </c>
      <c r="DL65">
        <v>500.00700000000001</v>
      </c>
      <c r="DM65">
        <v>99.071299999999994</v>
      </c>
      <c r="DN65">
        <v>0.100148</v>
      </c>
      <c r="DO65">
        <v>30.330400000000001</v>
      </c>
      <c r="DP65">
        <v>29.988</v>
      </c>
      <c r="DQ65">
        <v>999.9</v>
      </c>
      <c r="DR65">
        <v>0</v>
      </c>
      <c r="DS65">
        <v>0</v>
      </c>
      <c r="DT65">
        <v>9962.5</v>
      </c>
      <c r="DU65">
        <v>0</v>
      </c>
      <c r="DV65">
        <v>1689.26</v>
      </c>
      <c r="DW65">
        <v>-5.46807</v>
      </c>
      <c r="DX65">
        <v>27.650500000000001</v>
      </c>
      <c r="DY65">
        <v>32.953499999999998</v>
      </c>
      <c r="DZ65">
        <v>9.2731600000000007</v>
      </c>
      <c r="EA65">
        <v>32.386200000000002</v>
      </c>
      <c r="EB65">
        <v>17.2165</v>
      </c>
      <c r="EC65">
        <v>2.6243599999999998</v>
      </c>
      <c r="ED65">
        <v>1.70566</v>
      </c>
      <c r="EE65">
        <v>21.818999999999999</v>
      </c>
      <c r="EF65">
        <v>14.948</v>
      </c>
      <c r="EG65">
        <v>1800.03</v>
      </c>
      <c r="EH65">
        <v>0.97800299999999996</v>
      </c>
      <c r="EI65">
        <v>2.19974E-2</v>
      </c>
      <c r="EJ65">
        <v>0</v>
      </c>
      <c r="EK65">
        <v>668.45500000000004</v>
      </c>
      <c r="EL65">
        <v>0.10001</v>
      </c>
      <c r="EM65">
        <v>17249.7</v>
      </c>
      <c r="EN65">
        <v>16353.8</v>
      </c>
      <c r="EO65">
        <v>47.625</v>
      </c>
      <c r="EP65">
        <v>50.311999999999998</v>
      </c>
      <c r="EQ65">
        <v>49.061999999999998</v>
      </c>
      <c r="ER65">
        <v>49.375</v>
      </c>
      <c r="ES65">
        <v>49.25</v>
      </c>
      <c r="ET65">
        <v>1760.34</v>
      </c>
      <c r="EU65">
        <v>39.590000000000003</v>
      </c>
      <c r="EV65">
        <v>0</v>
      </c>
      <c r="EW65">
        <v>123.2000000476837</v>
      </c>
      <c r="EX65">
        <v>0</v>
      </c>
      <c r="EY65">
        <v>665.82461538461553</v>
      </c>
      <c r="EZ65">
        <v>-0.38735047810054712</v>
      </c>
      <c r="FA65">
        <v>-122.39316209258941</v>
      </c>
      <c r="FB65">
        <v>17256.846153846149</v>
      </c>
      <c r="FC65">
        <v>15</v>
      </c>
      <c r="FD65">
        <v>1691172208.5</v>
      </c>
      <c r="FE65" t="s">
        <v>669</v>
      </c>
      <c r="FF65">
        <v>1691172190.5</v>
      </c>
      <c r="FG65">
        <v>1691172208.5</v>
      </c>
      <c r="FH65">
        <v>53</v>
      </c>
      <c r="FI65">
        <v>8.0000000000000002E-3</v>
      </c>
      <c r="FJ65">
        <v>1E-3</v>
      </c>
      <c r="FK65">
        <v>1.774</v>
      </c>
      <c r="FL65">
        <v>-2.1000000000000001E-2</v>
      </c>
      <c r="FM65">
        <v>32</v>
      </c>
      <c r="FN65">
        <v>17</v>
      </c>
      <c r="FO65">
        <v>0.66</v>
      </c>
      <c r="FP65">
        <v>0.02</v>
      </c>
      <c r="FQ65">
        <v>4.3702926849348662</v>
      </c>
      <c r="FR65">
        <v>-0.5340222583940385</v>
      </c>
      <c r="FS65">
        <v>5.2220001806699543E-2</v>
      </c>
      <c r="FT65">
        <v>1</v>
      </c>
      <c r="FU65">
        <v>0.51145493588985835</v>
      </c>
      <c r="FV65">
        <v>4.2173152429267674E-3</v>
      </c>
      <c r="FW65">
        <v>1.882856413952802E-3</v>
      </c>
      <c r="FX65">
        <v>1</v>
      </c>
      <c r="FY65">
        <v>2</v>
      </c>
      <c r="FZ65">
        <v>2</v>
      </c>
      <c r="GA65" t="s">
        <v>419</v>
      </c>
      <c r="GB65">
        <v>2.8823300000000001</v>
      </c>
      <c r="GC65">
        <v>2.8210099999999998</v>
      </c>
      <c r="GD65">
        <v>6.5526400000000002E-3</v>
      </c>
      <c r="GE65">
        <v>8.4901799999999999E-3</v>
      </c>
      <c r="GF65">
        <v>0.121937</v>
      </c>
      <c r="GG65">
        <v>9.0676499999999993E-2</v>
      </c>
      <c r="GH65">
        <v>30413</v>
      </c>
      <c r="GI65">
        <v>28316.3</v>
      </c>
      <c r="GJ65">
        <v>28192.7</v>
      </c>
      <c r="GK65">
        <v>26833.3</v>
      </c>
      <c r="GL65">
        <v>34939.599999999999</v>
      </c>
      <c r="GM65">
        <v>34087.4</v>
      </c>
      <c r="GN65">
        <v>41480.400000000001</v>
      </c>
      <c r="GO65">
        <v>38836.6</v>
      </c>
      <c r="GP65">
        <v>1.99</v>
      </c>
      <c r="GQ65">
        <v>1.6238999999999999</v>
      </c>
      <c r="GR65">
        <v>-6.7010500000000001E-2</v>
      </c>
      <c r="GS65">
        <v>0</v>
      </c>
      <c r="GT65">
        <v>31.077500000000001</v>
      </c>
      <c r="GU65">
        <v>999.9</v>
      </c>
      <c r="GV65">
        <v>44.2</v>
      </c>
      <c r="GW65">
        <v>47.9</v>
      </c>
      <c r="GX65">
        <v>49.862900000000003</v>
      </c>
      <c r="GY65">
        <v>62.762900000000002</v>
      </c>
      <c r="GZ65">
        <v>33.0809</v>
      </c>
      <c r="HA65">
        <v>1</v>
      </c>
      <c r="HB65">
        <v>1.09561</v>
      </c>
      <c r="HC65">
        <v>5.085</v>
      </c>
      <c r="HD65">
        <v>20.167100000000001</v>
      </c>
      <c r="HE65">
        <v>5.2077099999999996</v>
      </c>
      <c r="HF65">
        <v>11.997999999999999</v>
      </c>
      <c r="HG65">
        <v>4.9874000000000001</v>
      </c>
      <c r="HH65">
        <v>3.2909999999999999</v>
      </c>
      <c r="HI65">
        <v>9999</v>
      </c>
      <c r="HJ65">
        <v>9999</v>
      </c>
      <c r="HK65">
        <v>9999</v>
      </c>
      <c r="HL65">
        <v>999.9</v>
      </c>
      <c r="HM65">
        <v>1.86714</v>
      </c>
      <c r="HN65">
        <v>1.8672200000000001</v>
      </c>
      <c r="HO65">
        <v>1.8638600000000001</v>
      </c>
      <c r="HP65">
        <v>1.8650100000000001</v>
      </c>
      <c r="HQ65">
        <v>1.8644700000000001</v>
      </c>
      <c r="HR65">
        <v>1.8603499999999999</v>
      </c>
      <c r="HS65">
        <v>1.8635600000000001</v>
      </c>
      <c r="HT65">
        <v>1.86635</v>
      </c>
      <c r="HU65">
        <v>5</v>
      </c>
      <c r="HV65">
        <v>0</v>
      </c>
      <c r="HW65">
        <v>0</v>
      </c>
      <c r="HX65">
        <v>0</v>
      </c>
      <c r="HY65" t="s">
        <v>420</v>
      </c>
      <c r="HZ65" t="s">
        <v>421</v>
      </c>
      <c r="IA65" t="s">
        <v>422</v>
      </c>
      <c r="IB65" t="s">
        <v>422</v>
      </c>
      <c r="IC65" t="s">
        <v>422</v>
      </c>
      <c r="ID65" t="s">
        <v>422</v>
      </c>
      <c r="IE65">
        <v>0</v>
      </c>
      <c r="IF65">
        <v>100</v>
      </c>
      <c r="IG65">
        <v>100</v>
      </c>
      <c r="IH65">
        <v>1.756</v>
      </c>
      <c r="II65">
        <v>0.12759999999999999</v>
      </c>
      <c r="IJ65">
        <v>1.6679208197129129</v>
      </c>
      <c r="IK65">
        <v>3.5576830062418229E-3</v>
      </c>
      <c r="IL65">
        <v>-2.2646740813029151E-6</v>
      </c>
      <c r="IM65">
        <v>6.9609298295988525E-10</v>
      </c>
      <c r="IN65">
        <v>-0.14222941605780781</v>
      </c>
      <c r="IO65">
        <v>-9.4437069492282083E-4</v>
      </c>
      <c r="IP65">
        <v>5.2900373165634467E-4</v>
      </c>
      <c r="IQ65">
        <v>-3.977656803091445E-6</v>
      </c>
      <c r="IR65">
        <v>2</v>
      </c>
      <c r="IS65">
        <v>1759</v>
      </c>
      <c r="IT65">
        <v>2</v>
      </c>
      <c r="IU65">
        <v>42</v>
      </c>
      <c r="IV65">
        <v>0.8</v>
      </c>
      <c r="IW65">
        <v>0.5</v>
      </c>
      <c r="IX65">
        <v>3.1738299999999997E-2</v>
      </c>
      <c r="IY65">
        <v>4.99634</v>
      </c>
      <c r="IZ65">
        <v>1.54297</v>
      </c>
      <c r="JA65">
        <v>2.3022499999999999</v>
      </c>
      <c r="JB65">
        <v>1.5466299999999999</v>
      </c>
      <c r="JC65">
        <v>2.4328599999999998</v>
      </c>
      <c r="JD65">
        <v>52.3765</v>
      </c>
      <c r="JE65">
        <v>23.9999</v>
      </c>
      <c r="JF65">
        <v>18</v>
      </c>
      <c r="JG65">
        <v>532.63499999999999</v>
      </c>
      <c r="JH65">
        <v>395.096</v>
      </c>
      <c r="JI65">
        <v>24.693999999999999</v>
      </c>
      <c r="JJ65">
        <v>40.003300000000003</v>
      </c>
      <c r="JK65">
        <v>30.000299999999999</v>
      </c>
      <c r="JL65">
        <v>40.240400000000001</v>
      </c>
      <c r="JM65">
        <v>40.227200000000003</v>
      </c>
      <c r="JN65">
        <v>0</v>
      </c>
      <c r="JO65">
        <v>81.3048</v>
      </c>
      <c r="JP65">
        <v>0</v>
      </c>
      <c r="JQ65">
        <v>24.708400000000001</v>
      </c>
      <c r="JR65">
        <v>10</v>
      </c>
      <c r="JS65">
        <v>17.121300000000002</v>
      </c>
      <c r="JT65">
        <v>98.278599999999997</v>
      </c>
      <c r="JU65">
        <v>96.087599999999995</v>
      </c>
    </row>
    <row r="66" spans="1:281" x14ac:dyDescent="0.25">
      <c r="A66">
        <v>50</v>
      </c>
      <c r="B66">
        <v>1691172393</v>
      </c>
      <c r="C66">
        <v>11481.5</v>
      </c>
      <c r="D66" t="s">
        <v>670</v>
      </c>
      <c r="E66" t="s">
        <v>671</v>
      </c>
      <c r="F66" t="s">
        <v>413</v>
      </c>
      <c r="G66" t="s">
        <v>635</v>
      </c>
      <c r="H66" t="s">
        <v>636</v>
      </c>
      <c r="I66" t="s">
        <v>31</v>
      </c>
      <c r="J66">
        <v>1691172393</v>
      </c>
      <c r="K66">
        <f t="shared" si="46"/>
        <v>7.3836553333406583E-3</v>
      </c>
      <c r="L66">
        <f t="shared" si="47"/>
        <v>7.3836553333406583</v>
      </c>
      <c r="M66">
        <f t="shared" si="48"/>
        <v>46.927863864496807</v>
      </c>
      <c r="N66">
        <f t="shared" si="49"/>
        <v>340.89699999999999</v>
      </c>
      <c r="O66">
        <f t="shared" si="50"/>
        <v>161.14295276776511</v>
      </c>
      <c r="P66">
        <f t="shared" si="51"/>
        <v>15.982025273713864</v>
      </c>
      <c r="Q66">
        <f t="shared" si="52"/>
        <v>33.809883560871995</v>
      </c>
      <c r="R66">
        <f t="shared" si="53"/>
        <v>0.46718608974481696</v>
      </c>
      <c r="S66">
        <f t="shared" si="54"/>
        <v>2.9089629453594075</v>
      </c>
      <c r="T66">
        <f t="shared" si="55"/>
        <v>0.42915085535958009</v>
      </c>
      <c r="U66">
        <f t="shared" si="56"/>
        <v>0.27137808357035342</v>
      </c>
      <c r="V66">
        <f t="shared" si="57"/>
        <v>344.37729998680339</v>
      </c>
      <c r="W66">
        <f t="shared" si="58"/>
        <v>30.510384821715888</v>
      </c>
      <c r="X66">
        <f t="shared" si="59"/>
        <v>30.029800000000002</v>
      </c>
      <c r="Y66">
        <f t="shared" si="60"/>
        <v>4.2677477729351745</v>
      </c>
      <c r="Z66">
        <f t="shared" si="61"/>
        <v>60.117295949890092</v>
      </c>
      <c r="AA66">
        <f t="shared" si="62"/>
        <v>2.6206014495303998</v>
      </c>
      <c r="AB66">
        <f t="shared" si="63"/>
        <v>4.359147243939189</v>
      </c>
      <c r="AC66">
        <f t="shared" si="64"/>
        <v>1.6471463234047747</v>
      </c>
      <c r="AD66">
        <f t="shared" si="65"/>
        <v>-325.61920020032301</v>
      </c>
      <c r="AE66">
        <f t="shared" si="66"/>
        <v>57.947949809624738</v>
      </c>
      <c r="AF66">
        <f t="shared" si="67"/>
        <v>4.4387569719182407</v>
      </c>
      <c r="AG66">
        <f t="shared" si="68"/>
        <v>81.144806568023341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51678.826410524984</v>
      </c>
      <c r="AM66" t="s">
        <v>414</v>
      </c>
      <c r="AN66">
        <v>10111.299999999999</v>
      </c>
      <c r="AO66">
        <v>608.58839999999998</v>
      </c>
      <c r="AP66">
        <v>2150.11</v>
      </c>
      <c r="AQ66">
        <f t="shared" si="72"/>
        <v>0.71695010952927984</v>
      </c>
      <c r="AR66">
        <v>-1.1786277417053079</v>
      </c>
      <c r="AS66" t="s">
        <v>672</v>
      </c>
      <c r="AT66">
        <v>8095.96</v>
      </c>
      <c r="AU66">
        <v>657.98539999999991</v>
      </c>
      <c r="AV66">
        <v>1005.92214646368</v>
      </c>
      <c r="AW66">
        <f t="shared" si="73"/>
        <v>0.34588834502436583</v>
      </c>
      <c r="AX66">
        <v>0.5</v>
      </c>
      <c r="AY66">
        <f t="shared" si="74"/>
        <v>1513.1960999934015</v>
      </c>
      <c r="AZ66">
        <f t="shared" si="75"/>
        <v>46.927863864496807</v>
      </c>
      <c r="BA66">
        <f t="shared" si="76"/>
        <v>261.69844736202123</v>
      </c>
      <c r="BB66">
        <f t="shared" si="77"/>
        <v>3.1791313502864495E-2</v>
      </c>
      <c r="BC66">
        <f t="shared" si="78"/>
        <v>1.1374516979854887</v>
      </c>
      <c r="BD66">
        <f t="shared" si="79"/>
        <v>460.36978086396891</v>
      </c>
      <c r="BE66" t="s">
        <v>673</v>
      </c>
      <c r="BF66">
        <v>525.35</v>
      </c>
      <c r="BG66">
        <f t="shared" si="80"/>
        <v>525.35</v>
      </c>
      <c r="BH66">
        <f t="shared" si="81"/>
        <v>0.47774288313775737</v>
      </c>
      <c r="BI66">
        <f t="shared" si="82"/>
        <v>0.72400522798500544</v>
      </c>
      <c r="BJ66">
        <f t="shared" si="83"/>
        <v>0.70421960999551947</v>
      </c>
      <c r="BK66">
        <f t="shared" si="84"/>
        <v>0.8756788205390571</v>
      </c>
      <c r="BL66">
        <f t="shared" si="85"/>
        <v>0.74224574831537893</v>
      </c>
      <c r="BM66">
        <f t="shared" si="86"/>
        <v>0.57806168118916113</v>
      </c>
      <c r="BN66">
        <f t="shared" si="87"/>
        <v>0.42193831881083887</v>
      </c>
      <c r="BO66">
        <v>7073</v>
      </c>
      <c r="BP66">
        <v>290.00000000000011</v>
      </c>
      <c r="BQ66">
        <v>862.59</v>
      </c>
      <c r="BR66">
        <v>275</v>
      </c>
      <c r="BS66">
        <v>8095.96</v>
      </c>
      <c r="BT66">
        <v>865.19</v>
      </c>
      <c r="BU66">
        <v>-2.6</v>
      </c>
      <c r="BV66">
        <v>300.00000000000011</v>
      </c>
      <c r="BW66">
        <v>19.2</v>
      </c>
      <c r="BX66">
        <v>1005.92214646368</v>
      </c>
      <c r="BY66">
        <v>4.0416546559993023</v>
      </c>
      <c r="BZ66">
        <v>-113.93977386676011</v>
      </c>
      <c r="CA66">
        <v>3.0067497753038279</v>
      </c>
      <c r="CB66">
        <v>0.98087439003185251</v>
      </c>
      <c r="CC66">
        <v>-4.171121690767529E-3</v>
      </c>
      <c r="CD66">
        <v>289.99999999999989</v>
      </c>
      <c r="CE66">
        <v>850.06</v>
      </c>
      <c r="CF66">
        <v>625</v>
      </c>
      <c r="CG66">
        <v>8091.22</v>
      </c>
      <c r="CH66">
        <v>865.1</v>
      </c>
      <c r="CI66">
        <v>-15.04</v>
      </c>
      <c r="CW66">
        <f t="shared" si="88"/>
        <v>1800.01</v>
      </c>
      <c r="CX66">
        <f t="shared" si="89"/>
        <v>1513.1960999934015</v>
      </c>
      <c r="CY66">
        <f t="shared" si="90"/>
        <v>0.84065982966394714</v>
      </c>
      <c r="CZ66">
        <f t="shared" si="91"/>
        <v>0.19131965932789452</v>
      </c>
      <c r="DA66">
        <v>6</v>
      </c>
      <c r="DB66">
        <v>0.5</v>
      </c>
      <c r="DC66" t="s">
        <v>417</v>
      </c>
      <c r="DD66">
        <v>2</v>
      </c>
      <c r="DE66">
        <v>1691172393</v>
      </c>
      <c r="DF66">
        <v>340.89699999999999</v>
      </c>
      <c r="DG66">
        <v>400.22699999999998</v>
      </c>
      <c r="DH66">
        <v>26.422899999999998</v>
      </c>
      <c r="DI66">
        <v>17.7972</v>
      </c>
      <c r="DJ66">
        <v>338.34100000000001</v>
      </c>
      <c r="DK66">
        <v>26.2989</v>
      </c>
      <c r="DL66">
        <v>500.03300000000002</v>
      </c>
      <c r="DM66">
        <v>99.078800000000001</v>
      </c>
      <c r="DN66">
        <v>0.10037600000000001</v>
      </c>
      <c r="DO66">
        <v>30.3993</v>
      </c>
      <c r="DP66">
        <v>30.029800000000002</v>
      </c>
      <c r="DQ66">
        <v>999.9</v>
      </c>
      <c r="DR66">
        <v>0</v>
      </c>
      <c r="DS66">
        <v>0</v>
      </c>
      <c r="DT66">
        <v>9975</v>
      </c>
      <c r="DU66">
        <v>0</v>
      </c>
      <c r="DV66">
        <v>1685.75</v>
      </c>
      <c r="DW66">
        <v>-59.33</v>
      </c>
      <c r="DX66">
        <v>350.149</v>
      </c>
      <c r="DY66">
        <v>407.47899999999998</v>
      </c>
      <c r="DZ66">
        <v>8.6256299999999992</v>
      </c>
      <c r="EA66">
        <v>400.22699999999998</v>
      </c>
      <c r="EB66">
        <v>17.7972</v>
      </c>
      <c r="EC66">
        <v>2.6179399999999999</v>
      </c>
      <c r="ED66">
        <v>1.7633300000000001</v>
      </c>
      <c r="EE66">
        <v>21.7789</v>
      </c>
      <c r="EF66">
        <v>15.465400000000001</v>
      </c>
      <c r="EG66">
        <v>1800.01</v>
      </c>
      <c r="EH66">
        <v>0.97800299999999996</v>
      </c>
      <c r="EI66">
        <v>2.19974E-2</v>
      </c>
      <c r="EJ66">
        <v>0</v>
      </c>
      <c r="EK66">
        <v>653.82000000000005</v>
      </c>
      <c r="EL66">
        <v>0.10001</v>
      </c>
      <c r="EM66">
        <v>17050</v>
      </c>
      <c r="EN66">
        <v>16353.6</v>
      </c>
      <c r="EO66">
        <v>47.686999999999998</v>
      </c>
      <c r="EP66">
        <v>50.311999999999998</v>
      </c>
      <c r="EQ66">
        <v>49.125</v>
      </c>
      <c r="ER66">
        <v>49.311999999999998</v>
      </c>
      <c r="ES66">
        <v>49.311999999999998</v>
      </c>
      <c r="ET66">
        <v>1760.32</v>
      </c>
      <c r="EU66">
        <v>39.590000000000003</v>
      </c>
      <c r="EV66">
        <v>0</v>
      </c>
      <c r="EW66">
        <v>153</v>
      </c>
      <c r="EX66">
        <v>0</v>
      </c>
      <c r="EY66">
        <v>657.98539999999991</v>
      </c>
      <c r="EZ66">
        <v>-15.76038458414649</v>
      </c>
      <c r="FA66">
        <v>-465.20769312386238</v>
      </c>
      <c r="FB66">
        <v>17084.583999999999</v>
      </c>
      <c r="FC66">
        <v>15</v>
      </c>
      <c r="FD66">
        <v>1691172350</v>
      </c>
      <c r="FE66" t="s">
        <v>674</v>
      </c>
      <c r="FF66">
        <v>1691172342.5</v>
      </c>
      <c r="FG66">
        <v>1691172350</v>
      </c>
      <c r="FH66">
        <v>54</v>
      </c>
      <c r="FI66">
        <v>-8.2000000000000003E-2</v>
      </c>
      <c r="FJ66">
        <v>-3.0000000000000001E-3</v>
      </c>
      <c r="FK66">
        <v>2.6880000000000002</v>
      </c>
      <c r="FL66">
        <v>-2.3E-2</v>
      </c>
      <c r="FM66">
        <v>402</v>
      </c>
      <c r="FN66">
        <v>17</v>
      </c>
      <c r="FO66">
        <v>0.09</v>
      </c>
      <c r="FP66">
        <v>0.02</v>
      </c>
      <c r="FQ66">
        <v>46.838974794975272</v>
      </c>
      <c r="FR66">
        <v>0.19310134420151939</v>
      </c>
      <c r="FS66">
        <v>0.1244191261105201</v>
      </c>
      <c r="FT66">
        <v>1</v>
      </c>
      <c r="FU66">
        <v>0.47228420709316021</v>
      </c>
      <c r="FV66">
        <v>-4.3998276564130773E-2</v>
      </c>
      <c r="FW66">
        <v>3.3022050943394441E-3</v>
      </c>
      <c r="FX66">
        <v>1</v>
      </c>
      <c r="FY66">
        <v>2</v>
      </c>
      <c r="FZ66">
        <v>2</v>
      </c>
      <c r="GA66" t="s">
        <v>419</v>
      </c>
      <c r="GB66">
        <v>2.8820000000000001</v>
      </c>
      <c r="GC66">
        <v>2.8213499999999998</v>
      </c>
      <c r="GD66">
        <v>7.5680200000000003E-2</v>
      </c>
      <c r="GE66">
        <v>8.6795499999999998E-2</v>
      </c>
      <c r="GF66">
        <v>0.121684</v>
      </c>
      <c r="GG66">
        <v>9.2808799999999997E-2</v>
      </c>
      <c r="GH66">
        <v>28290.2</v>
      </c>
      <c r="GI66">
        <v>26072.799999999999</v>
      </c>
      <c r="GJ66">
        <v>28182.2</v>
      </c>
      <c r="GK66">
        <v>26821.9</v>
      </c>
      <c r="GL66">
        <v>34937.9</v>
      </c>
      <c r="GM66">
        <v>33996.800000000003</v>
      </c>
      <c r="GN66">
        <v>41464.199999999997</v>
      </c>
      <c r="GO66">
        <v>38822.5</v>
      </c>
      <c r="GP66">
        <v>1.9888999999999999</v>
      </c>
      <c r="GQ66">
        <v>1.6204000000000001</v>
      </c>
      <c r="GR66">
        <v>-7.0929500000000006E-2</v>
      </c>
      <c r="GS66">
        <v>0</v>
      </c>
      <c r="GT66">
        <v>31.1829</v>
      </c>
      <c r="GU66">
        <v>999.9</v>
      </c>
      <c r="GV66">
        <v>43.7</v>
      </c>
      <c r="GW66">
        <v>48.4</v>
      </c>
      <c r="GX66">
        <v>50.554400000000001</v>
      </c>
      <c r="GY66">
        <v>62.683</v>
      </c>
      <c r="GZ66">
        <v>33.032899999999998</v>
      </c>
      <c r="HA66">
        <v>1</v>
      </c>
      <c r="HB66">
        <v>1.12181</v>
      </c>
      <c r="HC66">
        <v>5.9200299999999997</v>
      </c>
      <c r="HD66">
        <v>20.140699999999999</v>
      </c>
      <c r="HE66">
        <v>5.2100999999999997</v>
      </c>
      <c r="HF66">
        <v>12.004</v>
      </c>
      <c r="HG66">
        <v>4.9874000000000001</v>
      </c>
      <c r="HH66">
        <v>3.2909999999999999</v>
      </c>
      <c r="HI66">
        <v>9999</v>
      </c>
      <c r="HJ66">
        <v>9999</v>
      </c>
      <c r="HK66">
        <v>9999</v>
      </c>
      <c r="HL66">
        <v>999.9</v>
      </c>
      <c r="HM66">
        <v>1.86713</v>
      </c>
      <c r="HN66">
        <v>1.8672200000000001</v>
      </c>
      <c r="HO66">
        <v>1.8638600000000001</v>
      </c>
      <c r="HP66">
        <v>1.86497</v>
      </c>
      <c r="HQ66">
        <v>1.86449</v>
      </c>
      <c r="HR66">
        <v>1.8603499999999999</v>
      </c>
      <c r="HS66">
        <v>1.8635600000000001</v>
      </c>
      <c r="HT66">
        <v>1.86632</v>
      </c>
      <c r="HU66">
        <v>5</v>
      </c>
      <c r="HV66">
        <v>0</v>
      </c>
      <c r="HW66">
        <v>0</v>
      </c>
      <c r="HX66">
        <v>0</v>
      </c>
      <c r="HY66" t="s">
        <v>420</v>
      </c>
      <c r="HZ66" t="s">
        <v>421</v>
      </c>
      <c r="IA66" t="s">
        <v>422</v>
      </c>
      <c r="IB66" t="s">
        <v>422</v>
      </c>
      <c r="IC66" t="s">
        <v>422</v>
      </c>
      <c r="ID66" t="s">
        <v>422</v>
      </c>
      <c r="IE66">
        <v>0</v>
      </c>
      <c r="IF66">
        <v>100</v>
      </c>
      <c r="IG66">
        <v>100</v>
      </c>
      <c r="IH66">
        <v>2.556</v>
      </c>
      <c r="II66">
        <v>0.124</v>
      </c>
      <c r="IJ66">
        <v>1.5854562765888081</v>
      </c>
      <c r="IK66">
        <v>3.5576830062418229E-3</v>
      </c>
      <c r="IL66">
        <v>-2.2646740813029151E-6</v>
      </c>
      <c r="IM66">
        <v>6.9609298295988525E-10</v>
      </c>
      <c r="IN66">
        <v>-0.14477711114699421</v>
      </c>
      <c r="IO66">
        <v>-9.4437069492282083E-4</v>
      </c>
      <c r="IP66">
        <v>5.2900373165634467E-4</v>
      </c>
      <c r="IQ66">
        <v>-3.977656803091445E-6</v>
      </c>
      <c r="IR66">
        <v>2</v>
      </c>
      <c r="IS66">
        <v>1759</v>
      </c>
      <c r="IT66">
        <v>2</v>
      </c>
      <c r="IU66">
        <v>42</v>
      </c>
      <c r="IV66">
        <v>0.8</v>
      </c>
      <c r="IW66">
        <v>0.7</v>
      </c>
      <c r="IX66">
        <v>0.95336900000000002</v>
      </c>
      <c r="IY66">
        <v>2.4499499999999999</v>
      </c>
      <c r="IZ66">
        <v>1.54297</v>
      </c>
      <c r="JA66">
        <v>2.3034699999999999</v>
      </c>
      <c r="JB66">
        <v>1.5466299999999999</v>
      </c>
      <c r="JC66">
        <v>2.4414099999999999</v>
      </c>
      <c r="JD66">
        <v>52.823799999999999</v>
      </c>
      <c r="JE66">
        <v>23.9999</v>
      </c>
      <c r="JF66">
        <v>18</v>
      </c>
      <c r="JG66">
        <v>533.59400000000005</v>
      </c>
      <c r="JH66">
        <v>394.2</v>
      </c>
      <c r="JI66">
        <v>24.223800000000001</v>
      </c>
      <c r="JJ66">
        <v>40.213700000000003</v>
      </c>
      <c r="JK66">
        <v>30.001000000000001</v>
      </c>
      <c r="JL66">
        <v>40.462499999999999</v>
      </c>
      <c r="JM66">
        <v>40.4527</v>
      </c>
      <c r="JN66">
        <v>19.220400000000001</v>
      </c>
      <c r="JO66">
        <v>82.080799999999996</v>
      </c>
      <c r="JP66">
        <v>0</v>
      </c>
      <c r="JQ66">
        <v>24.226099999999999</v>
      </c>
      <c r="JR66">
        <v>400</v>
      </c>
      <c r="JS66">
        <v>17.636800000000001</v>
      </c>
      <c r="JT66">
        <v>98.241</v>
      </c>
      <c r="JU66">
        <v>96.050200000000004</v>
      </c>
    </row>
    <row r="67" spans="1:281" x14ac:dyDescent="0.25">
      <c r="A67">
        <v>51</v>
      </c>
      <c r="B67">
        <v>1691172549</v>
      </c>
      <c r="C67">
        <v>11637.5</v>
      </c>
      <c r="D67" t="s">
        <v>675</v>
      </c>
      <c r="E67" t="s">
        <v>676</v>
      </c>
      <c r="F67" t="s">
        <v>413</v>
      </c>
      <c r="G67" t="s">
        <v>635</v>
      </c>
      <c r="H67" t="s">
        <v>636</v>
      </c>
      <c r="I67" t="s">
        <v>31</v>
      </c>
      <c r="J67">
        <v>1691172549</v>
      </c>
      <c r="K67">
        <f t="shared" si="46"/>
        <v>6.5283634336404227E-3</v>
      </c>
      <c r="L67">
        <f t="shared" si="47"/>
        <v>6.5283634336404228</v>
      </c>
      <c r="M67">
        <f t="shared" si="48"/>
        <v>50.031738697354868</v>
      </c>
      <c r="N67">
        <f t="shared" si="49"/>
        <v>337.18299999999999</v>
      </c>
      <c r="O67">
        <f t="shared" si="50"/>
        <v>119.0318594573383</v>
      </c>
      <c r="P67">
        <f t="shared" si="51"/>
        <v>11.806023809814587</v>
      </c>
      <c r="Q67">
        <f t="shared" si="52"/>
        <v>33.443067632590001</v>
      </c>
      <c r="R67">
        <f t="shared" si="53"/>
        <v>0.4025839017151368</v>
      </c>
      <c r="S67">
        <f t="shared" si="54"/>
        <v>2.9138627571131339</v>
      </c>
      <c r="T67">
        <f t="shared" si="55"/>
        <v>0.37404001763164946</v>
      </c>
      <c r="U67">
        <f t="shared" si="56"/>
        <v>0.23617069694147105</v>
      </c>
      <c r="V67">
        <f t="shared" si="57"/>
        <v>344.40009998680432</v>
      </c>
      <c r="W67">
        <f t="shared" si="58"/>
        <v>30.570602409630833</v>
      </c>
      <c r="X67">
        <f t="shared" si="59"/>
        <v>30.031700000000001</v>
      </c>
      <c r="Y67">
        <f t="shared" si="60"/>
        <v>4.2682134509233016</v>
      </c>
      <c r="Z67">
        <f t="shared" si="61"/>
        <v>60.134428997390735</v>
      </c>
      <c r="AA67">
        <f t="shared" si="62"/>
        <v>2.5970069495739998</v>
      </c>
      <c r="AB67">
        <f t="shared" si="63"/>
        <v>4.3186690102049283</v>
      </c>
      <c r="AC67">
        <f t="shared" si="64"/>
        <v>1.6712065013493018</v>
      </c>
      <c r="AD67">
        <f t="shared" si="65"/>
        <v>-287.90082742354264</v>
      </c>
      <c r="AE67">
        <f t="shared" si="66"/>
        <v>32.172476203311582</v>
      </c>
      <c r="AF67">
        <f t="shared" si="67"/>
        <v>2.4582782215490377</v>
      </c>
      <c r="AG67">
        <f t="shared" si="68"/>
        <v>91.130026988122324</v>
      </c>
      <c r="AH67">
        <v>0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51845.889495662217</v>
      </c>
      <c r="AM67" t="s">
        <v>414</v>
      </c>
      <c r="AN67">
        <v>10111.299999999999</v>
      </c>
      <c r="AO67">
        <v>608.58839999999998</v>
      </c>
      <c r="AP67">
        <v>2150.11</v>
      </c>
      <c r="AQ67">
        <f t="shared" si="72"/>
        <v>0.71695010952927984</v>
      </c>
      <c r="AR67">
        <v>-1.1786277417053079</v>
      </c>
      <c r="AS67" t="s">
        <v>677</v>
      </c>
      <c r="AT67">
        <v>8095.01</v>
      </c>
      <c r="AU67">
        <v>688.11961538461537</v>
      </c>
      <c r="AV67">
        <v>1077.2866186661081</v>
      </c>
      <c r="AW67">
        <f t="shared" si="73"/>
        <v>0.3612474122841679</v>
      </c>
      <c r="AX67">
        <v>0.5</v>
      </c>
      <c r="AY67">
        <f t="shared" si="74"/>
        <v>1513.2968999934023</v>
      </c>
      <c r="AZ67">
        <f t="shared" si="75"/>
        <v>50.031738697354868</v>
      </c>
      <c r="BA67">
        <f t="shared" si="76"/>
        <v>273.33729457013493</v>
      </c>
      <c r="BB67">
        <f t="shared" si="77"/>
        <v>3.3840263889580058E-2</v>
      </c>
      <c r="BC67">
        <f t="shared" si="78"/>
        <v>0.99585696391760403</v>
      </c>
      <c r="BD67">
        <f t="shared" si="79"/>
        <v>474.76341558647187</v>
      </c>
      <c r="BE67" t="s">
        <v>678</v>
      </c>
      <c r="BF67">
        <v>536.27</v>
      </c>
      <c r="BG67">
        <f t="shared" si="80"/>
        <v>536.27</v>
      </c>
      <c r="BH67">
        <f t="shared" si="81"/>
        <v>0.50220304354656586</v>
      </c>
      <c r="BI67">
        <f t="shared" si="82"/>
        <v>0.71932541414530859</v>
      </c>
      <c r="BJ67">
        <f t="shared" si="83"/>
        <v>0.6647644012627596</v>
      </c>
      <c r="BK67">
        <f t="shared" si="84"/>
        <v>0.83031466257551123</v>
      </c>
      <c r="BL67">
        <f t="shared" si="85"/>
        <v>0.69595092364186917</v>
      </c>
      <c r="BM67">
        <f t="shared" si="86"/>
        <v>0.5605895126650231</v>
      </c>
      <c r="BN67">
        <f t="shared" si="87"/>
        <v>0.4394104873349769</v>
      </c>
      <c r="BO67">
        <v>7075</v>
      </c>
      <c r="BP67">
        <v>290.00000000000011</v>
      </c>
      <c r="BQ67">
        <v>921.43</v>
      </c>
      <c r="BR67">
        <v>285</v>
      </c>
      <c r="BS67">
        <v>8095.01</v>
      </c>
      <c r="BT67">
        <v>922.84</v>
      </c>
      <c r="BU67">
        <v>-1.41</v>
      </c>
      <c r="BV67">
        <v>300.00000000000011</v>
      </c>
      <c r="BW67">
        <v>19.2</v>
      </c>
      <c r="BX67">
        <v>1077.2866186661081</v>
      </c>
      <c r="BY67">
        <v>2.779716911444833</v>
      </c>
      <c r="BZ67">
        <v>-125.0215454013864</v>
      </c>
      <c r="CA67">
        <v>2.0677691128050921</v>
      </c>
      <c r="CB67">
        <v>0.99239886142139855</v>
      </c>
      <c r="CC67">
        <v>-4.1708805339265879E-3</v>
      </c>
      <c r="CD67">
        <v>289.99999999999989</v>
      </c>
      <c r="CE67">
        <v>908.27</v>
      </c>
      <c r="CF67">
        <v>625</v>
      </c>
      <c r="CG67">
        <v>8090.54</v>
      </c>
      <c r="CH67">
        <v>922.76</v>
      </c>
      <c r="CI67">
        <v>-14.49</v>
      </c>
      <c r="CW67">
        <f t="shared" si="88"/>
        <v>1800.13</v>
      </c>
      <c r="CX67">
        <f t="shared" si="89"/>
        <v>1513.2968999934023</v>
      </c>
      <c r="CY67">
        <f t="shared" si="90"/>
        <v>0.84065978567847999</v>
      </c>
      <c r="CZ67">
        <f t="shared" si="91"/>
        <v>0.19131957135695993</v>
      </c>
      <c r="DA67">
        <v>6</v>
      </c>
      <c r="DB67">
        <v>0.5</v>
      </c>
      <c r="DC67" t="s">
        <v>417</v>
      </c>
      <c r="DD67">
        <v>2</v>
      </c>
      <c r="DE67">
        <v>1691172549</v>
      </c>
      <c r="DF67">
        <v>337.18299999999999</v>
      </c>
      <c r="DG67">
        <v>399.87400000000002</v>
      </c>
      <c r="DH67">
        <v>26.183800000000002</v>
      </c>
      <c r="DI67">
        <v>18.5535</v>
      </c>
      <c r="DJ67">
        <v>334.66300000000001</v>
      </c>
      <c r="DK67">
        <v>26.064299999999999</v>
      </c>
      <c r="DL67">
        <v>499.90899999999999</v>
      </c>
      <c r="DM67">
        <v>99.083699999999993</v>
      </c>
      <c r="DN67">
        <v>0.10002999999999999</v>
      </c>
      <c r="DO67">
        <v>30.236499999999999</v>
      </c>
      <c r="DP67">
        <v>30.031700000000001</v>
      </c>
      <c r="DQ67">
        <v>999.9</v>
      </c>
      <c r="DR67">
        <v>0</v>
      </c>
      <c r="DS67">
        <v>0</v>
      </c>
      <c r="DT67">
        <v>10002.5</v>
      </c>
      <c r="DU67">
        <v>0</v>
      </c>
      <c r="DV67">
        <v>1767.95</v>
      </c>
      <c r="DW67">
        <v>-62.690600000000003</v>
      </c>
      <c r="DX67">
        <v>346.24900000000002</v>
      </c>
      <c r="DY67">
        <v>407.43299999999999</v>
      </c>
      <c r="DZ67">
        <v>7.6303200000000002</v>
      </c>
      <c r="EA67">
        <v>399.87400000000002</v>
      </c>
      <c r="EB67">
        <v>18.5535</v>
      </c>
      <c r="EC67">
        <v>2.5943900000000002</v>
      </c>
      <c r="ED67">
        <v>1.8383499999999999</v>
      </c>
      <c r="EE67">
        <v>21.6311</v>
      </c>
      <c r="EF67">
        <v>16.116800000000001</v>
      </c>
      <c r="EG67">
        <v>1800.13</v>
      </c>
      <c r="EH67">
        <v>0.97800600000000004</v>
      </c>
      <c r="EI67">
        <v>2.1993800000000001E-2</v>
      </c>
      <c r="EJ67">
        <v>0</v>
      </c>
      <c r="EK67">
        <v>687.98500000000001</v>
      </c>
      <c r="EL67">
        <v>0.10001</v>
      </c>
      <c r="EM67">
        <v>17775.2</v>
      </c>
      <c r="EN67">
        <v>16354.7</v>
      </c>
      <c r="EO67">
        <v>47.811999999999998</v>
      </c>
      <c r="EP67">
        <v>50.436999999999998</v>
      </c>
      <c r="EQ67">
        <v>49.186999999999998</v>
      </c>
      <c r="ER67">
        <v>49.375</v>
      </c>
      <c r="ES67">
        <v>49.375</v>
      </c>
      <c r="ET67">
        <v>1760.44</v>
      </c>
      <c r="EU67">
        <v>39.590000000000003</v>
      </c>
      <c r="EV67">
        <v>0</v>
      </c>
      <c r="EW67">
        <v>153.80000019073489</v>
      </c>
      <c r="EX67">
        <v>0</v>
      </c>
      <c r="EY67">
        <v>688.11961538461537</v>
      </c>
      <c r="EZ67">
        <v>19.714871796481589</v>
      </c>
      <c r="FA67">
        <v>155.9008547189201</v>
      </c>
      <c r="FB67">
        <v>17759.58846153846</v>
      </c>
      <c r="FC67">
        <v>15</v>
      </c>
      <c r="FD67">
        <v>1691172463.5</v>
      </c>
      <c r="FE67" t="s">
        <v>679</v>
      </c>
      <c r="FF67">
        <v>1691172461.5</v>
      </c>
      <c r="FG67">
        <v>1691172463.5</v>
      </c>
      <c r="FH67">
        <v>55</v>
      </c>
      <c r="FI67">
        <v>-2.8000000000000001E-2</v>
      </c>
      <c r="FJ67">
        <v>0</v>
      </c>
      <c r="FK67">
        <v>2.6579999999999999</v>
      </c>
      <c r="FL67">
        <v>-1.6E-2</v>
      </c>
      <c r="FM67">
        <v>400</v>
      </c>
      <c r="FN67">
        <v>18</v>
      </c>
      <c r="FO67">
        <v>0.09</v>
      </c>
      <c r="FP67">
        <v>0.03</v>
      </c>
      <c r="FQ67">
        <v>50.07115965139149</v>
      </c>
      <c r="FR67">
        <v>0.66082790433198568</v>
      </c>
      <c r="FS67">
        <v>9.0286407369764218E-2</v>
      </c>
      <c r="FT67">
        <v>1</v>
      </c>
      <c r="FU67">
        <v>0.40475574207010739</v>
      </c>
      <c r="FV67">
        <v>5.1084781245769872E-3</v>
      </c>
      <c r="FW67">
        <v>8.4893111619895392E-4</v>
      </c>
      <c r="FX67">
        <v>1</v>
      </c>
      <c r="FY67">
        <v>2</v>
      </c>
      <c r="FZ67">
        <v>2</v>
      </c>
      <c r="GA67" t="s">
        <v>419</v>
      </c>
      <c r="GB67">
        <v>2.88131</v>
      </c>
      <c r="GC67">
        <v>2.82124</v>
      </c>
      <c r="GD67">
        <v>7.4983300000000003E-2</v>
      </c>
      <c r="GE67">
        <v>8.6703699999999995E-2</v>
      </c>
      <c r="GF67">
        <v>0.12088400000000001</v>
      </c>
      <c r="GG67">
        <v>9.5557299999999998E-2</v>
      </c>
      <c r="GH67">
        <v>28303.3</v>
      </c>
      <c r="GI67">
        <v>26065.599999999999</v>
      </c>
      <c r="GJ67">
        <v>28174.799999999999</v>
      </c>
      <c r="GK67">
        <v>26812.7</v>
      </c>
      <c r="GL67">
        <v>34961.199999999997</v>
      </c>
      <c r="GM67">
        <v>33884.800000000003</v>
      </c>
      <c r="GN67">
        <v>41453.5</v>
      </c>
      <c r="GO67">
        <v>38811.199999999997</v>
      </c>
      <c r="GP67">
        <v>1.9863999999999999</v>
      </c>
      <c r="GQ67">
        <v>1.6171</v>
      </c>
      <c r="GR67">
        <v>-7.1823600000000001E-2</v>
      </c>
      <c r="GS67">
        <v>0</v>
      </c>
      <c r="GT67">
        <v>31.199300000000001</v>
      </c>
      <c r="GU67">
        <v>999.9</v>
      </c>
      <c r="GV67">
        <v>43.3</v>
      </c>
      <c r="GW67">
        <v>48.9</v>
      </c>
      <c r="GX67">
        <v>51.364100000000001</v>
      </c>
      <c r="GY67">
        <v>62.683</v>
      </c>
      <c r="GZ67">
        <v>33.149000000000001</v>
      </c>
      <c r="HA67">
        <v>1</v>
      </c>
      <c r="HB67">
        <v>1.1359300000000001</v>
      </c>
      <c r="HC67">
        <v>5.59117</v>
      </c>
      <c r="HD67">
        <v>20.152200000000001</v>
      </c>
      <c r="HE67">
        <v>5.2107000000000001</v>
      </c>
      <c r="HF67">
        <v>12.004</v>
      </c>
      <c r="HG67">
        <v>4.9878</v>
      </c>
      <c r="HH67">
        <v>3.2909999999999999</v>
      </c>
      <c r="HI67">
        <v>9999</v>
      </c>
      <c r="HJ67">
        <v>9999</v>
      </c>
      <c r="HK67">
        <v>9999</v>
      </c>
      <c r="HL67">
        <v>999.9</v>
      </c>
      <c r="HM67">
        <v>1.8671800000000001</v>
      </c>
      <c r="HN67">
        <v>1.8672200000000001</v>
      </c>
      <c r="HO67">
        <v>1.8638600000000001</v>
      </c>
      <c r="HP67">
        <v>1.8650500000000001</v>
      </c>
      <c r="HQ67">
        <v>1.86449</v>
      </c>
      <c r="HR67">
        <v>1.8603499999999999</v>
      </c>
      <c r="HS67">
        <v>1.8635600000000001</v>
      </c>
      <c r="HT67">
        <v>1.86636</v>
      </c>
      <c r="HU67">
        <v>5</v>
      </c>
      <c r="HV67">
        <v>0</v>
      </c>
      <c r="HW67">
        <v>0</v>
      </c>
      <c r="HX67">
        <v>0</v>
      </c>
      <c r="HY67" t="s">
        <v>420</v>
      </c>
      <c r="HZ67" t="s">
        <v>421</v>
      </c>
      <c r="IA67" t="s">
        <v>422</v>
      </c>
      <c r="IB67" t="s">
        <v>422</v>
      </c>
      <c r="IC67" t="s">
        <v>422</v>
      </c>
      <c r="ID67" t="s">
        <v>422</v>
      </c>
      <c r="IE67">
        <v>0</v>
      </c>
      <c r="IF67">
        <v>100</v>
      </c>
      <c r="IG67">
        <v>100</v>
      </c>
      <c r="IH67">
        <v>2.52</v>
      </c>
      <c r="II67">
        <v>0.1195</v>
      </c>
      <c r="IJ67">
        <v>1.557239035944217</v>
      </c>
      <c r="IK67">
        <v>3.5576830062418229E-3</v>
      </c>
      <c r="IL67">
        <v>-2.2646740813029151E-6</v>
      </c>
      <c r="IM67">
        <v>6.9609298295988525E-10</v>
      </c>
      <c r="IN67">
        <v>-0.14482435143431219</v>
      </c>
      <c r="IO67">
        <v>-9.4437069492282083E-4</v>
      </c>
      <c r="IP67">
        <v>5.2900373165634467E-4</v>
      </c>
      <c r="IQ67">
        <v>-3.977656803091445E-6</v>
      </c>
      <c r="IR67">
        <v>2</v>
      </c>
      <c r="IS67">
        <v>1759</v>
      </c>
      <c r="IT67">
        <v>2</v>
      </c>
      <c r="IU67">
        <v>42</v>
      </c>
      <c r="IV67">
        <v>1.5</v>
      </c>
      <c r="IW67">
        <v>1.4</v>
      </c>
      <c r="IX67">
        <v>0.94848600000000005</v>
      </c>
      <c r="IY67">
        <v>2.4450699999999999</v>
      </c>
      <c r="IZ67">
        <v>1.54297</v>
      </c>
      <c r="JA67">
        <v>2.3046899999999999</v>
      </c>
      <c r="JB67">
        <v>1.5466299999999999</v>
      </c>
      <c r="JC67">
        <v>2.4316399999999998</v>
      </c>
      <c r="JD67">
        <v>53.206699999999998</v>
      </c>
      <c r="JE67">
        <v>23.9999</v>
      </c>
      <c r="JF67">
        <v>18</v>
      </c>
      <c r="JG67">
        <v>533.49</v>
      </c>
      <c r="JH67">
        <v>393.31900000000002</v>
      </c>
      <c r="JI67">
        <v>24.130800000000001</v>
      </c>
      <c r="JJ67">
        <v>40.424799999999998</v>
      </c>
      <c r="JK67">
        <v>30.0014</v>
      </c>
      <c r="JL67">
        <v>40.667000000000002</v>
      </c>
      <c r="JM67">
        <v>40.660400000000003</v>
      </c>
      <c r="JN67">
        <v>19.117699999999999</v>
      </c>
      <c r="JO67">
        <v>81.299099999999996</v>
      </c>
      <c r="JP67">
        <v>0</v>
      </c>
      <c r="JQ67">
        <v>24.093499999999999</v>
      </c>
      <c r="JR67">
        <v>400</v>
      </c>
      <c r="JS67">
        <v>18.4251</v>
      </c>
      <c r="JT67">
        <v>98.215500000000006</v>
      </c>
      <c r="JU67">
        <v>96.020200000000003</v>
      </c>
    </row>
    <row r="68" spans="1:281" x14ac:dyDescent="0.25">
      <c r="A68">
        <v>52</v>
      </c>
      <c r="B68">
        <v>1691172648.5</v>
      </c>
      <c r="C68">
        <v>11737</v>
      </c>
      <c r="D68" t="s">
        <v>680</v>
      </c>
      <c r="E68" t="s">
        <v>681</v>
      </c>
      <c r="F68" t="s">
        <v>413</v>
      </c>
      <c r="G68" t="s">
        <v>635</v>
      </c>
      <c r="H68" t="s">
        <v>636</v>
      </c>
      <c r="I68" t="s">
        <v>31</v>
      </c>
      <c r="J68">
        <v>1691172648.5</v>
      </c>
      <c r="K68">
        <f t="shared" si="46"/>
        <v>6.113245375283221E-3</v>
      </c>
      <c r="L68">
        <f t="shared" si="47"/>
        <v>6.1132453752832205</v>
      </c>
      <c r="M68">
        <f t="shared" si="48"/>
        <v>54.43611254283411</v>
      </c>
      <c r="N68">
        <f t="shared" si="49"/>
        <v>431.45</v>
      </c>
      <c r="O68">
        <f t="shared" si="50"/>
        <v>173.50610808392514</v>
      </c>
      <c r="P68">
        <f t="shared" si="51"/>
        <v>17.210100148675579</v>
      </c>
      <c r="Q68">
        <f t="shared" si="52"/>
        <v>42.795598328759993</v>
      </c>
      <c r="R68">
        <f t="shared" si="53"/>
        <v>0.3701329565225091</v>
      </c>
      <c r="S68">
        <f t="shared" si="54"/>
        <v>2.9135420420176539</v>
      </c>
      <c r="T68">
        <f t="shared" si="55"/>
        <v>0.34585402753784655</v>
      </c>
      <c r="U68">
        <f t="shared" si="56"/>
        <v>0.21820728023342334</v>
      </c>
      <c r="V68">
        <f t="shared" si="57"/>
        <v>344.40389998680445</v>
      </c>
      <c r="W68">
        <f t="shared" si="58"/>
        <v>30.630539919650555</v>
      </c>
      <c r="X68">
        <f t="shared" si="59"/>
        <v>30.002700000000001</v>
      </c>
      <c r="Y68">
        <f t="shared" si="60"/>
        <v>4.2611105522817798</v>
      </c>
      <c r="Z68">
        <f t="shared" si="61"/>
        <v>59.63273781726275</v>
      </c>
      <c r="AA68">
        <f t="shared" si="62"/>
        <v>2.56820209351896</v>
      </c>
      <c r="AB68">
        <f t="shared" si="63"/>
        <v>4.3066982793728208</v>
      </c>
      <c r="AC68">
        <f t="shared" si="64"/>
        <v>1.6929084587628198</v>
      </c>
      <c r="AD68">
        <f t="shared" si="65"/>
        <v>-269.59412104999006</v>
      </c>
      <c r="AE68">
        <f t="shared" si="66"/>
        <v>29.121682486739676</v>
      </c>
      <c r="AF68">
        <f t="shared" si="67"/>
        <v>2.2245617080934026</v>
      </c>
      <c r="AG68">
        <f t="shared" si="68"/>
        <v>106.15602313164746</v>
      </c>
      <c r="AH68">
        <v>0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51845.18895529642</v>
      </c>
      <c r="AM68" t="s">
        <v>414</v>
      </c>
      <c r="AN68">
        <v>10111.299999999999</v>
      </c>
      <c r="AO68">
        <v>608.58839999999998</v>
      </c>
      <c r="AP68">
        <v>2150.11</v>
      </c>
      <c r="AQ68">
        <f t="shared" si="72"/>
        <v>0.71695010952927984</v>
      </c>
      <c r="AR68">
        <v>-1.1786277417053079</v>
      </c>
      <c r="AS68" t="s">
        <v>682</v>
      </c>
      <c r="AT68">
        <v>8095.21</v>
      </c>
      <c r="AU68">
        <v>711.84442307692302</v>
      </c>
      <c r="AV68">
        <v>1132.204324963008</v>
      </c>
      <c r="AW68">
        <f t="shared" si="73"/>
        <v>0.37127565459513612</v>
      </c>
      <c r="AX68">
        <v>0.5</v>
      </c>
      <c r="AY68">
        <f t="shared" si="74"/>
        <v>1513.3136999934022</v>
      </c>
      <c r="AZ68">
        <f t="shared" si="75"/>
        <v>54.43611254283411</v>
      </c>
      <c r="BA68">
        <f t="shared" si="76"/>
        <v>280.92826728641893</v>
      </c>
      <c r="BB68">
        <f t="shared" si="77"/>
        <v>3.6750305164607894E-2</v>
      </c>
      <c r="BC68">
        <f t="shared" si="78"/>
        <v>0.89904768299683857</v>
      </c>
      <c r="BD68">
        <f t="shared" si="79"/>
        <v>485.13380583615219</v>
      </c>
      <c r="BE68" t="s">
        <v>683</v>
      </c>
      <c r="BF68">
        <v>544.41</v>
      </c>
      <c r="BG68">
        <f t="shared" si="80"/>
        <v>544.41</v>
      </c>
      <c r="BH68">
        <f t="shared" si="81"/>
        <v>0.51915922948113868</v>
      </c>
      <c r="BI68">
        <f t="shared" si="82"/>
        <v>0.71514794211825661</v>
      </c>
      <c r="BJ68">
        <f t="shared" si="83"/>
        <v>0.63393266179049135</v>
      </c>
      <c r="BK68">
        <f t="shared" si="84"/>
        <v>0.80280198108142375</v>
      </c>
      <c r="BL68">
        <f t="shared" si="85"/>
        <v>0.66032527538828656</v>
      </c>
      <c r="BM68">
        <f t="shared" si="86"/>
        <v>0.54693649138349443</v>
      </c>
      <c r="BN68">
        <f t="shared" si="87"/>
        <v>0.45306350861650557</v>
      </c>
      <c r="BO68">
        <v>7077</v>
      </c>
      <c r="BP68">
        <v>290.00000000000011</v>
      </c>
      <c r="BQ68">
        <v>978.38</v>
      </c>
      <c r="BR68">
        <v>295</v>
      </c>
      <c r="BS68">
        <v>8095.21</v>
      </c>
      <c r="BT68">
        <v>980.26</v>
      </c>
      <c r="BU68">
        <v>-1.88</v>
      </c>
      <c r="BV68">
        <v>300.00000000000011</v>
      </c>
      <c r="BW68">
        <v>19.2</v>
      </c>
      <c r="BX68">
        <v>1132.204324963008</v>
      </c>
      <c r="BY68">
        <v>4.0856157223541736</v>
      </c>
      <c r="BZ68">
        <v>-122.99949148324581</v>
      </c>
      <c r="CA68">
        <v>3.0392809851789511</v>
      </c>
      <c r="CB68">
        <v>0.98319141391655662</v>
      </c>
      <c r="CC68">
        <v>-4.1710513904338149E-3</v>
      </c>
      <c r="CD68">
        <v>289.99999999999989</v>
      </c>
      <c r="CE68">
        <v>968.8</v>
      </c>
      <c r="CF68">
        <v>665</v>
      </c>
      <c r="CG68">
        <v>8089.91</v>
      </c>
      <c r="CH68">
        <v>980.16</v>
      </c>
      <c r="CI68">
        <v>-11.36</v>
      </c>
      <c r="CW68">
        <f t="shared" si="88"/>
        <v>1800.15</v>
      </c>
      <c r="CX68">
        <f t="shared" si="89"/>
        <v>1513.3136999934022</v>
      </c>
      <c r="CY68">
        <f t="shared" si="90"/>
        <v>0.84065977834813888</v>
      </c>
      <c r="CZ68">
        <f t="shared" si="91"/>
        <v>0.19131955669627776</v>
      </c>
      <c r="DA68">
        <v>6</v>
      </c>
      <c r="DB68">
        <v>0.5</v>
      </c>
      <c r="DC68" t="s">
        <v>417</v>
      </c>
      <c r="DD68">
        <v>2</v>
      </c>
      <c r="DE68">
        <v>1691172648.5</v>
      </c>
      <c r="DF68">
        <v>431.45</v>
      </c>
      <c r="DG68">
        <v>499.95800000000003</v>
      </c>
      <c r="DH68">
        <v>25.8917</v>
      </c>
      <c r="DI68">
        <v>18.7437</v>
      </c>
      <c r="DJ68">
        <v>428.57799999999997</v>
      </c>
      <c r="DK68">
        <v>25.895700000000001</v>
      </c>
      <c r="DL68">
        <v>499.85700000000003</v>
      </c>
      <c r="DM68">
        <v>99.090299999999999</v>
      </c>
      <c r="DN68">
        <v>9.9868799999999994E-2</v>
      </c>
      <c r="DO68">
        <v>30.188099999999999</v>
      </c>
      <c r="DP68">
        <v>30.002700000000001</v>
      </c>
      <c r="DQ68">
        <v>999.9</v>
      </c>
      <c r="DR68">
        <v>0</v>
      </c>
      <c r="DS68">
        <v>0</v>
      </c>
      <c r="DT68">
        <v>10000</v>
      </c>
      <c r="DU68">
        <v>0</v>
      </c>
      <c r="DV68">
        <v>1737.3</v>
      </c>
      <c r="DW68">
        <v>-68.659400000000005</v>
      </c>
      <c r="DX68">
        <v>442.81700000000001</v>
      </c>
      <c r="DY68">
        <v>509.50799999999998</v>
      </c>
      <c r="DZ68">
        <v>7.2684199999999999</v>
      </c>
      <c r="EA68">
        <v>499.95800000000003</v>
      </c>
      <c r="EB68">
        <v>18.7437</v>
      </c>
      <c r="EC68">
        <v>2.57755</v>
      </c>
      <c r="ED68">
        <v>1.8573200000000001</v>
      </c>
      <c r="EE68">
        <v>21.5246</v>
      </c>
      <c r="EF68">
        <v>16.277699999999999</v>
      </c>
      <c r="EG68">
        <v>1800.15</v>
      </c>
      <c r="EH68">
        <v>0.97800600000000004</v>
      </c>
      <c r="EI68">
        <v>2.1993800000000001E-2</v>
      </c>
      <c r="EJ68">
        <v>0</v>
      </c>
      <c r="EK68">
        <v>713.56</v>
      </c>
      <c r="EL68">
        <v>0.10001</v>
      </c>
      <c r="EM68">
        <v>18076.099999999999</v>
      </c>
      <c r="EN68">
        <v>16354.9</v>
      </c>
      <c r="EO68">
        <v>47.811999999999998</v>
      </c>
      <c r="EP68">
        <v>50.436999999999998</v>
      </c>
      <c r="EQ68">
        <v>49.25</v>
      </c>
      <c r="ER68">
        <v>49.436999999999998</v>
      </c>
      <c r="ES68">
        <v>49.436999999999998</v>
      </c>
      <c r="ET68">
        <v>1760.46</v>
      </c>
      <c r="EU68">
        <v>39.590000000000003</v>
      </c>
      <c r="EV68">
        <v>0</v>
      </c>
      <c r="EW68">
        <v>97.200000047683716</v>
      </c>
      <c r="EX68">
        <v>0</v>
      </c>
      <c r="EY68">
        <v>711.84442307692302</v>
      </c>
      <c r="EZ68">
        <v>2.5379486530866981</v>
      </c>
      <c r="FA68">
        <v>-216.91965743841189</v>
      </c>
      <c r="FB68">
        <v>18160.711538461539</v>
      </c>
      <c r="FC68">
        <v>15</v>
      </c>
      <c r="FD68">
        <v>1691172682.5</v>
      </c>
      <c r="FE68" t="s">
        <v>684</v>
      </c>
      <c r="FF68">
        <v>1691172682.5</v>
      </c>
      <c r="FG68">
        <v>1691172675</v>
      </c>
      <c r="FH68">
        <v>56</v>
      </c>
      <c r="FI68">
        <v>0.02</v>
      </c>
      <c r="FJ68">
        <v>-2E-3</v>
      </c>
      <c r="FK68">
        <v>2.8719999999999999</v>
      </c>
      <c r="FL68">
        <v>-4.0000000000000001E-3</v>
      </c>
      <c r="FM68">
        <v>500</v>
      </c>
      <c r="FN68">
        <v>19</v>
      </c>
      <c r="FO68">
        <v>0.11</v>
      </c>
      <c r="FP68">
        <v>0.02</v>
      </c>
      <c r="FQ68">
        <v>54.528907706596783</v>
      </c>
      <c r="FR68">
        <v>-0.194229403568175</v>
      </c>
      <c r="FS68">
        <v>9.5135426835038658E-2</v>
      </c>
      <c r="FT68">
        <v>1</v>
      </c>
      <c r="FU68">
        <v>0.38128794438322638</v>
      </c>
      <c r="FV68">
        <v>-1.536475718349955E-2</v>
      </c>
      <c r="FW68">
        <v>1.18412292173263E-3</v>
      </c>
      <c r="FX68">
        <v>1</v>
      </c>
      <c r="FY68">
        <v>2</v>
      </c>
      <c r="FZ68">
        <v>2</v>
      </c>
      <c r="GA68" t="s">
        <v>419</v>
      </c>
      <c r="GB68">
        <v>2.8809499999999999</v>
      </c>
      <c r="GC68">
        <v>2.8210600000000001</v>
      </c>
      <c r="GD68">
        <v>9.0962600000000005E-2</v>
      </c>
      <c r="GE68">
        <v>0.10255300000000001</v>
      </c>
      <c r="GF68">
        <v>0.120312</v>
      </c>
      <c r="GG68">
        <v>9.6226900000000004E-2</v>
      </c>
      <c r="GH68">
        <v>27807.7</v>
      </c>
      <c r="GI68">
        <v>25605.5</v>
      </c>
      <c r="GJ68">
        <v>28168.2</v>
      </c>
      <c r="GK68">
        <v>26804.9</v>
      </c>
      <c r="GL68">
        <v>34976.5</v>
      </c>
      <c r="GM68">
        <v>33851</v>
      </c>
      <c r="GN68">
        <v>41444</v>
      </c>
      <c r="GO68">
        <v>38800.6</v>
      </c>
      <c r="GP68">
        <v>1.9844999999999999</v>
      </c>
      <c r="GQ68">
        <v>1.6145</v>
      </c>
      <c r="GR68">
        <v>-6.6041900000000001E-2</v>
      </c>
      <c r="GS68">
        <v>0</v>
      </c>
      <c r="GT68">
        <v>31.076499999999999</v>
      </c>
      <c r="GU68">
        <v>999.9</v>
      </c>
      <c r="GV68">
        <v>43</v>
      </c>
      <c r="GW68">
        <v>49.2</v>
      </c>
      <c r="GX68">
        <v>51.779499999999999</v>
      </c>
      <c r="GY68">
        <v>62.743000000000002</v>
      </c>
      <c r="GZ68">
        <v>33.137</v>
      </c>
      <c r="HA68">
        <v>1</v>
      </c>
      <c r="HB68">
        <v>1.1524099999999999</v>
      </c>
      <c r="HC68">
        <v>5.8780000000000001</v>
      </c>
      <c r="HD68">
        <v>20.141999999999999</v>
      </c>
      <c r="HE68">
        <v>5.2100999999999997</v>
      </c>
      <c r="HF68">
        <v>12.004</v>
      </c>
      <c r="HG68">
        <v>4.9874000000000001</v>
      </c>
      <c r="HH68">
        <v>3.2909999999999999</v>
      </c>
      <c r="HI68">
        <v>9999</v>
      </c>
      <c r="HJ68">
        <v>9999</v>
      </c>
      <c r="HK68">
        <v>9999</v>
      </c>
      <c r="HL68">
        <v>999.9</v>
      </c>
      <c r="HM68">
        <v>1.8672200000000001</v>
      </c>
      <c r="HN68">
        <v>1.8672299999999999</v>
      </c>
      <c r="HO68">
        <v>1.86392</v>
      </c>
      <c r="HP68">
        <v>1.8650800000000001</v>
      </c>
      <c r="HQ68">
        <v>1.86453</v>
      </c>
      <c r="HR68">
        <v>1.8603499999999999</v>
      </c>
      <c r="HS68">
        <v>1.8635600000000001</v>
      </c>
      <c r="HT68">
        <v>1.86643</v>
      </c>
      <c r="HU68">
        <v>5</v>
      </c>
      <c r="HV68">
        <v>0</v>
      </c>
      <c r="HW68">
        <v>0</v>
      </c>
      <c r="HX68">
        <v>0</v>
      </c>
      <c r="HY68" t="s">
        <v>420</v>
      </c>
      <c r="HZ68" t="s">
        <v>421</v>
      </c>
      <c r="IA68" t="s">
        <v>422</v>
      </c>
      <c r="IB68" t="s">
        <v>422</v>
      </c>
      <c r="IC68" t="s">
        <v>422</v>
      </c>
      <c r="ID68" t="s">
        <v>422</v>
      </c>
      <c r="IE68">
        <v>0</v>
      </c>
      <c r="IF68">
        <v>100</v>
      </c>
      <c r="IG68">
        <v>100</v>
      </c>
      <c r="IH68">
        <v>2.8719999999999999</v>
      </c>
      <c r="II68">
        <v>-4.0000000000000001E-3</v>
      </c>
      <c r="IJ68">
        <v>1.557239035944217</v>
      </c>
      <c r="IK68">
        <v>3.5576830062418229E-3</v>
      </c>
      <c r="IL68">
        <v>-2.2646740813029151E-6</v>
      </c>
      <c r="IM68">
        <v>6.9609298295988525E-10</v>
      </c>
      <c r="IN68">
        <v>-0.14482435143431219</v>
      </c>
      <c r="IO68">
        <v>-9.4437069492282083E-4</v>
      </c>
      <c r="IP68">
        <v>5.2900373165634467E-4</v>
      </c>
      <c r="IQ68">
        <v>-3.977656803091445E-6</v>
      </c>
      <c r="IR68">
        <v>2</v>
      </c>
      <c r="IS68">
        <v>1759</v>
      </c>
      <c r="IT68">
        <v>2</v>
      </c>
      <c r="IU68">
        <v>42</v>
      </c>
      <c r="IV68">
        <v>3.1</v>
      </c>
      <c r="IW68">
        <v>3.1</v>
      </c>
      <c r="IX68">
        <v>1.1498999999999999</v>
      </c>
      <c r="IY68">
        <v>2.4609399999999999</v>
      </c>
      <c r="IZ68">
        <v>1.54297</v>
      </c>
      <c r="JA68">
        <v>2.3046899999999999</v>
      </c>
      <c r="JB68">
        <v>1.5466299999999999</v>
      </c>
      <c r="JC68">
        <v>2.4328599999999998</v>
      </c>
      <c r="JD68">
        <v>53.417299999999997</v>
      </c>
      <c r="JE68">
        <v>23.9999</v>
      </c>
      <c r="JF68">
        <v>18</v>
      </c>
      <c r="JG68">
        <v>533.23800000000006</v>
      </c>
      <c r="JH68">
        <v>392.44600000000003</v>
      </c>
      <c r="JI68">
        <v>23.9483</v>
      </c>
      <c r="JJ68">
        <v>40.547600000000003</v>
      </c>
      <c r="JK68">
        <v>30.000399999999999</v>
      </c>
      <c r="JL68">
        <v>40.799999999999997</v>
      </c>
      <c r="JM68">
        <v>40.792999999999999</v>
      </c>
      <c r="JN68">
        <v>23.131</v>
      </c>
      <c r="JO68">
        <v>81.884500000000003</v>
      </c>
      <c r="JP68">
        <v>0</v>
      </c>
      <c r="JQ68">
        <v>23.9543</v>
      </c>
      <c r="JR68">
        <v>500</v>
      </c>
      <c r="JS68">
        <v>18.63</v>
      </c>
      <c r="JT68">
        <v>98.192700000000002</v>
      </c>
      <c r="JU68">
        <v>95.993399999999994</v>
      </c>
    </row>
    <row r="69" spans="1:281" x14ac:dyDescent="0.25">
      <c r="A69">
        <v>53</v>
      </c>
      <c r="B69">
        <v>1691172807.5</v>
      </c>
      <c r="C69">
        <v>11896</v>
      </c>
      <c r="D69" t="s">
        <v>685</v>
      </c>
      <c r="E69" t="s">
        <v>686</v>
      </c>
      <c r="F69" t="s">
        <v>413</v>
      </c>
      <c r="G69" t="s">
        <v>635</v>
      </c>
      <c r="H69" t="s">
        <v>636</v>
      </c>
      <c r="I69" t="s">
        <v>31</v>
      </c>
      <c r="J69">
        <v>1691172807.5</v>
      </c>
      <c r="K69">
        <f t="shared" si="46"/>
        <v>5.4884753633508074E-3</v>
      </c>
      <c r="L69">
        <f t="shared" si="47"/>
        <v>5.4884753633508074</v>
      </c>
      <c r="M69">
        <f t="shared" si="48"/>
        <v>55.931012285519358</v>
      </c>
      <c r="N69">
        <f t="shared" si="49"/>
        <v>628.678</v>
      </c>
      <c r="O69">
        <f t="shared" si="50"/>
        <v>330.17412750566859</v>
      </c>
      <c r="P69">
        <f t="shared" si="51"/>
        <v>32.749904847026443</v>
      </c>
      <c r="Q69">
        <f t="shared" si="52"/>
        <v>62.358443512704994</v>
      </c>
      <c r="R69">
        <f t="shared" si="53"/>
        <v>0.3306931785759491</v>
      </c>
      <c r="S69">
        <f t="shared" si="54"/>
        <v>2.927926409641231</v>
      </c>
      <c r="T69">
        <f t="shared" si="55"/>
        <v>0.31125615774873722</v>
      </c>
      <c r="U69">
        <f t="shared" si="56"/>
        <v>0.19618616648293946</v>
      </c>
      <c r="V69">
        <f t="shared" si="57"/>
        <v>344.36779998680305</v>
      </c>
      <c r="W69">
        <f t="shared" si="58"/>
        <v>30.63347981375971</v>
      </c>
      <c r="X69">
        <f t="shared" si="59"/>
        <v>29.997699999999998</v>
      </c>
      <c r="Y69">
        <f t="shared" si="60"/>
        <v>4.2598869563131503</v>
      </c>
      <c r="Z69">
        <f t="shared" si="61"/>
        <v>60.240013013639349</v>
      </c>
      <c r="AA69">
        <f t="shared" si="62"/>
        <v>2.5710689840582499</v>
      </c>
      <c r="AB69">
        <f t="shared" si="63"/>
        <v>4.268041880196999</v>
      </c>
      <c r="AC69">
        <f t="shared" si="64"/>
        <v>1.6888179722549004</v>
      </c>
      <c r="AD69">
        <f t="shared" si="65"/>
        <v>-242.04176352377061</v>
      </c>
      <c r="AE69">
        <f t="shared" si="66"/>
        <v>5.2564172742661359</v>
      </c>
      <c r="AF69">
        <f t="shared" si="67"/>
        <v>0.39923671572092084</v>
      </c>
      <c r="AG69">
        <f t="shared" si="68"/>
        <v>107.9816904530195</v>
      </c>
      <c r="AH69">
        <v>0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52281.868356290419</v>
      </c>
      <c r="AM69" t="s">
        <v>414</v>
      </c>
      <c r="AN69">
        <v>10111.299999999999</v>
      </c>
      <c r="AO69">
        <v>608.58839999999998</v>
      </c>
      <c r="AP69">
        <v>2150.11</v>
      </c>
      <c r="AQ69">
        <f t="shared" si="72"/>
        <v>0.71695010952927984</v>
      </c>
      <c r="AR69">
        <v>-1.1786277417053079</v>
      </c>
      <c r="AS69" t="s">
        <v>687</v>
      </c>
      <c r="AT69">
        <v>8095.39</v>
      </c>
      <c r="AU69">
        <v>719.0139999999999</v>
      </c>
      <c r="AV69">
        <v>1156.2714052084721</v>
      </c>
      <c r="AW69">
        <f t="shared" si="73"/>
        <v>0.37816156590816674</v>
      </c>
      <c r="AX69">
        <v>0.5</v>
      </c>
      <c r="AY69">
        <f t="shared" si="74"/>
        <v>1513.1540999934018</v>
      </c>
      <c r="AZ69">
        <f t="shared" si="75"/>
        <v>55.931012285519358</v>
      </c>
      <c r="BA69">
        <f t="shared" si="76"/>
        <v>286.10836195693378</v>
      </c>
      <c r="BB69">
        <f t="shared" si="77"/>
        <v>3.7742117625345427E-2</v>
      </c>
      <c r="BC69">
        <f t="shared" si="78"/>
        <v>0.85952017001781877</v>
      </c>
      <c r="BD69">
        <f t="shared" si="79"/>
        <v>489.49949283985603</v>
      </c>
      <c r="BE69" t="s">
        <v>688</v>
      </c>
      <c r="BF69">
        <v>548.77</v>
      </c>
      <c r="BG69">
        <f t="shared" si="80"/>
        <v>548.77</v>
      </c>
      <c r="BH69">
        <f t="shared" si="81"/>
        <v>0.52539689425160652</v>
      </c>
      <c r="BI69">
        <f t="shared" si="82"/>
        <v>0.71976361117785648</v>
      </c>
      <c r="BJ69">
        <f t="shared" si="83"/>
        <v>0.62062934466854502</v>
      </c>
      <c r="BK69">
        <f t="shared" si="84"/>
        <v>0.79837680017482537</v>
      </c>
      <c r="BL69">
        <f t="shared" si="85"/>
        <v>0.64471272721156037</v>
      </c>
      <c r="BM69">
        <f t="shared" si="86"/>
        <v>0.54934212255404258</v>
      </c>
      <c r="BN69">
        <f t="shared" si="87"/>
        <v>0.45065787744595742</v>
      </c>
      <c r="BO69">
        <v>7079</v>
      </c>
      <c r="BP69">
        <v>290.00000000000011</v>
      </c>
      <c r="BQ69">
        <v>1001.03</v>
      </c>
      <c r="BR69">
        <v>295</v>
      </c>
      <c r="BS69">
        <v>8095.39</v>
      </c>
      <c r="BT69">
        <v>1002.28</v>
      </c>
      <c r="BU69">
        <v>-1.25</v>
      </c>
      <c r="BV69">
        <v>300.00000000000011</v>
      </c>
      <c r="BW69">
        <v>19.2</v>
      </c>
      <c r="BX69">
        <v>1156.2714052084721</v>
      </c>
      <c r="BY69">
        <v>3.7709310555290458</v>
      </c>
      <c r="BZ69">
        <v>-124.662773298597</v>
      </c>
      <c r="CA69">
        <v>2.8052537404372808</v>
      </c>
      <c r="CB69">
        <v>0.98601976778984424</v>
      </c>
      <c r="CC69">
        <v>-4.1710956618465052E-3</v>
      </c>
      <c r="CD69">
        <v>289.99999999999989</v>
      </c>
      <c r="CE69">
        <v>992.47</v>
      </c>
      <c r="CF69">
        <v>645</v>
      </c>
      <c r="CG69">
        <v>8090.53</v>
      </c>
      <c r="CH69">
        <v>1002.19</v>
      </c>
      <c r="CI69">
        <v>-9.7200000000000006</v>
      </c>
      <c r="CW69">
        <f t="shared" si="88"/>
        <v>1799.96</v>
      </c>
      <c r="CX69">
        <f t="shared" si="89"/>
        <v>1513.1540999934018</v>
      </c>
      <c r="CY69">
        <f t="shared" si="90"/>
        <v>0.84065984799295634</v>
      </c>
      <c r="CZ69">
        <f t="shared" si="91"/>
        <v>0.1913196959859125</v>
      </c>
      <c r="DA69">
        <v>6</v>
      </c>
      <c r="DB69">
        <v>0.5</v>
      </c>
      <c r="DC69" t="s">
        <v>417</v>
      </c>
      <c r="DD69">
        <v>2</v>
      </c>
      <c r="DE69">
        <v>1691172807.5</v>
      </c>
      <c r="DF69">
        <v>628.678</v>
      </c>
      <c r="DG69">
        <v>699.91300000000001</v>
      </c>
      <c r="DH69">
        <v>25.9207</v>
      </c>
      <c r="DI69">
        <v>19.507300000000001</v>
      </c>
      <c r="DJ69">
        <v>625.173</v>
      </c>
      <c r="DK69">
        <v>25.810500000000001</v>
      </c>
      <c r="DL69">
        <v>500.16</v>
      </c>
      <c r="DM69">
        <v>99.09</v>
      </c>
      <c r="DN69">
        <v>9.9797499999999997E-2</v>
      </c>
      <c r="DO69">
        <v>30.030999999999999</v>
      </c>
      <c r="DP69">
        <v>29.997699999999998</v>
      </c>
      <c r="DQ69">
        <v>999.9</v>
      </c>
      <c r="DR69">
        <v>0</v>
      </c>
      <c r="DS69">
        <v>0</v>
      </c>
      <c r="DT69">
        <v>10082.5</v>
      </c>
      <c r="DU69">
        <v>0</v>
      </c>
      <c r="DV69">
        <v>1769.61</v>
      </c>
      <c r="DW69">
        <v>-71.235100000000003</v>
      </c>
      <c r="DX69">
        <v>645.40700000000004</v>
      </c>
      <c r="DY69">
        <v>713.83799999999997</v>
      </c>
      <c r="DZ69">
        <v>6.4133500000000003</v>
      </c>
      <c r="EA69">
        <v>699.91300000000001</v>
      </c>
      <c r="EB69">
        <v>19.507300000000001</v>
      </c>
      <c r="EC69">
        <v>2.5684800000000001</v>
      </c>
      <c r="ED69">
        <v>1.9329799999999999</v>
      </c>
      <c r="EE69">
        <v>21.467099999999999</v>
      </c>
      <c r="EF69">
        <v>16.905799999999999</v>
      </c>
      <c r="EG69">
        <v>1799.96</v>
      </c>
      <c r="EH69">
        <v>0.97800600000000004</v>
      </c>
      <c r="EI69">
        <v>2.1994400000000001E-2</v>
      </c>
      <c r="EJ69">
        <v>0</v>
      </c>
      <c r="EK69">
        <v>723.76</v>
      </c>
      <c r="EL69">
        <v>0.10001</v>
      </c>
      <c r="EM69">
        <v>18331</v>
      </c>
      <c r="EN69">
        <v>16353.2</v>
      </c>
      <c r="EO69">
        <v>47.75</v>
      </c>
      <c r="EP69">
        <v>50.311999999999998</v>
      </c>
      <c r="EQ69">
        <v>49.125</v>
      </c>
      <c r="ER69">
        <v>49.311999999999998</v>
      </c>
      <c r="ES69">
        <v>49.311999999999998</v>
      </c>
      <c r="ET69">
        <v>1760.27</v>
      </c>
      <c r="EU69">
        <v>39.590000000000003</v>
      </c>
      <c r="EV69">
        <v>0</v>
      </c>
      <c r="EW69">
        <v>156.60000014305109</v>
      </c>
      <c r="EX69">
        <v>0</v>
      </c>
      <c r="EY69">
        <v>719.0139999999999</v>
      </c>
      <c r="EZ69">
        <v>4.9703845149423707</v>
      </c>
      <c r="FA69">
        <v>-101.86923090003209</v>
      </c>
      <c r="FB69">
        <v>18355.455999999998</v>
      </c>
      <c r="FC69">
        <v>15</v>
      </c>
      <c r="FD69">
        <v>1691172773.5</v>
      </c>
      <c r="FE69" t="s">
        <v>689</v>
      </c>
      <c r="FF69">
        <v>1691172773.5</v>
      </c>
      <c r="FG69">
        <v>1691172768</v>
      </c>
      <c r="FH69">
        <v>57</v>
      </c>
      <c r="FI69">
        <v>0.41799999999999998</v>
      </c>
      <c r="FJ69">
        <v>-3.0000000000000001E-3</v>
      </c>
      <c r="FK69">
        <v>3.61</v>
      </c>
      <c r="FL69">
        <v>1E-3</v>
      </c>
      <c r="FM69">
        <v>700</v>
      </c>
      <c r="FN69">
        <v>19</v>
      </c>
      <c r="FO69">
        <v>0.17</v>
      </c>
      <c r="FP69">
        <v>0.03</v>
      </c>
      <c r="FQ69">
        <v>56.087312911802883</v>
      </c>
      <c r="FR69">
        <v>0.44248913958068398</v>
      </c>
      <c r="FS69">
        <v>0.11419484309062169</v>
      </c>
      <c r="FT69">
        <v>1</v>
      </c>
      <c r="FU69">
        <v>0.334244861515889</v>
      </c>
      <c r="FV69">
        <v>-4.2547640292705413E-2</v>
      </c>
      <c r="FW69">
        <v>3.3579502525861791E-3</v>
      </c>
      <c r="FX69">
        <v>1</v>
      </c>
      <c r="FY69">
        <v>2</v>
      </c>
      <c r="FZ69">
        <v>2</v>
      </c>
      <c r="GA69" t="s">
        <v>419</v>
      </c>
      <c r="GB69">
        <v>2.8814899999999999</v>
      </c>
      <c r="GC69">
        <v>2.82172</v>
      </c>
      <c r="GD69">
        <v>0.11981</v>
      </c>
      <c r="GE69">
        <v>0.130136</v>
      </c>
      <c r="GF69">
        <v>0.11999700000000001</v>
      </c>
      <c r="GG69">
        <v>9.8950999999999997E-2</v>
      </c>
      <c r="GH69">
        <v>26920.799999999999</v>
      </c>
      <c r="GI69">
        <v>24811.599999999999</v>
      </c>
      <c r="GJ69">
        <v>28164.3</v>
      </c>
      <c r="GK69">
        <v>26798.7</v>
      </c>
      <c r="GL69">
        <v>34984.400000000001</v>
      </c>
      <c r="GM69">
        <v>33743.1</v>
      </c>
      <c r="GN69">
        <v>41437.599999999999</v>
      </c>
      <c r="GO69">
        <v>38792.6</v>
      </c>
      <c r="GP69">
        <v>1.9826999999999999</v>
      </c>
      <c r="GQ69">
        <v>1.6114999999999999</v>
      </c>
      <c r="GR69">
        <v>-6.26892E-2</v>
      </c>
      <c r="GS69">
        <v>0</v>
      </c>
      <c r="GT69">
        <v>31.016999999999999</v>
      </c>
      <c r="GU69">
        <v>999.9</v>
      </c>
      <c r="GV69">
        <v>42.6</v>
      </c>
      <c r="GW69">
        <v>49.7</v>
      </c>
      <c r="GX69">
        <v>52.596400000000003</v>
      </c>
      <c r="GY69">
        <v>62.383000000000003</v>
      </c>
      <c r="GZ69">
        <v>33.008800000000001</v>
      </c>
      <c r="HA69">
        <v>1</v>
      </c>
      <c r="HB69">
        <v>1.1679999999999999</v>
      </c>
      <c r="HC69">
        <v>6.3698699999999997</v>
      </c>
      <c r="HD69">
        <v>20.1248</v>
      </c>
      <c r="HE69">
        <v>5.2100999999999997</v>
      </c>
      <c r="HF69">
        <v>12.004</v>
      </c>
      <c r="HG69">
        <v>4.9878</v>
      </c>
      <c r="HH69">
        <v>3.2909999999999999</v>
      </c>
      <c r="HI69">
        <v>9999</v>
      </c>
      <c r="HJ69">
        <v>9999</v>
      </c>
      <c r="HK69">
        <v>9999</v>
      </c>
      <c r="HL69">
        <v>999.9</v>
      </c>
      <c r="HM69">
        <v>1.8672200000000001</v>
      </c>
      <c r="HN69">
        <v>1.8672299999999999</v>
      </c>
      <c r="HO69">
        <v>1.86395</v>
      </c>
      <c r="HP69">
        <v>1.8650800000000001</v>
      </c>
      <c r="HQ69">
        <v>1.8646</v>
      </c>
      <c r="HR69">
        <v>1.8603499999999999</v>
      </c>
      <c r="HS69">
        <v>1.8635900000000001</v>
      </c>
      <c r="HT69">
        <v>1.86643</v>
      </c>
      <c r="HU69">
        <v>5</v>
      </c>
      <c r="HV69">
        <v>0</v>
      </c>
      <c r="HW69">
        <v>0</v>
      </c>
      <c r="HX69">
        <v>0</v>
      </c>
      <c r="HY69" t="s">
        <v>420</v>
      </c>
      <c r="HZ69" t="s">
        <v>421</v>
      </c>
      <c r="IA69" t="s">
        <v>422</v>
      </c>
      <c r="IB69" t="s">
        <v>422</v>
      </c>
      <c r="IC69" t="s">
        <v>422</v>
      </c>
      <c r="ID69" t="s">
        <v>422</v>
      </c>
      <c r="IE69">
        <v>0</v>
      </c>
      <c r="IF69">
        <v>100</v>
      </c>
      <c r="IG69">
        <v>100</v>
      </c>
      <c r="IH69">
        <v>3.5049999999999999</v>
      </c>
      <c r="II69">
        <v>0.11020000000000001</v>
      </c>
      <c r="IJ69">
        <v>1.9954375790706289</v>
      </c>
      <c r="IK69">
        <v>3.5576830062418229E-3</v>
      </c>
      <c r="IL69">
        <v>-2.2646740813029151E-6</v>
      </c>
      <c r="IM69">
        <v>6.9609298295988525E-10</v>
      </c>
      <c r="IN69">
        <v>-0.14941710343130299</v>
      </c>
      <c r="IO69">
        <v>-9.4437069492282083E-4</v>
      </c>
      <c r="IP69">
        <v>5.2900373165634467E-4</v>
      </c>
      <c r="IQ69">
        <v>-3.977656803091445E-6</v>
      </c>
      <c r="IR69">
        <v>2</v>
      </c>
      <c r="IS69">
        <v>1759</v>
      </c>
      <c r="IT69">
        <v>2</v>
      </c>
      <c r="IU69">
        <v>42</v>
      </c>
      <c r="IV69">
        <v>0.6</v>
      </c>
      <c r="IW69">
        <v>0.7</v>
      </c>
      <c r="IX69">
        <v>1.5344199999999999</v>
      </c>
      <c r="IY69">
        <v>2.4572799999999999</v>
      </c>
      <c r="IZ69">
        <v>1.54297</v>
      </c>
      <c r="JA69">
        <v>2.3046899999999999</v>
      </c>
      <c r="JB69">
        <v>1.5466299999999999</v>
      </c>
      <c r="JC69">
        <v>2.4304199999999998</v>
      </c>
      <c r="JD69">
        <v>53.771099999999997</v>
      </c>
      <c r="JE69">
        <v>23.982399999999998</v>
      </c>
      <c r="JF69">
        <v>18</v>
      </c>
      <c r="JG69">
        <v>533.173</v>
      </c>
      <c r="JH69">
        <v>391.39400000000001</v>
      </c>
      <c r="JI69">
        <v>23.4191</v>
      </c>
      <c r="JJ69">
        <v>40.675899999999999</v>
      </c>
      <c r="JK69">
        <v>30.0002</v>
      </c>
      <c r="JL69">
        <v>40.950000000000003</v>
      </c>
      <c r="JM69">
        <v>40.938600000000001</v>
      </c>
      <c r="JN69">
        <v>30.8413</v>
      </c>
      <c r="JO69">
        <v>81.610100000000003</v>
      </c>
      <c r="JP69">
        <v>0</v>
      </c>
      <c r="JQ69">
        <v>23.427499999999998</v>
      </c>
      <c r="JR69">
        <v>700</v>
      </c>
      <c r="JS69">
        <v>19.439</v>
      </c>
      <c r="JT69">
        <v>98.178299999999993</v>
      </c>
      <c r="JU69">
        <v>95.972499999999997</v>
      </c>
    </row>
    <row r="70" spans="1:281" x14ac:dyDescent="0.25">
      <c r="A70">
        <v>54</v>
      </c>
      <c r="B70">
        <v>1691172913.5</v>
      </c>
      <c r="C70">
        <v>12002</v>
      </c>
      <c r="D70" t="s">
        <v>690</v>
      </c>
      <c r="E70" t="s">
        <v>691</v>
      </c>
      <c r="F70" t="s">
        <v>413</v>
      </c>
      <c r="G70" t="s">
        <v>635</v>
      </c>
      <c r="H70" t="s">
        <v>636</v>
      </c>
      <c r="I70" t="s">
        <v>31</v>
      </c>
      <c r="J70">
        <v>1691172913.5</v>
      </c>
      <c r="K70">
        <f t="shared" si="46"/>
        <v>4.8138836705142992E-3</v>
      </c>
      <c r="L70">
        <f t="shared" si="47"/>
        <v>4.8138836705142989</v>
      </c>
      <c r="M70">
        <f t="shared" si="48"/>
        <v>56.168110771760595</v>
      </c>
      <c r="N70">
        <f t="shared" si="49"/>
        <v>827.86199999999997</v>
      </c>
      <c r="O70">
        <f t="shared" si="50"/>
        <v>476.69603556298841</v>
      </c>
      <c r="P70">
        <f t="shared" si="51"/>
        <v>47.282910592426354</v>
      </c>
      <c r="Q70">
        <f t="shared" si="52"/>
        <v>82.114643312771989</v>
      </c>
      <c r="R70">
        <f t="shared" si="53"/>
        <v>0.2826446487140562</v>
      </c>
      <c r="S70">
        <f t="shared" si="54"/>
        <v>2.914389935371152</v>
      </c>
      <c r="T70">
        <f t="shared" si="55"/>
        <v>0.26825122846998628</v>
      </c>
      <c r="U70">
        <f t="shared" si="56"/>
        <v>0.16888910683346162</v>
      </c>
      <c r="V70">
        <f t="shared" si="57"/>
        <v>344.34119998680205</v>
      </c>
      <c r="W70">
        <f t="shared" si="58"/>
        <v>30.718389958482401</v>
      </c>
      <c r="X70">
        <f t="shared" si="59"/>
        <v>30.025300000000001</v>
      </c>
      <c r="Y70">
        <f t="shared" si="60"/>
        <v>4.2666450280009558</v>
      </c>
      <c r="Z70">
        <f t="shared" si="61"/>
        <v>60.016395489560878</v>
      </c>
      <c r="AA70">
        <f t="shared" si="62"/>
        <v>2.5478033464383998</v>
      </c>
      <c r="AB70">
        <f t="shared" si="63"/>
        <v>4.2451788809635511</v>
      </c>
      <c r="AC70">
        <f t="shared" si="64"/>
        <v>1.718841681562556</v>
      </c>
      <c r="AD70">
        <f t="shared" si="65"/>
        <v>-212.29226986968058</v>
      </c>
      <c r="AE70">
        <f t="shared" si="66"/>
        <v>-13.79518781918528</v>
      </c>
      <c r="AF70">
        <f t="shared" si="67"/>
        <v>-1.0522988124042776</v>
      </c>
      <c r="AG70">
        <f t="shared" si="68"/>
        <v>117.20144348553191</v>
      </c>
      <c r="AH70">
        <v>0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51912.173000232011</v>
      </c>
      <c r="AM70" t="s">
        <v>414</v>
      </c>
      <c r="AN70">
        <v>10111.299999999999</v>
      </c>
      <c r="AO70">
        <v>608.58839999999998</v>
      </c>
      <c r="AP70">
        <v>2150.11</v>
      </c>
      <c r="AQ70">
        <f t="shared" si="72"/>
        <v>0.71695010952927984</v>
      </c>
      <c r="AR70">
        <v>-1.1786277417053079</v>
      </c>
      <c r="AS70" t="s">
        <v>692</v>
      </c>
      <c r="AT70">
        <v>8095.64</v>
      </c>
      <c r="AU70">
        <v>714.29879999999991</v>
      </c>
      <c r="AV70">
        <v>1145.8315982407651</v>
      </c>
      <c r="AW70">
        <f t="shared" si="73"/>
        <v>0.37661101238900407</v>
      </c>
      <c r="AX70">
        <v>0.5</v>
      </c>
      <c r="AY70">
        <f t="shared" si="74"/>
        <v>1513.0364999934009</v>
      </c>
      <c r="AZ70">
        <f t="shared" si="75"/>
        <v>56.168110771760595</v>
      </c>
      <c r="BA70">
        <f t="shared" si="76"/>
        <v>284.91310402201503</v>
      </c>
      <c r="BB70">
        <f t="shared" si="77"/>
        <v>3.7901754857675954E-2</v>
      </c>
      <c r="BC70">
        <f t="shared" si="78"/>
        <v>0.87646247782059639</v>
      </c>
      <c r="BD70">
        <f t="shared" si="79"/>
        <v>487.61868479615168</v>
      </c>
      <c r="BE70" t="s">
        <v>693</v>
      </c>
      <c r="BF70">
        <v>544.83000000000004</v>
      </c>
      <c r="BG70">
        <f t="shared" si="80"/>
        <v>544.83000000000004</v>
      </c>
      <c r="BH70">
        <f t="shared" si="81"/>
        <v>0.52451127998521208</v>
      </c>
      <c r="BI70">
        <f t="shared" si="82"/>
        <v>0.71802271325722899</v>
      </c>
      <c r="BJ70">
        <f t="shared" si="83"/>
        <v>0.62560948978323716</v>
      </c>
      <c r="BK70">
        <f t="shared" si="84"/>
        <v>0.80323548004673684</v>
      </c>
      <c r="BL70">
        <f t="shared" si="85"/>
        <v>0.65148513115822382</v>
      </c>
      <c r="BM70">
        <f t="shared" si="86"/>
        <v>0.54767040748764551</v>
      </c>
      <c r="BN70">
        <f t="shared" si="87"/>
        <v>0.45232959251235449</v>
      </c>
      <c r="BO70">
        <v>7081</v>
      </c>
      <c r="BP70">
        <v>290.00000000000011</v>
      </c>
      <c r="BQ70">
        <v>996.2</v>
      </c>
      <c r="BR70">
        <v>275</v>
      </c>
      <c r="BS70">
        <v>8095.64</v>
      </c>
      <c r="BT70">
        <v>997.59</v>
      </c>
      <c r="BU70">
        <v>-1.39</v>
      </c>
      <c r="BV70">
        <v>300.00000000000011</v>
      </c>
      <c r="BW70">
        <v>19.2</v>
      </c>
      <c r="BX70">
        <v>1145.8315982407651</v>
      </c>
      <c r="BY70">
        <v>3.086422873214977</v>
      </c>
      <c r="BZ70">
        <v>-120.0124889233073</v>
      </c>
      <c r="CA70">
        <v>2.2960191436125519</v>
      </c>
      <c r="CB70">
        <v>0.98985556220373916</v>
      </c>
      <c r="CC70">
        <v>-4.1710233592881004E-3</v>
      </c>
      <c r="CD70">
        <v>289.99999999999989</v>
      </c>
      <c r="CE70">
        <v>988.23</v>
      </c>
      <c r="CF70">
        <v>635</v>
      </c>
      <c r="CG70">
        <v>8090.67</v>
      </c>
      <c r="CH70">
        <v>997.5</v>
      </c>
      <c r="CI70">
        <v>-9.27</v>
      </c>
      <c r="CW70">
        <f t="shared" si="88"/>
        <v>1799.82</v>
      </c>
      <c r="CX70">
        <f t="shared" si="89"/>
        <v>1513.0364999934009</v>
      </c>
      <c r="CY70">
        <f t="shared" si="90"/>
        <v>0.84065989931959917</v>
      </c>
      <c r="CZ70">
        <f t="shared" si="91"/>
        <v>0.1913197986391984</v>
      </c>
      <c r="DA70">
        <v>6</v>
      </c>
      <c r="DB70">
        <v>0.5</v>
      </c>
      <c r="DC70" t="s">
        <v>417</v>
      </c>
      <c r="DD70">
        <v>2</v>
      </c>
      <c r="DE70">
        <v>1691172913.5</v>
      </c>
      <c r="DF70">
        <v>827.86199999999997</v>
      </c>
      <c r="DG70">
        <v>900.04499999999996</v>
      </c>
      <c r="DH70">
        <v>25.686399999999999</v>
      </c>
      <c r="DI70">
        <v>20.058199999999999</v>
      </c>
      <c r="DJ70">
        <v>823.98500000000001</v>
      </c>
      <c r="DK70">
        <v>25.586600000000001</v>
      </c>
      <c r="DL70">
        <v>500.00700000000001</v>
      </c>
      <c r="DM70">
        <v>99.088800000000006</v>
      </c>
      <c r="DN70">
        <v>0.100006</v>
      </c>
      <c r="DO70">
        <v>29.9375</v>
      </c>
      <c r="DP70">
        <v>30.025300000000001</v>
      </c>
      <c r="DQ70">
        <v>999.9</v>
      </c>
      <c r="DR70">
        <v>0</v>
      </c>
      <c r="DS70">
        <v>0</v>
      </c>
      <c r="DT70">
        <v>10005</v>
      </c>
      <c r="DU70">
        <v>0</v>
      </c>
      <c r="DV70">
        <v>1740</v>
      </c>
      <c r="DW70">
        <v>-72.183099999999996</v>
      </c>
      <c r="DX70">
        <v>849.68700000000001</v>
      </c>
      <c r="DY70">
        <v>918.46799999999996</v>
      </c>
      <c r="DZ70">
        <v>5.6282300000000003</v>
      </c>
      <c r="EA70">
        <v>900.04499999999996</v>
      </c>
      <c r="EB70">
        <v>20.058199999999999</v>
      </c>
      <c r="EC70">
        <v>2.5452300000000001</v>
      </c>
      <c r="ED70">
        <v>1.9875400000000001</v>
      </c>
      <c r="EE70">
        <v>21.3187</v>
      </c>
      <c r="EF70">
        <v>17.345400000000001</v>
      </c>
      <c r="EG70">
        <v>1799.82</v>
      </c>
      <c r="EH70">
        <v>0.97800299999999996</v>
      </c>
      <c r="EI70">
        <v>2.19974E-2</v>
      </c>
      <c r="EJ70">
        <v>0</v>
      </c>
      <c r="EK70">
        <v>713.26</v>
      </c>
      <c r="EL70">
        <v>0.10001</v>
      </c>
      <c r="EM70">
        <v>18159.900000000001</v>
      </c>
      <c r="EN70">
        <v>16351.8</v>
      </c>
      <c r="EO70">
        <v>47.686999999999998</v>
      </c>
      <c r="EP70">
        <v>50.25</v>
      </c>
      <c r="EQ70">
        <v>49.125</v>
      </c>
      <c r="ER70">
        <v>49.25</v>
      </c>
      <c r="ES70">
        <v>49.25</v>
      </c>
      <c r="ET70">
        <v>1760.13</v>
      </c>
      <c r="EU70">
        <v>39.590000000000003</v>
      </c>
      <c r="EV70">
        <v>0</v>
      </c>
      <c r="EW70">
        <v>103.80000019073491</v>
      </c>
      <c r="EX70">
        <v>0</v>
      </c>
      <c r="EY70">
        <v>714.29879999999991</v>
      </c>
      <c r="EZ70">
        <v>-4.9273076037012729</v>
      </c>
      <c r="FA70">
        <v>-485.41538336202183</v>
      </c>
      <c r="FB70">
        <v>18228.34</v>
      </c>
      <c r="FC70">
        <v>15</v>
      </c>
      <c r="FD70">
        <v>1691172885.5</v>
      </c>
      <c r="FE70" t="s">
        <v>694</v>
      </c>
      <c r="FF70">
        <v>1691172885.5</v>
      </c>
      <c r="FG70">
        <v>1691172885.5</v>
      </c>
      <c r="FH70">
        <v>58</v>
      </c>
      <c r="FI70">
        <v>9.8000000000000004E-2</v>
      </c>
      <c r="FJ70">
        <v>-6.0000000000000001E-3</v>
      </c>
      <c r="FK70">
        <v>3.964</v>
      </c>
      <c r="FL70">
        <v>0</v>
      </c>
      <c r="FM70">
        <v>900</v>
      </c>
      <c r="FN70">
        <v>20</v>
      </c>
      <c r="FO70">
        <v>0.12</v>
      </c>
      <c r="FP70">
        <v>0.04</v>
      </c>
      <c r="FQ70">
        <v>56.04315079963461</v>
      </c>
      <c r="FR70">
        <v>0.1020286530580638</v>
      </c>
      <c r="FS70">
        <v>0.14886612054359011</v>
      </c>
      <c r="FT70">
        <v>1</v>
      </c>
      <c r="FU70">
        <v>0.2871104417991821</v>
      </c>
      <c r="FV70">
        <v>-2.9726739418141711E-2</v>
      </c>
      <c r="FW70">
        <v>2.2842410647469819E-3</v>
      </c>
      <c r="FX70">
        <v>1</v>
      </c>
      <c r="FY70">
        <v>2</v>
      </c>
      <c r="FZ70">
        <v>2</v>
      </c>
      <c r="GA70" t="s">
        <v>419</v>
      </c>
      <c r="GB70">
        <v>2.8809900000000002</v>
      </c>
      <c r="GC70">
        <v>2.82124</v>
      </c>
      <c r="GD70">
        <v>0.14462700000000001</v>
      </c>
      <c r="GE70">
        <v>0.15393599999999999</v>
      </c>
      <c r="GF70">
        <v>0.119252</v>
      </c>
      <c r="GG70">
        <v>0.100894</v>
      </c>
      <c r="GH70">
        <v>26159.3</v>
      </c>
      <c r="GI70">
        <v>24128.1</v>
      </c>
      <c r="GJ70">
        <v>28163.200000000001</v>
      </c>
      <c r="GK70">
        <v>26795.200000000001</v>
      </c>
      <c r="GL70">
        <v>35013.4</v>
      </c>
      <c r="GM70">
        <v>33666.199999999997</v>
      </c>
      <c r="GN70">
        <v>41436.6</v>
      </c>
      <c r="GO70">
        <v>38786.9</v>
      </c>
      <c r="GP70">
        <v>1.9814000000000001</v>
      </c>
      <c r="GQ70">
        <v>1.6108</v>
      </c>
      <c r="GR70">
        <v>-5.6996900000000003E-2</v>
      </c>
      <c r="GS70">
        <v>0</v>
      </c>
      <c r="GT70">
        <v>30.952100000000002</v>
      </c>
      <c r="GU70">
        <v>999.9</v>
      </c>
      <c r="GV70">
        <v>42.3</v>
      </c>
      <c r="GW70">
        <v>50</v>
      </c>
      <c r="GX70">
        <v>53.009</v>
      </c>
      <c r="GY70">
        <v>62.283099999999997</v>
      </c>
      <c r="GZ70">
        <v>33.097000000000001</v>
      </c>
      <c r="HA70">
        <v>1</v>
      </c>
      <c r="HB70">
        <v>1.1718299999999999</v>
      </c>
      <c r="HC70">
        <v>6.2797000000000001</v>
      </c>
      <c r="HD70">
        <v>20.1279</v>
      </c>
      <c r="HE70">
        <v>5.2100999999999997</v>
      </c>
      <c r="HF70">
        <v>12.004</v>
      </c>
      <c r="HG70">
        <v>4.9867999999999997</v>
      </c>
      <c r="HH70">
        <v>3.2909999999999999</v>
      </c>
      <c r="HI70">
        <v>9999</v>
      </c>
      <c r="HJ70">
        <v>9999</v>
      </c>
      <c r="HK70">
        <v>9999</v>
      </c>
      <c r="HL70">
        <v>999.9</v>
      </c>
      <c r="HM70">
        <v>1.8672200000000001</v>
      </c>
      <c r="HN70">
        <v>1.8672299999999999</v>
      </c>
      <c r="HO70">
        <v>1.86398</v>
      </c>
      <c r="HP70">
        <v>1.8650800000000001</v>
      </c>
      <c r="HQ70">
        <v>1.8645799999999999</v>
      </c>
      <c r="HR70">
        <v>1.8603499999999999</v>
      </c>
      <c r="HS70">
        <v>1.8635699999999999</v>
      </c>
      <c r="HT70">
        <v>1.86646</v>
      </c>
      <c r="HU70">
        <v>5</v>
      </c>
      <c r="HV70">
        <v>0</v>
      </c>
      <c r="HW70">
        <v>0</v>
      </c>
      <c r="HX70">
        <v>0</v>
      </c>
      <c r="HY70" t="s">
        <v>420</v>
      </c>
      <c r="HZ70" t="s">
        <v>421</v>
      </c>
      <c r="IA70" t="s">
        <v>422</v>
      </c>
      <c r="IB70" t="s">
        <v>422</v>
      </c>
      <c r="IC70" t="s">
        <v>422</v>
      </c>
      <c r="ID70" t="s">
        <v>422</v>
      </c>
      <c r="IE70">
        <v>0</v>
      </c>
      <c r="IF70">
        <v>100</v>
      </c>
      <c r="IG70">
        <v>100</v>
      </c>
      <c r="IH70">
        <v>3.8769999999999998</v>
      </c>
      <c r="II70">
        <v>9.98E-2</v>
      </c>
      <c r="IJ70">
        <v>2.0934761070751109</v>
      </c>
      <c r="IK70">
        <v>3.5576830062418229E-3</v>
      </c>
      <c r="IL70">
        <v>-2.2646740813029151E-6</v>
      </c>
      <c r="IM70">
        <v>6.9609298295988525E-10</v>
      </c>
      <c r="IN70">
        <v>-0.15571670476333879</v>
      </c>
      <c r="IO70">
        <v>-9.4437069492282083E-4</v>
      </c>
      <c r="IP70">
        <v>5.2900373165634467E-4</v>
      </c>
      <c r="IQ70">
        <v>-3.977656803091445E-6</v>
      </c>
      <c r="IR70">
        <v>2</v>
      </c>
      <c r="IS70">
        <v>1759</v>
      </c>
      <c r="IT70">
        <v>2</v>
      </c>
      <c r="IU70">
        <v>42</v>
      </c>
      <c r="IV70">
        <v>0.5</v>
      </c>
      <c r="IW70">
        <v>0.5</v>
      </c>
      <c r="IX70">
        <v>1.9030800000000001</v>
      </c>
      <c r="IY70">
        <v>2.4462899999999999</v>
      </c>
      <c r="IZ70">
        <v>1.54297</v>
      </c>
      <c r="JA70">
        <v>2.3046899999999999</v>
      </c>
      <c r="JB70">
        <v>1.5466299999999999</v>
      </c>
      <c r="JC70">
        <v>2.4438499999999999</v>
      </c>
      <c r="JD70">
        <v>53.949300000000001</v>
      </c>
      <c r="JE70">
        <v>23.991199999999999</v>
      </c>
      <c r="JF70">
        <v>18</v>
      </c>
      <c r="JG70">
        <v>532.89099999999996</v>
      </c>
      <c r="JH70">
        <v>391.36900000000003</v>
      </c>
      <c r="JI70">
        <v>23.4542</v>
      </c>
      <c r="JJ70">
        <v>40.728700000000003</v>
      </c>
      <c r="JK70">
        <v>30.000800000000002</v>
      </c>
      <c r="JL70">
        <v>41.0274</v>
      </c>
      <c r="JM70">
        <v>41.011800000000001</v>
      </c>
      <c r="JN70">
        <v>38.231099999999998</v>
      </c>
      <c r="JO70">
        <v>81.080699999999993</v>
      </c>
      <c r="JP70">
        <v>0</v>
      </c>
      <c r="JQ70">
        <v>23.454000000000001</v>
      </c>
      <c r="JR70">
        <v>900</v>
      </c>
      <c r="JS70">
        <v>19.9666</v>
      </c>
      <c r="JT70">
        <v>98.175299999999993</v>
      </c>
      <c r="JU70">
        <v>95.959100000000007</v>
      </c>
    </row>
    <row r="71" spans="1:281" x14ac:dyDescent="0.25">
      <c r="A71">
        <v>55</v>
      </c>
      <c r="B71">
        <v>1691173103.0999999</v>
      </c>
      <c r="C71">
        <v>12191.599999904631</v>
      </c>
      <c r="D71" t="s">
        <v>695</v>
      </c>
      <c r="E71" t="s">
        <v>696</v>
      </c>
      <c r="F71" t="s">
        <v>413</v>
      </c>
      <c r="G71" t="s">
        <v>635</v>
      </c>
      <c r="H71" t="s">
        <v>636</v>
      </c>
      <c r="I71" t="s">
        <v>31</v>
      </c>
      <c r="J71">
        <v>1691173103.0999999</v>
      </c>
      <c r="K71">
        <f t="shared" si="46"/>
        <v>3.6149628987799717E-3</v>
      </c>
      <c r="L71">
        <f t="shared" si="47"/>
        <v>3.6149628987799716</v>
      </c>
      <c r="M71">
        <f t="shared" si="48"/>
        <v>55.724044536135537</v>
      </c>
      <c r="N71">
        <f t="shared" si="49"/>
        <v>1128.52</v>
      </c>
      <c r="O71">
        <f t="shared" si="50"/>
        <v>656.6226192929629</v>
      </c>
      <c r="P71">
        <f t="shared" si="51"/>
        <v>65.126908315070068</v>
      </c>
      <c r="Q71">
        <f t="shared" si="52"/>
        <v>111.93190184471999</v>
      </c>
      <c r="R71">
        <f t="shared" si="53"/>
        <v>0.20660505105205831</v>
      </c>
      <c r="S71">
        <f t="shared" si="54"/>
        <v>2.9116900696475847</v>
      </c>
      <c r="T71">
        <f t="shared" si="55"/>
        <v>0.19879248895735321</v>
      </c>
      <c r="U71">
        <f t="shared" si="56"/>
        <v>0.12492261901665591</v>
      </c>
      <c r="V71">
        <f t="shared" si="57"/>
        <v>344.37729998680339</v>
      </c>
      <c r="W71">
        <f t="shared" si="58"/>
        <v>30.853151838602777</v>
      </c>
      <c r="X71">
        <f t="shared" si="59"/>
        <v>30.008900000000001</v>
      </c>
      <c r="Y71">
        <f t="shared" si="60"/>
        <v>4.2626282366619623</v>
      </c>
      <c r="Z71">
        <f t="shared" si="61"/>
        <v>59.992257492400213</v>
      </c>
      <c r="AA71">
        <f t="shared" si="62"/>
        <v>2.5206696915353999</v>
      </c>
      <c r="AB71">
        <f t="shared" si="63"/>
        <v>4.2016583420864215</v>
      </c>
      <c r="AC71">
        <f t="shared" si="64"/>
        <v>1.7419585451265625</v>
      </c>
      <c r="AD71">
        <f t="shared" si="65"/>
        <v>-159.41986383619675</v>
      </c>
      <c r="AE71">
        <f t="shared" si="66"/>
        <v>-39.33794377973139</v>
      </c>
      <c r="AF71">
        <f t="shared" si="67"/>
        <v>-3.0005790165339161</v>
      </c>
      <c r="AG71">
        <f t="shared" si="68"/>
        <v>142.61891335434137</v>
      </c>
      <c r="AH71">
        <v>0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51865.949108772671</v>
      </c>
      <c r="AM71" t="s">
        <v>414</v>
      </c>
      <c r="AN71">
        <v>10111.299999999999</v>
      </c>
      <c r="AO71">
        <v>608.58839999999998</v>
      </c>
      <c r="AP71">
        <v>2150.11</v>
      </c>
      <c r="AQ71">
        <f t="shared" si="72"/>
        <v>0.71695010952927984</v>
      </c>
      <c r="AR71">
        <v>-1.1786277417053079</v>
      </c>
      <c r="AS71" t="s">
        <v>697</v>
      </c>
      <c r="AT71">
        <v>8095.29</v>
      </c>
      <c r="AU71">
        <v>699.46730769230771</v>
      </c>
      <c r="AV71">
        <v>1122.3264303008079</v>
      </c>
      <c r="AW71">
        <f t="shared" si="73"/>
        <v>0.37677017237771437</v>
      </c>
      <c r="AX71">
        <v>0.5</v>
      </c>
      <c r="AY71">
        <f t="shared" si="74"/>
        <v>1513.1960999934015</v>
      </c>
      <c r="AZ71">
        <f t="shared" si="75"/>
        <v>55.724044536135537</v>
      </c>
      <c r="BA71">
        <f t="shared" si="76"/>
        <v>285.06357771789948</v>
      </c>
      <c r="BB71">
        <f t="shared" si="77"/>
        <v>3.7604294828733023E-2</v>
      </c>
      <c r="BC71">
        <f t="shared" si="78"/>
        <v>0.91576170884946884</v>
      </c>
      <c r="BD71">
        <f t="shared" si="79"/>
        <v>483.31113296935166</v>
      </c>
      <c r="BE71" t="s">
        <v>698</v>
      </c>
      <c r="BF71">
        <v>544.74</v>
      </c>
      <c r="BG71">
        <f t="shared" si="80"/>
        <v>544.74</v>
      </c>
      <c r="BH71">
        <f t="shared" si="81"/>
        <v>0.51463318933512259</v>
      </c>
      <c r="BI71">
        <f t="shared" si="82"/>
        <v>0.73211401865565739</v>
      </c>
      <c r="BJ71">
        <f t="shared" si="83"/>
        <v>0.64021600609155027</v>
      </c>
      <c r="BK71">
        <f t="shared" si="84"/>
        <v>0.82310262754132568</v>
      </c>
      <c r="BL71">
        <f t="shared" si="85"/>
        <v>0.66673316137716931</v>
      </c>
      <c r="BM71">
        <f t="shared" si="86"/>
        <v>0.57016501863146141</v>
      </c>
      <c r="BN71">
        <f t="shared" si="87"/>
        <v>0.42983498136853859</v>
      </c>
      <c r="BO71">
        <v>7083</v>
      </c>
      <c r="BP71">
        <v>290.00000000000011</v>
      </c>
      <c r="BQ71">
        <v>976.51</v>
      </c>
      <c r="BR71">
        <v>265</v>
      </c>
      <c r="BS71">
        <v>8095.29</v>
      </c>
      <c r="BT71">
        <v>979.09</v>
      </c>
      <c r="BU71">
        <v>-2.58</v>
      </c>
      <c r="BV71">
        <v>300.00000000000011</v>
      </c>
      <c r="BW71">
        <v>19.2</v>
      </c>
      <c r="BX71">
        <v>1122.3264303008079</v>
      </c>
      <c r="BY71">
        <v>2.767158659372527</v>
      </c>
      <c r="BZ71">
        <v>-115.9533206823257</v>
      </c>
      <c r="CA71">
        <v>2.058335501205363</v>
      </c>
      <c r="CB71">
        <v>0.99125401079229236</v>
      </c>
      <c r="CC71">
        <v>-4.1707065628476163E-3</v>
      </c>
      <c r="CD71">
        <v>289.99999999999989</v>
      </c>
      <c r="CE71">
        <v>970.63</v>
      </c>
      <c r="CF71">
        <v>635</v>
      </c>
      <c r="CG71">
        <v>8089.96</v>
      </c>
      <c r="CH71">
        <v>979</v>
      </c>
      <c r="CI71">
        <v>-8.3699999999999992</v>
      </c>
      <c r="CW71">
        <f t="shared" si="88"/>
        <v>1800.01</v>
      </c>
      <c r="CX71">
        <f t="shared" si="89"/>
        <v>1513.1960999934015</v>
      </c>
      <c r="CY71">
        <f t="shared" si="90"/>
        <v>0.84065982966394714</v>
      </c>
      <c r="CZ71">
        <f t="shared" si="91"/>
        <v>0.19131965932789452</v>
      </c>
      <c r="DA71">
        <v>6</v>
      </c>
      <c r="DB71">
        <v>0.5</v>
      </c>
      <c r="DC71" t="s">
        <v>417</v>
      </c>
      <c r="DD71">
        <v>2</v>
      </c>
      <c r="DE71">
        <v>1691173103.0999999</v>
      </c>
      <c r="DF71">
        <v>1128.52</v>
      </c>
      <c r="DG71">
        <v>1200.24</v>
      </c>
      <c r="DH71">
        <v>25.413900000000002</v>
      </c>
      <c r="DI71">
        <v>21.188800000000001</v>
      </c>
      <c r="DJ71">
        <v>1124.45</v>
      </c>
      <c r="DK71">
        <v>25.324100000000001</v>
      </c>
      <c r="DL71">
        <v>500.30900000000003</v>
      </c>
      <c r="DM71">
        <v>99.084500000000006</v>
      </c>
      <c r="DN71">
        <v>0.100186</v>
      </c>
      <c r="DO71">
        <v>29.758299999999998</v>
      </c>
      <c r="DP71">
        <v>30.008900000000001</v>
      </c>
      <c r="DQ71">
        <v>999.9</v>
      </c>
      <c r="DR71">
        <v>0</v>
      </c>
      <c r="DS71">
        <v>0</v>
      </c>
      <c r="DT71">
        <v>9990</v>
      </c>
      <c r="DU71">
        <v>0</v>
      </c>
      <c r="DV71">
        <v>1784.79</v>
      </c>
      <c r="DW71">
        <v>-71.720799999999997</v>
      </c>
      <c r="DX71">
        <v>1157.95</v>
      </c>
      <c r="DY71">
        <v>1226.23</v>
      </c>
      <c r="DZ71">
        <v>4.2251700000000003</v>
      </c>
      <c r="EA71">
        <v>1200.24</v>
      </c>
      <c r="EB71">
        <v>21.188800000000001</v>
      </c>
      <c r="EC71">
        <v>2.5181300000000002</v>
      </c>
      <c r="ED71">
        <v>2.0994799999999998</v>
      </c>
      <c r="EE71">
        <v>21.144100000000002</v>
      </c>
      <c r="EF71">
        <v>18.215199999999999</v>
      </c>
      <c r="EG71">
        <v>1800.01</v>
      </c>
      <c r="EH71">
        <v>0.97800600000000004</v>
      </c>
      <c r="EI71">
        <v>2.1993800000000001E-2</v>
      </c>
      <c r="EJ71">
        <v>0</v>
      </c>
      <c r="EK71">
        <v>698.97</v>
      </c>
      <c r="EL71">
        <v>0.10001</v>
      </c>
      <c r="EM71">
        <v>17910.3</v>
      </c>
      <c r="EN71">
        <v>16353.6</v>
      </c>
      <c r="EO71">
        <v>47.811999999999998</v>
      </c>
      <c r="EP71">
        <v>50.436999999999998</v>
      </c>
      <c r="EQ71">
        <v>49.25</v>
      </c>
      <c r="ER71">
        <v>49.436999999999998</v>
      </c>
      <c r="ES71">
        <v>49.375</v>
      </c>
      <c r="ET71">
        <v>1760.32</v>
      </c>
      <c r="EU71">
        <v>39.590000000000003</v>
      </c>
      <c r="EV71">
        <v>0</v>
      </c>
      <c r="EW71">
        <v>187.20000004768369</v>
      </c>
      <c r="EX71">
        <v>0</v>
      </c>
      <c r="EY71">
        <v>699.46730769230771</v>
      </c>
      <c r="EZ71">
        <v>-1.318290500493962</v>
      </c>
      <c r="FA71">
        <v>73.316239262521265</v>
      </c>
      <c r="FB71">
        <v>17919.288461538461</v>
      </c>
      <c r="FC71">
        <v>15</v>
      </c>
      <c r="FD71">
        <v>1691173051.0999999</v>
      </c>
      <c r="FE71" t="s">
        <v>699</v>
      </c>
      <c r="FF71">
        <v>1691173051.0999999</v>
      </c>
      <c r="FG71">
        <v>1691173040.5</v>
      </c>
      <c r="FH71">
        <v>59</v>
      </c>
      <c r="FI71">
        <v>-0.14899999999999999</v>
      </c>
      <c r="FJ71">
        <v>-5.0000000000000001E-3</v>
      </c>
      <c r="FK71">
        <v>4.1509999999999998</v>
      </c>
      <c r="FL71">
        <v>1.2999999999999999E-2</v>
      </c>
      <c r="FM71">
        <v>1200</v>
      </c>
      <c r="FN71">
        <v>21</v>
      </c>
      <c r="FO71">
        <v>0.17</v>
      </c>
      <c r="FP71">
        <v>0.04</v>
      </c>
      <c r="FQ71">
        <v>55.261605828461498</v>
      </c>
      <c r="FR71">
        <v>-0.95779000742948639</v>
      </c>
      <c r="FS71">
        <v>0.31845626022423612</v>
      </c>
      <c r="FT71">
        <v>0</v>
      </c>
      <c r="FU71">
        <v>0.20911880784844589</v>
      </c>
      <c r="FV71">
        <v>-2.160835890232363E-2</v>
      </c>
      <c r="FW71">
        <v>1.629245444424136E-3</v>
      </c>
      <c r="FX71">
        <v>1</v>
      </c>
      <c r="FY71">
        <v>1</v>
      </c>
      <c r="FZ71">
        <v>2</v>
      </c>
      <c r="GA71" t="s">
        <v>602</v>
      </c>
      <c r="GB71">
        <v>2.8814600000000001</v>
      </c>
      <c r="GC71">
        <v>2.8212899999999999</v>
      </c>
      <c r="GD71">
        <v>0.17673800000000001</v>
      </c>
      <c r="GE71">
        <v>0.18484200000000001</v>
      </c>
      <c r="GF71">
        <v>0.118352</v>
      </c>
      <c r="GG71">
        <v>0.104809</v>
      </c>
      <c r="GH71">
        <v>25164.7</v>
      </c>
      <c r="GI71">
        <v>23233.8</v>
      </c>
      <c r="GJ71">
        <v>28153.3</v>
      </c>
      <c r="GK71">
        <v>26784.5</v>
      </c>
      <c r="GL71">
        <v>35037.699999999997</v>
      </c>
      <c r="GM71">
        <v>33508.1</v>
      </c>
      <c r="GN71">
        <v>41422.1</v>
      </c>
      <c r="GO71">
        <v>38771.599999999999</v>
      </c>
      <c r="GP71">
        <v>1.98</v>
      </c>
      <c r="GQ71">
        <v>1.6075999999999999</v>
      </c>
      <c r="GR71">
        <v>-6.0334800000000001E-2</v>
      </c>
      <c r="GS71">
        <v>0</v>
      </c>
      <c r="GT71">
        <v>30.989899999999999</v>
      </c>
      <c r="GU71">
        <v>999.9</v>
      </c>
      <c r="GV71">
        <v>41.8</v>
      </c>
      <c r="GW71">
        <v>50.4</v>
      </c>
      <c r="GX71">
        <v>53.442300000000003</v>
      </c>
      <c r="GY71">
        <v>63.023099999999999</v>
      </c>
      <c r="GZ71">
        <v>32.612200000000001</v>
      </c>
      <c r="HA71">
        <v>1</v>
      </c>
      <c r="HB71">
        <v>1.1939200000000001</v>
      </c>
      <c r="HC71">
        <v>6.9382799999999998</v>
      </c>
      <c r="HD71">
        <v>20.104199999999999</v>
      </c>
      <c r="HE71">
        <v>5.2100999999999997</v>
      </c>
      <c r="HF71">
        <v>12.004</v>
      </c>
      <c r="HG71">
        <v>4.9871999999999996</v>
      </c>
      <c r="HH71">
        <v>3.2909999999999999</v>
      </c>
      <c r="HI71">
        <v>9999</v>
      </c>
      <c r="HJ71">
        <v>9999</v>
      </c>
      <c r="HK71">
        <v>9999</v>
      </c>
      <c r="HL71">
        <v>999.9</v>
      </c>
      <c r="HM71">
        <v>1.8672200000000001</v>
      </c>
      <c r="HN71">
        <v>1.86734</v>
      </c>
      <c r="HO71">
        <v>1.8640099999999999</v>
      </c>
      <c r="HP71">
        <v>1.8650800000000001</v>
      </c>
      <c r="HQ71">
        <v>1.8646199999999999</v>
      </c>
      <c r="HR71">
        <v>1.8604499999999999</v>
      </c>
      <c r="HS71">
        <v>1.8636600000000001</v>
      </c>
      <c r="HT71">
        <v>1.8664700000000001</v>
      </c>
      <c r="HU71">
        <v>5</v>
      </c>
      <c r="HV71">
        <v>0</v>
      </c>
      <c r="HW71">
        <v>0</v>
      </c>
      <c r="HX71">
        <v>0</v>
      </c>
      <c r="HY71" t="s">
        <v>420</v>
      </c>
      <c r="HZ71" t="s">
        <v>421</v>
      </c>
      <c r="IA71" t="s">
        <v>422</v>
      </c>
      <c r="IB71" t="s">
        <v>422</v>
      </c>
      <c r="IC71" t="s">
        <v>422</v>
      </c>
      <c r="ID71" t="s">
        <v>422</v>
      </c>
      <c r="IE71">
        <v>0</v>
      </c>
      <c r="IF71">
        <v>100</v>
      </c>
      <c r="IG71">
        <v>100</v>
      </c>
      <c r="IH71">
        <v>4.07</v>
      </c>
      <c r="II71">
        <v>8.9800000000000005E-2</v>
      </c>
      <c r="IJ71">
        <v>1.9448004771432339</v>
      </c>
      <c r="IK71">
        <v>3.5576830062418229E-3</v>
      </c>
      <c r="IL71">
        <v>-2.2646740813029151E-6</v>
      </c>
      <c r="IM71">
        <v>6.9609298295988525E-10</v>
      </c>
      <c r="IN71">
        <v>-0.16090090684550221</v>
      </c>
      <c r="IO71">
        <v>-9.4437069492282083E-4</v>
      </c>
      <c r="IP71">
        <v>5.2900373165634467E-4</v>
      </c>
      <c r="IQ71">
        <v>-3.977656803091445E-6</v>
      </c>
      <c r="IR71">
        <v>2</v>
      </c>
      <c r="IS71">
        <v>1759</v>
      </c>
      <c r="IT71">
        <v>2</v>
      </c>
      <c r="IU71">
        <v>42</v>
      </c>
      <c r="IV71">
        <v>0.9</v>
      </c>
      <c r="IW71">
        <v>1</v>
      </c>
      <c r="IX71">
        <v>2.4316399999999998</v>
      </c>
      <c r="IY71">
        <v>2.4389599999999998</v>
      </c>
      <c r="IZ71">
        <v>1.54297</v>
      </c>
      <c r="JA71">
        <v>2.3059099999999999</v>
      </c>
      <c r="JB71">
        <v>1.5466299999999999</v>
      </c>
      <c r="JC71">
        <v>2.4060100000000002</v>
      </c>
      <c r="JD71">
        <v>54.308500000000002</v>
      </c>
      <c r="JE71">
        <v>23.973700000000001</v>
      </c>
      <c r="JF71">
        <v>18</v>
      </c>
      <c r="JG71">
        <v>533.19100000000003</v>
      </c>
      <c r="JH71">
        <v>390.31</v>
      </c>
      <c r="JI71">
        <v>22.808900000000001</v>
      </c>
      <c r="JJ71">
        <v>40.900100000000002</v>
      </c>
      <c r="JK71">
        <v>30.000599999999999</v>
      </c>
      <c r="JL71">
        <v>41.191099999999999</v>
      </c>
      <c r="JM71">
        <v>41.179099999999998</v>
      </c>
      <c r="JN71">
        <v>48.828699999999998</v>
      </c>
      <c r="JO71">
        <v>80.490899999999996</v>
      </c>
      <c r="JP71">
        <v>0</v>
      </c>
      <c r="JQ71">
        <v>22.810300000000002</v>
      </c>
      <c r="JR71">
        <v>1200</v>
      </c>
      <c r="JS71">
        <v>21.1358</v>
      </c>
      <c r="JT71">
        <v>98.140799999999999</v>
      </c>
      <c r="JU71">
        <v>95.921199999999999</v>
      </c>
    </row>
    <row r="72" spans="1:281" x14ac:dyDescent="0.25">
      <c r="A72">
        <v>56</v>
      </c>
      <c r="B72">
        <v>1691173224.5999999</v>
      </c>
      <c r="C72">
        <v>12313.099999904631</v>
      </c>
      <c r="D72" t="s">
        <v>700</v>
      </c>
      <c r="E72" t="s">
        <v>701</v>
      </c>
      <c r="F72" t="s">
        <v>413</v>
      </c>
      <c r="G72" t="s">
        <v>635</v>
      </c>
      <c r="H72" t="s">
        <v>636</v>
      </c>
      <c r="I72" t="s">
        <v>31</v>
      </c>
      <c r="J72">
        <v>1691173224.5999999</v>
      </c>
      <c r="K72">
        <f t="shared" si="46"/>
        <v>3.0363924373755344E-3</v>
      </c>
      <c r="L72">
        <f t="shared" si="47"/>
        <v>3.0363924373755342</v>
      </c>
      <c r="M72">
        <f t="shared" si="48"/>
        <v>54.602481749344314</v>
      </c>
      <c r="N72">
        <f t="shared" si="49"/>
        <v>1429.2760000000001</v>
      </c>
      <c r="O72">
        <f t="shared" si="50"/>
        <v>869.63116195395583</v>
      </c>
      <c r="P72">
        <f t="shared" si="51"/>
        <v>86.256719150696185</v>
      </c>
      <c r="Q72">
        <f t="shared" si="52"/>
        <v>141.76660625157999</v>
      </c>
      <c r="R72">
        <f t="shared" si="53"/>
        <v>0.17071112759357157</v>
      </c>
      <c r="S72">
        <f t="shared" si="54"/>
        <v>2.9086748360877506</v>
      </c>
      <c r="T72">
        <f t="shared" si="55"/>
        <v>0.16533399356939649</v>
      </c>
      <c r="U72">
        <f t="shared" si="56"/>
        <v>0.10380275124588484</v>
      </c>
      <c r="V72">
        <f t="shared" si="57"/>
        <v>344.39189998680729</v>
      </c>
      <c r="W72">
        <f t="shared" si="58"/>
        <v>30.901864422529407</v>
      </c>
      <c r="X72">
        <f t="shared" si="59"/>
        <v>29.9954</v>
      </c>
      <c r="Y72">
        <f t="shared" si="60"/>
        <v>4.2593242050011195</v>
      </c>
      <c r="Z72">
        <f t="shared" si="61"/>
        <v>59.851483280033349</v>
      </c>
      <c r="AA72">
        <f t="shared" si="62"/>
        <v>2.499788054033</v>
      </c>
      <c r="AB72">
        <f t="shared" si="63"/>
        <v>4.1766518004858497</v>
      </c>
      <c r="AC72">
        <f t="shared" si="64"/>
        <v>1.7595361509681195</v>
      </c>
      <c r="AD72">
        <f t="shared" si="65"/>
        <v>-133.90490648826108</v>
      </c>
      <c r="AE72">
        <f t="shared" si="66"/>
        <v>-53.441692421686128</v>
      </c>
      <c r="AF72">
        <f t="shared" si="67"/>
        <v>-4.0782284732570382</v>
      </c>
      <c r="AG72">
        <f t="shared" si="68"/>
        <v>152.96707260360307</v>
      </c>
      <c r="AH72">
        <v>0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51797.967130225326</v>
      </c>
      <c r="AM72" t="s">
        <v>414</v>
      </c>
      <c r="AN72">
        <v>10111.299999999999</v>
      </c>
      <c r="AO72">
        <v>608.58839999999998</v>
      </c>
      <c r="AP72">
        <v>2150.11</v>
      </c>
      <c r="AQ72">
        <f t="shared" si="72"/>
        <v>0.71695010952927984</v>
      </c>
      <c r="AR72">
        <v>-1.1786277417053079</v>
      </c>
      <c r="AS72" t="s">
        <v>702</v>
      </c>
      <c r="AT72">
        <v>8094.48</v>
      </c>
      <c r="AU72">
        <v>691.87440000000004</v>
      </c>
      <c r="AV72">
        <v>1103.2352115140509</v>
      </c>
      <c r="AW72">
        <f t="shared" si="73"/>
        <v>0.37286773230298742</v>
      </c>
      <c r="AX72">
        <v>0.5</v>
      </c>
      <c r="AY72">
        <f t="shared" si="74"/>
        <v>1513.2629999934036</v>
      </c>
      <c r="AZ72">
        <f t="shared" si="75"/>
        <v>54.602481749344314</v>
      </c>
      <c r="BA72">
        <f t="shared" si="76"/>
        <v>282.123471592778</v>
      </c>
      <c r="BB72">
        <f t="shared" si="77"/>
        <v>3.6861477146598293E-2</v>
      </c>
      <c r="BC72">
        <f t="shared" si="78"/>
        <v>0.94891350236115646</v>
      </c>
      <c r="BD72">
        <f t="shared" si="79"/>
        <v>479.73613678750485</v>
      </c>
      <c r="BE72" t="s">
        <v>703</v>
      </c>
      <c r="BF72">
        <v>538.83000000000004</v>
      </c>
      <c r="BG72">
        <f t="shared" si="80"/>
        <v>538.83000000000004</v>
      </c>
      <c r="BH72">
        <f t="shared" si="81"/>
        <v>0.5115910058195805</v>
      </c>
      <c r="BI72">
        <f t="shared" si="82"/>
        <v>0.72883949886031485</v>
      </c>
      <c r="BJ72">
        <f t="shared" si="83"/>
        <v>0.64971624328853406</v>
      </c>
      <c r="BK72">
        <f t="shared" si="84"/>
        <v>0.8316253171731316</v>
      </c>
      <c r="BL72">
        <f t="shared" si="85"/>
        <v>0.67911782000715992</v>
      </c>
      <c r="BM72">
        <f t="shared" si="86"/>
        <v>0.56761832374619359</v>
      </c>
      <c r="BN72">
        <f t="shared" si="87"/>
        <v>0.43238167625380641</v>
      </c>
      <c r="BO72">
        <v>7085</v>
      </c>
      <c r="BP72">
        <v>290.00000000000011</v>
      </c>
      <c r="BQ72">
        <v>965.82</v>
      </c>
      <c r="BR72">
        <v>265</v>
      </c>
      <c r="BS72">
        <v>8094.48</v>
      </c>
      <c r="BT72">
        <v>967.48</v>
      </c>
      <c r="BU72">
        <v>-1.66</v>
      </c>
      <c r="BV72">
        <v>300.00000000000011</v>
      </c>
      <c r="BW72">
        <v>19.2</v>
      </c>
      <c r="BX72">
        <v>1103.2352115140509</v>
      </c>
      <c r="BY72">
        <v>3.5214122924198921</v>
      </c>
      <c r="BZ72">
        <v>-109.8847569371471</v>
      </c>
      <c r="CA72">
        <v>2.619099907932207</v>
      </c>
      <c r="CB72">
        <v>0.98434210698261893</v>
      </c>
      <c r="CC72">
        <v>-4.170336373748619E-3</v>
      </c>
      <c r="CD72">
        <v>289.99999999999989</v>
      </c>
      <c r="CE72">
        <v>959.24</v>
      </c>
      <c r="CF72">
        <v>675</v>
      </c>
      <c r="CG72">
        <v>8088.28</v>
      </c>
      <c r="CH72">
        <v>967.38</v>
      </c>
      <c r="CI72">
        <v>-8.14</v>
      </c>
      <c r="CW72">
        <f t="shared" si="88"/>
        <v>1800.09</v>
      </c>
      <c r="CX72">
        <f t="shared" si="89"/>
        <v>1513.2629999934036</v>
      </c>
      <c r="CY72">
        <f t="shared" si="90"/>
        <v>0.84065963368131791</v>
      </c>
      <c r="CZ72">
        <f t="shared" si="91"/>
        <v>0.19131926736263594</v>
      </c>
      <c r="DA72">
        <v>6</v>
      </c>
      <c r="DB72">
        <v>0.5</v>
      </c>
      <c r="DC72" t="s">
        <v>417</v>
      </c>
      <c r="DD72">
        <v>2</v>
      </c>
      <c r="DE72">
        <v>1691173224.5999999</v>
      </c>
      <c r="DF72">
        <v>1429.2760000000001</v>
      </c>
      <c r="DG72">
        <v>1500</v>
      </c>
      <c r="DH72">
        <v>25.2026</v>
      </c>
      <c r="DI72">
        <v>21.6511</v>
      </c>
      <c r="DJ72">
        <v>1424.77</v>
      </c>
      <c r="DK72">
        <v>25.182600000000001</v>
      </c>
      <c r="DL72">
        <v>500.048</v>
      </c>
      <c r="DM72">
        <v>99.087299999999999</v>
      </c>
      <c r="DN72">
        <v>0.10040499999999999</v>
      </c>
      <c r="DO72">
        <v>29.654599999999999</v>
      </c>
      <c r="DP72">
        <v>29.9954</v>
      </c>
      <c r="DQ72">
        <v>999.9</v>
      </c>
      <c r="DR72">
        <v>0</v>
      </c>
      <c r="DS72">
        <v>0</v>
      </c>
      <c r="DT72">
        <v>9972.5</v>
      </c>
      <c r="DU72">
        <v>0</v>
      </c>
      <c r="DV72">
        <v>1681.14</v>
      </c>
      <c r="DW72">
        <v>-70.797899999999998</v>
      </c>
      <c r="DX72">
        <v>1466.26</v>
      </c>
      <c r="DY72">
        <v>1533.2</v>
      </c>
      <c r="DZ72">
        <v>3.6187900000000002</v>
      </c>
      <c r="EA72">
        <v>1500</v>
      </c>
      <c r="EB72">
        <v>21.6511</v>
      </c>
      <c r="EC72">
        <v>2.5039199999999999</v>
      </c>
      <c r="ED72">
        <v>2.1453500000000001</v>
      </c>
      <c r="EE72">
        <v>21.052</v>
      </c>
      <c r="EF72">
        <v>18.559899999999999</v>
      </c>
      <c r="EG72">
        <v>1800.09</v>
      </c>
      <c r="EH72">
        <v>0.97801000000000005</v>
      </c>
      <c r="EI72">
        <v>2.1990099999999999E-2</v>
      </c>
      <c r="EJ72">
        <v>0</v>
      </c>
      <c r="EK72">
        <v>690.49</v>
      </c>
      <c r="EL72">
        <v>0.10001</v>
      </c>
      <c r="EM72">
        <v>17566.7</v>
      </c>
      <c r="EN72">
        <v>16354.3</v>
      </c>
      <c r="EO72">
        <v>47.936999999999998</v>
      </c>
      <c r="EP72">
        <v>50.625</v>
      </c>
      <c r="EQ72">
        <v>49.436999999999998</v>
      </c>
      <c r="ER72">
        <v>49.625</v>
      </c>
      <c r="ES72">
        <v>49.5</v>
      </c>
      <c r="ET72">
        <v>1760.41</v>
      </c>
      <c r="EU72">
        <v>39.58</v>
      </c>
      <c r="EV72">
        <v>0</v>
      </c>
      <c r="EW72">
        <v>119</v>
      </c>
      <c r="EX72">
        <v>0</v>
      </c>
      <c r="EY72">
        <v>691.87440000000004</v>
      </c>
      <c r="EZ72">
        <v>-5.7326922954559096</v>
      </c>
      <c r="FA72">
        <v>398.40769146226381</v>
      </c>
      <c r="FB72">
        <v>17584.78</v>
      </c>
      <c r="FC72">
        <v>15</v>
      </c>
      <c r="FD72">
        <v>1691173252.0999999</v>
      </c>
      <c r="FE72" t="s">
        <v>704</v>
      </c>
      <c r="FF72">
        <v>1691173252.0999999</v>
      </c>
      <c r="FG72">
        <v>1691173249.0999999</v>
      </c>
      <c r="FH72">
        <v>60</v>
      </c>
      <c r="FI72">
        <v>-2.3E-2</v>
      </c>
      <c r="FJ72">
        <v>-7.0000000000000001E-3</v>
      </c>
      <c r="FK72">
        <v>4.5060000000000002</v>
      </c>
      <c r="FL72">
        <v>0.02</v>
      </c>
      <c r="FM72">
        <v>1500</v>
      </c>
      <c r="FN72">
        <v>22</v>
      </c>
      <c r="FO72">
        <v>0.18</v>
      </c>
      <c r="FP72">
        <v>0.05</v>
      </c>
      <c r="FQ72">
        <v>54.612602588319888</v>
      </c>
      <c r="FR72">
        <v>0.47324056339966991</v>
      </c>
      <c r="FS72">
        <v>0.1695023713101671</v>
      </c>
      <c r="FT72">
        <v>1</v>
      </c>
      <c r="FU72">
        <v>0.1747822329563517</v>
      </c>
      <c r="FV72">
        <v>1.9648639062002859E-4</v>
      </c>
      <c r="FW72">
        <v>2.7367273655459269E-4</v>
      </c>
      <c r="FX72">
        <v>1</v>
      </c>
      <c r="FY72">
        <v>2</v>
      </c>
      <c r="FZ72">
        <v>2</v>
      </c>
      <c r="GA72" t="s">
        <v>419</v>
      </c>
      <c r="GB72">
        <v>2.8804400000000001</v>
      </c>
      <c r="GC72">
        <v>2.8213599999999999</v>
      </c>
      <c r="GD72">
        <v>0.204429</v>
      </c>
      <c r="GE72">
        <v>0.21165500000000001</v>
      </c>
      <c r="GF72">
        <v>0.117854</v>
      </c>
      <c r="GG72">
        <v>0.106367</v>
      </c>
      <c r="GH72">
        <v>24306.6</v>
      </c>
      <c r="GI72">
        <v>22457.7</v>
      </c>
      <c r="GJ72">
        <v>28145.200000000001</v>
      </c>
      <c r="GK72">
        <v>26775.9</v>
      </c>
      <c r="GL72">
        <v>35047.9</v>
      </c>
      <c r="GM72">
        <v>33441.300000000003</v>
      </c>
      <c r="GN72">
        <v>41409.599999999999</v>
      </c>
      <c r="GO72">
        <v>38760.5</v>
      </c>
      <c r="GP72">
        <v>1.9765999999999999</v>
      </c>
      <c r="GQ72">
        <v>1.6055999999999999</v>
      </c>
      <c r="GR72">
        <v>-6.8008899999999997E-2</v>
      </c>
      <c r="GS72">
        <v>0</v>
      </c>
      <c r="GT72">
        <v>31.101199999999999</v>
      </c>
      <c r="GU72">
        <v>999.9</v>
      </c>
      <c r="GV72">
        <v>41.6</v>
      </c>
      <c r="GW72">
        <v>50.7</v>
      </c>
      <c r="GX72">
        <v>53.984900000000003</v>
      </c>
      <c r="GY72">
        <v>62.803100000000001</v>
      </c>
      <c r="GZ72">
        <v>32.6843</v>
      </c>
      <c r="HA72">
        <v>1</v>
      </c>
      <c r="HB72">
        <v>1.2070099999999999</v>
      </c>
      <c r="HC72">
        <v>6.5152299999999999</v>
      </c>
      <c r="HD72">
        <v>20.119599999999998</v>
      </c>
      <c r="HE72">
        <v>5.2100999999999997</v>
      </c>
      <c r="HF72">
        <v>12.004</v>
      </c>
      <c r="HG72">
        <v>4.9870000000000001</v>
      </c>
      <c r="HH72">
        <v>3.2909999999999999</v>
      </c>
      <c r="HI72">
        <v>9999</v>
      </c>
      <c r="HJ72">
        <v>9999</v>
      </c>
      <c r="HK72">
        <v>9999</v>
      </c>
      <c r="HL72">
        <v>999.9</v>
      </c>
      <c r="HM72">
        <v>1.86721</v>
      </c>
      <c r="HN72">
        <v>1.8673500000000001</v>
      </c>
      <c r="HO72">
        <v>1.8640099999999999</v>
      </c>
      <c r="HP72">
        <v>1.86511</v>
      </c>
      <c r="HQ72">
        <v>1.8646</v>
      </c>
      <c r="HR72">
        <v>1.86042</v>
      </c>
      <c r="HS72">
        <v>1.8636900000000001</v>
      </c>
      <c r="HT72">
        <v>1.86646</v>
      </c>
      <c r="HU72">
        <v>5</v>
      </c>
      <c r="HV72">
        <v>0</v>
      </c>
      <c r="HW72">
        <v>0</v>
      </c>
      <c r="HX72">
        <v>0</v>
      </c>
      <c r="HY72" t="s">
        <v>420</v>
      </c>
      <c r="HZ72" t="s">
        <v>421</v>
      </c>
      <c r="IA72" t="s">
        <v>422</v>
      </c>
      <c r="IB72" t="s">
        <v>422</v>
      </c>
      <c r="IC72" t="s">
        <v>422</v>
      </c>
      <c r="ID72" t="s">
        <v>422</v>
      </c>
      <c r="IE72">
        <v>0</v>
      </c>
      <c r="IF72">
        <v>100</v>
      </c>
      <c r="IG72">
        <v>100</v>
      </c>
      <c r="IH72">
        <v>4.5060000000000002</v>
      </c>
      <c r="II72">
        <v>0.02</v>
      </c>
      <c r="IJ72">
        <v>1.9448004771432339</v>
      </c>
      <c r="IK72">
        <v>3.5576830062418229E-3</v>
      </c>
      <c r="IL72">
        <v>-2.2646740813029151E-6</v>
      </c>
      <c r="IM72">
        <v>6.9609298295988525E-10</v>
      </c>
      <c r="IN72">
        <v>-0.16090090684550221</v>
      </c>
      <c r="IO72">
        <v>-9.4437069492282083E-4</v>
      </c>
      <c r="IP72">
        <v>5.2900373165634467E-4</v>
      </c>
      <c r="IQ72">
        <v>-3.977656803091445E-6</v>
      </c>
      <c r="IR72">
        <v>2</v>
      </c>
      <c r="IS72">
        <v>1759</v>
      </c>
      <c r="IT72">
        <v>2</v>
      </c>
      <c r="IU72">
        <v>42</v>
      </c>
      <c r="IV72">
        <v>2.9</v>
      </c>
      <c r="IW72">
        <v>3.1</v>
      </c>
      <c r="IX72">
        <v>2.9333499999999999</v>
      </c>
      <c r="IY72">
        <v>2.4230999999999998</v>
      </c>
      <c r="IZ72">
        <v>1.54297</v>
      </c>
      <c r="JA72">
        <v>2.3059099999999999</v>
      </c>
      <c r="JB72">
        <v>1.5466299999999999</v>
      </c>
      <c r="JC72">
        <v>2.3852500000000001</v>
      </c>
      <c r="JD72">
        <v>54.525799999999997</v>
      </c>
      <c r="JE72">
        <v>23.982399999999998</v>
      </c>
      <c r="JF72">
        <v>18</v>
      </c>
      <c r="JG72">
        <v>532.13800000000003</v>
      </c>
      <c r="JH72">
        <v>389.98099999999999</v>
      </c>
      <c r="JI72">
        <v>22.878299999999999</v>
      </c>
      <c r="JJ72">
        <v>41.093400000000003</v>
      </c>
      <c r="JK72">
        <v>30.001000000000001</v>
      </c>
      <c r="JL72">
        <v>41.351900000000001</v>
      </c>
      <c r="JM72">
        <v>41.343600000000002</v>
      </c>
      <c r="JN72">
        <v>58.882800000000003</v>
      </c>
      <c r="JO72">
        <v>81.079800000000006</v>
      </c>
      <c r="JP72">
        <v>0</v>
      </c>
      <c r="JQ72">
        <v>22.852799999999998</v>
      </c>
      <c r="JR72">
        <v>1500</v>
      </c>
      <c r="JS72">
        <v>21.6767</v>
      </c>
      <c r="JT72">
        <v>98.111699999999999</v>
      </c>
      <c r="JU72">
        <v>95.892200000000003</v>
      </c>
    </row>
    <row r="73" spans="1:281" x14ac:dyDescent="0.25">
      <c r="A73">
        <v>57</v>
      </c>
      <c r="B73">
        <v>1691175022</v>
      </c>
      <c r="C73">
        <v>14110.5</v>
      </c>
      <c r="D73" t="s">
        <v>705</v>
      </c>
      <c r="E73" t="s">
        <v>706</v>
      </c>
      <c r="F73" t="s">
        <v>413</v>
      </c>
      <c r="G73" t="s">
        <v>707</v>
      </c>
      <c r="H73" t="s">
        <v>563</v>
      </c>
      <c r="I73" t="s">
        <v>31</v>
      </c>
      <c r="J73">
        <v>1691175022</v>
      </c>
      <c r="K73">
        <f t="shared" si="46"/>
        <v>5.1935695743019145E-3</v>
      </c>
      <c r="L73">
        <f t="shared" si="47"/>
        <v>5.1935695743019146</v>
      </c>
      <c r="M73">
        <f t="shared" si="48"/>
        <v>47.682861746666198</v>
      </c>
      <c r="N73">
        <f t="shared" si="49"/>
        <v>340.65499999999997</v>
      </c>
      <c r="O73">
        <f t="shared" si="50"/>
        <v>114.60594124994819</v>
      </c>
      <c r="P73">
        <f t="shared" si="51"/>
        <v>11.363052504130845</v>
      </c>
      <c r="Q73">
        <f t="shared" si="52"/>
        <v>33.775567030617999</v>
      </c>
      <c r="R73">
        <f t="shared" si="53"/>
        <v>0.36639392399307114</v>
      </c>
      <c r="S73">
        <f t="shared" si="54"/>
        <v>2.924157175083439</v>
      </c>
      <c r="T73">
        <f t="shared" si="55"/>
        <v>0.34266654597576629</v>
      </c>
      <c r="U73">
        <f t="shared" si="56"/>
        <v>0.21617022739793601</v>
      </c>
      <c r="V73">
        <f t="shared" si="57"/>
        <v>344.33799998679848</v>
      </c>
      <c r="W73">
        <f t="shared" si="58"/>
        <v>30.804246495850183</v>
      </c>
      <c r="X73">
        <f t="shared" si="59"/>
        <v>29.98</v>
      </c>
      <c r="Y73">
        <f t="shared" si="60"/>
        <v>4.2555578868910438</v>
      </c>
      <c r="Z73">
        <f t="shared" si="61"/>
        <v>65.400047991812471</v>
      </c>
      <c r="AA73">
        <f t="shared" si="62"/>
        <v>2.8063400857310801</v>
      </c>
      <c r="AB73">
        <f t="shared" si="63"/>
        <v>4.2910367375914005</v>
      </c>
      <c r="AC73">
        <f t="shared" si="64"/>
        <v>1.4492178011599637</v>
      </c>
      <c r="AD73">
        <f t="shared" si="65"/>
        <v>-229.03641822671443</v>
      </c>
      <c r="AE73">
        <f t="shared" si="66"/>
        <v>22.795779570700105</v>
      </c>
      <c r="AF73">
        <f t="shared" si="67"/>
        <v>1.734274035277904</v>
      </c>
      <c r="AG73">
        <f t="shared" si="68"/>
        <v>139.83163536606207</v>
      </c>
      <c r="AH73">
        <v>0</v>
      </c>
      <c r="AI73">
        <v>0</v>
      </c>
      <c r="AJ73">
        <f t="shared" si="69"/>
        <v>1</v>
      </c>
      <c r="AK73">
        <f t="shared" si="70"/>
        <v>0</v>
      </c>
      <c r="AL73">
        <f t="shared" si="71"/>
        <v>52157.33578480906</v>
      </c>
      <c r="AM73" t="s">
        <v>414</v>
      </c>
      <c r="AN73">
        <v>10111.299999999999</v>
      </c>
      <c r="AO73">
        <v>608.58839999999998</v>
      </c>
      <c r="AP73">
        <v>2150.11</v>
      </c>
      <c r="AQ73">
        <f t="shared" si="72"/>
        <v>0.71695010952927984</v>
      </c>
      <c r="AR73">
        <v>-1.1786277417053079</v>
      </c>
      <c r="AS73" t="s">
        <v>708</v>
      </c>
      <c r="AT73">
        <v>8097.22</v>
      </c>
      <c r="AU73">
        <v>693.65339999999992</v>
      </c>
      <c r="AV73">
        <v>1033.81798684142</v>
      </c>
      <c r="AW73">
        <f t="shared" si="73"/>
        <v>0.32903721077702508</v>
      </c>
      <c r="AX73">
        <v>0.5</v>
      </c>
      <c r="AY73">
        <f t="shared" si="74"/>
        <v>1513.0199999933991</v>
      </c>
      <c r="AZ73">
        <f t="shared" si="75"/>
        <v>47.682861746666198</v>
      </c>
      <c r="BA73">
        <f t="shared" si="76"/>
        <v>248.91994032384127</v>
      </c>
      <c r="BB73">
        <f t="shared" si="77"/>
        <v>3.229401428175746E-2</v>
      </c>
      <c r="BC73">
        <f t="shared" si="78"/>
        <v>1.079776157280006</v>
      </c>
      <c r="BD73">
        <f t="shared" si="79"/>
        <v>466.12605117246272</v>
      </c>
      <c r="BE73" t="s">
        <v>709</v>
      </c>
      <c r="BF73">
        <v>527.15</v>
      </c>
      <c r="BG73">
        <f t="shared" si="80"/>
        <v>527.15</v>
      </c>
      <c r="BH73">
        <f t="shared" si="81"/>
        <v>0.49009399458160052</v>
      </c>
      <c r="BI73">
        <f t="shared" si="82"/>
        <v>0.67137572468711515</v>
      </c>
      <c r="BJ73">
        <f t="shared" si="83"/>
        <v>0.68781240028009327</v>
      </c>
      <c r="BK73">
        <f t="shared" si="84"/>
        <v>0.79995512393232637</v>
      </c>
      <c r="BL73">
        <f t="shared" si="85"/>
        <v>0.72414944633833234</v>
      </c>
      <c r="BM73">
        <f t="shared" si="86"/>
        <v>0.51021982054555315</v>
      </c>
      <c r="BN73">
        <f t="shared" si="87"/>
        <v>0.48978017945444685</v>
      </c>
      <c r="BO73">
        <v>7087</v>
      </c>
      <c r="BP73">
        <v>290.00000000000011</v>
      </c>
      <c r="BQ73">
        <v>926.05</v>
      </c>
      <c r="BR73">
        <v>255</v>
      </c>
      <c r="BS73">
        <v>8097.22</v>
      </c>
      <c r="BT73">
        <v>927.5</v>
      </c>
      <c r="BU73">
        <v>-1.45</v>
      </c>
      <c r="BV73">
        <v>300.00000000000011</v>
      </c>
      <c r="BW73">
        <v>19.2</v>
      </c>
      <c r="BX73">
        <v>1033.81798684142</v>
      </c>
      <c r="BY73">
        <v>2.5867413161722119</v>
      </c>
      <c r="BZ73">
        <v>-86.088811564785132</v>
      </c>
      <c r="CA73">
        <v>1.9245139187315481</v>
      </c>
      <c r="CB73">
        <v>0.98620023092514908</v>
      </c>
      <c r="CC73">
        <v>-4.1711470522803199E-3</v>
      </c>
      <c r="CD73">
        <v>289.99999999999989</v>
      </c>
      <c r="CE73">
        <v>925.33</v>
      </c>
      <c r="CF73">
        <v>665</v>
      </c>
      <c r="CG73">
        <v>8090.97</v>
      </c>
      <c r="CH73">
        <v>927.42</v>
      </c>
      <c r="CI73">
        <v>-2.09</v>
      </c>
      <c r="CW73">
        <f t="shared" si="88"/>
        <v>1799.8</v>
      </c>
      <c r="CX73">
        <f t="shared" si="89"/>
        <v>1513.0199999933991</v>
      </c>
      <c r="CY73">
        <f t="shared" si="90"/>
        <v>0.84066007333781489</v>
      </c>
      <c r="CZ73">
        <f t="shared" si="91"/>
        <v>0.1913201466756298</v>
      </c>
      <c r="DA73">
        <v>6</v>
      </c>
      <c r="DB73">
        <v>0.5</v>
      </c>
      <c r="DC73" t="s">
        <v>417</v>
      </c>
      <c r="DD73">
        <v>2</v>
      </c>
      <c r="DE73">
        <v>1691175022</v>
      </c>
      <c r="DF73">
        <v>340.65499999999997</v>
      </c>
      <c r="DG73">
        <v>399.98099999999999</v>
      </c>
      <c r="DH73">
        <v>28.304300000000001</v>
      </c>
      <c r="DI73">
        <v>22.2501</v>
      </c>
      <c r="DJ73">
        <v>338.19900000000001</v>
      </c>
      <c r="DK73">
        <v>28.150700000000001</v>
      </c>
      <c r="DL73">
        <v>500.13900000000001</v>
      </c>
      <c r="DM73">
        <v>99.049099999999996</v>
      </c>
      <c r="DN73">
        <v>9.9795599999999998E-2</v>
      </c>
      <c r="DO73">
        <v>30.124600000000001</v>
      </c>
      <c r="DP73">
        <v>29.98</v>
      </c>
      <c r="DQ73">
        <v>999.9</v>
      </c>
      <c r="DR73">
        <v>0</v>
      </c>
      <c r="DS73">
        <v>0</v>
      </c>
      <c r="DT73">
        <v>10065</v>
      </c>
      <c r="DU73">
        <v>0</v>
      </c>
      <c r="DV73">
        <v>1940.53</v>
      </c>
      <c r="DW73">
        <v>-59.325699999999998</v>
      </c>
      <c r="DX73">
        <v>350.57799999999997</v>
      </c>
      <c r="DY73">
        <v>409.08300000000003</v>
      </c>
      <c r="DZ73">
        <v>6.0541700000000001</v>
      </c>
      <c r="EA73">
        <v>399.98099999999999</v>
      </c>
      <c r="EB73">
        <v>22.2501</v>
      </c>
      <c r="EC73">
        <v>2.8035100000000002</v>
      </c>
      <c r="ED73">
        <v>2.2038500000000001</v>
      </c>
      <c r="EE73">
        <v>22.904800000000002</v>
      </c>
      <c r="EF73">
        <v>18.990400000000001</v>
      </c>
      <c r="EG73">
        <v>1799.8</v>
      </c>
      <c r="EH73">
        <v>0.97799899999999995</v>
      </c>
      <c r="EI73">
        <v>2.2001E-2</v>
      </c>
      <c r="EJ73">
        <v>0</v>
      </c>
      <c r="EK73">
        <v>696.03499999999997</v>
      </c>
      <c r="EL73">
        <v>0.10001</v>
      </c>
      <c r="EM73">
        <v>18008.7</v>
      </c>
      <c r="EN73">
        <v>16351.6</v>
      </c>
      <c r="EO73">
        <v>47.625</v>
      </c>
      <c r="EP73">
        <v>49.75</v>
      </c>
      <c r="EQ73">
        <v>49.061999999999998</v>
      </c>
      <c r="ER73">
        <v>48.561999999999998</v>
      </c>
      <c r="ES73">
        <v>49.125</v>
      </c>
      <c r="ET73">
        <v>1760.1</v>
      </c>
      <c r="EU73">
        <v>39.6</v>
      </c>
      <c r="EV73">
        <v>0</v>
      </c>
      <c r="EW73">
        <v>1795.3999998569491</v>
      </c>
      <c r="EX73">
        <v>0</v>
      </c>
      <c r="EY73">
        <v>693.65339999999992</v>
      </c>
      <c r="EZ73">
        <v>-0.63499995095813189</v>
      </c>
      <c r="FA73">
        <v>31.930769425526861</v>
      </c>
      <c r="FB73">
        <v>17999.027999999998</v>
      </c>
      <c r="FC73">
        <v>15</v>
      </c>
      <c r="FD73">
        <v>1691174987.5</v>
      </c>
      <c r="FE73" t="s">
        <v>710</v>
      </c>
      <c r="FF73">
        <v>1691174982</v>
      </c>
      <c r="FG73">
        <v>1691174987.5</v>
      </c>
      <c r="FH73">
        <v>65</v>
      </c>
      <c r="FI73">
        <v>0.13200000000000001</v>
      </c>
      <c r="FJ73">
        <v>-0.06</v>
      </c>
      <c r="FK73">
        <v>2.585</v>
      </c>
      <c r="FL73">
        <v>4.4999999999999998E-2</v>
      </c>
      <c r="FM73">
        <v>400</v>
      </c>
      <c r="FN73">
        <v>22</v>
      </c>
      <c r="FO73">
        <v>0.09</v>
      </c>
      <c r="FP73">
        <v>0.04</v>
      </c>
      <c r="FQ73">
        <v>47.683662452271747</v>
      </c>
      <c r="FR73">
        <v>-0.69471089488639415</v>
      </c>
      <c r="FS73">
        <v>0.1430619037905857</v>
      </c>
      <c r="FT73">
        <v>1</v>
      </c>
      <c r="FU73">
        <v>0.37376450848297688</v>
      </c>
      <c r="FV73">
        <v>-2.1816694889326419E-2</v>
      </c>
      <c r="FW73">
        <v>4.058221979615805E-3</v>
      </c>
      <c r="FX73">
        <v>1</v>
      </c>
      <c r="FY73">
        <v>2</v>
      </c>
      <c r="FZ73">
        <v>2</v>
      </c>
      <c r="GA73" t="s">
        <v>419</v>
      </c>
      <c r="GB73">
        <v>2.8826800000000001</v>
      </c>
      <c r="GC73">
        <v>2.8215599999999998</v>
      </c>
      <c r="GD73">
        <v>7.5647199999999998E-2</v>
      </c>
      <c r="GE73">
        <v>8.6772000000000002E-2</v>
      </c>
      <c r="GF73">
        <v>0.12750300000000001</v>
      </c>
      <c r="GG73">
        <v>0.10859199999999999</v>
      </c>
      <c r="GH73">
        <v>28306.799999999999</v>
      </c>
      <c r="GI73">
        <v>26084.7</v>
      </c>
      <c r="GJ73">
        <v>28196.9</v>
      </c>
      <c r="GK73">
        <v>26832.5</v>
      </c>
      <c r="GL73">
        <v>34724.5</v>
      </c>
      <c r="GM73">
        <v>33420.199999999997</v>
      </c>
      <c r="GN73">
        <v>41484.699999999997</v>
      </c>
      <c r="GO73">
        <v>38836.699999999997</v>
      </c>
      <c r="GP73">
        <v>1.9911000000000001</v>
      </c>
      <c r="GQ73">
        <v>1.6202000000000001</v>
      </c>
      <c r="GR73">
        <v>-4.0456699999999998E-2</v>
      </c>
      <c r="GS73">
        <v>0</v>
      </c>
      <c r="GT73">
        <v>30.638000000000002</v>
      </c>
      <c r="GU73">
        <v>999.9</v>
      </c>
      <c r="GV73">
        <v>42.3</v>
      </c>
      <c r="GW73">
        <v>49.3</v>
      </c>
      <c r="GX73">
        <v>51.213799999999999</v>
      </c>
      <c r="GY73">
        <v>62.493600000000001</v>
      </c>
      <c r="GZ73">
        <v>29.775600000000001</v>
      </c>
      <c r="HA73">
        <v>1</v>
      </c>
      <c r="HB73">
        <v>1.08345</v>
      </c>
      <c r="HC73">
        <v>4.6520700000000001</v>
      </c>
      <c r="HD73">
        <v>20.181799999999999</v>
      </c>
      <c r="HE73">
        <v>5.2071100000000001</v>
      </c>
      <c r="HF73">
        <v>11.997999999999999</v>
      </c>
      <c r="HG73">
        <v>4.9882</v>
      </c>
      <c r="HH73">
        <v>3.2909999999999999</v>
      </c>
      <c r="HI73">
        <v>9999</v>
      </c>
      <c r="HJ73">
        <v>9999</v>
      </c>
      <c r="HK73">
        <v>9999</v>
      </c>
      <c r="HL73">
        <v>999.9</v>
      </c>
      <c r="HM73">
        <v>1.8669100000000001</v>
      </c>
      <c r="HN73">
        <v>1.86694</v>
      </c>
      <c r="HO73">
        <v>1.8635600000000001</v>
      </c>
      <c r="HP73">
        <v>1.86473</v>
      </c>
      <c r="HQ73">
        <v>1.86426</v>
      </c>
      <c r="HR73">
        <v>1.86005</v>
      </c>
      <c r="HS73">
        <v>1.86328</v>
      </c>
      <c r="HT73">
        <v>1.8661399999999999</v>
      </c>
      <c r="HU73">
        <v>5</v>
      </c>
      <c r="HV73">
        <v>0</v>
      </c>
      <c r="HW73">
        <v>0</v>
      </c>
      <c r="HX73">
        <v>0</v>
      </c>
      <c r="HY73" t="s">
        <v>420</v>
      </c>
      <c r="HZ73" t="s">
        <v>421</v>
      </c>
      <c r="IA73" t="s">
        <v>422</v>
      </c>
      <c r="IB73" t="s">
        <v>422</v>
      </c>
      <c r="IC73" t="s">
        <v>422</v>
      </c>
      <c r="ID73" t="s">
        <v>422</v>
      </c>
      <c r="IE73">
        <v>0</v>
      </c>
      <c r="IF73">
        <v>100</v>
      </c>
      <c r="IG73">
        <v>100</v>
      </c>
      <c r="IH73">
        <v>2.456</v>
      </c>
      <c r="II73">
        <v>0.15359999999999999</v>
      </c>
      <c r="IJ73">
        <v>1.4852399427054841</v>
      </c>
      <c r="IK73">
        <v>3.5576830062418229E-3</v>
      </c>
      <c r="IL73">
        <v>-2.2646740813029151E-6</v>
      </c>
      <c r="IM73">
        <v>6.9609298295988525E-10</v>
      </c>
      <c r="IN73">
        <v>-0.15030869797405391</v>
      </c>
      <c r="IO73">
        <v>-9.4437069492282083E-4</v>
      </c>
      <c r="IP73">
        <v>5.2900373165634467E-4</v>
      </c>
      <c r="IQ73">
        <v>-3.977656803091445E-6</v>
      </c>
      <c r="IR73">
        <v>2</v>
      </c>
      <c r="IS73">
        <v>1759</v>
      </c>
      <c r="IT73">
        <v>2</v>
      </c>
      <c r="IU73">
        <v>42</v>
      </c>
      <c r="IV73">
        <v>0.7</v>
      </c>
      <c r="IW73">
        <v>0.6</v>
      </c>
      <c r="IX73">
        <v>1.0022</v>
      </c>
      <c r="IY73">
        <v>2.4658199999999999</v>
      </c>
      <c r="IZ73">
        <v>1.54297</v>
      </c>
      <c r="JA73">
        <v>2.2973599999999998</v>
      </c>
      <c r="JB73">
        <v>1.5466299999999999</v>
      </c>
      <c r="JC73">
        <v>2.4255399999999998</v>
      </c>
      <c r="JD73">
        <v>50.347900000000003</v>
      </c>
      <c r="JE73">
        <v>24.061199999999999</v>
      </c>
      <c r="JF73">
        <v>18</v>
      </c>
      <c r="JG73">
        <v>534.93499999999995</v>
      </c>
      <c r="JH73">
        <v>393.89299999999997</v>
      </c>
      <c r="JI73">
        <v>24.622</v>
      </c>
      <c r="JJ73">
        <v>39.972099999999998</v>
      </c>
      <c r="JK73">
        <v>29.9998</v>
      </c>
      <c r="JL73">
        <v>40.447000000000003</v>
      </c>
      <c r="JM73">
        <v>40.420900000000003</v>
      </c>
      <c r="JN73">
        <v>20.1752</v>
      </c>
      <c r="JO73">
        <v>62.655999999999999</v>
      </c>
      <c r="JP73">
        <v>0</v>
      </c>
      <c r="JQ73">
        <v>24.6356</v>
      </c>
      <c r="JR73">
        <v>400</v>
      </c>
      <c r="JS73">
        <v>22.244199999999999</v>
      </c>
      <c r="JT73">
        <v>98.290700000000001</v>
      </c>
      <c r="JU73">
        <v>96.086600000000004</v>
      </c>
    </row>
    <row r="74" spans="1:281" x14ac:dyDescent="0.25">
      <c r="A74">
        <v>58</v>
      </c>
      <c r="B74">
        <v>1691175142</v>
      </c>
      <c r="C74">
        <v>14230.5</v>
      </c>
      <c r="D74" t="s">
        <v>711</v>
      </c>
      <c r="E74" t="s">
        <v>712</v>
      </c>
      <c r="F74" t="s">
        <v>413</v>
      </c>
      <c r="G74" t="s">
        <v>707</v>
      </c>
      <c r="H74" t="s">
        <v>563</v>
      </c>
      <c r="I74" t="s">
        <v>31</v>
      </c>
      <c r="J74">
        <v>1691175142</v>
      </c>
      <c r="K74">
        <f t="shared" si="46"/>
        <v>4.9543825016970713E-3</v>
      </c>
      <c r="L74">
        <f t="shared" si="47"/>
        <v>4.9543825016970713</v>
      </c>
      <c r="M74">
        <f t="shared" si="48"/>
        <v>37.540143811534172</v>
      </c>
      <c r="N74">
        <f t="shared" si="49"/>
        <v>253.37700000000001</v>
      </c>
      <c r="O74">
        <f t="shared" si="50"/>
        <v>68.280878249047461</v>
      </c>
      <c r="P74">
        <f t="shared" si="51"/>
        <v>6.7699506105385323</v>
      </c>
      <c r="Q74">
        <f t="shared" si="52"/>
        <v>25.121964155028301</v>
      </c>
      <c r="R74">
        <f t="shared" si="53"/>
        <v>0.35024009655158272</v>
      </c>
      <c r="S74">
        <f t="shared" si="54"/>
        <v>2.9163064466719897</v>
      </c>
      <c r="T74">
        <f t="shared" si="55"/>
        <v>0.32843757172951982</v>
      </c>
      <c r="U74">
        <f t="shared" si="56"/>
        <v>0.20711915263617306</v>
      </c>
      <c r="V74">
        <f t="shared" si="57"/>
        <v>344.36019998680274</v>
      </c>
      <c r="W74">
        <f t="shared" si="58"/>
        <v>30.85961382616664</v>
      </c>
      <c r="X74">
        <f t="shared" si="59"/>
        <v>30.000499999999999</v>
      </c>
      <c r="Y74">
        <f t="shared" si="60"/>
        <v>4.2605721323247909</v>
      </c>
      <c r="Z74">
        <f t="shared" si="61"/>
        <v>65.712816201186101</v>
      </c>
      <c r="AA74">
        <f t="shared" si="62"/>
        <v>2.8183374177306599</v>
      </c>
      <c r="AB74">
        <f t="shared" si="63"/>
        <v>4.2888702397140452</v>
      </c>
      <c r="AC74">
        <f t="shared" si="64"/>
        <v>1.442234714594131</v>
      </c>
      <c r="AD74">
        <f t="shared" si="65"/>
        <v>-218.48826832484085</v>
      </c>
      <c r="AE74">
        <f t="shared" si="66"/>
        <v>18.127917186538838</v>
      </c>
      <c r="AF74">
        <f t="shared" si="67"/>
        <v>1.3829417170985256</v>
      </c>
      <c r="AG74">
        <f t="shared" si="68"/>
        <v>145.38279056559924</v>
      </c>
      <c r="AH74">
        <v>0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51935.294498425486</v>
      </c>
      <c r="AM74" t="s">
        <v>414</v>
      </c>
      <c r="AN74">
        <v>10111.299999999999</v>
      </c>
      <c r="AO74">
        <v>608.58839999999998</v>
      </c>
      <c r="AP74">
        <v>2150.11</v>
      </c>
      <c r="AQ74">
        <f t="shared" si="72"/>
        <v>0.71695010952927984</v>
      </c>
      <c r="AR74">
        <v>-1.1786277417053079</v>
      </c>
      <c r="AS74" t="s">
        <v>713</v>
      </c>
      <c r="AT74">
        <v>8096.21</v>
      </c>
      <c r="AU74">
        <v>676.12480769230763</v>
      </c>
      <c r="AV74">
        <v>936.851872207155</v>
      </c>
      <c r="AW74">
        <f t="shared" si="73"/>
        <v>0.27830126858859061</v>
      </c>
      <c r="AX74">
        <v>0.5</v>
      </c>
      <c r="AY74">
        <f t="shared" si="74"/>
        <v>1513.1204999934014</v>
      </c>
      <c r="AZ74">
        <f t="shared" si="75"/>
        <v>37.540143811534172</v>
      </c>
      <c r="BA74">
        <f t="shared" si="76"/>
        <v>210.55167733778305</v>
      </c>
      <c r="BB74">
        <f t="shared" si="77"/>
        <v>2.5588690096663369E-2</v>
      </c>
      <c r="BC74">
        <f t="shared" si="78"/>
        <v>1.2950373092968233</v>
      </c>
      <c r="BD74">
        <f t="shared" si="79"/>
        <v>445.34328894195278</v>
      </c>
      <c r="BE74" t="s">
        <v>714</v>
      </c>
      <c r="BF74">
        <v>516.30999999999995</v>
      </c>
      <c r="BG74">
        <f t="shared" si="80"/>
        <v>516.30999999999995</v>
      </c>
      <c r="BH74">
        <f t="shared" si="81"/>
        <v>0.44888832982357063</v>
      </c>
      <c r="BI74">
        <f t="shared" si="82"/>
        <v>0.61997884573647311</v>
      </c>
      <c r="BJ74">
        <f t="shared" si="83"/>
        <v>0.74259892752653023</v>
      </c>
      <c r="BK74">
        <f t="shared" si="84"/>
        <v>0.79426158128953228</v>
      </c>
      <c r="BL74">
        <f t="shared" si="85"/>
        <v>0.78705230454950825</v>
      </c>
      <c r="BM74">
        <f t="shared" si="86"/>
        <v>0.47343519155101138</v>
      </c>
      <c r="BN74">
        <f t="shared" si="87"/>
        <v>0.52656480844898867</v>
      </c>
      <c r="BO74">
        <v>7089</v>
      </c>
      <c r="BP74">
        <v>290.00000000000011</v>
      </c>
      <c r="BQ74">
        <v>856.85</v>
      </c>
      <c r="BR74">
        <v>255</v>
      </c>
      <c r="BS74">
        <v>8096.21</v>
      </c>
      <c r="BT74">
        <v>857.23</v>
      </c>
      <c r="BU74">
        <v>-0.38</v>
      </c>
      <c r="BV74">
        <v>300.00000000000011</v>
      </c>
      <c r="BW74">
        <v>19.2</v>
      </c>
      <c r="BX74">
        <v>936.851872207155</v>
      </c>
      <c r="BY74">
        <v>2.8281370552995928</v>
      </c>
      <c r="BZ74">
        <v>-64.463659494595859</v>
      </c>
      <c r="CA74">
        <v>2.1038544083164581</v>
      </c>
      <c r="CB74">
        <v>0.97104012649245408</v>
      </c>
      <c r="CC74">
        <v>-4.1706553948831996E-3</v>
      </c>
      <c r="CD74">
        <v>289.99999999999989</v>
      </c>
      <c r="CE74">
        <v>856.24</v>
      </c>
      <c r="CF74">
        <v>685</v>
      </c>
      <c r="CG74">
        <v>8089.59</v>
      </c>
      <c r="CH74">
        <v>857.16</v>
      </c>
      <c r="CI74">
        <v>-0.92</v>
      </c>
      <c r="CW74">
        <f t="shared" si="88"/>
        <v>1799.92</v>
      </c>
      <c r="CX74">
        <f t="shared" si="89"/>
        <v>1513.1204999934014</v>
      </c>
      <c r="CY74">
        <f t="shared" si="90"/>
        <v>0.84065986265689663</v>
      </c>
      <c r="CZ74">
        <f t="shared" si="91"/>
        <v>0.19131972531379324</v>
      </c>
      <c r="DA74">
        <v>6</v>
      </c>
      <c r="DB74">
        <v>0.5</v>
      </c>
      <c r="DC74" t="s">
        <v>417</v>
      </c>
      <c r="DD74">
        <v>2</v>
      </c>
      <c r="DE74">
        <v>1691175142</v>
      </c>
      <c r="DF74">
        <v>253.37700000000001</v>
      </c>
      <c r="DG74">
        <v>299.923</v>
      </c>
      <c r="DH74">
        <v>28.4254</v>
      </c>
      <c r="DI74">
        <v>22.650200000000002</v>
      </c>
      <c r="DJ74">
        <v>251.04599999999999</v>
      </c>
      <c r="DK74">
        <v>28.266300000000001</v>
      </c>
      <c r="DL74">
        <v>500.09199999999998</v>
      </c>
      <c r="DM74">
        <v>99.048900000000003</v>
      </c>
      <c r="DN74">
        <v>9.9657899999999994E-2</v>
      </c>
      <c r="DO74">
        <v>30.1158</v>
      </c>
      <c r="DP74">
        <v>30.000499999999999</v>
      </c>
      <c r="DQ74">
        <v>999.9</v>
      </c>
      <c r="DR74">
        <v>0</v>
      </c>
      <c r="DS74">
        <v>0</v>
      </c>
      <c r="DT74">
        <v>10020</v>
      </c>
      <c r="DU74">
        <v>0</v>
      </c>
      <c r="DV74">
        <v>1906.58</v>
      </c>
      <c r="DW74">
        <v>-46.546799999999998</v>
      </c>
      <c r="DX74">
        <v>260.79000000000002</v>
      </c>
      <c r="DY74">
        <v>306.87400000000002</v>
      </c>
      <c r="DZ74">
        <v>5.7752800000000004</v>
      </c>
      <c r="EA74">
        <v>299.923</v>
      </c>
      <c r="EB74">
        <v>22.650200000000002</v>
      </c>
      <c r="EC74">
        <v>2.8155100000000002</v>
      </c>
      <c r="ED74">
        <v>2.2434699999999999</v>
      </c>
      <c r="EE74">
        <v>22.975300000000001</v>
      </c>
      <c r="EF74">
        <v>19.276199999999999</v>
      </c>
      <c r="EG74">
        <v>1799.92</v>
      </c>
      <c r="EH74">
        <v>0.97800299999999996</v>
      </c>
      <c r="EI74">
        <v>2.19974E-2</v>
      </c>
      <c r="EJ74">
        <v>0</v>
      </c>
      <c r="EK74">
        <v>677.97500000000002</v>
      </c>
      <c r="EL74">
        <v>0.10001</v>
      </c>
      <c r="EM74">
        <v>17619.599999999999</v>
      </c>
      <c r="EN74">
        <v>16352.8</v>
      </c>
      <c r="EO74">
        <v>47.686999999999998</v>
      </c>
      <c r="EP74">
        <v>49.936999999999998</v>
      </c>
      <c r="EQ74">
        <v>49.125</v>
      </c>
      <c r="ER74">
        <v>48.875</v>
      </c>
      <c r="ES74">
        <v>49.186999999999998</v>
      </c>
      <c r="ET74">
        <v>1760.23</v>
      </c>
      <c r="EU74">
        <v>39.590000000000003</v>
      </c>
      <c r="EV74">
        <v>0</v>
      </c>
      <c r="EW74">
        <v>117.5999999046326</v>
      </c>
      <c r="EX74">
        <v>0</v>
      </c>
      <c r="EY74">
        <v>676.12480769230763</v>
      </c>
      <c r="EZ74">
        <v>-3.2555555981949702</v>
      </c>
      <c r="FA74">
        <v>-185.96239325265219</v>
      </c>
      <c r="FB74">
        <v>17656.076923076918</v>
      </c>
      <c r="FC74">
        <v>15</v>
      </c>
      <c r="FD74">
        <v>1691175101.5</v>
      </c>
      <c r="FE74" t="s">
        <v>715</v>
      </c>
      <c r="FF74">
        <v>1691175090</v>
      </c>
      <c r="FG74">
        <v>1691175101.5</v>
      </c>
      <c r="FH74">
        <v>66</v>
      </c>
      <c r="FI74">
        <v>8.4000000000000005E-2</v>
      </c>
      <c r="FJ74">
        <v>3.0000000000000001E-3</v>
      </c>
      <c r="FK74">
        <v>2.4449999999999998</v>
      </c>
      <c r="FL74">
        <v>4.8000000000000001E-2</v>
      </c>
      <c r="FM74">
        <v>300</v>
      </c>
      <c r="FN74">
        <v>22</v>
      </c>
      <c r="FO74">
        <v>0.12</v>
      </c>
      <c r="FP74">
        <v>0.02</v>
      </c>
      <c r="FQ74">
        <v>37.565232487280753</v>
      </c>
      <c r="FR74">
        <v>-4.3779938806810158E-2</v>
      </c>
      <c r="FS74">
        <v>5.9429876742061509E-2</v>
      </c>
      <c r="FT74">
        <v>1</v>
      </c>
      <c r="FU74">
        <v>0.34593931069886558</v>
      </c>
      <c r="FV74">
        <v>3.7879812930162113E-2</v>
      </c>
      <c r="FW74">
        <v>3.9350745485715816E-3</v>
      </c>
      <c r="FX74">
        <v>1</v>
      </c>
      <c r="FY74">
        <v>2</v>
      </c>
      <c r="FZ74">
        <v>2</v>
      </c>
      <c r="GA74" t="s">
        <v>419</v>
      </c>
      <c r="GB74">
        <v>2.8825699999999999</v>
      </c>
      <c r="GC74">
        <v>2.8210299999999999</v>
      </c>
      <c r="GD74">
        <v>5.9124599999999999E-2</v>
      </c>
      <c r="GE74">
        <v>6.9003499999999995E-2</v>
      </c>
      <c r="GF74">
        <v>0.12787299999999999</v>
      </c>
      <c r="GG74">
        <v>0.109954</v>
      </c>
      <c r="GH74">
        <v>28812.7</v>
      </c>
      <c r="GI74">
        <v>26591.7</v>
      </c>
      <c r="GJ74">
        <v>28197.4</v>
      </c>
      <c r="GK74">
        <v>26832.5</v>
      </c>
      <c r="GL74">
        <v>34710.5</v>
      </c>
      <c r="GM74">
        <v>33368.400000000001</v>
      </c>
      <c r="GN74">
        <v>41485.699999999997</v>
      </c>
      <c r="GO74">
        <v>38835.699999999997</v>
      </c>
      <c r="GP74">
        <v>1.9904999999999999</v>
      </c>
      <c r="GQ74">
        <v>1.6221000000000001</v>
      </c>
      <c r="GR74">
        <v>-5.0559600000000003E-2</v>
      </c>
      <c r="GS74">
        <v>0</v>
      </c>
      <c r="GT74">
        <v>30.822700000000001</v>
      </c>
      <c r="GU74">
        <v>999.9</v>
      </c>
      <c r="GV74">
        <v>42.4</v>
      </c>
      <c r="GW74">
        <v>49.1</v>
      </c>
      <c r="GX74">
        <v>50.8249</v>
      </c>
      <c r="GY74">
        <v>62.643599999999999</v>
      </c>
      <c r="GZ74">
        <v>29.395</v>
      </c>
      <c r="HA74">
        <v>1</v>
      </c>
      <c r="HB74">
        <v>1.0789899999999999</v>
      </c>
      <c r="HC74">
        <v>3.6819199999999999</v>
      </c>
      <c r="HD74">
        <v>20.205400000000001</v>
      </c>
      <c r="HE74">
        <v>5.2095000000000002</v>
      </c>
      <c r="HF74">
        <v>11.997999999999999</v>
      </c>
      <c r="HG74">
        <v>4.9871999999999996</v>
      </c>
      <c r="HH74">
        <v>3.2909999999999999</v>
      </c>
      <c r="HI74">
        <v>9999</v>
      </c>
      <c r="HJ74">
        <v>9999</v>
      </c>
      <c r="HK74">
        <v>9999</v>
      </c>
      <c r="HL74">
        <v>999.9</v>
      </c>
      <c r="HM74">
        <v>1.8668899999999999</v>
      </c>
      <c r="HN74">
        <v>1.86694</v>
      </c>
      <c r="HO74">
        <v>1.8635600000000001</v>
      </c>
      <c r="HP74">
        <v>1.8647199999999999</v>
      </c>
      <c r="HQ74">
        <v>1.86425</v>
      </c>
      <c r="HR74">
        <v>1.86005</v>
      </c>
      <c r="HS74">
        <v>1.8632500000000001</v>
      </c>
      <c r="HT74">
        <v>1.8661399999999999</v>
      </c>
      <c r="HU74">
        <v>5</v>
      </c>
      <c r="HV74">
        <v>0</v>
      </c>
      <c r="HW74">
        <v>0</v>
      </c>
      <c r="HX74">
        <v>0</v>
      </c>
      <c r="HY74" t="s">
        <v>420</v>
      </c>
      <c r="HZ74" t="s">
        <v>421</v>
      </c>
      <c r="IA74" t="s">
        <v>422</v>
      </c>
      <c r="IB74" t="s">
        <v>422</v>
      </c>
      <c r="IC74" t="s">
        <v>422</v>
      </c>
      <c r="ID74" t="s">
        <v>422</v>
      </c>
      <c r="IE74">
        <v>0</v>
      </c>
      <c r="IF74">
        <v>100</v>
      </c>
      <c r="IG74">
        <v>100</v>
      </c>
      <c r="IH74">
        <v>2.331</v>
      </c>
      <c r="II74">
        <v>0.15909999999999999</v>
      </c>
      <c r="IJ74">
        <v>1.569047601776639</v>
      </c>
      <c r="IK74">
        <v>3.5576830062418229E-3</v>
      </c>
      <c r="IL74">
        <v>-2.2646740813029151E-6</v>
      </c>
      <c r="IM74">
        <v>6.9609298295988525E-10</v>
      </c>
      <c r="IN74">
        <v>-0.14699168318247191</v>
      </c>
      <c r="IO74">
        <v>-9.4437069492282083E-4</v>
      </c>
      <c r="IP74">
        <v>5.2900373165634467E-4</v>
      </c>
      <c r="IQ74">
        <v>-3.977656803091445E-6</v>
      </c>
      <c r="IR74">
        <v>2</v>
      </c>
      <c r="IS74">
        <v>1759</v>
      </c>
      <c r="IT74">
        <v>2</v>
      </c>
      <c r="IU74">
        <v>42</v>
      </c>
      <c r="IV74">
        <v>0.9</v>
      </c>
      <c r="IW74">
        <v>0.7</v>
      </c>
      <c r="IX74">
        <v>0.79101600000000005</v>
      </c>
      <c r="IY74">
        <v>2.4572799999999999</v>
      </c>
      <c r="IZ74">
        <v>1.54297</v>
      </c>
      <c r="JA74">
        <v>2.2985799999999998</v>
      </c>
      <c r="JB74">
        <v>1.5466299999999999</v>
      </c>
      <c r="JC74">
        <v>2.36938</v>
      </c>
      <c r="JD74">
        <v>50.283200000000001</v>
      </c>
      <c r="JE74">
        <v>24.07</v>
      </c>
      <c r="JF74">
        <v>18</v>
      </c>
      <c r="JG74">
        <v>534.26499999999999</v>
      </c>
      <c r="JH74">
        <v>394.9</v>
      </c>
      <c r="JI74">
        <v>24.1355</v>
      </c>
      <c r="JJ74">
        <v>39.972099999999998</v>
      </c>
      <c r="JK74">
        <v>29.992100000000001</v>
      </c>
      <c r="JL74">
        <v>40.411099999999998</v>
      </c>
      <c r="JM74">
        <v>40.389200000000002</v>
      </c>
      <c r="JN74">
        <v>15.942600000000001</v>
      </c>
      <c r="JO74">
        <v>61.863799999999998</v>
      </c>
      <c r="JP74">
        <v>0</v>
      </c>
      <c r="JQ74">
        <v>24.390699999999999</v>
      </c>
      <c r="JR74">
        <v>300</v>
      </c>
      <c r="JS74">
        <v>22.481200000000001</v>
      </c>
      <c r="JT74">
        <v>98.2928</v>
      </c>
      <c r="JU74">
        <v>96.0852</v>
      </c>
    </row>
    <row r="75" spans="1:281" x14ac:dyDescent="0.25">
      <c r="A75">
        <v>59</v>
      </c>
      <c r="B75">
        <v>1691175258</v>
      </c>
      <c r="C75">
        <v>14346.5</v>
      </c>
      <c r="D75" t="s">
        <v>716</v>
      </c>
      <c r="E75" t="s">
        <v>717</v>
      </c>
      <c r="F75" t="s">
        <v>413</v>
      </c>
      <c r="G75" t="s">
        <v>707</v>
      </c>
      <c r="H75" t="s">
        <v>563</v>
      </c>
      <c r="I75" t="s">
        <v>31</v>
      </c>
      <c r="J75">
        <v>1691175258</v>
      </c>
      <c r="K75">
        <f t="shared" si="46"/>
        <v>5.498967982434968E-3</v>
      </c>
      <c r="L75">
        <f t="shared" si="47"/>
        <v>5.4989679824349684</v>
      </c>
      <c r="M75">
        <f t="shared" si="48"/>
        <v>26.354528380026363</v>
      </c>
      <c r="N75">
        <f t="shared" si="49"/>
        <v>167.28399999999999</v>
      </c>
      <c r="O75">
        <f t="shared" si="50"/>
        <v>50.082260690227109</v>
      </c>
      <c r="P75">
        <f t="shared" si="51"/>
        <v>4.9661395414162008</v>
      </c>
      <c r="Q75">
        <f t="shared" si="52"/>
        <v>16.587823225168002</v>
      </c>
      <c r="R75">
        <f t="shared" si="53"/>
        <v>0.39128990820307546</v>
      </c>
      <c r="S75">
        <f t="shared" si="54"/>
        <v>2.9191139417918675</v>
      </c>
      <c r="T75">
        <f t="shared" si="55"/>
        <v>0.36431248778698438</v>
      </c>
      <c r="U75">
        <f t="shared" si="56"/>
        <v>0.22996393733362913</v>
      </c>
      <c r="V75">
        <f t="shared" si="57"/>
        <v>344.39629998680414</v>
      </c>
      <c r="W75">
        <f t="shared" si="58"/>
        <v>30.696579049384944</v>
      </c>
      <c r="X75">
        <f t="shared" si="59"/>
        <v>29.978899999999999</v>
      </c>
      <c r="Y75">
        <f t="shared" si="60"/>
        <v>4.2552889752672334</v>
      </c>
      <c r="Z75">
        <f t="shared" si="61"/>
        <v>65.641036218878568</v>
      </c>
      <c r="AA75">
        <f t="shared" si="62"/>
        <v>2.8118999996596004</v>
      </c>
      <c r="AB75">
        <f t="shared" si="63"/>
        <v>4.2837532154175362</v>
      </c>
      <c r="AC75">
        <f t="shared" si="64"/>
        <v>1.443388975607633</v>
      </c>
      <c r="AD75">
        <f t="shared" si="65"/>
        <v>-242.5044880253821</v>
      </c>
      <c r="AE75">
        <f t="shared" si="66"/>
        <v>18.271268943349348</v>
      </c>
      <c r="AF75">
        <f t="shared" si="67"/>
        <v>1.3922449319640651</v>
      </c>
      <c r="AG75">
        <f t="shared" si="68"/>
        <v>121.55532583673545</v>
      </c>
      <c r="AH75">
        <v>0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52018.99855612369</v>
      </c>
      <c r="AM75" t="s">
        <v>414</v>
      </c>
      <c r="AN75">
        <v>10111.299999999999</v>
      </c>
      <c r="AO75">
        <v>608.58839999999998</v>
      </c>
      <c r="AP75">
        <v>2150.11</v>
      </c>
      <c r="AQ75">
        <f t="shared" si="72"/>
        <v>0.71695010952927984</v>
      </c>
      <c r="AR75">
        <v>-1.1786277417053079</v>
      </c>
      <c r="AS75" t="s">
        <v>718</v>
      </c>
      <c r="AT75">
        <v>8095.2</v>
      </c>
      <c r="AU75">
        <v>680.25419999999997</v>
      </c>
      <c r="AV75">
        <v>865.61799411728737</v>
      </c>
      <c r="AW75">
        <f t="shared" si="73"/>
        <v>0.21414041225692382</v>
      </c>
      <c r="AX75">
        <v>0.5</v>
      </c>
      <c r="AY75">
        <f t="shared" si="74"/>
        <v>1513.280099993402</v>
      </c>
      <c r="AZ75">
        <f t="shared" si="75"/>
        <v>26.354528380026363</v>
      </c>
      <c r="BA75">
        <f t="shared" si="76"/>
        <v>162.02721223639301</v>
      </c>
      <c r="BB75">
        <f t="shared" si="77"/>
        <v>1.8194355507517555E-2</v>
      </c>
      <c r="BC75">
        <f t="shared" si="78"/>
        <v>1.4839016917532677</v>
      </c>
      <c r="BD75">
        <f t="shared" si="79"/>
        <v>428.57788382463315</v>
      </c>
      <c r="BE75" t="s">
        <v>719</v>
      </c>
      <c r="BF75">
        <v>507.55</v>
      </c>
      <c r="BG75">
        <f t="shared" si="80"/>
        <v>507.55</v>
      </c>
      <c r="BH75">
        <f t="shared" si="81"/>
        <v>0.41365590427960852</v>
      </c>
      <c r="BI75">
        <f t="shared" si="82"/>
        <v>0.51767763989699223</v>
      </c>
      <c r="BJ75">
        <f t="shared" si="83"/>
        <v>0.78200614034355687</v>
      </c>
      <c r="BK75">
        <f t="shared" si="84"/>
        <v>0.72117685418241162</v>
      </c>
      <c r="BL75">
        <f t="shared" si="85"/>
        <v>0.83326241155668068</v>
      </c>
      <c r="BM75">
        <f t="shared" si="86"/>
        <v>0.38624867899340926</v>
      </c>
      <c r="BN75">
        <f t="shared" si="87"/>
        <v>0.6137513210065908</v>
      </c>
      <c r="BO75">
        <v>7091</v>
      </c>
      <c r="BP75">
        <v>290.00000000000011</v>
      </c>
      <c r="BQ75">
        <v>810.27</v>
      </c>
      <c r="BR75">
        <v>255</v>
      </c>
      <c r="BS75">
        <v>8095.2</v>
      </c>
      <c r="BT75">
        <v>811.73</v>
      </c>
      <c r="BU75">
        <v>-1.46</v>
      </c>
      <c r="BV75">
        <v>300.00000000000011</v>
      </c>
      <c r="BW75">
        <v>19.2</v>
      </c>
      <c r="BX75">
        <v>865.61799411728737</v>
      </c>
      <c r="BY75">
        <v>2.1644554824358568</v>
      </c>
      <c r="BZ75">
        <v>-43.620022154683042</v>
      </c>
      <c r="CA75">
        <v>1.609930189352853</v>
      </c>
      <c r="CB75">
        <v>0.96325961450091091</v>
      </c>
      <c r="CC75">
        <v>-4.17019087875417E-3</v>
      </c>
      <c r="CD75">
        <v>289.99999999999989</v>
      </c>
      <c r="CE75">
        <v>812.33</v>
      </c>
      <c r="CF75">
        <v>835</v>
      </c>
      <c r="CG75">
        <v>8086.27</v>
      </c>
      <c r="CH75">
        <v>811.67</v>
      </c>
      <c r="CI75">
        <v>0.66</v>
      </c>
      <c r="CW75">
        <f t="shared" si="88"/>
        <v>1800.11</v>
      </c>
      <c r="CX75">
        <f t="shared" si="89"/>
        <v>1513.280099993402</v>
      </c>
      <c r="CY75">
        <f t="shared" si="90"/>
        <v>0.84065979300898397</v>
      </c>
      <c r="CZ75">
        <f t="shared" si="91"/>
        <v>0.19131958601796786</v>
      </c>
      <c r="DA75">
        <v>6</v>
      </c>
      <c r="DB75">
        <v>0.5</v>
      </c>
      <c r="DC75" t="s">
        <v>417</v>
      </c>
      <c r="DD75">
        <v>2</v>
      </c>
      <c r="DE75">
        <v>1691175258</v>
      </c>
      <c r="DF75">
        <v>167.28399999999999</v>
      </c>
      <c r="DG75">
        <v>200.00800000000001</v>
      </c>
      <c r="DH75">
        <v>28.357299999999999</v>
      </c>
      <c r="DI75">
        <v>21.9467</v>
      </c>
      <c r="DJ75">
        <v>165.16300000000001</v>
      </c>
      <c r="DK75">
        <v>28.201899999999998</v>
      </c>
      <c r="DL75">
        <v>500.08100000000002</v>
      </c>
      <c r="DM75">
        <v>99.059600000000003</v>
      </c>
      <c r="DN75">
        <v>0.100052</v>
      </c>
      <c r="DO75">
        <v>30.094999999999999</v>
      </c>
      <c r="DP75">
        <v>29.978899999999999</v>
      </c>
      <c r="DQ75">
        <v>999.9</v>
      </c>
      <c r="DR75">
        <v>0</v>
      </c>
      <c r="DS75">
        <v>0</v>
      </c>
      <c r="DT75">
        <v>10035</v>
      </c>
      <c r="DU75">
        <v>0</v>
      </c>
      <c r="DV75">
        <v>1569.57</v>
      </c>
      <c r="DW75">
        <v>-32.724400000000003</v>
      </c>
      <c r="DX75">
        <v>172.166</v>
      </c>
      <c r="DY75">
        <v>204.49600000000001</v>
      </c>
      <c r="DZ75">
        <v>6.4105800000000004</v>
      </c>
      <c r="EA75">
        <v>200.00800000000001</v>
      </c>
      <c r="EB75">
        <v>21.9467</v>
      </c>
      <c r="EC75">
        <v>2.8090600000000001</v>
      </c>
      <c r="ED75">
        <v>2.1740300000000001</v>
      </c>
      <c r="EE75">
        <v>22.9374</v>
      </c>
      <c r="EF75">
        <v>18.772200000000002</v>
      </c>
      <c r="EG75">
        <v>1800.11</v>
      </c>
      <c r="EH75">
        <v>0.97800600000000004</v>
      </c>
      <c r="EI75">
        <v>2.1993800000000001E-2</v>
      </c>
      <c r="EJ75">
        <v>0</v>
      </c>
      <c r="EK75">
        <v>679.5</v>
      </c>
      <c r="EL75">
        <v>0.10001</v>
      </c>
      <c r="EM75">
        <v>17758.599999999999</v>
      </c>
      <c r="EN75">
        <v>16354.5</v>
      </c>
      <c r="EO75">
        <v>47.936999999999998</v>
      </c>
      <c r="EP75">
        <v>50.311999999999998</v>
      </c>
      <c r="EQ75">
        <v>49.375</v>
      </c>
      <c r="ER75">
        <v>49.186999999999998</v>
      </c>
      <c r="ES75">
        <v>49.436999999999998</v>
      </c>
      <c r="ET75">
        <v>1760.42</v>
      </c>
      <c r="EU75">
        <v>39.590000000000003</v>
      </c>
      <c r="EV75">
        <v>0</v>
      </c>
      <c r="EW75">
        <v>113.3999998569489</v>
      </c>
      <c r="EX75">
        <v>0</v>
      </c>
      <c r="EY75">
        <v>680.25419999999997</v>
      </c>
      <c r="EZ75">
        <v>-1.309615423067491</v>
      </c>
      <c r="FA75">
        <v>40.323077204651788</v>
      </c>
      <c r="FB75">
        <v>17763.563999999998</v>
      </c>
      <c r="FC75">
        <v>15</v>
      </c>
      <c r="FD75">
        <v>1691175214.5</v>
      </c>
      <c r="FE75" t="s">
        <v>720</v>
      </c>
      <c r="FF75">
        <v>1691175205</v>
      </c>
      <c r="FG75">
        <v>1691175214.5</v>
      </c>
      <c r="FH75">
        <v>67</v>
      </c>
      <c r="FI75">
        <v>2.3E-2</v>
      </c>
      <c r="FJ75">
        <v>-3.0000000000000001E-3</v>
      </c>
      <c r="FK75">
        <v>2.2120000000000002</v>
      </c>
      <c r="FL75">
        <v>4.5999999999999999E-2</v>
      </c>
      <c r="FM75">
        <v>200</v>
      </c>
      <c r="FN75">
        <v>22</v>
      </c>
      <c r="FO75">
        <v>0.15</v>
      </c>
      <c r="FP75">
        <v>0.03</v>
      </c>
      <c r="FQ75">
        <v>26.228087813673959</v>
      </c>
      <c r="FR75">
        <v>0.57491819687668078</v>
      </c>
      <c r="FS75">
        <v>9.7522029989092332E-2</v>
      </c>
      <c r="FT75">
        <v>1</v>
      </c>
      <c r="FU75">
        <v>0.38835593336241331</v>
      </c>
      <c r="FV75">
        <v>3.0772907384327239E-2</v>
      </c>
      <c r="FW75">
        <v>4.791626888963482E-3</v>
      </c>
      <c r="FX75">
        <v>1</v>
      </c>
      <c r="FY75">
        <v>2</v>
      </c>
      <c r="FZ75">
        <v>2</v>
      </c>
      <c r="GA75" t="s">
        <v>419</v>
      </c>
      <c r="GB75">
        <v>2.8824000000000001</v>
      </c>
      <c r="GC75">
        <v>2.8215499999999998</v>
      </c>
      <c r="GD75">
        <v>4.0835099999999999E-2</v>
      </c>
      <c r="GE75">
        <v>4.8810800000000001E-2</v>
      </c>
      <c r="GF75">
        <v>0.12767899999999999</v>
      </c>
      <c r="GG75">
        <v>0.107569</v>
      </c>
      <c r="GH75">
        <v>29367.1</v>
      </c>
      <c r="GI75">
        <v>27165.1</v>
      </c>
      <c r="GJ75">
        <v>28193.3</v>
      </c>
      <c r="GK75">
        <v>26830.5</v>
      </c>
      <c r="GL75">
        <v>34713.199999999997</v>
      </c>
      <c r="GM75">
        <v>33454.800000000003</v>
      </c>
      <c r="GN75">
        <v>41479.699999999997</v>
      </c>
      <c r="GO75">
        <v>38833</v>
      </c>
      <c r="GP75">
        <v>1.9902</v>
      </c>
      <c r="GQ75">
        <v>1.6215999999999999</v>
      </c>
      <c r="GR75">
        <v>-6.3180899999999998E-2</v>
      </c>
      <c r="GS75">
        <v>0</v>
      </c>
      <c r="GT75">
        <v>31.0062</v>
      </c>
      <c r="GU75">
        <v>999.9</v>
      </c>
      <c r="GV75">
        <v>42.5</v>
      </c>
      <c r="GW75">
        <v>49</v>
      </c>
      <c r="GX75">
        <v>50.679600000000001</v>
      </c>
      <c r="GY75">
        <v>62.563699999999997</v>
      </c>
      <c r="GZ75">
        <v>29.415099999999999</v>
      </c>
      <c r="HA75">
        <v>1</v>
      </c>
      <c r="HB75">
        <v>1.0881700000000001</v>
      </c>
      <c r="HC75">
        <v>4.6784999999999997</v>
      </c>
      <c r="HD75">
        <v>20.1831</v>
      </c>
      <c r="HE75">
        <v>5.2095000000000002</v>
      </c>
      <c r="HF75">
        <v>12.000400000000001</v>
      </c>
      <c r="HG75">
        <v>4.9880000000000004</v>
      </c>
      <c r="HH75">
        <v>3.2909999999999999</v>
      </c>
      <c r="HI75">
        <v>9999</v>
      </c>
      <c r="HJ75">
        <v>9999</v>
      </c>
      <c r="HK75">
        <v>9999</v>
      </c>
      <c r="HL75">
        <v>999.9</v>
      </c>
      <c r="HM75">
        <v>1.8669100000000001</v>
      </c>
      <c r="HN75">
        <v>1.86697</v>
      </c>
      <c r="HO75">
        <v>1.8635600000000001</v>
      </c>
      <c r="HP75">
        <v>1.86473</v>
      </c>
      <c r="HQ75">
        <v>1.86425</v>
      </c>
      <c r="HR75">
        <v>1.86008</v>
      </c>
      <c r="HS75">
        <v>1.8632500000000001</v>
      </c>
      <c r="HT75">
        <v>1.86612</v>
      </c>
      <c r="HU75">
        <v>5</v>
      </c>
      <c r="HV75">
        <v>0</v>
      </c>
      <c r="HW75">
        <v>0</v>
      </c>
      <c r="HX75">
        <v>0</v>
      </c>
      <c r="HY75" t="s">
        <v>420</v>
      </c>
      <c r="HZ75" t="s">
        <v>421</v>
      </c>
      <c r="IA75" t="s">
        <v>422</v>
      </c>
      <c r="IB75" t="s">
        <v>422</v>
      </c>
      <c r="IC75" t="s">
        <v>422</v>
      </c>
      <c r="ID75" t="s">
        <v>422</v>
      </c>
      <c r="IE75">
        <v>0</v>
      </c>
      <c r="IF75">
        <v>100</v>
      </c>
      <c r="IG75">
        <v>100</v>
      </c>
      <c r="IH75">
        <v>2.121</v>
      </c>
      <c r="II75">
        <v>0.15540000000000001</v>
      </c>
      <c r="IJ75">
        <v>1.5916777869880741</v>
      </c>
      <c r="IK75">
        <v>3.5576830062418229E-3</v>
      </c>
      <c r="IL75">
        <v>-2.2646740813029151E-6</v>
      </c>
      <c r="IM75">
        <v>6.9609298295988525E-10</v>
      </c>
      <c r="IN75">
        <v>-0.14949776722975841</v>
      </c>
      <c r="IO75">
        <v>-9.4437069492282083E-4</v>
      </c>
      <c r="IP75">
        <v>5.2900373165634467E-4</v>
      </c>
      <c r="IQ75">
        <v>-3.977656803091445E-6</v>
      </c>
      <c r="IR75">
        <v>2</v>
      </c>
      <c r="IS75">
        <v>1759</v>
      </c>
      <c r="IT75">
        <v>2</v>
      </c>
      <c r="IU75">
        <v>42</v>
      </c>
      <c r="IV75">
        <v>0.9</v>
      </c>
      <c r="IW75">
        <v>0.7</v>
      </c>
      <c r="IX75">
        <v>0.57006800000000002</v>
      </c>
      <c r="IY75">
        <v>2.4584999999999999</v>
      </c>
      <c r="IZ75">
        <v>1.54297</v>
      </c>
      <c r="JA75">
        <v>2.2985799999999998</v>
      </c>
      <c r="JB75">
        <v>1.5466299999999999</v>
      </c>
      <c r="JC75">
        <v>2.4291999999999998</v>
      </c>
      <c r="JD75">
        <v>50.250900000000001</v>
      </c>
      <c r="JE75">
        <v>24.07</v>
      </c>
      <c r="JF75">
        <v>18</v>
      </c>
      <c r="JG75">
        <v>534.24900000000002</v>
      </c>
      <c r="JH75">
        <v>394.762</v>
      </c>
      <c r="JI75">
        <v>24.0486</v>
      </c>
      <c r="JJ75">
        <v>40.055</v>
      </c>
      <c r="JK75">
        <v>29.994599999999998</v>
      </c>
      <c r="JL75">
        <v>40.435000000000002</v>
      </c>
      <c r="JM75">
        <v>40.420099999999998</v>
      </c>
      <c r="JN75">
        <v>11.5291</v>
      </c>
      <c r="JO75">
        <v>62.811500000000002</v>
      </c>
      <c r="JP75">
        <v>0</v>
      </c>
      <c r="JQ75">
        <v>24.159500000000001</v>
      </c>
      <c r="JR75">
        <v>200</v>
      </c>
      <c r="JS75">
        <v>21.918600000000001</v>
      </c>
      <c r="JT75">
        <v>98.278499999999994</v>
      </c>
      <c r="JU75">
        <v>96.078100000000006</v>
      </c>
    </row>
    <row r="76" spans="1:281" x14ac:dyDescent="0.25">
      <c r="A76">
        <v>60</v>
      </c>
      <c r="B76">
        <v>1691175365</v>
      </c>
      <c r="C76">
        <v>14453.5</v>
      </c>
      <c r="D76" t="s">
        <v>721</v>
      </c>
      <c r="E76" t="s">
        <v>722</v>
      </c>
      <c r="F76" t="s">
        <v>413</v>
      </c>
      <c r="G76" t="s">
        <v>707</v>
      </c>
      <c r="H76" t="s">
        <v>563</v>
      </c>
      <c r="I76" t="s">
        <v>31</v>
      </c>
      <c r="J76">
        <v>1691175365</v>
      </c>
      <c r="K76">
        <f t="shared" si="46"/>
        <v>5.9804563225888925E-3</v>
      </c>
      <c r="L76">
        <f t="shared" si="47"/>
        <v>5.9804563225888927</v>
      </c>
      <c r="M76">
        <f t="shared" si="48"/>
        <v>16.575887915391242</v>
      </c>
      <c r="N76">
        <f t="shared" si="49"/>
        <v>99.378399999999999</v>
      </c>
      <c r="O76">
        <f t="shared" si="50"/>
        <v>31.604685449538497</v>
      </c>
      <c r="P76">
        <f t="shared" si="51"/>
        <v>3.1340145035362399</v>
      </c>
      <c r="Q76">
        <f t="shared" si="52"/>
        <v>9.8546573872885599</v>
      </c>
      <c r="R76">
        <f t="shared" si="53"/>
        <v>0.42841103676813208</v>
      </c>
      <c r="S76">
        <f t="shared" si="54"/>
        <v>2.9165555469923876</v>
      </c>
      <c r="T76">
        <f t="shared" si="55"/>
        <v>0.39627140218112394</v>
      </c>
      <c r="U76">
        <f t="shared" si="56"/>
        <v>0.25035601691157633</v>
      </c>
      <c r="V76">
        <f t="shared" si="57"/>
        <v>344.39249998680401</v>
      </c>
      <c r="W76">
        <f t="shared" si="58"/>
        <v>30.63665751000509</v>
      </c>
      <c r="X76">
        <f t="shared" si="59"/>
        <v>30.001799999999999</v>
      </c>
      <c r="Y76">
        <f t="shared" si="60"/>
        <v>4.2608902824052919</v>
      </c>
      <c r="Z76">
        <f t="shared" si="61"/>
        <v>65.532454495489475</v>
      </c>
      <c r="AA76">
        <f t="shared" si="62"/>
        <v>2.8177554833118603</v>
      </c>
      <c r="AB76">
        <f t="shared" si="63"/>
        <v>4.299786273846653</v>
      </c>
      <c r="AC76">
        <f t="shared" si="64"/>
        <v>1.4431347990934316</v>
      </c>
      <c r="AD76">
        <f t="shared" si="65"/>
        <v>-263.73812382617018</v>
      </c>
      <c r="AE76">
        <f t="shared" si="66"/>
        <v>24.890671341408591</v>
      </c>
      <c r="AF76">
        <f t="shared" si="67"/>
        <v>1.8991248443387869</v>
      </c>
      <c r="AG76">
        <f t="shared" si="68"/>
        <v>107.44417234638124</v>
      </c>
      <c r="AH76">
        <v>0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51935.097441228449</v>
      </c>
      <c r="AM76" t="s">
        <v>414</v>
      </c>
      <c r="AN76">
        <v>10111.299999999999</v>
      </c>
      <c r="AO76">
        <v>608.58839999999998</v>
      </c>
      <c r="AP76">
        <v>2150.11</v>
      </c>
      <c r="AQ76">
        <f t="shared" si="72"/>
        <v>0.71695010952927984</v>
      </c>
      <c r="AR76">
        <v>-1.1786277417053079</v>
      </c>
      <c r="AS76" t="s">
        <v>723</v>
      </c>
      <c r="AT76">
        <v>8093.94</v>
      </c>
      <c r="AU76">
        <v>694.64788461538456</v>
      </c>
      <c r="AV76">
        <v>813.44526714531537</v>
      </c>
      <c r="AW76">
        <f t="shared" si="73"/>
        <v>0.14604225671732707</v>
      </c>
      <c r="AX76">
        <v>0.5</v>
      </c>
      <c r="AY76">
        <f t="shared" si="74"/>
        <v>1513.2632999934019</v>
      </c>
      <c r="AZ76">
        <f t="shared" si="75"/>
        <v>16.575887915391242</v>
      </c>
      <c r="BA76">
        <f t="shared" si="76"/>
        <v>110.50019366927296</v>
      </c>
      <c r="BB76">
        <f t="shared" si="77"/>
        <v>1.1732601760165573E-2</v>
      </c>
      <c r="BC76">
        <f t="shared" si="78"/>
        <v>1.6432141003727794</v>
      </c>
      <c r="BD76">
        <f t="shared" si="79"/>
        <v>415.38706811961248</v>
      </c>
      <c r="BE76" t="s">
        <v>724</v>
      </c>
      <c r="BF76">
        <v>520.74</v>
      </c>
      <c r="BG76">
        <f t="shared" si="80"/>
        <v>520.74</v>
      </c>
      <c r="BH76">
        <f t="shared" si="81"/>
        <v>0.35983400354952944</v>
      </c>
      <c r="BI76">
        <f t="shared" si="82"/>
        <v>0.4058600779156909</v>
      </c>
      <c r="BJ76">
        <f t="shared" si="83"/>
        <v>0.82035678382116062</v>
      </c>
      <c r="BK76">
        <f t="shared" si="84"/>
        <v>0.57990432141902171</v>
      </c>
      <c r="BL76">
        <f t="shared" si="85"/>
        <v>0.86710736512202269</v>
      </c>
      <c r="BM76">
        <f t="shared" si="86"/>
        <v>0.30425137923055312</v>
      </c>
      <c r="BN76">
        <f t="shared" si="87"/>
        <v>0.69574862076944688</v>
      </c>
      <c r="BO76">
        <v>7093</v>
      </c>
      <c r="BP76">
        <v>290.00000000000011</v>
      </c>
      <c r="BQ76">
        <v>787.01</v>
      </c>
      <c r="BR76">
        <v>285</v>
      </c>
      <c r="BS76">
        <v>8093.94</v>
      </c>
      <c r="BT76">
        <v>787.66</v>
      </c>
      <c r="BU76">
        <v>-0.65</v>
      </c>
      <c r="BV76">
        <v>300.00000000000011</v>
      </c>
      <c r="BW76">
        <v>19.2</v>
      </c>
      <c r="BX76">
        <v>813.44526714531537</v>
      </c>
      <c r="BY76">
        <v>2.5720253653820588</v>
      </c>
      <c r="BZ76">
        <v>-20.867070094078571</v>
      </c>
      <c r="CA76">
        <v>1.91303482319031</v>
      </c>
      <c r="CB76">
        <v>0.80949903913424071</v>
      </c>
      <c r="CC76">
        <v>-4.169953726362619E-3</v>
      </c>
      <c r="CD76">
        <v>289.99999999999989</v>
      </c>
      <c r="CE76">
        <v>788.79</v>
      </c>
      <c r="CF76">
        <v>655</v>
      </c>
      <c r="CG76">
        <v>8088.87</v>
      </c>
      <c r="CH76">
        <v>787.65</v>
      </c>
      <c r="CI76">
        <v>1.1399999999999999</v>
      </c>
      <c r="CW76">
        <f t="shared" si="88"/>
        <v>1800.09</v>
      </c>
      <c r="CX76">
        <f t="shared" si="89"/>
        <v>1513.2632999934019</v>
      </c>
      <c r="CY76">
        <f t="shared" si="90"/>
        <v>0.84065980033965082</v>
      </c>
      <c r="CZ76">
        <f t="shared" si="91"/>
        <v>0.19131960067930159</v>
      </c>
      <c r="DA76">
        <v>6</v>
      </c>
      <c r="DB76">
        <v>0.5</v>
      </c>
      <c r="DC76" t="s">
        <v>417</v>
      </c>
      <c r="DD76">
        <v>2</v>
      </c>
      <c r="DE76">
        <v>1691175365</v>
      </c>
      <c r="DF76">
        <v>99.378399999999999</v>
      </c>
      <c r="DG76">
        <v>119.982</v>
      </c>
      <c r="DH76">
        <v>28.415400000000002</v>
      </c>
      <c r="DI76">
        <v>21.443000000000001</v>
      </c>
      <c r="DJ76">
        <v>97.553700000000006</v>
      </c>
      <c r="DK76">
        <v>28.259599999999999</v>
      </c>
      <c r="DL76">
        <v>500.01600000000002</v>
      </c>
      <c r="DM76">
        <v>99.063000000000002</v>
      </c>
      <c r="DN76">
        <v>9.9970900000000001E-2</v>
      </c>
      <c r="DO76">
        <v>30.1601</v>
      </c>
      <c r="DP76">
        <v>30.001799999999999</v>
      </c>
      <c r="DQ76">
        <v>999.9</v>
      </c>
      <c r="DR76">
        <v>0</v>
      </c>
      <c r="DS76">
        <v>0</v>
      </c>
      <c r="DT76">
        <v>10020</v>
      </c>
      <c r="DU76">
        <v>0</v>
      </c>
      <c r="DV76">
        <v>1923.42</v>
      </c>
      <c r="DW76">
        <v>-20.603999999999999</v>
      </c>
      <c r="DX76">
        <v>102.285</v>
      </c>
      <c r="DY76">
        <v>122.61199999999999</v>
      </c>
      <c r="DZ76">
        <v>6.97241</v>
      </c>
      <c r="EA76">
        <v>119.982</v>
      </c>
      <c r="EB76">
        <v>21.443000000000001</v>
      </c>
      <c r="EC76">
        <v>2.8149099999999998</v>
      </c>
      <c r="ED76">
        <v>2.1242000000000001</v>
      </c>
      <c r="EE76">
        <v>22.971800000000002</v>
      </c>
      <c r="EF76">
        <v>18.401900000000001</v>
      </c>
      <c r="EG76">
        <v>1800.09</v>
      </c>
      <c r="EH76">
        <v>0.97800600000000004</v>
      </c>
      <c r="EI76">
        <v>2.1993800000000001E-2</v>
      </c>
      <c r="EJ76">
        <v>0</v>
      </c>
      <c r="EK76">
        <v>691.22</v>
      </c>
      <c r="EL76">
        <v>0.10001</v>
      </c>
      <c r="EM76">
        <v>18024.7</v>
      </c>
      <c r="EN76">
        <v>16354.3</v>
      </c>
      <c r="EO76">
        <v>47.936999999999998</v>
      </c>
      <c r="EP76">
        <v>50.311999999999998</v>
      </c>
      <c r="EQ76">
        <v>49.436999999999998</v>
      </c>
      <c r="ER76">
        <v>49.125</v>
      </c>
      <c r="ES76">
        <v>49.436999999999998</v>
      </c>
      <c r="ET76">
        <v>1760.4</v>
      </c>
      <c r="EU76">
        <v>39.590000000000003</v>
      </c>
      <c r="EV76">
        <v>0</v>
      </c>
      <c r="EW76">
        <v>104.5999999046326</v>
      </c>
      <c r="EX76">
        <v>0</v>
      </c>
      <c r="EY76">
        <v>694.64788461538456</v>
      </c>
      <c r="EZ76">
        <v>-12.601880338313601</v>
      </c>
      <c r="FA76">
        <v>-212.48205101929989</v>
      </c>
      <c r="FB76">
        <v>18041.326923076918</v>
      </c>
      <c r="FC76">
        <v>15</v>
      </c>
      <c r="FD76">
        <v>1691175334</v>
      </c>
      <c r="FE76" t="s">
        <v>725</v>
      </c>
      <c r="FF76">
        <v>1691175323</v>
      </c>
      <c r="FG76">
        <v>1691175334</v>
      </c>
      <c r="FH76">
        <v>68</v>
      </c>
      <c r="FI76">
        <v>-9.2999999999999999E-2</v>
      </c>
      <c r="FJ76">
        <v>-1E-3</v>
      </c>
      <c r="FK76">
        <v>1.8879999999999999</v>
      </c>
      <c r="FL76">
        <v>3.3000000000000002E-2</v>
      </c>
      <c r="FM76">
        <v>120</v>
      </c>
      <c r="FN76">
        <v>21</v>
      </c>
      <c r="FO76">
        <v>0.18</v>
      </c>
      <c r="FP76">
        <v>0.03</v>
      </c>
      <c r="FQ76">
        <v>16.546648848729721</v>
      </c>
      <c r="FR76">
        <v>0.28620116903584392</v>
      </c>
      <c r="FS76">
        <v>5.2432451389719907E-2</v>
      </c>
      <c r="FT76">
        <v>1</v>
      </c>
      <c r="FU76">
        <v>0.4333794617607325</v>
      </c>
      <c r="FV76">
        <v>2.333154869078868E-2</v>
      </c>
      <c r="FW76">
        <v>3.9712581992594224E-3</v>
      </c>
      <c r="FX76">
        <v>1</v>
      </c>
      <c r="FY76">
        <v>2</v>
      </c>
      <c r="FZ76">
        <v>2</v>
      </c>
      <c r="GA76" t="s">
        <v>419</v>
      </c>
      <c r="GB76">
        <v>2.8821599999999998</v>
      </c>
      <c r="GC76">
        <v>2.8213400000000002</v>
      </c>
      <c r="GD76">
        <v>2.4893100000000001E-2</v>
      </c>
      <c r="GE76">
        <v>3.0533100000000001E-2</v>
      </c>
      <c r="GF76">
        <v>0.12785199999999999</v>
      </c>
      <c r="GG76">
        <v>0.105836</v>
      </c>
      <c r="GH76">
        <v>29851.4</v>
      </c>
      <c r="GI76">
        <v>27681.4</v>
      </c>
      <c r="GJ76">
        <v>28191.200000000001</v>
      </c>
      <c r="GK76">
        <v>26826.400000000001</v>
      </c>
      <c r="GL76">
        <v>34703.199999999997</v>
      </c>
      <c r="GM76">
        <v>33514.800000000003</v>
      </c>
      <c r="GN76">
        <v>41476</v>
      </c>
      <c r="GO76">
        <v>38827.800000000003</v>
      </c>
      <c r="GP76">
        <v>1.9903999999999999</v>
      </c>
      <c r="GQ76">
        <v>1.6206</v>
      </c>
      <c r="GR76">
        <v>-5.4985300000000001E-2</v>
      </c>
      <c r="GS76">
        <v>0</v>
      </c>
      <c r="GT76">
        <v>30.895900000000001</v>
      </c>
      <c r="GU76">
        <v>999.9</v>
      </c>
      <c r="GV76">
        <v>42.6</v>
      </c>
      <c r="GW76">
        <v>48.8</v>
      </c>
      <c r="GX76">
        <v>50.290500000000002</v>
      </c>
      <c r="GY76">
        <v>62.543700000000001</v>
      </c>
      <c r="GZ76">
        <v>29.363</v>
      </c>
      <c r="HA76">
        <v>1</v>
      </c>
      <c r="HB76">
        <v>1.0947899999999999</v>
      </c>
      <c r="HC76">
        <v>4.9547499999999998</v>
      </c>
      <c r="HD76">
        <v>20.1736</v>
      </c>
      <c r="HE76">
        <v>5.2100999999999997</v>
      </c>
      <c r="HF76">
        <v>12.000400000000001</v>
      </c>
      <c r="HG76">
        <v>4.9882</v>
      </c>
      <c r="HH76">
        <v>3.2909999999999999</v>
      </c>
      <c r="HI76">
        <v>9999</v>
      </c>
      <c r="HJ76">
        <v>9999</v>
      </c>
      <c r="HK76">
        <v>9999</v>
      </c>
      <c r="HL76">
        <v>999.9</v>
      </c>
      <c r="HM76">
        <v>1.8668800000000001</v>
      </c>
      <c r="HN76">
        <v>1.86693</v>
      </c>
      <c r="HO76">
        <v>1.86354</v>
      </c>
      <c r="HP76">
        <v>1.8646799999999999</v>
      </c>
      <c r="HQ76">
        <v>1.86425</v>
      </c>
      <c r="HR76">
        <v>1.86005</v>
      </c>
      <c r="HS76">
        <v>1.8632500000000001</v>
      </c>
      <c r="HT76">
        <v>1.8661399999999999</v>
      </c>
      <c r="HU76">
        <v>5</v>
      </c>
      <c r="HV76">
        <v>0</v>
      </c>
      <c r="HW76">
        <v>0</v>
      </c>
      <c r="HX76">
        <v>0</v>
      </c>
      <c r="HY76" t="s">
        <v>420</v>
      </c>
      <c r="HZ76" t="s">
        <v>421</v>
      </c>
      <c r="IA76" t="s">
        <v>422</v>
      </c>
      <c r="IB76" t="s">
        <v>422</v>
      </c>
      <c r="IC76" t="s">
        <v>422</v>
      </c>
      <c r="ID76" t="s">
        <v>422</v>
      </c>
      <c r="IE76">
        <v>0</v>
      </c>
      <c r="IF76">
        <v>100</v>
      </c>
      <c r="IG76">
        <v>100</v>
      </c>
      <c r="IH76">
        <v>1.825</v>
      </c>
      <c r="II76">
        <v>0.15579999999999999</v>
      </c>
      <c r="IJ76">
        <v>1.4985107828631781</v>
      </c>
      <c r="IK76">
        <v>3.5576830062418229E-3</v>
      </c>
      <c r="IL76">
        <v>-2.2646740813029151E-6</v>
      </c>
      <c r="IM76">
        <v>6.9609298295988525E-10</v>
      </c>
      <c r="IN76">
        <v>-0.1502591777156892</v>
      </c>
      <c r="IO76">
        <v>-9.4437069492282083E-4</v>
      </c>
      <c r="IP76">
        <v>5.2900373165634467E-4</v>
      </c>
      <c r="IQ76">
        <v>-3.977656803091445E-6</v>
      </c>
      <c r="IR76">
        <v>2</v>
      </c>
      <c r="IS76">
        <v>1759</v>
      </c>
      <c r="IT76">
        <v>2</v>
      </c>
      <c r="IU76">
        <v>42</v>
      </c>
      <c r="IV76">
        <v>0.7</v>
      </c>
      <c r="IW76">
        <v>0.5</v>
      </c>
      <c r="IX76">
        <v>0.38940399999999997</v>
      </c>
      <c r="IY76">
        <v>2.48291</v>
      </c>
      <c r="IZ76">
        <v>1.54297</v>
      </c>
      <c r="JA76">
        <v>2.2985799999999998</v>
      </c>
      <c r="JB76">
        <v>1.5466299999999999</v>
      </c>
      <c r="JC76">
        <v>2.36084</v>
      </c>
      <c r="JD76">
        <v>50.218699999999998</v>
      </c>
      <c r="JE76">
        <v>24.061199999999999</v>
      </c>
      <c r="JF76">
        <v>18</v>
      </c>
      <c r="JG76">
        <v>534.68299999999999</v>
      </c>
      <c r="JH76">
        <v>394.32499999999999</v>
      </c>
      <c r="JI76">
        <v>24.529900000000001</v>
      </c>
      <c r="JJ76">
        <v>40.0946</v>
      </c>
      <c r="JK76">
        <v>30.0001</v>
      </c>
      <c r="JL76">
        <v>40.474800000000002</v>
      </c>
      <c r="JM76">
        <v>40.4527</v>
      </c>
      <c r="JN76">
        <v>7.8996300000000002</v>
      </c>
      <c r="JO76">
        <v>63.474499999999999</v>
      </c>
      <c r="JP76">
        <v>0</v>
      </c>
      <c r="JQ76">
        <v>24.540199999999999</v>
      </c>
      <c r="JR76">
        <v>120</v>
      </c>
      <c r="JS76">
        <v>21.288</v>
      </c>
      <c r="JT76">
        <v>98.270300000000006</v>
      </c>
      <c r="JU76">
        <v>96.064700000000002</v>
      </c>
    </row>
    <row r="77" spans="1:281" x14ac:dyDescent="0.25">
      <c r="A77">
        <v>61</v>
      </c>
      <c r="B77">
        <v>1691175473.5</v>
      </c>
      <c r="C77">
        <v>14562</v>
      </c>
      <c r="D77" t="s">
        <v>726</v>
      </c>
      <c r="E77" t="s">
        <v>727</v>
      </c>
      <c r="F77" t="s">
        <v>413</v>
      </c>
      <c r="G77" t="s">
        <v>707</v>
      </c>
      <c r="H77" t="s">
        <v>563</v>
      </c>
      <c r="I77" t="s">
        <v>31</v>
      </c>
      <c r="J77">
        <v>1691175473.5</v>
      </c>
      <c r="K77">
        <f t="shared" si="46"/>
        <v>6.3194707986664166E-3</v>
      </c>
      <c r="L77">
        <f t="shared" si="47"/>
        <v>6.3194707986664165</v>
      </c>
      <c r="M77">
        <f t="shared" si="48"/>
        <v>10.193989402463909</v>
      </c>
      <c r="N77">
        <f t="shared" si="49"/>
        <v>57.299799999999998</v>
      </c>
      <c r="O77">
        <f t="shared" si="50"/>
        <v>18.719667473609221</v>
      </c>
      <c r="P77">
        <f t="shared" si="51"/>
        <v>1.8563421354203637</v>
      </c>
      <c r="Q77">
        <f t="shared" si="52"/>
        <v>5.6821539827625802</v>
      </c>
      <c r="R77">
        <f t="shared" si="53"/>
        <v>0.46538577853591695</v>
      </c>
      <c r="S77">
        <f t="shared" si="54"/>
        <v>2.9165997112270663</v>
      </c>
      <c r="T77">
        <f t="shared" si="55"/>
        <v>0.42772072818154927</v>
      </c>
      <c r="U77">
        <f t="shared" si="56"/>
        <v>0.27045502753888195</v>
      </c>
      <c r="V77">
        <f t="shared" si="57"/>
        <v>344.33929998680196</v>
      </c>
      <c r="W77">
        <f t="shared" si="58"/>
        <v>30.600186177896965</v>
      </c>
      <c r="X77">
        <f t="shared" si="59"/>
        <v>29.9772</v>
      </c>
      <c r="Y77">
        <f t="shared" si="60"/>
        <v>4.2548734137049777</v>
      </c>
      <c r="Z77">
        <f t="shared" si="61"/>
        <v>65.902359478127067</v>
      </c>
      <c r="AA77">
        <f t="shared" si="62"/>
        <v>2.8421578935556799</v>
      </c>
      <c r="AB77">
        <f t="shared" si="63"/>
        <v>4.3126800255140934</v>
      </c>
      <c r="AC77">
        <f t="shared" si="64"/>
        <v>1.4127155201492978</v>
      </c>
      <c r="AD77">
        <f t="shared" si="65"/>
        <v>-278.68866222118896</v>
      </c>
      <c r="AE77">
        <f t="shared" si="66"/>
        <v>36.967059025806343</v>
      </c>
      <c r="AF77">
        <f t="shared" si="67"/>
        <v>2.8208798413041412</v>
      </c>
      <c r="AG77">
        <f t="shared" si="68"/>
        <v>105.43857663272348</v>
      </c>
      <c r="AH77">
        <v>0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51927.466903866276</v>
      </c>
      <c r="AM77" t="s">
        <v>414</v>
      </c>
      <c r="AN77">
        <v>10111.299999999999</v>
      </c>
      <c r="AO77">
        <v>608.58839999999998</v>
      </c>
      <c r="AP77">
        <v>2150.11</v>
      </c>
      <c r="AQ77">
        <f t="shared" si="72"/>
        <v>0.71695010952927984</v>
      </c>
      <c r="AR77">
        <v>-1.1786277417053079</v>
      </c>
      <c r="AS77" t="s">
        <v>728</v>
      </c>
      <c r="AT77">
        <v>8094.69</v>
      </c>
      <c r="AU77">
        <v>705.24519999999984</v>
      </c>
      <c r="AV77">
        <v>791.29018630623432</v>
      </c>
      <c r="AW77">
        <f t="shared" si="73"/>
        <v>0.10874011556733054</v>
      </c>
      <c r="AX77">
        <v>0.5</v>
      </c>
      <c r="AY77">
        <f t="shared" si="74"/>
        <v>1513.0280999934009</v>
      </c>
      <c r="AZ77">
        <f t="shared" si="75"/>
        <v>10.193989402463909</v>
      </c>
      <c r="BA77">
        <f t="shared" si="76"/>
        <v>82.263425224950481</v>
      </c>
      <c r="BB77">
        <f t="shared" si="77"/>
        <v>7.5164612899250305E-3</v>
      </c>
      <c r="BC77">
        <f t="shared" si="78"/>
        <v>1.7172206065599984</v>
      </c>
      <c r="BD77">
        <f t="shared" si="79"/>
        <v>409.53175961561499</v>
      </c>
      <c r="BE77" t="s">
        <v>729</v>
      </c>
      <c r="BF77">
        <v>538.66999999999996</v>
      </c>
      <c r="BG77">
        <f t="shared" si="80"/>
        <v>538.66999999999996</v>
      </c>
      <c r="BH77">
        <f t="shared" si="81"/>
        <v>0.31925100383902494</v>
      </c>
      <c r="BI77">
        <f t="shared" si="82"/>
        <v>0.34061009757125255</v>
      </c>
      <c r="BJ77">
        <f t="shared" si="83"/>
        <v>0.84323326570878576</v>
      </c>
      <c r="BK77">
        <f t="shared" si="84"/>
        <v>0.47095864822038885</v>
      </c>
      <c r="BL77">
        <f t="shared" si="85"/>
        <v>0.88147958075564159</v>
      </c>
      <c r="BM77">
        <f t="shared" si="86"/>
        <v>0.26015978734588568</v>
      </c>
      <c r="BN77">
        <f t="shared" si="87"/>
        <v>0.73984021265411437</v>
      </c>
      <c r="BO77">
        <v>7095</v>
      </c>
      <c r="BP77">
        <v>290.00000000000011</v>
      </c>
      <c r="BQ77">
        <v>768.15</v>
      </c>
      <c r="BR77">
        <v>255</v>
      </c>
      <c r="BS77">
        <v>8094.69</v>
      </c>
      <c r="BT77">
        <v>768.01</v>
      </c>
      <c r="BU77">
        <v>0.14000000000000001</v>
      </c>
      <c r="BV77">
        <v>300.00000000000011</v>
      </c>
      <c r="BW77">
        <v>19.2</v>
      </c>
      <c r="BX77">
        <v>791.29018630623432</v>
      </c>
      <c r="BY77">
        <v>2.574784896360526</v>
      </c>
      <c r="BZ77">
        <v>-18.848078373572289</v>
      </c>
      <c r="CA77">
        <v>1.915015055821397</v>
      </c>
      <c r="CB77">
        <v>0.77576698684919243</v>
      </c>
      <c r="CC77">
        <v>-4.1698493882091287E-3</v>
      </c>
      <c r="CD77">
        <v>289.99999999999989</v>
      </c>
      <c r="CE77">
        <v>766.96</v>
      </c>
      <c r="CF77">
        <v>765</v>
      </c>
      <c r="CG77">
        <v>8086.63</v>
      </c>
      <c r="CH77">
        <v>767.98</v>
      </c>
      <c r="CI77">
        <v>-1.02</v>
      </c>
      <c r="CW77">
        <f t="shared" si="88"/>
        <v>1799.81</v>
      </c>
      <c r="CX77">
        <f t="shared" si="89"/>
        <v>1513.0280999934009</v>
      </c>
      <c r="CY77">
        <f t="shared" si="90"/>
        <v>0.8406599029860935</v>
      </c>
      <c r="CZ77">
        <f t="shared" si="91"/>
        <v>0.19131980597218703</v>
      </c>
      <c r="DA77">
        <v>6</v>
      </c>
      <c r="DB77">
        <v>0.5</v>
      </c>
      <c r="DC77" t="s">
        <v>417</v>
      </c>
      <c r="DD77">
        <v>2</v>
      </c>
      <c r="DE77">
        <v>1691175473.5</v>
      </c>
      <c r="DF77">
        <v>57.299799999999998</v>
      </c>
      <c r="DG77">
        <v>69.9602</v>
      </c>
      <c r="DH77">
        <v>28.660799999999998</v>
      </c>
      <c r="DI77">
        <v>21.2988</v>
      </c>
      <c r="DJ77">
        <v>55.551600000000001</v>
      </c>
      <c r="DK77">
        <v>28.500699999999998</v>
      </c>
      <c r="DL77">
        <v>500.27300000000002</v>
      </c>
      <c r="DM77">
        <v>99.0655</v>
      </c>
      <c r="DN77">
        <v>9.9837099999999998E-2</v>
      </c>
      <c r="DO77">
        <v>30.212299999999999</v>
      </c>
      <c r="DP77">
        <v>29.9772</v>
      </c>
      <c r="DQ77">
        <v>999.9</v>
      </c>
      <c r="DR77">
        <v>0</v>
      </c>
      <c r="DS77">
        <v>0</v>
      </c>
      <c r="DT77">
        <v>10020</v>
      </c>
      <c r="DU77">
        <v>0</v>
      </c>
      <c r="DV77">
        <v>1924.9</v>
      </c>
      <c r="DW77">
        <v>-12.660399999999999</v>
      </c>
      <c r="DX77">
        <v>58.990499999999997</v>
      </c>
      <c r="DY77">
        <v>71.482699999999994</v>
      </c>
      <c r="DZ77">
        <v>7.3619899999999996</v>
      </c>
      <c r="EA77">
        <v>69.9602</v>
      </c>
      <c r="EB77">
        <v>21.2988</v>
      </c>
      <c r="EC77">
        <v>2.8393000000000002</v>
      </c>
      <c r="ED77">
        <v>2.1099800000000002</v>
      </c>
      <c r="EE77">
        <v>23.1144</v>
      </c>
      <c r="EF77">
        <v>18.294699999999999</v>
      </c>
      <c r="EG77">
        <v>1799.81</v>
      </c>
      <c r="EH77">
        <v>0.97800399999999998</v>
      </c>
      <c r="EI77">
        <v>2.19962E-2</v>
      </c>
      <c r="EJ77">
        <v>0</v>
      </c>
      <c r="EK77">
        <v>705.625</v>
      </c>
      <c r="EL77">
        <v>0.10001</v>
      </c>
      <c r="EM77">
        <v>18201</v>
      </c>
      <c r="EN77">
        <v>16351.8</v>
      </c>
      <c r="EO77">
        <v>48.061999999999998</v>
      </c>
      <c r="EP77">
        <v>50.436999999999998</v>
      </c>
      <c r="EQ77">
        <v>49.5</v>
      </c>
      <c r="ER77">
        <v>49.25</v>
      </c>
      <c r="ES77">
        <v>49.561999999999998</v>
      </c>
      <c r="ET77">
        <v>1760.12</v>
      </c>
      <c r="EU77">
        <v>39.590000000000003</v>
      </c>
      <c r="EV77">
        <v>0</v>
      </c>
      <c r="EW77">
        <v>106.19999980926509</v>
      </c>
      <c r="EX77">
        <v>0</v>
      </c>
      <c r="EY77">
        <v>705.24519999999984</v>
      </c>
      <c r="EZ77">
        <v>-2.3026922362968052</v>
      </c>
      <c r="FA77">
        <v>-93.22307691397603</v>
      </c>
      <c r="FB77">
        <v>18203.475999999999</v>
      </c>
      <c r="FC77">
        <v>15</v>
      </c>
      <c r="FD77">
        <v>1691175434</v>
      </c>
      <c r="FE77" t="s">
        <v>730</v>
      </c>
      <c r="FF77">
        <v>1691175432</v>
      </c>
      <c r="FG77">
        <v>1691175434</v>
      </c>
      <c r="FH77">
        <v>69</v>
      </c>
      <c r="FI77">
        <v>5.8999999999999997E-2</v>
      </c>
      <c r="FJ77">
        <v>0</v>
      </c>
      <c r="FK77">
        <v>1.79</v>
      </c>
      <c r="FL77">
        <v>2.7E-2</v>
      </c>
      <c r="FM77">
        <v>70</v>
      </c>
      <c r="FN77">
        <v>21</v>
      </c>
      <c r="FO77">
        <v>0.35</v>
      </c>
      <c r="FP77">
        <v>0.04</v>
      </c>
      <c r="FQ77">
        <v>10.141461687796809</v>
      </c>
      <c r="FR77">
        <v>9.1753823772546164E-2</v>
      </c>
      <c r="FS77">
        <v>3.3433212615177128E-2</v>
      </c>
      <c r="FT77">
        <v>1</v>
      </c>
      <c r="FU77">
        <v>0.45615530028677731</v>
      </c>
      <c r="FV77">
        <v>3.0688672373457768E-2</v>
      </c>
      <c r="FW77">
        <v>3.2459634574219022E-3</v>
      </c>
      <c r="FX77">
        <v>1</v>
      </c>
      <c r="FY77">
        <v>2</v>
      </c>
      <c r="FZ77">
        <v>2</v>
      </c>
      <c r="GA77" t="s">
        <v>419</v>
      </c>
      <c r="GB77">
        <v>2.88273</v>
      </c>
      <c r="GC77">
        <v>2.8212100000000002</v>
      </c>
      <c r="GD77">
        <v>1.43701E-2</v>
      </c>
      <c r="GE77">
        <v>1.81557E-2</v>
      </c>
      <c r="GF77">
        <v>0.12859499999999999</v>
      </c>
      <c r="GG77">
        <v>0.105332</v>
      </c>
      <c r="GH77">
        <v>30168.799999999999</v>
      </c>
      <c r="GI77">
        <v>28031</v>
      </c>
      <c r="GJ77">
        <v>28187.8</v>
      </c>
      <c r="GK77">
        <v>26824.1</v>
      </c>
      <c r="GL77">
        <v>34670.400000000001</v>
      </c>
      <c r="GM77">
        <v>33530.699999999997</v>
      </c>
      <c r="GN77">
        <v>41471.699999999997</v>
      </c>
      <c r="GO77">
        <v>38824.5</v>
      </c>
      <c r="GP77">
        <v>1.9902</v>
      </c>
      <c r="GQ77">
        <v>1.6211</v>
      </c>
      <c r="GR77">
        <v>-6.1616299999999999E-2</v>
      </c>
      <c r="GS77">
        <v>0</v>
      </c>
      <c r="GT77">
        <v>30.979099999999999</v>
      </c>
      <c r="GU77">
        <v>999.9</v>
      </c>
      <c r="GV77">
        <v>42.7</v>
      </c>
      <c r="GW77">
        <v>48.7</v>
      </c>
      <c r="GX77">
        <v>50.154600000000002</v>
      </c>
      <c r="GY77">
        <v>62.633800000000001</v>
      </c>
      <c r="GZ77">
        <v>29.363</v>
      </c>
      <c r="HA77">
        <v>1</v>
      </c>
      <c r="HB77">
        <v>1.09552</v>
      </c>
      <c r="HC77">
        <v>4.4512499999999999</v>
      </c>
      <c r="HD77">
        <v>20.187899999999999</v>
      </c>
      <c r="HE77">
        <v>5.2100999999999997</v>
      </c>
      <c r="HF77">
        <v>12.0016</v>
      </c>
      <c r="HG77">
        <v>4.9875999999999996</v>
      </c>
      <c r="HH77">
        <v>3.2909999999999999</v>
      </c>
      <c r="HI77">
        <v>9999</v>
      </c>
      <c r="HJ77">
        <v>9999</v>
      </c>
      <c r="HK77">
        <v>9999</v>
      </c>
      <c r="HL77">
        <v>999.9</v>
      </c>
      <c r="HM77">
        <v>1.8669100000000001</v>
      </c>
      <c r="HN77">
        <v>1.86693</v>
      </c>
      <c r="HO77">
        <v>1.8635600000000001</v>
      </c>
      <c r="HP77">
        <v>1.86467</v>
      </c>
      <c r="HQ77">
        <v>1.8642300000000001</v>
      </c>
      <c r="HR77">
        <v>1.86005</v>
      </c>
      <c r="HS77">
        <v>1.8632500000000001</v>
      </c>
      <c r="HT77">
        <v>1.8660399999999999</v>
      </c>
      <c r="HU77">
        <v>5</v>
      </c>
      <c r="HV77">
        <v>0</v>
      </c>
      <c r="HW77">
        <v>0</v>
      </c>
      <c r="HX77">
        <v>0</v>
      </c>
      <c r="HY77" t="s">
        <v>420</v>
      </c>
      <c r="HZ77" t="s">
        <v>421</v>
      </c>
      <c r="IA77" t="s">
        <v>422</v>
      </c>
      <c r="IB77" t="s">
        <v>422</v>
      </c>
      <c r="IC77" t="s">
        <v>422</v>
      </c>
      <c r="ID77" t="s">
        <v>422</v>
      </c>
      <c r="IE77">
        <v>0</v>
      </c>
      <c r="IF77">
        <v>100</v>
      </c>
      <c r="IG77">
        <v>100</v>
      </c>
      <c r="IH77">
        <v>1.748</v>
      </c>
      <c r="II77">
        <v>0.16009999999999999</v>
      </c>
      <c r="IJ77">
        <v>1.5574641220217209</v>
      </c>
      <c r="IK77">
        <v>3.5576830062418229E-3</v>
      </c>
      <c r="IL77">
        <v>-2.2646740813029151E-6</v>
      </c>
      <c r="IM77">
        <v>6.9609298295988525E-10</v>
      </c>
      <c r="IN77">
        <v>-0.1506047549100385</v>
      </c>
      <c r="IO77">
        <v>-9.4437069492282083E-4</v>
      </c>
      <c r="IP77">
        <v>5.2900373165634467E-4</v>
      </c>
      <c r="IQ77">
        <v>-3.977656803091445E-6</v>
      </c>
      <c r="IR77">
        <v>2</v>
      </c>
      <c r="IS77">
        <v>1759</v>
      </c>
      <c r="IT77">
        <v>2</v>
      </c>
      <c r="IU77">
        <v>42</v>
      </c>
      <c r="IV77">
        <v>0.7</v>
      </c>
      <c r="IW77">
        <v>0.7</v>
      </c>
      <c r="IX77">
        <v>0.27465800000000001</v>
      </c>
      <c r="IY77">
        <v>2.4890099999999999</v>
      </c>
      <c r="IZ77">
        <v>1.54297</v>
      </c>
      <c r="JA77">
        <v>2.2973599999999998</v>
      </c>
      <c r="JB77">
        <v>1.5466299999999999</v>
      </c>
      <c r="JC77">
        <v>2.4304199999999998</v>
      </c>
      <c r="JD77">
        <v>50.186399999999999</v>
      </c>
      <c r="JE77">
        <v>24.07</v>
      </c>
      <c r="JF77">
        <v>18</v>
      </c>
      <c r="JG77">
        <v>534.79200000000003</v>
      </c>
      <c r="JH77">
        <v>394.84300000000002</v>
      </c>
      <c r="JI77">
        <v>24.441199999999998</v>
      </c>
      <c r="JJ77">
        <v>40.142200000000003</v>
      </c>
      <c r="JK77">
        <v>29.996400000000001</v>
      </c>
      <c r="JL77">
        <v>40.506799999999998</v>
      </c>
      <c r="JM77">
        <v>40.488500000000002</v>
      </c>
      <c r="JN77">
        <v>5.6130599999999999</v>
      </c>
      <c r="JO77">
        <v>63.895200000000003</v>
      </c>
      <c r="JP77">
        <v>0</v>
      </c>
      <c r="JQ77">
        <v>24.489599999999999</v>
      </c>
      <c r="JR77">
        <v>70</v>
      </c>
      <c r="JS77">
        <v>21.062899999999999</v>
      </c>
      <c r="JT77">
        <v>98.259500000000003</v>
      </c>
      <c r="JU77">
        <v>96.056399999999996</v>
      </c>
    </row>
    <row r="78" spans="1:281" x14ac:dyDescent="0.25">
      <c r="A78">
        <v>62</v>
      </c>
      <c r="B78">
        <v>1691175576.5</v>
      </c>
      <c r="C78">
        <v>14665</v>
      </c>
      <c r="D78" t="s">
        <v>731</v>
      </c>
      <c r="E78" t="s">
        <v>732</v>
      </c>
      <c r="F78" t="s">
        <v>413</v>
      </c>
      <c r="G78" t="s">
        <v>707</v>
      </c>
      <c r="H78" t="s">
        <v>563</v>
      </c>
      <c r="I78" t="s">
        <v>31</v>
      </c>
      <c r="J78">
        <v>1691175576.5</v>
      </c>
      <c r="K78">
        <f t="shared" si="46"/>
        <v>6.8941349787231413E-3</v>
      </c>
      <c r="L78">
        <f t="shared" si="47"/>
        <v>6.894134978723141</v>
      </c>
      <c r="M78">
        <f t="shared" si="48"/>
        <v>4.1555590374697404</v>
      </c>
      <c r="N78">
        <f t="shared" si="49"/>
        <v>24.827100000000002</v>
      </c>
      <c r="O78">
        <f t="shared" si="50"/>
        <v>10.210682672728689</v>
      </c>
      <c r="P78">
        <f t="shared" si="51"/>
        <v>1.0125497765338531</v>
      </c>
      <c r="Q78">
        <f t="shared" si="52"/>
        <v>2.4619974356979601</v>
      </c>
      <c r="R78">
        <f t="shared" si="53"/>
        <v>0.50654769726038562</v>
      </c>
      <c r="S78">
        <f t="shared" si="54"/>
        <v>2.9166067774350477</v>
      </c>
      <c r="T78">
        <f t="shared" si="55"/>
        <v>0.46226466379060843</v>
      </c>
      <c r="U78">
        <f t="shared" si="56"/>
        <v>0.29257078142134263</v>
      </c>
      <c r="V78">
        <f t="shared" si="57"/>
        <v>344.38679998680379</v>
      </c>
      <c r="W78">
        <f t="shared" si="58"/>
        <v>30.526720371736115</v>
      </c>
      <c r="X78">
        <f t="shared" si="59"/>
        <v>30.0227</v>
      </c>
      <c r="Y78">
        <f t="shared" si="60"/>
        <v>4.2660079996754421</v>
      </c>
      <c r="Z78">
        <f t="shared" si="61"/>
        <v>65.56732037487329</v>
      </c>
      <c r="AA78">
        <f t="shared" si="62"/>
        <v>2.8400568556001997</v>
      </c>
      <c r="AB78">
        <f t="shared" si="63"/>
        <v>4.3315127709391135</v>
      </c>
      <c r="AC78">
        <f t="shared" si="64"/>
        <v>1.4259511440752424</v>
      </c>
      <c r="AD78">
        <f t="shared" si="65"/>
        <v>-304.03135256169054</v>
      </c>
      <c r="AE78">
        <f t="shared" si="66"/>
        <v>41.762971777796672</v>
      </c>
      <c r="AF78">
        <f t="shared" si="67"/>
        <v>3.1887550595357537</v>
      </c>
      <c r="AG78">
        <f t="shared" si="68"/>
        <v>85.307174262445699</v>
      </c>
      <c r="AH78">
        <v>0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51914.664190420757</v>
      </c>
      <c r="AM78" t="s">
        <v>414</v>
      </c>
      <c r="AN78">
        <v>10111.299999999999</v>
      </c>
      <c r="AO78">
        <v>608.58839999999998</v>
      </c>
      <c r="AP78">
        <v>2150.11</v>
      </c>
      <c r="AQ78">
        <f t="shared" si="72"/>
        <v>0.71695010952927984</v>
      </c>
      <c r="AR78">
        <v>-1.1786277417053079</v>
      </c>
      <c r="AS78" t="s">
        <v>733</v>
      </c>
      <c r="AT78">
        <v>8097.51</v>
      </c>
      <c r="AU78">
        <v>716.74879999999985</v>
      </c>
      <c r="AV78">
        <v>781.18884795062093</v>
      </c>
      <c r="AW78">
        <f t="shared" si="73"/>
        <v>8.248971822840756E-2</v>
      </c>
      <c r="AX78">
        <v>0.5</v>
      </c>
      <c r="AY78">
        <f t="shared" si="74"/>
        <v>1513.2380999934019</v>
      </c>
      <c r="AZ78">
        <f t="shared" si="75"/>
        <v>4.1555590374697404</v>
      </c>
      <c r="BA78">
        <f t="shared" si="76"/>
        <v>62.413292240473275</v>
      </c>
      <c r="BB78">
        <f t="shared" si="77"/>
        <v>3.5250148533785314E-3</v>
      </c>
      <c r="BC78">
        <f t="shared" si="78"/>
        <v>1.7523562396475849</v>
      </c>
      <c r="BD78">
        <f t="shared" si="79"/>
        <v>406.80927435691331</v>
      </c>
      <c r="BE78" t="s">
        <v>734</v>
      </c>
      <c r="BF78">
        <v>567.39</v>
      </c>
      <c r="BG78">
        <f t="shared" si="80"/>
        <v>567.39</v>
      </c>
      <c r="BH78">
        <f t="shared" si="81"/>
        <v>0.27368394788469275</v>
      </c>
      <c r="BI78">
        <f t="shared" si="82"/>
        <v>0.30140502892468429</v>
      </c>
      <c r="BJ78">
        <f t="shared" si="83"/>
        <v>0.86491682170527884</v>
      </c>
      <c r="BK78">
        <f t="shared" si="84"/>
        <v>0.37334809217329873</v>
      </c>
      <c r="BL78">
        <f t="shared" si="85"/>
        <v>0.88803241683371748</v>
      </c>
      <c r="BM78">
        <f t="shared" si="86"/>
        <v>0.23859711988576285</v>
      </c>
      <c r="BN78">
        <f t="shared" si="87"/>
        <v>0.76140288011423718</v>
      </c>
      <c r="BO78">
        <v>7097</v>
      </c>
      <c r="BP78">
        <v>290.00000000000011</v>
      </c>
      <c r="BQ78">
        <v>758.82</v>
      </c>
      <c r="BR78">
        <v>185</v>
      </c>
      <c r="BS78">
        <v>8097.51</v>
      </c>
      <c r="BT78">
        <v>758.1</v>
      </c>
      <c r="BU78">
        <v>0.72</v>
      </c>
      <c r="BV78">
        <v>300.00000000000011</v>
      </c>
      <c r="BW78">
        <v>19.2</v>
      </c>
      <c r="BX78">
        <v>781.18884795062093</v>
      </c>
      <c r="BY78">
        <v>2.462884994608149</v>
      </c>
      <c r="BZ78">
        <v>-18.697233739551891</v>
      </c>
      <c r="CA78">
        <v>1.831749363311262</v>
      </c>
      <c r="CB78">
        <v>0.78818235956008964</v>
      </c>
      <c r="CC78">
        <v>-4.1698006674082376E-3</v>
      </c>
      <c r="CD78">
        <v>289.99999999999989</v>
      </c>
      <c r="CE78">
        <v>756.91</v>
      </c>
      <c r="CF78">
        <v>655</v>
      </c>
      <c r="CG78">
        <v>8088.38</v>
      </c>
      <c r="CH78">
        <v>758.07</v>
      </c>
      <c r="CI78">
        <v>-1.1599999999999999</v>
      </c>
      <c r="CW78">
        <f t="shared" si="88"/>
        <v>1800.06</v>
      </c>
      <c r="CX78">
        <f t="shared" si="89"/>
        <v>1513.2380999934019</v>
      </c>
      <c r="CY78">
        <f t="shared" si="90"/>
        <v>0.84065981133595657</v>
      </c>
      <c r="CZ78">
        <f t="shared" si="91"/>
        <v>0.19131962267191305</v>
      </c>
      <c r="DA78">
        <v>6</v>
      </c>
      <c r="DB78">
        <v>0.5</v>
      </c>
      <c r="DC78" t="s">
        <v>417</v>
      </c>
      <c r="DD78">
        <v>2</v>
      </c>
      <c r="DE78">
        <v>1691175576.5</v>
      </c>
      <c r="DF78">
        <v>24.827100000000002</v>
      </c>
      <c r="DG78">
        <v>30.0185</v>
      </c>
      <c r="DH78">
        <v>28.639500000000002</v>
      </c>
      <c r="DI78">
        <v>20.604500000000002</v>
      </c>
      <c r="DJ78">
        <v>23.080200000000001</v>
      </c>
      <c r="DK78">
        <v>28.476700000000001</v>
      </c>
      <c r="DL78">
        <v>500.06400000000002</v>
      </c>
      <c r="DM78">
        <v>99.065899999999999</v>
      </c>
      <c r="DN78">
        <v>9.9827600000000002E-2</v>
      </c>
      <c r="DO78">
        <v>30.2883</v>
      </c>
      <c r="DP78">
        <v>30.0227</v>
      </c>
      <c r="DQ78">
        <v>999.9</v>
      </c>
      <c r="DR78">
        <v>0</v>
      </c>
      <c r="DS78">
        <v>0</v>
      </c>
      <c r="DT78">
        <v>10020</v>
      </c>
      <c r="DU78">
        <v>0</v>
      </c>
      <c r="DV78">
        <v>1847.32</v>
      </c>
      <c r="DW78">
        <v>-5.1913900000000002</v>
      </c>
      <c r="DX78">
        <v>25.559100000000001</v>
      </c>
      <c r="DY78">
        <v>30.650099999999998</v>
      </c>
      <c r="DZ78">
        <v>8.0349900000000005</v>
      </c>
      <c r="EA78">
        <v>30.0185</v>
      </c>
      <c r="EB78">
        <v>20.604500000000002</v>
      </c>
      <c r="EC78">
        <v>2.8372000000000002</v>
      </c>
      <c r="ED78">
        <v>2.04121</v>
      </c>
      <c r="EE78">
        <v>23.1021</v>
      </c>
      <c r="EF78">
        <v>17.767700000000001</v>
      </c>
      <c r="EG78">
        <v>1800.06</v>
      </c>
      <c r="EH78">
        <v>0.97800600000000004</v>
      </c>
      <c r="EI78">
        <v>2.1993800000000001E-2</v>
      </c>
      <c r="EJ78">
        <v>0</v>
      </c>
      <c r="EK78">
        <v>716.31500000000005</v>
      </c>
      <c r="EL78">
        <v>0.10001</v>
      </c>
      <c r="EM78">
        <v>18263.2</v>
      </c>
      <c r="EN78">
        <v>16354.1</v>
      </c>
      <c r="EO78">
        <v>48.125</v>
      </c>
      <c r="EP78">
        <v>50.5</v>
      </c>
      <c r="EQ78">
        <v>49.561999999999998</v>
      </c>
      <c r="ER78">
        <v>49.436999999999998</v>
      </c>
      <c r="ES78">
        <v>49.561999999999998</v>
      </c>
      <c r="ET78">
        <v>1760.37</v>
      </c>
      <c r="EU78">
        <v>39.590000000000003</v>
      </c>
      <c r="EV78">
        <v>0</v>
      </c>
      <c r="EW78">
        <v>100.7999999523163</v>
      </c>
      <c r="EX78">
        <v>0</v>
      </c>
      <c r="EY78">
        <v>716.74879999999985</v>
      </c>
      <c r="EZ78">
        <v>-1.862692369253087</v>
      </c>
      <c r="FA78">
        <v>-110.7538462388614</v>
      </c>
      <c r="FB78">
        <v>18271.588</v>
      </c>
      <c r="FC78">
        <v>15</v>
      </c>
      <c r="FD78">
        <v>1691175549</v>
      </c>
      <c r="FE78" t="s">
        <v>735</v>
      </c>
      <c r="FF78">
        <v>1691175535</v>
      </c>
      <c r="FG78">
        <v>1691175549</v>
      </c>
      <c r="FH78">
        <v>70</v>
      </c>
      <c r="FI78">
        <v>0.109</v>
      </c>
      <c r="FJ78">
        <v>3.0000000000000001E-3</v>
      </c>
      <c r="FK78">
        <v>1.7649999999999999</v>
      </c>
      <c r="FL78">
        <v>2.4E-2</v>
      </c>
      <c r="FM78">
        <v>30</v>
      </c>
      <c r="FN78">
        <v>21</v>
      </c>
      <c r="FO78">
        <v>0.68</v>
      </c>
      <c r="FP78">
        <v>0.02</v>
      </c>
      <c r="FQ78">
        <v>4.1841668076754939</v>
      </c>
      <c r="FR78">
        <v>-0.38251250758337563</v>
      </c>
      <c r="FS78">
        <v>4.4712985506784819E-2</v>
      </c>
      <c r="FT78">
        <v>1</v>
      </c>
      <c r="FU78">
        <v>0.49949254236524832</v>
      </c>
      <c r="FV78">
        <v>3.26277252755117E-2</v>
      </c>
      <c r="FW78">
        <v>3.4338401157517008E-3</v>
      </c>
      <c r="FX78">
        <v>1</v>
      </c>
      <c r="FY78">
        <v>2</v>
      </c>
      <c r="FZ78">
        <v>2</v>
      </c>
      <c r="GA78" t="s">
        <v>419</v>
      </c>
      <c r="GB78">
        <v>2.8821500000000002</v>
      </c>
      <c r="GC78">
        <v>2.8211900000000001</v>
      </c>
      <c r="GD78">
        <v>6.0061400000000001E-3</v>
      </c>
      <c r="GE78">
        <v>7.8651599999999995E-3</v>
      </c>
      <c r="GF78">
        <v>0.12851499999999999</v>
      </c>
      <c r="GG78">
        <v>0.102911</v>
      </c>
      <c r="GH78">
        <v>30422.9</v>
      </c>
      <c r="GI78">
        <v>28322.1</v>
      </c>
      <c r="GJ78">
        <v>28187.1</v>
      </c>
      <c r="GK78">
        <v>26822.7</v>
      </c>
      <c r="GL78">
        <v>34672.199999999997</v>
      </c>
      <c r="GM78">
        <v>33618.9</v>
      </c>
      <c r="GN78">
        <v>41470.1</v>
      </c>
      <c r="GO78">
        <v>38822.199999999997</v>
      </c>
      <c r="GP78">
        <v>1.9893000000000001</v>
      </c>
      <c r="GQ78">
        <v>1.621</v>
      </c>
      <c r="GR78">
        <v>-6.1988799999999997E-2</v>
      </c>
      <c r="GS78">
        <v>0</v>
      </c>
      <c r="GT78">
        <v>31.0306</v>
      </c>
      <c r="GU78">
        <v>999.9</v>
      </c>
      <c r="GV78">
        <v>42.7</v>
      </c>
      <c r="GW78">
        <v>48.6</v>
      </c>
      <c r="GX78">
        <v>49.9039</v>
      </c>
      <c r="GY78">
        <v>62.593800000000002</v>
      </c>
      <c r="GZ78">
        <v>29.174700000000001</v>
      </c>
      <c r="HA78">
        <v>1</v>
      </c>
      <c r="HB78">
        <v>1.1046</v>
      </c>
      <c r="HC78">
        <v>5.5133999999999999</v>
      </c>
      <c r="HD78">
        <v>20.156500000000001</v>
      </c>
      <c r="HE78">
        <v>5.2095000000000002</v>
      </c>
      <c r="HF78">
        <v>12.0016</v>
      </c>
      <c r="HG78">
        <v>4.9875999999999996</v>
      </c>
      <c r="HH78">
        <v>3.2909999999999999</v>
      </c>
      <c r="HI78">
        <v>9999</v>
      </c>
      <c r="HJ78">
        <v>9999</v>
      </c>
      <c r="HK78">
        <v>9999</v>
      </c>
      <c r="HL78">
        <v>999.9</v>
      </c>
      <c r="HM78">
        <v>1.8668800000000001</v>
      </c>
      <c r="HN78">
        <v>1.86696</v>
      </c>
      <c r="HO78">
        <v>1.8635600000000001</v>
      </c>
      <c r="HP78">
        <v>1.8646400000000001</v>
      </c>
      <c r="HQ78">
        <v>1.8642300000000001</v>
      </c>
      <c r="HR78">
        <v>1.86006</v>
      </c>
      <c r="HS78">
        <v>1.8632500000000001</v>
      </c>
      <c r="HT78">
        <v>1.8660399999999999</v>
      </c>
      <c r="HU78">
        <v>5</v>
      </c>
      <c r="HV78">
        <v>0</v>
      </c>
      <c r="HW78">
        <v>0</v>
      </c>
      <c r="HX78">
        <v>0</v>
      </c>
      <c r="HY78" t="s">
        <v>420</v>
      </c>
      <c r="HZ78" t="s">
        <v>421</v>
      </c>
      <c r="IA78" t="s">
        <v>422</v>
      </c>
      <c r="IB78" t="s">
        <v>422</v>
      </c>
      <c r="IC78" t="s">
        <v>422</v>
      </c>
      <c r="ID78" t="s">
        <v>422</v>
      </c>
      <c r="IE78">
        <v>0</v>
      </c>
      <c r="IF78">
        <v>100</v>
      </c>
      <c r="IG78">
        <v>100</v>
      </c>
      <c r="IH78">
        <v>1.7470000000000001</v>
      </c>
      <c r="II78">
        <v>0.1628</v>
      </c>
      <c r="IJ78">
        <v>1.6660328330189389</v>
      </c>
      <c r="IK78">
        <v>3.5576830062418229E-3</v>
      </c>
      <c r="IL78">
        <v>-2.2646740813029151E-6</v>
      </c>
      <c r="IM78">
        <v>6.9609298295988525E-10</v>
      </c>
      <c r="IN78">
        <v>-0.1473650343784873</v>
      </c>
      <c r="IO78">
        <v>-9.4437069492282083E-4</v>
      </c>
      <c r="IP78">
        <v>5.2900373165634467E-4</v>
      </c>
      <c r="IQ78">
        <v>-3.977656803091445E-6</v>
      </c>
      <c r="IR78">
        <v>2</v>
      </c>
      <c r="IS78">
        <v>1759</v>
      </c>
      <c r="IT78">
        <v>2</v>
      </c>
      <c r="IU78">
        <v>42</v>
      </c>
      <c r="IV78">
        <v>0.7</v>
      </c>
      <c r="IW78">
        <v>0.5</v>
      </c>
      <c r="IX78">
        <v>0.18554699999999999</v>
      </c>
      <c r="IY78">
        <v>2.52441</v>
      </c>
      <c r="IZ78">
        <v>1.54297</v>
      </c>
      <c r="JA78">
        <v>2.2985799999999998</v>
      </c>
      <c r="JB78">
        <v>1.5466299999999999</v>
      </c>
      <c r="JC78">
        <v>2.36572</v>
      </c>
      <c r="JD78">
        <v>50.122</v>
      </c>
      <c r="JE78">
        <v>24.052499999999998</v>
      </c>
      <c r="JF78">
        <v>18</v>
      </c>
      <c r="JG78">
        <v>534.38</v>
      </c>
      <c r="JH78">
        <v>394.89499999999998</v>
      </c>
      <c r="JI78">
        <v>24.509399999999999</v>
      </c>
      <c r="JJ78">
        <v>40.17</v>
      </c>
      <c r="JK78">
        <v>30.000599999999999</v>
      </c>
      <c r="JL78">
        <v>40.530700000000003</v>
      </c>
      <c r="JM78">
        <v>40.508499999999998</v>
      </c>
      <c r="JN78">
        <v>3.8124099999999999</v>
      </c>
      <c r="JO78">
        <v>64.695599999999999</v>
      </c>
      <c r="JP78">
        <v>0</v>
      </c>
      <c r="JQ78">
        <v>24.480599999999999</v>
      </c>
      <c r="JR78">
        <v>30</v>
      </c>
      <c r="JS78">
        <v>20.57</v>
      </c>
      <c r="JT78">
        <v>98.256200000000007</v>
      </c>
      <c r="JU78">
        <v>96.051000000000002</v>
      </c>
    </row>
    <row r="79" spans="1:281" x14ac:dyDescent="0.25">
      <c r="A79">
        <v>63</v>
      </c>
      <c r="B79">
        <v>1691175686.5</v>
      </c>
      <c r="C79">
        <v>14775</v>
      </c>
      <c r="D79" t="s">
        <v>736</v>
      </c>
      <c r="E79" t="s">
        <v>737</v>
      </c>
      <c r="F79" t="s">
        <v>413</v>
      </c>
      <c r="G79" t="s">
        <v>707</v>
      </c>
      <c r="H79" t="s">
        <v>563</v>
      </c>
      <c r="I79" t="s">
        <v>31</v>
      </c>
      <c r="J79">
        <v>1691175686.5</v>
      </c>
      <c r="K79">
        <f t="shared" si="46"/>
        <v>7.2168640276121477E-3</v>
      </c>
      <c r="L79">
        <f t="shared" si="47"/>
        <v>7.2168640276121474</v>
      </c>
      <c r="M79">
        <f t="shared" si="48"/>
        <v>1.386074022284564</v>
      </c>
      <c r="N79">
        <f t="shared" si="49"/>
        <v>10.1973</v>
      </c>
      <c r="O79">
        <f t="shared" si="50"/>
        <v>5.5105261063432618</v>
      </c>
      <c r="P79">
        <f t="shared" si="51"/>
        <v>0.54646515275605656</v>
      </c>
      <c r="Q79">
        <f t="shared" si="52"/>
        <v>1.0112408497230001</v>
      </c>
      <c r="R79">
        <f t="shared" si="53"/>
        <v>0.53533654325459701</v>
      </c>
      <c r="S79">
        <f t="shared" si="54"/>
        <v>2.911388308070169</v>
      </c>
      <c r="T79">
        <f t="shared" si="55"/>
        <v>0.48605892903945958</v>
      </c>
      <c r="U79">
        <f t="shared" si="56"/>
        <v>0.30783534209462754</v>
      </c>
      <c r="V79">
        <f t="shared" si="57"/>
        <v>344.36399998680292</v>
      </c>
      <c r="W79">
        <f t="shared" si="58"/>
        <v>30.476853826684742</v>
      </c>
      <c r="X79">
        <f t="shared" si="59"/>
        <v>30.0246</v>
      </c>
      <c r="Y79">
        <f t="shared" si="60"/>
        <v>4.2664735122202275</v>
      </c>
      <c r="Z79">
        <f t="shared" si="61"/>
        <v>65.596320673835308</v>
      </c>
      <c r="AA79">
        <f t="shared" si="62"/>
        <v>2.8468711268269997</v>
      </c>
      <c r="AB79">
        <f t="shared" si="63"/>
        <v>4.3399859894314829</v>
      </c>
      <c r="AC79">
        <f t="shared" si="64"/>
        <v>1.4196023853932278</v>
      </c>
      <c r="AD79">
        <f t="shared" si="65"/>
        <v>-318.26370361769574</v>
      </c>
      <c r="AE79">
        <f t="shared" si="66"/>
        <v>46.742320653181189</v>
      </c>
      <c r="AF79">
        <f t="shared" si="67"/>
        <v>3.5759806643765257</v>
      </c>
      <c r="AG79">
        <f t="shared" si="68"/>
        <v>76.418597686664896</v>
      </c>
      <c r="AH79">
        <v>0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51760.55768803347</v>
      </c>
      <c r="AM79" t="s">
        <v>414</v>
      </c>
      <c r="AN79">
        <v>10111.299999999999</v>
      </c>
      <c r="AO79">
        <v>608.58839999999998</v>
      </c>
      <c r="AP79">
        <v>2150.11</v>
      </c>
      <c r="AQ79">
        <f t="shared" si="72"/>
        <v>0.71695010952927984</v>
      </c>
      <c r="AR79">
        <v>-1.1786277417053079</v>
      </c>
      <c r="AS79" t="s">
        <v>738</v>
      </c>
      <c r="AT79">
        <v>8097.58</v>
      </c>
      <c r="AU79">
        <v>721.94899999999996</v>
      </c>
      <c r="AV79">
        <v>773.67237211240388</v>
      </c>
      <c r="AW79">
        <f t="shared" si="73"/>
        <v>6.6854361066533308E-2</v>
      </c>
      <c r="AX79">
        <v>0.5</v>
      </c>
      <c r="AY79">
        <f t="shared" si="74"/>
        <v>1513.1372999934015</v>
      </c>
      <c r="AZ79">
        <f t="shared" si="75"/>
        <v>1.386074022284564</v>
      </c>
      <c r="BA79">
        <f t="shared" si="76"/>
        <v>50.579913698499098</v>
      </c>
      <c r="BB79">
        <f t="shared" si="77"/>
        <v>1.6949564087813155E-3</v>
      </c>
      <c r="BC79">
        <f t="shared" si="78"/>
        <v>1.7790962654248934</v>
      </c>
      <c r="BD79">
        <f t="shared" si="79"/>
        <v>404.76145738135165</v>
      </c>
      <c r="BE79" t="s">
        <v>739</v>
      </c>
      <c r="BF79">
        <v>577.4</v>
      </c>
      <c r="BG79">
        <f t="shared" si="80"/>
        <v>577.4</v>
      </c>
      <c r="BH79">
        <f t="shared" si="81"/>
        <v>0.25368926070929709</v>
      </c>
      <c r="BI79">
        <f t="shared" si="82"/>
        <v>0.26352854227890149</v>
      </c>
      <c r="BJ79">
        <f t="shared" si="83"/>
        <v>0.87520116734019371</v>
      </c>
      <c r="BK79">
        <f t="shared" si="84"/>
        <v>0.31331552936699414</v>
      </c>
      <c r="BL79">
        <f t="shared" si="85"/>
        <v>0.89290842754820698</v>
      </c>
      <c r="BM79">
        <f t="shared" si="86"/>
        <v>0.21076472203969771</v>
      </c>
      <c r="BN79">
        <f t="shared" si="87"/>
        <v>0.78923527796030224</v>
      </c>
      <c r="BO79">
        <v>7099</v>
      </c>
      <c r="BP79">
        <v>290.00000000000011</v>
      </c>
      <c r="BQ79">
        <v>755.74</v>
      </c>
      <c r="BR79">
        <v>175</v>
      </c>
      <c r="BS79">
        <v>8097.58</v>
      </c>
      <c r="BT79">
        <v>754.42</v>
      </c>
      <c r="BU79">
        <v>1.32</v>
      </c>
      <c r="BV79">
        <v>300.00000000000011</v>
      </c>
      <c r="BW79">
        <v>19.2</v>
      </c>
      <c r="BX79">
        <v>773.67237211240388</v>
      </c>
      <c r="BY79">
        <v>1.972003106054202</v>
      </c>
      <c r="BZ79">
        <v>-15.588483839380141</v>
      </c>
      <c r="CA79">
        <v>1.466584872479229</v>
      </c>
      <c r="CB79">
        <v>0.80138725615507234</v>
      </c>
      <c r="CC79">
        <v>-4.169651612903222E-3</v>
      </c>
      <c r="CD79">
        <v>289.99999999999989</v>
      </c>
      <c r="CE79">
        <v>752.73</v>
      </c>
      <c r="CF79">
        <v>775</v>
      </c>
      <c r="CG79">
        <v>8085.87</v>
      </c>
      <c r="CH79">
        <v>754.39</v>
      </c>
      <c r="CI79">
        <v>-1.66</v>
      </c>
      <c r="CW79">
        <f t="shared" si="88"/>
        <v>1799.94</v>
      </c>
      <c r="CX79">
        <f t="shared" si="89"/>
        <v>1513.1372999934015</v>
      </c>
      <c r="CY79">
        <f t="shared" si="90"/>
        <v>0.840659855324845</v>
      </c>
      <c r="CZ79">
        <f t="shared" si="91"/>
        <v>0.19131971064968994</v>
      </c>
      <c r="DA79">
        <v>6</v>
      </c>
      <c r="DB79">
        <v>0.5</v>
      </c>
      <c r="DC79" t="s">
        <v>417</v>
      </c>
      <c r="DD79">
        <v>2</v>
      </c>
      <c r="DE79">
        <v>1691175686.5</v>
      </c>
      <c r="DF79">
        <v>10.1973</v>
      </c>
      <c r="DG79">
        <v>11.948</v>
      </c>
      <c r="DH79">
        <v>28.707699999999999</v>
      </c>
      <c r="DI79">
        <v>20.3004</v>
      </c>
      <c r="DJ79">
        <v>8.4321999999999999</v>
      </c>
      <c r="DK79">
        <v>28.542999999999999</v>
      </c>
      <c r="DL79">
        <v>500.25700000000001</v>
      </c>
      <c r="DM79">
        <v>99.067400000000006</v>
      </c>
      <c r="DN79">
        <v>0.10011</v>
      </c>
      <c r="DO79">
        <v>30.322399999999998</v>
      </c>
      <c r="DP79">
        <v>30.0246</v>
      </c>
      <c r="DQ79">
        <v>999.9</v>
      </c>
      <c r="DR79">
        <v>0</v>
      </c>
      <c r="DS79">
        <v>0</v>
      </c>
      <c r="DT79">
        <v>9990</v>
      </c>
      <c r="DU79">
        <v>0</v>
      </c>
      <c r="DV79">
        <v>1817.71</v>
      </c>
      <c r="DW79">
        <v>-1.7507600000000001</v>
      </c>
      <c r="DX79">
        <v>10.498699999999999</v>
      </c>
      <c r="DY79">
        <v>12.195600000000001</v>
      </c>
      <c r="DZ79">
        <v>8.4073200000000003</v>
      </c>
      <c r="EA79">
        <v>11.948</v>
      </c>
      <c r="EB79">
        <v>20.3004</v>
      </c>
      <c r="EC79">
        <v>2.8439999999999999</v>
      </c>
      <c r="ED79">
        <v>2.01111</v>
      </c>
      <c r="EE79">
        <v>23.1417</v>
      </c>
      <c r="EF79">
        <v>17.5321</v>
      </c>
      <c r="EG79">
        <v>1799.94</v>
      </c>
      <c r="EH79">
        <v>0.97800600000000004</v>
      </c>
      <c r="EI79">
        <v>2.1993800000000001E-2</v>
      </c>
      <c r="EJ79">
        <v>0</v>
      </c>
      <c r="EK79">
        <v>720.72</v>
      </c>
      <c r="EL79">
        <v>0.10001</v>
      </c>
      <c r="EM79">
        <v>18303.599999999999</v>
      </c>
      <c r="EN79">
        <v>16353</v>
      </c>
      <c r="EO79">
        <v>48.25</v>
      </c>
      <c r="EP79">
        <v>50.686999999999998</v>
      </c>
      <c r="EQ79">
        <v>49.686999999999998</v>
      </c>
      <c r="ER79">
        <v>49.561999999999998</v>
      </c>
      <c r="ES79">
        <v>49.686999999999998</v>
      </c>
      <c r="ET79">
        <v>1760.25</v>
      </c>
      <c r="EU79">
        <v>39.590000000000003</v>
      </c>
      <c r="EV79">
        <v>0</v>
      </c>
      <c r="EW79">
        <v>107.3999998569489</v>
      </c>
      <c r="EX79">
        <v>0</v>
      </c>
      <c r="EY79">
        <v>721.94899999999996</v>
      </c>
      <c r="EZ79">
        <v>-8.9615384095162731E-2</v>
      </c>
      <c r="FA79">
        <v>270.93846212086657</v>
      </c>
      <c r="FB79">
        <v>18269.416000000001</v>
      </c>
      <c r="FC79">
        <v>15</v>
      </c>
      <c r="FD79">
        <v>1691175656.5</v>
      </c>
      <c r="FE79" t="s">
        <v>740</v>
      </c>
      <c r="FF79">
        <v>1691175637.5</v>
      </c>
      <c r="FG79">
        <v>1691175656.5</v>
      </c>
      <c r="FH79">
        <v>71</v>
      </c>
      <c r="FI79">
        <v>6.9000000000000006E-2</v>
      </c>
      <c r="FJ79">
        <v>1E-3</v>
      </c>
      <c r="FK79">
        <v>1.7709999999999999</v>
      </c>
      <c r="FL79">
        <v>1.7999999999999999E-2</v>
      </c>
      <c r="FM79">
        <v>12</v>
      </c>
      <c r="FN79">
        <v>20</v>
      </c>
      <c r="FO79">
        <v>0.99</v>
      </c>
      <c r="FP79">
        <v>0.02</v>
      </c>
      <c r="FQ79">
        <v>1.2912019832406161</v>
      </c>
      <c r="FR79">
        <v>-8.132881048311992E-2</v>
      </c>
      <c r="FS79">
        <v>4.0509995564527251E-2</v>
      </c>
      <c r="FT79">
        <v>1</v>
      </c>
      <c r="FU79">
        <v>0.52722245675189594</v>
      </c>
      <c r="FV79">
        <v>4.1974682046642738E-2</v>
      </c>
      <c r="FW79">
        <v>4.8656673647559153E-3</v>
      </c>
      <c r="FX79">
        <v>1</v>
      </c>
      <c r="FY79">
        <v>2</v>
      </c>
      <c r="FZ79">
        <v>2</v>
      </c>
      <c r="GA79" t="s">
        <v>419</v>
      </c>
      <c r="GB79">
        <v>2.8825500000000002</v>
      </c>
      <c r="GC79">
        <v>2.8212199999999998</v>
      </c>
      <c r="GD79">
        <v>2.1967200000000001E-3</v>
      </c>
      <c r="GE79">
        <v>3.1368199999999998E-3</v>
      </c>
      <c r="GF79">
        <v>0.128714</v>
      </c>
      <c r="GG79">
        <v>0.101836</v>
      </c>
      <c r="GH79">
        <v>30539</v>
      </c>
      <c r="GI79">
        <v>28455.8</v>
      </c>
      <c r="GJ79">
        <v>28187.200000000001</v>
      </c>
      <c r="GK79">
        <v>26822.2</v>
      </c>
      <c r="GL79">
        <v>34664.699999999997</v>
      </c>
      <c r="GM79">
        <v>33657.5</v>
      </c>
      <c r="GN79">
        <v>41470.199999999997</v>
      </c>
      <c r="GO79">
        <v>38820.6</v>
      </c>
      <c r="GP79">
        <v>1.9902</v>
      </c>
      <c r="GQ79">
        <v>1.6208</v>
      </c>
      <c r="GR79">
        <v>-6.7055199999999995E-2</v>
      </c>
      <c r="GS79">
        <v>0</v>
      </c>
      <c r="GT79">
        <v>31.114799999999999</v>
      </c>
      <c r="GU79">
        <v>999.9</v>
      </c>
      <c r="GV79">
        <v>42.8</v>
      </c>
      <c r="GW79">
        <v>48.5</v>
      </c>
      <c r="GX79">
        <v>49.766599999999997</v>
      </c>
      <c r="GY79">
        <v>62.663800000000002</v>
      </c>
      <c r="GZ79">
        <v>29.198699999999999</v>
      </c>
      <c r="HA79">
        <v>1</v>
      </c>
      <c r="HB79">
        <v>1.1087400000000001</v>
      </c>
      <c r="HC79">
        <v>5.7183599999999997</v>
      </c>
      <c r="HD79">
        <v>20.150099999999998</v>
      </c>
      <c r="HE79">
        <v>5.2100999999999997</v>
      </c>
      <c r="HF79">
        <v>12.004</v>
      </c>
      <c r="HG79">
        <v>4.9878</v>
      </c>
      <c r="HH79">
        <v>3.2909999999999999</v>
      </c>
      <c r="HI79">
        <v>9999</v>
      </c>
      <c r="HJ79">
        <v>9999</v>
      </c>
      <c r="HK79">
        <v>9999</v>
      </c>
      <c r="HL79">
        <v>999.9</v>
      </c>
      <c r="HM79">
        <v>1.8668499999999999</v>
      </c>
      <c r="HN79">
        <v>1.8669100000000001</v>
      </c>
      <c r="HO79">
        <v>1.86351</v>
      </c>
      <c r="HP79">
        <v>1.8646199999999999</v>
      </c>
      <c r="HQ79">
        <v>1.8641799999999999</v>
      </c>
      <c r="HR79">
        <v>1.86005</v>
      </c>
      <c r="HS79">
        <v>1.86324</v>
      </c>
      <c r="HT79">
        <v>1.8660000000000001</v>
      </c>
      <c r="HU79">
        <v>5</v>
      </c>
      <c r="HV79">
        <v>0</v>
      </c>
      <c r="HW79">
        <v>0</v>
      </c>
      <c r="HX79">
        <v>0</v>
      </c>
      <c r="HY79" t="s">
        <v>420</v>
      </c>
      <c r="HZ79" t="s">
        <v>421</v>
      </c>
      <c r="IA79" t="s">
        <v>422</v>
      </c>
      <c r="IB79" t="s">
        <v>422</v>
      </c>
      <c r="IC79" t="s">
        <v>422</v>
      </c>
      <c r="ID79" t="s">
        <v>422</v>
      </c>
      <c r="IE79">
        <v>0</v>
      </c>
      <c r="IF79">
        <v>100</v>
      </c>
      <c r="IG79">
        <v>100</v>
      </c>
      <c r="IH79">
        <v>1.7649999999999999</v>
      </c>
      <c r="II79">
        <v>0.16470000000000001</v>
      </c>
      <c r="IJ79">
        <v>1.735235331918251</v>
      </c>
      <c r="IK79">
        <v>3.5576830062418229E-3</v>
      </c>
      <c r="IL79">
        <v>-2.2646740813029151E-6</v>
      </c>
      <c r="IM79">
        <v>6.9609298295988525E-10</v>
      </c>
      <c r="IN79">
        <v>-0.14681291217570841</v>
      </c>
      <c r="IO79">
        <v>-9.4437069492282083E-4</v>
      </c>
      <c r="IP79">
        <v>5.2900373165634467E-4</v>
      </c>
      <c r="IQ79">
        <v>-3.977656803091445E-6</v>
      </c>
      <c r="IR79">
        <v>2</v>
      </c>
      <c r="IS79">
        <v>1759</v>
      </c>
      <c r="IT79">
        <v>2</v>
      </c>
      <c r="IU79">
        <v>42</v>
      </c>
      <c r="IV79">
        <v>0.8</v>
      </c>
      <c r="IW79">
        <v>0.5</v>
      </c>
      <c r="IX79">
        <v>0.10009800000000001</v>
      </c>
      <c r="IY79">
        <v>2.5842299999999998</v>
      </c>
      <c r="IZ79">
        <v>1.54297</v>
      </c>
      <c r="JA79">
        <v>2.2985799999999998</v>
      </c>
      <c r="JB79">
        <v>1.5466299999999999</v>
      </c>
      <c r="JC79">
        <v>2.4023400000000001</v>
      </c>
      <c r="JD79">
        <v>50.0578</v>
      </c>
      <c r="JE79">
        <v>24.052499999999998</v>
      </c>
      <c r="JF79">
        <v>18</v>
      </c>
      <c r="JG79">
        <v>535.21799999999996</v>
      </c>
      <c r="JH79">
        <v>394.97500000000002</v>
      </c>
      <c r="JI79">
        <v>24.474599999999999</v>
      </c>
      <c r="JJ79">
        <v>40.217700000000001</v>
      </c>
      <c r="JK79">
        <v>30.0014</v>
      </c>
      <c r="JL79">
        <v>40.5627</v>
      </c>
      <c r="JM79">
        <v>40.5443</v>
      </c>
      <c r="JN79">
        <v>2.09842</v>
      </c>
      <c r="JO79">
        <v>64.193399999999997</v>
      </c>
      <c r="JP79">
        <v>0</v>
      </c>
      <c r="JQ79">
        <v>24.451699999999999</v>
      </c>
      <c r="JR79">
        <v>10</v>
      </c>
      <c r="JS79">
        <v>20.277000000000001</v>
      </c>
      <c r="JT79">
        <v>98.256600000000006</v>
      </c>
      <c r="JU79">
        <v>96.047899999999998</v>
      </c>
    </row>
    <row r="80" spans="1:281" x14ac:dyDescent="0.25">
      <c r="A80">
        <v>64</v>
      </c>
      <c r="B80">
        <v>1691175838.5</v>
      </c>
      <c r="C80">
        <v>14927</v>
      </c>
      <c r="D80" t="s">
        <v>741</v>
      </c>
      <c r="E80" t="s">
        <v>742</v>
      </c>
      <c r="F80" t="s">
        <v>413</v>
      </c>
      <c r="G80" t="s">
        <v>707</v>
      </c>
      <c r="H80" t="s">
        <v>563</v>
      </c>
      <c r="I80" t="s">
        <v>31</v>
      </c>
      <c r="J80">
        <v>1691175838.5</v>
      </c>
      <c r="K80">
        <f t="shared" si="46"/>
        <v>6.8441756056453066E-3</v>
      </c>
      <c r="L80">
        <f t="shared" si="47"/>
        <v>6.8441756056453062</v>
      </c>
      <c r="M80">
        <f t="shared" si="48"/>
        <v>46.090783306790591</v>
      </c>
      <c r="N80">
        <f t="shared" si="49"/>
        <v>341.84100000000001</v>
      </c>
      <c r="O80">
        <f t="shared" si="50"/>
        <v>173.74908647546215</v>
      </c>
      <c r="P80">
        <f t="shared" si="51"/>
        <v>17.229882682802536</v>
      </c>
      <c r="Q80">
        <f t="shared" si="52"/>
        <v>33.898770034705798</v>
      </c>
      <c r="R80">
        <f t="shared" si="53"/>
        <v>0.49180522374931079</v>
      </c>
      <c r="S80">
        <f t="shared" si="54"/>
        <v>2.9187802190519991</v>
      </c>
      <c r="T80">
        <f t="shared" si="55"/>
        <v>0.44997666430292826</v>
      </c>
      <c r="U80">
        <f t="shared" si="56"/>
        <v>0.2846964904471071</v>
      </c>
      <c r="V80">
        <f t="shared" si="57"/>
        <v>344.37849998679673</v>
      </c>
      <c r="W80">
        <f t="shared" si="58"/>
        <v>30.547412610529939</v>
      </c>
      <c r="X80">
        <f t="shared" si="59"/>
        <v>30.032</v>
      </c>
      <c r="Y80">
        <f t="shared" si="60"/>
        <v>4.2682869830745345</v>
      </c>
      <c r="Z80">
        <f t="shared" si="61"/>
        <v>64.932552809814979</v>
      </c>
      <c r="AA80">
        <f t="shared" si="62"/>
        <v>2.8138356121377597</v>
      </c>
      <c r="AB80">
        <f t="shared" si="63"/>
        <v>4.3334744906447451</v>
      </c>
      <c r="AC80">
        <f t="shared" si="64"/>
        <v>1.4544513709367748</v>
      </c>
      <c r="AD80">
        <f t="shared" si="65"/>
        <v>-301.82814420895801</v>
      </c>
      <c r="AE80">
        <f t="shared" si="66"/>
        <v>41.573793156590014</v>
      </c>
      <c r="AF80">
        <f t="shared" si="67"/>
        <v>3.1722168119360461</v>
      </c>
      <c r="AG80">
        <f t="shared" si="68"/>
        <v>87.296365746364771</v>
      </c>
      <c r="AH80">
        <v>0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51975.122275963739</v>
      </c>
      <c r="AM80" t="s">
        <v>414</v>
      </c>
      <c r="AN80">
        <v>10111.299999999999</v>
      </c>
      <c r="AO80">
        <v>608.58839999999998</v>
      </c>
      <c r="AP80">
        <v>2150.11</v>
      </c>
      <c r="AQ80">
        <f t="shared" si="72"/>
        <v>0.71695010952927984</v>
      </c>
      <c r="AR80">
        <v>-1.1786277417053079</v>
      </c>
      <c r="AS80" t="s">
        <v>743</v>
      </c>
      <c r="AT80">
        <v>8092.91</v>
      </c>
      <c r="AU80">
        <v>682.11846153846147</v>
      </c>
      <c r="AV80">
        <v>1017.102572261254</v>
      </c>
      <c r="AW80">
        <f t="shared" si="73"/>
        <v>0.32935135536826476</v>
      </c>
      <c r="AX80">
        <v>0.5</v>
      </c>
      <c r="AY80">
        <f t="shared" si="74"/>
        <v>1513.1966999933984</v>
      </c>
      <c r="AZ80">
        <f t="shared" si="75"/>
        <v>46.090783306790591</v>
      </c>
      <c r="BA80">
        <f t="shared" si="76"/>
        <v>249.18669204080564</v>
      </c>
      <c r="BB80">
        <f t="shared" si="77"/>
        <v>3.1238114019612996E-2</v>
      </c>
      <c r="BC80">
        <f t="shared" si="78"/>
        <v>1.1139559161863184</v>
      </c>
      <c r="BD80">
        <f t="shared" si="79"/>
        <v>462.69751403653686</v>
      </c>
      <c r="BE80" t="s">
        <v>744</v>
      </c>
      <c r="BF80">
        <v>525.99</v>
      </c>
      <c r="BG80">
        <f t="shared" si="80"/>
        <v>525.99</v>
      </c>
      <c r="BH80">
        <f t="shared" si="81"/>
        <v>0.48285451797589818</v>
      </c>
      <c r="BI80">
        <f t="shared" si="82"/>
        <v>0.68209231374470525</v>
      </c>
      <c r="BJ80">
        <f t="shared" si="83"/>
        <v>0.69761312448510338</v>
      </c>
      <c r="BK80">
        <f t="shared" si="84"/>
        <v>0.82000609395887158</v>
      </c>
      <c r="BL80">
        <f t="shared" si="85"/>
        <v>0.73499289775683074</v>
      </c>
      <c r="BM80">
        <f t="shared" si="86"/>
        <v>0.52596983711215384</v>
      </c>
      <c r="BN80">
        <f t="shared" si="87"/>
        <v>0.47403016288784616</v>
      </c>
      <c r="BO80">
        <v>7101</v>
      </c>
      <c r="BP80">
        <v>290.00000000000011</v>
      </c>
      <c r="BQ80">
        <v>886.86</v>
      </c>
      <c r="BR80">
        <v>285</v>
      </c>
      <c r="BS80">
        <v>8092.91</v>
      </c>
      <c r="BT80">
        <v>888.04</v>
      </c>
      <c r="BU80">
        <v>-1.18</v>
      </c>
      <c r="BV80">
        <v>300.00000000000011</v>
      </c>
      <c r="BW80">
        <v>19.2</v>
      </c>
      <c r="BX80">
        <v>1017.102572261254</v>
      </c>
      <c r="BY80">
        <v>3.8711738747718978</v>
      </c>
      <c r="BZ80">
        <v>-104.4513342259914</v>
      </c>
      <c r="CA80">
        <v>2.8789265364255971</v>
      </c>
      <c r="CB80">
        <v>0.97917187648268755</v>
      </c>
      <c r="CC80">
        <v>-4.1699165739710834E-3</v>
      </c>
      <c r="CD80">
        <v>289.99999999999989</v>
      </c>
      <c r="CE80">
        <v>875.95</v>
      </c>
      <c r="CF80">
        <v>665</v>
      </c>
      <c r="CG80">
        <v>8087.51</v>
      </c>
      <c r="CH80">
        <v>887.95</v>
      </c>
      <c r="CI80">
        <v>-12</v>
      </c>
      <c r="CW80">
        <f t="shared" si="88"/>
        <v>1800.01</v>
      </c>
      <c r="CX80">
        <f t="shared" si="89"/>
        <v>1513.1966999933984</v>
      </c>
      <c r="CY80">
        <f t="shared" si="90"/>
        <v>0.8406601629954269</v>
      </c>
      <c r="CZ80">
        <f t="shared" si="91"/>
        <v>0.1913203259908538</v>
      </c>
      <c r="DA80">
        <v>6</v>
      </c>
      <c r="DB80">
        <v>0.5</v>
      </c>
      <c r="DC80" t="s">
        <v>417</v>
      </c>
      <c r="DD80">
        <v>2</v>
      </c>
      <c r="DE80">
        <v>1691175838.5</v>
      </c>
      <c r="DF80">
        <v>341.84100000000001</v>
      </c>
      <c r="DG80">
        <v>399.94900000000001</v>
      </c>
      <c r="DH80">
        <v>28.3752</v>
      </c>
      <c r="DI80">
        <v>20.3964</v>
      </c>
      <c r="DJ80">
        <v>339.29700000000003</v>
      </c>
      <c r="DK80">
        <v>28.220400000000001</v>
      </c>
      <c r="DL80">
        <v>500.07299999999998</v>
      </c>
      <c r="DM80">
        <v>99.065399999999997</v>
      </c>
      <c r="DN80">
        <v>9.9913799999999997E-2</v>
      </c>
      <c r="DO80">
        <v>30.296199999999999</v>
      </c>
      <c r="DP80">
        <v>30.032</v>
      </c>
      <c r="DQ80">
        <v>999.9</v>
      </c>
      <c r="DR80">
        <v>0</v>
      </c>
      <c r="DS80">
        <v>0</v>
      </c>
      <c r="DT80">
        <v>10032.5</v>
      </c>
      <c r="DU80">
        <v>0</v>
      </c>
      <c r="DV80">
        <v>1851.33</v>
      </c>
      <c r="DW80">
        <v>-58.1083</v>
      </c>
      <c r="DX80">
        <v>351.82400000000001</v>
      </c>
      <c r="DY80">
        <v>408.27600000000001</v>
      </c>
      <c r="DZ80">
        <v>7.9788600000000001</v>
      </c>
      <c r="EA80">
        <v>399.94900000000001</v>
      </c>
      <c r="EB80">
        <v>20.3964</v>
      </c>
      <c r="EC80">
        <v>2.81101</v>
      </c>
      <c r="ED80">
        <v>2.0205799999999998</v>
      </c>
      <c r="EE80">
        <v>22.948899999999998</v>
      </c>
      <c r="EF80">
        <v>17.6065</v>
      </c>
      <c r="EG80">
        <v>1800.01</v>
      </c>
      <c r="EH80">
        <v>0.977993</v>
      </c>
      <c r="EI80">
        <v>2.2007200000000001E-2</v>
      </c>
      <c r="EJ80">
        <v>0</v>
      </c>
      <c r="EK80">
        <v>678.87</v>
      </c>
      <c r="EL80">
        <v>0.10001</v>
      </c>
      <c r="EM80">
        <v>17644.3</v>
      </c>
      <c r="EN80">
        <v>16353.5</v>
      </c>
      <c r="EO80">
        <v>48.436999999999998</v>
      </c>
      <c r="EP80">
        <v>51</v>
      </c>
      <c r="EQ80">
        <v>49.936999999999998</v>
      </c>
      <c r="ER80">
        <v>49.875</v>
      </c>
      <c r="ES80">
        <v>49.936999999999998</v>
      </c>
      <c r="ET80">
        <v>1760.3</v>
      </c>
      <c r="EU80">
        <v>39.61</v>
      </c>
      <c r="EV80">
        <v>0</v>
      </c>
      <c r="EW80">
        <v>149.5999999046326</v>
      </c>
      <c r="EX80">
        <v>0</v>
      </c>
      <c r="EY80">
        <v>682.11846153846147</v>
      </c>
      <c r="EZ80">
        <v>-19.126153795190611</v>
      </c>
      <c r="FA80">
        <v>-107.7094014873375</v>
      </c>
      <c r="FB80">
        <v>17651.49615384615</v>
      </c>
      <c r="FC80">
        <v>15</v>
      </c>
      <c r="FD80">
        <v>1691175786.5</v>
      </c>
      <c r="FE80" t="s">
        <v>745</v>
      </c>
      <c r="FF80">
        <v>1691175780.5</v>
      </c>
      <c r="FG80">
        <v>1691175786.5</v>
      </c>
      <c r="FH80">
        <v>72</v>
      </c>
      <c r="FI80">
        <v>-0.16500000000000001</v>
      </c>
      <c r="FJ80">
        <v>-4.0000000000000001E-3</v>
      </c>
      <c r="FK80">
        <v>2.67</v>
      </c>
      <c r="FL80">
        <v>1.4E-2</v>
      </c>
      <c r="FM80">
        <v>400</v>
      </c>
      <c r="FN80">
        <v>20</v>
      </c>
      <c r="FO80">
        <v>0.23</v>
      </c>
      <c r="FP80">
        <v>0.04</v>
      </c>
      <c r="FQ80">
        <v>46.192523846343633</v>
      </c>
      <c r="FR80">
        <v>0.6362732441612956</v>
      </c>
      <c r="FS80">
        <v>0.10599462721392661</v>
      </c>
      <c r="FT80">
        <v>1</v>
      </c>
      <c r="FU80">
        <v>0.49661051624077679</v>
      </c>
      <c r="FV80">
        <v>-3.764966027825422E-2</v>
      </c>
      <c r="FW80">
        <v>2.9804965820257531E-3</v>
      </c>
      <c r="FX80">
        <v>1</v>
      </c>
      <c r="FY80">
        <v>2</v>
      </c>
      <c r="FZ80">
        <v>2</v>
      </c>
      <c r="GA80" t="s">
        <v>419</v>
      </c>
      <c r="GB80">
        <v>2.8818999999999999</v>
      </c>
      <c r="GC80">
        <v>2.8213900000000001</v>
      </c>
      <c r="GD80">
        <v>7.5820399999999996E-2</v>
      </c>
      <c r="GE80">
        <v>8.6723300000000003E-2</v>
      </c>
      <c r="GF80">
        <v>0.127689</v>
      </c>
      <c r="GG80">
        <v>0.10215399999999999</v>
      </c>
      <c r="GH80">
        <v>28285.4</v>
      </c>
      <c r="GI80">
        <v>26068.799999999999</v>
      </c>
      <c r="GJ80">
        <v>28182.1</v>
      </c>
      <c r="GK80">
        <v>26816.1</v>
      </c>
      <c r="GL80">
        <v>34700.5</v>
      </c>
      <c r="GM80">
        <v>33641</v>
      </c>
      <c r="GN80">
        <v>41462.9</v>
      </c>
      <c r="GO80">
        <v>38813.699999999997</v>
      </c>
      <c r="GP80">
        <v>1.988</v>
      </c>
      <c r="GQ80">
        <v>1.6218999999999999</v>
      </c>
      <c r="GR80">
        <v>-7.3537199999999997E-2</v>
      </c>
      <c r="GS80">
        <v>0</v>
      </c>
      <c r="GT80">
        <v>31.227399999999999</v>
      </c>
      <c r="GU80">
        <v>999.9</v>
      </c>
      <c r="GV80">
        <v>43.1</v>
      </c>
      <c r="GW80">
        <v>48.3</v>
      </c>
      <c r="GX80">
        <v>49.622</v>
      </c>
      <c r="GY80">
        <v>62.673900000000003</v>
      </c>
      <c r="GZ80">
        <v>29.575299999999999</v>
      </c>
      <c r="HA80">
        <v>1</v>
      </c>
      <c r="HB80">
        <v>1.12266</v>
      </c>
      <c r="HC80">
        <v>6.1401300000000001</v>
      </c>
      <c r="HD80">
        <v>20.136600000000001</v>
      </c>
      <c r="HE80">
        <v>5.2107000000000001</v>
      </c>
      <c r="HF80">
        <v>12.004</v>
      </c>
      <c r="HG80">
        <v>4.9885999999999999</v>
      </c>
      <c r="HH80">
        <v>3.2909999999999999</v>
      </c>
      <c r="HI80">
        <v>9999</v>
      </c>
      <c r="HJ80">
        <v>9999</v>
      </c>
      <c r="HK80">
        <v>9999</v>
      </c>
      <c r="HL80">
        <v>999.9</v>
      </c>
      <c r="HM80">
        <v>1.86677</v>
      </c>
      <c r="HN80">
        <v>1.8669100000000001</v>
      </c>
      <c r="HO80">
        <v>1.86351</v>
      </c>
      <c r="HP80">
        <v>1.8646199999999999</v>
      </c>
      <c r="HQ80">
        <v>1.8641700000000001</v>
      </c>
      <c r="HR80">
        <v>1.86005</v>
      </c>
      <c r="HS80">
        <v>1.86324</v>
      </c>
      <c r="HT80">
        <v>1.8660000000000001</v>
      </c>
      <c r="HU80">
        <v>5</v>
      </c>
      <c r="HV80">
        <v>0</v>
      </c>
      <c r="HW80">
        <v>0</v>
      </c>
      <c r="HX80">
        <v>0</v>
      </c>
      <c r="HY80" t="s">
        <v>420</v>
      </c>
      <c r="HZ80" t="s">
        <v>421</v>
      </c>
      <c r="IA80" t="s">
        <v>422</v>
      </c>
      <c r="IB80" t="s">
        <v>422</v>
      </c>
      <c r="IC80" t="s">
        <v>422</v>
      </c>
      <c r="ID80" t="s">
        <v>422</v>
      </c>
      <c r="IE80">
        <v>0</v>
      </c>
      <c r="IF80">
        <v>100</v>
      </c>
      <c r="IG80">
        <v>100</v>
      </c>
      <c r="IH80">
        <v>2.544</v>
      </c>
      <c r="II80">
        <v>0.15479999999999999</v>
      </c>
      <c r="IJ80">
        <v>1.5698802194632271</v>
      </c>
      <c r="IK80">
        <v>3.5576830062418229E-3</v>
      </c>
      <c r="IL80">
        <v>-2.2646740813029151E-6</v>
      </c>
      <c r="IM80">
        <v>6.9609298295988525E-10</v>
      </c>
      <c r="IN80">
        <v>-0.15036713587878889</v>
      </c>
      <c r="IO80">
        <v>-9.4437069492282083E-4</v>
      </c>
      <c r="IP80">
        <v>5.2900373165634467E-4</v>
      </c>
      <c r="IQ80">
        <v>-3.977656803091445E-6</v>
      </c>
      <c r="IR80">
        <v>2</v>
      </c>
      <c r="IS80">
        <v>1759</v>
      </c>
      <c r="IT80">
        <v>2</v>
      </c>
      <c r="IU80">
        <v>42</v>
      </c>
      <c r="IV80">
        <v>1</v>
      </c>
      <c r="IW80">
        <v>0.9</v>
      </c>
      <c r="IX80">
        <v>0.99975599999999998</v>
      </c>
      <c r="IY80">
        <v>2.4487299999999999</v>
      </c>
      <c r="IZ80">
        <v>1.54297</v>
      </c>
      <c r="JA80">
        <v>2.2985799999999998</v>
      </c>
      <c r="JB80">
        <v>1.5466299999999999</v>
      </c>
      <c r="JC80">
        <v>2.4316399999999998</v>
      </c>
      <c r="JD80">
        <v>49.929600000000001</v>
      </c>
      <c r="JE80">
        <v>24.052499999999998</v>
      </c>
      <c r="JF80">
        <v>18</v>
      </c>
      <c r="JG80">
        <v>534.30700000000002</v>
      </c>
      <c r="JH80">
        <v>396.101</v>
      </c>
      <c r="JI80">
        <v>24.0351</v>
      </c>
      <c r="JJ80">
        <v>40.317399999999999</v>
      </c>
      <c r="JK80">
        <v>30.000499999999999</v>
      </c>
      <c r="JL80">
        <v>40.634900000000002</v>
      </c>
      <c r="JM80">
        <v>40.6203</v>
      </c>
      <c r="JN80">
        <v>20.129100000000001</v>
      </c>
      <c r="JO80">
        <v>63.9495</v>
      </c>
      <c r="JP80">
        <v>0</v>
      </c>
      <c r="JQ80">
        <v>24.042200000000001</v>
      </c>
      <c r="JR80">
        <v>400</v>
      </c>
      <c r="JS80">
        <v>20.5259</v>
      </c>
      <c r="JT80">
        <v>98.238900000000001</v>
      </c>
      <c r="JU80">
        <v>96.028800000000004</v>
      </c>
    </row>
    <row r="81" spans="1:281" x14ac:dyDescent="0.25">
      <c r="A81">
        <v>65</v>
      </c>
      <c r="B81">
        <v>1691176028.5</v>
      </c>
      <c r="C81">
        <v>15117</v>
      </c>
      <c r="D81" t="s">
        <v>746</v>
      </c>
      <c r="E81" t="s">
        <v>747</v>
      </c>
      <c r="F81" t="s">
        <v>413</v>
      </c>
      <c r="G81" t="s">
        <v>707</v>
      </c>
      <c r="H81" t="s">
        <v>563</v>
      </c>
      <c r="I81" t="s">
        <v>31</v>
      </c>
      <c r="J81">
        <v>1691176028.5</v>
      </c>
      <c r="K81">
        <f t="shared" ref="K81:K112" si="92">(L81)/1000</f>
        <v>6.2904342128778457E-3</v>
      </c>
      <c r="L81">
        <f t="shared" ref="L81:L112" si="93">1000*DL81*AJ81*(DH81-DI81)/(100*DA81*(1000-AJ81*DH81))</f>
        <v>6.2904342128778454</v>
      </c>
      <c r="M81">
        <f t="shared" ref="M81:M112" si="94">DL81*AJ81*(DG81-DF81*(1000-AJ81*DI81)/(1000-AJ81*DH81))/(100*DA81)</f>
        <v>49.068485587993834</v>
      </c>
      <c r="N81">
        <f t="shared" ref="N81:N112" si="95">DF81 - IF(AJ81&gt;1, M81*DA81*100/(AL81*DT81), 0)</f>
        <v>338.36399999999998</v>
      </c>
      <c r="O81">
        <f t="shared" ref="O81:O112" si="96">((U81-K81/2)*N81-M81)/(U81+K81/2)</f>
        <v>141.57116211285367</v>
      </c>
      <c r="P81">
        <f t="shared" ref="P81:P112" si="97">O81*(DM81+DN81)/1000</f>
        <v>14.039683597697216</v>
      </c>
      <c r="Q81">
        <f t="shared" ref="Q81:Q112" si="98">(DF81 - IF(AJ81&gt;1, M81*DA81*100/(AL81*DT81), 0))*(DM81+DN81)/1000</f>
        <v>33.555728652310798</v>
      </c>
      <c r="R81">
        <f t="shared" ref="R81:R112" si="99">2/((1/T81-1/S81)+SIGN(T81)*SQRT((1/T81-1/S81)*(1/T81-1/S81) + 4*DB81/((DB81+1)*(DB81+1))*(2*1/T81*1/S81-1/S81*1/S81)))</f>
        <v>0.44066420278108198</v>
      </c>
      <c r="S81">
        <f t="shared" ref="S81:S112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2.911444780724521</v>
      </c>
      <c r="T81">
        <f t="shared" ref="T81:T112" si="101">K81*(1000-(1000*0.61365*EXP(17.502*X81/(240.97+X81))/(DM81+DN81)+DH81)/2)/(1000*0.61365*EXP(17.502*X81/(240.97+X81))/(DM81+DN81)-DH81)</f>
        <v>0.40668314520522658</v>
      </c>
      <c r="U81">
        <f t="shared" ref="U81:U112" si="102">1/((DB81+1)/(R81/1.6)+1/(S81/1.37)) + DB81/((DB81+1)/(R81/1.6) + DB81/(S81/1.37))</f>
        <v>0.25701131409496425</v>
      </c>
      <c r="V81">
        <f t="shared" ref="V81:V112" si="103">(CW81*CZ81)</f>
        <v>344.40889998679796</v>
      </c>
      <c r="W81">
        <f t="shared" ref="W81:W112" si="104">(DO81+(V81+2*0.95*0.0000000567*(((DO81+$B$7)+273)^4-(DO81+273)^4)-44100*K81)/(1.84*29.3*S81+8*0.95*0.0000000567*(DO81+273)^3))</f>
        <v>30.54833105261978</v>
      </c>
      <c r="X81">
        <f t="shared" ref="X81:X112" si="105">($C$7*DP81+$D$7*DQ81+$E$7*W81)</f>
        <v>30.0106</v>
      </c>
      <c r="Y81">
        <f t="shared" ref="Y81:Y112" si="106">0.61365*EXP(17.502*X81/(240.97+X81))</f>
        <v>4.2630444582125806</v>
      </c>
      <c r="Z81">
        <f t="shared" ref="Z81:Z112" si="107">(AA81/AB81*100)</f>
        <v>64.769099269545421</v>
      </c>
      <c r="AA81">
        <f t="shared" ref="AA81:AA112" si="108">DH81*(DM81+DN81)/1000</f>
        <v>2.7836069793738298</v>
      </c>
      <c r="AB81">
        <f t="shared" ref="AB81:AB112" si="109">0.61365*EXP(17.502*DO81/(240.97+DO81))</f>
        <v>4.2977392163344286</v>
      </c>
      <c r="AC81">
        <f t="shared" ref="AC81:AC112" si="110">(Y81-DH81*(DM81+DN81)/1000)</f>
        <v>1.4794374788387508</v>
      </c>
      <c r="AD81">
        <f t="shared" ref="AD81:AD112" si="111">(-K81*44100)</f>
        <v>-277.40814878791298</v>
      </c>
      <c r="AE81">
        <f t="shared" ref="AE81:AE112" si="112">2*29.3*S81*0.92*(DO81-X81)</f>
        <v>22.163007715801164</v>
      </c>
      <c r="AF81">
        <f t="shared" ref="AF81:AF112" si="113">2*0.95*0.0000000567*(((DO81+$B$7)+273)^4-(X81+273)^4)</f>
        <v>1.6939803402377318</v>
      </c>
      <c r="AG81">
        <f t="shared" ref="AG81:AG112" si="114">V81+AF81+AD81+AE81</f>
        <v>90.857739254923871</v>
      </c>
      <c r="AH81">
        <v>0</v>
      </c>
      <c r="AI81">
        <v>0</v>
      </c>
      <c r="AJ81">
        <f t="shared" ref="AJ81:AJ112" si="115">IF(AH81*$H$13&gt;=AL81,1,(AL81/(AL81-AH81*$H$13)))</f>
        <v>1</v>
      </c>
      <c r="AK81">
        <f t="shared" ref="AK81:AK112" si="116">(AJ81-1)*100</f>
        <v>0</v>
      </c>
      <c r="AL81">
        <f t="shared" ref="AL81:AL112" si="117">MAX(0,($B$13+$C$13*DT81)/(1+$D$13*DT81)*DM81/(DO81+273)*$E$13)</f>
        <v>51791.359039181676</v>
      </c>
      <c r="AM81" t="s">
        <v>414</v>
      </c>
      <c r="AN81">
        <v>10111.299999999999</v>
      </c>
      <c r="AO81">
        <v>608.58839999999998</v>
      </c>
      <c r="AP81">
        <v>2150.11</v>
      </c>
      <c r="AQ81">
        <f t="shared" ref="AQ81:AQ112" si="118">1-AO81/AP81</f>
        <v>0.71695010952927984</v>
      </c>
      <c r="AR81">
        <v>-1.1786277417053079</v>
      </c>
      <c r="AS81" t="s">
        <v>748</v>
      </c>
      <c r="AT81">
        <v>8092.52</v>
      </c>
      <c r="AU81">
        <v>681.55599999999993</v>
      </c>
      <c r="AV81">
        <v>1031.1955943427331</v>
      </c>
      <c r="AW81">
        <f t="shared" ref="AW81:AW112" si="119">1-AU81/AV81</f>
        <v>0.33906234303259186</v>
      </c>
      <c r="AX81">
        <v>0.5</v>
      </c>
      <c r="AY81">
        <f t="shared" ref="AY81:AY112" si="120">CX81</f>
        <v>1513.331099993399</v>
      </c>
      <c r="AZ81">
        <f t="shared" ref="AZ81:AZ112" si="121">M81</f>
        <v>49.068485587993834</v>
      </c>
      <c r="BA81">
        <f t="shared" ref="BA81:BA112" si="122">AW81*AX81*AY81</f>
        <v>256.55679427392573</v>
      </c>
      <c r="BB81">
        <f t="shared" ref="BB81:BB112" si="123">(AZ81-AR81)/AY81</f>
        <v>3.3202987323737887E-2</v>
      </c>
      <c r="BC81">
        <f t="shared" ref="BC81:BC112" si="124">(AP81-AV81)/AV81</f>
        <v>1.0850651532995004</v>
      </c>
      <c r="BD81">
        <f t="shared" ref="BD81:BD112" si="125">AO81/(AQ81+AO81/AV81)</f>
        <v>465.59219824172266</v>
      </c>
      <c r="BE81" t="s">
        <v>749</v>
      </c>
      <c r="BF81">
        <v>527.73</v>
      </c>
      <c r="BG81">
        <f t="shared" ref="BG81:BG112" si="126">IF(BF81&lt;&gt;0, BF81, BD81)</f>
        <v>527.73</v>
      </c>
      <c r="BH81">
        <f t="shared" ref="BH81:BH112" si="127">1-BG81/AV81</f>
        <v>0.48823481898565879</v>
      </c>
      <c r="BI81">
        <f t="shared" ref="BI81:BI112" si="128">(AV81-AU81)/(AV81-BG81)</f>
        <v>0.69446571577385052</v>
      </c>
      <c r="BJ81">
        <f t="shared" ref="BJ81:BJ112" si="129">(AP81-AV81)/(AP81-BG81)</f>
        <v>0.68967467896378587</v>
      </c>
      <c r="BK81">
        <f t="shared" ref="BK81:BK112" si="130">(AV81-AU81)/(AV81-AO81)</f>
        <v>0.82733942777882896</v>
      </c>
      <c r="BL81">
        <f t="shared" ref="BL81:BL112" si="131">(AP81-AV81)/(AP81-AO81)</f>
        <v>0.72585061776446536</v>
      </c>
      <c r="BM81">
        <f t="shared" ref="BM81:BM112" si="132">(BI81*BG81/AU81)</f>
        <v>0.53772601544896415</v>
      </c>
      <c r="BN81">
        <f t="shared" ref="BN81:BN112" si="133">(1-BM81)</f>
        <v>0.46227398455103585</v>
      </c>
      <c r="BO81">
        <v>7103</v>
      </c>
      <c r="BP81">
        <v>290.00000000000011</v>
      </c>
      <c r="BQ81">
        <v>912.08</v>
      </c>
      <c r="BR81">
        <v>295</v>
      </c>
      <c r="BS81">
        <v>8092.52</v>
      </c>
      <c r="BT81">
        <v>913.12</v>
      </c>
      <c r="BU81">
        <v>-1.04</v>
      </c>
      <c r="BV81">
        <v>300.00000000000011</v>
      </c>
      <c r="BW81">
        <v>19.2</v>
      </c>
      <c r="BX81">
        <v>1031.1955943427331</v>
      </c>
      <c r="BY81">
        <v>2.727882983838136</v>
      </c>
      <c r="BZ81">
        <v>-95.556194401864389</v>
      </c>
      <c r="CA81">
        <v>2.0285722380915998</v>
      </c>
      <c r="CB81">
        <v>0.98753835802946965</v>
      </c>
      <c r="CC81">
        <v>-4.1698278086763109E-3</v>
      </c>
      <c r="CD81">
        <v>289.99999999999989</v>
      </c>
      <c r="CE81">
        <v>907.15</v>
      </c>
      <c r="CF81">
        <v>665</v>
      </c>
      <c r="CG81">
        <v>8087.1</v>
      </c>
      <c r="CH81">
        <v>913.04</v>
      </c>
      <c r="CI81">
        <v>-5.89</v>
      </c>
      <c r="CW81">
        <f t="shared" ref="CW81:CW112" si="134">$B$11*DU81+$C$11*DV81+$F$11*EG81*(1-EJ81)</f>
        <v>1800.17</v>
      </c>
      <c r="CX81">
        <f t="shared" ref="CX81:CX112" si="135">CW81*CY81</f>
        <v>1513.331099993399</v>
      </c>
      <c r="CY81">
        <f t="shared" ref="CY81:CY112" si="136">($B$11*$D$9+$C$11*$D$9+$F$11*((ET81+EL81)/MAX(ET81+EL81+EU81, 0.1)*$I$9+EU81/MAX(ET81+EL81+EU81, 0.1)*$J$9))/($B$11+$C$11+$F$11)</f>
        <v>0.84066010431981364</v>
      </c>
      <c r="CZ81">
        <f t="shared" ref="CZ81:CZ112" si="137">($B$11*$K$9+$C$11*$K$9+$F$11*((ET81+EL81)/MAX(ET81+EL81+EU81, 0.1)*$P$9+EU81/MAX(ET81+EL81+EU81, 0.1)*$Q$9))/($B$11+$C$11+$F$11)</f>
        <v>0.19132020863962734</v>
      </c>
      <c r="DA81">
        <v>6</v>
      </c>
      <c r="DB81">
        <v>0.5</v>
      </c>
      <c r="DC81" t="s">
        <v>417</v>
      </c>
      <c r="DD81">
        <v>2</v>
      </c>
      <c r="DE81">
        <v>1691176028.5</v>
      </c>
      <c r="DF81">
        <v>338.36399999999998</v>
      </c>
      <c r="DG81">
        <v>399.80500000000001</v>
      </c>
      <c r="DH81">
        <v>28.068899999999999</v>
      </c>
      <c r="DI81">
        <v>20.7317</v>
      </c>
      <c r="DJ81">
        <v>335.82</v>
      </c>
      <c r="DK81">
        <v>27.920500000000001</v>
      </c>
      <c r="DL81">
        <v>499.96199999999999</v>
      </c>
      <c r="DM81">
        <v>99.070599999999999</v>
      </c>
      <c r="DN81">
        <v>9.9904699999999999E-2</v>
      </c>
      <c r="DO81">
        <v>30.151800000000001</v>
      </c>
      <c r="DP81">
        <v>30.0106</v>
      </c>
      <c r="DQ81">
        <v>999.9</v>
      </c>
      <c r="DR81">
        <v>0</v>
      </c>
      <c r="DS81">
        <v>0</v>
      </c>
      <c r="DT81">
        <v>9990</v>
      </c>
      <c r="DU81">
        <v>0</v>
      </c>
      <c r="DV81">
        <v>1859.23</v>
      </c>
      <c r="DW81">
        <v>-61.441099999999999</v>
      </c>
      <c r="DX81">
        <v>348.13499999999999</v>
      </c>
      <c r="DY81">
        <v>408.26900000000001</v>
      </c>
      <c r="DZ81">
        <v>7.3372099999999998</v>
      </c>
      <c r="EA81">
        <v>399.80500000000001</v>
      </c>
      <c r="EB81">
        <v>20.7317</v>
      </c>
      <c r="EC81">
        <v>2.7808099999999998</v>
      </c>
      <c r="ED81">
        <v>2.0539000000000001</v>
      </c>
      <c r="EE81">
        <v>22.770600000000002</v>
      </c>
      <c r="EF81">
        <v>17.866099999999999</v>
      </c>
      <c r="EG81">
        <v>1800.17</v>
      </c>
      <c r="EH81">
        <v>0.97799599999999998</v>
      </c>
      <c r="EI81">
        <v>2.2003499999999999E-2</v>
      </c>
      <c r="EJ81">
        <v>0</v>
      </c>
      <c r="EK81">
        <v>684.71</v>
      </c>
      <c r="EL81">
        <v>0.10001</v>
      </c>
      <c r="EM81">
        <v>17766</v>
      </c>
      <c r="EN81">
        <v>16355</v>
      </c>
      <c r="EO81">
        <v>48.5</v>
      </c>
      <c r="EP81">
        <v>51.061999999999998</v>
      </c>
      <c r="EQ81">
        <v>50</v>
      </c>
      <c r="ER81">
        <v>50</v>
      </c>
      <c r="ES81">
        <v>50</v>
      </c>
      <c r="ET81">
        <v>1760.46</v>
      </c>
      <c r="EU81">
        <v>39.61</v>
      </c>
      <c r="EV81">
        <v>0</v>
      </c>
      <c r="EW81">
        <v>187.79999995231631</v>
      </c>
      <c r="EX81">
        <v>0</v>
      </c>
      <c r="EY81">
        <v>681.55599999999993</v>
      </c>
      <c r="EZ81">
        <v>17.55192321829302</v>
      </c>
      <c r="FA81">
        <v>1199.884615366255</v>
      </c>
      <c r="FB81">
        <v>17669.428</v>
      </c>
      <c r="FC81">
        <v>15</v>
      </c>
      <c r="FD81">
        <v>1691175906.5</v>
      </c>
      <c r="FE81" t="s">
        <v>750</v>
      </c>
      <c r="FF81">
        <v>1691175898</v>
      </c>
      <c r="FG81">
        <v>1691175906.5</v>
      </c>
      <c r="FH81">
        <v>73</v>
      </c>
      <c r="FI81">
        <v>8.0000000000000002E-3</v>
      </c>
      <c r="FJ81">
        <v>-1E-3</v>
      </c>
      <c r="FK81">
        <v>2.6779999999999999</v>
      </c>
      <c r="FL81">
        <v>1.4999999999999999E-2</v>
      </c>
      <c r="FM81">
        <v>400</v>
      </c>
      <c r="FN81">
        <v>20</v>
      </c>
      <c r="FO81">
        <v>0.18</v>
      </c>
      <c r="FP81">
        <v>0.03</v>
      </c>
      <c r="FQ81">
        <v>48.832097739381837</v>
      </c>
      <c r="FR81">
        <v>2.3198684209016989</v>
      </c>
      <c r="FS81">
        <v>0.18414130907832241</v>
      </c>
      <c r="FT81">
        <v>0</v>
      </c>
      <c r="FU81">
        <v>0.44621025799952768</v>
      </c>
      <c r="FV81">
        <v>-0.10906927096362851</v>
      </c>
      <c r="FW81">
        <v>8.8384800789788418E-3</v>
      </c>
      <c r="FX81">
        <v>0</v>
      </c>
      <c r="FY81">
        <v>0</v>
      </c>
      <c r="FZ81">
        <v>2</v>
      </c>
      <c r="GA81" t="s">
        <v>751</v>
      </c>
      <c r="GB81">
        <v>2.8813900000000001</v>
      </c>
      <c r="GC81">
        <v>2.8210099999999998</v>
      </c>
      <c r="GD81">
        <v>7.5176300000000001E-2</v>
      </c>
      <c r="GE81">
        <v>8.66817E-2</v>
      </c>
      <c r="GF81">
        <v>0.12672700000000001</v>
      </c>
      <c r="GG81">
        <v>0.103309</v>
      </c>
      <c r="GH81">
        <v>28300.400000000001</v>
      </c>
      <c r="GI81">
        <v>26064.5</v>
      </c>
      <c r="GJ81">
        <v>28177.8</v>
      </c>
      <c r="GK81">
        <v>26810.9</v>
      </c>
      <c r="GL81">
        <v>34733.4</v>
      </c>
      <c r="GM81">
        <v>33592.9</v>
      </c>
      <c r="GN81">
        <v>41456.300000000003</v>
      </c>
      <c r="GO81">
        <v>38807.599999999999</v>
      </c>
      <c r="GP81">
        <v>1.9866999999999999</v>
      </c>
      <c r="GQ81">
        <v>1.6218999999999999</v>
      </c>
      <c r="GR81">
        <v>-6.1065000000000001E-2</v>
      </c>
      <c r="GS81">
        <v>0</v>
      </c>
      <c r="GT81">
        <v>31.003499999999999</v>
      </c>
      <c r="GU81">
        <v>999.9</v>
      </c>
      <c r="GV81">
        <v>43.4</v>
      </c>
      <c r="GW81">
        <v>48.1</v>
      </c>
      <c r="GX81">
        <v>49.461300000000001</v>
      </c>
      <c r="GY81">
        <v>62.693899999999999</v>
      </c>
      <c r="GZ81">
        <v>29.463100000000001</v>
      </c>
      <c r="HA81">
        <v>1</v>
      </c>
      <c r="HB81">
        <v>1.1310500000000001</v>
      </c>
      <c r="HC81">
        <v>6.5524699999999996</v>
      </c>
      <c r="HD81">
        <v>20.120699999999999</v>
      </c>
      <c r="HE81">
        <v>5.2112999999999996</v>
      </c>
      <c r="HF81">
        <v>12.004</v>
      </c>
      <c r="HG81">
        <v>4.9888000000000003</v>
      </c>
      <c r="HH81">
        <v>3.2909999999999999</v>
      </c>
      <c r="HI81">
        <v>9999</v>
      </c>
      <c r="HJ81">
        <v>9999</v>
      </c>
      <c r="HK81">
        <v>9999</v>
      </c>
      <c r="HL81">
        <v>999.9</v>
      </c>
      <c r="HM81">
        <v>1.8667899999999999</v>
      </c>
      <c r="HN81">
        <v>1.8669100000000001</v>
      </c>
      <c r="HO81">
        <v>1.8634500000000001</v>
      </c>
      <c r="HP81">
        <v>1.8646199999999999</v>
      </c>
      <c r="HQ81">
        <v>1.8641700000000001</v>
      </c>
      <c r="HR81">
        <v>1.86005</v>
      </c>
      <c r="HS81">
        <v>1.8632500000000001</v>
      </c>
      <c r="HT81">
        <v>1.8660000000000001</v>
      </c>
      <c r="HU81">
        <v>5</v>
      </c>
      <c r="HV81">
        <v>0</v>
      </c>
      <c r="HW81">
        <v>0</v>
      </c>
      <c r="HX81">
        <v>0</v>
      </c>
      <c r="HY81" t="s">
        <v>420</v>
      </c>
      <c r="HZ81" t="s">
        <v>421</v>
      </c>
      <c r="IA81" t="s">
        <v>422</v>
      </c>
      <c r="IB81" t="s">
        <v>422</v>
      </c>
      <c r="IC81" t="s">
        <v>422</v>
      </c>
      <c r="ID81" t="s">
        <v>422</v>
      </c>
      <c r="IE81">
        <v>0</v>
      </c>
      <c r="IF81">
        <v>100</v>
      </c>
      <c r="IG81">
        <v>100</v>
      </c>
      <c r="IH81">
        <v>2.544</v>
      </c>
      <c r="II81">
        <v>0.1484</v>
      </c>
      <c r="IJ81">
        <v>1.5779996227868269</v>
      </c>
      <c r="IK81">
        <v>3.5576830062418229E-3</v>
      </c>
      <c r="IL81">
        <v>-2.2646740813029151E-6</v>
      </c>
      <c r="IM81">
        <v>6.9609298295988525E-10</v>
      </c>
      <c r="IN81">
        <v>-0.15104255975241229</v>
      </c>
      <c r="IO81">
        <v>-9.4437069492282083E-4</v>
      </c>
      <c r="IP81">
        <v>5.2900373165634467E-4</v>
      </c>
      <c r="IQ81">
        <v>-3.977656803091445E-6</v>
      </c>
      <c r="IR81">
        <v>2</v>
      </c>
      <c r="IS81">
        <v>1759</v>
      </c>
      <c r="IT81">
        <v>2</v>
      </c>
      <c r="IU81">
        <v>42</v>
      </c>
      <c r="IV81">
        <v>2.2000000000000002</v>
      </c>
      <c r="IW81">
        <v>2</v>
      </c>
      <c r="IX81">
        <v>0.99853499999999995</v>
      </c>
      <c r="IY81">
        <v>2.4523899999999998</v>
      </c>
      <c r="IZ81">
        <v>1.54297</v>
      </c>
      <c r="JA81">
        <v>2.2985799999999998</v>
      </c>
      <c r="JB81">
        <v>1.5466299999999999</v>
      </c>
      <c r="JC81">
        <v>2.4096700000000002</v>
      </c>
      <c r="JD81">
        <v>49.8018</v>
      </c>
      <c r="JE81">
        <v>24.035</v>
      </c>
      <c r="JF81">
        <v>18</v>
      </c>
      <c r="JG81">
        <v>534.26599999999996</v>
      </c>
      <c r="JH81">
        <v>396.72300000000001</v>
      </c>
      <c r="JI81">
        <v>24.3628</v>
      </c>
      <c r="JJ81">
        <v>40.441699999999997</v>
      </c>
      <c r="JK81">
        <v>30.004300000000001</v>
      </c>
      <c r="JL81">
        <v>40.743499999999997</v>
      </c>
      <c r="JM81">
        <v>40.7286</v>
      </c>
      <c r="JN81">
        <v>20.117599999999999</v>
      </c>
      <c r="JO81">
        <v>63.546500000000002</v>
      </c>
      <c r="JP81">
        <v>0</v>
      </c>
      <c r="JQ81">
        <v>24.189499999999999</v>
      </c>
      <c r="JR81">
        <v>400</v>
      </c>
      <c r="JS81">
        <v>20.582000000000001</v>
      </c>
      <c r="JT81">
        <v>98.223699999999994</v>
      </c>
      <c r="JU81">
        <v>96.0124</v>
      </c>
    </row>
    <row r="82" spans="1:281" x14ac:dyDescent="0.25">
      <c r="A82">
        <v>66</v>
      </c>
      <c r="B82">
        <v>1691176155</v>
      </c>
      <c r="C82">
        <v>15243.5</v>
      </c>
      <c r="D82" t="s">
        <v>752</v>
      </c>
      <c r="E82" t="s">
        <v>753</v>
      </c>
      <c r="F82" t="s">
        <v>413</v>
      </c>
      <c r="G82" t="s">
        <v>707</v>
      </c>
      <c r="H82" t="s">
        <v>563</v>
      </c>
      <c r="I82" t="s">
        <v>31</v>
      </c>
      <c r="J82">
        <v>1691176155</v>
      </c>
      <c r="K82">
        <f t="shared" si="92"/>
        <v>6.0163401107573922E-3</v>
      </c>
      <c r="L82">
        <f t="shared" si="93"/>
        <v>6.0163401107573922</v>
      </c>
      <c r="M82">
        <f t="shared" si="94"/>
        <v>52.913715135184482</v>
      </c>
      <c r="N82">
        <f t="shared" si="95"/>
        <v>433.52</v>
      </c>
      <c r="O82">
        <f t="shared" si="96"/>
        <v>210.14957204970267</v>
      </c>
      <c r="P82">
        <f t="shared" si="97"/>
        <v>20.840250682189051</v>
      </c>
      <c r="Q82">
        <f t="shared" si="98"/>
        <v>42.991595879175996</v>
      </c>
      <c r="R82">
        <f t="shared" si="99"/>
        <v>0.419640252235991</v>
      </c>
      <c r="S82">
        <f t="shared" si="100"/>
        <v>2.9166562403535834</v>
      </c>
      <c r="T82">
        <f t="shared" si="101"/>
        <v>0.38875327748225025</v>
      </c>
      <c r="U82">
        <f t="shared" si="102"/>
        <v>0.24555615159401328</v>
      </c>
      <c r="V82">
        <f t="shared" si="103"/>
        <v>344.34429998679548</v>
      </c>
      <c r="W82">
        <f t="shared" si="104"/>
        <v>30.522941576531984</v>
      </c>
      <c r="X82">
        <f t="shared" si="105"/>
        <v>30.001100000000001</v>
      </c>
      <c r="Y82">
        <f t="shared" si="106"/>
        <v>4.2607189682508402</v>
      </c>
      <c r="Z82">
        <f t="shared" si="107"/>
        <v>65.052838640009455</v>
      </c>
      <c r="AA82">
        <f t="shared" si="108"/>
        <v>2.7804709516081401</v>
      </c>
      <c r="AB82">
        <f t="shared" si="109"/>
        <v>4.2741731333120745</v>
      </c>
      <c r="AC82">
        <f t="shared" si="110"/>
        <v>1.4802480166427001</v>
      </c>
      <c r="AD82">
        <f t="shared" si="111"/>
        <v>-265.32059888440102</v>
      </c>
      <c r="AE82">
        <f t="shared" si="112"/>
        <v>8.6326281405238294</v>
      </c>
      <c r="AF82">
        <f t="shared" si="113"/>
        <v>0.65829361439282308</v>
      </c>
      <c r="AG82">
        <f t="shared" si="114"/>
        <v>88.314622857311136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51955.926519859408</v>
      </c>
      <c r="AM82" t="s">
        <v>414</v>
      </c>
      <c r="AN82">
        <v>10111.299999999999</v>
      </c>
      <c r="AO82">
        <v>608.58839999999998</v>
      </c>
      <c r="AP82">
        <v>2150.11</v>
      </c>
      <c r="AQ82">
        <f t="shared" si="118"/>
        <v>0.71695010952927984</v>
      </c>
      <c r="AR82">
        <v>-1.1786277417053079</v>
      </c>
      <c r="AS82" t="s">
        <v>754</v>
      </c>
      <c r="AT82">
        <v>8092.81</v>
      </c>
      <c r="AU82">
        <v>695.1389999999999</v>
      </c>
      <c r="AV82">
        <v>1085.500286569207</v>
      </c>
      <c r="AW82">
        <f t="shared" si="119"/>
        <v>0.35961417182391442</v>
      </c>
      <c r="AX82">
        <v>0.5</v>
      </c>
      <c r="AY82">
        <f t="shared" si="120"/>
        <v>1513.0454999933977</v>
      </c>
      <c r="AZ82">
        <f t="shared" si="121"/>
        <v>52.913715135184482</v>
      </c>
      <c r="BA82">
        <f t="shared" si="122"/>
        <v>272.05630220601313</v>
      </c>
      <c r="BB82">
        <f t="shared" si="123"/>
        <v>3.5750638614057424E-2</v>
      </c>
      <c r="BC82">
        <f t="shared" si="124"/>
        <v>0.98075488933822408</v>
      </c>
      <c r="BD82">
        <f t="shared" si="125"/>
        <v>476.35189310502483</v>
      </c>
      <c r="BE82" t="s">
        <v>755</v>
      </c>
      <c r="BF82">
        <v>533.73</v>
      </c>
      <c r="BG82">
        <f t="shared" si="126"/>
        <v>533.73</v>
      </c>
      <c r="BH82">
        <f t="shared" si="127"/>
        <v>0.50830966458158411</v>
      </c>
      <c r="BI82">
        <f t="shared" si="128"/>
        <v>0.70747065594342251</v>
      </c>
      <c r="BJ82">
        <f t="shared" si="129"/>
        <v>0.65863826169019235</v>
      </c>
      <c r="BK82">
        <f t="shared" si="130"/>
        <v>0.8185186772705022</v>
      </c>
      <c r="BL82">
        <f t="shared" si="131"/>
        <v>0.69062263767876697</v>
      </c>
      <c r="BM82">
        <f t="shared" si="132"/>
        <v>0.54319828580569207</v>
      </c>
      <c r="BN82">
        <f t="shared" si="133"/>
        <v>0.45680171419430793</v>
      </c>
      <c r="BO82">
        <v>7105</v>
      </c>
      <c r="BP82">
        <v>290.00000000000011</v>
      </c>
      <c r="BQ82">
        <v>952.69</v>
      </c>
      <c r="BR82">
        <v>275</v>
      </c>
      <c r="BS82">
        <v>8092.81</v>
      </c>
      <c r="BT82">
        <v>953.76</v>
      </c>
      <c r="BU82">
        <v>-1.07</v>
      </c>
      <c r="BV82">
        <v>300.00000000000011</v>
      </c>
      <c r="BW82">
        <v>19.2</v>
      </c>
      <c r="BX82">
        <v>1085.500286569207</v>
      </c>
      <c r="BY82">
        <v>2.9735706292048558</v>
      </c>
      <c r="BZ82">
        <v>-106.6177773011237</v>
      </c>
      <c r="CA82">
        <v>2.2112627150415571</v>
      </c>
      <c r="CB82">
        <v>0.98809909548679287</v>
      </c>
      <c r="CC82">
        <v>-4.1698331479421589E-3</v>
      </c>
      <c r="CD82">
        <v>289.99999999999989</v>
      </c>
      <c r="CE82">
        <v>948.14</v>
      </c>
      <c r="CF82">
        <v>645</v>
      </c>
      <c r="CG82">
        <v>8087.47</v>
      </c>
      <c r="CH82">
        <v>953.67</v>
      </c>
      <c r="CI82">
        <v>-5.53</v>
      </c>
      <c r="CW82">
        <f t="shared" si="134"/>
        <v>1799.83</v>
      </c>
      <c r="CX82">
        <f t="shared" si="135"/>
        <v>1513.0454999933977</v>
      </c>
      <c r="CY82">
        <f t="shared" si="136"/>
        <v>0.84066022901796156</v>
      </c>
      <c r="CZ82">
        <f t="shared" si="137"/>
        <v>0.1913204580359231</v>
      </c>
      <c r="DA82">
        <v>6</v>
      </c>
      <c r="DB82">
        <v>0.5</v>
      </c>
      <c r="DC82" t="s">
        <v>417</v>
      </c>
      <c r="DD82">
        <v>2</v>
      </c>
      <c r="DE82">
        <v>1691176155</v>
      </c>
      <c r="DF82">
        <v>433.52</v>
      </c>
      <c r="DG82">
        <v>500.11700000000002</v>
      </c>
      <c r="DH82">
        <v>28.037800000000001</v>
      </c>
      <c r="DI82">
        <v>21.023700000000002</v>
      </c>
      <c r="DJ82">
        <v>430.79199999999997</v>
      </c>
      <c r="DK82">
        <v>27.889600000000002</v>
      </c>
      <c r="DL82">
        <v>500.22</v>
      </c>
      <c r="DM82">
        <v>99.068700000000007</v>
      </c>
      <c r="DN82">
        <v>9.9956299999999998E-2</v>
      </c>
      <c r="DO82">
        <v>30.056000000000001</v>
      </c>
      <c r="DP82">
        <v>30.001100000000001</v>
      </c>
      <c r="DQ82">
        <v>999.9</v>
      </c>
      <c r="DR82">
        <v>0</v>
      </c>
      <c r="DS82">
        <v>0</v>
      </c>
      <c r="DT82">
        <v>10020</v>
      </c>
      <c r="DU82">
        <v>0</v>
      </c>
      <c r="DV82">
        <v>1867.72</v>
      </c>
      <c r="DW82">
        <v>-66.596199999999996</v>
      </c>
      <c r="DX82">
        <v>446.02600000000001</v>
      </c>
      <c r="DY82">
        <v>510.85700000000003</v>
      </c>
      <c r="DZ82">
        <v>7.0140599999999997</v>
      </c>
      <c r="EA82">
        <v>500.11700000000002</v>
      </c>
      <c r="EB82">
        <v>21.023700000000002</v>
      </c>
      <c r="EC82">
        <v>2.7776700000000001</v>
      </c>
      <c r="ED82">
        <v>2.0827900000000001</v>
      </c>
      <c r="EE82">
        <v>22.751999999999999</v>
      </c>
      <c r="EF82">
        <v>18.088200000000001</v>
      </c>
      <c r="EG82">
        <v>1799.83</v>
      </c>
      <c r="EH82">
        <v>0.977993</v>
      </c>
      <c r="EI82">
        <v>2.2007200000000001E-2</v>
      </c>
      <c r="EJ82">
        <v>0</v>
      </c>
      <c r="EK82">
        <v>693.1</v>
      </c>
      <c r="EL82">
        <v>0.10001</v>
      </c>
      <c r="EM82">
        <v>18076</v>
      </c>
      <c r="EN82">
        <v>16351.9</v>
      </c>
      <c r="EO82">
        <v>48.561999999999998</v>
      </c>
      <c r="EP82">
        <v>51.125</v>
      </c>
      <c r="EQ82">
        <v>50.061999999999998</v>
      </c>
      <c r="ER82">
        <v>49.936999999999998</v>
      </c>
      <c r="ES82">
        <v>50.061999999999998</v>
      </c>
      <c r="ET82">
        <v>1760.12</v>
      </c>
      <c r="EU82">
        <v>39.61</v>
      </c>
      <c r="EV82">
        <v>0</v>
      </c>
      <c r="EW82">
        <v>124.19999980926509</v>
      </c>
      <c r="EX82">
        <v>0</v>
      </c>
      <c r="EY82">
        <v>695.1389999999999</v>
      </c>
      <c r="EZ82">
        <v>1.390000040378536</v>
      </c>
      <c r="FA82">
        <v>77.584615309970147</v>
      </c>
      <c r="FB82">
        <v>18061.403999999999</v>
      </c>
      <c r="FC82">
        <v>15</v>
      </c>
      <c r="FD82">
        <v>1691176121.5</v>
      </c>
      <c r="FE82" t="s">
        <v>756</v>
      </c>
      <c r="FF82">
        <v>1691176106.5</v>
      </c>
      <c r="FG82">
        <v>1691176121.5</v>
      </c>
      <c r="FH82">
        <v>74</v>
      </c>
      <c r="FI82">
        <v>-1.7999999999999999E-2</v>
      </c>
      <c r="FJ82">
        <v>0</v>
      </c>
      <c r="FK82">
        <v>2.855</v>
      </c>
      <c r="FL82">
        <v>2.5000000000000001E-2</v>
      </c>
      <c r="FM82">
        <v>500</v>
      </c>
      <c r="FN82">
        <v>21</v>
      </c>
      <c r="FO82">
        <v>0.09</v>
      </c>
      <c r="FP82">
        <v>0.03</v>
      </c>
      <c r="FQ82">
        <v>52.815664188181429</v>
      </c>
      <c r="FR82">
        <v>-0.55426312956457524</v>
      </c>
      <c r="FS82">
        <v>0.10914646455312201</v>
      </c>
      <c r="FT82">
        <v>1</v>
      </c>
      <c r="FU82">
        <v>0.42139841272454093</v>
      </c>
      <c r="FV82">
        <v>4.9819998593601977E-2</v>
      </c>
      <c r="FW82">
        <v>5.9879242819245067E-3</v>
      </c>
      <c r="FX82">
        <v>1</v>
      </c>
      <c r="FY82">
        <v>2</v>
      </c>
      <c r="FZ82">
        <v>2</v>
      </c>
      <c r="GA82" t="s">
        <v>419</v>
      </c>
      <c r="GB82">
        <v>2.88198</v>
      </c>
      <c r="GC82">
        <v>2.8213200000000001</v>
      </c>
      <c r="GD82">
        <v>9.1321100000000002E-2</v>
      </c>
      <c r="GE82">
        <v>0.102586</v>
      </c>
      <c r="GF82">
        <v>0.12661800000000001</v>
      </c>
      <c r="GG82">
        <v>0.10431600000000001</v>
      </c>
      <c r="GH82">
        <v>27804.400000000001</v>
      </c>
      <c r="GI82">
        <v>25608.6</v>
      </c>
      <c r="GJ82">
        <v>28175.7</v>
      </c>
      <c r="GK82">
        <v>26808.9</v>
      </c>
      <c r="GL82">
        <v>34735.199999999997</v>
      </c>
      <c r="GM82">
        <v>33553.199999999997</v>
      </c>
      <c r="GN82">
        <v>41452.800000000003</v>
      </c>
      <c r="GO82">
        <v>38804.800000000003</v>
      </c>
      <c r="GP82">
        <v>1.9870000000000001</v>
      </c>
      <c r="GQ82">
        <v>1.6234</v>
      </c>
      <c r="GR82">
        <v>-6.5654500000000005E-2</v>
      </c>
      <c r="GS82">
        <v>0</v>
      </c>
      <c r="GT82">
        <v>31.0686</v>
      </c>
      <c r="GU82">
        <v>999.9</v>
      </c>
      <c r="GV82">
        <v>43.5</v>
      </c>
      <c r="GW82">
        <v>47.9</v>
      </c>
      <c r="GX82">
        <v>49.0777</v>
      </c>
      <c r="GY82">
        <v>62.443899999999999</v>
      </c>
      <c r="GZ82">
        <v>29.0505</v>
      </c>
      <c r="HA82">
        <v>1</v>
      </c>
      <c r="HB82">
        <v>1.13863</v>
      </c>
      <c r="HC82">
        <v>6.4384600000000001</v>
      </c>
      <c r="HD82">
        <v>20.128</v>
      </c>
      <c r="HE82">
        <v>5.2112999999999996</v>
      </c>
      <c r="HF82">
        <v>12.004</v>
      </c>
      <c r="HG82">
        <v>4.9875999999999996</v>
      </c>
      <c r="HH82">
        <v>3.2909999999999999</v>
      </c>
      <c r="HI82">
        <v>9999</v>
      </c>
      <c r="HJ82">
        <v>9999</v>
      </c>
      <c r="HK82">
        <v>9999</v>
      </c>
      <c r="HL82">
        <v>999.9</v>
      </c>
      <c r="HM82">
        <v>1.8668100000000001</v>
      </c>
      <c r="HN82">
        <v>1.8669100000000001</v>
      </c>
      <c r="HO82">
        <v>1.8634599999999999</v>
      </c>
      <c r="HP82">
        <v>1.8646400000000001</v>
      </c>
      <c r="HQ82">
        <v>1.8641700000000001</v>
      </c>
      <c r="HR82">
        <v>1.86005</v>
      </c>
      <c r="HS82">
        <v>1.86324</v>
      </c>
      <c r="HT82">
        <v>1.8660000000000001</v>
      </c>
      <c r="HU82">
        <v>5</v>
      </c>
      <c r="HV82">
        <v>0</v>
      </c>
      <c r="HW82">
        <v>0</v>
      </c>
      <c r="HX82">
        <v>0</v>
      </c>
      <c r="HY82" t="s">
        <v>420</v>
      </c>
      <c r="HZ82" t="s">
        <v>421</v>
      </c>
      <c r="IA82" t="s">
        <v>422</v>
      </c>
      <c r="IB82" t="s">
        <v>422</v>
      </c>
      <c r="IC82" t="s">
        <v>422</v>
      </c>
      <c r="ID82" t="s">
        <v>422</v>
      </c>
      <c r="IE82">
        <v>0</v>
      </c>
      <c r="IF82">
        <v>100</v>
      </c>
      <c r="IG82">
        <v>100</v>
      </c>
      <c r="IH82">
        <v>2.7280000000000002</v>
      </c>
      <c r="II82">
        <v>0.1482</v>
      </c>
      <c r="IJ82">
        <v>1.5601374889987509</v>
      </c>
      <c r="IK82">
        <v>3.5576830062418229E-3</v>
      </c>
      <c r="IL82">
        <v>-2.2646740813029151E-6</v>
      </c>
      <c r="IM82">
        <v>6.9609298295988525E-10</v>
      </c>
      <c r="IN82">
        <v>-0.15063401798223061</v>
      </c>
      <c r="IO82">
        <v>-9.4437069492282083E-4</v>
      </c>
      <c r="IP82">
        <v>5.2900373165634467E-4</v>
      </c>
      <c r="IQ82">
        <v>-3.977656803091445E-6</v>
      </c>
      <c r="IR82">
        <v>2</v>
      </c>
      <c r="IS82">
        <v>1759</v>
      </c>
      <c r="IT82">
        <v>2</v>
      </c>
      <c r="IU82">
        <v>42</v>
      </c>
      <c r="IV82">
        <v>0.8</v>
      </c>
      <c r="IW82">
        <v>0.6</v>
      </c>
      <c r="IX82">
        <v>1.2011700000000001</v>
      </c>
      <c r="IY82">
        <v>2.4621599999999999</v>
      </c>
      <c r="IZ82">
        <v>1.54297</v>
      </c>
      <c r="JA82">
        <v>2.2985799999999998</v>
      </c>
      <c r="JB82">
        <v>1.5466299999999999</v>
      </c>
      <c r="JC82">
        <v>2.3535200000000001</v>
      </c>
      <c r="JD82">
        <v>49.674399999999999</v>
      </c>
      <c r="JE82">
        <v>24.035</v>
      </c>
      <c r="JF82">
        <v>18</v>
      </c>
      <c r="JG82">
        <v>534.80200000000002</v>
      </c>
      <c r="JH82">
        <v>397.90100000000001</v>
      </c>
      <c r="JI82">
        <v>23.413399999999999</v>
      </c>
      <c r="JJ82">
        <v>40.477899999999998</v>
      </c>
      <c r="JK82">
        <v>30.0001</v>
      </c>
      <c r="JL82">
        <v>40.787799999999997</v>
      </c>
      <c r="JM82">
        <v>40.768799999999999</v>
      </c>
      <c r="JN82">
        <v>24.175000000000001</v>
      </c>
      <c r="JO82">
        <v>62.662799999999997</v>
      </c>
      <c r="JP82">
        <v>0</v>
      </c>
      <c r="JQ82">
        <v>23.424099999999999</v>
      </c>
      <c r="JR82">
        <v>500</v>
      </c>
      <c r="JS82">
        <v>20.953900000000001</v>
      </c>
      <c r="JT82">
        <v>98.215699999999998</v>
      </c>
      <c r="JU82">
        <v>96.005300000000005</v>
      </c>
    </row>
    <row r="83" spans="1:281" x14ac:dyDescent="0.25">
      <c r="A83">
        <v>67</v>
      </c>
      <c r="B83">
        <v>1691176265.5</v>
      </c>
      <c r="C83">
        <v>15354</v>
      </c>
      <c r="D83" t="s">
        <v>757</v>
      </c>
      <c r="E83" t="s">
        <v>758</v>
      </c>
      <c r="F83" t="s">
        <v>413</v>
      </c>
      <c r="G83" t="s">
        <v>707</v>
      </c>
      <c r="H83" t="s">
        <v>563</v>
      </c>
      <c r="I83" t="s">
        <v>31</v>
      </c>
      <c r="J83">
        <v>1691176265.5</v>
      </c>
      <c r="K83">
        <f t="shared" si="92"/>
        <v>5.3775021252243389E-3</v>
      </c>
      <c r="L83">
        <f t="shared" si="93"/>
        <v>5.3775021252243391</v>
      </c>
      <c r="M83">
        <f t="shared" si="94"/>
        <v>54.027096916145581</v>
      </c>
      <c r="N83">
        <f t="shared" si="95"/>
        <v>631.15899999999999</v>
      </c>
      <c r="O83">
        <f t="shared" si="96"/>
        <v>366.92659131013295</v>
      </c>
      <c r="P83">
        <f t="shared" si="97"/>
        <v>36.386868747567483</v>
      </c>
      <c r="Q83">
        <f t="shared" si="98"/>
        <v>62.589902819102996</v>
      </c>
      <c r="R83">
        <f t="shared" si="99"/>
        <v>0.36371700900790177</v>
      </c>
      <c r="S83">
        <f t="shared" si="100"/>
        <v>2.9109295753297428</v>
      </c>
      <c r="T83">
        <f t="shared" si="101"/>
        <v>0.34022426290989871</v>
      </c>
      <c r="U83">
        <f t="shared" si="102"/>
        <v>0.21462431838526175</v>
      </c>
      <c r="V83">
        <f t="shared" si="103"/>
        <v>344.33479998679508</v>
      </c>
      <c r="W83">
        <f t="shared" si="104"/>
        <v>30.584759576070951</v>
      </c>
      <c r="X83">
        <f t="shared" si="105"/>
        <v>30.0137</v>
      </c>
      <c r="Y83">
        <f t="shared" si="106"/>
        <v>4.2638035416351991</v>
      </c>
      <c r="Z83">
        <f t="shared" si="107"/>
        <v>64.775512194811142</v>
      </c>
      <c r="AA83">
        <f t="shared" si="108"/>
        <v>2.7518438717648994</v>
      </c>
      <c r="AB83">
        <f t="shared" si="109"/>
        <v>4.2482780583637538</v>
      </c>
      <c r="AC83">
        <f t="shared" si="110"/>
        <v>1.5119596698702997</v>
      </c>
      <c r="AD83">
        <f t="shared" si="111"/>
        <v>-237.14784372239333</v>
      </c>
      <c r="AE83">
        <f t="shared" si="112"/>
        <v>-9.9653112393389378</v>
      </c>
      <c r="AF83">
        <f t="shared" si="113"/>
        <v>-0.76106307309979693</v>
      </c>
      <c r="AG83">
        <f t="shared" si="114"/>
        <v>96.460581951962979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51811.079820585204</v>
      </c>
      <c r="AM83" t="s">
        <v>414</v>
      </c>
      <c r="AN83">
        <v>10111.299999999999</v>
      </c>
      <c r="AO83">
        <v>608.58839999999998</v>
      </c>
      <c r="AP83">
        <v>2150.11</v>
      </c>
      <c r="AQ83">
        <f t="shared" si="118"/>
        <v>0.71695010952927984</v>
      </c>
      <c r="AR83">
        <v>-1.1786277417053079</v>
      </c>
      <c r="AS83" t="s">
        <v>759</v>
      </c>
      <c r="AT83">
        <v>8096.52</v>
      </c>
      <c r="AU83">
        <v>696.71826923076924</v>
      </c>
      <c r="AV83">
        <v>1098.0170043804339</v>
      </c>
      <c r="AW83">
        <f t="shared" si="119"/>
        <v>0.36547588384216434</v>
      </c>
      <c r="AX83">
        <v>0.5</v>
      </c>
      <c r="AY83">
        <f t="shared" si="120"/>
        <v>1513.0034999933973</v>
      </c>
      <c r="AZ83">
        <f t="shared" si="121"/>
        <v>54.027096916145581</v>
      </c>
      <c r="BA83">
        <f t="shared" si="122"/>
        <v>276.48314570818746</v>
      </c>
      <c r="BB83">
        <f t="shared" si="123"/>
        <v>3.6487506247071998E-2</v>
      </c>
      <c r="BC83">
        <f t="shared" si="124"/>
        <v>0.95817550313186561</v>
      </c>
      <c r="BD83">
        <f t="shared" si="125"/>
        <v>478.74678114663618</v>
      </c>
      <c r="BE83" t="s">
        <v>760</v>
      </c>
      <c r="BF83">
        <v>534.15</v>
      </c>
      <c r="BG83">
        <f t="shared" si="126"/>
        <v>534.15</v>
      </c>
      <c r="BH83">
        <f t="shared" si="127"/>
        <v>0.5135321239388283</v>
      </c>
      <c r="BI83">
        <f t="shared" si="128"/>
        <v>0.71169040222632618</v>
      </c>
      <c r="BJ83">
        <f t="shared" si="129"/>
        <v>0.6510637612438217</v>
      </c>
      <c r="BK83">
        <f t="shared" si="130"/>
        <v>0.81993314562737385</v>
      </c>
      <c r="BL83">
        <f t="shared" si="131"/>
        <v>0.68250292154165482</v>
      </c>
      <c r="BM83">
        <f t="shared" si="132"/>
        <v>0.54562862083250152</v>
      </c>
      <c r="BN83">
        <f t="shared" si="133"/>
        <v>0.45437137916749848</v>
      </c>
      <c r="BO83">
        <v>7107</v>
      </c>
      <c r="BP83">
        <v>290.00000000000011</v>
      </c>
      <c r="BQ83">
        <v>961.77</v>
      </c>
      <c r="BR83">
        <v>185</v>
      </c>
      <c r="BS83">
        <v>8096.52</v>
      </c>
      <c r="BT83">
        <v>963.79</v>
      </c>
      <c r="BU83">
        <v>-2.02</v>
      </c>
      <c r="BV83">
        <v>300.00000000000011</v>
      </c>
      <c r="BW83">
        <v>19.2</v>
      </c>
      <c r="BX83">
        <v>1098.0170043804339</v>
      </c>
      <c r="BY83">
        <v>3.1347197301399659</v>
      </c>
      <c r="BZ83">
        <v>-108.67441976103071</v>
      </c>
      <c r="CA83">
        <v>2.3310796150725128</v>
      </c>
      <c r="CB83">
        <v>0.98728084397342086</v>
      </c>
      <c r="CC83">
        <v>-4.1697517241379321E-3</v>
      </c>
      <c r="CD83">
        <v>289.99999999999989</v>
      </c>
      <c r="CE83">
        <v>957.55</v>
      </c>
      <c r="CF83">
        <v>655</v>
      </c>
      <c r="CG83">
        <v>8087.18</v>
      </c>
      <c r="CH83">
        <v>963.64</v>
      </c>
      <c r="CI83">
        <v>-6.09</v>
      </c>
      <c r="CW83">
        <f t="shared" si="134"/>
        <v>1799.78</v>
      </c>
      <c r="CX83">
        <f t="shared" si="135"/>
        <v>1513.0034999933973</v>
      </c>
      <c r="CY83">
        <f t="shared" si="136"/>
        <v>0.84066024735989808</v>
      </c>
      <c r="CZ83">
        <f t="shared" si="137"/>
        <v>0.19132049471979634</v>
      </c>
      <c r="DA83">
        <v>6</v>
      </c>
      <c r="DB83">
        <v>0.5</v>
      </c>
      <c r="DC83" t="s">
        <v>417</v>
      </c>
      <c r="DD83">
        <v>2</v>
      </c>
      <c r="DE83">
        <v>1691176265.5</v>
      </c>
      <c r="DF83">
        <v>631.15899999999999</v>
      </c>
      <c r="DG83">
        <v>700.07500000000005</v>
      </c>
      <c r="DH83">
        <v>27.749700000000001</v>
      </c>
      <c r="DI83">
        <v>21.474799999999998</v>
      </c>
      <c r="DJ83">
        <v>627.69399999999996</v>
      </c>
      <c r="DK83">
        <v>27.613199999999999</v>
      </c>
      <c r="DL83">
        <v>499.923</v>
      </c>
      <c r="DM83">
        <v>99.066199999999995</v>
      </c>
      <c r="DN83">
        <v>0.10041700000000001</v>
      </c>
      <c r="DO83">
        <v>29.950199999999999</v>
      </c>
      <c r="DP83">
        <v>30.0137</v>
      </c>
      <c r="DQ83">
        <v>999.9</v>
      </c>
      <c r="DR83">
        <v>0</v>
      </c>
      <c r="DS83">
        <v>0</v>
      </c>
      <c r="DT83">
        <v>9987.5</v>
      </c>
      <c r="DU83">
        <v>0</v>
      </c>
      <c r="DV83">
        <v>1922.68</v>
      </c>
      <c r="DW83">
        <v>-68.916300000000007</v>
      </c>
      <c r="DX83">
        <v>649.173</v>
      </c>
      <c r="DY83">
        <v>715.43899999999996</v>
      </c>
      <c r="DZ83">
        <v>6.2748200000000001</v>
      </c>
      <c r="EA83">
        <v>700.07500000000005</v>
      </c>
      <c r="EB83">
        <v>21.474799999999998</v>
      </c>
      <c r="EC83">
        <v>2.74905</v>
      </c>
      <c r="ED83">
        <v>2.1274299999999999</v>
      </c>
      <c r="EE83">
        <v>22.581299999999999</v>
      </c>
      <c r="EF83">
        <v>18.426100000000002</v>
      </c>
      <c r="EG83">
        <v>1799.78</v>
      </c>
      <c r="EH83">
        <v>0.977993</v>
      </c>
      <c r="EI83">
        <v>2.2007200000000001E-2</v>
      </c>
      <c r="EJ83">
        <v>0</v>
      </c>
      <c r="EK83">
        <v>693.59500000000003</v>
      </c>
      <c r="EL83">
        <v>0.10001</v>
      </c>
      <c r="EM83">
        <v>18181.599999999999</v>
      </c>
      <c r="EN83">
        <v>16351.4</v>
      </c>
      <c r="EO83">
        <v>48.625</v>
      </c>
      <c r="EP83">
        <v>51.186999999999998</v>
      </c>
      <c r="EQ83">
        <v>50.125</v>
      </c>
      <c r="ER83">
        <v>49.936999999999998</v>
      </c>
      <c r="ES83">
        <v>50.061999999999998</v>
      </c>
      <c r="ET83">
        <v>1760.07</v>
      </c>
      <c r="EU83">
        <v>39.61</v>
      </c>
      <c r="EV83">
        <v>0</v>
      </c>
      <c r="EW83">
        <v>108</v>
      </c>
      <c r="EX83">
        <v>0</v>
      </c>
      <c r="EY83">
        <v>696.71826923076924</v>
      </c>
      <c r="EZ83">
        <v>-3.4463249204448059</v>
      </c>
      <c r="FA83">
        <v>118.03760686174761</v>
      </c>
      <c r="FB83">
        <v>18164.030769230769</v>
      </c>
      <c r="FC83">
        <v>15</v>
      </c>
      <c r="FD83">
        <v>1691176225.5</v>
      </c>
      <c r="FE83" t="s">
        <v>761</v>
      </c>
      <c r="FF83">
        <v>1691176220</v>
      </c>
      <c r="FG83">
        <v>1691176225.5</v>
      </c>
      <c r="FH83">
        <v>75</v>
      </c>
      <c r="FI83">
        <v>0.39100000000000001</v>
      </c>
      <c r="FJ83">
        <v>-6.0000000000000001E-3</v>
      </c>
      <c r="FK83">
        <v>3.5659999999999998</v>
      </c>
      <c r="FL83">
        <v>1.7000000000000001E-2</v>
      </c>
      <c r="FM83">
        <v>700</v>
      </c>
      <c r="FN83">
        <v>21</v>
      </c>
      <c r="FO83">
        <v>0.14000000000000001</v>
      </c>
      <c r="FP83">
        <v>0.04</v>
      </c>
      <c r="FQ83">
        <v>53.979040213096077</v>
      </c>
      <c r="FR83">
        <v>-0.26266069672744541</v>
      </c>
      <c r="FS83">
        <v>0.1637942331745503</v>
      </c>
      <c r="FT83">
        <v>1</v>
      </c>
      <c r="FU83">
        <v>0.36799880332164647</v>
      </c>
      <c r="FV83">
        <v>-1.616962583559209E-3</v>
      </c>
      <c r="FW83">
        <v>3.0352882342107239E-3</v>
      </c>
      <c r="FX83">
        <v>1</v>
      </c>
      <c r="FY83">
        <v>2</v>
      </c>
      <c r="FZ83">
        <v>2</v>
      </c>
      <c r="GA83" t="s">
        <v>419</v>
      </c>
      <c r="GB83">
        <v>2.88117</v>
      </c>
      <c r="GC83">
        <v>2.8214999999999999</v>
      </c>
      <c r="GD83">
        <v>0.120183</v>
      </c>
      <c r="GE83">
        <v>0.13020000000000001</v>
      </c>
      <c r="GF83">
        <v>0.12574099999999999</v>
      </c>
      <c r="GG83">
        <v>0.105868</v>
      </c>
      <c r="GH83">
        <v>26920.2</v>
      </c>
      <c r="GI83">
        <v>24819</v>
      </c>
      <c r="GJ83">
        <v>28175</v>
      </c>
      <c r="GK83">
        <v>26807.9</v>
      </c>
      <c r="GL83">
        <v>34769.4</v>
      </c>
      <c r="GM83">
        <v>33493.800000000003</v>
      </c>
      <c r="GN83">
        <v>41451.699999999997</v>
      </c>
      <c r="GO83">
        <v>38802.400000000001</v>
      </c>
      <c r="GP83">
        <v>1.9863</v>
      </c>
      <c r="GQ83">
        <v>1.6251</v>
      </c>
      <c r="GR83">
        <v>-6.2376300000000003E-2</v>
      </c>
      <c r="GS83">
        <v>0</v>
      </c>
      <c r="GT83">
        <v>31.027899999999999</v>
      </c>
      <c r="GU83">
        <v>999.9</v>
      </c>
      <c r="GV83">
        <v>43.6</v>
      </c>
      <c r="GW83">
        <v>47.8</v>
      </c>
      <c r="GX83">
        <v>48.940899999999999</v>
      </c>
      <c r="GY83">
        <v>62.694000000000003</v>
      </c>
      <c r="GZ83">
        <v>29.2788</v>
      </c>
      <c r="HA83">
        <v>1</v>
      </c>
      <c r="HB83">
        <v>1.1415200000000001</v>
      </c>
      <c r="HC83">
        <v>6.5130800000000004</v>
      </c>
      <c r="HD83">
        <v>20.125</v>
      </c>
      <c r="HE83">
        <v>5.2095000000000002</v>
      </c>
      <c r="HF83">
        <v>12.004</v>
      </c>
      <c r="HG83">
        <v>4.9884000000000004</v>
      </c>
      <c r="HH83">
        <v>3.2909999999999999</v>
      </c>
      <c r="HI83">
        <v>9999</v>
      </c>
      <c r="HJ83">
        <v>9999</v>
      </c>
      <c r="HK83">
        <v>9999</v>
      </c>
      <c r="HL83">
        <v>999.9</v>
      </c>
      <c r="HM83">
        <v>1.8668100000000001</v>
      </c>
      <c r="HN83">
        <v>1.8669100000000001</v>
      </c>
      <c r="HO83">
        <v>1.8633999999999999</v>
      </c>
      <c r="HP83">
        <v>1.8646199999999999</v>
      </c>
      <c r="HQ83">
        <v>1.8641700000000001</v>
      </c>
      <c r="HR83">
        <v>1.8600300000000001</v>
      </c>
      <c r="HS83">
        <v>1.8632</v>
      </c>
      <c r="HT83">
        <v>1.86602</v>
      </c>
      <c r="HU83">
        <v>5</v>
      </c>
      <c r="HV83">
        <v>0</v>
      </c>
      <c r="HW83">
        <v>0</v>
      </c>
      <c r="HX83">
        <v>0</v>
      </c>
      <c r="HY83" t="s">
        <v>420</v>
      </c>
      <c r="HZ83" t="s">
        <v>421</v>
      </c>
      <c r="IA83" t="s">
        <v>422</v>
      </c>
      <c r="IB83" t="s">
        <v>422</v>
      </c>
      <c r="IC83" t="s">
        <v>422</v>
      </c>
      <c r="ID83" t="s">
        <v>422</v>
      </c>
      <c r="IE83">
        <v>0</v>
      </c>
      <c r="IF83">
        <v>100</v>
      </c>
      <c r="IG83">
        <v>100</v>
      </c>
      <c r="IH83">
        <v>3.4649999999999999</v>
      </c>
      <c r="II83">
        <v>0.13650000000000001</v>
      </c>
      <c r="IJ83">
        <v>1.9514450620226029</v>
      </c>
      <c r="IK83">
        <v>3.5576830062418229E-3</v>
      </c>
      <c r="IL83">
        <v>-2.2646740813029151E-6</v>
      </c>
      <c r="IM83">
        <v>6.9609298295988525E-10</v>
      </c>
      <c r="IN83">
        <v>-0.15705811526067981</v>
      </c>
      <c r="IO83">
        <v>-9.4437069492282083E-4</v>
      </c>
      <c r="IP83">
        <v>5.2900373165634467E-4</v>
      </c>
      <c r="IQ83">
        <v>-3.977656803091445E-6</v>
      </c>
      <c r="IR83">
        <v>2</v>
      </c>
      <c r="IS83">
        <v>1759</v>
      </c>
      <c r="IT83">
        <v>2</v>
      </c>
      <c r="IU83">
        <v>42</v>
      </c>
      <c r="IV83">
        <v>0.8</v>
      </c>
      <c r="IW83">
        <v>0.7</v>
      </c>
      <c r="IX83">
        <v>1.5893600000000001</v>
      </c>
      <c r="IY83">
        <v>2.4511699999999998</v>
      </c>
      <c r="IZ83">
        <v>1.54297</v>
      </c>
      <c r="JA83">
        <v>2.2985799999999998</v>
      </c>
      <c r="JB83">
        <v>1.5466299999999999</v>
      </c>
      <c r="JC83">
        <v>2.3877000000000002</v>
      </c>
      <c r="JD83">
        <v>49.610900000000001</v>
      </c>
      <c r="JE83">
        <v>24.035</v>
      </c>
      <c r="JF83">
        <v>18</v>
      </c>
      <c r="JG83">
        <v>534.54999999999995</v>
      </c>
      <c r="JH83">
        <v>399.13799999999998</v>
      </c>
      <c r="JI83">
        <v>23.319299999999998</v>
      </c>
      <c r="JJ83">
        <v>40.506100000000004</v>
      </c>
      <c r="JK83">
        <v>30.000399999999999</v>
      </c>
      <c r="JL83">
        <v>40.816200000000002</v>
      </c>
      <c r="JM83">
        <v>40.796999999999997</v>
      </c>
      <c r="JN83">
        <v>31.9283</v>
      </c>
      <c r="JO83">
        <v>61.879199999999997</v>
      </c>
      <c r="JP83">
        <v>0</v>
      </c>
      <c r="JQ83">
        <v>23.317799999999998</v>
      </c>
      <c r="JR83">
        <v>700</v>
      </c>
      <c r="JS83">
        <v>21.4207</v>
      </c>
      <c r="JT83">
        <v>98.213300000000004</v>
      </c>
      <c r="JU83">
        <v>96.000399999999999</v>
      </c>
    </row>
    <row r="84" spans="1:281" x14ac:dyDescent="0.25">
      <c r="A84">
        <v>68</v>
      </c>
      <c r="B84">
        <v>1691176406.5</v>
      </c>
      <c r="C84">
        <v>15495</v>
      </c>
      <c r="D84" t="s">
        <v>762</v>
      </c>
      <c r="E84" t="s">
        <v>763</v>
      </c>
      <c r="F84" t="s">
        <v>413</v>
      </c>
      <c r="G84" t="s">
        <v>707</v>
      </c>
      <c r="H84" t="s">
        <v>563</v>
      </c>
      <c r="I84" t="s">
        <v>31</v>
      </c>
      <c r="J84">
        <v>1691176406.5</v>
      </c>
      <c r="K84">
        <f t="shared" si="92"/>
        <v>4.22927220196189E-3</v>
      </c>
      <c r="L84">
        <f t="shared" si="93"/>
        <v>4.2292722019618898</v>
      </c>
      <c r="M84">
        <f t="shared" si="94"/>
        <v>53.934843336514838</v>
      </c>
      <c r="N84">
        <f t="shared" si="95"/>
        <v>831.31100000000004</v>
      </c>
      <c r="O84">
        <f t="shared" si="96"/>
        <v>490.57227377011287</v>
      </c>
      <c r="P84">
        <f t="shared" si="97"/>
        <v>48.649057018638608</v>
      </c>
      <c r="Q84">
        <f t="shared" si="98"/>
        <v>82.439425139980997</v>
      </c>
      <c r="R84">
        <f t="shared" si="99"/>
        <v>0.2784547585822848</v>
      </c>
      <c r="S84">
        <f t="shared" si="100"/>
        <v>2.9135838211353726</v>
      </c>
      <c r="T84">
        <f t="shared" si="101"/>
        <v>0.26446991133837278</v>
      </c>
      <c r="U84">
        <f t="shared" si="102"/>
        <v>0.16649162851608978</v>
      </c>
      <c r="V84">
        <f t="shared" si="103"/>
        <v>344.34809998679555</v>
      </c>
      <c r="W84">
        <f t="shared" si="104"/>
        <v>30.732323421073215</v>
      </c>
      <c r="X84">
        <f t="shared" si="105"/>
        <v>29.950399999999998</v>
      </c>
      <c r="Y84">
        <f t="shared" si="106"/>
        <v>4.2483268800737974</v>
      </c>
      <c r="Z84">
        <f t="shared" si="107"/>
        <v>64.543304014381306</v>
      </c>
      <c r="AA84">
        <f t="shared" si="108"/>
        <v>2.7181841683129</v>
      </c>
      <c r="AB84">
        <f t="shared" si="109"/>
        <v>4.2114115628590127</v>
      </c>
      <c r="AC84">
        <f t="shared" si="110"/>
        <v>1.5301427117608974</v>
      </c>
      <c r="AD84">
        <f t="shared" si="111"/>
        <v>-186.51090410651935</v>
      </c>
      <c r="AE84">
        <f t="shared" si="112"/>
        <v>-23.844308480494302</v>
      </c>
      <c r="AF84">
        <f t="shared" si="113"/>
        <v>-1.8174253464502654</v>
      </c>
      <c r="AG84">
        <f t="shared" si="114"/>
        <v>132.17546205333164</v>
      </c>
      <c r="AH84">
        <v>0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51912.588404189359</v>
      </c>
      <c r="AM84" t="s">
        <v>414</v>
      </c>
      <c r="AN84">
        <v>10111.299999999999</v>
      </c>
      <c r="AO84">
        <v>608.58839999999998</v>
      </c>
      <c r="AP84">
        <v>2150.11</v>
      </c>
      <c r="AQ84">
        <f t="shared" si="118"/>
        <v>0.71695010952927984</v>
      </c>
      <c r="AR84">
        <v>-1.1786277417053079</v>
      </c>
      <c r="AS84" t="s">
        <v>764</v>
      </c>
      <c r="AT84">
        <v>8094.58</v>
      </c>
      <c r="AU84">
        <v>694.87423076923073</v>
      </c>
      <c r="AV84">
        <v>1090.2016314133839</v>
      </c>
      <c r="AW84">
        <f t="shared" si="119"/>
        <v>0.36261861040478705</v>
      </c>
      <c r="AX84">
        <v>0.5</v>
      </c>
      <c r="AY84">
        <f t="shared" si="120"/>
        <v>1513.0622999933976</v>
      </c>
      <c r="AZ84">
        <f t="shared" si="121"/>
        <v>53.934843336514838</v>
      </c>
      <c r="BA84">
        <f t="shared" si="122"/>
        <v>274.33227433973843</v>
      </c>
      <c r="BB84">
        <f t="shared" si="123"/>
        <v>3.6425116849756044E-2</v>
      </c>
      <c r="BC84">
        <f t="shared" si="124"/>
        <v>0.97221315584760759</v>
      </c>
      <c r="BD84">
        <f t="shared" si="125"/>
        <v>477.25505117531316</v>
      </c>
      <c r="BE84" t="s">
        <v>765</v>
      </c>
      <c r="BF84">
        <v>532.73</v>
      </c>
      <c r="BG84">
        <f t="shared" si="126"/>
        <v>532.73</v>
      </c>
      <c r="BH84">
        <f t="shared" si="127"/>
        <v>0.51134727315593342</v>
      </c>
      <c r="BI84">
        <f t="shared" si="128"/>
        <v>0.70914353012342735</v>
      </c>
      <c r="BJ84">
        <f t="shared" si="129"/>
        <v>0.65532427047856168</v>
      </c>
      <c r="BK84">
        <f t="shared" si="130"/>
        <v>0.82083999121866136</v>
      </c>
      <c r="BL84">
        <f t="shared" si="131"/>
        <v>0.68757282972007416</v>
      </c>
      <c r="BM84">
        <f t="shared" si="132"/>
        <v>0.54366965426886826</v>
      </c>
      <c r="BN84">
        <f t="shared" si="133"/>
        <v>0.45633034573113174</v>
      </c>
      <c r="BO84">
        <v>7109</v>
      </c>
      <c r="BP84">
        <v>290.00000000000011</v>
      </c>
      <c r="BQ84">
        <v>959.94</v>
      </c>
      <c r="BR84">
        <v>225</v>
      </c>
      <c r="BS84">
        <v>8094.58</v>
      </c>
      <c r="BT84">
        <v>961.39</v>
      </c>
      <c r="BU84">
        <v>-1.45</v>
      </c>
      <c r="BV84">
        <v>300.00000000000011</v>
      </c>
      <c r="BW84">
        <v>19.2</v>
      </c>
      <c r="BX84">
        <v>1090.2016314133839</v>
      </c>
      <c r="BY84">
        <v>2.6310037071831309</v>
      </c>
      <c r="BZ84">
        <v>-104.269858106</v>
      </c>
      <c r="CA84">
        <v>1.9564857430667031</v>
      </c>
      <c r="CB84">
        <v>0.99023811961100916</v>
      </c>
      <c r="CC84">
        <v>-4.1696943270300331E-3</v>
      </c>
      <c r="CD84">
        <v>289.99999999999989</v>
      </c>
      <c r="CE84">
        <v>956.81</v>
      </c>
      <c r="CF84">
        <v>655</v>
      </c>
      <c r="CG84">
        <v>8087.14</v>
      </c>
      <c r="CH84">
        <v>961.27</v>
      </c>
      <c r="CI84">
        <v>-4.46</v>
      </c>
      <c r="CW84">
        <f t="shared" si="134"/>
        <v>1799.85</v>
      </c>
      <c r="CX84">
        <f t="shared" si="135"/>
        <v>1513.0622999933976</v>
      </c>
      <c r="CY84">
        <f t="shared" si="136"/>
        <v>0.84066022168147214</v>
      </c>
      <c r="CZ84">
        <f t="shared" si="137"/>
        <v>0.19132044336294446</v>
      </c>
      <c r="DA84">
        <v>6</v>
      </c>
      <c r="DB84">
        <v>0.5</v>
      </c>
      <c r="DC84" t="s">
        <v>417</v>
      </c>
      <c r="DD84">
        <v>2</v>
      </c>
      <c r="DE84">
        <v>1691176406.5</v>
      </c>
      <c r="DF84">
        <v>831.31100000000004</v>
      </c>
      <c r="DG84">
        <v>900.23900000000003</v>
      </c>
      <c r="DH84">
        <v>27.4099</v>
      </c>
      <c r="DI84">
        <v>22.474799999999998</v>
      </c>
      <c r="DJ84">
        <v>827.60299999999995</v>
      </c>
      <c r="DK84">
        <v>27.281600000000001</v>
      </c>
      <c r="DL84">
        <v>500.09300000000002</v>
      </c>
      <c r="DM84">
        <v>99.067899999999995</v>
      </c>
      <c r="DN84">
        <v>0.10007099999999999</v>
      </c>
      <c r="DO84">
        <v>29.7986</v>
      </c>
      <c r="DP84">
        <v>29.950399999999998</v>
      </c>
      <c r="DQ84">
        <v>999.9</v>
      </c>
      <c r="DR84">
        <v>0</v>
      </c>
      <c r="DS84">
        <v>0</v>
      </c>
      <c r="DT84">
        <v>10002.5</v>
      </c>
      <c r="DU84">
        <v>0</v>
      </c>
      <c r="DV84">
        <v>1892.33</v>
      </c>
      <c r="DW84">
        <v>-68.927400000000006</v>
      </c>
      <c r="DX84">
        <v>854.73900000000003</v>
      </c>
      <c r="DY84">
        <v>920.93600000000004</v>
      </c>
      <c r="DZ84">
        <v>4.9351099999999999</v>
      </c>
      <c r="EA84">
        <v>900.23900000000003</v>
      </c>
      <c r="EB84">
        <v>22.474799999999998</v>
      </c>
      <c r="EC84">
        <v>2.7154400000000001</v>
      </c>
      <c r="ED84">
        <v>2.2265299999999999</v>
      </c>
      <c r="EE84">
        <v>22.378799999999998</v>
      </c>
      <c r="EF84">
        <v>19.154499999999999</v>
      </c>
      <c r="EG84">
        <v>1799.85</v>
      </c>
      <c r="EH84">
        <v>0.977993</v>
      </c>
      <c r="EI84">
        <v>2.2007200000000001E-2</v>
      </c>
      <c r="EJ84">
        <v>0</v>
      </c>
      <c r="EK84">
        <v>694.58500000000004</v>
      </c>
      <c r="EL84">
        <v>0.10001</v>
      </c>
      <c r="EM84">
        <v>18044.8</v>
      </c>
      <c r="EN84">
        <v>16352.1</v>
      </c>
      <c r="EO84">
        <v>48.436999999999998</v>
      </c>
      <c r="EP84">
        <v>50.875</v>
      </c>
      <c r="EQ84">
        <v>50</v>
      </c>
      <c r="ER84">
        <v>49.686999999999998</v>
      </c>
      <c r="ES84">
        <v>49.936999999999998</v>
      </c>
      <c r="ET84">
        <v>1760.14</v>
      </c>
      <c r="EU84">
        <v>39.61</v>
      </c>
      <c r="EV84">
        <v>0</v>
      </c>
      <c r="EW84">
        <v>138.79999995231631</v>
      </c>
      <c r="EX84">
        <v>0</v>
      </c>
      <c r="EY84">
        <v>694.87423076923073</v>
      </c>
      <c r="EZ84">
        <v>-6.4748717644298646</v>
      </c>
      <c r="FA84">
        <v>8301.5555626299411</v>
      </c>
      <c r="FB84">
        <v>17396.31923076923</v>
      </c>
      <c r="FC84">
        <v>15</v>
      </c>
      <c r="FD84">
        <v>1691176354.5</v>
      </c>
      <c r="FE84" t="s">
        <v>766</v>
      </c>
      <c r="FF84">
        <v>1691176354.5</v>
      </c>
      <c r="FG84">
        <v>1691176352.5</v>
      </c>
      <c r="FH84">
        <v>76</v>
      </c>
      <c r="FI84">
        <v>-3.1E-2</v>
      </c>
      <c r="FJ84">
        <v>-2E-3</v>
      </c>
      <c r="FK84">
        <v>3.7909999999999999</v>
      </c>
      <c r="FL84">
        <v>0.03</v>
      </c>
      <c r="FM84">
        <v>900</v>
      </c>
      <c r="FN84">
        <v>22</v>
      </c>
      <c r="FO84">
        <v>0.16</v>
      </c>
      <c r="FP84">
        <v>0.03</v>
      </c>
      <c r="FQ84">
        <v>53.817961266742287</v>
      </c>
      <c r="FR84">
        <v>-0.61658006476084681</v>
      </c>
      <c r="FS84">
        <v>0.1665569077114589</v>
      </c>
      <c r="FT84">
        <v>1</v>
      </c>
      <c r="FU84">
        <v>0.28264763988270519</v>
      </c>
      <c r="FV84">
        <v>-2.923321617091974E-2</v>
      </c>
      <c r="FW84">
        <v>2.159216400575416E-3</v>
      </c>
      <c r="FX84">
        <v>1</v>
      </c>
      <c r="FY84">
        <v>2</v>
      </c>
      <c r="FZ84">
        <v>2</v>
      </c>
      <c r="GA84" t="s">
        <v>419</v>
      </c>
      <c r="GB84">
        <v>2.88171</v>
      </c>
      <c r="GC84">
        <v>2.8212899999999999</v>
      </c>
      <c r="GD84">
        <v>0.145122</v>
      </c>
      <c r="GE84">
        <v>0.154054</v>
      </c>
      <c r="GF84">
        <v>0.124704</v>
      </c>
      <c r="GG84">
        <v>0.109288</v>
      </c>
      <c r="GH84">
        <v>26160.799999999999</v>
      </c>
      <c r="GI84">
        <v>24140.5</v>
      </c>
      <c r="GJ84">
        <v>28180.2</v>
      </c>
      <c r="GK84">
        <v>26811.599999999999</v>
      </c>
      <c r="GL84">
        <v>34817</v>
      </c>
      <c r="GM84">
        <v>33371</v>
      </c>
      <c r="GN84">
        <v>41459.599999999999</v>
      </c>
      <c r="GO84">
        <v>38807.5</v>
      </c>
      <c r="GP84">
        <v>1.9855</v>
      </c>
      <c r="GQ84">
        <v>1.6288</v>
      </c>
      <c r="GR84">
        <v>-3.5166700000000002E-2</v>
      </c>
      <c r="GS84">
        <v>0</v>
      </c>
      <c r="GT84">
        <v>30.522500000000001</v>
      </c>
      <c r="GU84">
        <v>999.9</v>
      </c>
      <c r="GV84">
        <v>43.7</v>
      </c>
      <c r="GW84">
        <v>47.6</v>
      </c>
      <c r="GX84">
        <v>48.559399999999997</v>
      </c>
      <c r="GY84">
        <v>62.634</v>
      </c>
      <c r="GZ84">
        <v>29.046500000000002</v>
      </c>
      <c r="HA84">
        <v>1</v>
      </c>
      <c r="HB84">
        <v>1.12323</v>
      </c>
      <c r="HC84">
        <v>4.9595700000000003</v>
      </c>
      <c r="HD84">
        <v>20.174499999999998</v>
      </c>
      <c r="HE84">
        <v>5.2095000000000002</v>
      </c>
      <c r="HF84">
        <v>12.0022</v>
      </c>
      <c r="HG84">
        <v>4.9875999999999996</v>
      </c>
      <c r="HH84">
        <v>3.2909999999999999</v>
      </c>
      <c r="HI84">
        <v>9999</v>
      </c>
      <c r="HJ84">
        <v>9999</v>
      </c>
      <c r="HK84">
        <v>9999</v>
      </c>
      <c r="HL84">
        <v>999.9</v>
      </c>
      <c r="HM84">
        <v>1.86677</v>
      </c>
      <c r="HN84">
        <v>1.8669100000000001</v>
      </c>
      <c r="HO84">
        <v>1.8634200000000001</v>
      </c>
      <c r="HP84">
        <v>1.8646199999999999</v>
      </c>
      <c r="HQ84">
        <v>1.8641700000000001</v>
      </c>
      <c r="HR84">
        <v>1.85999</v>
      </c>
      <c r="HS84">
        <v>1.8631599999999999</v>
      </c>
      <c r="HT84">
        <v>1.8660000000000001</v>
      </c>
      <c r="HU84">
        <v>5</v>
      </c>
      <c r="HV84">
        <v>0</v>
      </c>
      <c r="HW84">
        <v>0</v>
      </c>
      <c r="HX84">
        <v>0</v>
      </c>
      <c r="HY84" t="s">
        <v>420</v>
      </c>
      <c r="HZ84" t="s">
        <v>421</v>
      </c>
      <c r="IA84" t="s">
        <v>422</v>
      </c>
      <c r="IB84" t="s">
        <v>422</v>
      </c>
      <c r="IC84" t="s">
        <v>422</v>
      </c>
      <c r="ID84" t="s">
        <v>422</v>
      </c>
      <c r="IE84">
        <v>0</v>
      </c>
      <c r="IF84">
        <v>100</v>
      </c>
      <c r="IG84">
        <v>100</v>
      </c>
      <c r="IH84">
        <v>3.7080000000000002</v>
      </c>
      <c r="II84">
        <v>0.1283</v>
      </c>
      <c r="IJ84">
        <v>1.9199928500449579</v>
      </c>
      <c r="IK84">
        <v>3.5576830062418229E-3</v>
      </c>
      <c r="IL84">
        <v>-2.2646740813029151E-6</v>
      </c>
      <c r="IM84">
        <v>6.9609298295988525E-10</v>
      </c>
      <c r="IN84">
        <v>-0.1589684350244544</v>
      </c>
      <c r="IO84">
        <v>-9.4437069492282083E-4</v>
      </c>
      <c r="IP84">
        <v>5.2900373165634467E-4</v>
      </c>
      <c r="IQ84">
        <v>-3.977656803091445E-6</v>
      </c>
      <c r="IR84">
        <v>2</v>
      </c>
      <c r="IS84">
        <v>1759</v>
      </c>
      <c r="IT84">
        <v>2</v>
      </c>
      <c r="IU84">
        <v>42</v>
      </c>
      <c r="IV84">
        <v>0.9</v>
      </c>
      <c r="IW84">
        <v>0.9</v>
      </c>
      <c r="IX84">
        <v>1.95923</v>
      </c>
      <c r="IY84">
        <v>2.4414099999999999</v>
      </c>
      <c r="IZ84">
        <v>1.54297</v>
      </c>
      <c r="JA84">
        <v>2.2985799999999998</v>
      </c>
      <c r="JB84">
        <v>1.5466299999999999</v>
      </c>
      <c r="JC84">
        <v>2.36206</v>
      </c>
      <c r="JD84">
        <v>49.452599999999997</v>
      </c>
      <c r="JE84">
        <v>24.061199999999999</v>
      </c>
      <c r="JF84">
        <v>18</v>
      </c>
      <c r="JG84">
        <v>533.89800000000002</v>
      </c>
      <c r="JH84">
        <v>401.36900000000003</v>
      </c>
      <c r="JI84">
        <v>24.234000000000002</v>
      </c>
      <c r="JJ84">
        <v>40.449800000000003</v>
      </c>
      <c r="JK84">
        <v>29.999500000000001</v>
      </c>
      <c r="JL84">
        <v>40.799999999999997</v>
      </c>
      <c r="JM84">
        <v>40.776899999999998</v>
      </c>
      <c r="JN84">
        <v>39.352800000000002</v>
      </c>
      <c r="JO84">
        <v>59.3294</v>
      </c>
      <c r="JP84">
        <v>0</v>
      </c>
      <c r="JQ84">
        <v>24.232299999999999</v>
      </c>
      <c r="JR84">
        <v>900</v>
      </c>
      <c r="JS84">
        <v>22.5838</v>
      </c>
      <c r="JT84">
        <v>98.231700000000004</v>
      </c>
      <c r="JU84">
        <v>96.013199999999998</v>
      </c>
    </row>
    <row r="85" spans="1:281" x14ac:dyDescent="0.25">
      <c r="A85">
        <v>69</v>
      </c>
      <c r="B85">
        <v>1691176580.0999999</v>
      </c>
      <c r="C85">
        <v>15668.599999904631</v>
      </c>
      <c r="D85" t="s">
        <v>767</v>
      </c>
      <c r="E85" t="s">
        <v>768</v>
      </c>
      <c r="F85" t="s">
        <v>413</v>
      </c>
      <c r="G85" t="s">
        <v>707</v>
      </c>
      <c r="H85" t="s">
        <v>563</v>
      </c>
      <c r="I85" t="s">
        <v>31</v>
      </c>
      <c r="J85">
        <v>1691176580.0999999</v>
      </c>
      <c r="K85">
        <f t="shared" si="92"/>
        <v>2.5415186332236224E-3</v>
      </c>
      <c r="L85">
        <f t="shared" si="93"/>
        <v>2.5415186332236224</v>
      </c>
      <c r="M85">
        <f t="shared" si="94"/>
        <v>52.79028814892002</v>
      </c>
      <c r="N85">
        <f t="shared" si="95"/>
        <v>1133.07</v>
      </c>
      <c r="O85">
        <f t="shared" si="96"/>
        <v>574.71394520550882</v>
      </c>
      <c r="P85">
        <f t="shared" si="97"/>
        <v>56.989393543928706</v>
      </c>
      <c r="Q85">
        <f t="shared" si="98"/>
        <v>112.35671707901398</v>
      </c>
      <c r="R85">
        <f t="shared" si="99"/>
        <v>0.16165423636496151</v>
      </c>
      <c r="S85">
        <f t="shared" si="100"/>
        <v>2.9038358974195613</v>
      </c>
      <c r="T85">
        <f t="shared" si="101"/>
        <v>0.15681604370052338</v>
      </c>
      <c r="U85">
        <f t="shared" si="102"/>
        <v>9.84326578643063E-2</v>
      </c>
      <c r="V85">
        <f t="shared" si="103"/>
        <v>344.37159998680323</v>
      </c>
      <c r="W85">
        <f t="shared" si="104"/>
        <v>31.227406989966081</v>
      </c>
      <c r="X85">
        <f t="shared" si="105"/>
        <v>30.026199999999999</v>
      </c>
      <c r="Y85">
        <f t="shared" si="106"/>
        <v>4.2668655571199645</v>
      </c>
      <c r="Z85">
        <f t="shared" si="107"/>
        <v>64.312959119284528</v>
      </c>
      <c r="AA85">
        <f t="shared" si="108"/>
        <v>2.7163458765026398</v>
      </c>
      <c r="AB85">
        <f t="shared" si="109"/>
        <v>4.2236369056887808</v>
      </c>
      <c r="AC85">
        <f t="shared" si="110"/>
        <v>1.5505196806173247</v>
      </c>
      <c r="AD85">
        <f t="shared" si="111"/>
        <v>-112.08097172516175</v>
      </c>
      <c r="AE85">
        <f t="shared" si="112"/>
        <v>-27.740943679778162</v>
      </c>
      <c r="AF85">
        <f t="shared" si="113"/>
        <v>-2.1228531236397048</v>
      </c>
      <c r="AG85">
        <f t="shared" si="114"/>
        <v>202.42683145822363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51626.675721334912</v>
      </c>
      <c r="AM85" t="s">
        <v>414</v>
      </c>
      <c r="AN85">
        <v>10111.299999999999</v>
      </c>
      <c r="AO85">
        <v>608.58839999999998</v>
      </c>
      <c r="AP85">
        <v>2150.11</v>
      </c>
      <c r="AQ85">
        <f t="shared" si="118"/>
        <v>0.71695010952927984</v>
      </c>
      <c r="AR85">
        <v>-1.1786277417053079</v>
      </c>
      <c r="AS85" t="s">
        <v>769</v>
      </c>
      <c r="AT85">
        <v>8093.69</v>
      </c>
      <c r="AU85">
        <v>690.93153846153848</v>
      </c>
      <c r="AV85">
        <v>1082.8078610423281</v>
      </c>
      <c r="AW85">
        <f t="shared" si="119"/>
        <v>0.3619075338108122</v>
      </c>
      <c r="AX85">
        <v>0.5</v>
      </c>
      <c r="AY85">
        <f t="shared" si="120"/>
        <v>1513.1708999934017</v>
      </c>
      <c r="AZ85">
        <f t="shared" si="121"/>
        <v>52.79028814892002</v>
      </c>
      <c r="BA85">
        <f t="shared" si="122"/>
        <v>273.81397432544958</v>
      </c>
      <c r="BB85">
        <f t="shared" si="123"/>
        <v>3.566610743760712E-2</v>
      </c>
      <c r="BC85">
        <f t="shared" si="124"/>
        <v>0.98568007987148332</v>
      </c>
      <c r="BD85">
        <f t="shared" si="125"/>
        <v>475.83268134613684</v>
      </c>
      <c r="BE85" t="s">
        <v>770</v>
      </c>
      <c r="BF85">
        <v>532.66</v>
      </c>
      <c r="BG85">
        <f t="shared" si="126"/>
        <v>532.66</v>
      </c>
      <c r="BH85">
        <f t="shared" si="127"/>
        <v>0.50807523738583416</v>
      </c>
      <c r="BI85">
        <f t="shared" si="128"/>
        <v>0.7123109082680571</v>
      </c>
      <c r="BJ85">
        <f t="shared" si="129"/>
        <v>0.65986716062794637</v>
      </c>
      <c r="BK85">
        <f t="shared" si="130"/>
        <v>0.82636069325255157</v>
      </c>
      <c r="BL85">
        <f t="shared" si="131"/>
        <v>0.69236924020894164</v>
      </c>
      <c r="BM85">
        <f t="shared" si="132"/>
        <v>0.54914200217708564</v>
      </c>
      <c r="BN85">
        <f t="shared" si="133"/>
        <v>0.45085799782291436</v>
      </c>
      <c r="BO85">
        <v>7111</v>
      </c>
      <c r="BP85">
        <v>290.00000000000011</v>
      </c>
      <c r="BQ85">
        <v>953.96</v>
      </c>
      <c r="BR85">
        <v>295</v>
      </c>
      <c r="BS85">
        <v>8093.69</v>
      </c>
      <c r="BT85">
        <v>955.82</v>
      </c>
      <c r="BU85">
        <v>-1.86</v>
      </c>
      <c r="BV85">
        <v>300.00000000000011</v>
      </c>
      <c r="BW85">
        <v>19.2</v>
      </c>
      <c r="BX85">
        <v>1082.8078610423281</v>
      </c>
      <c r="BY85">
        <v>3.152320048075282</v>
      </c>
      <c r="BZ85">
        <v>-102.77899249472379</v>
      </c>
      <c r="CA85">
        <v>2.3445610242008148</v>
      </c>
      <c r="CB85">
        <v>0.98563881753409377</v>
      </c>
      <c r="CC85">
        <v>-4.1700293659621863E-3</v>
      </c>
      <c r="CD85">
        <v>289.99999999999989</v>
      </c>
      <c r="CE85">
        <v>951.25</v>
      </c>
      <c r="CF85">
        <v>675</v>
      </c>
      <c r="CG85">
        <v>8088.17</v>
      </c>
      <c r="CH85">
        <v>955.73</v>
      </c>
      <c r="CI85">
        <v>-4.4800000000000004</v>
      </c>
      <c r="CW85">
        <f t="shared" si="134"/>
        <v>1799.98</v>
      </c>
      <c r="CX85">
        <f t="shared" si="135"/>
        <v>1513.1708999934017</v>
      </c>
      <c r="CY85">
        <f t="shared" si="136"/>
        <v>0.84065984066123056</v>
      </c>
      <c r="CZ85">
        <f t="shared" si="137"/>
        <v>0.19131968132246094</v>
      </c>
      <c r="DA85">
        <v>6</v>
      </c>
      <c r="DB85">
        <v>0.5</v>
      </c>
      <c r="DC85" t="s">
        <v>417</v>
      </c>
      <c r="DD85">
        <v>2</v>
      </c>
      <c r="DE85">
        <v>1691176580.0999999</v>
      </c>
      <c r="DF85">
        <v>1133.07</v>
      </c>
      <c r="DG85">
        <v>1199.8699999999999</v>
      </c>
      <c r="DH85">
        <v>27.3932</v>
      </c>
      <c r="DI85">
        <v>24.427099999999999</v>
      </c>
      <c r="DJ85">
        <v>1129.1099999999999</v>
      </c>
      <c r="DK85">
        <v>27.268899999999999</v>
      </c>
      <c r="DL85">
        <v>500.03</v>
      </c>
      <c r="DM85">
        <v>99.061499999999995</v>
      </c>
      <c r="DN85">
        <v>9.9820199999999998E-2</v>
      </c>
      <c r="DO85">
        <v>29.849</v>
      </c>
      <c r="DP85">
        <v>30.026199999999999</v>
      </c>
      <c r="DQ85">
        <v>999.9</v>
      </c>
      <c r="DR85">
        <v>0</v>
      </c>
      <c r="DS85">
        <v>0</v>
      </c>
      <c r="DT85">
        <v>9947.5</v>
      </c>
      <c r="DU85">
        <v>0</v>
      </c>
      <c r="DV85">
        <v>1941.3</v>
      </c>
      <c r="DW85">
        <v>-66.7988</v>
      </c>
      <c r="DX85">
        <v>1164.98</v>
      </c>
      <c r="DY85">
        <v>1229.9100000000001</v>
      </c>
      <c r="DZ85">
        <v>2.9660500000000001</v>
      </c>
      <c r="EA85">
        <v>1199.8699999999999</v>
      </c>
      <c r="EB85">
        <v>24.427099999999999</v>
      </c>
      <c r="EC85">
        <v>2.7136100000000001</v>
      </c>
      <c r="ED85">
        <v>2.4197899999999999</v>
      </c>
      <c r="EE85">
        <v>22.367799999999999</v>
      </c>
      <c r="EF85">
        <v>20.4968</v>
      </c>
      <c r="EG85">
        <v>1799.98</v>
      </c>
      <c r="EH85">
        <v>0.97800600000000004</v>
      </c>
      <c r="EI85">
        <v>2.1993800000000001E-2</v>
      </c>
      <c r="EJ85">
        <v>0</v>
      </c>
      <c r="EK85">
        <v>689.66499999999996</v>
      </c>
      <c r="EL85">
        <v>0.10001</v>
      </c>
      <c r="EM85">
        <v>18297.3</v>
      </c>
      <c r="EN85">
        <v>16353.3</v>
      </c>
      <c r="EO85">
        <v>48.061999999999998</v>
      </c>
      <c r="EP85">
        <v>50.311999999999998</v>
      </c>
      <c r="EQ85">
        <v>49.625</v>
      </c>
      <c r="ER85">
        <v>49.061999999999998</v>
      </c>
      <c r="ES85">
        <v>49.561999999999998</v>
      </c>
      <c r="ET85">
        <v>1760.29</v>
      </c>
      <c r="EU85">
        <v>39.590000000000003</v>
      </c>
      <c r="EV85">
        <v>0</v>
      </c>
      <c r="EW85">
        <v>171.5999999046326</v>
      </c>
      <c r="EX85">
        <v>0</v>
      </c>
      <c r="EY85">
        <v>690.93153846153848</v>
      </c>
      <c r="EZ85">
        <v>-7.8823931606199586</v>
      </c>
      <c r="FA85">
        <v>4942.3794792062135</v>
      </c>
      <c r="FB85">
        <v>17665.323076923079</v>
      </c>
      <c r="FC85">
        <v>15</v>
      </c>
      <c r="FD85">
        <v>1691176529.0999999</v>
      </c>
      <c r="FE85" t="s">
        <v>771</v>
      </c>
      <c r="FF85">
        <v>1691176529.0999999</v>
      </c>
      <c r="FG85">
        <v>1691176528.5999999</v>
      </c>
      <c r="FH85">
        <v>77</v>
      </c>
      <c r="FI85">
        <v>-8.7999999999999995E-2</v>
      </c>
      <c r="FJ85">
        <v>-4.0000000000000001E-3</v>
      </c>
      <c r="FK85">
        <v>4.0380000000000003</v>
      </c>
      <c r="FL85">
        <v>6.2E-2</v>
      </c>
      <c r="FM85">
        <v>1200</v>
      </c>
      <c r="FN85">
        <v>24</v>
      </c>
      <c r="FO85">
        <v>0.18</v>
      </c>
      <c r="FP85">
        <v>7.0000000000000007E-2</v>
      </c>
      <c r="FQ85">
        <v>52.857490814113973</v>
      </c>
      <c r="FR85">
        <v>-0.54289764644490734</v>
      </c>
      <c r="FS85">
        <v>0.18594853040867459</v>
      </c>
      <c r="FT85">
        <v>1</v>
      </c>
      <c r="FU85">
        <v>0.17351358470948419</v>
      </c>
      <c r="FV85">
        <v>-3.7580523768455637E-2</v>
      </c>
      <c r="FW85">
        <v>2.8689634157256388E-3</v>
      </c>
      <c r="FX85">
        <v>1</v>
      </c>
      <c r="FY85">
        <v>2</v>
      </c>
      <c r="FZ85">
        <v>2</v>
      </c>
      <c r="GA85" t="s">
        <v>419</v>
      </c>
      <c r="GB85">
        <v>2.8820800000000002</v>
      </c>
      <c r="GC85">
        <v>2.82056</v>
      </c>
      <c r="GD85">
        <v>0.17741299999999999</v>
      </c>
      <c r="GE85">
        <v>0.18507100000000001</v>
      </c>
      <c r="GF85">
        <v>0.124706</v>
      </c>
      <c r="GG85">
        <v>0.11581900000000001</v>
      </c>
      <c r="GH85">
        <v>25179.9</v>
      </c>
      <c r="GI85">
        <v>23261.9</v>
      </c>
      <c r="GJ85">
        <v>28190.400000000001</v>
      </c>
      <c r="GK85">
        <v>26821.200000000001</v>
      </c>
      <c r="GL85">
        <v>34828.800000000003</v>
      </c>
      <c r="GM85">
        <v>33137.699999999997</v>
      </c>
      <c r="GN85">
        <v>41474.699999999997</v>
      </c>
      <c r="GO85">
        <v>38819.300000000003</v>
      </c>
      <c r="GP85">
        <v>1.9865999999999999</v>
      </c>
      <c r="GQ85">
        <v>1.6378999999999999</v>
      </c>
      <c r="GR85">
        <v>-7.7485999999999996E-3</v>
      </c>
      <c r="GS85">
        <v>0</v>
      </c>
      <c r="GT85">
        <v>30.1523</v>
      </c>
      <c r="GU85">
        <v>999.9</v>
      </c>
      <c r="GV85">
        <v>43.8</v>
      </c>
      <c r="GW85">
        <v>47.4</v>
      </c>
      <c r="GX85">
        <v>48.183799999999998</v>
      </c>
      <c r="GY85">
        <v>62.808599999999998</v>
      </c>
      <c r="GZ85">
        <v>28.9864</v>
      </c>
      <c r="HA85">
        <v>1</v>
      </c>
      <c r="HB85">
        <v>1.0992</v>
      </c>
      <c r="HC85">
        <v>5.1423199999999998</v>
      </c>
      <c r="HD85">
        <v>20.168900000000001</v>
      </c>
      <c r="HE85">
        <v>5.2100999999999997</v>
      </c>
      <c r="HF85">
        <v>12.000400000000001</v>
      </c>
      <c r="HG85">
        <v>4.9874000000000001</v>
      </c>
      <c r="HH85">
        <v>3.2909999999999999</v>
      </c>
      <c r="HI85">
        <v>9999</v>
      </c>
      <c r="HJ85">
        <v>9999</v>
      </c>
      <c r="HK85">
        <v>9999</v>
      </c>
      <c r="HL85">
        <v>999.9</v>
      </c>
      <c r="HM85">
        <v>1.86677</v>
      </c>
      <c r="HN85">
        <v>1.86686</v>
      </c>
      <c r="HO85">
        <v>1.8633999999999999</v>
      </c>
      <c r="HP85">
        <v>1.86459</v>
      </c>
      <c r="HQ85">
        <v>1.86415</v>
      </c>
      <c r="HR85">
        <v>1.8599699999999999</v>
      </c>
      <c r="HS85">
        <v>1.8631899999999999</v>
      </c>
      <c r="HT85">
        <v>1.86595</v>
      </c>
      <c r="HU85">
        <v>5</v>
      </c>
      <c r="HV85">
        <v>0</v>
      </c>
      <c r="HW85">
        <v>0</v>
      </c>
      <c r="HX85">
        <v>0</v>
      </c>
      <c r="HY85" t="s">
        <v>420</v>
      </c>
      <c r="HZ85" t="s">
        <v>421</v>
      </c>
      <c r="IA85" t="s">
        <v>422</v>
      </c>
      <c r="IB85" t="s">
        <v>422</v>
      </c>
      <c r="IC85" t="s">
        <v>422</v>
      </c>
      <c r="ID85" t="s">
        <v>422</v>
      </c>
      <c r="IE85">
        <v>0</v>
      </c>
      <c r="IF85">
        <v>100</v>
      </c>
      <c r="IG85">
        <v>100</v>
      </c>
      <c r="IH85">
        <v>3.96</v>
      </c>
      <c r="II85">
        <v>0.12429999999999999</v>
      </c>
      <c r="IJ85">
        <v>1.8313773387207399</v>
      </c>
      <c r="IK85">
        <v>3.5576830062418229E-3</v>
      </c>
      <c r="IL85">
        <v>-2.2646740813029151E-6</v>
      </c>
      <c r="IM85">
        <v>6.9609298295988525E-10</v>
      </c>
      <c r="IN85">
        <v>-0.162724823490311</v>
      </c>
      <c r="IO85">
        <v>-9.4437069492282083E-4</v>
      </c>
      <c r="IP85">
        <v>5.2900373165634467E-4</v>
      </c>
      <c r="IQ85">
        <v>-3.977656803091445E-6</v>
      </c>
      <c r="IR85">
        <v>2</v>
      </c>
      <c r="IS85">
        <v>1759</v>
      </c>
      <c r="IT85">
        <v>2</v>
      </c>
      <c r="IU85">
        <v>42</v>
      </c>
      <c r="IV85">
        <v>0.8</v>
      </c>
      <c r="IW85">
        <v>0.9</v>
      </c>
      <c r="IX85">
        <v>2.4902299999999999</v>
      </c>
      <c r="IY85">
        <v>2.4365199999999998</v>
      </c>
      <c r="IZ85">
        <v>1.54297</v>
      </c>
      <c r="JA85">
        <v>2.2985799999999998</v>
      </c>
      <c r="JB85">
        <v>1.5466299999999999</v>
      </c>
      <c r="JC85">
        <v>2.36694</v>
      </c>
      <c r="JD85">
        <v>49.200600000000001</v>
      </c>
      <c r="JE85">
        <v>24.061199999999999</v>
      </c>
      <c r="JF85">
        <v>18</v>
      </c>
      <c r="JG85">
        <v>533.26199999999994</v>
      </c>
      <c r="JH85">
        <v>406.101</v>
      </c>
      <c r="JI85">
        <v>24.1327</v>
      </c>
      <c r="JJ85">
        <v>40.150100000000002</v>
      </c>
      <c r="JK85">
        <v>29.999199999999998</v>
      </c>
      <c r="JL85">
        <v>40.6188</v>
      </c>
      <c r="JM85">
        <v>40.5931</v>
      </c>
      <c r="JN85">
        <v>50.008800000000001</v>
      </c>
      <c r="JO85">
        <v>55.443199999999997</v>
      </c>
      <c r="JP85">
        <v>0</v>
      </c>
      <c r="JQ85">
        <v>24.107900000000001</v>
      </c>
      <c r="JR85">
        <v>1200</v>
      </c>
      <c r="JS85">
        <v>24.6174</v>
      </c>
      <c r="JT85">
        <v>98.267399999999995</v>
      </c>
      <c r="JU85">
        <v>96.044499999999999</v>
      </c>
    </row>
    <row r="86" spans="1:281" x14ac:dyDescent="0.25">
      <c r="A86">
        <v>70</v>
      </c>
      <c r="B86">
        <v>1691176700.0999999</v>
      </c>
      <c r="C86">
        <v>15788.599999904631</v>
      </c>
      <c r="D86" t="s">
        <v>772</v>
      </c>
      <c r="E86" t="s">
        <v>773</v>
      </c>
      <c r="F86" t="s">
        <v>413</v>
      </c>
      <c r="G86" t="s">
        <v>707</v>
      </c>
      <c r="H86" t="s">
        <v>563</v>
      </c>
      <c r="I86" t="s">
        <v>31</v>
      </c>
      <c r="J86">
        <v>1691176700.0999999</v>
      </c>
      <c r="K86">
        <f t="shared" si="92"/>
        <v>2.3418479546980773E-3</v>
      </c>
      <c r="L86">
        <f t="shared" si="93"/>
        <v>2.3418479546980775</v>
      </c>
      <c r="M86">
        <f t="shared" si="94"/>
        <v>53.557004511772561</v>
      </c>
      <c r="N86">
        <f t="shared" si="95"/>
        <v>1432.269</v>
      </c>
      <c r="O86">
        <f t="shared" si="96"/>
        <v>819.63402207764136</v>
      </c>
      <c r="P86">
        <f t="shared" si="97"/>
        <v>81.277226734599338</v>
      </c>
      <c r="Q86">
        <f t="shared" si="98"/>
        <v>142.02784306446299</v>
      </c>
      <c r="R86">
        <f t="shared" si="99"/>
        <v>0.15036217292772258</v>
      </c>
      <c r="S86">
        <f t="shared" si="100"/>
        <v>2.9082286257214038</v>
      </c>
      <c r="T86">
        <f t="shared" si="101"/>
        <v>0.14617300208443684</v>
      </c>
      <c r="U86">
        <f t="shared" si="102"/>
        <v>9.1724785198454145E-2</v>
      </c>
      <c r="V86">
        <f t="shared" si="103"/>
        <v>344.40579998680454</v>
      </c>
      <c r="W86">
        <f t="shared" si="104"/>
        <v>31.175156642249654</v>
      </c>
      <c r="X86">
        <f t="shared" si="105"/>
        <v>30.002700000000001</v>
      </c>
      <c r="Y86">
        <f t="shared" si="106"/>
        <v>4.2611105522817798</v>
      </c>
      <c r="Z86">
        <f t="shared" si="107"/>
        <v>64.98163056495396</v>
      </c>
      <c r="AA86">
        <f t="shared" si="108"/>
        <v>2.7284056872087996</v>
      </c>
      <c r="AB86">
        <f t="shared" si="109"/>
        <v>4.1987338013649191</v>
      </c>
      <c r="AC86">
        <f t="shared" si="110"/>
        <v>1.5327048650729802</v>
      </c>
      <c r="AD86">
        <f t="shared" si="111"/>
        <v>-103.27549480218521</v>
      </c>
      <c r="AE86">
        <f t="shared" si="112"/>
        <v>-40.216230158327235</v>
      </c>
      <c r="AF86">
        <f t="shared" si="113"/>
        <v>-3.0709448274210915</v>
      </c>
      <c r="AG86">
        <f t="shared" si="114"/>
        <v>197.84313019887099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51769.073353311789</v>
      </c>
      <c r="AM86" t="s">
        <v>414</v>
      </c>
      <c r="AN86">
        <v>10111.299999999999</v>
      </c>
      <c r="AO86">
        <v>608.58839999999998</v>
      </c>
      <c r="AP86">
        <v>2150.11</v>
      </c>
      <c r="AQ86">
        <f t="shared" si="118"/>
        <v>0.71695010952927984</v>
      </c>
      <c r="AR86">
        <v>-1.1786277417053079</v>
      </c>
      <c r="AS86" t="s">
        <v>774</v>
      </c>
      <c r="AT86">
        <v>8095.59</v>
      </c>
      <c r="AU86">
        <v>690.8284000000001</v>
      </c>
      <c r="AV86">
        <v>1086.8154189855979</v>
      </c>
      <c r="AW86">
        <f t="shared" si="119"/>
        <v>0.36435535608723757</v>
      </c>
      <c r="AX86">
        <v>0.5</v>
      </c>
      <c r="AY86">
        <f t="shared" si="120"/>
        <v>1513.3220999934024</v>
      </c>
      <c r="AZ86">
        <f t="shared" si="121"/>
        <v>53.557004511772561</v>
      </c>
      <c r="BA86">
        <f t="shared" si="122"/>
        <v>275.69350630889113</v>
      </c>
      <c r="BB86">
        <f t="shared" si="123"/>
        <v>3.6169188471982597E-2</v>
      </c>
      <c r="BC86">
        <f t="shared" si="124"/>
        <v>0.97835801962291868</v>
      </c>
      <c r="BD86">
        <f t="shared" si="125"/>
        <v>476.60498032815968</v>
      </c>
      <c r="BE86" t="s">
        <v>775</v>
      </c>
      <c r="BF86">
        <v>529.71</v>
      </c>
      <c r="BG86">
        <f t="shared" si="126"/>
        <v>529.71</v>
      </c>
      <c r="BH86">
        <f t="shared" si="127"/>
        <v>0.5126035288545906</v>
      </c>
      <c r="BI86">
        <f t="shared" si="128"/>
        <v>0.71079369449794338</v>
      </c>
      <c r="BJ86">
        <f t="shared" si="129"/>
        <v>0.65619265676030736</v>
      </c>
      <c r="BK86">
        <f t="shared" si="130"/>
        <v>0.82803146469129796</v>
      </c>
      <c r="BL86">
        <f t="shared" si="131"/>
        <v>0.68976949853599334</v>
      </c>
      <c r="BM86">
        <f t="shared" si="132"/>
        <v>0.54501889023743899</v>
      </c>
      <c r="BN86">
        <f t="shared" si="133"/>
        <v>0.45498110976256101</v>
      </c>
      <c r="BO86">
        <v>7113</v>
      </c>
      <c r="BP86">
        <v>290.00000000000011</v>
      </c>
      <c r="BQ86">
        <v>959.05</v>
      </c>
      <c r="BR86">
        <v>255</v>
      </c>
      <c r="BS86">
        <v>8095.59</v>
      </c>
      <c r="BT86">
        <v>960.62</v>
      </c>
      <c r="BU86">
        <v>-1.57</v>
      </c>
      <c r="BV86">
        <v>300.00000000000011</v>
      </c>
      <c r="BW86">
        <v>19.2</v>
      </c>
      <c r="BX86">
        <v>1086.8154189855979</v>
      </c>
      <c r="BY86">
        <v>2.9412571029577039</v>
      </c>
      <c r="BZ86">
        <v>-102.16297685849641</v>
      </c>
      <c r="CA86">
        <v>2.1878167527798431</v>
      </c>
      <c r="CB86">
        <v>0.98732197385382192</v>
      </c>
      <c r="CC86">
        <v>-4.1705695216907694E-3</v>
      </c>
      <c r="CD86">
        <v>289.99999999999989</v>
      </c>
      <c r="CE86">
        <v>956.28</v>
      </c>
      <c r="CF86">
        <v>675</v>
      </c>
      <c r="CG86">
        <v>8089.02</v>
      </c>
      <c r="CH86">
        <v>960.52</v>
      </c>
      <c r="CI86">
        <v>-4.24</v>
      </c>
      <c r="CW86">
        <f t="shared" si="134"/>
        <v>1800.16</v>
      </c>
      <c r="CX86">
        <f t="shared" si="135"/>
        <v>1513.3220999934024</v>
      </c>
      <c r="CY86">
        <f t="shared" si="136"/>
        <v>0.84065977468302944</v>
      </c>
      <c r="CZ86">
        <f t="shared" si="137"/>
        <v>0.19131954936605886</v>
      </c>
      <c r="DA86">
        <v>6</v>
      </c>
      <c r="DB86">
        <v>0.5</v>
      </c>
      <c r="DC86" t="s">
        <v>417</v>
      </c>
      <c r="DD86">
        <v>2</v>
      </c>
      <c r="DE86">
        <v>1691176700.0999999</v>
      </c>
      <c r="DF86">
        <v>1432.269</v>
      </c>
      <c r="DG86">
        <v>1500.54</v>
      </c>
      <c r="DH86">
        <v>27.514399999999998</v>
      </c>
      <c r="DI86">
        <v>24.782399999999999</v>
      </c>
      <c r="DJ86">
        <v>1427.95</v>
      </c>
      <c r="DK86">
        <v>27.442399999999999</v>
      </c>
      <c r="DL86">
        <v>500.16399999999999</v>
      </c>
      <c r="DM86">
        <v>99.061999999999998</v>
      </c>
      <c r="DN86">
        <v>0.100827</v>
      </c>
      <c r="DO86">
        <v>29.746200000000002</v>
      </c>
      <c r="DP86">
        <v>30.002700000000001</v>
      </c>
      <c r="DQ86">
        <v>999.9</v>
      </c>
      <c r="DR86">
        <v>0</v>
      </c>
      <c r="DS86">
        <v>0</v>
      </c>
      <c r="DT86">
        <v>9972.5</v>
      </c>
      <c r="DU86">
        <v>0</v>
      </c>
      <c r="DV86">
        <v>1938.95</v>
      </c>
      <c r="DW86">
        <v>-68.275099999999995</v>
      </c>
      <c r="DX86">
        <v>1472.87</v>
      </c>
      <c r="DY86">
        <v>1538.67</v>
      </c>
      <c r="DZ86">
        <v>2.78748</v>
      </c>
      <c r="EA86">
        <v>1500.54</v>
      </c>
      <c r="EB86">
        <v>24.782399999999999</v>
      </c>
      <c r="EC86">
        <v>2.7311299999999998</v>
      </c>
      <c r="ED86">
        <v>2.4550000000000001</v>
      </c>
      <c r="EE86">
        <v>22.473600000000001</v>
      </c>
      <c r="EF86">
        <v>20.731200000000001</v>
      </c>
      <c r="EG86">
        <v>1800.16</v>
      </c>
      <c r="EH86">
        <v>0.97800600000000004</v>
      </c>
      <c r="EI86">
        <v>2.1993800000000001E-2</v>
      </c>
      <c r="EJ86">
        <v>0</v>
      </c>
      <c r="EK86">
        <v>690.3</v>
      </c>
      <c r="EL86">
        <v>0.10001</v>
      </c>
      <c r="EM86">
        <v>18281.099999999999</v>
      </c>
      <c r="EN86">
        <v>16355</v>
      </c>
      <c r="EO86">
        <v>48</v>
      </c>
      <c r="EP86">
        <v>50.25</v>
      </c>
      <c r="EQ86">
        <v>49.436999999999998</v>
      </c>
      <c r="ER86">
        <v>49</v>
      </c>
      <c r="ES86">
        <v>49.436999999999998</v>
      </c>
      <c r="ET86">
        <v>1760.47</v>
      </c>
      <c r="EU86">
        <v>39.590000000000003</v>
      </c>
      <c r="EV86">
        <v>0</v>
      </c>
      <c r="EW86">
        <v>117.5999999046326</v>
      </c>
      <c r="EX86">
        <v>0</v>
      </c>
      <c r="EY86">
        <v>690.8284000000001</v>
      </c>
      <c r="EZ86">
        <v>-6.2449999175823327</v>
      </c>
      <c r="FA86">
        <v>929.12307404995943</v>
      </c>
      <c r="FB86">
        <v>18228.508000000002</v>
      </c>
      <c r="FC86">
        <v>15</v>
      </c>
      <c r="FD86">
        <v>1691176724.5999999</v>
      </c>
      <c r="FE86" t="s">
        <v>776</v>
      </c>
      <c r="FF86">
        <v>1691176724.5999999</v>
      </c>
      <c r="FG86">
        <v>1691176723.0999999</v>
      </c>
      <c r="FH86">
        <v>78</v>
      </c>
      <c r="FI86">
        <v>-9.6000000000000002E-2</v>
      </c>
      <c r="FJ86">
        <v>-5.0000000000000001E-3</v>
      </c>
      <c r="FK86">
        <v>4.319</v>
      </c>
      <c r="FL86">
        <v>7.1999999999999995E-2</v>
      </c>
      <c r="FM86">
        <v>1500</v>
      </c>
      <c r="FN86">
        <v>25</v>
      </c>
      <c r="FO86">
        <v>0.19</v>
      </c>
      <c r="FP86">
        <v>0.1</v>
      </c>
      <c r="FQ86">
        <v>53.072086765313649</v>
      </c>
      <c r="FR86">
        <v>0.31180318212066471</v>
      </c>
      <c r="FS86">
        <v>0.18764719765963131</v>
      </c>
      <c r="FT86">
        <v>1</v>
      </c>
      <c r="FU86">
        <v>0.1385492953001406</v>
      </c>
      <c r="FV86">
        <v>2.8367613045562911E-2</v>
      </c>
      <c r="FW86">
        <v>3.4355150632335292E-3</v>
      </c>
      <c r="FX86">
        <v>1</v>
      </c>
      <c r="FY86">
        <v>2</v>
      </c>
      <c r="FZ86">
        <v>2</v>
      </c>
      <c r="GA86" t="s">
        <v>419</v>
      </c>
      <c r="GB86">
        <v>2.8827099999999999</v>
      </c>
      <c r="GC86">
        <v>2.82178</v>
      </c>
      <c r="GD86">
        <v>0.205071</v>
      </c>
      <c r="GE86">
        <v>0.212114</v>
      </c>
      <c r="GF86">
        <v>0.12529100000000001</v>
      </c>
      <c r="GG86">
        <v>0.11701300000000001</v>
      </c>
      <c r="GH86">
        <v>24335.4</v>
      </c>
      <c r="GI86">
        <v>22493.7</v>
      </c>
      <c r="GJ86">
        <v>28196.6</v>
      </c>
      <c r="GK86">
        <v>26829.200000000001</v>
      </c>
      <c r="GL86">
        <v>34812.699999999997</v>
      </c>
      <c r="GM86">
        <v>33101.699999999997</v>
      </c>
      <c r="GN86">
        <v>41483.4</v>
      </c>
      <c r="GO86">
        <v>38829.4</v>
      </c>
      <c r="GP86">
        <v>1.9885999999999999</v>
      </c>
      <c r="GQ86">
        <v>1.6419999999999999</v>
      </c>
      <c r="GR86">
        <v>-2.33948E-2</v>
      </c>
      <c r="GS86">
        <v>0</v>
      </c>
      <c r="GT86">
        <v>30.383299999999998</v>
      </c>
      <c r="GU86">
        <v>999.9</v>
      </c>
      <c r="GV86">
        <v>43.9</v>
      </c>
      <c r="GW86">
        <v>47.3</v>
      </c>
      <c r="GX86">
        <v>48.045900000000003</v>
      </c>
      <c r="GY86">
        <v>62.928600000000003</v>
      </c>
      <c r="GZ86">
        <v>28.73</v>
      </c>
      <c r="HA86">
        <v>1</v>
      </c>
      <c r="HB86">
        <v>1.07884</v>
      </c>
      <c r="HC86">
        <v>4.4468399999999999</v>
      </c>
      <c r="HD86">
        <v>20.190300000000001</v>
      </c>
      <c r="HE86">
        <v>5.2095000000000002</v>
      </c>
      <c r="HF86">
        <v>11.9998</v>
      </c>
      <c r="HG86">
        <v>4.9880000000000004</v>
      </c>
      <c r="HH86">
        <v>3.2909999999999999</v>
      </c>
      <c r="HI86">
        <v>9999</v>
      </c>
      <c r="HJ86">
        <v>9999</v>
      </c>
      <c r="HK86">
        <v>9999</v>
      </c>
      <c r="HL86">
        <v>999.9</v>
      </c>
      <c r="HM86">
        <v>1.86676</v>
      </c>
      <c r="HN86">
        <v>1.8668899999999999</v>
      </c>
      <c r="HO86">
        <v>1.8633999999999999</v>
      </c>
      <c r="HP86">
        <v>1.8646</v>
      </c>
      <c r="HQ86">
        <v>1.8641700000000001</v>
      </c>
      <c r="HR86">
        <v>1.8599699999999999</v>
      </c>
      <c r="HS86">
        <v>1.8631</v>
      </c>
      <c r="HT86">
        <v>1.86598</v>
      </c>
      <c r="HU86">
        <v>5</v>
      </c>
      <c r="HV86">
        <v>0</v>
      </c>
      <c r="HW86">
        <v>0</v>
      </c>
      <c r="HX86">
        <v>0</v>
      </c>
      <c r="HY86" t="s">
        <v>420</v>
      </c>
      <c r="HZ86" t="s">
        <v>421</v>
      </c>
      <c r="IA86" t="s">
        <v>422</v>
      </c>
      <c r="IB86" t="s">
        <v>422</v>
      </c>
      <c r="IC86" t="s">
        <v>422</v>
      </c>
      <c r="ID86" t="s">
        <v>422</v>
      </c>
      <c r="IE86">
        <v>0</v>
      </c>
      <c r="IF86">
        <v>100</v>
      </c>
      <c r="IG86">
        <v>100</v>
      </c>
      <c r="IH86">
        <v>4.319</v>
      </c>
      <c r="II86">
        <v>7.1999999999999995E-2</v>
      </c>
      <c r="IJ86">
        <v>1.8313773387207399</v>
      </c>
      <c r="IK86">
        <v>3.5576830062418229E-3</v>
      </c>
      <c r="IL86">
        <v>-2.2646740813029151E-6</v>
      </c>
      <c r="IM86">
        <v>6.9609298295988525E-10</v>
      </c>
      <c r="IN86">
        <v>-0.162724823490311</v>
      </c>
      <c r="IO86">
        <v>-9.4437069492282083E-4</v>
      </c>
      <c r="IP86">
        <v>5.2900373165634467E-4</v>
      </c>
      <c r="IQ86">
        <v>-3.977656803091445E-6</v>
      </c>
      <c r="IR86">
        <v>2</v>
      </c>
      <c r="IS86">
        <v>1759</v>
      </c>
      <c r="IT86">
        <v>2</v>
      </c>
      <c r="IU86">
        <v>42</v>
      </c>
      <c r="IV86">
        <v>2.9</v>
      </c>
      <c r="IW86">
        <v>2.9</v>
      </c>
      <c r="IX86">
        <v>2.99316</v>
      </c>
      <c r="IY86">
        <v>2.4096700000000002</v>
      </c>
      <c r="IZ86">
        <v>1.54297</v>
      </c>
      <c r="JA86">
        <v>2.2997999999999998</v>
      </c>
      <c r="JB86">
        <v>1.5466299999999999</v>
      </c>
      <c r="JC86">
        <v>2.4316399999999998</v>
      </c>
      <c r="JD86">
        <v>49.1066</v>
      </c>
      <c r="JE86">
        <v>24.078700000000001</v>
      </c>
      <c r="JF86">
        <v>18</v>
      </c>
      <c r="JG86">
        <v>533.52599999999995</v>
      </c>
      <c r="JH86">
        <v>407.92</v>
      </c>
      <c r="JI86">
        <v>23.673200000000001</v>
      </c>
      <c r="JJ86">
        <v>39.991900000000001</v>
      </c>
      <c r="JK86">
        <v>29.995699999999999</v>
      </c>
      <c r="JL86">
        <v>40.4788</v>
      </c>
      <c r="JM86">
        <v>40.456699999999998</v>
      </c>
      <c r="JN86">
        <v>60.079900000000002</v>
      </c>
      <c r="JO86">
        <v>55.160600000000002</v>
      </c>
      <c r="JP86">
        <v>0</v>
      </c>
      <c r="JQ86">
        <v>23.675599999999999</v>
      </c>
      <c r="JR86">
        <v>1500</v>
      </c>
      <c r="JS86">
        <v>24.819500000000001</v>
      </c>
      <c r="JT86">
        <v>98.288499999999999</v>
      </c>
      <c r="JU86">
        <v>96.070999999999998</v>
      </c>
    </row>
    <row r="87" spans="1:281" x14ac:dyDescent="0.25">
      <c r="A87">
        <v>71</v>
      </c>
      <c r="B87">
        <v>1691177811.5999999</v>
      </c>
      <c r="C87">
        <v>16900.099999904629</v>
      </c>
      <c r="D87" t="s">
        <v>777</v>
      </c>
      <c r="E87" t="s">
        <v>778</v>
      </c>
      <c r="F87" t="s">
        <v>413</v>
      </c>
      <c r="G87" t="s">
        <v>779</v>
      </c>
      <c r="H87" t="s">
        <v>780</v>
      </c>
      <c r="I87" t="s">
        <v>31</v>
      </c>
      <c r="J87">
        <v>1691177811.5999999</v>
      </c>
      <c r="K87">
        <f t="shared" si="92"/>
        <v>5.060895230220728E-3</v>
      </c>
      <c r="L87">
        <f t="shared" si="93"/>
        <v>5.0608952302207282</v>
      </c>
      <c r="M87">
        <f t="shared" si="94"/>
        <v>42.826914979642822</v>
      </c>
      <c r="N87">
        <f t="shared" si="95"/>
        <v>346.49599999999998</v>
      </c>
      <c r="O87">
        <f t="shared" si="96"/>
        <v>107.87871962283236</v>
      </c>
      <c r="P87">
        <f t="shared" si="97"/>
        <v>10.696454003397029</v>
      </c>
      <c r="Q87">
        <f t="shared" si="98"/>
        <v>34.355974369356794</v>
      </c>
      <c r="R87">
        <f t="shared" si="99"/>
        <v>0.30975744090695634</v>
      </c>
      <c r="S87">
        <f t="shared" si="100"/>
        <v>2.9085307848126245</v>
      </c>
      <c r="T87">
        <f t="shared" si="101"/>
        <v>0.2925278263103071</v>
      </c>
      <c r="U87">
        <f t="shared" si="102"/>
        <v>0.18429799524899296</v>
      </c>
      <c r="V87">
        <f t="shared" si="103"/>
        <v>344.38359998680028</v>
      </c>
      <c r="W87">
        <f t="shared" si="104"/>
        <v>30.755812865591171</v>
      </c>
      <c r="X87">
        <f t="shared" si="105"/>
        <v>29.857700000000001</v>
      </c>
      <c r="Y87">
        <f t="shared" si="106"/>
        <v>4.2257503602219701</v>
      </c>
      <c r="Z87">
        <f t="shared" si="107"/>
        <v>60.171146153130117</v>
      </c>
      <c r="AA87">
        <f t="shared" si="108"/>
        <v>2.56913273540522</v>
      </c>
      <c r="AB87">
        <f t="shared" si="109"/>
        <v>4.2697088216784334</v>
      </c>
      <c r="AC87">
        <f t="shared" si="110"/>
        <v>1.6566176248167501</v>
      </c>
      <c r="AD87">
        <f t="shared" si="111"/>
        <v>-223.1854796527341</v>
      </c>
      <c r="AE87">
        <f t="shared" si="112"/>
        <v>28.240528571914279</v>
      </c>
      <c r="AF87">
        <f t="shared" si="113"/>
        <v>2.1578119621970839</v>
      </c>
      <c r="AG87">
        <f t="shared" si="114"/>
        <v>151.5964608681775</v>
      </c>
      <c r="AH87">
        <v>0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51727.680864009795</v>
      </c>
      <c r="AM87" t="s">
        <v>414</v>
      </c>
      <c r="AN87">
        <v>10111.299999999999</v>
      </c>
      <c r="AO87">
        <v>608.58839999999998</v>
      </c>
      <c r="AP87">
        <v>2150.11</v>
      </c>
      <c r="AQ87">
        <f t="shared" si="118"/>
        <v>0.71695010952927984</v>
      </c>
      <c r="AR87">
        <v>-1.1786277417053079</v>
      </c>
      <c r="AS87" t="s">
        <v>781</v>
      </c>
      <c r="AT87">
        <v>8098.44</v>
      </c>
      <c r="AU87">
        <v>714.4457692307692</v>
      </c>
      <c r="AV87">
        <v>1000.121906359914</v>
      </c>
      <c r="AW87">
        <f t="shared" si="119"/>
        <v>0.2856413156361145</v>
      </c>
      <c r="AX87">
        <v>0.5</v>
      </c>
      <c r="AY87">
        <f t="shared" si="120"/>
        <v>1513.2215999933999</v>
      </c>
      <c r="AZ87">
        <f t="shared" si="121"/>
        <v>42.826914979642822</v>
      </c>
      <c r="BA87">
        <f t="shared" si="122"/>
        <v>216.11930433555048</v>
      </c>
      <c r="BB87">
        <f t="shared" si="123"/>
        <v>2.9080699562800363E-2</v>
      </c>
      <c r="BC87">
        <f t="shared" si="124"/>
        <v>1.1498479198657208</v>
      </c>
      <c r="BD87">
        <f t="shared" si="125"/>
        <v>459.15109689987838</v>
      </c>
      <c r="BE87" t="s">
        <v>782</v>
      </c>
      <c r="BF87">
        <v>526.73</v>
      </c>
      <c r="BG87">
        <f t="shared" si="126"/>
        <v>526.73</v>
      </c>
      <c r="BH87">
        <f t="shared" si="127"/>
        <v>0.47333420391009251</v>
      </c>
      <c r="BI87">
        <f t="shared" si="128"/>
        <v>0.60346645832163592</v>
      </c>
      <c r="BJ87">
        <f t="shared" si="129"/>
        <v>0.70839119222861324</v>
      </c>
      <c r="BK87">
        <f t="shared" si="130"/>
        <v>0.72963394572555251</v>
      </c>
      <c r="BL87">
        <f t="shared" si="131"/>
        <v>0.74600842027778669</v>
      </c>
      <c r="BM87">
        <f t="shared" si="132"/>
        <v>0.44490974862093957</v>
      </c>
      <c r="BN87">
        <f t="shared" si="133"/>
        <v>0.55509025137906043</v>
      </c>
      <c r="BO87">
        <v>7115</v>
      </c>
      <c r="BP87">
        <v>290.00000000000011</v>
      </c>
      <c r="BQ87">
        <v>914.19</v>
      </c>
      <c r="BR87">
        <v>295</v>
      </c>
      <c r="BS87">
        <v>8098.44</v>
      </c>
      <c r="BT87">
        <v>914.85</v>
      </c>
      <c r="BU87">
        <v>-0.66</v>
      </c>
      <c r="BV87">
        <v>300.00000000000011</v>
      </c>
      <c r="BW87">
        <v>19.2</v>
      </c>
      <c r="BX87">
        <v>1000.121906359914</v>
      </c>
      <c r="BY87">
        <v>2.326844544605164</v>
      </c>
      <c r="BZ87">
        <v>-69.060509004607837</v>
      </c>
      <c r="CA87">
        <v>1.7316161363205591</v>
      </c>
      <c r="CB87">
        <v>0.98270091665795523</v>
      </c>
      <c r="CC87">
        <v>-4.1728142380422729E-3</v>
      </c>
      <c r="CD87">
        <v>289.99999999999989</v>
      </c>
      <c r="CE87">
        <v>914.86</v>
      </c>
      <c r="CF87">
        <v>685</v>
      </c>
      <c r="CG87">
        <v>8092.75</v>
      </c>
      <c r="CH87">
        <v>914.79</v>
      </c>
      <c r="CI87">
        <v>7.0000000000000007E-2</v>
      </c>
      <c r="CW87">
        <f t="shared" si="134"/>
        <v>1800.04</v>
      </c>
      <c r="CX87">
        <f t="shared" si="135"/>
        <v>1513.2215999933999</v>
      </c>
      <c r="CY87">
        <f t="shared" si="136"/>
        <v>0.84065998532999264</v>
      </c>
      <c r="CZ87">
        <f t="shared" si="137"/>
        <v>0.19131997065998549</v>
      </c>
      <c r="DA87">
        <v>6</v>
      </c>
      <c r="DB87">
        <v>0.5</v>
      </c>
      <c r="DC87" t="s">
        <v>417</v>
      </c>
      <c r="DD87">
        <v>2</v>
      </c>
      <c r="DE87">
        <v>1691177811.5999999</v>
      </c>
      <c r="DF87">
        <v>346.49599999999998</v>
      </c>
      <c r="DG87">
        <v>400.04399999999998</v>
      </c>
      <c r="DH87">
        <v>25.910900000000002</v>
      </c>
      <c r="DI87">
        <v>19.9895</v>
      </c>
      <c r="DJ87">
        <v>344.048</v>
      </c>
      <c r="DK87">
        <v>25.796600000000002</v>
      </c>
      <c r="DL87">
        <v>499.52</v>
      </c>
      <c r="DM87">
        <v>99.054299999999998</v>
      </c>
      <c r="DN87">
        <v>9.8285800000000006E-2</v>
      </c>
      <c r="DO87">
        <v>30.037800000000001</v>
      </c>
      <c r="DP87">
        <v>29.857700000000001</v>
      </c>
      <c r="DQ87">
        <v>999.9</v>
      </c>
      <c r="DR87">
        <v>0</v>
      </c>
      <c r="DS87">
        <v>0</v>
      </c>
      <c r="DT87">
        <v>9975</v>
      </c>
      <c r="DU87">
        <v>0</v>
      </c>
      <c r="DV87">
        <v>367.61500000000001</v>
      </c>
      <c r="DW87">
        <v>-53.548299999999998</v>
      </c>
      <c r="DX87">
        <v>355.71300000000002</v>
      </c>
      <c r="DY87">
        <v>408.20400000000001</v>
      </c>
      <c r="DZ87">
        <v>5.9213100000000001</v>
      </c>
      <c r="EA87">
        <v>400.04399999999998</v>
      </c>
      <c r="EB87">
        <v>19.9895</v>
      </c>
      <c r="EC87">
        <v>2.5665800000000001</v>
      </c>
      <c r="ED87">
        <v>1.9800500000000001</v>
      </c>
      <c r="EE87">
        <v>21.454999999999998</v>
      </c>
      <c r="EF87">
        <v>17.285699999999999</v>
      </c>
      <c r="EG87">
        <v>1800.04</v>
      </c>
      <c r="EH87">
        <v>0.97799899999999995</v>
      </c>
      <c r="EI87">
        <v>2.2001E-2</v>
      </c>
      <c r="EJ87">
        <v>0</v>
      </c>
      <c r="EK87">
        <v>713.05499999999995</v>
      </c>
      <c r="EL87">
        <v>0.10001</v>
      </c>
      <c r="EM87">
        <v>14452.9</v>
      </c>
      <c r="EN87">
        <v>16353.8</v>
      </c>
      <c r="EO87">
        <v>48.186999999999998</v>
      </c>
      <c r="EP87">
        <v>50.061999999999998</v>
      </c>
      <c r="EQ87">
        <v>49.561999999999998</v>
      </c>
      <c r="ER87">
        <v>49.5</v>
      </c>
      <c r="ES87">
        <v>49.686999999999998</v>
      </c>
      <c r="ET87">
        <v>1760.34</v>
      </c>
      <c r="EU87">
        <v>39.6</v>
      </c>
      <c r="EV87">
        <v>0</v>
      </c>
      <c r="EW87">
        <v>1109.3999998569491</v>
      </c>
      <c r="EX87">
        <v>0</v>
      </c>
      <c r="EY87">
        <v>714.4457692307692</v>
      </c>
      <c r="EZ87">
        <v>-6.4153846604780442</v>
      </c>
      <c r="FA87">
        <v>-48.437606831213309</v>
      </c>
      <c r="FB87">
        <v>14458.4</v>
      </c>
      <c r="FC87">
        <v>15</v>
      </c>
      <c r="FD87">
        <v>1691177779.0999999</v>
      </c>
      <c r="FE87" t="s">
        <v>783</v>
      </c>
      <c r="FF87">
        <v>1691177779.0999999</v>
      </c>
      <c r="FG87">
        <v>1691177778.5999999</v>
      </c>
      <c r="FH87">
        <v>80</v>
      </c>
      <c r="FI87">
        <v>0.129</v>
      </c>
      <c r="FJ87">
        <v>5.0000000000000001E-3</v>
      </c>
      <c r="FK87">
        <v>2.5630000000000002</v>
      </c>
      <c r="FL87">
        <v>1.7000000000000001E-2</v>
      </c>
      <c r="FM87">
        <v>400</v>
      </c>
      <c r="FN87">
        <v>20</v>
      </c>
      <c r="FO87">
        <v>0.1</v>
      </c>
      <c r="FP87">
        <v>0.04</v>
      </c>
      <c r="FQ87">
        <v>42.76198759544107</v>
      </c>
      <c r="FR87">
        <v>-0.13269139041944189</v>
      </c>
      <c r="FS87">
        <v>0.1140266922685487</v>
      </c>
      <c r="FT87">
        <v>1</v>
      </c>
      <c r="FU87">
        <v>0.31620713696728081</v>
      </c>
      <c r="FV87">
        <v>-3.2755431339160243E-2</v>
      </c>
      <c r="FW87">
        <v>3.5359162330657252E-3</v>
      </c>
      <c r="FX87">
        <v>1</v>
      </c>
      <c r="FY87">
        <v>2</v>
      </c>
      <c r="FZ87">
        <v>2</v>
      </c>
      <c r="GA87" t="s">
        <v>419</v>
      </c>
      <c r="GB87">
        <v>2.8807900000000002</v>
      </c>
      <c r="GC87">
        <v>2.8192599999999999</v>
      </c>
      <c r="GD87">
        <v>7.6701800000000001E-2</v>
      </c>
      <c r="GE87">
        <v>8.6788199999999996E-2</v>
      </c>
      <c r="GF87">
        <v>0.120071</v>
      </c>
      <c r="GG87">
        <v>0.100771</v>
      </c>
      <c r="GH87">
        <v>28253.5</v>
      </c>
      <c r="GI87">
        <v>26061.5</v>
      </c>
      <c r="GJ87">
        <v>28176.5</v>
      </c>
      <c r="GK87">
        <v>26809.8</v>
      </c>
      <c r="GL87">
        <v>34991.9</v>
      </c>
      <c r="GM87">
        <v>33684.1</v>
      </c>
      <c r="GN87">
        <v>41453.1</v>
      </c>
      <c r="GO87">
        <v>38804.300000000003</v>
      </c>
      <c r="GP87">
        <v>1.9893000000000001</v>
      </c>
      <c r="GQ87">
        <v>1.6402000000000001</v>
      </c>
      <c r="GR87">
        <v>-6.1616299999999999E-2</v>
      </c>
      <c r="GS87">
        <v>0</v>
      </c>
      <c r="GT87">
        <v>30.8599</v>
      </c>
      <c r="GU87">
        <v>999.9</v>
      </c>
      <c r="GV87">
        <v>44.2</v>
      </c>
      <c r="GW87">
        <v>46.1</v>
      </c>
      <c r="GX87">
        <v>45.5105</v>
      </c>
      <c r="GY87">
        <v>62.918799999999997</v>
      </c>
      <c r="GZ87">
        <v>29.1066</v>
      </c>
      <c r="HA87">
        <v>1</v>
      </c>
      <c r="HB87">
        <v>1.1037699999999999</v>
      </c>
      <c r="HC87">
        <v>3.9558</v>
      </c>
      <c r="HD87">
        <v>20.197500000000002</v>
      </c>
      <c r="HE87">
        <v>5.1945300000000003</v>
      </c>
      <c r="HF87">
        <v>11.997999999999999</v>
      </c>
      <c r="HG87">
        <v>4.9833999999999996</v>
      </c>
      <c r="HH87">
        <v>3.2883</v>
      </c>
      <c r="HI87">
        <v>9999</v>
      </c>
      <c r="HJ87">
        <v>9999</v>
      </c>
      <c r="HK87">
        <v>9999</v>
      </c>
      <c r="HL87">
        <v>999.9</v>
      </c>
      <c r="HM87">
        <v>1.8667</v>
      </c>
      <c r="HN87">
        <v>1.86676</v>
      </c>
      <c r="HO87">
        <v>1.8632500000000001</v>
      </c>
      <c r="HP87">
        <v>1.8644700000000001</v>
      </c>
      <c r="HQ87">
        <v>1.8640300000000001</v>
      </c>
      <c r="HR87">
        <v>1.85989</v>
      </c>
      <c r="HS87">
        <v>1.8630899999999999</v>
      </c>
      <c r="HT87">
        <v>1.8658399999999999</v>
      </c>
      <c r="HU87">
        <v>5</v>
      </c>
      <c r="HV87">
        <v>0</v>
      </c>
      <c r="HW87">
        <v>0</v>
      </c>
      <c r="HX87">
        <v>0</v>
      </c>
      <c r="HY87" t="s">
        <v>420</v>
      </c>
      <c r="HZ87" t="s">
        <v>421</v>
      </c>
      <c r="IA87" t="s">
        <v>422</v>
      </c>
      <c r="IB87" t="s">
        <v>422</v>
      </c>
      <c r="IC87" t="s">
        <v>422</v>
      </c>
      <c r="ID87" t="s">
        <v>422</v>
      </c>
      <c r="IE87">
        <v>0</v>
      </c>
      <c r="IF87">
        <v>100</v>
      </c>
      <c r="IG87">
        <v>100</v>
      </c>
      <c r="IH87">
        <v>2.448</v>
      </c>
      <c r="II87">
        <v>0.1143</v>
      </c>
      <c r="IJ87">
        <v>1.4632438450323599</v>
      </c>
      <c r="IK87">
        <v>3.5576830062418229E-3</v>
      </c>
      <c r="IL87">
        <v>-2.2646740813029151E-6</v>
      </c>
      <c r="IM87">
        <v>6.9609298295988525E-10</v>
      </c>
      <c r="IN87">
        <v>-0.14511635725425251</v>
      </c>
      <c r="IO87">
        <v>-9.4437069492282083E-4</v>
      </c>
      <c r="IP87">
        <v>5.2900373165634467E-4</v>
      </c>
      <c r="IQ87">
        <v>-3.977656803091445E-6</v>
      </c>
      <c r="IR87">
        <v>2</v>
      </c>
      <c r="IS87">
        <v>1759</v>
      </c>
      <c r="IT87">
        <v>2</v>
      </c>
      <c r="IU87">
        <v>42</v>
      </c>
      <c r="IV87">
        <v>0.5</v>
      </c>
      <c r="IW87">
        <v>0.6</v>
      </c>
      <c r="IX87">
        <v>0.99609400000000003</v>
      </c>
      <c r="IY87">
        <v>2.4426299999999999</v>
      </c>
      <c r="IZ87">
        <v>1.54297</v>
      </c>
      <c r="JA87">
        <v>2.3010299999999999</v>
      </c>
      <c r="JB87">
        <v>1.5466299999999999</v>
      </c>
      <c r="JC87">
        <v>2.3303199999999999</v>
      </c>
      <c r="JD87">
        <v>48.117400000000004</v>
      </c>
      <c r="JE87">
        <v>24.07</v>
      </c>
      <c r="JF87">
        <v>18</v>
      </c>
      <c r="JG87">
        <v>532.96100000000001</v>
      </c>
      <c r="JH87">
        <v>406.01400000000001</v>
      </c>
      <c r="JI87">
        <v>24.944600000000001</v>
      </c>
      <c r="JJ87">
        <v>40.150100000000002</v>
      </c>
      <c r="JK87">
        <v>29.999600000000001</v>
      </c>
      <c r="JL87">
        <v>40.343600000000002</v>
      </c>
      <c r="JM87">
        <v>40.329799999999999</v>
      </c>
      <c r="JN87">
        <v>20.0716</v>
      </c>
      <c r="JO87">
        <v>62.064599999999999</v>
      </c>
      <c r="JP87">
        <v>0</v>
      </c>
      <c r="JQ87">
        <v>24.9803</v>
      </c>
      <c r="JR87">
        <v>400</v>
      </c>
      <c r="JS87">
        <v>20.0105</v>
      </c>
      <c r="JT87">
        <v>98.217299999999994</v>
      </c>
      <c r="JU87">
        <v>96.006</v>
      </c>
    </row>
    <row r="88" spans="1:281" x14ac:dyDescent="0.25">
      <c r="A88">
        <v>72</v>
      </c>
      <c r="B88">
        <v>1691177915.5999999</v>
      </c>
      <c r="C88">
        <v>17004.099999904629</v>
      </c>
      <c r="D88" t="s">
        <v>784</v>
      </c>
      <c r="E88" t="s">
        <v>785</v>
      </c>
      <c r="F88" t="s">
        <v>413</v>
      </c>
      <c r="G88" t="s">
        <v>779</v>
      </c>
      <c r="H88" t="s">
        <v>780</v>
      </c>
      <c r="I88" t="s">
        <v>31</v>
      </c>
      <c r="J88">
        <v>1691177915.5999999</v>
      </c>
      <c r="K88">
        <f t="shared" si="92"/>
        <v>4.7810339838946642E-3</v>
      </c>
      <c r="L88">
        <f t="shared" si="93"/>
        <v>4.7810339838946643</v>
      </c>
      <c r="M88">
        <f t="shared" si="94"/>
        <v>32.419977584707915</v>
      </c>
      <c r="N88">
        <f t="shared" si="95"/>
        <v>259.661</v>
      </c>
      <c r="O88">
        <f t="shared" si="96"/>
        <v>68.45291756927277</v>
      </c>
      <c r="P88">
        <f t="shared" si="97"/>
        <v>6.7868548291849899</v>
      </c>
      <c r="Q88">
        <f t="shared" si="98"/>
        <v>25.744432441723401</v>
      </c>
      <c r="R88">
        <f t="shared" si="99"/>
        <v>0.29101351842663287</v>
      </c>
      <c r="S88">
        <f t="shared" si="100"/>
        <v>2.9110176759809501</v>
      </c>
      <c r="T88">
        <f t="shared" si="101"/>
        <v>0.2757631418310969</v>
      </c>
      <c r="U88">
        <f t="shared" si="102"/>
        <v>0.17365552260052225</v>
      </c>
      <c r="V88">
        <f t="shared" si="103"/>
        <v>344.3968999868008</v>
      </c>
      <c r="W88">
        <f t="shared" si="104"/>
        <v>31.056753570431784</v>
      </c>
      <c r="X88">
        <f t="shared" si="105"/>
        <v>30.000800000000002</v>
      </c>
      <c r="Y88">
        <f t="shared" si="106"/>
        <v>4.2606455497365427</v>
      </c>
      <c r="Z88">
        <f t="shared" si="107"/>
        <v>60.128308797125399</v>
      </c>
      <c r="AA88">
        <f t="shared" si="108"/>
        <v>2.6011830065145203</v>
      </c>
      <c r="AB88">
        <f t="shared" si="109"/>
        <v>4.326053831467279</v>
      </c>
      <c r="AC88">
        <f t="shared" si="110"/>
        <v>1.6594625432220225</v>
      </c>
      <c r="AD88">
        <f t="shared" si="111"/>
        <v>-210.84359868975469</v>
      </c>
      <c r="AE88">
        <f t="shared" si="112"/>
        <v>41.66724740355717</v>
      </c>
      <c r="AF88">
        <f t="shared" si="113"/>
        <v>3.1868621383390656</v>
      </c>
      <c r="AG88">
        <f t="shared" si="114"/>
        <v>178.40741083894233</v>
      </c>
      <c r="AH88">
        <v>0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51759.158591128107</v>
      </c>
      <c r="AM88" t="s">
        <v>414</v>
      </c>
      <c r="AN88">
        <v>10111.299999999999</v>
      </c>
      <c r="AO88">
        <v>608.58839999999998</v>
      </c>
      <c r="AP88">
        <v>2150.11</v>
      </c>
      <c r="AQ88">
        <f t="shared" si="118"/>
        <v>0.71695010952927984</v>
      </c>
      <c r="AR88">
        <v>-1.1786277417053079</v>
      </c>
      <c r="AS88" t="s">
        <v>786</v>
      </c>
      <c r="AT88">
        <v>8098.38</v>
      </c>
      <c r="AU88">
        <v>714.88779999999997</v>
      </c>
      <c r="AV88">
        <v>929.68467321673222</v>
      </c>
      <c r="AW88">
        <f t="shared" si="119"/>
        <v>0.23104271739097271</v>
      </c>
      <c r="AX88">
        <v>0.5</v>
      </c>
      <c r="AY88">
        <f t="shared" si="120"/>
        <v>1513.2803999934004</v>
      </c>
      <c r="AZ88">
        <f t="shared" si="121"/>
        <v>32.419977584707915</v>
      </c>
      <c r="BA88">
        <f t="shared" si="122"/>
        <v>174.81620789448667</v>
      </c>
      <c r="BB88">
        <f t="shared" si="123"/>
        <v>2.2202498179821631E-2</v>
      </c>
      <c r="BC88">
        <f t="shared" si="124"/>
        <v>1.3127303933715133</v>
      </c>
      <c r="BD88">
        <f t="shared" si="125"/>
        <v>443.71720096387656</v>
      </c>
      <c r="BE88" t="s">
        <v>787</v>
      </c>
      <c r="BF88">
        <v>519.23</v>
      </c>
      <c r="BG88">
        <f t="shared" si="126"/>
        <v>519.23</v>
      </c>
      <c r="BH88">
        <f t="shared" si="127"/>
        <v>0.44149880603769531</v>
      </c>
      <c r="BI88">
        <f t="shared" si="128"/>
        <v>0.52331447838897704</v>
      </c>
      <c r="BJ88">
        <f t="shared" si="129"/>
        <v>0.74832319164087346</v>
      </c>
      <c r="BK88">
        <f t="shared" si="130"/>
        <v>0.66894850900916414</v>
      </c>
      <c r="BL88">
        <f t="shared" si="131"/>
        <v>0.79170173598817417</v>
      </c>
      <c r="BM88">
        <f t="shared" si="132"/>
        <v>0.38008842312585078</v>
      </c>
      <c r="BN88">
        <f t="shared" si="133"/>
        <v>0.61991157687414922</v>
      </c>
      <c r="BO88">
        <v>7117</v>
      </c>
      <c r="BP88">
        <v>290.00000000000011</v>
      </c>
      <c r="BQ88">
        <v>869.54</v>
      </c>
      <c r="BR88">
        <v>295</v>
      </c>
      <c r="BS88">
        <v>8098.38</v>
      </c>
      <c r="BT88">
        <v>870.03</v>
      </c>
      <c r="BU88">
        <v>-0.49</v>
      </c>
      <c r="BV88">
        <v>300.00000000000011</v>
      </c>
      <c r="BW88">
        <v>19.2</v>
      </c>
      <c r="BX88">
        <v>929.68467321673222</v>
      </c>
      <c r="BY88">
        <v>2.8662712410470599</v>
      </c>
      <c r="BZ88">
        <v>-48.308840681665053</v>
      </c>
      <c r="CA88">
        <v>2.1330438047736249</v>
      </c>
      <c r="CB88">
        <v>0.9482367956548996</v>
      </c>
      <c r="CC88">
        <v>-4.1725615127919911E-3</v>
      </c>
      <c r="CD88">
        <v>289.99999999999989</v>
      </c>
      <c r="CE88">
        <v>870.35</v>
      </c>
      <c r="CF88">
        <v>795</v>
      </c>
      <c r="CG88">
        <v>8090.93</v>
      </c>
      <c r="CH88">
        <v>869.98</v>
      </c>
      <c r="CI88">
        <v>0.37</v>
      </c>
      <c r="CW88">
        <f t="shared" si="134"/>
        <v>1800.11</v>
      </c>
      <c r="CX88">
        <f t="shared" si="135"/>
        <v>1513.2803999934004</v>
      </c>
      <c r="CY88">
        <f t="shared" si="136"/>
        <v>0.84065995966546514</v>
      </c>
      <c r="CZ88">
        <f t="shared" si="137"/>
        <v>0.19131991933093023</v>
      </c>
      <c r="DA88">
        <v>6</v>
      </c>
      <c r="DB88">
        <v>0.5</v>
      </c>
      <c r="DC88" t="s">
        <v>417</v>
      </c>
      <c r="DD88">
        <v>2</v>
      </c>
      <c r="DE88">
        <v>1691177915.5999999</v>
      </c>
      <c r="DF88">
        <v>259.661</v>
      </c>
      <c r="DG88">
        <v>300.04300000000001</v>
      </c>
      <c r="DH88">
        <v>26.235800000000001</v>
      </c>
      <c r="DI88">
        <v>20.650700000000001</v>
      </c>
      <c r="DJ88">
        <v>257.23700000000002</v>
      </c>
      <c r="DK88">
        <v>26.116</v>
      </c>
      <c r="DL88">
        <v>500.14499999999998</v>
      </c>
      <c r="DM88">
        <v>99.046400000000006</v>
      </c>
      <c r="DN88">
        <v>9.9919400000000005E-2</v>
      </c>
      <c r="DO88">
        <v>30.266300000000001</v>
      </c>
      <c r="DP88">
        <v>30.000800000000002</v>
      </c>
      <c r="DQ88">
        <v>999.9</v>
      </c>
      <c r="DR88">
        <v>0</v>
      </c>
      <c r="DS88">
        <v>0</v>
      </c>
      <c r="DT88">
        <v>9990</v>
      </c>
      <c r="DU88">
        <v>0</v>
      </c>
      <c r="DV88">
        <v>597.46</v>
      </c>
      <c r="DW88">
        <v>-40.3825</v>
      </c>
      <c r="DX88">
        <v>266.65699999999998</v>
      </c>
      <c r="DY88">
        <v>306.37</v>
      </c>
      <c r="DZ88">
        <v>5.5851300000000004</v>
      </c>
      <c r="EA88">
        <v>300.04300000000001</v>
      </c>
      <c r="EB88">
        <v>20.650700000000001</v>
      </c>
      <c r="EC88">
        <v>2.59856</v>
      </c>
      <c r="ED88">
        <v>2.0453700000000001</v>
      </c>
      <c r="EE88">
        <v>21.657399999999999</v>
      </c>
      <c r="EF88">
        <v>17.8</v>
      </c>
      <c r="EG88">
        <v>1800.11</v>
      </c>
      <c r="EH88">
        <v>0.97799899999999995</v>
      </c>
      <c r="EI88">
        <v>2.2001E-2</v>
      </c>
      <c r="EJ88">
        <v>0</v>
      </c>
      <c r="EK88">
        <v>716</v>
      </c>
      <c r="EL88">
        <v>0.10001</v>
      </c>
      <c r="EM88">
        <v>15067.3</v>
      </c>
      <c r="EN88">
        <v>16354.5</v>
      </c>
      <c r="EO88">
        <v>48</v>
      </c>
      <c r="EP88">
        <v>49.811999999999998</v>
      </c>
      <c r="EQ88">
        <v>49.375</v>
      </c>
      <c r="ER88">
        <v>49.061999999999998</v>
      </c>
      <c r="ES88">
        <v>49.5</v>
      </c>
      <c r="ET88">
        <v>1760.41</v>
      </c>
      <c r="EU88">
        <v>39.6</v>
      </c>
      <c r="EV88">
        <v>0</v>
      </c>
      <c r="EW88">
        <v>101.5999999046326</v>
      </c>
      <c r="EX88">
        <v>0</v>
      </c>
      <c r="EY88">
        <v>714.88779999999997</v>
      </c>
      <c r="EZ88">
        <v>3.851923066706167</v>
      </c>
      <c r="FA88">
        <v>136.62307668817161</v>
      </c>
      <c r="FB88">
        <v>15173.896000000001</v>
      </c>
      <c r="FC88">
        <v>15</v>
      </c>
      <c r="FD88">
        <v>1691177888.5999999</v>
      </c>
      <c r="FE88" t="s">
        <v>788</v>
      </c>
      <c r="FF88">
        <v>1691177883.0999999</v>
      </c>
      <c r="FG88">
        <v>1691177888.5999999</v>
      </c>
      <c r="FH88">
        <v>81</v>
      </c>
      <c r="FI88">
        <v>0.183</v>
      </c>
      <c r="FJ88">
        <v>0</v>
      </c>
      <c r="FK88">
        <v>2.5219999999999998</v>
      </c>
      <c r="FL88">
        <v>1.7999999999999999E-2</v>
      </c>
      <c r="FM88">
        <v>300</v>
      </c>
      <c r="FN88">
        <v>20</v>
      </c>
      <c r="FO88">
        <v>0.12</v>
      </c>
      <c r="FP88">
        <v>0.03</v>
      </c>
      <c r="FQ88">
        <v>32.453215882446251</v>
      </c>
      <c r="FR88">
        <v>-0.62267985241787716</v>
      </c>
      <c r="FS88">
        <v>0.1096458246593149</v>
      </c>
      <c r="FT88">
        <v>1</v>
      </c>
      <c r="FU88">
        <v>0.28879363677001552</v>
      </c>
      <c r="FV88">
        <v>4.0871688856186042E-2</v>
      </c>
      <c r="FW88">
        <v>3.3285311205464982E-3</v>
      </c>
      <c r="FX88">
        <v>1</v>
      </c>
      <c r="FY88">
        <v>2</v>
      </c>
      <c r="FZ88">
        <v>2</v>
      </c>
      <c r="GA88" t="s">
        <v>419</v>
      </c>
      <c r="GB88">
        <v>2.8824700000000001</v>
      </c>
      <c r="GC88">
        <v>2.8210299999999999</v>
      </c>
      <c r="GD88">
        <v>6.0356E-2</v>
      </c>
      <c r="GE88">
        <v>6.9017200000000001E-2</v>
      </c>
      <c r="GF88">
        <v>0.12107800000000001</v>
      </c>
      <c r="GG88">
        <v>0.103084</v>
      </c>
      <c r="GH88">
        <v>28757.5</v>
      </c>
      <c r="GI88">
        <v>26570.5</v>
      </c>
      <c r="GJ88">
        <v>28180.7</v>
      </c>
      <c r="GK88">
        <v>26812</v>
      </c>
      <c r="GL88">
        <v>34956.5</v>
      </c>
      <c r="GM88">
        <v>33600.9</v>
      </c>
      <c r="GN88">
        <v>41458.699999999997</v>
      </c>
      <c r="GO88">
        <v>38808.1</v>
      </c>
      <c r="GP88">
        <v>1.9901</v>
      </c>
      <c r="GQ88">
        <v>1.6414</v>
      </c>
      <c r="GR88">
        <v>-1.5228999999999999E-2</v>
      </c>
      <c r="GS88">
        <v>0</v>
      </c>
      <c r="GT88">
        <v>30.2486</v>
      </c>
      <c r="GU88">
        <v>999.9</v>
      </c>
      <c r="GV88">
        <v>44.3</v>
      </c>
      <c r="GW88">
        <v>46</v>
      </c>
      <c r="GX88">
        <v>45.379399999999997</v>
      </c>
      <c r="GY88">
        <v>62.898800000000001</v>
      </c>
      <c r="GZ88">
        <v>28.762</v>
      </c>
      <c r="HA88">
        <v>1</v>
      </c>
      <c r="HB88">
        <v>1.0987800000000001</v>
      </c>
      <c r="HC88">
        <v>4.05593</v>
      </c>
      <c r="HD88">
        <v>20.196200000000001</v>
      </c>
      <c r="HE88">
        <v>5.2083000000000004</v>
      </c>
      <c r="HF88">
        <v>11.997999999999999</v>
      </c>
      <c r="HG88">
        <v>4.9875999999999996</v>
      </c>
      <c r="HH88">
        <v>3.2909999999999999</v>
      </c>
      <c r="HI88">
        <v>9999</v>
      </c>
      <c r="HJ88">
        <v>9999</v>
      </c>
      <c r="HK88">
        <v>9999</v>
      </c>
      <c r="HL88">
        <v>999.9</v>
      </c>
      <c r="HM88">
        <v>1.8667199999999999</v>
      </c>
      <c r="HN88">
        <v>1.86676</v>
      </c>
      <c r="HO88">
        <v>1.8632500000000001</v>
      </c>
      <c r="HP88">
        <v>1.8644700000000001</v>
      </c>
      <c r="HQ88">
        <v>1.8640099999999999</v>
      </c>
      <c r="HR88">
        <v>1.85989</v>
      </c>
      <c r="HS88">
        <v>1.8631</v>
      </c>
      <c r="HT88">
        <v>1.8658399999999999</v>
      </c>
      <c r="HU88">
        <v>5</v>
      </c>
      <c r="HV88">
        <v>0</v>
      </c>
      <c r="HW88">
        <v>0</v>
      </c>
      <c r="HX88">
        <v>0</v>
      </c>
      <c r="HY88" t="s">
        <v>420</v>
      </c>
      <c r="HZ88" t="s">
        <v>421</v>
      </c>
      <c r="IA88" t="s">
        <v>422</v>
      </c>
      <c r="IB88" t="s">
        <v>422</v>
      </c>
      <c r="IC88" t="s">
        <v>422</v>
      </c>
      <c r="ID88" t="s">
        <v>422</v>
      </c>
      <c r="IE88">
        <v>0</v>
      </c>
      <c r="IF88">
        <v>100</v>
      </c>
      <c r="IG88">
        <v>100</v>
      </c>
      <c r="IH88">
        <v>2.4239999999999999</v>
      </c>
      <c r="II88">
        <v>0.1198</v>
      </c>
      <c r="IJ88">
        <v>1.6460514342621511</v>
      </c>
      <c r="IK88">
        <v>3.5576830062418229E-3</v>
      </c>
      <c r="IL88">
        <v>-2.2646740813029151E-6</v>
      </c>
      <c r="IM88">
        <v>6.9609298295988525E-10</v>
      </c>
      <c r="IN88">
        <v>-0.1454796760652701</v>
      </c>
      <c r="IO88">
        <v>-9.4437069492282083E-4</v>
      </c>
      <c r="IP88">
        <v>5.2900373165634467E-4</v>
      </c>
      <c r="IQ88">
        <v>-3.977656803091445E-6</v>
      </c>
      <c r="IR88">
        <v>2</v>
      </c>
      <c r="IS88">
        <v>1759</v>
      </c>
      <c r="IT88">
        <v>2</v>
      </c>
      <c r="IU88">
        <v>42</v>
      </c>
      <c r="IV88">
        <v>0.5</v>
      </c>
      <c r="IW88">
        <v>0.5</v>
      </c>
      <c r="IX88">
        <v>0.78613299999999997</v>
      </c>
      <c r="IY88">
        <v>2.4401899999999999</v>
      </c>
      <c r="IZ88">
        <v>1.54297</v>
      </c>
      <c r="JA88">
        <v>2.2997999999999998</v>
      </c>
      <c r="JB88">
        <v>1.5466299999999999</v>
      </c>
      <c r="JC88">
        <v>2.36328</v>
      </c>
      <c r="JD88">
        <v>47.9955</v>
      </c>
      <c r="JE88">
        <v>24.078700000000001</v>
      </c>
      <c r="JF88">
        <v>18</v>
      </c>
      <c r="JG88">
        <v>533.85</v>
      </c>
      <c r="JH88">
        <v>407.04</v>
      </c>
      <c r="JI88">
        <v>25.476500000000001</v>
      </c>
      <c r="JJ88">
        <v>40.106499999999997</v>
      </c>
      <c r="JK88">
        <v>29.9999</v>
      </c>
      <c r="JL88">
        <v>40.391300000000001</v>
      </c>
      <c r="JM88">
        <v>40.373399999999997</v>
      </c>
      <c r="JN88">
        <v>15.8596</v>
      </c>
      <c r="JO88">
        <v>60.356000000000002</v>
      </c>
      <c r="JP88">
        <v>0</v>
      </c>
      <c r="JQ88">
        <v>25.473800000000001</v>
      </c>
      <c r="JR88">
        <v>300</v>
      </c>
      <c r="JS88">
        <v>20.552199999999999</v>
      </c>
      <c r="JT88">
        <v>98.231099999999998</v>
      </c>
      <c r="JU88">
        <v>96.014700000000005</v>
      </c>
    </row>
    <row r="89" spans="1:281" x14ac:dyDescent="0.25">
      <c r="A89">
        <v>73</v>
      </c>
      <c r="B89">
        <v>1691178036.0999999</v>
      </c>
      <c r="C89">
        <v>17124.599999904629</v>
      </c>
      <c r="D89" t="s">
        <v>789</v>
      </c>
      <c r="E89" t="s">
        <v>790</v>
      </c>
      <c r="F89" t="s">
        <v>413</v>
      </c>
      <c r="G89" t="s">
        <v>779</v>
      </c>
      <c r="H89" t="s">
        <v>780</v>
      </c>
      <c r="I89" t="s">
        <v>31</v>
      </c>
      <c r="J89">
        <v>1691178036.0999999</v>
      </c>
      <c r="K89">
        <f t="shared" si="92"/>
        <v>5.2569152482971034E-3</v>
      </c>
      <c r="L89">
        <f t="shared" si="93"/>
        <v>5.2569152482971031</v>
      </c>
      <c r="M89">
        <f t="shared" si="94"/>
        <v>22.785195100070609</v>
      </c>
      <c r="N89">
        <f t="shared" si="95"/>
        <v>171.667</v>
      </c>
      <c r="O89">
        <f t="shared" si="96"/>
        <v>50.828452406484594</v>
      </c>
      <c r="P89">
        <f t="shared" si="97"/>
        <v>5.0393414020446299</v>
      </c>
      <c r="Q89">
        <f t="shared" si="98"/>
        <v>17.019771004368199</v>
      </c>
      <c r="R89">
        <f t="shared" si="99"/>
        <v>0.32581397547650975</v>
      </c>
      <c r="S89">
        <f t="shared" si="100"/>
        <v>2.9166635126773057</v>
      </c>
      <c r="T89">
        <f t="shared" si="101"/>
        <v>0.30686033813281238</v>
      </c>
      <c r="U89">
        <f t="shared" si="102"/>
        <v>0.19339867479126274</v>
      </c>
      <c r="V89">
        <f t="shared" si="103"/>
        <v>344.37029998679981</v>
      </c>
      <c r="W89">
        <f t="shared" si="104"/>
        <v>30.95587612107774</v>
      </c>
      <c r="X89">
        <f t="shared" si="105"/>
        <v>30.006799999999998</v>
      </c>
      <c r="Y89">
        <f t="shared" si="106"/>
        <v>4.2621141295248082</v>
      </c>
      <c r="Z89">
        <f t="shared" si="107"/>
        <v>60.538053298623296</v>
      </c>
      <c r="AA89">
        <f t="shared" si="108"/>
        <v>2.6226193413419598</v>
      </c>
      <c r="AB89">
        <f t="shared" si="109"/>
        <v>4.3321831450460619</v>
      </c>
      <c r="AC89">
        <f t="shared" si="110"/>
        <v>1.6394947881828483</v>
      </c>
      <c r="AD89">
        <f t="shared" si="111"/>
        <v>-231.82996244990227</v>
      </c>
      <c r="AE89">
        <f t="shared" si="112"/>
        <v>44.688507008569736</v>
      </c>
      <c r="AF89">
        <f t="shared" si="113"/>
        <v>3.4118412081493998</v>
      </c>
      <c r="AG89">
        <f t="shared" si="114"/>
        <v>160.64068575361665</v>
      </c>
      <c r="AH89">
        <v>0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51915.349089636999</v>
      </c>
      <c r="AM89" t="s">
        <v>414</v>
      </c>
      <c r="AN89">
        <v>10111.299999999999</v>
      </c>
      <c r="AO89">
        <v>608.58839999999998</v>
      </c>
      <c r="AP89">
        <v>2150.11</v>
      </c>
      <c r="AQ89">
        <f t="shared" si="118"/>
        <v>0.71695010952927984</v>
      </c>
      <c r="AR89">
        <v>-1.1786277417053079</v>
      </c>
      <c r="AS89" t="s">
        <v>791</v>
      </c>
      <c r="AT89">
        <v>8098.16</v>
      </c>
      <c r="AU89">
        <v>725.73980769230775</v>
      </c>
      <c r="AV89">
        <v>878.24441619266565</v>
      </c>
      <c r="AW89">
        <f t="shared" si="119"/>
        <v>0.17364711427542068</v>
      </c>
      <c r="AX89">
        <v>0.5</v>
      </c>
      <c r="AY89">
        <f t="shared" si="120"/>
        <v>1513.1627999933999</v>
      </c>
      <c r="AZ89">
        <f t="shared" si="121"/>
        <v>22.785195100070609</v>
      </c>
      <c r="BA89">
        <f t="shared" si="122"/>
        <v>131.3781768238847</v>
      </c>
      <c r="BB89">
        <f t="shared" si="123"/>
        <v>1.5836909843329777E-2</v>
      </c>
      <c r="BC89">
        <f t="shared" si="124"/>
        <v>1.4481909140066971</v>
      </c>
      <c r="BD89">
        <f t="shared" si="125"/>
        <v>431.6504452870949</v>
      </c>
      <c r="BE89" t="s">
        <v>792</v>
      </c>
      <c r="BF89">
        <v>523.19000000000005</v>
      </c>
      <c r="BG89">
        <f t="shared" si="126"/>
        <v>523.19000000000005</v>
      </c>
      <c r="BH89">
        <f t="shared" si="127"/>
        <v>0.40427745357253175</v>
      </c>
      <c r="BI89">
        <f t="shared" si="128"/>
        <v>0.42952460677915716</v>
      </c>
      <c r="BJ89">
        <f t="shared" si="129"/>
        <v>0.78176283026045201</v>
      </c>
      <c r="BK89">
        <f t="shared" si="130"/>
        <v>0.56555240507371196</v>
      </c>
      <c r="BL89">
        <f t="shared" si="131"/>
        <v>0.82507152920032689</v>
      </c>
      <c r="BM89">
        <f t="shared" si="132"/>
        <v>0.30964675857502799</v>
      </c>
      <c r="BN89">
        <f t="shared" si="133"/>
        <v>0.69035324142497201</v>
      </c>
      <c r="BO89">
        <v>7119</v>
      </c>
      <c r="BP89">
        <v>290.00000000000011</v>
      </c>
      <c r="BQ89">
        <v>837.24</v>
      </c>
      <c r="BR89">
        <v>285</v>
      </c>
      <c r="BS89">
        <v>8098.16</v>
      </c>
      <c r="BT89">
        <v>838.48</v>
      </c>
      <c r="BU89">
        <v>-1.24</v>
      </c>
      <c r="BV89">
        <v>300.00000000000011</v>
      </c>
      <c r="BW89">
        <v>19.2</v>
      </c>
      <c r="BX89">
        <v>878.24441619266565</v>
      </c>
      <c r="BY89">
        <v>1.879724635131867</v>
      </c>
      <c r="BZ89">
        <v>-32.19917324308085</v>
      </c>
      <c r="CA89">
        <v>1.398833498027767</v>
      </c>
      <c r="CB89">
        <v>0.94980778491490547</v>
      </c>
      <c r="CC89">
        <v>-4.1724309232480548E-3</v>
      </c>
      <c r="CD89">
        <v>289.99999999999989</v>
      </c>
      <c r="CE89">
        <v>839.24</v>
      </c>
      <c r="CF89">
        <v>705</v>
      </c>
      <c r="CG89">
        <v>8092.15</v>
      </c>
      <c r="CH89">
        <v>838.45</v>
      </c>
      <c r="CI89">
        <v>0.79</v>
      </c>
      <c r="CW89">
        <f t="shared" si="134"/>
        <v>1799.97</v>
      </c>
      <c r="CX89">
        <f t="shared" si="135"/>
        <v>1513.1627999933999</v>
      </c>
      <c r="CY89">
        <f t="shared" si="136"/>
        <v>0.84066001099651655</v>
      </c>
      <c r="CZ89">
        <f t="shared" si="137"/>
        <v>0.19132002199303311</v>
      </c>
      <c r="DA89">
        <v>6</v>
      </c>
      <c r="DB89">
        <v>0.5</v>
      </c>
      <c r="DC89" t="s">
        <v>417</v>
      </c>
      <c r="DD89">
        <v>2</v>
      </c>
      <c r="DE89">
        <v>1691178036.0999999</v>
      </c>
      <c r="DF89">
        <v>171.667</v>
      </c>
      <c r="DG89">
        <v>200.08</v>
      </c>
      <c r="DH89">
        <v>26.4526</v>
      </c>
      <c r="DI89">
        <v>20.313800000000001</v>
      </c>
      <c r="DJ89">
        <v>169.61500000000001</v>
      </c>
      <c r="DK89">
        <v>26.322600000000001</v>
      </c>
      <c r="DL89">
        <v>500.214</v>
      </c>
      <c r="DM89">
        <v>99.044399999999996</v>
      </c>
      <c r="DN89">
        <v>9.9704600000000004E-2</v>
      </c>
      <c r="DO89">
        <v>30.291</v>
      </c>
      <c r="DP89">
        <v>30.006799999999998</v>
      </c>
      <c r="DQ89">
        <v>999.9</v>
      </c>
      <c r="DR89">
        <v>0</v>
      </c>
      <c r="DS89">
        <v>0</v>
      </c>
      <c r="DT89">
        <v>10022.5</v>
      </c>
      <c r="DU89">
        <v>0</v>
      </c>
      <c r="DV89">
        <v>385.036</v>
      </c>
      <c r="DW89">
        <v>-28.412500000000001</v>
      </c>
      <c r="DX89">
        <v>176.33199999999999</v>
      </c>
      <c r="DY89">
        <v>204.22900000000001</v>
      </c>
      <c r="DZ89">
        <v>6.1387499999999999</v>
      </c>
      <c r="EA89">
        <v>200.08</v>
      </c>
      <c r="EB89">
        <v>20.313800000000001</v>
      </c>
      <c r="EC89">
        <v>2.61998</v>
      </c>
      <c r="ED89">
        <v>2.0119699999999998</v>
      </c>
      <c r="EE89">
        <v>21.791699999999999</v>
      </c>
      <c r="EF89">
        <v>17.538900000000002</v>
      </c>
      <c r="EG89">
        <v>1799.97</v>
      </c>
      <c r="EH89">
        <v>0.97799899999999995</v>
      </c>
      <c r="EI89">
        <v>2.2001E-2</v>
      </c>
      <c r="EJ89">
        <v>0</v>
      </c>
      <c r="EK89">
        <v>724.995</v>
      </c>
      <c r="EL89">
        <v>0.10001</v>
      </c>
      <c r="EM89">
        <v>14609.5</v>
      </c>
      <c r="EN89">
        <v>16353.2</v>
      </c>
      <c r="EO89">
        <v>47.936999999999998</v>
      </c>
      <c r="EP89">
        <v>49.625</v>
      </c>
      <c r="EQ89">
        <v>49.25</v>
      </c>
      <c r="ER89">
        <v>48.875</v>
      </c>
      <c r="ES89">
        <v>49.436999999999998</v>
      </c>
      <c r="ET89">
        <v>1760.27</v>
      </c>
      <c r="EU89">
        <v>39.6</v>
      </c>
      <c r="EV89">
        <v>0</v>
      </c>
      <c r="EW89">
        <v>118.19999980926509</v>
      </c>
      <c r="EX89">
        <v>0</v>
      </c>
      <c r="EY89">
        <v>725.73980769230775</v>
      </c>
      <c r="EZ89">
        <v>7.0733333459087664</v>
      </c>
      <c r="FA89">
        <v>-30.129914503438869</v>
      </c>
      <c r="FB89">
        <v>14611.38846153846</v>
      </c>
      <c r="FC89">
        <v>15</v>
      </c>
      <c r="FD89">
        <v>1691177996.0999999</v>
      </c>
      <c r="FE89" t="s">
        <v>793</v>
      </c>
      <c r="FF89">
        <v>1691177982.0999999</v>
      </c>
      <c r="FG89">
        <v>1691177996.0999999</v>
      </c>
      <c r="FH89">
        <v>82</v>
      </c>
      <c r="FI89">
        <v>-0.13600000000000001</v>
      </c>
      <c r="FJ89">
        <v>6.0000000000000001E-3</v>
      </c>
      <c r="FK89">
        <v>2.1309999999999998</v>
      </c>
      <c r="FL89">
        <v>2.8000000000000001E-2</v>
      </c>
      <c r="FM89">
        <v>200</v>
      </c>
      <c r="FN89">
        <v>20</v>
      </c>
      <c r="FO89">
        <v>0.17</v>
      </c>
      <c r="FP89">
        <v>0.04</v>
      </c>
      <c r="FQ89">
        <v>22.599672485200429</v>
      </c>
      <c r="FR89">
        <v>0.1314909240047544</v>
      </c>
      <c r="FS89">
        <v>6.3375080410519605E-2</v>
      </c>
      <c r="FT89">
        <v>1</v>
      </c>
      <c r="FU89">
        <v>0.32457541758684</v>
      </c>
      <c r="FV89">
        <v>4.2592316523756543E-2</v>
      </c>
      <c r="FW89">
        <v>3.8225658588767518E-3</v>
      </c>
      <c r="FX89">
        <v>1</v>
      </c>
      <c r="FY89">
        <v>2</v>
      </c>
      <c r="FZ89">
        <v>2</v>
      </c>
      <c r="GA89" t="s">
        <v>419</v>
      </c>
      <c r="GB89">
        <v>2.8828399999999998</v>
      </c>
      <c r="GC89">
        <v>2.8210899999999999</v>
      </c>
      <c r="GD89">
        <v>4.1836999999999999E-2</v>
      </c>
      <c r="GE89">
        <v>4.8826700000000001E-2</v>
      </c>
      <c r="GF89">
        <v>0.12174599999999999</v>
      </c>
      <c r="GG89">
        <v>0.101906</v>
      </c>
      <c r="GH89">
        <v>29328.400000000001</v>
      </c>
      <c r="GI89">
        <v>27153.599999999999</v>
      </c>
      <c r="GJ89">
        <v>28185.4</v>
      </c>
      <c r="GK89">
        <v>26819.4</v>
      </c>
      <c r="GL89">
        <v>34935.5</v>
      </c>
      <c r="GM89">
        <v>33653.300000000003</v>
      </c>
      <c r="GN89">
        <v>41466</v>
      </c>
      <c r="GO89">
        <v>38818.5</v>
      </c>
      <c r="GP89">
        <v>1.9914000000000001</v>
      </c>
      <c r="GQ89">
        <v>1.6435999999999999</v>
      </c>
      <c r="GR89">
        <v>-1.4573300000000001E-2</v>
      </c>
      <c r="GS89">
        <v>0</v>
      </c>
      <c r="GT89">
        <v>30.2439</v>
      </c>
      <c r="GU89">
        <v>999.9</v>
      </c>
      <c r="GV89">
        <v>44.3</v>
      </c>
      <c r="GW89">
        <v>45.9</v>
      </c>
      <c r="GX89">
        <v>45.155299999999997</v>
      </c>
      <c r="GY89">
        <v>62.828800000000001</v>
      </c>
      <c r="GZ89">
        <v>29.182700000000001</v>
      </c>
      <c r="HA89">
        <v>1</v>
      </c>
      <c r="HB89">
        <v>1.0880799999999999</v>
      </c>
      <c r="HC89">
        <v>4.3047199999999997</v>
      </c>
      <c r="HD89">
        <v>20.1919</v>
      </c>
      <c r="HE89">
        <v>5.2095000000000002</v>
      </c>
      <c r="HF89">
        <v>11.997999999999999</v>
      </c>
      <c r="HG89">
        <v>4.9874000000000001</v>
      </c>
      <c r="HH89">
        <v>3.2909999999999999</v>
      </c>
      <c r="HI89">
        <v>9999</v>
      </c>
      <c r="HJ89">
        <v>9999</v>
      </c>
      <c r="HK89">
        <v>9999</v>
      </c>
      <c r="HL89">
        <v>999.9</v>
      </c>
      <c r="HM89">
        <v>1.86663</v>
      </c>
      <c r="HN89">
        <v>1.86676</v>
      </c>
      <c r="HO89">
        <v>1.8632500000000001</v>
      </c>
      <c r="HP89">
        <v>1.8644700000000001</v>
      </c>
      <c r="HQ89">
        <v>1.8640099999999999</v>
      </c>
      <c r="HR89">
        <v>1.8598399999999999</v>
      </c>
      <c r="HS89">
        <v>1.8630899999999999</v>
      </c>
      <c r="HT89">
        <v>1.8658399999999999</v>
      </c>
      <c r="HU89">
        <v>5</v>
      </c>
      <c r="HV89">
        <v>0</v>
      </c>
      <c r="HW89">
        <v>0</v>
      </c>
      <c r="HX89">
        <v>0</v>
      </c>
      <c r="HY89" t="s">
        <v>420</v>
      </c>
      <c r="HZ89" t="s">
        <v>421</v>
      </c>
      <c r="IA89" t="s">
        <v>422</v>
      </c>
      <c r="IB89" t="s">
        <v>422</v>
      </c>
      <c r="IC89" t="s">
        <v>422</v>
      </c>
      <c r="ID89" t="s">
        <v>422</v>
      </c>
      <c r="IE89">
        <v>0</v>
      </c>
      <c r="IF89">
        <v>100</v>
      </c>
      <c r="IG89">
        <v>100</v>
      </c>
      <c r="IH89">
        <v>2.052</v>
      </c>
      <c r="II89">
        <v>0.13</v>
      </c>
      <c r="IJ89">
        <v>1.5102518077375029</v>
      </c>
      <c r="IK89">
        <v>3.5576830062418229E-3</v>
      </c>
      <c r="IL89">
        <v>-2.2646740813029151E-6</v>
      </c>
      <c r="IM89">
        <v>6.9609298295988525E-10</v>
      </c>
      <c r="IN89">
        <v>-0.13918645483594469</v>
      </c>
      <c r="IO89">
        <v>-9.4437069492282083E-4</v>
      </c>
      <c r="IP89">
        <v>5.2900373165634467E-4</v>
      </c>
      <c r="IQ89">
        <v>-3.977656803091445E-6</v>
      </c>
      <c r="IR89">
        <v>2</v>
      </c>
      <c r="IS89">
        <v>1759</v>
      </c>
      <c r="IT89">
        <v>2</v>
      </c>
      <c r="IU89">
        <v>42</v>
      </c>
      <c r="IV89">
        <v>0.9</v>
      </c>
      <c r="IW89">
        <v>0.7</v>
      </c>
      <c r="IX89">
        <v>0.56762699999999999</v>
      </c>
      <c r="IY89">
        <v>2.4462899999999999</v>
      </c>
      <c r="IZ89">
        <v>1.54297</v>
      </c>
      <c r="JA89">
        <v>2.3010299999999999</v>
      </c>
      <c r="JB89">
        <v>1.5466299999999999</v>
      </c>
      <c r="JC89">
        <v>2.4133300000000002</v>
      </c>
      <c r="JD89">
        <v>47.874000000000002</v>
      </c>
      <c r="JE89">
        <v>24.07</v>
      </c>
      <c r="JF89">
        <v>18</v>
      </c>
      <c r="JG89">
        <v>534.46799999999996</v>
      </c>
      <c r="JH89">
        <v>408.23899999999998</v>
      </c>
      <c r="JI89">
        <v>25.2867</v>
      </c>
      <c r="JJ89">
        <v>39.996200000000002</v>
      </c>
      <c r="JK89">
        <v>30.000599999999999</v>
      </c>
      <c r="JL89">
        <v>40.359499999999997</v>
      </c>
      <c r="JM89">
        <v>40.337699999999998</v>
      </c>
      <c r="JN89">
        <v>11.478899999999999</v>
      </c>
      <c r="JO89">
        <v>61.138599999999997</v>
      </c>
      <c r="JP89">
        <v>0</v>
      </c>
      <c r="JQ89">
        <v>25.2637</v>
      </c>
      <c r="JR89">
        <v>200</v>
      </c>
      <c r="JS89">
        <v>20.286200000000001</v>
      </c>
      <c r="JT89">
        <v>98.248000000000005</v>
      </c>
      <c r="JU89">
        <v>96.040700000000001</v>
      </c>
    </row>
    <row r="90" spans="1:281" x14ac:dyDescent="0.25">
      <c r="A90">
        <v>74</v>
      </c>
      <c r="B90">
        <v>1691178213.5</v>
      </c>
      <c r="C90">
        <v>17302</v>
      </c>
      <c r="D90" t="s">
        <v>794</v>
      </c>
      <c r="E90" t="s">
        <v>795</v>
      </c>
      <c r="F90" t="s">
        <v>413</v>
      </c>
      <c r="G90" t="s">
        <v>779</v>
      </c>
      <c r="H90" t="s">
        <v>780</v>
      </c>
      <c r="I90" t="s">
        <v>31</v>
      </c>
      <c r="J90">
        <v>1691178213.5</v>
      </c>
      <c r="K90">
        <f t="shared" si="92"/>
        <v>6.0905560877423728E-3</v>
      </c>
      <c r="L90">
        <f t="shared" si="93"/>
        <v>6.0905560877423728</v>
      </c>
      <c r="M90">
        <f t="shared" si="94"/>
        <v>15.540047176352388</v>
      </c>
      <c r="N90">
        <f t="shared" si="95"/>
        <v>100.806</v>
      </c>
      <c r="O90">
        <f t="shared" si="96"/>
        <v>29.847517049205706</v>
      </c>
      <c r="P90">
        <f t="shared" si="97"/>
        <v>2.9589832987888949</v>
      </c>
      <c r="Q90">
        <f t="shared" si="98"/>
        <v>9.9935706519900016</v>
      </c>
      <c r="R90">
        <f t="shared" si="99"/>
        <v>0.38166298642916402</v>
      </c>
      <c r="S90">
        <f t="shared" si="100"/>
        <v>2.9134664637955638</v>
      </c>
      <c r="T90">
        <f t="shared" si="101"/>
        <v>0.35590369119167481</v>
      </c>
      <c r="U90">
        <f t="shared" si="102"/>
        <v>0.22460913481237949</v>
      </c>
      <c r="V90">
        <f t="shared" si="103"/>
        <v>344.36399998680292</v>
      </c>
      <c r="W90">
        <f t="shared" si="104"/>
        <v>30.833670238911061</v>
      </c>
      <c r="X90">
        <f t="shared" si="105"/>
        <v>30.038399999999999</v>
      </c>
      <c r="Y90">
        <f t="shared" si="106"/>
        <v>4.2698559319865188</v>
      </c>
      <c r="Z90">
        <f t="shared" si="107"/>
        <v>60.435260504647445</v>
      </c>
      <c r="AA90">
        <f t="shared" si="108"/>
        <v>2.6323956930780001</v>
      </c>
      <c r="AB90">
        <f t="shared" si="109"/>
        <v>4.3557282141202487</v>
      </c>
      <c r="AC90">
        <f t="shared" si="110"/>
        <v>1.6374602389085187</v>
      </c>
      <c r="AD90">
        <f t="shared" si="111"/>
        <v>-268.59352346943865</v>
      </c>
      <c r="AE90">
        <f t="shared" si="112"/>
        <v>54.534983147462178</v>
      </c>
      <c r="AF90">
        <f t="shared" si="113"/>
        <v>4.1707644699938093</v>
      </c>
      <c r="AG90">
        <f t="shared" si="114"/>
        <v>134.47622413482026</v>
      </c>
      <c r="AH90">
        <v>0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51808.139548116684</v>
      </c>
      <c r="AM90" t="s">
        <v>414</v>
      </c>
      <c r="AN90">
        <v>10111.299999999999</v>
      </c>
      <c r="AO90">
        <v>608.58839999999998</v>
      </c>
      <c r="AP90">
        <v>2150.11</v>
      </c>
      <c r="AQ90">
        <f t="shared" si="118"/>
        <v>0.71695010952927984</v>
      </c>
      <c r="AR90">
        <v>-1.1786277417053079</v>
      </c>
      <c r="AS90" t="s">
        <v>796</v>
      </c>
      <c r="AT90">
        <v>8099.64</v>
      </c>
      <c r="AU90">
        <v>737.24346153846159</v>
      </c>
      <c r="AV90">
        <v>840.46085064501028</v>
      </c>
      <c r="AW90">
        <f t="shared" si="119"/>
        <v>0.12281046645698568</v>
      </c>
      <c r="AX90">
        <v>0.5</v>
      </c>
      <c r="AY90">
        <f t="shared" si="120"/>
        <v>1513.1372999934015</v>
      </c>
      <c r="AZ90">
        <f t="shared" si="121"/>
        <v>15.540047176352388</v>
      </c>
      <c r="BA90">
        <f t="shared" si="122"/>
        <v>92.914548812826752</v>
      </c>
      <c r="BB90">
        <f t="shared" si="123"/>
        <v>1.1049013806037697E-2</v>
      </c>
      <c r="BC90">
        <f t="shared" si="124"/>
        <v>1.5582512241348323</v>
      </c>
      <c r="BD90">
        <f t="shared" si="125"/>
        <v>422.3191271177779</v>
      </c>
      <c r="BE90" t="s">
        <v>797</v>
      </c>
      <c r="BF90">
        <v>535.70000000000005</v>
      </c>
      <c r="BG90">
        <f t="shared" si="126"/>
        <v>535.70000000000005</v>
      </c>
      <c r="BH90">
        <f t="shared" si="127"/>
        <v>0.36261159625831707</v>
      </c>
      <c r="BI90">
        <f t="shared" si="128"/>
        <v>0.33868322945054963</v>
      </c>
      <c r="BJ90">
        <f t="shared" si="129"/>
        <v>0.81122462655396688</v>
      </c>
      <c r="BK90">
        <f t="shared" si="130"/>
        <v>0.44514727307803975</v>
      </c>
      <c r="BL90">
        <f t="shared" si="131"/>
        <v>0.84958209431187326</v>
      </c>
      <c r="BM90">
        <f t="shared" si="132"/>
        <v>0.24609591740298428</v>
      </c>
      <c r="BN90">
        <f t="shared" si="133"/>
        <v>0.75390408259701569</v>
      </c>
      <c r="BO90">
        <v>7121</v>
      </c>
      <c r="BP90">
        <v>290.00000000000011</v>
      </c>
      <c r="BQ90">
        <v>815.49</v>
      </c>
      <c r="BR90">
        <v>295</v>
      </c>
      <c r="BS90">
        <v>8099.64</v>
      </c>
      <c r="BT90">
        <v>816.43</v>
      </c>
      <c r="BU90">
        <v>-0.94</v>
      </c>
      <c r="BV90">
        <v>300.00000000000011</v>
      </c>
      <c r="BW90">
        <v>19.2</v>
      </c>
      <c r="BX90">
        <v>840.46085064501028</v>
      </c>
      <c r="BY90">
        <v>1.9410208960636059</v>
      </c>
      <c r="BZ90">
        <v>-19.464355216245281</v>
      </c>
      <c r="CA90">
        <v>1.4447224324444601</v>
      </c>
      <c r="CB90">
        <v>0.86635766835490191</v>
      </c>
      <c r="CC90">
        <v>-4.1729047830923226E-3</v>
      </c>
      <c r="CD90">
        <v>289.99999999999989</v>
      </c>
      <c r="CE90">
        <v>816.73</v>
      </c>
      <c r="CF90">
        <v>625</v>
      </c>
      <c r="CG90">
        <v>8095.27</v>
      </c>
      <c r="CH90">
        <v>816.42</v>
      </c>
      <c r="CI90">
        <v>0.31</v>
      </c>
      <c r="CW90">
        <f t="shared" si="134"/>
        <v>1799.94</v>
      </c>
      <c r="CX90">
        <f t="shared" si="135"/>
        <v>1513.1372999934015</v>
      </c>
      <c r="CY90">
        <f t="shared" si="136"/>
        <v>0.840659855324845</v>
      </c>
      <c r="CZ90">
        <f t="shared" si="137"/>
        <v>0.19131971064968994</v>
      </c>
      <c r="DA90">
        <v>6</v>
      </c>
      <c r="DB90">
        <v>0.5</v>
      </c>
      <c r="DC90" t="s">
        <v>417</v>
      </c>
      <c r="DD90">
        <v>2</v>
      </c>
      <c r="DE90">
        <v>1691178213.5</v>
      </c>
      <c r="DF90">
        <v>100.806</v>
      </c>
      <c r="DG90">
        <v>120.19</v>
      </c>
      <c r="DH90">
        <v>26.5532</v>
      </c>
      <c r="DI90">
        <v>19.4389</v>
      </c>
      <c r="DJ90">
        <v>98.9696</v>
      </c>
      <c r="DK90">
        <v>26.427399999999999</v>
      </c>
      <c r="DL90">
        <v>500.02100000000002</v>
      </c>
      <c r="DM90">
        <v>99.036500000000004</v>
      </c>
      <c r="DN90">
        <v>0.100165</v>
      </c>
      <c r="DO90">
        <v>30.3856</v>
      </c>
      <c r="DP90">
        <v>30.038399999999999</v>
      </c>
      <c r="DQ90">
        <v>999.9</v>
      </c>
      <c r="DR90">
        <v>0</v>
      </c>
      <c r="DS90">
        <v>0</v>
      </c>
      <c r="DT90">
        <v>10005</v>
      </c>
      <c r="DU90">
        <v>0</v>
      </c>
      <c r="DV90">
        <v>1326.95</v>
      </c>
      <c r="DW90">
        <v>-19.384</v>
      </c>
      <c r="DX90">
        <v>103.556</v>
      </c>
      <c r="DY90">
        <v>122.57299999999999</v>
      </c>
      <c r="DZ90">
        <v>7.1142700000000003</v>
      </c>
      <c r="EA90">
        <v>120.19</v>
      </c>
      <c r="EB90">
        <v>19.4389</v>
      </c>
      <c r="EC90">
        <v>2.6297299999999999</v>
      </c>
      <c r="ED90">
        <v>1.92516</v>
      </c>
      <c r="EE90">
        <v>21.852499999999999</v>
      </c>
      <c r="EF90">
        <v>16.841899999999999</v>
      </c>
      <c r="EG90">
        <v>1799.94</v>
      </c>
      <c r="EH90">
        <v>0.97800600000000004</v>
      </c>
      <c r="EI90">
        <v>2.1994E-2</v>
      </c>
      <c r="EJ90">
        <v>0</v>
      </c>
      <c r="EK90">
        <v>736.39499999999998</v>
      </c>
      <c r="EL90">
        <v>0.10001</v>
      </c>
      <c r="EM90">
        <v>17782.7</v>
      </c>
      <c r="EN90">
        <v>16353</v>
      </c>
      <c r="EO90">
        <v>47.811999999999998</v>
      </c>
      <c r="EP90">
        <v>49.561999999999998</v>
      </c>
      <c r="EQ90">
        <v>49.125</v>
      </c>
      <c r="ER90">
        <v>48.75</v>
      </c>
      <c r="ES90">
        <v>49.311999999999998</v>
      </c>
      <c r="ET90">
        <v>1760.25</v>
      </c>
      <c r="EU90">
        <v>39.590000000000003</v>
      </c>
      <c r="EV90">
        <v>0</v>
      </c>
      <c r="EW90">
        <v>175.19999980926511</v>
      </c>
      <c r="EX90">
        <v>0</v>
      </c>
      <c r="EY90">
        <v>737.24346153846159</v>
      </c>
      <c r="EZ90">
        <v>-1.5001709887718291</v>
      </c>
      <c r="FA90">
        <v>184.12307725671729</v>
      </c>
      <c r="FB90">
        <v>17774.099999999999</v>
      </c>
      <c r="FC90">
        <v>15</v>
      </c>
      <c r="FD90">
        <v>1691178106.5999999</v>
      </c>
      <c r="FE90" t="s">
        <v>798</v>
      </c>
      <c r="FF90">
        <v>1691178097.5999999</v>
      </c>
      <c r="FG90">
        <v>1691178106.5999999</v>
      </c>
      <c r="FH90">
        <v>83</v>
      </c>
      <c r="FI90">
        <v>-4.0000000000000001E-3</v>
      </c>
      <c r="FJ90">
        <v>-6.0000000000000001E-3</v>
      </c>
      <c r="FK90">
        <v>1.895</v>
      </c>
      <c r="FL90">
        <v>1.7000000000000001E-2</v>
      </c>
      <c r="FM90">
        <v>120</v>
      </c>
      <c r="FN90">
        <v>20</v>
      </c>
      <c r="FO90">
        <v>0.24</v>
      </c>
      <c r="FP90">
        <v>0.04</v>
      </c>
      <c r="FQ90">
        <v>15.31022762503977</v>
      </c>
      <c r="FR90">
        <v>0.67881959916514545</v>
      </c>
      <c r="FS90">
        <v>6.0962262272834168E-2</v>
      </c>
      <c r="FT90">
        <v>1</v>
      </c>
      <c r="FU90">
        <v>0.36548689332687623</v>
      </c>
      <c r="FV90">
        <v>3.769031690463355E-2</v>
      </c>
      <c r="FW90">
        <v>2.8162177371873378E-3</v>
      </c>
      <c r="FX90">
        <v>1</v>
      </c>
      <c r="FY90">
        <v>2</v>
      </c>
      <c r="FZ90">
        <v>2</v>
      </c>
      <c r="GA90" t="s">
        <v>419</v>
      </c>
      <c r="GB90">
        <v>2.8827799999999999</v>
      </c>
      <c r="GC90">
        <v>2.8214000000000001</v>
      </c>
      <c r="GD90">
        <v>2.5253000000000001E-2</v>
      </c>
      <c r="GE90">
        <v>3.05974E-2</v>
      </c>
      <c r="GF90">
        <v>0.122111</v>
      </c>
      <c r="GG90">
        <v>9.8818799999999998E-2</v>
      </c>
      <c r="GH90">
        <v>29845.5</v>
      </c>
      <c r="GI90">
        <v>27686.1</v>
      </c>
      <c r="GJ90">
        <v>28194.6</v>
      </c>
      <c r="GK90">
        <v>26831.4</v>
      </c>
      <c r="GL90">
        <v>34931.599999999999</v>
      </c>
      <c r="GM90">
        <v>33780.5</v>
      </c>
      <c r="GN90">
        <v>41479.800000000003</v>
      </c>
      <c r="GO90">
        <v>38833</v>
      </c>
      <c r="GP90">
        <v>1.9938</v>
      </c>
      <c r="GQ90">
        <v>1.6463000000000001</v>
      </c>
      <c r="GR90">
        <v>-2.53618E-2</v>
      </c>
      <c r="GS90">
        <v>0</v>
      </c>
      <c r="GT90">
        <v>30.451000000000001</v>
      </c>
      <c r="GU90">
        <v>999.9</v>
      </c>
      <c r="GV90">
        <v>44.4</v>
      </c>
      <c r="GW90">
        <v>45.7</v>
      </c>
      <c r="GX90">
        <v>44.793599999999998</v>
      </c>
      <c r="GY90">
        <v>62.888800000000003</v>
      </c>
      <c r="GZ90">
        <v>29.002400000000002</v>
      </c>
      <c r="HA90">
        <v>1</v>
      </c>
      <c r="HB90">
        <v>1.07213</v>
      </c>
      <c r="HC90">
        <v>4.9277600000000001</v>
      </c>
      <c r="HD90">
        <v>20.174700000000001</v>
      </c>
      <c r="HE90">
        <v>5.2065099999999997</v>
      </c>
      <c r="HF90">
        <v>11.997999999999999</v>
      </c>
      <c r="HG90">
        <v>4.9882</v>
      </c>
      <c r="HH90">
        <v>3.2909999999999999</v>
      </c>
      <c r="HI90">
        <v>9999</v>
      </c>
      <c r="HJ90">
        <v>9999</v>
      </c>
      <c r="HK90">
        <v>9999</v>
      </c>
      <c r="HL90">
        <v>999.9</v>
      </c>
      <c r="HM90">
        <v>1.86663</v>
      </c>
      <c r="HN90">
        <v>1.8667400000000001</v>
      </c>
      <c r="HO90">
        <v>1.8632500000000001</v>
      </c>
      <c r="HP90">
        <v>1.86443</v>
      </c>
      <c r="HQ90">
        <v>1.86399</v>
      </c>
      <c r="HR90">
        <v>1.8598399999999999</v>
      </c>
      <c r="HS90">
        <v>1.8629599999999999</v>
      </c>
      <c r="HT90">
        <v>1.8658399999999999</v>
      </c>
      <c r="HU90">
        <v>5</v>
      </c>
      <c r="HV90">
        <v>0</v>
      </c>
      <c r="HW90">
        <v>0</v>
      </c>
      <c r="HX90">
        <v>0</v>
      </c>
      <c r="HY90" t="s">
        <v>420</v>
      </c>
      <c r="HZ90" t="s">
        <v>421</v>
      </c>
      <c r="IA90" t="s">
        <v>422</v>
      </c>
      <c r="IB90" t="s">
        <v>422</v>
      </c>
      <c r="IC90" t="s">
        <v>422</v>
      </c>
      <c r="ID90" t="s">
        <v>422</v>
      </c>
      <c r="IE90">
        <v>0</v>
      </c>
      <c r="IF90">
        <v>100</v>
      </c>
      <c r="IG90">
        <v>100</v>
      </c>
      <c r="IH90">
        <v>1.8360000000000001</v>
      </c>
      <c r="II90">
        <v>0.1258</v>
      </c>
      <c r="IJ90">
        <v>1.5057184132144541</v>
      </c>
      <c r="IK90">
        <v>3.5576830062418229E-3</v>
      </c>
      <c r="IL90">
        <v>-2.2646740813029151E-6</v>
      </c>
      <c r="IM90">
        <v>6.9609298295988525E-10</v>
      </c>
      <c r="IN90">
        <v>-0.14531731412624041</v>
      </c>
      <c r="IO90">
        <v>-9.4437069492282083E-4</v>
      </c>
      <c r="IP90">
        <v>5.2900373165634467E-4</v>
      </c>
      <c r="IQ90">
        <v>-3.977656803091445E-6</v>
      </c>
      <c r="IR90">
        <v>2</v>
      </c>
      <c r="IS90">
        <v>1759</v>
      </c>
      <c r="IT90">
        <v>2</v>
      </c>
      <c r="IU90">
        <v>42</v>
      </c>
      <c r="IV90">
        <v>1.9</v>
      </c>
      <c r="IW90">
        <v>1.8</v>
      </c>
      <c r="IX90">
        <v>0.386963</v>
      </c>
      <c r="IY90">
        <v>2.4621599999999999</v>
      </c>
      <c r="IZ90">
        <v>1.54297</v>
      </c>
      <c r="JA90">
        <v>2.2997999999999998</v>
      </c>
      <c r="JB90">
        <v>1.5466299999999999</v>
      </c>
      <c r="JC90">
        <v>2.4291999999999998</v>
      </c>
      <c r="JD90">
        <v>47.662199999999999</v>
      </c>
      <c r="JE90">
        <v>24.07</v>
      </c>
      <c r="JF90">
        <v>18</v>
      </c>
      <c r="JG90">
        <v>534.97199999999998</v>
      </c>
      <c r="JH90">
        <v>409.125</v>
      </c>
      <c r="JI90">
        <v>24.712499999999999</v>
      </c>
      <c r="JJ90">
        <v>39.760300000000001</v>
      </c>
      <c r="JK90">
        <v>29.999600000000001</v>
      </c>
      <c r="JL90">
        <v>40.217100000000002</v>
      </c>
      <c r="JM90">
        <v>40.195700000000002</v>
      </c>
      <c r="JN90">
        <v>7.8540000000000001</v>
      </c>
      <c r="JO90">
        <v>62.417099999999998</v>
      </c>
      <c r="JP90">
        <v>0</v>
      </c>
      <c r="JQ90">
        <v>24.682500000000001</v>
      </c>
      <c r="JR90">
        <v>120</v>
      </c>
      <c r="JS90">
        <v>19.452000000000002</v>
      </c>
      <c r="JT90">
        <v>98.280600000000007</v>
      </c>
      <c r="JU90">
        <v>96.079499999999996</v>
      </c>
    </row>
    <row r="91" spans="1:281" x14ac:dyDescent="0.25">
      <c r="A91">
        <v>75</v>
      </c>
      <c r="B91">
        <v>1691178322.5</v>
      </c>
      <c r="C91">
        <v>17411</v>
      </c>
      <c r="D91" t="s">
        <v>799</v>
      </c>
      <c r="E91" t="s">
        <v>800</v>
      </c>
      <c r="F91" t="s">
        <v>413</v>
      </c>
      <c r="G91" t="s">
        <v>779</v>
      </c>
      <c r="H91" t="s">
        <v>780</v>
      </c>
      <c r="I91" t="s">
        <v>31</v>
      </c>
      <c r="J91">
        <v>1691178322.5</v>
      </c>
      <c r="K91">
        <f t="shared" si="92"/>
        <v>6.5380787753968337E-3</v>
      </c>
      <c r="L91">
        <f t="shared" si="93"/>
        <v>6.5380787753968335</v>
      </c>
      <c r="M91">
        <f t="shared" si="94"/>
        <v>9.556319308240603</v>
      </c>
      <c r="N91">
        <f t="shared" si="95"/>
        <v>58.12</v>
      </c>
      <c r="O91">
        <f t="shared" si="96"/>
        <v>17.883101305033883</v>
      </c>
      <c r="P91">
        <f t="shared" si="97"/>
        <v>1.772797988652477</v>
      </c>
      <c r="Q91">
        <f t="shared" si="98"/>
        <v>5.7615856077199998</v>
      </c>
      <c r="R91">
        <f t="shared" si="99"/>
        <v>0.41624309131302489</v>
      </c>
      <c r="S91">
        <f t="shared" si="100"/>
        <v>2.9133958215293081</v>
      </c>
      <c r="T91">
        <f t="shared" si="101"/>
        <v>0.38580339896877452</v>
      </c>
      <c r="U91">
        <f t="shared" si="102"/>
        <v>0.24367624638080349</v>
      </c>
      <c r="V91">
        <f t="shared" si="103"/>
        <v>344.37279998679651</v>
      </c>
      <c r="W91">
        <f t="shared" si="104"/>
        <v>30.600349191012846</v>
      </c>
      <c r="X91">
        <f t="shared" si="105"/>
        <v>29.999500000000001</v>
      </c>
      <c r="Y91">
        <f t="shared" si="106"/>
        <v>4.2603274155816138</v>
      </c>
      <c r="Z91">
        <f t="shared" si="107"/>
        <v>60.989227362581936</v>
      </c>
      <c r="AA91">
        <f t="shared" si="108"/>
        <v>2.6388200868970997</v>
      </c>
      <c r="AB91">
        <f t="shared" si="109"/>
        <v>4.3266986663222866</v>
      </c>
      <c r="AC91">
        <f t="shared" si="110"/>
        <v>1.6215073286845141</v>
      </c>
      <c r="AD91">
        <f t="shared" si="111"/>
        <v>-288.32927399500039</v>
      </c>
      <c r="AE91">
        <f t="shared" si="112"/>
        <v>42.313848595859199</v>
      </c>
      <c r="AF91">
        <f t="shared" si="113"/>
        <v>3.2336956225226485</v>
      </c>
      <c r="AG91">
        <f t="shared" si="114"/>
        <v>101.59107021017796</v>
      </c>
      <c r="AH91">
        <v>0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51825.982391728299</v>
      </c>
      <c r="AM91" t="s">
        <v>414</v>
      </c>
      <c r="AN91">
        <v>10111.299999999999</v>
      </c>
      <c r="AO91">
        <v>608.58839999999998</v>
      </c>
      <c r="AP91">
        <v>2150.11</v>
      </c>
      <c r="AQ91">
        <f t="shared" si="118"/>
        <v>0.71695010952927984</v>
      </c>
      <c r="AR91">
        <v>-1.1786277417053079</v>
      </c>
      <c r="AS91" t="s">
        <v>801</v>
      </c>
      <c r="AT91">
        <v>8099.27</v>
      </c>
      <c r="AU91">
        <v>746.00340000000006</v>
      </c>
      <c r="AV91">
        <v>824.74303858953874</v>
      </c>
      <c r="AW91">
        <f t="shared" si="119"/>
        <v>9.5471722591557562E-2</v>
      </c>
      <c r="AX91">
        <v>0.5</v>
      </c>
      <c r="AY91">
        <f t="shared" si="120"/>
        <v>1513.1714999933984</v>
      </c>
      <c r="AZ91">
        <f t="shared" si="121"/>
        <v>9.556319308240603</v>
      </c>
      <c r="BA91">
        <f t="shared" si="122"/>
        <v>72.232544840410384</v>
      </c>
      <c r="BB91">
        <f t="shared" si="123"/>
        <v>7.0943360022262805E-3</v>
      </c>
      <c r="BC91">
        <f t="shared" si="124"/>
        <v>1.6070059393009017</v>
      </c>
      <c r="BD91">
        <f t="shared" si="125"/>
        <v>418.31324366042179</v>
      </c>
      <c r="BE91" t="s">
        <v>802</v>
      </c>
      <c r="BF91">
        <v>556.03</v>
      </c>
      <c r="BG91">
        <f t="shared" si="126"/>
        <v>556.03</v>
      </c>
      <c r="BH91">
        <f t="shared" si="127"/>
        <v>0.32581425488487559</v>
      </c>
      <c r="BI91">
        <f t="shared" si="128"/>
        <v>0.29302500170010021</v>
      </c>
      <c r="BJ91">
        <f t="shared" si="129"/>
        <v>0.8314306442653201</v>
      </c>
      <c r="BK91">
        <f t="shared" si="130"/>
        <v>0.3642745726084522</v>
      </c>
      <c r="BL91">
        <f t="shared" si="131"/>
        <v>0.85977839130535794</v>
      </c>
      <c r="BM91">
        <f t="shared" si="132"/>
        <v>0.21840475753234731</v>
      </c>
      <c r="BN91">
        <f t="shared" si="133"/>
        <v>0.78159524246765266</v>
      </c>
      <c r="BO91">
        <v>7123</v>
      </c>
      <c r="BP91">
        <v>290.00000000000011</v>
      </c>
      <c r="BQ91">
        <v>805.52</v>
      </c>
      <c r="BR91">
        <v>295</v>
      </c>
      <c r="BS91">
        <v>8099.27</v>
      </c>
      <c r="BT91">
        <v>806.78</v>
      </c>
      <c r="BU91">
        <v>-1.26</v>
      </c>
      <c r="BV91">
        <v>300.00000000000011</v>
      </c>
      <c r="BW91">
        <v>19.2</v>
      </c>
      <c r="BX91">
        <v>824.74303858953874</v>
      </c>
      <c r="BY91">
        <v>2.3250410580274532</v>
      </c>
      <c r="BZ91">
        <v>-14.55225603989647</v>
      </c>
      <c r="CA91">
        <v>1.7304651755062881</v>
      </c>
      <c r="CB91">
        <v>0.71636610296939085</v>
      </c>
      <c r="CC91">
        <v>-4.1728627363737522E-3</v>
      </c>
      <c r="CD91">
        <v>289.99999999999989</v>
      </c>
      <c r="CE91">
        <v>806.71</v>
      </c>
      <c r="CF91">
        <v>615</v>
      </c>
      <c r="CG91">
        <v>8095.1</v>
      </c>
      <c r="CH91">
        <v>806.77</v>
      </c>
      <c r="CI91">
        <v>-0.06</v>
      </c>
      <c r="CW91">
        <f t="shared" si="134"/>
        <v>1799.98</v>
      </c>
      <c r="CX91">
        <f t="shared" si="135"/>
        <v>1513.1714999933984</v>
      </c>
      <c r="CY91">
        <f t="shared" si="136"/>
        <v>0.84066017399826576</v>
      </c>
      <c r="CZ91">
        <f t="shared" si="137"/>
        <v>0.19132034799653136</v>
      </c>
      <c r="DA91">
        <v>6</v>
      </c>
      <c r="DB91">
        <v>0.5</v>
      </c>
      <c r="DC91" t="s">
        <v>417</v>
      </c>
      <c r="DD91">
        <v>2</v>
      </c>
      <c r="DE91">
        <v>1691178322.5</v>
      </c>
      <c r="DF91">
        <v>58.12</v>
      </c>
      <c r="DG91">
        <v>70.040999999999997</v>
      </c>
      <c r="DH91">
        <v>26.6191</v>
      </c>
      <c r="DI91">
        <v>18.983899999999998</v>
      </c>
      <c r="DJ91">
        <v>56.431899999999999</v>
      </c>
      <c r="DK91">
        <v>26.487500000000001</v>
      </c>
      <c r="DL91">
        <v>500.108</v>
      </c>
      <c r="DM91">
        <v>99.032499999999999</v>
      </c>
      <c r="DN91">
        <v>0.100081</v>
      </c>
      <c r="DO91">
        <v>30.268899999999999</v>
      </c>
      <c r="DP91">
        <v>29.999500000000001</v>
      </c>
      <c r="DQ91">
        <v>999.9</v>
      </c>
      <c r="DR91">
        <v>0</v>
      </c>
      <c r="DS91">
        <v>0</v>
      </c>
      <c r="DT91">
        <v>10005</v>
      </c>
      <c r="DU91">
        <v>0</v>
      </c>
      <c r="DV91">
        <v>1327.65</v>
      </c>
      <c r="DW91">
        <v>-11.9209</v>
      </c>
      <c r="DX91">
        <v>59.709499999999998</v>
      </c>
      <c r="DY91">
        <v>71.3964</v>
      </c>
      <c r="DZ91">
        <v>7.6352099999999998</v>
      </c>
      <c r="EA91">
        <v>70.040999999999997</v>
      </c>
      <c r="EB91">
        <v>18.983899999999998</v>
      </c>
      <c r="EC91">
        <v>2.6361500000000002</v>
      </c>
      <c r="ED91">
        <v>1.88002</v>
      </c>
      <c r="EE91">
        <v>21.892499999999998</v>
      </c>
      <c r="EF91">
        <v>16.468499999999999</v>
      </c>
      <c r="EG91">
        <v>1799.98</v>
      </c>
      <c r="EH91">
        <v>0.97799199999999997</v>
      </c>
      <c r="EI91">
        <v>2.2008300000000001E-2</v>
      </c>
      <c r="EJ91">
        <v>0</v>
      </c>
      <c r="EK91">
        <v>745.7</v>
      </c>
      <c r="EL91">
        <v>0.10001</v>
      </c>
      <c r="EM91">
        <v>17892.2</v>
      </c>
      <c r="EN91">
        <v>16353.2</v>
      </c>
      <c r="EO91">
        <v>48.061999999999998</v>
      </c>
      <c r="EP91">
        <v>49.875</v>
      </c>
      <c r="EQ91">
        <v>49.311999999999998</v>
      </c>
      <c r="ER91">
        <v>49.25</v>
      </c>
      <c r="ES91">
        <v>49.561999999999998</v>
      </c>
      <c r="ET91">
        <v>1760.27</v>
      </c>
      <c r="EU91">
        <v>39.61</v>
      </c>
      <c r="EV91">
        <v>0</v>
      </c>
      <c r="EW91">
        <v>106.7999999523163</v>
      </c>
      <c r="EX91">
        <v>0</v>
      </c>
      <c r="EY91">
        <v>746.00340000000006</v>
      </c>
      <c r="EZ91">
        <v>0.72730780809517548</v>
      </c>
      <c r="FA91">
        <v>-58.430769409862982</v>
      </c>
      <c r="FB91">
        <v>17902.259999999998</v>
      </c>
      <c r="FC91">
        <v>15</v>
      </c>
      <c r="FD91">
        <v>1691178296</v>
      </c>
      <c r="FE91" t="s">
        <v>803</v>
      </c>
      <c r="FF91">
        <v>1691178288.5</v>
      </c>
      <c r="FG91">
        <v>1691178296</v>
      </c>
      <c r="FH91">
        <v>84</v>
      </c>
      <c r="FI91">
        <v>-1.0999999999999999E-2</v>
      </c>
      <c r="FJ91">
        <v>5.0000000000000001E-3</v>
      </c>
      <c r="FK91">
        <v>1.7270000000000001</v>
      </c>
      <c r="FL91">
        <v>8.0000000000000002E-3</v>
      </c>
      <c r="FM91">
        <v>70</v>
      </c>
      <c r="FN91">
        <v>19</v>
      </c>
      <c r="FO91">
        <v>0.39</v>
      </c>
      <c r="FP91">
        <v>0.03</v>
      </c>
      <c r="FQ91">
        <v>9.568916967753049</v>
      </c>
      <c r="FR91">
        <v>4.9654636892399698E-2</v>
      </c>
      <c r="FS91">
        <v>5.2146810429923439E-2</v>
      </c>
      <c r="FT91">
        <v>1</v>
      </c>
      <c r="FU91">
        <v>0.4135768069961715</v>
      </c>
      <c r="FV91">
        <v>4.2109364494037127E-2</v>
      </c>
      <c r="FW91">
        <v>4.892005092801386E-3</v>
      </c>
      <c r="FX91">
        <v>1</v>
      </c>
      <c r="FY91">
        <v>2</v>
      </c>
      <c r="FZ91">
        <v>2</v>
      </c>
      <c r="GA91" t="s">
        <v>419</v>
      </c>
      <c r="GB91">
        <v>2.8828900000000002</v>
      </c>
      <c r="GC91">
        <v>2.8213200000000001</v>
      </c>
      <c r="GD91">
        <v>1.4602E-2</v>
      </c>
      <c r="GE91">
        <v>1.8185199999999999E-2</v>
      </c>
      <c r="GF91">
        <v>0.122292</v>
      </c>
      <c r="GG91">
        <v>9.7169000000000005E-2</v>
      </c>
      <c r="GH91">
        <v>30168.1</v>
      </c>
      <c r="GI91">
        <v>28037.599999999999</v>
      </c>
      <c r="GJ91">
        <v>28192.6</v>
      </c>
      <c r="GK91">
        <v>26829.9</v>
      </c>
      <c r="GL91">
        <v>34922.1</v>
      </c>
      <c r="GM91">
        <v>33841.300000000003</v>
      </c>
      <c r="GN91">
        <v>41476.9</v>
      </c>
      <c r="GO91">
        <v>38832.300000000003</v>
      </c>
      <c r="GP91">
        <v>1.9933000000000001</v>
      </c>
      <c r="GQ91">
        <v>1.6455</v>
      </c>
      <c r="GR91">
        <v>-6.8128099999999997E-2</v>
      </c>
      <c r="GS91">
        <v>0</v>
      </c>
      <c r="GT91">
        <v>31.107199999999999</v>
      </c>
      <c r="GU91">
        <v>999.9</v>
      </c>
      <c r="GV91">
        <v>44.5</v>
      </c>
      <c r="GW91">
        <v>45.6</v>
      </c>
      <c r="GX91">
        <v>44.665599999999998</v>
      </c>
      <c r="GY91">
        <v>62.908900000000003</v>
      </c>
      <c r="GZ91">
        <v>29.198699999999999</v>
      </c>
      <c r="HA91">
        <v>1</v>
      </c>
      <c r="HB91">
        <v>1.08443</v>
      </c>
      <c r="HC91">
        <v>6.0316700000000001</v>
      </c>
      <c r="HD91">
        <v>20.141400000000001</v>
      </c>
      <c r="HE91">
        <v>5.2112999999999996</v>
      </c>
      <c r="HF91">
        <v>12.000999999999999</v>
      </c>
      <c r="HG91">
        <v>4.9884000000000004</v>
      </c>
      <c r="HH91">
        <v>3.2909999999999999</v>
      </c>
      <c r="HI91">
        <v>9999</v>
      </c>
      <c r="HJ91">
        <v>9999</v>
      </c>
      <c r="HK91">
        <v>9999</v>
      </c>
      <c r="HL91">
        <v>999.9</v>
      </c>
      <c r="HM91">
        <v>1.8666100000000001</v>
      </c>
      <c r="HN91">
        <v>1.8667400000000001</v>
      </c>
      <c r="HO91">
        <v>1.86324</v>
      </c>
      <c r="HP91">
        <v>1.86436</v>
      </c>
      <c r="HQ91">
        <v>1.8640099999999999</v>
      </c>
      <c r="HR91">
        <v>1.8598699999999999</v>
      </c>
      <c r="HS91">
        <v>1.8630100000000001</v>
      </c>
      <c r="HT91">
        <v>1.86582</v>
      </c>
      <c r="HU91">
        <v>5</v>
      </c>
      <c r="HV91">
        <v>0</v>
      </c>
      <c r="HW91">
        <v>0</v>
      </c>
      <c r="HX91">
        <v>0</v>
      </c>
      <c r="HY91" t="s">
        <v>420</v>
      </c>
      <c r="HZ91" t="s">
        <v>421</v>
      </c>
      <c r="IA91" t="s">
        <v>422</v>
      </c>
      <c r="IB91" t="s">
        <v>422</v>
      </c>
      <c r="IC91" t="s">
        <v>422</v>
      </c>
      <c r="ID91" t="s">
        <v>422</v>
      </c>
      <c r="IE91">
        <v>0</v>
      </c>
      <c r="IF91">
        <v>100</v>
      </c>
      <c r="IG91">
        <v>100</v>
      </c>
      <c r="IH91">
        <v>1.6879999999999999</v>
      </c>
      <c r="II91">
        <v>0.13159999999999999</v>
      </c>
      <c r="IJ91">
        <v>1.494477812607544</v>
      </c>
      <c r="IK91">
        <v>3.5576830062418229E-3</v>
      </c>
      <c r="IL91">
        <v>-2.2646740813029151E-6</v>
      </c>
      <c r="IM91">
        <v>6.9609298295988525E-10</v>
      </c>
      <c r="IN91">
        <v>-0.1405836893263907</v>
      </c>
      <c r="IO91">
        <v>-9.4437069492282083E-4</v>
      </c>
      <c r="IP91">
        <v>5.2900373165634467E-4</v>
      </c>
      <c r="IQ91">
        <v>-3.977656803091445E-6</v>
      </c>
      <c r="IR91">
        <v>2</v>
      </c>
      <c r="IS91">
        <v>1759</v>
      </c>
      <c r="IT91">
        <v>2</v>
      </c>
      <c r="IU91">
        <v>42</v>
      </c>
      <c r="IV91">
        <v>0.6</v>
      </c>
      <c r="IW91">
        <v>0.4</v>
      </c>
      <c r="IX91">
        <v>0.27343800000000001</v>
      </c>
      <c r="IY91">
        <v>2.48169</v>
      </c>
      <c r="IZ91">
        <v>1.54297</v>
      </c>
      <c r="JA91">
        <v>2.3010299999999999</v>
      </c>
      <c r="JB91">
        <v>1.5466299999999999</v>
      </c>
      <c r="JC91">
        <v>2.4218799999999998</v>
      </c>
      <c r="JD91">
        <v>47.601900000000001</v>
      </c>
      <c r="JE91">
        <v>24.052499999999998</v>
      </c>
      <c r="JF91">
        <v>18</v>
      </c>
      <c r="JG91">
        <v>534.79100000000005</v>
      </c>
      <c r="JH91">
        <v>408.75299999999999</v>
      </c>
      <c r="JI91">
        <v>23.724</v>
      </c>
      <c r="JJ91">
        <v>39.826799999999999</v>
      </c>
      <c r="JK91">
        <v>30.0002</v>
      </c>
      <c r="JL91">
        <v>40.236800000000002</v>
      </c>
      <c r="JM91">
        <v>40.219299999999997</v>
      </c>
      <c r="JN91">
        <v>5.5794899999999998</v>
      </c>
      <c r="JO91">
        <v>63.321199999999997</v>
      </c>
      <c r="JP91">
        <v>0</v>
      </c>
      <c r="JQ91">
        <v>23.733899999999998</v>
      </c>
      <c r="JR91">
        <v>70</v>
      </c>
      <c r="JS91">
        <v>18.845600000000001</v>
      </c>
      <c r="JT91">
        <v>98.273600000000002</v>
      </c>
      <c r="JU91">
        <v>96.0762</v>
      </c>
    </row>
    <row r="92" spans="1:281" x14ac:dyDescent="0.25">
      <c r="A92">
        <v>76</v>
      </c>
      <c r="B92">
        <v>1691178437.5</v>
      </c>
      <c r="C92">
        <v>17526</v>
      </c>
      <c r="D92" t="s">
        <v>804</v>
      </c>
      <c r="E92" t="s">
        <v>805</v>
      </c>
      <c r="F92" t="s">
        <v>413</v>
      </c>
      <c r="G92" t="s">
        <v>779</v>
      </c>
      <c r="H92" t="s">
        <v>780</v>
      </c>
      <c r="I92" t="s">
        <v>31</v>
      </c>
      <c r="J92">
        <v>1691178437.5</v>
      </c>
      <c r="K92">
        <f t="shared" si="92"/>
        <v>7.3155251249808415E-3</v>
      </c>
      <c r="L92">
        <f t="shared" si="93"/>
        <v>7.3155251249808417</v>
      </c>
      <c r="M92">
        <f t="shared" si="94"/>
        <v>4.1893744819421466</v>
      </c>
      <c r="N92">
        <f t="shared" si="95"/>
        <v>24.746600000000001</v>
      </c>
      <c r="O92">
        <f t="shared" si="96"/>
        <v>8.861004872052419</v>
      </c>
      <c r="P92">
        <f t="shared" si="97"/>
        <v>0.87843773386952517</v>
      </c>
      <c r="Q92">
        <f t="shared" si="98"/>
        <v>2.4532598208515006</v>
      </c>
      <c r="R92">
        <f t="shared" si="99"/>
        <v>0.46728868472994117</v>
      </c>
      <c r="S92">
        <f t="shared" si="100"/>
        <v>2.9130082007096387</v>
      </c>
      <c r="T92">
        <f t="shared" si="101"/>
        <v>0.42928571189655429</v>
      </c>
      <c r="U92">
        <f t="shared" si="102"/>
        <v>0.27145996647437276</v>
      </c>
      <c r="V92">
        <f t="shared" si="103"/>
        <v>344.35569998679591</v>
      </c>
      <c r="W92">
        <f t="shared" si="104"/>
        <v>30.38179685261974</v>
      </c>
      <c r="X92">
        <f t="shared" si="105"/>
        <v>29.985499999999998</v>
      </c>
      <c r="Y92">
        <f t="shared" si="106"/>
        <v>4.2569026671758685</v>
      </c>
      <c r="Z92">
        <f t="shared" si="107"/>
        <v>60.751544388588016</v>
      </c>
      <c r="AA92">
        <f t="shared" si="108"/>
        <v>2.6261714846570001</v>
      </c>
      <c r="AB92">
        <f t="shared" si="109"/>
        <v>4.3228061296007443</v>
      </c>
      <c r="AC92">
        <f t="shared" si="110"/>
        <v>1.6307311825188684</v>
      </c>
      <c r="AD92">
        <f t="shared" si="111"/>
        <v>-322.61465801165508</v>
      </c>
      <c r="AE92">
        <f t="shared" si="112"/>
        <v>42.041240465829581</v>
      </c>
      <c r="AF92">
        <f t="shared" si="113"/>
        <v>3.2128177461601481</v>
      </c>
      <c r="AG92">
        <f t="shared" si="114"/>
        <v>66.995100187130589</v>
      </c>
      <c r="AH92">
        <v>0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51817.710295692756</v>
      </c>
      <c r="AM92" t="s">
        <v>414</v>
      </c>
      <c r="AN92">
        <v>10111.299999999999</v>
      </c>
      <c r="AO92">
        <v>608.58839999999998</v>
      </c>
      <c r="AP92">
        <v>2150.11</v>
      </c>
      <c r="AQ92">
        <f t="shared" si="118"/>
        <v>0.71695010952927984</v>
      </c>
      <c r="AR92">
        <v>-1.1786277417053079</v>
      </c>
      <c r="AS92" t="s">
        <v>806</v>
      </c>
      <c r="AT92">
        <v>8098.68</v>
      </c>
      <c r="AU92">
        <v>753.87846153846135</v>
      </c>
      <c r="AV92">
        <v>808.94179475227793</v>
      </c>
      <c r="AW92">
        <f t="shared" si="119"/>
        <v>6.8068349998751887E-2</v>
      </c>
      <c r="AX92">
        <v>0.5</v>
      </c>
      <c r="AY92">
        <f t="shared" si="120"/>
        <v>1513.095899993398</v>
      </c>
      <c r="AZ92">
        <f t="shared" si="121"/>
        <v>4.1893744819421466</v>
      </c>
      <c r="BA92">
        <f t="shared" si="122"/>
        <v>51.496970651213552</v>
      </c>
      <c r="BB92">
        <f t="shared" si="123"/>
        <v>3.547694646235494E-3</v>
      </c>
      <c r="BC92">
        <f t="shared" si="124"/>
        <v>1.6579291785244299</v>
      </c>
      <c r="BD92">
        <f t="shared" si="125"/>
        <v>414.20953006095527</v>
      </c>
      <c r="BE92" t="s">
        <v>807</v>
      </c>
      <c r="BF92">
        <v>580.35</v>
      </c>
      <c r="BG92">
        <f t="shared" si="126"/>
        <v>580.35</v>
      </c>
      <c r="BH92">
        <f t="shared" si="127"/>
        <v>0.2825812638624754</v>
      </c>
      <c r="BI92">
        <f t="shared" si="128"/>
        <v>0.24088061985552905</v>
      </c>
      <c r="BJ92">
        <f t="shared" si="129"/>
        <v>0.85437787002326604</v>
      </c>
      <c r="BK92">
        <f t="shared" si="130"/>
        <v>0.27483104682053572</v>
      </c>
      <c r="BL92">
        <f t="shared" si="131"/>
        <v>0.87002881130418297</v>
      </c>
      <c r="BM92">
        <f t="shared" si="132"/>
        <v>0.18543448959646955</v>
      </c>
      <c r="BN92">
        <f t="shared" si="133"/>
        <v>0.81456551040353042</v>
      </c>
      <c r="BO92">
        <v>7125</v>
      </c>
      <c r="BP92">
        <v>290.00000000000011</v>
      </c>
      <c r="BQ92">
        <v>794.1</v>
      </c>
      <c r="BR92">
        <v>295</v>
      </c>
      <c r="BS92">
        <v>8098.68</v>
      </c>
      <c r="BT92">
        <v>792.95</v>
      </c>
      <c r="BU92">
        <v>1.1499999999999999</v>
      </c>
      <c r="BV92">
        <v>300.00000000000011</v>
      </c>
      <c r="BW92">
        <v>19.2</v>
      </c>
      <c r="BX92">
        <v>808.94179475227793</v>
      </c>
      <c r="BY92">
        <v>2.8837743345016862</v>
      </c>
      <c r="BZ92">
        <v>-12.948157216236689</v>
      </c>
      <c r="CA92">
        <v>2.146151993478866</v>
      </c>
      <c r="CB92">
        <v>0.56521376544651081</v>
      </c>
      <c r="CC92">
        <v>-4.1726691879866544E-3</v>
      </c>
      <c r="CD92">
        <v>289.99999999999989</v>
      </c>
      <c r="CE92">
        <v>792.81</v>
      </c>
      <c r="CF92">
        <v>675</v>
      </c>
      <c r="CG92">
        <v>8093.12</v>
      </c>
      <c r="CH92">
        <v>792.94</v>
      </c>
      <c r="CI92">
        <v>-0.13</v>
      </c>
      <c r="CW92">
        <f t="shared" si="134"/>
        <v>1799.89</v>
      </c>
      <c r="CX92">
        <f t="shared" si="135"/>
        <v>1513.095899993398</v>
      </c>
      <c r="CY92">
        <f t="shared" si="136"/>
        <v>0.8406602070089827</v>
      </c>
      <c r="CZ92">
        <f t="shared" si="137"/>
        <v>0.19132041401796548</v>
      </c>
      <c r="DA92">
        <v>6</v>
      </c>
      <c r="DB92">
        <v>0.5</v>
      </c>
      <c r="DC92" t="s">
        <v>417</v>
      </c>
      <c r="DD92">
        <v>2</v>
      </c>
      <c r="DE92">
        <v>1691178437.5</v>
      </c>
      <c r="DF92">
        <v>24.746600000000001</v>
      </c>
      <c r="DG92">
        <v>29.99</v>
      </c>
      <c r="DH92">
        <v>26.4908</v>
      </c>
      <c r="DI92">
        <v>17.9465</v>
      </c>
      <c r="DJ92">
        <v>23.0244</v>
      </c>
      <c r="DK92">
        <v>26.3614</v>
      </c>
      <c r="DL92">
        <v>500.10399999999998</v>
      </c>
      <c r="DM92">
        <v>99.035300000000007</v>
      </c>
      <c r="DN92">
        <v>9.9927500000000002E-2</v>
      </c>
      <c r="DO92">
        <v>30.2532</v>
      </c>
      <c r="DP92">
        <v>29.985499999999998</v>
      </c>
      <c r="DQ92">
        <v>999.9</v>
      </c>
      <c r="DR92">
        <v>0</v>
      </c>
      <c r="DS92">
        <v>0</v>
      </c>
      <c r="DT92">
        <v>10002.5</v>
      </c>
      <c r="DU92">
        <v>0</v>
      </c>
      <c r="DV92">
        <v>1329.32</v>
      </c>
      <c r="DW92">
        <v>-5.2433500000000004</v>
      </c>
      <c r="DX92">
        <v>25.42</v>
      </c>
      <c r="DY92">
        <v>30.538</v>
      </c>
      <c r="DZ92">
        <v>8.5443200000000008</v>
      </c>
      <c r="EA92">
        <v>29.99</v>
      </c>
      <c r="EB92">
        <v>17.9465</v>
      </c>
      <c r="EC92">
        <v>2.6235200000000001</v>
      </c>
      <c r="ED92">
        <v>1.7773300000000001</v>
      </c>
      <c r="EE92">
        <v>21.813800000000001</v>
      </c>
      <c r="EF92">
        <v>15.588900000000001</v>
      </c>
      <c r="EG92">
        <v>1799.89</v>
      </c>
      <c r="EH92">
        <v>0.97799199999999997</v>
      </c>
      <c r="EI92">
        <v>2.2008300000000001E-2</v>
      </c>
      <c r="EJ92">
        <v>0</v>
      </c>
      <c r="EK92">
        <v>753.76</v>
      </c>
      <c r="EL92">
        <v>0.10001</v>
      </c>
      <c r="EM92">
        <v>18003</v>
      </c>
      <c r="EN92">
        <v>16352.4</v>
      </c>
      <c r="EO92">
        <v>48.25</v>
      </c>
      <c r="EP92">
        <v>50.061999999999998</v>
      </c>
      <c r="EQ92">
        <v>49.5</v>
      </c>
      <c r="ER92">
        <v>49.686999999999998</v>
      </c>
      <c r="ES92">
        <v>49.811999999999998</v>
      </c>
      <c r="ET92">
        <v>1760.18</v>
      </c>
      <c r="EU92">
        <v>39.61</v>
      </c>
      <c r="EV92">
        <v>0</v>
      </c>
      <c r="EW92">
        <v>113</v>
      </c>
      <c r="EX92">
        <v>0</v>
      </c>
      <c r="EY92">
        <v>753.87846153846135</v>
      </c>
      <c r="EZ92">
        <v>-3.458119619412134</v>
      </c>
      <c r="FA92">
        <v>-70.704273565184607</v>
      </c>
      <c r="FB92">
        <v>18006.50384615385</v>
      </c>
      <c r="FC92">
        <v>15</v>
      </c>
      <c r="FD92">
        <v>1691178411</v>
      </c>
      <c r="FE92" t="s">
        <v>808</v>
      </c>
      <c r="FF92">
        <v>1691178396.5</v>
      </c>
      <c r="FG92">
        <v>1691178411</v>
      </c>
      <c r="FH92">
        <v>85</v>
      </c>
      <c r="FI92">
        <v>0.14699999999999999</v>
      </c>
      <c r="FJ92">
        <v>0</v>
      </c>
      <c r="FK92">
        <v>1.74</v>
      </c>
      <c r="FL92">
        <v>-7.0000000000000001E-3</v>
      </c>
      <c r="FM92">
        <v>30</v>
      </c>
      <c r="FN92">
        <v>18</v>
      </c>
      <c r="FO92">
        <v>0.76</v>
      </c>
      <c r="FP92">
        <v>0.02</v>
      </c>
      <c r="FQ92">
        <v>4.2440029500152816</v>
      </c>
      <c r="FR92">
        <v>-0.34633567249838798</v>
      </c>
      <c r="FS92">
        <v>6.7770405813671095E-2</v>
      </c>
      <c r="FT92">
        <v>1</v>
      </c>
      <c r="FU92">
        <v>0.46573774840892518</v>
      </c>
      <c r="FV92">
        <v>3.5294257878328142E-2</v>
      </c>
      <c r="FW92">
        <v>3.0203145746661498E-3</v>
      </c>
      <c r="FX92">
        <v>1</v>
      </c>
      <c r="FY92">
        <v>2</v>
      </c>
      <c r="FZ92">
        <v>2</v>
      </c>
      <c r="GA92" t="s">
        <v>419</v>
      </c>
      <c r="GB92">
        <v>2.88253</v>
      </c>
      <c r="GC92">
        <v>2.8211400000000002</v>
      </c>
      <c r="GD92">
        <v>5.9931799999999999E-3</v>
      </c>
      <c r="GE92">
        <v>7.8595899999999996E-3</v>
      </c>
      <c r="GF92">
        <v>0.121861</v>
      </c>
      <c r="GG92">
        <v>9.3346899999999997E-2</v>
      </c>
      <c r="GH92">
        <v>30421</v>
      </c>
      <c r="GI92">
        <v>28321.3</v>
      </c>
      <c r="GJ92">
        <v>28184.3</v>
      </c>
      <c r="GK92">
        <v>26821.200000000001</v>
      </c>
      <c r="GL92">
        <v>34929.199999999997</v>
      </c>
      <c r="GM92">
        <v>33973.699999999997</v>
      </c>
      <c r="GN92">
        <v>41464.199999999997</v>
      </c>
      <c r="GO92">
        <v>38820.5</v>
      </c>
      <c r="GP92">
        <v>1.9936</v>
      </c>
      <c r="GQ92">
        <v>1.6426000000000001</v>
      </c>
      <c r="GR92">
        <v>-8.5800899999999999E-2</v>
      </c>
      <c r="GS92">
        <v>0</v>
      </c>
      <c r="GT92">
        <v>31.380199999999999</v>
      </c>
      <c r="GU92">
        <v>999.9</v>
      </c>
      <c r="GV92">
        <v>44.6</v>
      </c>
      <c r="GW92">
        <v>45.5</v>
      </c>
      <c r="GX92">
        <v>44.540599999999998</v>
      </c>
      <c r="GY92">
        <v>62.748899999999999</v>
      </c>
      <c r="GZ92">
        <v>29.214700000000001</v>
      </c>
      <c r="HA92">
        <v>1</v>
      </c>
      <c r="HB92">
        <v>1.0983700000000001</v>
      </c>
      <c r="HC92">
        <v>5.5613200000000003</v>
      </c>
      <c r="HD92">
        <v>20.1572</v>
      </c>
      <c r="HE92">
        <v>5.2095000000000002</v>
      </c>
      <c r="HF92">
        <v>12.000999999999999</v>
      </c>
      <c r="HG92">
        <v>4.9875999999999996</v>
      </c>
      <c r="HH92">
        <v>3.2909999999999999</v>
      </c>
      <c r="HI92">
        <v>9999</v>
      </c>
      <c r="HJ92">
        <v>9999</v>
      </c>
      <c r="HK92">
        <v>9999</v>
      </c>
      <c r="HL92">
        <v>999.9</v>
      </c>
      <c r="HM92">
        <v>1.8666100000000001</v>
      </c>
      <c r="HN92">
        <v>1.8667199999999999</v>
      </c>
      <c r="HO92">
        <v>1.86324</v>
      </c>
      <c r="HP92">
        <v>1.86443</v>
      </c>
      <c r="HQ92">
        <v>1.8640099999999999</v>
      </c>
      <c r="HR92">
        <v>1.8598600000000001</v>
      </c>
      <c r="HS92">
        <v>1.8629800000000001</v>
      </c>
      <c r="HT92">
        <v>1.8658399999999999</v>
      </c>
      <c r="HU92">
        <v>5</v>
      </c>
      <c r="HV92">
        <v>0</v>
      </c>
      <c r="HW92">
        <v>0</v>
      </c>
      <c r="HX92">
        <v>0</v>
      </c>
      <c r="HY92" t="s">
        <v>420</v>
      </c>
      <c r="HZ92" t="s">
        <v>421</v>
      </c>
      <c r="IA92" t="s">
        <v>422</v>
      </c>
      <c r="IB92" t="s">
        <v>422</v>
      </c>
      <c r="IC92" t="s">
        <v>422</v>
      </c>
      <c r="ID92" t="s">
        <v>422</v>
      </c>
      <c r="IE92">
        <v>0</v>
      </c>
      <c r="IF92">
        <v>100</v>
      </c>
      <c r="IG92">
        <v>100</v>
      </c>
      <c r="IH92">
        <v>1.722</v>
      </c>
      <c r="II92">
        <v>0.12939999999999999</v>
      </c>
      <c r="IJ92">
        <v>1.6415528004535751</v>
      </c>
      <c r="IK92">
        <v>3.5576830062418229E-3</v>
      </c>
      <c r="IL92">
        <v>-2.2646740813029151E-6</v>
      </c>
      <c r="IM92">
        <v>6.9609298295988525E-10</v>
      </c>
      <c r="IN92">
        <v>-0.14048319239645871</v>
      </c>
      <c r="IO92">
        <v>-9.4437069492282083E-4</v>
      </c>
      <c r="IP92">
        <v>5.2900373165634467E-4</v>
      </c>
      <c r="IQ92">
        <v>-3.977656803091445E-6</v>
      </c>
      <c r="IR92">
        <v>2</v>
      </c>
      <c r="IS92">
        <v>1759</v>
      </c>
      <c r="IT92">
        <v>2</v>
      </c>
      <c r="IU92">
        <v>42</v>
      </c>
      <c r="IV92">
        <v>0.7</v>
      </c>
      <c r="IW92">
        <v>0.4</v>
      </c>
      <c r="IX92">
        <v>0.18432599999999999</v>
      </c>
      <c r="IY92">
        <v>2.50122</v>
      </c>
      <c r="IZ92">
        <v>1.54297</v>
      </c>
      <c r="JA92">
        <v>2.3010299999999999</v>
      </c>
      <c r="JB92">
        <v>1.5466299999999999</v>
      </c>
      <c r="JC92">
        <v>2.4157700000000002</v>
      </c>
      <c r="JD92">
        <v>47.601900000000001</v>
      </c>
      <c r="JE92">
        <v>24.061199999999999</v>
      </c>
      <c r="JF92">
        <v>18</v>
      </c>
      <c r="JG92">
        <v>535.89599999999996</v>
      </c>
      <c r="JH92">
        <v>407.59800000000001</v>
      </c>
      <c r="JI92">
        <v>24.176400000000001</v>
      </c>
      <c r="JJ92">
        <v>40.023400000000002</v>
      </c>
      <c r="JK92">
        <v>30.000900000000001</v>
      </c>
      <c r="JL92">
        <v>40.355499999999999</v>
      </c>
      <c r="JM92">
        <v>40.337699999999998</v>
      </c>
      <c r="JN92">
        <v>3.7799700000000001</v>
      </c>
      <c r="JO92">
        <v>65.123699999999999</v>
      </c>
      <c r="JP92">
        <v>0</v>
      </c>
      <c r="JQ92">
        <v>24.172499999999999</v>
      </c>
      <c r="JR92">
        <v>30</v>
      </c>
      <c r="JS92">
        <v>17.850899999999999</v>
      </c>
      <c r="JT92">
        <v>98.244100000000003</v>
      </c>
      <c r="JU92">
        <v>96.046199999999999</v>
      </c>
    </row>
    <row r="93" spans="1:281" x14ac:dyDescent="0.25">
      <c r="A93">
        <v>77</v>
      </c>
      <c r="B93">
        <v>1691178557</v>
      </c>
      <c r="C93">
        <v>17645.5</v>
      </c>
      <c r="D93" t="s">
        <v>809</v>
      </c>
      <c r="E93" t="s">
        <v>810</v>
      </c>
      <c r="F93" t="s">
        <v>413</v>
      </c>
      <c r="G93" t="s">
        <v>779</v>
      </c>
      <c r="H93" t="s">
        <v>780</v>
      </c>
      <c r="I93" t="s">
        <v>31</v>
      </c>
      <c r="J93">
        <v>1691178557</v>
      </c>
      <c r="K93">
        <f t="shared" si="92"/>
        <v>7.7641310833466374E-3</v>
      </c>
      <c r="L93">
        <f t="shared" si="93"/>
        <v>7.764131083346637</v>
      </c>
      <c r="M93">
        <f t="shared" si="94"/>
        <v>1.7150439414109258</v>
      </c>
      <c r="N93">
        <f t="shared" si="95"/>
        <v>10.606400000000001</v>
      </c>
      <c r="O93">
        <f t="shared" si="96"/>
        <v>4.4579890189782567</v>
      </c>
      <c r="P93">
        <f t="shared" si="97"/>
        <v>0.44197108083260317</v>
      </c>
      <c r="Q93">
        <f t="shared" si="98"/>
        <v>1.0515328888848001</v>
      </c>
      <c r="R93">
        <f t="shared" si="99"/>
        <v>0.4988866858122693</v>
      </c>
      <c r="S93">
        <f t="shared" si="100"/>
        <v>2.9135494660135373</v>
      </c>
      <c r="T93">
        <f t="shared" si="101"/>
        <v>0.45583117142780721</v>
      </c>
      <c r="U93">
        <f t="shared" si="102"/>
        <v>0.28845255992193586</v>
      </c>
      <c r="V93">
        <f t="shared" si="103"/>
        <v>344.36899998679638</v>
      </c>
      <c r="W93">
        <f t="shared" si="104"/>
        <v>30.336454669199188</v>
      </c>
      <c r="X93">
        <f t="shared" si="105"/>
        <v>30.0228</v>
      </c>
      <c r="Y93">
        <f t="shared" si="106"/>
        <v>4.2660324992320993</v>
      </c>
      <c r="Z93">
        <f t="shared" si="107"/>
        <v>60.732600252061573</v>
      </c>
      <c r="AA93">
        <f t="shared" si="108"/>
        <v>2.6361488543586002</v>
      </c>
      <c r="AB93">
        <f t="shared" si="109"/>
        <v>4.340582888625975</v>
      </c>
      <c r="AC93">
        <f t="shared" si="110"/>
        <v>1.629883644873499</v>
      </c>
      <c r="AD93">
        <f t="shared" si="111"/>
        <v>-342.3981807755867</v>
      </c>
      <c r="AE93">
        <f t="shared" si="112"/>
        <v>47.436734201139927</v>
      </c>
      <c r="AF93">
        <f t="shared" si="113"/>
        <v>3.6264250301180336</v>
      </c>
      <c r="AG93">
        <f t="shared" si="114"/>
        <v>53.033978442467628</v>
      </c>
      <c r="AH93">
        <v>0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51820.983405666841</v>
      </c>
      <c r="AM93" t="s">
        <v>414</v>
      </c>
      <c r="AN93">
        <v>10111.299999999999</v>
      </c>
      <c r="AO93">
        <v>608.58839999999998</v>
      </c>
      <c r="AP93">
        <v>2150.11</v>
      </c>
      <c r="AQ93">
        <f t="shared" si="118"/>
        <v>0.71695010952927984</v>
      </c>
      <c r="AR93">
        <v>-1.1786277417053079</v>
      </c>
      <c r="AS93" t="s">
        <v>811</v>
      </c>
      <c r="AT93">
        <v>8100.25</v>
      </c>
      <c r="AU93">
        <v>754.51779999999997</v>
      </c>
      <c r="AV93">
        <v>802.71027360474886</v>
      </c>
      <c r="AW93">
        <f t="shared" si="119"/>
        <v>6.0037195473193417E-2</v>
      </c>
      <c r="AX93">
        <v>0.5</v>
      </c>
      <c r="AY93">
        <f t="shared" si="120"/>
        <v>1513.1546999933983</v>
      </c>
      <c r="AZ93">
        <f t="shared" si="121"/>
        <v>1.7150439414109258</v>
      </c>
      <c r="BA93">
        <f t="shared" si="122"/>
        <v>45.422782252342493</v>
      </c>
      <c r="BB93">
        <f t="shared" si="123"/>
        <v>1.9123435846505705E-3</v>
      </c>
      <c r="BC93">
        <f t="shared" si="124"/>
        <v>1.6785629519159551</v>
      </c>
      <c r="BD93">
        <f t="shared" si="125"/>
        <v>412.56956253269396</v>
      </c>
      <c r="BE93" t="s">
        <v>812</v>
      </c>
      <c r="BF93">
        <v>592.30999999999995</v>
      </c>
      <c r="BG93">
        <f t="shared" si="126"/>
        <v>592.30999999999995</v>
      </c>
      <c r="BH93">
        <f t="shared" si="127"/>
        <v>0.26211234678721596</v>
      </c>
      <c r="BI93">
        <f t="shared" si="128"/>
        <v>0.22905138277187653</v>
      </c>
      <c r="BJ93">
        <f t="shared" si="129"/>
        <v>0.86493755706461106</v>
      </c>
      <c r="BK93">
        <f t="shared" si="130"/>
        <v>0.24825885259521802</v>
      </c>
      <c r="BL93">
        <f t="shared" si="131"/>
        <v>0.87407125945899899</v>
      </c>
      <c r="BM93">
        <f t="shared" si="132"/>
        <v>0.17980944191059534</v>
      </c>
      <c r="BN93">
        <f t="shared" si="133"/>
        <v>0.82019055808940466</v>
      </c>
      <c r="BO93">
        <v>7127</v>
      </c>
      <c r="BP93">
        <v>290.00000000000011</v>
      </c>
      <c r="BQ93">
        <v>786.06</v>
      </c>
      <c r="BR93">
        <v>225</v>
      </c>
      <c r="BS93">
        <v>8100.25</v>
      </c>
      <c r="BT93">
        <v>785.1</v>
      </c>
      <c r="BU93">
        <v>0.96</v>
      </c>
      <c r="BV93">
        <v>300.00000000000011</v>
      </c>
      <c r="BW93">
        <v>19.2</v>
      </c>
      <c r="BX93">
        <v>802.71027360474886</v>
      </c>
      <c r="BY93">
        <v>2.1504733184845151</v>
      </c>
      <c r="BZ93">
        <v>-14.26296755100276</v>
      </c>
      <c r="CA93">
        <v>1.6002686422460319</v>
      </c>
      <c r="CB93">
        <v>0.73938710287438791</v>
      </c>
      <c r="CC93">
        <v>-4.1724502780867648E-3</v>
      </c>
      <c r="CD93">
        <v>289.99999999999989</v>
      </c>
      <c r="CE93">
        <v>784.06</v>
      </c>
      <c r="CF93">
        <v>705</v>
      </c>
      <c r="CG93">
        <v>8091.82</v>
      </c>
      <c r="CH93">
        <v>785.08</v>
      </c>
      <c r="CI93">
        <v>-1.02</v>
      </c>
      <c r="CW93">
        <f t="shared" si="134"/>
        <v>1799.96</v>
      </c>
      <c r="CX93">
        <f t="shared" si="135"/>
        <v>1513.1546999933983</v>
      </c>
      <c r="CY93">
        <f t="shared" si="136"/>
        <v>0.84066018133369536</v>
      </c>
      <c r="CZ93">
        <f t="shared" si="137"/>
        <v>0.19132036266739061</v>
      </c>
      <c r="DA93">
        <v>6</v>
      </c>
      <c r="DB93">
        <v>0.5</v>
      </c>
      <c r="DC93" t="s">
        <v>417</v>
      </c>
      <c r="DD93">
        <v>2</v>
      </c>
      <c r="DE93">
        <v>1691178557</v>
      </c>
      <c r="DF93">
        <v>10.606400000000001</v>
      </c>
      <c r="DG93">
        <v>12.7636</v>
      </c>
      <c r="DH93">
        <v>26.5898</v>
      </c>
      <c r="DI93">
        <v>17.519200000000001</v>
      </c>
      <c r="DJ93">
        <v>8.8453800000000005</v>
      </c>
      <c r="DK93">
        <v>26.460100000000001</v>
      </c>
      <c r="DL93">
        <v>499.92399999999998</v>
      </c>
      <c r="DM93">
        <v>99.041200000000003</v>
      </c>
      <c r="DN93">
        <v>0.100157</v>
      </c>
      <c r="DO93">
        <v>30.3248</v>
      </c>
      <c r="DP93">
        <v>30.0228</v>
      </c>
      <c r="DQ93">
        <v>999.9</v>
      </c>
      <c r="DR93">
        <v>0</v>
      </c>
      <c r="DS93">
        <v>0</v>
      </c>
      <c r="DT93">
        <v>10005</v>
      </c>
      <c r="DU93">
        <v>0</v>
      </c>
      <c r="DV93">
        <v>1300.93</v>
      </c>
      <c r="DW93">
        <v>-2.1572900000000002</v>
      </c>
      <c r="DX93">
        <v>10.896100000000001</v>
      </c>
      <c r="DY93">
        <v>12.991199999999999</v>
      </c>
      <c r="DZ93">
        <v>9.0706600000000002</v>
      </c>
      <c r="EA93">
        <v>12.7636</v>
      </c>
      <c r="EB93">
        <v>17.519200000000001</v>
      </c>
      <c r="EC93">
        <v>2.6334900000000001</v>
      </c>
      <c r="ED93">
        <v>1.73512</v>
      </c>
      <c r="EE93">
        <v>21.875900000000001</v>
      </c>
      <c r="EF93">
        <v>15.2142</v>
      </c>
      <c r="EG93">
        <v>1799.96</v>
      </c>
      <c r="EH93">
        <v>0.97799499999999995</v>
      </c>
      <c r="EI93">
        <v>2.2004699999999999E-2</v>
      </c>
      <c r="EJ93">
        <v>0</v>
      </c>
      <c r="EK93">
        <v>755.35500000000002</v>
      </c>
      <c r="EL93">
        <v>0.10001</v>
      </c>
      <c r="EM93">
        <v>17931.900000000001</v>
      </c>
      <c r="EN93">
        <v>16353.1</v>
      </c>
      <c r="EO93">
        <v>48.5</v>
      </c>
      <c r="EP93">
        <v>50.25</v>
      </c>
      <c r="EQ93">
        <v>49.75</v>
      </c>
      <c r="ER93">
        <v>49.936999999999998</v>
      </c>
      <c r="ES93">
        <v>50</v>
      </c>
      <c r="ET93">
        <v>1760.25</v>
      </c>
      <c r="EU93">
        <v>39.61</v>
      </c>
      <c r="EV93">
        <v>0</v>
      </c>
      <c r="EW93">
        <v>117.5999999046326</v>
      </c>
      <c r="EX93">
        <v>0</v>
      </c>
      <c r="EY93">
        <v>754.51779999999997</v>
      </c>
      <c r="EZ93">
        <v>0.46499988817166538</v>
      </c>
      <c r="FA93">
        <v>-95.999999969404428</v>
      </c>
      <c r="FB93">
        <v>17933.580000000002</v>
      </c>
      <c r="FC93">
        <v>15</v>
      </c>
      <c r="FD93">
        <v>1691178530</v>
      </c>
      <c r="FE93" t="s">
        <v>813</v>
      </c>
      <c r="FF93">
        <v>1691178519</v>
      </c>
      <c r="FG93">
        <v>1691178530</v>
      </c>
      <c r="FH93">
        <v>86</v>
      </c>
      <c r="FI93">
        <v>8.7999999999999995E-2</v>
      </c>
      <c r="FJ93">
        <v>-1E-3</v>
      </c>
      <c r="FK93">
        <v>1.768</v>
      </c>
      <c r="FL93">
        <v>-1.7000000000000001E-2</v>
      </c>
      <c r="FM93">
        <v>13</v>
      </c>
      <c r="FN93">
        <v>18</v>
      </c>
      <c r="FO93">
        <v>0.69</v>
      </c>
      <c r="FP93">
        <v>0.03</v>
      </c>
      <c r="FQ93">
        <v>1.664177156979376</v>
      </c>
      <c r="FR93">
        <v>-1.6933253779796459E-2</v>
      </c>
      <c r="FS93">
        <v>4.569450704716875E-2</v>
      </c>
      <c r="FT93">
        <v>1</v>
      </c>
      <c r="FU93">
        <v>0.492556724333858</v>
      </c>
      <c r="FV93">
        <v>4.5164124581421453E-2</v>
      </c>
      <c r="FW93">
        <v>4.479803482014379E-3</v>
      </c>
      <c r="FX93">
        <v>1</v>
      </c>
      <c r="FY93">
        <v>2</v>
      </c>
      <c r="FZ93">
        <v>2</v>
      </c>
      <c r="GA93" t="s">
        <v>419</v>
      </c>
      <c r="GB93">
        <v>2.8816799999999998</v>
      </c>
      <c r="GC93">
        <v>2.8214000000000001</v>
      </c>
      <c r="GD93">
        <v>2.3040600000000001E-3</v>
      </c>
      <c r="GE93">
        <v>3.3503199999999999E-3</v>
      </c>
      <c r="GF93">
        <v>0.122141</v>
      </c>
      <c r="GG93">
        <v>9.1728299999999999E-2</v>
      </c>
      <c r="GH93">
        <v>30518.799999999999</v>
      </c>
      <c r="GI93">
        <v>28434.2</v>
      </c>
      <c r="GJ93">
        <v>28171.7</v>
      </c>
      <c r="GK93">
        <v>26807.7</v>
      </c>
      <c r="GL93">
        <v>34903.5</v>
      </c>
      <c r="GM93">
        <v>34019.1</v>
      </c>
      <c r="GN93">
        <v>41445.9</v>
      </c>
      <c r="GO93">
        <v>38803.1</v>
      </c>
      <c r="GP93">
        <v>1.9901</v>
      </c>
      <c r="GQ93">
        <v>1.6397999999999999</v>
      </c>
      <c r="GR93">
        <v>-9.4518099999999994E-2</v>
      </c>
      <c r="GS93">
        <v>0</v>
      </c>
      <c r="GT93">
        <v>31.559000000000001</v>
      </c>
      <c r="GU93">
        <v>999.9</v>
      </c>
      <c r="GV93">
        <v>44.8</v>
      </c>
      <c r="GW93">
        <v>45.5</v>
      </c>
      <c r="GX93">
        <v>44.734999999999999</v>
      </c>
      <c r="GY93">
        <v>62.748899999999999</v>
      </c>
      <c r="GZ93">
        <v>29.182700000000001</v>
      </c>
      <c r="HA93">
        <v>1</v>
      </c>
      <c r="HB93">
        <v>1.1251500000000001</v>
      </c>
      <c r="HC93">
        <v>6.0619500000000004</v>
      </c>
      <c r="HD93">
        <v>20.1386</v>
      </c>
      <c r="HE93">
        <v>5.2100999999999997</v>
      </c>
      <c r="HF93">
        <v>12.004</v>
      </c>
      <c r="HG93">
        <v>4.9888000000000003</v>
      </c>
      <c r="HH93">
        <v>3.2909999999999999</v>
      </c>
      <c r="HI93">
        <v>9999</v>
      </c>
      <c r="HJ93">
        <v>9999</v>
      </c>
      <c r="HK93">
        <v>9999</v>
      </c>
      <c r="HL93">
        <v>999.9</v>
      </c>
      <c r="HM93">
        <v>1.86663</v>
      </c>
      <c r="HN93">
        <v>1.8667400000000001</v>
      </c>
      <c r="HO93">
        <v>1.8632500000000001</v>
      </c>
      <c r="HP93">
        <v>1.8644499999999999</v>
      </c>
      <c r="HQ93">
        <v>1.8640099999999999</v>
      </c>
      <c r="HR93">
        <v>1.8598699999999999</v>
      </c>
      <c r="HS93">
        <v>1.86307</v>
      </c>
      <c r="HT93">
        <v>1.8658399999999999</v>
      </c>
      <c r="HU93">
        <v>5</v>
      </c>
      <c r="HV93">
        <v>0</v>
      </c>
      <c r="HW93">
        <v>0</v>
      </c>
      <c r="HX93">
        <v>0</v>
      </c>
      <c r="HY93" t="s">
        <v>420</v>
      </c>
      <c r="HZ93" t="s">
        <v>421</v>
      </c>
      <c r="IA93" t="s">
        <v>422</v>
      </c>
      <c r="IB93" t="s">
        <v>422</v>
      </c>
      <c r="IC93" t="s">
        <v>422</v>
      </c>
      <c r="ID93" t="s">
        <v>422</v>
      </c>
      <c r="IE93">
        <v>0</v>
      </c>
      <c r="IF93">
        <v>100</v>
      </c>
      <c r="IG93">
        <v>100</v>
      </c>
      <c r="IH93">
        <v>1.7609999999999999</v>
      </c>
      <c r="II93">
        <v>0.12970000000000001</v>
      </c>
      <c r="IJ93">
        <v>1.7296819073435601</v>
      </c>
      <c r="IK93">
        <v>3.5576830062418229E-3</v>
      </c>
      <c r="IL93">
        <v>-2.2646740813029151E-6</v>
      </c>
      <c r="IM93">
        <v>6.9609298295988525E-10</v>
      </c>
      <c r="IN93">
        <v>-0.14198834462362681</v>
      </c>
      <c r="IO93">
        <v>-9.4437069492282083E-4</v>
      </c>
      <c r="IP93">
        <v>5.2900373165634467E-4</v>
      </c>
      <c r="IQ93">
        <v>-3.977656803091445E-6</v>
      </c>
      <c r="IR93">
        <v>2</v>
      </c>
      <c r="IS93">
        <v>1759</v>
      </c>
      <c r="IT93">
        <v>2</v>
      </c>
      <c r="IU93">
        <v>42</v>
      </c>
      <c r="IV93">
        <v>0.6</v>
      </c>
      <c r="IW93">
        <v>0.5</v>
      </c>
      <c r="IX93">
        <v>5.7373E-2</v>
      </c>
      <c r="IY93">
        <v>2.6269499999999999</v>
      </c>
      <c r="IZ93">
        <v>1.54297</v>
      </c>
      <c r="JA93">
        <v>2.3010299999999999</v>
      </c>
      <c r="JB93">
        <v>1.5466299999999999</v>
      </c>
      <c r="JC93">
        <v>2.4206500000000002</v>
      </c>
      <c r="JD93">
        <v>47.601900000000001</v>
      </c>
      <c r="JE93">
        <v>24.052499999999998</v>
      </c>
      <c r="JF93">
        <v>18</v>
      </c>
      <c r="JG93">
        <v>534.78899999999999</v>
      </c>
      <c r="JH93">
        <v>406.76799999999997</v>
      </c>
      <c r="JI93">
        <v>24.0016</v>
      </c>
      <c r="JJ93">
        <v>40.241599999999998</v>
      </c>
      <c r="JK93">
        <v>30.0015</v>
      </c>
      <c r="JL93">
        <v>40.514699999999998</v>
      </c>
      <c r="JM93">
        <v>40.500500000000002</v>
      </c>
      <c r="JN93">
        <v>1.23838</v>
      </c>
      <c r="JO93">
        <v>65.919899999999998</v>
      </c>
      <c r="JP93">
        <v>0</v>
      </c>
      <c r="JQ93">
        <v>23.992000000000001</v>
      </c>
      <c r="JR93">
        <v>10</v>
      </c>
      <c r="JS93">
        <v>17.495799999999999</v>
      </c>
      <c r="JT93">
        <v>98.200400000000002</v>
      </c>
      <c r="JU93">
        <v>96.001199999999997</v>
      </c>
    </row>
    <row r="94" spans="1:281" x14ac:dyDescent="0.25">
      <c r="A94">
        <v>78</v>
      </c>
      <c r="B94">
        <v>1691178739</v>
      </c>
      <c r="C94">
        <v>17827.5</v>
      </c>
      <c r="D94" t="s">
        <v>814</v>
      </c>
      <c r="E94" t="s">
        <v>815</v>
      </c>
      <c r="F94" t="s">
        <v>413</v>
      </c>
      <c r="G94" t="s">
        <v>779</v>
      </c>
      <c r="H94" t="s">
        <v>780</v>
      </c>
      <c r="I94" t="s">
        <v>31</v>
      </c>
      <c r="J94">
        <v>1691178739</v>
      </c>
      <c r="K94">
        <f t="shared" si="92"/>
        <v>7.4401026263092238E-3</v>
      </c>
      <c r="L94">
        <f t="shared" si="93"/>
        <v>7.4401026263092236</v>
      </c>
      <c r="M94">
        <f t="shared" si="94"/>
        <v>44.342022976155249</v>
      </c>
      <c r="N94">
        <f t="shared" si="95"/>
        <v>343.74400000000003</v>
      </c>
      <c r="O94">
        <f t="shared" si="96"/>
        <v>173.21364789677725</v>
      </c>
      <c r="P94">
        <f t="shared" si="97"/>
        <v>17.170783063801494</v>
      </c>
      <c r="Q94">
        <f t="shared" si="98"/>
        <v>34.075569247296009</v>
      </c>
      <c r="R94">
        <f t="shared" si="99"/>
        <v>0.46702801399553129</v>
      </c>
      <c r="S94">
        <f t="shared" si="100"/>
        <v>2.9102995165972434</v>
      </c>
      <c r="T94">
        <f t="shared" si="101"/>
        <v>0.42903332931473021</v>
      </c>
      <c r="U94">
        <f t="shared" si="102"/>
        <v>0.27130145092912544</v>
      </c>
      <c r="V94">
        <f t="shared" si="103"/>
        <v>344.3626999867995</v>
      </c>
      <c r="W94">
        <f t="shared" si="104"/>
        <v>30.450218673031181</v>
      </c>
      <c r="X94">
        <f t="shared" si="105"/>
        <v>30.017700000000001</v>
      </c>
      <c r="Y94">
        <f t="shared" si="106"/>
        <v>4.2647831781700756</v>
      </c>
      <c r="Z94">
        <f t="shared" si="107"/>
        <v>59.920929649129775</v>
      </c>
      <c r="AA94">
        <f t="shared" si="108"/>
        <v>2.6052726753108</v>
      </c>
      <c r="AB94">
        <f t="shared" si="109"/>
        <v>4.34785089377971</v>
      </c>
      <c r="AC94">
        <f t="shared" si="110"/>
        <v>1.6595105028592756</v>
      </c>
      <c r="AD94">
        <f t="shared" si="111"/>
        <v>-328.10852582023676</v>
      </c>
      <c r="AE94">
        <f t="shared" si="112"/>
        <v>52.765492713294933</v>
      </c>
      <c r="AF94">
        <f t="shared" si="113"/>
        <v>4.0387822363040922</v>
      </c>
      <c r="AG94">
        <f t="shared" si="114"/>
        <v>73.058449116161754</v>
      </c>
      <c r="AH94">
        <v>0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51723.467103251365</v>
      </c>
      <c r="AM94" t="s">
        <v>414</v>
      </c>
      <c r="AN94">
        <v>10111.299999999999</v>
      </c>
      <c r="AO94">
        <v>608.58839999999998</v>
      </c>
      <c r="AP94">
        <v>2150.11</v>
      </c>
      <c r="AQ94">
        <f t="shared" si="118"/>
        <v>0.71695010952927984</v>
      </c>
      <c r="AR94">
        <v>-1.1786277417053079</v>
      </c>
      <c r="AS94" t="s">
        <v>816</v>
      </c>
      <c r="AT94">
        <v>8097.16</v>
      </c>
      <c r="AU94">
        <v>693.87</v>
      </c>
      <c r="AV94">
        <v>1001.643568104423</v>
      </c>
      <c r="AW94">
        <f t="shared" si="119"/>
        <v>0.30726855131399111</v>
      </c>
      <c r="AX94">
        <v>0.5</v>
      </c>
      <c r="AY94">
        <f t="shared" si="120"/>
        <v>1513.1291999933999</v>
      </c>
      <c r="AZ94">
        <f t="shared" si="121"/>
        <v>44.342022976155249</v>
      </c>
      <c r="BA94">
        <f t="shared" si="122"/>
        <v>232.46850861643514</v>
      </c>
      <c r="BB94">
        <f t="shared" si="123"/>
        <v>3.0083783141624066E-2</v>
      </c>
      <c r="BC94">
        <f t="shared" si="124"/>
        <v>1.1465819463794005</v>
      </c>
      <c r="BD94">
        <f t="shared" si="125"/>
        <v>459.47155129214809</v>
      </c>
      <c r="BE94" t="s">
        <v>817</v>
      </c>
      <c r="BF94">
        <v>529.04999999999995</v>
      </c>
      <c r="BG94">
        <f t="shared" si="126"/>
        <v>529.04999999999995</v>
      </c>
      <c r="BH94">
        <f t="shared" si="127"/>
        <v>0.47181810291937543</v>
      </c>
      <c r="BI94">
        <f t="shared" si="128"/>
        <v>0.651243666601104</v>
      </c>
      <c r="BJ94">
        <f t="shared" si="129"/>
        <v>0.70846633184186691</v>
      </c>
      <c r="BK94">
        <f t="shared" si="130"/>
        <v>0.78302893099896032</v>
      </c>
      <c r="BL94">
        <f t="shared" si="131"/>
        <v>0.74502130355849505</v>
      </c>
      <c r="BM94">
        <f t="shared" si="132"/>
        <v>0.49654901035541821</v>
      </c>
      <c r="BN94">
        <f t="shared" si="133"/>
        <v>0.50345098964458179</v>
      </c>
      <c r="BO94">
        <v>7129</v>
      </c>
      <c r="BP94">
        <v>290.00000000000011</v>
      </c>
      <c r="BQ94">
        <v>884.96</v>
      </c>
      <c r="BR94">
        <v>295</v>
      </c>
      <c r="BS94">
        <v>8097.16</v>
      </c>
      <c r="BT94">
        <v>886.47</v>
      </c>
      <c r="BU94">
        <v>-1.51</v>
      </c>
      <c r="BV94">
        <v>300.00000000000011</v>
      </c>
      <c r="BW94">
        <v>19.2</v>
      </c>
      <c r="BX94">
        <v>1001.643568104423</v>
      </c>
      <c r="BY94">
        <v>4.3199755983246906</v>
      </c>
      <c r="BZ94">
        <v>-93.258876146640461</v>
      </c>
      <c r="CA94">
        <v>3.2143576706571069</v>
      </c>
      <c r="CB94">
        <v>0.96780747446971505</v>
      </c>
      <c r="CC94">
        <v>-4.1724358175750861E-3</v>
      </c>
      <c r="CD94">
        <v>289.99999999999989</v>
      </c>
      <c r="CE94">
        <v>876.55</v>
      </c>
      <c r="CF94">
        <v>625</v>
      </c>
      <c r="CG94">
        <v>8092.56</v>
      </c>
      <c r="CH94">
        <v>886.4</v>
      </c>
      <c r="CI94">
        <v>-9.85</v>
      </c>
      <c r="CW94">
        <f t="shared" si="134"/>
        <v>1799.93</v>
      </c>
      <c r="CX94">
        <f t="shared" si="135"/>
        <v>1513.1291999933999</v>
      </c>
      <c r="CY94">
        <f t="shared" si="136"/>
        <v>0.84066002566399789</v>
      </c>
      <c r="CZ94">
        <f t="shared" si="137"/>
        <v>0.19132005132799582</v>
      </c>
      <c r="DA94">
        <v>6</v>
      </c>
      <c r="DB94">
        <v>0.5</v>
      </c>
      <c r="DC94" t="s">
        <v>417</v>
      </c>
      <c r="DD94">
        <v>2</v>
      </c>
      <c r="DE94">
        <v>1691178739</v>
      </c>
      <c r="DF94">
        <v>343.74400000000003</v>
      </c>
      <c r="DG94">
        <v>400.00799999999998</v>
      </c>
      <c r="DH94">
        <v>26.281199999999998</v>
      </c>
      <c r="DI94">
        <v>17.5901</v>
      </c>
      <c r="DJ94">
        <v>341.20400000000001</v>
      </c>
      <c r="DK94">
        <v>26.161799999999999</v>
      </c>
      <c r="DL94">
        <v>500.137</v>
      </c>
      <c r="DM94">
        <v>99.030500000000004</v>
      </c>
      <c r="DN94">
        <v>0.100159</v>
      </c>
      <c r="DO94">
        <v>30.353999999999999</v>
      </c>
      <c r="DP94">
        <v>30.017700000000001</v>
      </c>
      <c r="DQ94">
        <v>999.9</v>
      </c>
      <c r="DR94">
        <v>0</v>
      </c>
      <c r="DS94">
        <v>0</v>
      </c>
      <c r="DT94">
        <v>9987.5</v>
      </c>
      <c r="DU94">
        <v>0</v>
      </c>
      <c r="DV94">
        <v>1277.82</v>
      </c>
      <c r="DW94">
        <v>-56.264699999999998</v>
      </c>
      <c r="DX94">
        <v>353.02199999999999</v>
      </c>
      <c r="DY94">
        <v>407.17099999999999</v>
      </c>
      <c r="DZ94">
        <v>8.6910500000000006</v>
      </c>
      <c r="EA94">
        <v>400.00799999999998</v>
      </c>
      <c r="EB94">
        <v>17.5901</v>
      </c>
      <c r="EC94">
        <v>2.6026400000000001</v>
      </c>
      <c r="ED94">
        <v>1.74196</v>
      </c>
      <c r="EE94">
        <v>21.683</v>
      </c>
      <c r="EF94">
        <v>15.275499999999999</v>
      </c>
      <c r="EG94">
        <v>1799.93</v>
      </c>
      <c r="EH94">
        <v>0.97799899999999995</v>
      </c>
      <c r="EI94">
        <v>2.2001E-2</v>
      </c>
      <c r="EJ94">
        <v>0</v>
      </c>
      <c r="EK94">
        <v>690.91</v>
      </c>
      <c r="EL94">
        <v>0.10001</v>
      </c>
      <c r="EM94">
        <v>16796.2</v>
      </c>
      <c r="EN94">
        <v>16352.9</v>
      </c>
      <c r="EO94">
        <v>48.75</v>
      </c>
      <c r="EP94">
        <v>50.436999999999998</v>
      </c>
      <c r="EQ94">
        <v>50</v>
      </c>
      <c r="ER94">
        <v>50.186999999999998</v>
      </c>
      <c r="ES94">
        <v>50.311999999999998</v>
      </c>
      <c r="ET94">
        <v>1760.23</v>
      </c>
      <c r="EU94">
        <v>39.6</v>
      </c>
      <c r="EV94">
        <v>0</v>
      </c>
      <c r="EW94">
        <v>180</v>
      </c>
      <c r="EX94">
        <v>0</v>
      </c>
      <c r="EY94">
        <v>693.87</v>
      </c>
      <c r="EZ94">
        <v>-14.675000074504601</v>
      </c>
      <c r="FA94">
        <v>75.999999691913871</v>
      </c>
      <c r="FB94">
        <v>16797.464</v>
      </c>
      <c r="FC94">
        <v>15</v>
      </c>
      <c r="FD94">
        <v>1691178671</v>
      </c>
      <c r="FE94" t="s">
        <v>818</v>
      </c>
      <c r="FF94">
        <v>1691178663.5</v>
      </c>
      <c r="FG94">
        <v>1691178671</v>
      </c>
      <c r="FH94">
        <v>87</v>
      </c>
      <c r="FI94">
        <v>-0.16700000000000001</v>
      </c>
      <c r="FJ94">
        <v>-5.0000000000000001E-3</v>
      </c>
      <c r="FK94">
        <v>2.6629999999999998</v>
      </c>
      <c r="FL94">
        <v>-2.4E-2</v>
      </c>
      <c r="FM94">
        <v>401</v>
      </c>
      <c r="FN94">
        <v>17</v>
      </c>
      <c r="FO94">
        <v>0.14000000000000001</v>
      </c>
      <c r="FP94">
        <v>0.02</v>
      </c>
      <c r="FQ94">
        <v>44.234770422832398</v>
      </c>
      <c r="FR94">
        <v>0.6951563490688446</v>
      </c>
      <c r="FS94">
        <v>0.1006416349806127</v>
      </c>
      <c r="FT94">
        <v>1</v>
      </c>
      <c r="FU94">
        <v>0.4701616541763407</v>
      </c>
      <c r="FV94">
        <v>-2.025820397084294E-2</v>
      </c>
      <c r="FW94">
        <v>1.786035123123702E-3</v>
      </c>
      <c r="FX94">
        <v>1</v>
      </c>
      <c r="FY94">
        <v>2</v>
      </c>
      <c r="FZ94">
        <v>2</v>
      </c>
      <c r="GA94" t="s">
        <v>419</v>
      </c>
      <c r="GB94">
        <v>2.8814600000000001</v>
      </c>
      <c r="GC94">
        <v>2.82124</v>
      </c>
      <c r="GD94">
        <v>7.6080200000000001E-2</v>
      </c>
      <c r="GE94">
        <v>8.6632600000000004E-2</v>
      </c>
      <c r="GF94">
        <v>0.121082</v>
      </c>
      <c r="GG94">
        <v>9.1911400000000004E-2</v>
      </c>
      <c r="GH94">
        <v>28245.9</v>
      </c>
      <c r="GI94">
        <v>26039.9</v>
      </c>
      <c r="GJ94">
        <v>28151.9</v>
      </c>
      <c r="GK94">
        <v>26785</v>
      </c>
      <c r="GL94">
        <v>34923.599999999999</v>
      </c>
      <c r="GM94">
        <v>33987.4</v>
      </c>
      <c r="GN94">
        <v>41417</v>
      </c>
      <c r="GO94">
        <v>38772.9</v>
      </c>
      <c r="GP94">
        <v>1.9877</v>
      </c>
      <c r="GQ94">
        <v>1.6373</v>
      </c>
      <c r="GR94">
        <v>-0.10117900000000001</v>
      </c>
      <c r="GS94">
        <v>0</v>
      </c>
      <c r="GT94">
        <v>31.661999999999999</v>
      </c>
      <c r="GU94">
        <v>999.9</v>
      </c>
      <c r="GV94">
        <v>44.9</v>
      </c>
      <c r="GW94">
        <v>45.3</v>
      </c>
      <c r="GX94">
        <v>44.378500000000003</v>
      </c>
      <c r="GY94">
        <v>62.878900000000002</v>
      </c>
      <c r="GZ94">
        <v>29.010400000000001</v>
      </c>
      <c r="HA94">
        <v>1</v>
      </c>
      <c r="HB94">
        <v>1.1671800000000001</v>
      </c>
      <c r="HC94">
        <v>6.0230899999999998</v>
      </c>
      <c r="HD94">
        <v>20.1404</v>
      </c>
      <c r="HE94">
        <v>5.2095000000000002</v>
      </c>
      <c r="HF94">
        <v>12.004</v>
      </c>
      <c r="HG94">
        <v>4.9878</v>
      </c>
      <c r="HH94">
        <v>3.2909999999999999</v>
      </c>
      <c r="HI94">
        <v>9999</v>
      </c>
      <c r="HJ94">
        <v>9999</v>
      </c>
      <c r="HK94">
        <v>9999</v>
      </c>
      <c r="HL94">
        <v>999.9</v>
      </c>
      <c r="HM94">
        <v>1.8666100000000001</v>
      </c>
      <c r="HN94">
        <v>1.8667199999999999</v>
      </c>
      <c r="HO94">
        <v>1.86324</v>
      </c>
      <c r="HP94">
        <v>1.86443</v>
      </c>
      <c r="HQ94">
        <v>1.8640099999999999</v>
      </c>
      <c r="HR94">
        <v>1.85989</v>
      </c>
      <c r="HS94">
        <v>1.8630500000000001</v>
      </c>
      <c r="HT94">
        <v>1.8658399999999999</v>
      </c>
      <c r="HU94">
        <v>5</v>
      </c>
      <c r="HV94">
        <v>0</v>
      </c>
      <c r="HW94">
        <v>0</v>
      </c>
      <c r="HX94">
        <v>0</v>
      </c>
      <c r="HY94" t="s">
        <v>420</v>
      </c>
      <c r="HZ94" t="s">
        <v>421</v>
      </c>
      <c r="IA94" t="s">
        <v>422</v>
      </c>
      <c r="IB94" t="s">
        <v>422</v>
      </c>
      <c r="IC94" t="s">
        <v>422</v>
      </c>
      <c r="ID94" t="s">
        <v>422</v>
      </c>
      <c r="IE94">
        <v>0</v>
      </c>
      <c r="IF94">
        <v>100</v>
      </c>
      <c r="IG94">
        <v>100</v>
      </c>
      <c r="IH94">
        <v>2.54</v>
      </c>
      <c r="II94">
        <v>0.11940000000000001</v>
      </c>
      <c r="IJ94">
        <v>1.562134347174458</v>
      </c>
      <c r="IK94">
        <v>3.5576830062418229E-3</v>
      </c>
      <c r="IL94">
        <v>-2.2646740813029151E-6</v>
      </c>
      <c r="IM94">
        <v>6.9609298295988525E-10</v>
      </c>
      <c r="IN94">
        <v>-0.1468134161838385</v>
      </c>
      <c r="IO94">
        <v>-9.4437069492282083E-4</v>
      </c>
      <c r="IP94">
        <v>5.2900373165634467E-4</v>
      </c>
      <c r="IQ94">
        <v>-3.977656803091445E-6</v>
      </c>
      <c r="IR94">
        <v>2</v>
      </c>
      <c r="IS94">
        <v>1759</v>
      </c>
      <c r="IT94">
        <v>2</v>
      </c>
      <c r="IU94">
        <v>42</v>
      </c>
      <c r="IV94">
        <v>1.3</v>
      </c>
      <c r="IW94">
        <v>1.1000000000000001</v>
      </c>
      <c r="IX94">
        <v>0.99487300000000001</v>
      </c>
      <c r="IY94">
        <v>2.4340799999999998</v>
      </c>
      <c r="IZ94">
        <v>1.54297</v>
      </c>
      <c r="JA94">
        <v>2.3010299999999999</v>
      </c>
      <c r="JB94">
        <v>1.5466299999999999</v>
      </c>
      <c r="JC94">
        <v>2.4230999999999998</v>
      </c>
      <c r="JD94">
        <v>47.571800000000003</v>
      </c>
      <c r="JE94">
        <v>24.052499999999998</v>
      </c>
      <c r="JF94">
        <v>18</v>
      </c>
      <c r="JG94">
        <v>535.75</v>
      </c>
      <c r="JH94">
        <v>407.20299999999997</v>
      </c>
      <c r="JI94">
        <v>23.988399999999999</v>
      </c>
      <c r="JJ94">
        <v>40.659700000000001</v>
      </c>
      <c r="JK94">
        <v>30.001200000000001</v>
      </c>
      <c r="JL94">
        <v>40.8521</v>
      </c>
      <c r="JM94">
        <v>40.845500000000001</v>
      </c>
      <c r="JN94">
        <v>20.041399999999999</v>
      </c>
      <c r="JO94">
        <v>65.324600000000004</v>
      </c>
      <c r="JP94">
        <v>0</v>
      </c>
      <c r="JQ94">
        <v>23.981200000000001</v>
      </c>
      <c r="JR94">
        <v>400</v>
      </c>
      <c r="JS94">
        <v>17.697600000000001</v>
      </c>
      <c r="JT94">
        <v>98.131699999999995</v>
      </c>
      <c r="JU94">
        <v>95.9238</v>
      </c>
    </row>
    <row r="95" spans="1:281" x14ac:dyDescent="0.25">
      <c r="A95">
        <v>79</v>
      </c>
      <c r="B95">
        <v>1691178909</v>
      </c>
      <c r="C95">
        <v>17997.5</v>
      </c>
      <c r="D95" t="s">
        <v>819</v>
      </c>
      <c r="E95" t="s">
        <v>820</v>
      </c>
      <c r="F95" t="s">
        <v>413</v>
      </c>
      <c r="G95" t="s">
        <v>779</v>
      </c>
      <c r="H95" t="s">
        <v>780</v>
      </c>
      <c r="I95" t="s">
        <v>31</v>
      </c>
      <c r="J95">
        <v>1691178909</v>
      </c>
      <c r="K95">
        <f t="shared" si="92"/>
        <v>7.1007920219218869E-3</v>
      </c>
      <c r="L95">
        <f t="shared" si="93"/>
        <v>7.1007920219218867</v>
      </c>
      <c r="M95">
        <f t="shared" si="94"/>
        <v>48.607826348722256</v>
      </c>
      <c r="N95">
        <f t="shared" si="95"/>
        <v>338.91899999999998</v>
      </c>
      <c r="O95">
        <f t="shared" si="96"/>
        <v>144.1777827649548</v>
      </c>
      <c r="P95">
        <f t="shared" si="97"/>
        <v>14.294294590410788</v>
      </c>
      <c r="Q95">
        <f t="shared" si="98"/>
        <v>33.601626654124196</v>
      </c>
      <c r="R95">
        <f t="shared" si="99"/>
        <v>0.44314363070366075</v>
      </c>
      <c r="S95">
        <f t="shared" si="100"/>
        <v>2.9197103878759827</v>
      </c>
      <c r="T95">
        <f t="shared" si="101"/>
        <v>0.40888425436148135</v>
      </c>
      <c r="U95">
        <f t="shared" si="102"/>
        <v>0.25840965746055233</v>
      </c>
      <c r="V95">
        <f t="shared" si="103"/>
        <v>344.34879998680236</v>
      </c>
      <c r="W95">
        <f t="shared" si="104"/>
        <v>30.475170366042679</v>
      </c>
      <c r="X95">
        <f t="shared" si="105"/>
        <v>30.017800000000001</v>
      </c>
      <c r="Y95">
        <f t="shared" si="106"/>
        <v>4.2648076715964551</v>
      </c>
      <c r="Z95">
        <f t="shared" si="107"/>
        <v>60.077936841850367</v>
      </c>
      <c r="AA95">
        <f t="shared" si="108"/>
        <v>2.6026862537540598</v>
      </c>
      <c r="AB95">
        <f t="shared" si="109"/>
        <v>4.3321831450460619</v>
      </c>
      <c r="AC95">
        <f t="shared" si="110"/>
        <v>1.6621214178423953</v>
      </c>
      <c r="AD95">
        <f t="shared" si="111"/>
        <v>-313.14492816675522</v>
      </c>
      <c r="AE95">
        <f t="shared" si="112"/>
        <v>43.00370890099552</v>
      </c>
      <c r="AF95">
        <f t="shared" si="113"/>
        <v>3.2799638889468952</v>
      </c>
      <c r="AG95">
        <f t="shared" si="114"/>
        <v>77.487544609989556</v>
      </c>
      <c r="AH95">
        <v>0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52002.010727361536</v>
      </c>
      <c r="AM95" t="s">
        <v>414</v>
      </c>
      <c r="AN95">
        <v>10111.299999999999</v>
      </c>
      <c r="AO95">
        <v>608.58839999999998</v>
      </c>
      <c r="AP95">
        <v>2150.11</v>
      </c>
      <c r="AQ95">
        <f t="shared" si="118"/>
        <v>0.71695010952927984</v>
      </c>
      <c r="AR95">
        <v>-1.1786277417053079</v>
      </c>
      <c r="AS95" t="s">
        <v>821</v>
      </c>
      <c r="AT95">
        <v>8095.75</v>
      </c>
      <c r="AU95">
        <v>692.05539999999996</v>
      </c>
      <c r="AV95">
        <v>1028.185359129104</v>
      </c>
      <c r="AW95">
        <f t="shared" si="119"/>
        <v>0.32691572209685382</v>
      </c>
      <c r="AX95">
        <v>0.5</v>
      </c>
      <c r="AY95">
        <f t="shared" si="120"/>
        <v>1513.0700999934011</v>
      </c>
      <c r="AZ95">
        <f t="shared" si="121"/>
        <v>48.607826348722256</v>
      </c>
      <c r="BA95">
        <f t="shared" si="122"/>
        <v>247.32320216125078</v>
      </c>
      <c r="BB95">
        <f t="shared" si="123"/>
        <v>3.2904261402458945E-2</v>
      </c>
      <c r="BC95">
        <f t="shared" si="124"/>
        <v>1.0911696328969238</v>
      </c>
      <c r="BD95">
        <f t="shared" si="125"/>
        <v>464.97755140901177</v>
      </c>
      <c r="BE95" t="s">
        <v>822</v>
      </c>
      <c r="BF95">
        <v>529.57000000000005</v>
      </c>
      <c r="BG95">
        <f t="shared" si="126"/>
        <v>529.57000000000005</v>
      </c>
      <c r="BH95">
        <f t="shared" si="127"/>
        <v>0.48494695504266105</v>
      </c>
      <c r="BI95">
        <f t="shared" si="128"/>
        <v>0.67412676520073178</v>
      </c>
      <c r="BJ95">
        <f t="shared" si="129"/>
        <v>0.69231530284404963</v>
      </c>
      <c r="BK95">
        <f t="shared" si="130"/>
        <v>0.80107815801801752</v>
      </c>
      <c r="BL95">
        <f t="shared" si="131"/>
        <v>0.72780338651816245</v>
      </c>
      <c r="BM95">
        <f t="shared" si="132"/>
        <v>0.51585077010793001</v>
      </c>
      <c r="BN95">
        <f t="shared" si="133"/>
        <v>0.48414922989206999</v>
      </c>
      <c r="BO95">
        <v>7131</v>
      </c>
      <c r="BP95">
        <v>290.00000000000011</v>
      </c>
      <c r="BQ95">
        <v>910.43</v>
      </c>
      <c r="BR95">
        <v>285</v>
      </c>
      <c r="BS95">
        <v>8095.75</v>
      </c>
      <c r="BT95">
        <v>911.49</v>
      </c>
      <c r="BU95">
        <v>-1.06</v>
      </c>
      <c r="BV95">
        <v>300.00000000000011</v>
      </c>
      <c r="BW95">
        <v>19.2</v>
      </c>
      <c r="BX95">
        <v>1028.185359129104</v>
      </c>
      <c r="BY95">
        <v>2.2853866726895782</v>
      </c>
      <c r="BZ95">
        <v>-94.472363440805452</v>
      </c>
      <c r="CA95">
        <v>1.700176311682704</v>
      </c>
      <c r="CB95">
        <v>0.99101297944481825</v>
      </c>
      <c r="CC95">
        <v>-4.1718400444938882E-3</v>
      </c>
      <c r="CD95">
        <v>289.99999999999989</v>
      </c>
      <c r="CE95">
        <v>905.45</v>
      </c>
      <c r="CF95">
        <v>645</v>
      </c>
      <c r="CG95">
        <v>8090.63</v>
      </c>
      <c r="CH95">
        <v>911.42</v>
      </c>
      <c r="CI95">
        <v>-5.97</v>
      </c>
      <c r="CW95">
        <f t="shared" si="134"/>
        <v>1799.86</v>
      </c>
      <c r="CX95">
        <f t="shared" si="135"/>
        <v>1513.0700999934011</v>
      </c>
      <c r="CY95">
        <f t="shared" si="136"/>
        <v>0.8406598846540293</v>
      </c>
      <c r="CZ95">
        <f t="shared" si="137"/>
        <v>0.19131976930805861</v>
      </c>
      <c r="DA95">
        <v>6</v>
      </c>
      <c r="DB95">
        <v>0.5</v>
      </c>
      <c r="DC95" t="s">
        <v>417</v>
      </c>
      <c r="DD95">
        <v>2</v>
      </c>
      <c r="DE95">
        <v>1691178909</v>
      </c>
      <c r="DF95">
        <v>338.91899999999998</v>
      </c>
      <c r="DG95">
        <v>400.12700000000001</v>
      </c>
      <c r="DH95">
        <v>26.2517</v>
      </c>
      <c r="DI95">
        <v>17.9557</v>
      </c>
      <c r="DJ95">
        <v>336.37700000000001</v>
      </c>
      <c r="DK95">
        <v>26.130500000000001</v>
      </c>
      <c r="DL95">
        <v>500.07600000000002</v>
      </c>
      <c r="DM95">
        <v>99.043999999999997</v>
      </c>
      <c r="DN95">
        <v>9.9531800000000004E-2</v>
      </c>
      <c r="DO95">
        <v>30.291</v>
      </c>
      <c r="DP95">
        <v>30.017800000000001</v>
      </c>
      <c r="DQ95">
        <v>999.9</v>
      </c>
      <c r="DR95">
        <v>0</v>
      </c>
      <c r="DS95">
        <v>0</v>
      </c>
      <c r="DT95">
        <v>10040</v>
      </c>
      <c r="DU95">
        <v>0</v>
      </c>
      <c r="DV95">
        <v>1290.03</v>
      </c>
      <c r="DW95">
        <v>-61.207700000000003</v>
      </c>
      <c r="DX95">
        <v>348.05700000000002</v>
      </c>
      <c r="DY95">
        <v>407.44299999999998</v>
      </c>
      <c r="DZ95">
        <v>8.2960100000000008</v>
      </c>
      <c r="EA95">
        <v>400.12700000000001</v>
      </c>
      <c r="EB95">
        <v>17.9557</v>
      </c>
      <c r="EC95">
        <v>2.6000700000000001</v>
      </c>
      <c r="ED95">
        <v>1.7784</v>
      </c>
      <c r="EE95">
        <v>21.666899999999998</v>
      </c>
      <c r="EF95">
        <v>15.5983</v>
      </c>
      <c r="EG95">
        <v>1799.86</v>
      </c>
      <c r="EH95">
        <v>0.97800299999999996</v>
      </c>
      <c r="EI95">
        <v>2.19974E-2</v>
      </c>
      <c r="EJ95">
        <v>0</v>
      </c>
      <c r="EK95">
        <v>691.13499999999999</v>
      </c>
      <c r="EL95">
        <v>0.10001</v>
      </c>
      <c r="EM95">
        <v>16807.599999999999</v>
      </c>
      <c r="EN95">
        <v>16352.2</v>
      </c>
      <c r="EO95">
        <v>49</v>
      </c>
      <c r="EP95">
        <v>50.75</v>
      </c>
      <c r="EQ95">
        <v>50.25</v>
      </c>
      <c r="ER95">
        <v>50.5</v>
      </c>
      <c r="ES95">
        <v>50.561999999999998</v>
      </c>
      <c r="ET95">
        <v>1760.17</v>
      </c>
      <c r="EU95">
        <v>39.590000000000003</v>
      </c>
      <c r="EV95">
        <v>0</v>
      </c>
      <c r="EW95">
        <v>167.5999999046326</v>
      </c>
      <c r="EX95">
        <v>0</v>
      </c>
      <c r="EY95">
        <v>692.05539999999996</v>
      </c>
      <c r="EZ95">
        <v>2.1615384930752208</v>
      </c>
      <c r="FA95">
        <v>26.98461516819096</v>
      </c>
      <c r="FB95">
        <v>16807.632000000001</v>
      </c>
      <c r="FC95">
        <v>15</v>
      </c>
      <c r="FD95">
        <v>1691178819</v>
      </c>
      <c r="FE95" t="s">
        <v>823</v>
      </c>
      <c r="FF95">
        <v>1691178819</v>
      </c>
      <c r="FG95">
        <v>1691178808.5</v>
      </c>
      <c r="FH95">
        <v>88</v>
      </c>
      <c r="FI95">
        <v>1.2999999999999999E-2</v>
      </c>
      <c r="FJ95">
        <v>2E-3</v>
      </c>
      <c r="FK95">
        <v>2.6749999999999998</v>
      </c>
      <c r="FL95">
        <v>-1.7000000000000001E-2</v>
      </c>
      <c r="FM95">
        <v>400</v>
      </c>
      <c r="FN95">
        <v>18</v>
      </c>
      <c r="FO95">
        <v>0.17</v>
      </c>
      <c r="FP95">
        <v>0.02</v>
      </c>
      <c r="FQ95">
        <v>48.404413822665923</v>
      </c>
      <c r="FR95">
        <v>0.59704753577391867</v>
      </c>
      <c r="FS95">
        <v>9.9074105525583975E-2</v>
      </c>
      <c r="FT95">
        <v>1</v>
      </c>
      <c r="FU95">
        <v>0.44722078335149368</v>
      </c>
      <c r="FV95">
        <v>-1.1503378137670121E-3</v>
      </c>
      <c r="FW95">
        <v>1.35997165469125E-3</v>
      </c>
      <c r="FX95">
        <v>1</v>
      </c>
      <c r="FY95">
        <v>2</v>
      </c>
      <c r="FZ95">
        <v>2</v>
      </c>
      <c r="GA95" t="s">
        <v>419</v>
      </c>
      <c r="GB95">
        <v>2.8804500000000002</v>
      </c>
      <c r="GC95">
        <v>2.8210799999999998</v>
      </c>
      <c r="GD95">
        <v>7.5149900000000006E-2</v>
      </c>
      <c r="GE95">
        <v>8.6582099999999995E-2</v>
      </c>
      <c r="GF95">
        <v>0.120892</v>
      </c>
      <c r="GG95">
        <v>9.3197299999999997E-2</v>
      </c>
      <c r="GH95">
        <v>28251.5</v>
      </c>
      <c r="GI95">
        <v>26015.599999999999</v>
      </c>
      <c r="GJ95">
        <v>28130.799999999999</v>
      </c>
      <c r="GK95">
        <v>26760.5</v>
      </c>
      <c r="GL95">
        <v>34906.6</v>
      </c>
      <c r="GM95">
        <v>33911.800000000003</v>
      </c>
      <c r="GN95">
        <v>41385.800000000003</v>
      </c>
      <c r="GO95">
        <v>38740.6</v>
      </c>
      <c r="GP95">
        <v>1.9834000000000001</v>
      </c>
      <c r="GQ95">
        <v>1.6323000000000001</v>
      </c>
      <c r="GR95">
        <v>-0.108778</v>
      </c>
      <c r="GS95">
        <v>0</v>
      </c>
      <c r="GT95">
        <v>31.785399999999999</v>
      </c>
      <c r="GU95">
        <v>999.9</v>
      </c>
      <c r="GV95">
        <v>45.1</v>
      </c>
      <c r="GW95">
        <v>45.2</v>
      </c>
      <c r="GX95">
        <v>44.343000000000004</v>
      </c>
      <c r="GY95">
        <v>62.259</v>
      </c>
      <c r="GZ95">
        <v>28.73</v>
      </c>
      <c r="HA95">
        <v>1</v>
      </c>
      <c r="HB95">
        <v>1.21255</v>
      </c>
      <c r="HC95">
        <v>6.3326000000000002</v>
      </c>
      <c r="HD95">
        <v>20.1311</v>
      </c>
      <c r="HE95">
        <v>5.2112999999999996</v>
      </c>
      <c r="HF95">
        <v>12.004</v>
      </c>
      <c r="HG95">
        <v>4.9875999999999996</v>
      </c>
      <c r="HH95">
        <v>3.2909999999999999</v>
      </c>
      <c r="HI95">
        <v>9999</v>
      </c>
      <c r="HJ95">
        <v>9999</v>
      </c>
      <c r="HK95">
        <v>9999</v>
      </c>
      <c r="HL95">
        <v>999.9</v>
      </c>
      <c r="HM95">
        <v>1.8666400000000001</v>
      </c>
      <c r="HN95">
        <v>1.8667400000000001</v>
      </c>
      <c r="HO95">
        <v>1.8632500000000001</v>
      </c>
      <c r="HP95">
        <v>1.8644099999999999</v>
      </c>
      <c r="HQ95">
        <v>1.8640099999999999</v>
      </c>
      <c r="HR95">
        <v>1.85989</v>
      </c>
      <c r="HS95">
        <v>1.86304</v>
      </c>
      <c r="HT95">
        <v>1.8658399999999999</v>
      </c>
      <c r="HU95">
        <v>5</v>
      </c>
      <c r="HV95">
        <v>0</v>
      </c>
      <c r="HW95">
        <v>0</v>
      </c>
      <c r="HX95">
        <v>0</v>
      </c>
      <c r="HY95" t="s">
        <v>420</v>
      </c>
      <c r="HZ95" t="s">
        <v>421</v>
      </c>
      <c r="IA95" t="s">
        <v>422</v>
      </c>
      <c r="IB95" t="s">
        <v>422</v>
      </c>
      <c r="IC95" t="s">
        <v>422</v>
      </c>
      <c r="ID95" t="s">
        <v>422</v>
      </c>
      <c r="IE95">
        <v>0</v>
      </c>
      <c r="IF95">
        <v>100</v>
      </c>
      <c r="IG95">
        <v>100</v>
      </c>
      <c r="IH95">
        <v>2.5419999999999998</v>
      </c>
      <c r="II95">
        <v>0.1212</v>
      </c>
      <c r="IJ95">
        <v>1.5751990546356911</v>
      </c>
      <c r="IK95">
        <v>3.5576830062418229E-3</v>
      </c>
      <c r="IL95">
        <v>-2.2646740813029151E-6</v>
      </c>
      <c r="IM95">
        <v>6.9609298295988525E-10</v>
      </c>
      <c r="IN95">
        <v>-0.1444105940756443</v>
      </c>
      <c r="IO95">
        <v>-9.4437069492282083E-4</v>
      </c>
      <c r="IP95">
        <v>5.2900373165634467E-4</v>
      </c>
      <c r="IQ95">
        <v>-3.977656803091445E-6</v>
      </c>
      <c r="IR95">
        <v>2</v>
      </c>
      <c r="IS95">
        <v>1759</v>
      </c>
      <c r="IT95">
        <v>2</v>
      </c>
      <c r="IU95">
        <v>42</v>
      </c>
      <c r="IV95">
        <v>1.5</v>
      </c>
      <c r="IW95">
        <v>1.7</v>
      </c>
      <c r="IX95">
        <v>0.99365199999999998</v>
      </c>
      <c r="IY95">
        <v>2.4475099999999999</v>
      </c>
      <c r="IZ95">
        <v>1.54297</v>
      </c>
      <c r="JA95">
        <v>2.3010299999999999</v>
      </c>
      <c r="JB95">
        <v>1.5466299999999999</v>
      </c>
      <c r="JC95">
        <v>2.3156699999999999</v>
      </c>
      <c r="JD95">
        <v>47.571800000000003</v>
      </c>
      <c r="JE95">
        <v>24.043700000000001</v>
      </c>
      <c r="JF95">
        <v>18</v>
      </c>
      <c r="JG95">
        <v>535.88</v>
      </c>
      <c r="JH95">
        <v>406.32600000000002</v>
      </c>
      <c r="JI95">
        <v>23.872800000000002</v>
      </c>
      <c r="JJ95">
        <v>41.1265</v>
      </c>
      <c r="JK95">
        <v>30.002500000000001</v>
      </c>
      <c r="JL95">
        <v>41.248699999999999</v>
      </c>
      <c r="JM95">
        <v>41.244</v>
      </c>
      <c r="JN95">
        <v>20.015699999999999</v>
      </c>
      <c r="JO95">
        <v>65.091800000000006</v>
      </c>
      <c r="JP95">
        <v>0</v>
      </c>
      <c r="JQ95">
        <v>23.8506</v>
      </c>
      <c r="JR95">
        <v>400</v>
      </c>
      <c r="JS95">
        <v>17.940300000000001</v>
      </c>
      <c r="JT95">
        <v>98.057900000000004</v>
      </c>
      <c r="JU95">
        <v>95.840599999999995</v>
      </c>
    </row>
    <row r="96" spans="1:281" x14ac:dyDescent="0.25">
      <c r="A96">
        <v>80</v>
      </c>
      <c r="B96">
        <v>1691179011.5</v>
      </c>
      <c r="C96">
        <v>18100</v>
      </c>
      <c r="D96" t="s">
        <v>824</v>
      </c>
      <c r="E96" t="s">
        <v>825</v>
      </c>
      <c r="F96" t="s">
        <v>413</v>
      </c>
      <c r="G96" t="s">
        <v>779</v>
      </c>
      <c r="H96" t="s">
        <v>780</v>
      </c>
      <c r="I96" t="s">
        <v>31</v>
      </c>
      <c r="J96">
        <v>1691179011.5</v>
      </c>
      <c r="K96">
        <f t="shared" si="92"/>
        <v>6.7104188664296217E-3</v>
      </c>
      <c r="L96">
        <f t="shared" si="93"/>
        <v>6.710418866429622</v>
      </c>
      <c r="M96">
        <f t="shared" si="94"/>
        <v>51.230485962865522</v>
      </c>
      <c r="N96">
        <f t="shared" si="95"/>
        <v>435.108</v>
      </c>
      <c r="O96">
        <f t="shared" si="96"/>
        <v>216.83829728054079</v>
      </c>
      <c r="P96">
        <f t="shared" si="97"/>
        <v>21.500529376537326</v>
      </c>
      <c r="Q96">
        <f t="shared" si="98"/>
        <v>43.142989284144001</v>
      </c>
      <c r="R96">
        <f t="shared" si="99"/>
        <v>0.41816733285238888</v>
      </c>
      <c r="S96">
        <f t="shared" si="100"/>
        <v>2.9137790328583963</v>
      </c>
      <c r="T96">
        <f t="shared" si="101"/>
        <v>0.38746039845556968</v>
      </c>
      <c r="U96">
        <f t="shared" si="102"/>
        <v>0.24473347268955775</v>
      </c>
      <c r="V96">
        <f t="shared" si="103"/>
        <v>344.39819998680423</v>
      </c>
      <c r="W96">
        <f t="shared" si="104"/>
        <v>30.524621990691951</v>
      </c>
      <c r="X96">
        <f t="shared" si="105"/>
        <v>30.019300000000001</v>
      </c>
      <c r="Y96">
        <f t="shared" si="106"/>
        <v>4.2651750877035708</v>
      </c>
      <c r="Z96">
        <f t="shared" si="107"/>
        <v>60.370599966579675</v>
      </c>
      <c r="AA96">
        <f t="shared" si="108"/>
        <v>2.6074306425287999</v>
      </c>
      <c r="AB96">
        <f t="shared" si="109"/>
        <v>4.3190404666712556</v>
      </c>
      <c r="AC96">
        <f t="shared" si="110"/>
        <v>1.6577444451747709</v>
      </c>
      <c r="AD96">
        <f t="shared" si="111"/>
        <v>-295.92947200954632</v>
      </c>
      <c r="AE96">
        <f t="shared" si="112"/>
        <v>34.355070196496051</v>
      </c>
      <c r="AF96">
        <f t="shared" si="113"/>
        <v>2.6249827077056627</v>
      </c>
      <c r="AG96">
        <f t="shared" si="114"/>
        <v>85.448780881459641</v>
      </c>
      <c r="AH96">
        <v>0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51842.620733221716</v>
      </c>
      <c r="AM96" t="s">
        <v>414</v>
      </c>
      <c r="AN96">
        <v>10111.299999999999</v>
      </c>
      <c r="AO96">
        <v>608.58839999999998</v>
      </c>
      <c r="AP96">
        <v>2150.11</v>
      </c>
      <c r="AQ96">
        <f t="shared" si="118"/>
        <v>0.71695010952927984</v>
      </c>
      <c r="AR96">
        <v>-1.1786277417053079</v>
      </c>
      <c r="AS96" t="s">
        <v>826</v>
      </c>
      <c r="AT96">
        <v>8095.25</v>
      </c>
      <c r="AU96">
        <v>699.76576923076914</v>
      </c>
      <c r="AV96">
        <v>1073.352444451901</v>
      </c>
      <c r="AW96">
        <f t="shared" si="119"/>
        <v>0.34805592249980943</v>
      </c>
      <c r="AX96">
        <v>0.5</v>
      </c>
      <c r="AY96">
        <f t="shared" si="120"/>
        <v>1513.288499993402</v>
      </c>
      <c r="AZ96">
        <f t="shared" si="121"/>
        <v>51.230485962865522</v>
      </c>
      <c r="BA96">
        <f t="shared" si="122"/>
        <v>263.35451243677818</v>
      </c>
      <c r="BB96">
        <f t="shared" si="123"/>
        <v>3.4632598942501272E-2</v>
      </c>
      <c r="BC96">
        <f t="shared" si="124"/>
        <v>1.0031724072682733</v>
      </c>
      <c r="BD96">
        <f t="shared" si="125"/>
        <v>473.99775990880374</v>
      </c>
      <c r="BE96" t="s">
        <v>827</v>
      </c>
      <c r="BF96">
        <v>534.04999999999995</v>
      </c>
      <c r="BG96">
        <f t="shared" si="126"/>
        <v>534.04999999999995</v>
      </c>
      <c r="BH96">
        <f t="shared" si="127"/>
        <v>0.5024467473284524</v>
      </c>
      <c r="BI96">
        <f t="shared" si="128"/>
        <v>0.69272201352770069</v>
      </c>
      <c r="BJ96">
        <f t="shared" si="129"/>
        <v>0.66628563020438536</v>
      </c>
      <c r="BK96">
        <f t="shared" si="130"/>
        <v>0.80382008823790319</v>
      </c>
      <c r="BL96">
        <f t="shared" si="131"/>
        <v>0.69850306057865108</v>
      </c>
      <c r="BM96">
        <f t="shared" si="132"/>
        <v>0.52867431873831305</v>
      </c>
      <c r="BN96">
        <f t="shared" si="133"/>
        <v>0.47132568126168695</v>
      </c>
      <c r="BO96">
        <v>7133</v>
      </c>
      <c r="BP96">
        <v>290.00000000000011</v>
      </c>
      <c r="BQ96">
        <v>939.86</v>
      </c>
      <c r="BR96">
        <v>295</v>
      </c>
      <c r="BS96">
        <v>8095.25</v>
      </c>
      <c r="BT96">
        <v>940.78</v>
      </c>
      <c r="BU96">
        <v>-0.92</v>
      </c>
      <c r="BV96">
        <v>300.00000000000011</v>
      </c>
      <c r="BW96">
        <v>19.2</v>
      </c>
      <c r="BX96">
        <v>1073.352444451901</v>
      </c>
      <c r="BY96">
        <v>2.2293097449232668</v>
      </c>
      <c r="BZ96">
        <v>-107.3200204267235</v>
      </c>
      <c r="CA96">
        <v>1.658353297419118</v>
      </c>
      <c r="CB96">
        <v>0.99335864445553168</v>
      </c>
      <c r="CC96">
        <v>-4.17159488320357E-3</v>
      </c>
      <c r="CD96">
        <v>289.99999999999989</v>
      </c>
      <c r="CE96">
        <v>932.88</v>
      </c>
      <c r="CF96">
        <v>635</v>
      </c>
      <c r="CG96">
        <v>8090.35</v>
      </c>
      <c r="CH96">
        <v>940.7</v>
      </c>
      <c r="CI96">
        <v>-7.82</v>
      </c>
      <c r="CW96">
        <f t="shared" si="134"/>
        <v>1800.12</v>
      </c>
      <c r="CX96">
        <f t="shared" si="135"/>
        <v>1513.288499993402</v>
      </c>
      <c r="CY96">
        <f t="shared" si="136"/>
        <v>0.84065978934371155</v>
      </c>
      <c r="CZ96">
        <f t="shared" si="137"/>
        <v>0.19131957868742319</v>
      </c>
      <c r="DA96">
        <v>6</v>
      </c>
      <c r="DB96">
        <v>0.5</v>
      </c>
      <c r="DC96" t="s">
        <v>417</v>
      </c>
      <c r="DD96">
        <v>2</v>
      </c>
      <c r="DE96">
        <v>1691179011.5</v>
      </c>
      <c r="DF96">
        <v>435.108</v>
      </c>
      <c r="DG96">
        <v>500.09699999999998</v>
      </c>
      <c r="DH96">
        <v>26.296600000000002</v>
      </c>
      <c r="DI96">
        <v>18.454799999999999</v>
      </c>
      <c r="DJ96">
        <v>432.34800000000001</v>
      </c>
      <c r="DK96">
        <v>26.179300000000001</v>
      </c>
      <c r="DL96">
        <v>499.93299999999999</v>
      </c>
      <c r="DM96">
        <v>99.054199999999994</v>
      </c>
      <c r="DN96">
        <v>0.100468</v>
      </c>
      <c r="DO96">
        <v>30.238</v>
      </c>
      <c r="DP96">
        <v>30.019300000000001</v>
      </c>
      <c r="DQ96">
        <v>999.9</v>
      </c>
      <c r="DR96">
        <v>0</v>
      </c>
      <c r="DS96">
        <v>0</v>
      </c>
      <c r="DT96">
        <v>10005</v>
      </c>
      <c r="DU96">
        <v>0</v>
      </c>
      <c r="DV96">
        <v>1303.94</v>
      </c>
      <c r="DW96">
        <v>-64.988799999999998</v>
      </c>
      <c r="DX96">
        <v>446.85899999999998</v>
      </c>
      <c r="DY96">
        <v>509.49900000000002</v>
      </c>
      <c r="DZ96">
        <v>7.8418799999999997</v>
      </c>
      <c r="EA96">
        <v>500.09699999999998</v>
      </c>
      <c r="EB96">
        <v>18.454799999999999</v>
      </c>
      <c r="EC96">
        <v>2.6047899999999999</v>
      </c>
      <c r="ED96">
        <v>1.82802</v>
      </c>
      <c r="EE96">
        <v>21.6965</v>
      </c>
      <c r="EF96">
        <v>16.028500000000001</v>
      </c>
      <c r="EG96">
        <v>1800.12</v>
      </c>
      <c r="EH96">
        <v>0.97800600000000004</v>
      </c>
      <c r="EI96">
        <v>2.1993800000000001E-2</v>
      </c>
      <c r="EJ96">
        <v>0</v>
      </c>
      <c r="EK96">
        <v>696.92499999999995</v>
      </c>
      <c r="EL96">
        <v>0.10001</v>
      </c>
      <c r="EM96">
        <v>17001.2</v>
      </c>
      <c r="EN96">
        <v>16354.6</v>
      </c>
      <c r="EO96">
        <v>49.186999999999998</v>
      </c>
      <c r="EP96">
        <v>51</v>
      </c>
      <c r="EQ96">
        <v>50.5</v>
      </c>
      <c r="ER96">
        <v>50.686999999999998</v>
      </c>
      <c r="ES96">
        <v>50.686999999999998</v>
      </c>
      <c r="ET96">
        <v>1760.43</v>
      </c>
      <c r="EU96">
        <v>39.590000000000003</v>
      </c>
      <c r="EV96">
        <v>0</v>
      </c>
      <c r="EW96">
        <v>100.19999980926509</v>
      </c>
      <c r="EX96">
        <v>0</v>
      </c>
      <c r="EY96">
        <v>699.76576923076914</v>
      </c>
      <c r="EZ96">
        <v>-0.24102565794473929</v>
      </c>
      <c r="FA96">
        <v>-116.6188035965333</v>
      </c>
      <c r="FB96">
        <v>17000.196153846151</v>
      </c>
      <c r="FC96">
        <v>15</v>
      </c>
      <c r="FD96">
        <v>1691178982</v>
      </c>
      <c r="FE96" t="s">
        <v>828</v>
      </c>
      <c r="FF96">
        <v>1691178973.5</v>
      </c>
      <c r="FG96">
        <v>1691178982</v>
      </c>
      <c r="FH96">
        <v>89</v>
      </c>
      <c r="FI96">
        <v>1.2999999999999999E-2</v>
      </c>
      <c r="FJ96">
        <v>-5.0000000000000001E-3</v>
      </c>
      <c r="FK96">
        <v>2.883</v>
      </c>
      <c r="FL96">
        <v>-1.6E-2</v>
      </c>
      <c r="FM96">
        <v>500</v>
      </c>
      <c r="FN96">
        <v>18</v>
      </c>
      <c r="FO96">
        <v>0.06</v>
      </c>
      <c r="FP96">
        <v>0.04</v>
      </c>
      <c r="FQ96">
        <v>51.097135025700418</v>
      </c>
      <c r="FR96">
        <v>-0.68084837235372098</v>
      </c>
      <c r="FS96">
        <v>0.1173977265594842</v>
      </c>
      <c r="FT96">
        <v>1</v>
      </c>
      <c r="FU96">
        <v>0.42328304151822771</v>
      </c>
      <c r="FV96">
        <v>-3.8906885155199959E-2</v>
      </c>
      <c r="FW96">
        <v>3.098804945594068E-3</v>
      </c>
      <c r="FX96">
        <v>1</v>
      </c>
      <c r="FY96">
        <v>2</v>
      </c>
      <c r="FZ96">
        <v>2</v>
      </c>
      <c r="GA96" t="s">
        <v>419</v>
      </c>
      <c r="GB96">
        <v>2.8795999999999999</v>
      </c>
      <c r="GC96">
        <v>2.8216999999999999</v>
      </c>
      <c r="GD96">
        <v>9.1385400000000006E-2</v>
      </c>
      <c r="GE96">
        <v>0.102366</v>
      </c>
      <c r="GF96">
        <v>0.120993</v>
      </c>
      <c r="GG96">
        <v>9.4987299999999997E-2</v>
      </c>
      <c r="GH96">
        <v>27741.8</v>
      </c>
      <c r="GI96">
        <v>25550.2</v>
      </c>
      <c r="GJ96">
        <v>28117.5</v>
      </c>
      <c r="GK96">
        <v>26744.799999999999</v>
      </c>
      <c r="GL96">
        <v>34887.199999999997</v>
      </c>
      <c r="GM96">
        <v>33827.699999999997</v>
      </c>
      <c r="GN96">
        <v>41366</v>
      </c>
      <c r="GO96">
        <v>38719.9</v>
      </c>
      <c r="GP96">
        <v>1.9794</v>
      </c>
      <c r="GQ96">
        <v>1.631</v>
      </c>
      <c r="GR96">
        <v>-0.109345</v>
      </c>
      <c r="GS96">
        <v>0</v>
      </c>
      <c r="GT96">
        <v>31.795999999999999</v>
      </c>
      <c r="GU96">
        <v>999.9</v>
      </c>
      <c r="GV96">
        <v>45.2</v>
      </c>
      <c r="GW96">
        <v>45.2</v>
      </c>
      <c r="GX96">
        <v>44.437800000000003</v>
      </c>
      <c r="GY96">
        <v>62.738999999999997</v>
      </c>
      <c r="GZ96">
        <v>28.7059</v>
      </c>
      <c r="HA96">
        <v>1</v>
      </c>
      <c r="HB96">
        <v>1.2481899999999999</v>
      </c>
      <c r="HC96">
        <v>7.3448500000000001</v>
      </c>
      <c r="HD96">
        <v>20.092099999999999</v>
      </c>
      <c r="HE96">
        <v>5.2112999999999996</v>
      </c>
      <c r="HF96">
        <v>12.004</v>
      </c>
      <c r="HG96">
        <v>4.9871999999999996</v>
      </c>
      <c r="HH96">
        <v>3.2909999999999999</v>
      </c>
      <c r="HI96">
        <v>9999</v>
      </c>
      <c r="HJ96">
        <v>9999</v>
      </c>
      <c r="HK96">
        <v>9999</v>
      </c>
      <c r="HL96">
        <v>999.9</v>
      </c>
      <c r="HM96">
        <v>1.8666100000000001</v>
      </c>
      <c r="HN96">
        <v>1.86676</v>
      </c>
      <c r="HO96">
        <v>1.8632500000000001</v>
      </c>
      <c r="HP96">
        <v>1.8644099999999999</v>
      </c>
      <c r="HQ96">
        <v>1.86399</v>
      </c>
      <c r="HR96">
        <v>1.85989</v>
      </c>
      <c r="HS96">
        <v>1.8629800000000001</v>
      </c>
      <c r="HT96">
        <v>1.8658399999999999</v>
      </c>
      <c r="HU96">
        <v>5</v>
      </c>
      <c r="HV96">
        <v>0</v>
      </c>
      <c r="HW96">
        <v>0</v>
      </c>
      <c r="HX96">
        <v>0</v>
      </c>
      <c r="HY96" t="s">
        <v>420</v>
      </c>
      <c r="HZ96" t="s">
        <v>421</v>
      </c>
      <c r="IA96" t="s">
        <v>422</v>
      </c>
      <c r="IB96" t="s">
        <v>422</v>
      </c>
      <c r="IC96" t="s">
        <v>422</v>
      </c>
      <c r="ID96" t="s">
        <v>422</v>
      </c>
      <c r="IE96">
        <v>0</v>
      </c>
      <c r="IF96">
        <v>100</v>
      </c>
      <c r="IG96">
        <v>100</v>
      </c>
      <c r="IH96">
        <v>2.76</v>
      </c>
      <c r="II96">
        <v>0.1173</v>
      </c>
      <c r="IJ96">
        <v>1.58864998252584</v>
      </c>
      <c r="IK96">
        <v>3.5576830062418229E-3</v>
      </c>
      <c r="IL96">
        <v>-2.2646740813029151E-6</v>
      </c>
      <c r="IM96">
        <v>6.9609298295988525E-10</v>
      </c>
      <c r="IN96">
        <v>-0.1491270045234516</v>
      </c>
      <c r="IO96">
        <v>-9.4437069492282083E-4</v>
      </c>
      <c r="IP96">
        <v>5.2900373165634467E-4</v>
      </c>
      <c r="IQ96">
        <v>-3.977656803091445E-6</v>
      </c>
      <c r="IR96">
        <v>2</v>
      </c>
      <c r="IS96">
        <v>1759</v>
      </c>
      <c r="IT96">
        <v>2</v>
      </c>
      <c r="IU96">
        <v>42</v>
      </c>
      <c r="IV96">
        <v>0.6</v>
      </c>
      <c r="IW96">
        <v>0.5</v>
      </c>
      <c r="IX96">
        <v>1.1950700000000001</v>
      </c>
      <c r="IY96">
        <v>2.4450699999999999</v>
      </c>
      <c r="IZ96">
        <v>1.54297</v>
      </c>
      <c r="JA96">
        <v>2.3010299999999999</v>
      </c>
      <c r="JB96">
        <v>1.5466299999999999</v>
      </c>
      <c r="JC96">
        <v>2.3938000000000001</v>
      </c>
      <c r="JD96">
        <v>47.571800000000003</v>
      </c>
      <c r="JE96">
        <v>24.017499999999998</v>
      </c>
      <c r="JF96">
        <v>18</v>
      </c>
      <c r="JG96">
        <v>535.12300000000005</v>
      </c>
      <c r="JH96">
        <v>406.97</v>
      </c>
      <c r="JI96">
        <v>23.161899999999999</v>
      </c>
      <c r="JJ96">
        <v>41.396799999999999</v>
      </c>
      <c r="JK96">
        <v>30.0014</v>
      </c>
      <c r="JL96">
        <v>41.502899999999997</v>
      </c>
      <c r="JM96">
        <v>41.497599999999998</v>
      </c>
      <c r="JN96">
        <v>24.064499999999999</v>
      </c>
      <c r="JO96">
        <v>64.830500000000001</v>
      </c>
      <c r="JP96">
        <v>0</v>
      </c>
      <c r="JQ96">
        <v>23.145900000000001</v>
      </c>
      <c r="JR96">
        <v>500</v>
      </c>
      <c r="JS96">
        <v>18.431999999999999</v>
      </c>
      <c r="JT96">
        <v>98.011200000000002</v>
      </c>
      <c r="JU96">
        <v>95.787400000000005</v>
      </c>
    </row>
    <row r="97" spans="1:281" x14ac:dyDescent="0.25">
      <c r="A97">
        <v>81</v>
      </c>
      <c r="B97">
        <v>1691179133</v>
      </c>
      <c r="C97">
        <v>18221.5</v>
      </c>
      <c r="D97" t="s">
        <v>829</v>
      </c>
      <c r="E97" t="s">
        <v>830</v>
      </c>
      <c r="F97" t="s">
        <v>413</v>
      </c>
      <c r="G97" t="s">
        <v>779</v>
      </c>
      <c r="H97" t="s">
        <v>780</v>
      </c>
      <c r="I97" t="s">
        <v>31</v>
      </c>
      <c r="J97">
        <v>1691179133</v>
      </c>
      <c r="K97">
        <f t="shared" si="92"/>
        <v>6.3368863411806583E-3</v>
      </c>
      <c r="L97">
        <f t="shared" si="93"/>
        <v>6.3368863411806586</v>
      </c>
      <c r="M97">
        <f t="shared" si="94"/>
        <v>52.109298452116519</v>
      </c>
      <c r="N97">
        <f t="shared" si="95"/>
        <v>632.68399999999997</v>
      </c>
      <c r="O97">
        <f t="shared" si="96"/>
        <v>389.32991462123857</v>
      </c>
      <c r="P97">
        <f t="shared" si="97"/>
        <v>38.602699925085695</v>
      </c>
      <c r="Q97">
        <f t="shared" si="98"/>
        <v>62.731656834443996</v>
      </c>
      <c r="R97">
        <f t="shared" si="99"/>
        <v>0.38679387336094878</v>
      </c>
      <c r="S97">
        <f t="shared" si="100"/>
        <v>2.9102325508281508</v>
      </c>
      <c r="T97">
        <f t="shared" si="101"/>
        <v>0.36033582852396462</v>
      </c>
      <c r="U97">
        <f t="shared" si="102"/>
        <v>0.2274360480696368</v>
      </c>
      <c r="V97">
        <f t="shared" si="103"/>
        <v>344.33549998680178</v>
      </c>
      <c r="W97">
        <f t="shared" si="104"/>
        <v>30.508228821404398</v>
      </c>
      <c r="X97">
        <f t="shared" si="105"/>
        <v>29.988800000000001</v>
      </c>
      <c r="Y97">
        <f t="shared" si="106"/>
        <v>4.2577097131041048</v>
      </c>
      <c r="Z97">
        <f t="shared" si="107"/>
        <v>59.989452432409628</v>
      </c>
      <c r="AA97">
        <f t="shared" si="108"/>
        <v>2.5740955823292002</v>
      </c>
      <c r="AB97">
        <f t="shared" si="109"/>
        <v>4.2909136155717453</v>
      </c>
      <c r="AC97">
        <f t="shared" si="110"/>
        <v>1.6836141307749046</v>
      </c>
      <c r="AD97">
        <f t="shared" si="111"/>
        <v>-279.45668764606705</v>
      </c>
      <c r="AE97">
        <f t="shared" si="112"/>
        <v>21.228090670017032</v>
      </c>
      <c r="AF97">
        <f t="shared" si="113"/>
        <v>1.6228002436077122</v>
      </c>
      <c r="AG97">
        <f t="shared" si="114"/>
        <v>87.729703254359436</v>
      </c>
      <c r="AH97">
        <v>0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51761.238307527972</v>
      </c>
      <c r="AM97" t="s">
        <v>414</v>
      </c>
      <c r="AN97">
        <v>10111.299999999999</v>
      </c>
      <c r="AO97">
        <v>608.58839999999998</v>
      </c>
      <c r="AP97">
        <v>2150.11</v>
      </c>
      <c r="AQ97">
        <f t="shared" si="118"/>
        <v>0.71695010952927984</v>
      </c>
      <c r="AR97">
        <v>-1.1786277417053079</v>
      </c>
      <c r="AS97" t="s">
        <v>831</v>
      </c>
      <c r="AT97">
        <v>8095.48</v>
      </c>
      <c r="AU97">
        <v>702.84961538461528</v>
      </c>
      <c r="AV97">
        <v>1082.215159354965</v>
      </c>
      <c r="AW97">
        <f t="shared" si="119"/>
        <v>0.35054539819647668</v>
      </c>
      <c r="AX97">
        <v>0.5</v>
      </c>
      <c r="AY97">
        <f t="shared" si="120"/>
        <v>1513.0112999934011</v>
      </c>
      <c r="AZ97">
        <f t="shared" si="121"/>
        <v>52.109298452116519</v>
      </c>
      <c r="BA97">
        <f t="shared" si="122"/>
        <v>265.18957431597778</v>
      </c>
      <c r="BB97">
        <f t="shared" si="123"/>
        <v>3.5219780707556013E-2</v>
      </c>
      <c r="BC97">
        <f t="shared" si="124"/>
        <v>0.98676758629174521</v>
      </c>
      <c r="BD97">
        <f t="shared" si="125"/>
        <v>475.71818933745243</v>
      </c>
      <c r="BE97" t="s">
        <v>832</v>
      </c>
      <c r="BF97">
        <v>533.92999999999995</v>
      </c>
      <c r="BG97">
        <f t="shared" si="126"/>
        <v>533.92999999999995</v>
      </c>
      <c r="BH97">
        <f t="shared" si="127"/>
        <v>0.50663230376643464</v>
      </c>
      <c r="BI97">
        <f t="shared" si="128"/>
        <v>0.69191284406942122</v>
      </c>
      <c r="BJ97">
        <f t="shared" si="129"/>
        <v>0.66075241659037665</v>
      </c>
      <c r="BK97">
        <f t="shared" si="130"/>
        <v>0.80097996254901183</v>
      </c>
      <c r="BL97">
        <f t="shared" si="131"/>
        <v>0.6927537315370963</v>
      </c>
      <c r="BM97">
        <f t="shared" si="132"/>
        <v>0.52562172155678555</v>
      </c>
      <c r="BN97">
        <f t="shared" si="133"/>
        <v>0.47437827844321445</v>
      </c>
      <c r="BO97">
        <v>7135</v>
      </c>
      <c r="BP97">
        <v>290.00000000000011</v>
      </c>
      <c r="BQ97">
        <v>948.92</v>
      </c>
      <c r="BR97">
        <v>285</v>
      </c>
      <c r="BS97">
        <v>8095.48</v>
      </c>
      <c r="BT97">
        <v>950.05</v>
      </c>
      <c r="BU97">
        <v>-1.1299999999999999</v>
      </c>
      <c r="BV97">
        <v>300.00000000000011</v>
      </c>
      <c r="BW97">
        <v>19.2</v>
      </c>
      <c r="BX97">
        <v>1082.215159354965</v>
      </c>
      <c r="BY97">
        <v>2.6217317759261509</v>
      </c>
      <c r="BZ97">
        <v>-106.9945199483513</v>
      </c>
      <c r="CA97">
        <v>1.950322773992208</v>
      </c>
      <c r="CB97">
        <v>0.99078222395042503</v>
      </c>
      <c r="CC97">
        <v>-4.1716576195773144E-3</v>
      </c>
      <c r="CD97">
        <v>289.99999999999989</v>
      </c>
      <c r="CE97">
        <v>941.65</v>
      </c>
      <c r="CF97">
        <v>705</v>
      </c>
      <c r="CG97">
        <v>8089.14</v>
      </c>
      <c r="CH97">
        <v>949.95</v>
      </c>
      <c r="CI97">
        <v>-8.3000000000000007</v>
      </c>
      <c r="CW97">
        <f t="shared" si="134"/>
        <v>1799.79</v>
      </c>
      <c r="CX97">
        <f t="shared" si="135"/>
        <v>1513.0112999934011</v>
      </c>
      <c r="CY97">
        <f t="shared" si="136"/>
        <v>0.84065991031920451</v>
      </c>
      <c r="CZ97">
        <f t="shared" si="137"/>
        <v>0.1913198206384088</v>
      </c>
      <c r="DA97">
        <v>6</v>
      </c>
      <c r="DB97">
        <v>0.5</v>
      </c>
      <c r="DC97" t="s">
        <v>417</v>
      </c>
      <c r="DD97">
        <v>2</v>
      </c>
      <c r="DE97">
        <v>1691179133</v>
      </c>
      <c r="DF97">
        <v>632.68399999999997</v>
      </c>
      <c r="DG97">
        <v>700.01400000000001</v>
      </c>
      <c r="DH97">
        <v>25.961200000000002</v>
      </c>
      <c r="DI97">
        <v>18.555700000000002</v>
      </c>
      <c r="DJ97">
        <v>629.18499999999995</v>
      </c>
      <c r="DK97">
        <v>25.854900000000001</v>
      </c>
      <c r="DL97">
        <v>500.09100000000001</v>
      </c>
      <c r="DM97">
        <v>99.051500000000004</v>
      </c>
      <c r="DN97">
        <v>0.10014099999999999</v>
      </c>
      <c r="DO97">
        <v>30.124099999999999</v>
      </c>
      <c r="DP97">
        <v>29.988800000000001</v>
      </c>
      <c r="DQ97">
        <v>999.9</v>
      </c>
      <c r="DR97">
        <v>0</v>
      </c>
      <c r="DS97">
        <v>0</v>
      </c>
      <c r="DT97">
        <v>9985</v>
      </c>
      <c r="DU97">
        <v>0</v>
      </c>
      <c r="DV97">
        <v>1279.9100000000001</v>
      </c>
      <c r="DW97">
        <v>-67.330399999999997</v>
      </c>
      <c r="DX97">
        <v>649.54700000000003</v>
      </c>
      <c r="DY97">
        <v>713.24900000000002</v>
      </c>
      <c r="DZ97">
        <v>7.4055200000000001</v>
      </c>
      <c r="EA97">
        <v>700.01400000000001</v>
      </c>
      <c r="EB97">
        <v>18.555700000000002</v>
      </c>
      <c r="EC97">
        <v>2.5714899999999998</v>
      </c>
      <c r="ED97">
        <v>1.83796</v>
      </c>
      <c r="EE97">
        <v>21.4862</v>
      </c>
      <c r="EF97">
        <v>16.113499999999998</v>
      </c>
      <c r="EG97">
        <v>1799.79</v>
      </c>
      <c r="EH97">
        <v>0.97800299999999996</v>
      </c>
      <c r="EI97">
        <v>2.19974E-2</v>
      </c>
      <c r="EJ97">
        <v>0</v>
      </c>
      <c r="EK97">
        <v>702.91</v>
      </c>
      <c r="EL97">
        <v>0.10001</v>
      </c>
      <c r="EM97">
        <v>16948.5</v>
      </c>
      <c r="EN97">
        <v>16351.6</v>
      </c>
      <c r="EO97">
        <v>49.125</v>
      </c>
      <c r="EP97">
        <v>50.936999999999998</v>
      </c>
      <c r="EQ97">
        <v>50.436999999999998</v>
      </c>
      <c r="ER97">
        <v>50.561999999999998</v>
      </c>
      <c r="ES97">
        <v>50.686999999999998</v>
      </c>
      <c r="ET97">
        <v>1760.1</v>
      </c>
      <c r="EU97">
        <v>39.590000000000003</v>
      </c>
      <c r="EV97">
        <v>0</v>
      </c>
      <c r="EW97">
        <v>119.3999998569489</v>
      </c>
      <c r="EX97">
        <v>0</v>
      </c>
      <c r="EY97">
        <v>702.84961538461528</v>
      </c>
      <c r="EZ97">
        <v>3.710085571521637</v>
      </c>
      <c r="FA97">
        <v>-105.35384632910051</v>
      </c>
      <c r="FB97">
        <v>16963.2</v>
      </c>
      <c r="FC97">
        <v>15</v>
      </c>
      <c r="FD97">
        <v>1691179091</v>
      </c>
      <c r="FE97" t="s">
        <v>833</v>
      </c>
      <c r="FF97">
        <v>1691179089</v>
      </c>
      <c r="FG97">
        <v>1691179091</v>
      </c>
      <c r="FH97">
        <v>90</v>
      </c>
      <c r="FI97">
        <v>0.39400000000000002</v>
      </c>
      <c r="FJ97">
        <v>-5.0000000000000001E-3</v>
      </c>
      <c r="FK97">
        <v>3.5979999999999999</v>
      </c>
      <c r="FL97">
        <v>-1.7999999999999999E-2</v>
      </c>
      <c r="FM97">
        <v>701</v>
      </c>
      <c r="FN97">
        <v>18</v>
      </c>
      <c r="FO97">
        <v>0.09</v>
      </c>
      <c r="FP97">
        <v>0.02</v>
      </c>
      <c r="FQ97">
        <v>52.068369805018982</v>
      </c>
      <c r="FR97">
        <v>0.64651097282705106</v>
      </c>
      <c r="FS97">
        <v>0.15686287835092519</v>
      </c>
      <c r="FT97">
        <v>1</v>
      </c>
      <c r="FU97">
        <v>0.39114772352317623</v>
      </c>
      <c r="FV97">
        <v>-4.5886347848860733E-2</v>
      </c>
      <c r="FW97">
        <v>3.5453552106685781E-3</v>
      </c>
      <c r="FX97">
        <v>1</v>
      </c>
      <c r="FY97">
        <v>2</v>
      </c>
      <c r="FZ97">
        <v>2</v>
      </c>
      <c r="GA97" t="s">
        <v>419</v>
      </c>
      <c r="GB97">
        <v>2.8795700000000002</v>
      </c>
      <c r="GC97">
        <v>2.8212100000000002</v>
      </c>
      <c r="GD97">
        <v>0.120089</v>
      </c>
      <c r="GE97">
        <v>0.129856</v>
      </c>
      <c r="GF97">
        <v>0.119882</v>
      </c>
      <c r="GG97">
        <v>9.5300200000000002E-2</v>
      </c>
      <c r="GH97">
        <v>26857.5</v>
      </c>
      <c r="GI97">
        <v>24758.2</v>
      </c>
      <c r="GJ97">
        <v>28110.400000000001</v>
      </c>
      <c r="GK97">
        <v>26736.2</v>
      </c>
      <c r="GL97">
        <v>34923.9</v>
      </c>
      <c r="GM97">
        <v>33806.6</v>
      </c>
      <c r="GN97">
        <v>41356.300000000003</v>
      </c>
      <c r="GO97">
        <v>38708.300000000003</v>
      </c>
      <c r="GP97">
        <v>1.9785999999999999</v>
      </c>
      <c r="GQ97">
        <v>1.6293</v>
      </c>
      <c r="GR97">
        <v>-0.101328</v>
      </c>
      <c r="GS97">
        <v>0</v>
      </c>
      <c r="GT97">
        <v>31.6355</v>
      </c>
      <c r="GU97">
        <v>999.9</v>
      </c>
      <c r="GV97">
        <v>45.3</v>
      </c>
      <c r="GW97">
        <v>45.1</v>
      </c>
      <c r="GX97">
        <v>44.308399999999999</v>
      </c>
      <c r="GY97">
        <v>62.749099999999999</v>
      </c>
      <c r="GZ97">
        <v>28.742000000000001</v>
      </c>
      <c r="HA97">
        <v>1</v>
      </c>
      <c r="HB97">
        <v>1.2622199999999999</v>
      </c>
      <c r="HC97">
        <v>6.8083</v>
      </c>
      <c r="HD97">
        <v>20.112100000000002</v>
      </c>
      <c r="HE97">
        <v>5.2107000000000001</v>
      </c>
      <c r="HF97">
        <v>12.004</v>
      </c>
      <c r="HG97">
        <v>4.9871999999999996</v>
      </c>
      <c r="HH97">
        <v>3.2909999999999999</v>
      </c>
      <c r="HI97">
        <v>9999</v>
      </c>
      <c r="HJ97">
        <v>9999</v>
      </c>
      <c r="HK97">
        <v>9999</v>
      </c>
      <c r="HL97">
        <v>999.9</v>
      </c>
      <c r="HM97">
        <v>1.8666700000000001</v>
      </c>
      <c r="HN97">
        <v>1.86676</v>
      </c>
      <c r="HO97">
        <v>1.8632500000000001</v>
      </c>
      <c r="HP97">
        <v>1.8644499999999999</v>
      </c>
      <c r="HQ97">
        <v>1.8640099999999999</v>
      </c>
      <c r="HR97">
        <v>1.85989</v>
      </c>
      <c r="HS97">
        <v>1.8631</v>
      </c>
      <c r="HT97">
        <v>1.8658399999999999</v>
      </c>
      <c r="HU97">
        <v>5</v>
      </c>
      <c r="HV97">
        <v>0</v>
      </c>
      <c r="HW97">
        <v>0</v>
      </c>
      <c r="HX97">
        <v>0</v>
      </c>
      <c r="HY97" t="s">
        <v>420</v>
      </c>
      <c r="HZ97" t="s">
        <v>421</v>
      </c>
      <c r="IA97" t="s">
        <v>422</v>
      </c>
      <c r="IB97" t="s">
        <v>422</v>
      </c>
      <c r="IC97" t="s">
        <v>422</v>
      </c>
      <c r="ID97" t="s">
        <v>422</v>
      </c>
      <c r="IE97">
        <v>0</v>
      </c>
      <c r="IF97">
        <v>100</v>
      </c>
      <c r="IG97">
        <v>100</v>
      </c>
      <c r="IH97">
        <v>3.4990000000000001</v>
      </c>
      <c r="II97">
        <v>0.10630000000000001</v>
      </c>
      <c r="IJ97">
        <v>1.983073871740499</v>
      </c>
      <c r="IK97">
        <v>3.5576830062418229E-3</v>
      </c>
      <c r="IL97">
        <v>-2.2646740813029151E-6</v>
      </c>
      <c r="IM97">
        <v>6.9609298295988525E-10</v>
      </c>
      <c r="IN97">
        <v>-0.1541470044302195</v>
      </c>
      <c r="IO97">
        <v>-9.4437069492282083E-4</v>
      </c>
      <c r="IP97">
        <v>5.2900373165634467E-4</v>
      </c>
      <c r="IQ97">
        <v>-3.977656803091445E-6</v>
      </c>
      <c r="IR97">
        <v>2</v>
      </c>
      <c r="IS97">
        <v>1759</v>
      </c>
      <c r="IT97">
        <v>2</v>
      </c>
      <c r="IU97">
        <v>42</v>
      </c>
      <c r="IV97">
        <v>0.7</v>
      </c>
      <c r="IW97">
        <v>0.7</v>
      </c>
      <c r="IX97">
        <v>1.58203</v>
      </c>
      <c r="IY97">
        <v>2.4499499999999999</v>
      </c>
      <c r="IZ97">
        <v>1.54297</v>
      </c>
      <c r="JA97">
        <v>2.3010299999999999</v>
      </c>
      <c r="JB97">
        <v>1.5466299999999999</v>
      </c>
      <c r="JC97">
        <v>2.3107899999999999</v>
      </c>
      <c r="JD97">
        <v>47.601900000000001</v>
      </c>
      <c r="JE97">
        <v>24.026199999999999</v>
      </c>
      <c r="JF97">
        <v>18</v>
      </c>
      <c r="JG97">
        <v>536.45600000000002</v>
      </c>
      <c r="JH97">
        <v>407.30500000000001</v>
      </c>
      <c r="JI97">
        <v>23.269300000000001</v>
      </c>
      <c r="JJ97">
        <v>41.627899999999997</v>
      </c>
      <c r="JK97">
        <v>30.000599999999999</v>
      </c>
      <c r="JL97">
        <v>41.752299999999998</v>
      </c>
      <c r="JM97">
        <v>41.743000000000002</v>
      </c>
      <c r="JN97">
        <v>31.773900000000001</v>
      </c>
      <c r="JO97">
        <v>64.082599999999999</v>
      </c>
      <c r="JP97">
        <v>0</v>
      </c>
      <c r="JQ97">
        <v>23.2819</v>
      </c>
      <c r="JR97">
        <v>700</v>
      </c>
      <c r="JS97">
        <v>18.6754</v>
      </c>
      <c r="JT97">
        <v>97.987499999999997</v>
      </c>
      <c r="JU97">
        <v>95.7577</v>
      </c>
    </row>
    <row r="98" spans="1:281" x14ac:dyDescent="0.25">
      <c r="A98">
        <v>82</v>
      </c>
      <c r="B98">
        <v>1691179257.5</v>
      </c>
      <c r="C98">
        <v>18346</v>
      </c>
      <c r="D98" t="s">
        <v>834</v>
      </c>
      <c r="E98" t="s">
        <v>835</v>
      </c>
      <c r="F98" t="s">
        <v>413</v>
      </c>
      <c r="G98" t="s">
        <v>779</v>
      </c>
      <c r="H98" t="s">
        <v>780</v>
      </c>
      <c r="I98" t="s">
        <v>31</v>
      </c>
      <c r="J98">
        <v>1691179257.5</v>
      </c>
      <c r="K98">
        <f t="shared" si="92"/>
        <v>5.7516992639277389E-3</v>
      </c>
      <c r="L98">
        <f t="shared" si="93"/>
        <v>5.7516992639277387</v>
      </c>
      <c r="M98">
        <f t="shared" si="94"/>
        <v>51.840562490582442</v>
      </c>
      <c r="N98">
        <f t="shared" si="95"/>
        <v>832.005</v>
      </c>
      <c r="O98">
        <f t="shared" si="96"/>
        <v>557.96711475838947</v>
      </c>
      <c r="P98">
        <f t="shared" si="97"/>
        <v>55.32260586988464</v>
      </c>
      <c r="Q98">
        <f t="shared" si="98"/>
        <v>82.493543937091502</v>
      </c>
      <c r="R98">
        <f t="shared" si="99"/>
        <v>0.34422871455926318</v>
      </c>
      <c r="S98">
        <f t="shared" si="100"/>
        <v>2.9185221840525855</v>
      </c>
      <c r="T98">
        <f t="shared" si="101"/>
        <v>0.32315897313478592</v>
      </c>
      <c r="U98">
        <f t="shared" si="102"/>
        <v>0.20375983136791415</v>
      </c>
      <c r="V98">
        <f t="shared" si="103"/>
        <v>344.32029998680122</v>
      </c>
      <c r="W98">
        <f t="shared" si="104"/>
        <v>30.569550249239473</v>
      </c>
      <c r="X98">
        <f t="shared" si="105"/>
        <v>30.021999999999998</v>
      </c>
      <c r="Y98">
        <f t="shared" si="106"/>
        <v>4.265836506212124</v>
      </c>
      <c r="Z98">
        <f t="shared" si="107"/>
        <v>60.014149735783803</v>
      </c>
      <c r="AA98">
        <f t="shared" si="108"/>
        <v>2.5618850675947198</v>
      </c>
      <c r="AB98">
        <f t="shared" si="109"/>
        <v>4.2688017390458501</v>
      </c>
      <c r="AC98">
        <f t="shared" si="110"/>
        <v>1.7039514386174042</v>
      </c>
      <c r="AD98">
        <f t="shared" si="111"/>
        <v>-253.64993753921328</v>
      </c>
      <c r="AE98">
        <f t="shared" si="112"/>
        <v>1.9038547526384151</v>
      </c>
      <c r="AF98">
        <f t="shared" si="113"/>
        <v>0.14508767292028471</v>
      </c>
      <c r="AG98">
        <f t="shared" si="114"/>
        <v>92.719304873146626</v>
      </c>
      <c r="AH98">
        <v>0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52012.409972134388</v>
      </c>
      <c r="AM98" t="s">
        <v>414</v>
      </c>
      <c r="AN98">
        <v>10111.299999999999</v>
      </c>
      <c r="AO98">
        <v>608.58839999999998</v>
      </c>
      <c r="AP98">
        <v>2150.11</v>
      </c>
      <c r="AQ98">
        <f t="shared" si="118"/>
        <v>0.71695010952927984</v>
      </c>
      <c r="AR98">
        <v>-1.1786277417053079</v>
      </c>
      <c r="AS98" t="s">
        <v>836</v>
      </c>
      <c r="AT98">
        <v>8096.95</v>
      </c>
      <c r="AU98">
        <v>701.56538461538469</v>
      </c>
      <c r="AV98">
        <v>1074.1926609004961</v>
      </c>
      <c r="AW98">
        <f t="shared" si="119"/>
        <v>0.34689054379941286</v>
      </c>
      <c r="AX98">
        <v>0.5</v>
      </c>
      <c r="AY98">
        <f t="shared" si="120"/>
        <v>1512.9440999934006</v>
      </c>
      <c r="AZ98">
        <f t="shared" si="121"/>
        <v>51.840562490582442</v>
      </c>
      <c r="BA98">
        <f t="shared" si="122"/>
        <v>262.41300079241199</v>
      </c>
      <c r="BB98">
        <f t="shared" si="123"/>
        <v>3.5043720539654447E-2</v>
      </c>
      <c r="BC98">
        <f t="shared" si="124"/>
        <v>1.0016055576078524</v>
      </c>
      <c r="BD98">
        <f t="shared" si="125"/>
        <v>474.16154307615432</v>
      </c>
      <c r="BE98" t="s">
        <v>837</v>
      </c>
      <c r="BF98">
        <v>534.57000000000005</v>
      </c>
      <c r="BG98">
        <f t="shared" si="126"/>
        <v>534.57000000000005</v>
      </c>
      <c r="BH98">
        <f t="shared" si="127"/>
        <v>0.5023518411009531</v>
      </c>
      <c r="BI98">
        <f t="shared" si="128"/>
        <v>0.69053303963048762</v>
      </c>
      <c r="BJ98">
        <f t="shared" si="129"/>
        <v>0.66598000612767494</v>
      </c>
      <c r="BK98">
        <f t="shared" si="130"/>
        <v>0.80030899108276254</v>
      </c>
      <c r="BL98">
        <f t="shared" si="131"/>
        <v>0.697958004026349</v>
      </c>
      <c r="BM98">
        <f t="shared" si="132"/>
        <v>0.52616371202185297</v>
      </c>
      <c r="BN98">
        <f t="shared" si="133"/>
        <v>0.47383628797814703</v>
      </c>
      <c r="BO98">
        <v>7137</v>
      </c>
      <c r="BP98">
        <v>290.00000000000011</v>
      </c>
      <c r="BQ98">
        <v>948.27</v>
      </c>
      <c r="BR98">
        <v>245</v>
      </c>
      <c r="BS98">
        <v>8096.95</v>
      </c>
      <c r="BT98">
        <v>949.02</v>
      </c>
      <c r="BU98">
        <v>-0.75</v>
      </c>
      <c r="BV98">
        <v>300.00000000000011</v>
      </c>
      <c r="BW98">
        <v>19.2</v>
      </c>
      <c r="BX98">
        <v>1074.1926609004961</v>
      </c>
      <c r="BY98">
        <v>2.5758188678967491</v>
      </c>
      <c r="BZ98">
        <v>-101.347697126133</v>
      </c>
      <c r="CA98">
        <v>1.916170056846634</v>
      </c>
      <c r="CB98">
        <v>0.99009001400910956</v>
      </c>
      <c r="CC98">
        <v>-4.1716718576195796E-3</v>
      </c>
      <c r="CD98">
        <v>289.99999999999989</v>
      </c>
      <c r="CE98">
        <v>943.29</v>
      </c>
      <c r="CF98">
        <v>645</v>
      </c>
      <c r="CG98">
        <v>8090.33</v>
      </c>
      <c r="CH98">
        <v>948.92</v>
      </c>
      <c r="CI98">
        <v>-5.63</v>
      </c>
      <c r="CW98">
        <f t="shared" si="134"/>
        <v>1799.71</v>
      </c>
      <c r="CX98">
        <f t="shared" si="135"/>
        <v>1512.9440999934006</v>
      </c>
      <c r="CY98">
        <f t="shared" si="136"/>
        <v>0.84065993965327779</v>
      </c>
      <c r="CZ98">
        <f t="shared" si="137"/>
        <v>0.19131987930655561</v>
      </c>
      <c r="DA98">
        <v>6</v>
      </c>
      <c r="DB98">
        <v>0.5</v>
      </c>
      <c r="DC98" t="s">
        <v>417</v>
      </c>
      <c r="DD98">
        <v>2</v>
      </c>
      <c r="DE98">
        <v>1691179257.5</v>
      </c>
      <c r="DF98">
        <v>832.005</v>
      </c>
      <c r="DG98">
        <v>899.93799999999999</v>
      </c>
      <c r="DH98">
        <v>25.8384</v>
      </c>
      <c r="DI98">
        <v>19.116499999999998</v>
      </c>
      <c r="DJ98">
        <v>828.20699999999999</v>
      </c>
      <c r="DK98">
        <v>25.739000000000001</v>
      </c>
      <c r="DL98">
        <v>500.13400000000001</v>
      </c>
      <c r="DM98">
        <v>99.050799999999995</v>
      </c>
      <c r="DN98">
        <v>9.9498299999999998E-2</v>
      </c>
      <c r="DO98">
        <v>30.034099999999999</v>
      </c>
      <c r="DP98">
        <v>30.021999999999998</v>
      </c>
      <c r="DQ98">
        <v>999.9</v>
      </c>
      <c r="DR98">
        <v>0</v>
      </c>
      <c r="DS98">
        <v>0</v>
      </c>
      <c r="DT98">
        <v>10032.5</v>
      </c>
      <c r="DU98">
        <v>0</v>
      </c>
      <c r="DV98">
        <v>1281.6099999999999</v>
      </c>
      <c r="DW98">
        <v>-67.933599999999998</v>
      </c>
      <c r="DX98">
        <v>854.07299999999998</v>
      </c>
      <c r="DY98">
        <v>917.47699999999998</v>
      </c>
      <c r="DZ98">
        <v>6.7218600000000004</v>
      </c>
      <c r="EA98">
        <v>899.93799999999999</v>
      </c>
      <c r="EB98">
        <v>19.116499999999998</v>
      </c>
      <c r="EC98">
        <v>2.55931</v>
      </c>
      <c r="ED98">
        <v>1.8935</v>
      </c>
      <c r="EE98">
        <v>21.4087</v>
      </c>
      <c r="EF98">
        <v>16.5808</v>
      </c>
      <c r="EG98">
        <v>1799.71</v>
      </c>
      <c r="EH98">
        <v>0.97800299999999996</v>
      </c>
      <c r="EI98">
        <v>2.19974E-2</v>
      </c>
      <c r="EJ98">
        <v>0</v>
      </c>
      <c r="EK98">
        <v>701.75</v>
      </c>
      <c r="EL98">
        <v>0.10001</v>
      </c>
      <c r="EM98">
        <v>16946.7</v>
      </c>
      <c r="EN98">
        <v>16350.8</v>
      </c>
      <c r="EO98">
        <v>49.061999999999998</v>
      </c>
      <c r="EP98">
        <v>50.811999999999998</v>
      </c>
      <c r="EQ98">
        <v>50.375</v>
      </c>
      <c r="ER98">
        <v>50.436999999999998</v>
      </c>
      <c r="ES98">
        <v>50.561999999999998</v>
      </c>
      <c r="ET98">
        <v>1760.02</v>
      </c>
      <c r="EU98">
        <v>39.590000000000003</v>
      </c>
      <c r="EV98">
        <v>0</v>
      </c>
      <c r="EW98">
        <v>122.5999999046326</v>
      </c>
      <c r="EX98">
        <v>0</v>
      </c>
      <c r="EY98">
        <v>701.56538461538469</v>
      </c>
      <c r="EZ98">
        <v>6.4140170114626214</v>
      </c>
      <c r="FA98">
        <v>-157.25128163705469</v>
      </c>
      <c r="FB98">
        <v>16963.45384615385</v>
      </c>
      <c r="FC98">
        <v>15</v>
      </c>
      <c r="FD98">
        <v>1691179215</v>
      </c>
      <c r="FE98" t="s">
        <v>838</v>
      </c>
      <c r="FF98">
        <v>1691179206.5</v>
      </c>
      <c r="FG98">
        <v>1691179215</v>
      </c>
      <c r="FH98">
        <v>91</v>
      </c>
      <c r="FI98">
        <v>2.5999999999999999E-2</v>
      </c>
      <c r="FJ98">
        <v>-5.0000000000000001E-3</v>
      </c>
      <c r="FK98">
        <v>3.88</v>
      </c>
      <c r="FL98">
        <v>-1.7000000000000001E-2</v>
      </c>
      <c r="FM98">
        <v>900</v>
      </c>
      <c r="FN98">
        <v>19</v>
      </c>
      <c r="FO98">
        <v>0.09</v>
      </c>
      <c r="FP98">
        <v>0.02</v>
      </c>
      <c r="FQ98">
        <v>51.946384874221437</v>
      </c>
      <c r="FR98">
        <v>0.61164706177110417</v>
      </c>
      <c r="FS98">
        <v>0.15076826820203679</v>
      </c>
      <c r="FT98">
        <v>1</v>
      </c>
      <c r="FU98">
        <v>0.34995483974923303</v>
      </c>
      <c r="FV98">
        <v>-4.5201523189873617E-2</v>
      </c>
      <c r="FW98">
        <v>3.3208332033291322E-3</v>
      </c>
      <c r="FX98">
        <v>1</v>
      </c>
      <c r="FY98">
        <v>2</v>
      </c>
      <c r="FZ98">
        <v>2</v>
      </c>
      <c r="GA98" t="s">
        <v>419</v>
      </c>
      <c r="GB98">
        <v>2.87954</v>
      </c>
      <c r="GC98">
        <v>2.82098</v>
      </c>
      <c r="GD98">
        <v>0.14480299999999999</v>
      </c>
      <c r="GE98">
        <v>0.15356900000000001</v>
      </c>
      <c r="GF98">
        <v>0.11947099999999999</v>
      </c>
      <c r="GG98">
        <v>9.7301499999999999E-2</v>
      </c>
      <c r="GH98">
        <v>26101.5</v>
      </c>
      <c r="GI98">
        <v>24079.4</v>
      </c>
      <c r="GJ98">
        <v>28110.400000000001</v>
      </c>
      <c r="GK98">
        <v>26733.599999999999</v>
      </c>
      <c r="GL98">
        <v>34939.800000000003</v>
      </c>
      <c r="GM98">
        <v>33730</v>
      </c>
      <c r="GN98">
        <v>41355.199999999997</v>
      </c>
      <c r="GO98">
        <v>38705.1</v>
      </c>
      <c r="GP98">
        <v>1.9771000000000001</v>
      </c>
      <c r="GQ98">
        <v>1.6301000000000001</v>
      </c>
      <c r="GR98">
        <v>-8.4579000000000001E-2</v>
      </c>
      <c r="GS98">
        <v>0</v>
      </c>
      <c r="GT98">
        <v>31.396799999999999</v>
      </c>
      <c r="GU98">
        <v>999.9</v>
      </c>
      <c r="GV98">
        <v>45.4</v>
      </c>
      <c r="GW98">
        <v>45.1</v>
      </c>
      <c r="GX98">
        <v>44.404000000000003</v>
      </c>
      <c r="GY98">
        <v>62.649099999999997</v>
      </c>
      <c r="GZ98">
        <v>29.002400000000002</v>
      </c>
      <c r="HA98">
        <v>1</v>
      </c>
      <c r="HB98">
        <v>1.2663800000000001</v>
      </c>
      <c r="HC98">
        <v>6.9268299999999998</v>
      </c>
      <c r="HD98">
        <v>20.110199999999999</v>
      </c>
      <c r="HE98">
        <v>5.2065099999999997</v>
      </c>
      <c r="HF98">
        <v>12.004</v>
      </c>
      <c r="HG98">
        <v>4.9863999999999997</v>
      </c>
      <c r="HH98">
        <v>3.2909999999999999</v>
      </c>
      <c r="HI98">
        <v>9999</v>
      </c>
      <c r="HJ98">
        <v>9999</v>
      </c>
      <c r="HK98">
        <v>9999</v>
      </c>
      <c r="HL98">
        <v>999.9</v>
      </c>
      <c r="HM98">
        <v>1.8666100000000001</v>
      </c>
      <c r="HN98">
        <v>1.86676</v>
      </c>
      <c r="HO98">
        <v>1.86324</v>
      </c>
      <c r="HP98">
        <v>1.8644700000000001</v>
      </c>
      <c r="HQ98">
        <v>1.8640099999999999</v>
      </c>
      <c r="HR98">
        <v>1.85989</v>
      </c>
      <c r="HS98">
        <v>1.86303</v>
      </c>
      <c r="HT98">
        <v>1.86582</v>
      </c>
      <c r="HU98">
        <v>5</v>
      </c>
      <c r="HV98">
        <v>0</v>
      </c>
      <c r="HW98">
        <v>0</v>
      </c>
      <c r="HX98">
        <v>0</v>
      </c>
      <c r="HY98" t="s">
        <v>420</v>
      </c>
      <c r="HZ98" t="s">
        <v>421</v>
      </c>
      <c r="IA98" t="s">
        <v>422</v>
      </c>
      <c r="IB98" t="s">
        <v>422</v>
      </c>
      <c r="IC98" t="s">
        <v>422</v>
      </c>
      <c r="ID98" t="s">
        <v>422</v>
      </c>
      <c r="IE98">
        <v>0</v>
      </c>
      <c r="IF98">
        <v>100</v>
      </c>
      <c r="IG98">
        <v>100</v>
      </c>
      <c r="IH98">
        <v>3.798</v>
      </c>
      <c r="II98">
        <v>9.9400000000000002E-2</v>
      </c>
      <c r="IJ98">
        <v>2.009366304653863</v>
      </c>
      <c r="IK98">
        <v>3.5576830062418229E-3</v>
      </c>
      <c r="IL98">
        <v>-2.2646740813029151E-6</v>
      </c>
      <c r="IM98">
        <v>6.9609298295988525E-10</v>
      </c>
      <c r="IN98">
        <v>-0.15901093099471969</v>
      </c>
      <c r="IO98">
        <v>-9.4437069492282083E-4</v>
      </c>
      <c r="IP98">
        <v>5.2900373165634467E-4</v>
      </c>
      <c r="IQ98">
        <v>-3.977656803091445E-6</v>
      </c>
      <c r="IR98">
        <v>2</v>
      </c>
      <c r="IS98">
        <v>1759</v>
      </c>
      <c r="IT98">
        <v>2</v>
      </c>
      <c r="IU98">
        <v>42</v>
      </c>
      <c r="IV98">
        <v>0.8</v>
      </c>
      <c r="IW98">
        <v>0.7</v>
      </c>
      <c r="IX98">
        <v>1.94946</v>
      </c>
      <c r="IY98">
        <v>2.4255399999999998</v>
      </c>
      <c r="IZ98">
        <v>1.54297</v>
      </c>
      <c r="JA98">
        <v>2.3010299999999999</v>
      </c>
      <c r="JB98">
        <v>1.5466299999999999</v>
      </c>
      <c r="JC98">
        <v>2.4206500000000002</v>
      </c>
      <c r="JD98">
        <v>47.632100000000001</v>
      </c>
      <c r="JE98">
        <v>24.035</v>
      </c>
      <c r="JF98">
        <v>18</v>
      </c>
      <c r="JG98">
        <v>536.50300000000004</v>
      </c>
      <c r="JH98">
        <v>408.63</v>
      </c>
      <c r="JI98">
        <v>23.260899999999999</v>
      </c>
      <c r="JJ98">
        <v>41.71</v>
      </c>
      <c r="JK98">
        <v>30.000499999999999</v>
      </c>
      <c r="JL98">
        <v>41.893099999999997</v>
      </c>
      <c r="JM98">
        <v>41.881900000000002</v>
      </c>
      <c r="JN98">
        <v>39.153399999999998</v>
      </c>
      <c r="JO98">
        <v>63.735399999999998</v>
      </c>
      <c r="JP98">
        <v>0</v>
      </c>
      <c r="JQ98">
        <v>23.2485</v>
      </c>
      <c r="JR98">
        <v>900</v>
      </c>
      <c r="JS98">
        <v>19.109200000000001</v>
      </c>
      <c r="JT98">
        <v>97.986000000000004</v>
      </c>
      <c r="JU98">
        <v>95.749300000000005</v>
      </c>
    </row>
    <row r="99" spans="1:281" x14ac:dyDescent="0.25">
      <c r="A99">
        <v>83</v>
      </c>
      <c r="B99">
        <v>1691179382</v>
      </c>
      <c r="C99">
        <v>18470.5</v>
      </c>
      <c r="D99" t="s">
        <v>839</v>
      </c>
      <c r="E99" t="s">
        <v>840</v>
      </c>
      <c r="F99" t="s">
        <v>413</v>
      </c>
      <c r="G99" t="s">
        <v>779</v>
      </c>
      <c r="H99" t="s">
        <v>780</v>
      </c>
      <c r="I99" t="s">
        <v>31</v>
      </c>
      <c r="J99">
        <v>1691179382</v>
      </c>
      <c r="K99">
        <f t="shared" si="92"/>
        <v>5.0429776816843753E-3</v>
      </c>
      <c r="L99">
        <f t="shared" si="93"/>
        <v>5.0429776816843752</v>
      </c>
      <c r="M99">
        <f t="shared" si="94"/>
        <v>51.603467497594529</v>
      </c>
      <c r="N99">
        <f t="shared" si="95"/>
        <v>1131.25</v>
      </c>
      <c r="O99">
        <f t="shared" si="96"/>
        <v>813.44541153569719</v>
      </c>
      <c r="P99">
        <f t="shared" si="97"/>
        <v>80.652174488515797</v>
      </c>
      <c r="Q99">
        <f t="shared" si="98"/>
        <v>112.16213294249999</v>
      </c>
      <c r="R99">
        <f t="shared" si="99"/>
        <v>0.29830412312189714</v>
      </c>
      <c r="S99">
        <f t="shared" si="100"/>
        <v>2.9106525093860101</v>
      </c>
      <c r="T99">
        <f t="shared" si="101"/>
        <v>0.28230072427659031</v>
      </c>
      <c r="U99">
        <f t="shared" si="102"/>
        <v>0.17780421468951169</v>
      </c>
      <c r="V99">
        <f t="shared" si="103"/>
        <v>344.33929998680196</v>
      </c>
      <c r="W99">
        <f t="shared" si="104"/>
        <v>30.594526187962302</v>
      </c>
      <c r="X99">
        <f t="shared" si="105"/>
        <v>29.9802</v>
      </c>
      <c r="Y99">
        <f t="shared" si="106"/>
        <v>4.2556067815047038</v>
      </c>
      <c r="Z99">
        <f t="shared" si="107"/>
        <v>60.178799653459258</v>
      </c>
      <c r="AA99">
        <f t="shared" si="108"/>
        <v>2.5451707271253605</v>
      </c>
      <c r="AB99">
        <f t="shared" si="109"/>
        <v>4.2293477799187977</v>
      </c>
      <c r="AC99">
        <f t="shared" si="110"/>
        <v>1.7104360543793433</v>
      </c>
      <c r="AD99">
        <f t="shared" si="111"/>
        <v>-222.39531576228094</v>
      </c>
      <c r="AE99">
        <f t="shared" si="112"/>
        <v>-16.900186863864395</v>
      </c>
      <c r="AF99">
        <f t="shared" si="113"/>
        <v>-1.2901004426084586</v>
      </c>
      <c r="AG99">
        <f t="shared" si="114"/>
        <v>103.75369691804819</v>
      </c>
      <c r="AH99">
        <v>0</v>
      </c>
      <c r="AI99">
        <v>0</v>
      </c>
      <c r="AJ99">
        <f t="shared" si="115"/>
        <v>1</v>
      </c>
      <c r="AK99">
        <f t="shared" si="116"/>
        <v>0</v>
      </c>
      <c r="AL99">
        <f t="shared" si="117"/>
        <v>51816.158500803787</v>
      </c>
      <c r="AM99" t="s">
        <v>414</v>
      </c>
      <c r="AN99">
        <v>10111.299999999999</v>
      </c>
      <c r="AO99">
        <v>608.58839999999998</v>
      </c>
      <c r="AP99">
        <v>2150.11</v>
      </c>
      <c r="AQ99">
        <f t="shared" si="118"/>
        <v>0.71695010952927984</v>
      </c>
      <c r="AR99">
        <v>-1.1786277417053079</v>
      </c>
      <c r="AS99" t="s">
        <v>841</v>
      </c>
      <c r="AT99">
        <v>8095.41</v>
      </c>
      <c r="AU99">
        <v>701.28339999999992</v>
      </c>
      <c r="AV99">
        <v>1068.5062621823949</v>
      </c>
      <c r="AW99">
        <f t="shared" si="119"/>
        <v>0.34367871783208115</v>
      </c>
      <c r="AX99">
        <v>0.5</v>
      </c>
      <c r="AY99">
        <f t="shared" si="120"/>
        <v>1513.0280999934009</v>
      </c>
      <c r="AZ99">
        <f t="shared" si="121"/>
        <v>51.603467497594529</v>
      </c>
      <c r="BA99">
        <f t="shared" si="122"/>
        <v>259.99777872482093</v>
      </c>
      <c r="BB99">
        <f t="shared" si="123"/>
        <v>3.4885072682741346E-2</v>
      </c>
      <c r="BC99">
        <f t="shared" si="124"/>
        <v>1.0122577434487459</v>
      </c>
      <c r="BD99">
        <f t="shared" si="125"/>
        <v>473.05029326745409</v>
      </c>
      <c r="BE99" t="s">
        <v>842</v>
      </c>
      <c r="BF99">
        <v>536.01</v>
      </c>
      <c r="BG99">
        <f t="shared" si="126"/>
        <v>536.01</v>
      </c>
      <c r="BH99">
        <f t="shared" si="127"/>
        <v>0.49835577106940476</v>
      </c>
      <c r="BI99">
        <f t="shared" si="128"/>
        <v>0.68962523920329577</v>
      </c>
      <c r="BJ99">
        <f t="shared" si="129"/>
        <v>0.67009710539471223</v>
      </c>
      <c r="BK99">
        <f t="shared" si="130"/>
        <v>0.79845314213249929</v>
      </c>
      <c r="BL99">
        <f t="shared" si="131"/>
        <v>0.70164682597869865</v>
      </c>
      <c r="BM99">
        <f t="shared" si="132"/>
        <v>0.52709935022753795</v>
      </c>
      <c r="BN99">
        <f t="shared" si="133"/>
        <v>0.47290064977246205</v>
      </c>
      <c r="BO99">
        <v>7139</v>
      </c>
      <c r="BP99">
        <v>290.00000000000011</v>
      </c>
      <c r="BQ99">
        <v>947.83</v>
      </c>
      <c r="BR99">
        <v>295</v>
      </c>
      <c r="BS99">
        <v>8095.41</v>
      </c>
      <c r="BT99">
        <v>947.77</v>
      </c>
      <c r="BU99">
        <v>0.06</v>
      </c>
      <c r="BV99">
        <v>300.00000000000011</v>
      </c>
      <c r="BW99">
        <v>19.2</v>
      </c>
      <c r="BX99">
        <v>1068.5062621823949</v>
      </c>
      <c r="BY99">
        <v>2.5550090579553699</v>
      </c>
      <c r="BZ99">
        <v>-97.737246683022249</v>
      </c>
      <c r="CA99">
        <v>1.900679231691607</v>
      </c>
      <c r="CB99">
        <v>0.98952193914400444</v>
      </c>
      <c r="CC99">
        <v>-4.1716409343715202E-3</v>
      </c>
      <c r="CD99">
        <v>289.99999999999989</v>
      </c>
      <c r="CE99">
        <v>942.73</v>
      </c>
      <c r="CF99">
        <v>675</v>
      </c>
      <c r="CG99">
        <v>8089.69</v>
      </c>
      <c r="CH99">
        <v>947.69</v>
      </c>
      <c r="CI99">
        <v>-4.96</v>
      </c>
      <c r="CW99">
        <f t="shared" si="134"/>
        <v>1799.81</v>
      </c>
      <c r="CX99">
        <f t="shared" si="135"/>
        <v>1513.0280999934009</v>
      </c>
      <c r="CY99">
        <f t="shared" si="136"/>
        <v>0.8406599029860935</v>
      </c>
      <c r="CZ99">
        <f t="shared" si="137"/>
        <v>0.19131980597218703</v>
      </c>
      <c r="DA99">
        <v>6</v>
      </c>
      <c r="DB99">
        <v>0.5</v>
      </c>
      <c r="DC99" t="s">
        <v>417</v>
      </c>
      <c r="DD99">
        <v>2</v>
      </c>
      <c r="DE99">
        <v>1691179382</v>
      </c>
      <c r="DF99">
        <v>1131.25</v>
      </c>
      <c r="DG99">
        <v>1200.05</v>
      </c>
      <c r="DH99">
        <v>25.670200000000001</v>
      </c>
      <c r="DI99">
        <v>19.7714</v>
      </c>
      <c r="DJ99">
        <v>1127.29</v>
      </c>
      <c r="DK99">
        <v>25.577000000000002</v>
      </c>
      <c r="DL99">
        <v>499.78199999999998</v>
      </c>
      <c r="DM99">
        <v>99.0505</v>
      </c>
      <c r="DN99">
        <v>9.8346799999999998E-2</v>
      </c>
      <c r="DO99">
        <v>29.872499999999999</v>
      </c>
      <c r="DP99">
        <v>29.9802</v>
      </c>
      <c r="DQ99">
        <v>999.9</v>
      </c>
      <c r="DR99">
        <v>0</v>
      </c>
      <c r="DS99">
        <v>0</v>
      </c>
      <c r="DT99">
        <v>9987.5</v>
      </c>
      <c r="DU99">
        <v>0</v>
      </c>
      <c r="DV99">
        <v>1279.6199999999999</v>
      </c>
      <c r="DW99">
        <v>-68.799700000000001</v>
      </c>
      <c r="DX99">
        <v>1161.06</v>
      </c>
      <c r="DY99">
        <v>1224.26</v>
      </c>
      <c r="DZ99">
        <v>5.8988699999999996</v>
      </c>
      <c r="EA99">
        <v>1200.05</v>
      </c>
      <c r="EB99">
        <v>19.7714</v>
      </c>
      <c r="EC99">
        <v>2.5426500000000001</v>
      </c>
      <c r="ED99">
        <v>1.9583600000000001</v>
      </c>
      <c r="EE99">
        <v>21.302099999999999</v>
      </c>
      <c r="EF99">
        <v>17.111599999999999</v>
      </c>
      <c r="EG99">
        <v>1799.81</v>
      </c>
      <c r="EH99">
        <v>0.97800299999999996</v>
      </c>
      <c r="EI99">
        <v>2.19974E-2</v>
      </c>
      <c r="EJ99">
        <v>0</v>
      </c>
      <c r="EK99">
        <v>701.625</v>
      </c>
      <c r="EL99">
        <v>0.10001</v>
      </c>
      <c r="EM99">
        <v>16953</v>
      </c>
      <c r="EN99">
        <v>16351.8</v>
      </c>
      <c r="EO99">
        <v>49</v>
      </c>
      <c r="EP99">
        <v>50.75</v>
      </c>
      <c r="EQ99">
        <v>50.311999999999998</v>
      </c>
      <c r="ER99">
        <v>50.375</v>
      </c>
      <c r="ES99">
        <v>50.5</v>
      </c>
      <c r="ET99">
        <v>1760.12</v>
      </c>
      <c r="EU99">
        <v>39.590000000000003</v>
      </c>
      <c r="EV99">
        <v>0</v>
      </c>
      <c r="EW99">
        <v>122.3999998569489</v>
      </c>
      <c r="EX99">
        <v>0</v>
      </c>
      <c r="EY99">
        <v>701.28339999999992</v>
      </c>
      <c r="EZ99">
        <v>9.7469230908818183</v>
      </c>
      <c r="FA99">
        <v>-37.076923211683372</v>
      </c>
      <c r="FB99">
        <v>16952.04</v>
      </c>
      <c r="FC99">
        <v>15</v>
      </c>
      <c r="FD99">
        <v>1691179330.5</v>
      </c>
      <c r="FE99" t="s">
        <v>843</v>
      </c>
      <c r="FF99">
        <v>1691179330.5</v>
      </c>
      <c r="FG99">
        <v>1691179327.5</v>
      </c>
      <c r="FH99">
        <v>92</v>
      </c>
      <c r="FI99">
        <v>-0.17699999999999999</v>
      </c>
      <c r="FJ99">
        <v>-3.0000000000000001E-3</v>
      </c>
      <c r="FK99">
        <v>4.0380000000000003</v>
      </c>
      <c r="FL99">
        <v>-1.4E-2</v>
      </c>
      <c r="FM99">
        <v>1200</v>
      </c>
      <c r="FN99">
        <v>19</v>
      </c>
      <c r="FO99">
        <v>0.2</v>
      </c>
      <c r="FP99">
        <v>0.03</v>
      </c>
      <c r="FQ99">
        <v>51.662918944877447</v>
      </c>
      <c r="FR99">
        <v>-0.20492763830412769</v>
      </c>
      <c r="FS99">
        <v>0.18746129390754351</v>
      </c>
      <c r="FT99">
        <v>1</v>
      </c>
      <c r="FU99">
        <v>0.30002341691733059</v>
      </c>
      <c r="FV99">
        <v>-1.4014643302799111E-2</v>
      </c>
      <c r="FW99">
        <v>1.0922049158917529E-3</v>
      </c>
      <c r="FX99">
        <v>1</v>
      </c>
      <c r="FY99">
        <v>2</v>
      </c>
      <c r="FZ99">
        <v>2</v>
      </c>
      <c r="GA99" t="s">
        <v>419</v>
      </c>
      <c r="GB99">
        <v>2.8785599999999998</v>
      </c>
      <c r="GC99">
        <v>2.8194300000000001</v>
      </c>
      <c r="GD99">
        <v>0.17669099999999999</v>
      </c>
      <c r="GE99">
        <v>0.18443699999999999</v>
      </c>
      <c r="GF99">
        <v>0.118927</v>
      </c>
      <c r="GG99">
        <v>9.9626900000000004E-2</v>
      </c>
      <c r="GH99">
        <v>25126.1</v>
      </c>
      <c r="GI99">
        <v>23198.1</v>
      </c>
      <c r="GJ99">
        <v>28111.8</v>
      </c>
      <c r="GK99">
        <v>26733.8</v>
      </c>
      <c r="GL99">
        <v>34964.400000000001</v>
      </c>
      <c r="GM99">
        <v>33644.400000000001</v>
      </c>
      <c r="GN99">
        <v>41358.300000000003</v>
      </c>
      <c r="GO99">
        <v>38705.300000000003</v>
      </c>
      <c r="GP99">
        <v>1.9764999999999999</v>
      </c>
      <c r="GQ99">
        <v>1.6321000000000001</v>
      </c>
      <c r="GR99">
        <v>-8.6978100000000003E-2</v>
      </c>
      <c r="GS99">
        <v>0</v>
      </c>
      <c r="GT99">
        <v>31.393999999999998</v>
      </c>
      <c r="GU99">
        <v>999.9</v>
      </c>
      <c r="GV99">
        <v>45.4</v>
      </c>
      <c r="GW99">
        <v>45.1</v>
      </c>
      <c r="GX99">
        <v>44.4084</v>
      </c>
      <c r="GY99">
        <v>62.809100000000001</v>
      </c>
      <c r="GZ99">
        <v>28.9663</v>
      </c>
      <c r="HA99">
        <v>1</v>
      </c>
      <c r="HB99">
        <v>1.2672099999999999</v>
      </c>
      <c r="HC99">
        <v>5.4785000000000004</v>
      </c>
      <c r="HD99">
        <v>20.16</v>
      </c>
      <c r="HE99">
        <v>5.1903300000000003</v>
      </c>
      <c r="HF99">
        <v>12.004</v>
      </c>
      <c r="HG99">
        <v>4.9804000000000004</v>
      </c>
      <c r="HH99">
        <v>3.2879</v>
      </c>
      <c r="HI99">
        <v>9999</v>
      </c>
      <c r="HJ99">
        <v>9999</v>
      </c>
      <c r="HK99">
        <v>9999</v>
      </c>
      <c r="HL99">
        <v>999.9</v>
      </c>
      <c r="HM99">
        <v>1.86663</v>
      </c>
      <c r="HN99">
        <v>1.86676</v>
      </c>
      <c r="HO99">
        <v>1.8632500000000001</v>
      </c>
      <c r="HP99">
        <v>1.8644400000000001</v>
      </c>
      <c r="HQ99">
        <v>1.8640099999999999</v>
      </c>
      <c r="HR99">
        <v>1.8598699999999999</v>
      </c>
      <c r="HS99">
        <v>1.8629899999999999</v>
      </c>
      <c r="HT99">
        <v>1.8658399999999999</v>
      </c>
      <c r="HU99">
        <v>5</v>
      </c>
      <c r="HV99">
        <v>0</v>
      </c>
      <c r="HW99">
        <v>0</v>
      </c>
      <c r="HX99">
        <v>0</v>
      </c>
      <c r="HY99" t="s">
        <v>420</v>
      </c>
      <c r="HZ99" t="s">
        <v>421</v>
      </c>
      <c r="IA99" t="s">
        <v>422</v>
      </c>
      <c r="IB99" t="s">
        <v>422</v>
      </c>
      <c r="IC99" t="s">
        <v>422</v>
      </c>
      <c r="ID99" t="s">
        <v>422</v>
      </c>
      <c r="IE99">
        <v>0</v>
      </c>
      <c r="IF99">
        <v>100</v>
      </c>
      <c r="IG99">
        <v>100</v>
      </c>
      <c r="IH99">
        <v>3.96</v>
      </c>
      <c r="II99">
        <v>9.3200000000000005E-2</v>
      </c>
      <c r="IJ99">
        <v>1.8311292087425499</v>
      </c>
      <c r="IK99">
        <v>3.5576830062418229E-3</v>
      </c>
      <c r="IL99">
        <v>-2.2646740813029151E-6</v>
      </c>
      <c r="IM99">
        <v>6.9609298295988525E-10</v>
      </c>
      <c r="IN99">
        <v>-0.16216128466340829</v>
      </c>
      <c r="IO99">
        <v>-9.4437069492282083E-4</v>
      </c>
      <c r="IP99">
        <v>5.2900373165634467E-4</v>
      </c>
      <c r="IQ99">
        <v>-3.977656803091445E-6</v>
      </c>
      <c r="IR99">
        <v>2</v>
      </c>
      <c r="IS99">
        <v>1759</v>
      </c>
      <c r="IT99">
        <v>2</v>
      </c>
      <c r="IU99">
        <v>42</v>
      </c>
      <c r="IV99">
        <v>0.9</v>
      </c>
      <c r="IW99">
        <v>0.9</v>
      </c>
      <c r="IX99">
        <v>2.47681</v>
      </c>
      <c r="IY99">
        <v>2.4218799999999998</v>
      </c>
      <c r="IZ99">
        <v>1.54297</v>
      </c>
      <c r="JA99">
        <v>2.3022499999999999</v>
      </c>
      <c r="JB99">
        <v>1.5466299999999999</v>
      </c>
      <c r="JC99">
        <v>2.4291999999999998</v>
      </c>
      <c r="JD99">
        <v>47.662199999999999</v>
      </c>
      <c r="JE99">
        <v>24.052499999999998</v>
      </c>
      <c r="JF99">
        <v>18</v>
      </c>
      <c r="JG99">
        <v>536.69299999999998</v>
      </c>
      <c r="JH99">
        <v>410.37200000000001</v>
      </c>
      <c r="JI99">
        <v>22.653500000000001</v>
      </c>
      <c r="JJ99">
        <v>41.746400000000001</v>
      </c>
      <c r="JK99">
        <v>29.995200000000001</v>
      </c>
      <c r="JL99">
        <v>41.972000000000001</v>
      </c>
      <c r="JM99">
        <v>41.957900000000002</v>
      </c>
      <c r="JN99">
        <v>49.7181</v>
      </c>
      <c r="JO99">
        <v>61.6569</v>
      </c>
      <c r="JP99">
        <v>0</v>
      </c>
      <c r="JQ99">
        <v>23.0016</v>
      </c>
      <c r="JR99">
        <v>1200</v>
      </c>
      <c r="JS99">
        <v>19.826699999999999</v>
      </c>
      <c r="JT99">
        <v>97.9923</v>
      </c>
      <c r="JU99">
        <v>95.749899999999997</v>
      </c>
    </row>
    <row r="100" spans="1:281" x14ac:dyDescent="0.25">
      <c r="A100">
        <v>84</v>
      </c>
      <c r="B100">
        <v>1691179571.5</v>
      </c>
      <c r="C100">
        <v>18660</v>
      </c>
      <c r="D100" t="s">
        <v>844</v>
      </c>
      <c r="E100" t="s">
        <v>845</v>
      </c>
      <c r="F100" t="s">
        <v>413</v>
      </c>
      <c r="G100" t="s">
        <v>779</v>
      </c>
      <c r="H100" t="s">
        <v>780</v>
      </c>
      <c r="I100" t="s">
        <v>31</v>
      </c>
      <c r="J100">
        <v>1691179571.5</v>
      </c>
      <c r="K100">
        <f t="shared" si="92"/>
        <v>3.7309807317223564E-3</v>
      </c>
      <c r="L100">
        <f t="shared" si="93"/>
        <v>3.7309807317223562</v>
      </c>
      <c r="M100">
        <f t="shared" si="94"/>
        <v>51.431557533329624</v>
      </c>
      <c r="N100">
        <f t="shared" si="95"/>
        <v>1432.06</v>
      </c>
      <c r="O100">
        <f t="shared" si="96"/>
        <v>996.49286560686278</v>
      </c>
      <c r="P100">
        <f t="shared" si="97"/>
        <v>98.794883612786307</v>
      </c>
      <c r="Q100">
        <f t="shared" si="98"/>
        <v>141.97813743539999</v>
      </c>
      <c r="R100">
        <f t="shared" si="99"/>
        <v>0.21270164631499003</v>
      </c>
      <c r="S100">
        <f t="shared" si="100"/>
        <v>2.9083226167241638</v>
      </c>
      <c r="T100">
        <f t="shared" si="101"/>
        <v>0.2044219589963758</v>
      </c>
      <c r="U100">
        <f t="shared" si="102"/>
        <v>0.12848076700064609</v>
      </c>
      <c r="V100">
        <f t="shared" si="103"/>
        <v>344.36399998680292</v>
      </c>
      <c r="W100">
        <f t="shared" si="104"/>
        <v>30.829227987117395</v>
      </c>
      <c r="X100">
        <f t="shared" si="105"/>
        <v>30.021100000000001</v>
      </c>
      <c r="Y100">
        <f t="shared" si="106"/>
        <v>4.2656160234446583</v>
      </c>
      <c r="Z100">
        <f t="shared" si="107"/>
        <v>59.911240131665707</v>
      </c>
      <c r="AA100">
        <f t="shared" si="108"/>
        <v>2.518033415079</v>
      </c>
      <c r="AB100">
        <f t="shared" si="109"/>
        <v>4.2029398983315476</v>
      </c>
      <c r="AC100">
        <f t="shared" si="110"/>
        <v>1.7475826083656583</v>
      </c>
      <c r="AD100">
        <f t="shared" si="111"/>
        <v>-164.53625026895591</v>
      </c>
      <c r="AE100">
        <f t="shared" si="112"/>
        <v>-40.374323395054574</v>
      </c>
      <c r="AF100">
        <f t="shared" si="113"/>
        <v>-3.0834639633389904</v>
      </c>
      <c r="AG100">
        <f t="shared" si="114"/>
        <v>136.36996235945344</v>
      </c>
      <c r="AH100">
        <v>0</v>
      </c>
      <c r="AI100">
        <v>0</v>
      </c>
      <c r="AJ100">
        <f t="shared" si="115"/>
        <v>1</v>
      </c>
      <c r="AK100">
        <f t="shared" si="116"/>
        <v>0</v>
      </c>
      <c r="AL100">
        <f t="shared" si="117"/>
        <v>51768.360682270497</v>
      </c>
      <c r="AM100" t="s">
        <v>414</v>
      </c>
      <c r="AN100">
        <v>10111.299999999999</v>
      </c>
      <c r="AO100">
        <v>608.58839999999998</v>
      </c>
      <c r="AP100">
        <v>2150.11</v>
      </c>
      <c r="AQ100">
        <f t="shared" si="118"/>
        <v>0.71695010952927984</v>
      </c>
      <c r="AR100">
        <v>-1.1786277417053079</v>
      </c>
      <c r="AS100" t="s">
        <v>846</v>
      </c>
      <c r="AT100">
        <v>8095.3</v>
      </c>
      <c r="AU100">
        <v>700.52307692307681</v>
      </c>
      <c r="AV100">
        <v>1065.2018729893859</v>
      </c>
      <c r="AW100">
        <f t="shared" si="119"/>
        <v>0.34235651036068249</v>
      </c>
      <c r="AX100">
        <v>0.5</v>
      </c>
      <c r="AY100">
        <f t="shared" si="120"/>
        <v>1513.1372999934015</v>
      </c>
      <c r="AZ100">
        <f t="shared" si="121"/>
        <v>51.431557533329624</v>
      </c>
      <c r="BA100">
        <f t="shared" si="122"/>
        <v>259.01620286116304</v>
      </c>
      <c r="BB100">
        <f t="shared" si="123"/>
        <v>3.4768943489308174E-2</v>
      </c>
      <c r="BC100">
        <f t="shared" si="124"/>
        <v>1.0185000181852146</v>
      </c>
      <c r="BD100">
        <f t="shared" si="125"/>
        <v>472.40150828059615</v>
      </c>
      <c r="BE100" t="s">
        <v>847</v>
      </c>
      <c r="BF100">
        <v>537.92999999999995</v>
      </c>
      <c r="BG100">
        <f t="shared" si="126"/>
        <v>537.92999999999995</v>
      </c>
      <c r="BH100">
        <f t="shared" si="127"/>
        <v>0.4949971328060554</v>
      </c>
      <c r="BI100">
        <f t="shared" si="128"/>
        <v>0.69163332001525168</v>
      </c>
      <c r="BJ100">
        <f t="shared" si="129"/>
        <v>0.67294478718915629</v>
      </c>
      <c r="BK100">
        <f t="shared" si="130"/>
        <v>0.79865973660130285</v>
      </c>
      <c r="BL100">
        <f t="shared" si="131"/>
        <v>0.70379041526931196</v>
      </c>
      <c r="BM100">
        <f t="shared" si="132"/>
        <v>0.5311035768728265</v>
      </c>
      <c r="BN100">
        <f t="shared" si="133"/>
        <v>0.4688964231271735</v>
      </c>
      <c r="BO100">
        <v>7141</v>
      </c>
      <c r="BP100">
        <v>290.00000000000011</v>
      </c>
      <c r="BQ100">
        <v>946.22</v>
      </c>
      <c r="BR100">
        <v>285</v>
      </c>
      <c r="BS100">
        <v>8095.3</v>
      </c>
      <c r="BT100">
        <v>946.82</v>
      </c>
      <c r="BU100">
        <v>-0.6</v>
      </c>
      <c r="BV100">
        <v>300.00000000000011</v>
      </c>
      <c r="BW100">
        <v>19.2</v>
      </c>
      <c r="BX100">
        <v>1065.2018729893859</v>
      </c>
      <c r="BY100">
        <v>2.8025625164798602</v>
      </c>
      <c r="BZ100">
        <v>-95.832100459704762</v>
      </c>
      <c r="CA100">
        <v>2.084807641017222</v>
      </c>
      <c r="CB100">
        <v>0.98692171783099336</v>
      </c>
      <c r="CC100">
        <v>-4.1715942157953354E-3</v>
      </c>
      <c r="CD100">
        <v>289.99999999999989</v>
      </c>
      <c r="CE100">
        <v>942.62</v>
      </c>
      <c r="CF100">
        <v>635</v>
      </c>
      <c r="CG100">
        <v>8090.44</v>
      </c>
      <c r="CH100">
        <v>946.75</v>
      </c>
      <c r="CI100">
        <v>-4.13</v>
      </c>
      <c r="CW100">
        <f t="shared" si="134"/>
        <v>1799.94</v>
      </c>
      <c r="CX100">
        <f t="shared" si="135"/>
        <v>1513.1372999934015</v>
      </c>
      <c r="CY100">
        <f t="shared" si="136"/>
        <v>0.840659855324845</v>
      </c>
      <c r="CZ100">
        <f t="shared" si="137"/>
        <v>0.19131971064968994</v>
      </c>
      <c r="DA100">
        <v>6</v>
      </c>
      <c r="DB100">
        <v>0.5</v>
      </c>
      <c r="DC100" t="s">
        <v>417</v>
      </c>
      <c r="DD100">
        <v>2</v>
      </c>
      <c r="DE100">
        <v>1691179571.5</v>
      </c>
      <c r="DF100">
        <v>1432.06</v>
      </c>
      <c r="DG100">
        <v>1500.19</v>
      </c>
      <c r="DH100">
        <v>25.398099999999999</v>
      </c>
      <c r="DI100">
        <v>21.034600000000001</v>
      </c>
      <c r="DJ100">
        <v>1427.52</v>
      </c>
      <c r="DK100">
        <v>25.3142</v>
      </c>
      <c r="DL100">
        <v>499.99599999999998</v>
      </c>
      <c r="DM100">
        <v>99.042500000000004</v>
      </c>
      <c r="DN100">
        <v>0.10009</v>
      </c>
      <c r="DO100">
        <v>29.7636</v>
      </c>
      <c r="DP100">
        <v>30.021100000000001</v>
      </c>
      <c r="DQ100">
        <v>999.9</v>
      </c>
      <c r="DR100">
        <v>0</v>
      </c>
      <c r="DS100">
        <v>0</v>
      </c>
      <c r="DT100">
        <v>9975</v>
      </c>
      <c r="DU100">
        <v>0</v>
      </c>
      <c r="DV100">
        <v>1125.6400000000001</v>
      </c>
      <c r="DW100">
        <v>-68.131600000000006</v>
      </c>
      <c r="DX100">
        <v>1469.38</v>
      </c>
      <c r="DY100">
        <v>1532.42</v>
      </c>
      <c r="DZ100">
        <v>4.3635299999999999</v>
      </c>
      <c r="EA100">
        <v>1500.19</v>
      </c>
      <c r="EB100">
        <v>21.034600000000001</v>
      </c>
      <c r="EC100">
        <v>2.5154899999999998</v>
      </c>
      <c r="ED100">
        <v>2.0833200000000001</v>
      </c>
      <c r="EE100">
        <v>21.127099999999999</v>
      </c>
      <c r="EF100">
        <v>18.092199999999998</v>
      </c>
      <c r="EG100">
        <v>1799.94</v>
      </c>
      <c r="EH100">
        <v>0.97800600000000004</v>
      </c>
      <c r="EI100">
        <v>2.1993800000000001E-2</v>
      </c>
      <c r="EJ100">
        <v>0</v>
      </c>
      <c r="EK100">
        <v>696.83500000000004</v>
      </c>
      <c r="EL100">
        <v>0.10001</v>
      </c>
      <c r="EM100">
        <v>16912.599999999999</v>
      </c>
      <c r="EN100">
        <v>16353</v>
      </c>
      <c r="EO100">
        <v>49</v>
      </c>
      <c r="EP100">
        <v>50.686999999999998</v>
      </c>
      <c r="EQ100">
        <v>50.25</v>
      </c>
      <c r="ER100">
        <v>50.375</v>
      </c>
      <c r="ES100">
        <v>50.436999999999998</v>
      </c>
      <c r="ET100">
        <v>1760.25</v>
      </c>
      <c r="EU100">
        <v>39.590000000000003</v>
      </c>
      <c r="EV100">
        <v>0</v>
      </c>
      <c r="EW100">
        <v>187.39999985694891</v>
      </c>
      <c r="EX100">
        <v>0</v>
      </c>
      <c r="EY100">
        <v>700.52307692307681</v>
      </c>
      <c r="EZ100">
        <v>-5.8615384983143084</v>
      </c>
      <c r="FA100">
        <v>-42.184615437647842</v>
      </c>
      <c r="FB100">
        <v>16958.403846153851</v>
      </c>
      <c r="FC100">
        <v>15</v>
      </c>
      <c r="FD100">
        <v>1691179447</v>
      </c>
      <c r="FE100" t="s">
        <v>848</v>
      </c>
      <c r="FF100">
        <v>1691179446.5</v>
      </c>
      <c r="FG100">
        <v>1691179447</v>
      </c>
      <c r="FH100">
        <v>93</v>
      </c>
      <c r="FI100">
        <v>0.215</v>
      </c>
      <c r="FJ100">
        <v>-4.0000000000000001E-3</v>
      </c>
      <c r="FK100">
        <v>4.63</v>
      </c>
      <c r="FL100">
        <v>-0.01</v>
      </c>
      <c r="FM100">
        <v>1500</v>
      </c>
      <c r="FN100">
        <v>20</v>
      </c>
      <c r="FO100">
        <v>0.13</v>
      </c>
      <c r="FP100">
        <v>0.04</v>
      </c>
      <c r="FQ100">
        <v>51.023413174858788</v>
      </c>
      <c r="FR100">
        <v>2.182820604878168</v>
      </c>
      <c r="FS100">
        <v>0.34096421709197022</v>
      </c>
      <c r="FT100">
        <v>0</v>
      </c>
      <c r="FU100">
        <v>0.22287775490438019</v>
      </c>
      <c r="FV100">
        <v>-0.1002390022972683</v>
      </c>
      <c r="FW100">
        <v>7.8891693617005546E-3</v>
      </c>
      <c r="FX100">
        <v>0</v>
      </c>
      <c r="FY100">
        <v>0</v>
      </c>
      <c r="FZ100">
        <v>2</v>
      </c>
      <c r="GA100" t="s">
        <v>751</v>
      </c>
      <c r="GB100">
        <v>2.8790399999999998</v>
      </c>
      <c r="GC100">
        <v>2.8210600000000001</v>
      </c>
      <c r="GD100">
        <v>0.20430999999999999</v>
      </c>
      <c r="GE100">
        <v>0.211281</v>
      </c>
      <c r="GF100">
        <v>0.118048</v>
      </c>
      <c r="GG100">
        <v>0.104034</v>
      </c>
      <c r="GH100">
        <v>24277.5</v>
      </c>
      <c r="GI100">
        <v>22429.7</v>
      </c>
      <c r="GJ100">
        <v>28110.2</v>
      </c>
      <c r="GK100">
        <v>26733</v>
      </c>
      <c r="GL100">
        <v>34997.1</v>
      </c>
      <c r="GM100">
        <v>33480</v>
      </c>
      <c r="GN100">
        <v>41355.599999999999</v>
      </c>
      <c r="GO100">
        <v>38703.699999999997</v>
      </c>
      <c r="GP100">
        <v>1.9751000000000001</v>
      </c>
      <c r="GQ100">
        <v>1.6344000000000001</v>
      </c>
      <c r="GR100">
        <v>-8.0227900000000005E-2</v>
      </c>
      <c r="GS100">
        <v>0</v>
      </c>
      <c r="GT100">
        <v>31.325299999999999</v>
      </c>
      <c r="GU100">
        <v>999.9</v>
      </c>
      <c r="GV100">
        <v>45.3</v>
      </c>
      <c r="GW100">
        <v>45</v>
      </c>
      <c r="GX100">
        <v>44.085900000000002</v>
      </c>
      <c r="GY100">
        <v>62.839199999999998</v>
      </c>
      <c r="GZ100">
        <v>28.589700000000001</v>
      </c>
      <c r="HA100">
        <v>1</v>
      </c>
      <c r="HB100">
        <v>1.2756400000000001</v>
      </c>
      <c r="HC100">
        <v>7.73407</v>
      </c>
      <c r="HD100">
        <v>20.077200000000001</v>
      </c>
      <c r="HE100">
        <v>5.2112999999999996</v>
      </c>
      <c r="HF100">
        <v>12.0046</v>
      </c>
      <c r="HG100">
        <v>4.9875999999999996</v>
      </c>
      <c r="HH100">
        <v>3.2909999999999999</v>
      </c>
      <c r="HI100">
        <v>9999</v>
      </c>
      <c r="HJ100">
        <v>9999</v>
      </c>
      <c r="HK100">
        <v>9999</v>
      </c>
      <c r="HL100">
        <v>999.9</v>
      </c>
      <c r="HM100">
        <v>1.8666100000000001</v>
      </c>
      <c r="HN100">
        <v>1.86676</v>
      </c>
      <c r="HO100">
        <v>1.86324</v>
      </c>
      <c r="HP100">
        <v>1.8644499999999999</v>
      </c>
      <c r="HQ100">
        <v>1.86399</v>
      </c>
      <c r="HR100">
        <v>1.8598300000000001</v>
      </c>
      <c r="HS100">
        <v>1.8630500000000001</v>
      </c>
      <c r="HT100">
        <v>1.8658399999999999</v>
      </c>
      <c r="HU100">
        <v>5</v>
      </c>
      <c r="HV100">
        <v>0</v>
      </c>
      <c r="HW100">
        <v>0</v>
      </c>
      <c r="HX100">
        <v>0</v>
      </c>
      <c r="HY100" t="s">
        <v>420</v>
      </c>
      <c r="HZ100" t="s">
        <v>421</v>
      </c>
      <c r="IA100" t="s">
        <v>422</v>
      </c>
      <c r="IB100" t="s">
        <v>422</v>
      </c>
      <c r="IC100" t="s">
        <v>422</v>
      </c>
      <c r="ID100" t="s">
        <v>422</v>
      </c>
      <c r="IE100">
        <v>0</v>
      </c>
      <c r="IF100">
        <v>100</v>
      </c>
      <c r="IG100">
        <v>100</v>
      </c>
      <c r="IH100">
        <v>4.54</v>
      </c>
      <c r="II100">
        <v>8.3900000000000002E-2</v>
      </c>
      <c r="IJ100">
        <v>2.0458810989420888</v>
      </c>
      <c r="IK100">
        <v>3.5576830062418229E-3</v>
      </c>
      <c r="IL100">
        <v>-2.2646740813029151E-6</v>
      </c>
      <c r="IM100">
        <v>6.9609298295988525E-10</v>
      </c>
      <c r="IN100">
        <v>-0.1666056310376858</v>
      </c>
      <c r="IO100">
        <v>-9.4437069492282083E-4</v>
      </c>
      <c r="IP100">
        <v>5.2900373165634467E-4</v>
      </c>
      <c r="IQ100">
        <v>-3.977656803091445E-6</v>
      </c>
      <c r="IR100">
        <v>2</v>
      </c>
      <c r="IS100">
        <v>1759</v>
      </c>
      <c r="IT100">
        <v>2</v>
      </c>
      <c r="IU100">
        <v>42</v>
      </c>
      <c r="IV100">
        <v>2.1</v>
      </c>
      <c r="IW100">
        <v>2.1</v>
      </c>
      <c r="IX100">
        <v>2.9785200000000001</v>
      </c>
      <c r="IY100">
        <v>2.4096700000000002</v>
      </c>
      <c r="IZ100">
        <v>1.54297</v>
      </c>
      <c r="JA100">
        <v>2.3022499999999999</v>
      </c>
      <c r="JB100">
        <v>1.5466299999999999</v>
      </c>
      <c r="JC100">
        <v>2.3877000000000002</v>
      </c>
      <c r="JD100">
        <v>47.662199999999999</v>
      </c>
      <c r="JE100">
        <v>24.026199999999999</v>
      </c>
      <c r="JF100">
        <v>18</v>
      </c>
      <c r="JG100">
        <v>536.29300000000001</v>
      </c>
      <c r="JH100">
        <v>412.29300000000001</v>
      </c>
      <c r="JI100">
        <v>22.564399999999999</v>
      </c>
      <c r="JJ100">
        <v>41.784599999999998</v>
      </c>
      <c r="JK100">
        <v>30.000399999999999</v>
      </c>
      <c r="JL100">
        <v>42.044199999999996</v>
      </c>
      <c r="JM100">
        <v>42.03</v>
      </c>
      <c r="JN100">
        <v>59.769199999999998</v>
      </c>
      <c r="JO100">
        <v>58.401299999999999</v>
      </c>
      <c r="JP100">
        <v>0</v>
      </c>
      <c r="JQ100">
        <v>22.560099999999998</v>
      </c>
      <c r="JR100">
        <v>1500</v>
      </c>
      <c r="JS100">
        <v>20.995100000000001</v>
      </c>
      <c r="JT100">
        <v>97.986199999999997</v>
      </c>
      <c r="JU100">
        <v>95.746399999999994</v>
      </c>
    </row>
    <row r="101" spans="1:281" x14ac:dyDescent="0.25">
      <c r="A101">
        <v>85</v>
      </c>
      <c r="B101">
        <v>1691181845.5</v>
      </c>
      <c r="C101">
        <v>20934</v>
      </c>
      <c r="D101" t="s">
        <v>849</v>
      </c>
      <c r="E101" t="s">
        <v>850</v>
      </c>
      <c r="F101" t="s">
        <v>413</v>
      </c>
      <c r="G101" t="s">
        <v>707</v>
      </c>
      <c r="H101" t="s">
        <v>636</v>
      </c>
      <c r="I101" t="s">
        <v>31</v>
      </c>
      <c r="J101">
        <v>1691181845.5</v>
      </c>
      <c r="K101">
        <f t="shared" si="92"/>
        <v>5.1340609236132876E-3</v>
      </c>
      <c r="L101">
        <f t="shared" si="93"/>
        <v>5.1340609236132879</v>
      </c>
      <c r="M101">
        <f t="shared" si="94"/>
        <v>45.506647837114109</v>
      </c>
      <c r="N101">
        <f t="shared" si="95"/>
        <v>343.36799999999999</v>
      </c>
      <c r="O101">
        <f t="shared" si="96"/>
        <v>91.203978554882525</v>
      </c>
      <c r="P101">
        <f t="shared" si="97"/>
        <v>9.0354380661211522</v>
      </c>
      <c r="Q101">
        <f t="shared" si="98"/>
        <v>34.016940346752001</v>
      </c>
      <c r="R101">
        <f t="shared" si="99"/>
        <v>0.31082225264680202</v>
      </c>
      <c r="S101">
        <f t="shared" si="100"/>
        <v>2.9043779908242291</v>
      </c>
      <c r="T101">
        <f t="shared" si="101"/>
        <v>0.2934542266206992</v>
      </c>
      <c r="U101">
        <f t="shared" si="102"/>
        <v>0.18488841935787109</v>
      </c>
      <c r="V101">
        <f t="shared" si="103"/>
        <v>344.37981318672666</v>
      </c>
      <c r="W101">
        <f t="shared" si="104"/>
        <v>30.820762254092976</v>
      </c>
      <c r="X101">
        <f t="shared" si="105"/>
        <v>29.968800000000002</v>
      </c>
      <c r="Y101">
        <f t="shared" si="106"/>
        <v>4.2528205697929273</v>
      </c>
      <c r="Z101">
        <f t="shared" si="107"/>
        <v>60.12275184996799</v>
      </c>
      <c r="AA101">
        <f t="shared" si="108"/>
        <v>2.5793564355504004</v>
      </c>
      <c r="AB101">
        <f t="shared" si="109"/>
        <v>4.2901503277611095</v>
      </c>
      <c r="AC101">
        <f t="shared" si="110"/>
        <v>1.6734641342425269</v>
      </c>
      <c r="AD101">
        <f t="shared" si="111"/>
        <v>-226.41208673134599</v>
      </c>
      <c r="AE101">
        <f t="shared" si="112"/>
        <v>23.831601753927806</v>
      </c>
      <c r="AF101">
        <f t="shared" si="113"/>
        <v>1.8252916612223702</v>
      </c>
      <c r="AG101">
        <f t="shared" si="114"/>
        <v>143.62461987053084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51593.791433542137</v>
      </c>
      <c r="AM101" t="s">
        <v>414</v>
      </c>
      <c r="AN101">
        <v>10111.299999999999</v>
      </c>
      <c r="AO101">
        <v>608.58839999999998</v>
      </c>
      <c r="AP101">
        <v>2150.11</v>
      </c>
      <c r="AQ101">
        <f t="shared" si="118"/>
        <v>0.71695010952927984</v>
      </c>
      <c r="AR101">
        <v>-1.1786277417053079</v>
      </c>
      <c r="AS101" t="s">
        <v>851</v>
      </c>
      <c r="AT101">
        <v>8091.33</v>
      </c>
      <c r="AU101">
        <v>654.53615384615375</v>
      </c>
      <c r="AV101">
        <v>976.6279657965124</v>
      </c>
      <c r="AW101">
        <f t="shared" si="119"/>
        <v>0.32979990664886294</v>
      </c>
      <c r="AX101">
        <v>0.5</v>
      </c>
      <c r="AY101">
        <f t="shared" si="120"/>
        <v>1513.2048065933634</v>
      </c>
      <c r="AZ101">
        <f t="shared" si="121"/>
        <v>45.506647837114109</v>
      </c>
      <c r="BA101">
        <f t="shared" si="122"/>
        <v>249.52740197755097</v>
      </c>
      <c r="BB101">
        <f t="shared" si="123"/>
        <v>3.0851921283491492E-2</v>
      </c>
      <c r="BC101">
        <f t="shared" si="124"/>
        <v>1.2015650537371478</v>
      </c>
      <c r="BD101">
        <f t="shared" si="125"/>
        <v>454.1355888374319</v>
      </c>
      <c r="BE101" t="s">
        <v>852</v>
      </c>
      <c r="BF101">
        <v>525.35</v>
      </c>
      <c r="BG101">
        <f t="shared" si="126"/>
        <v>525.35</v>
      </c>
      <c r="BH101">
        <f t="shared" si="127"/>
        <v>0.4620776606867506</v>
      </c>
      <c r="BI101">
        <f t="shared" si="128"/>
        <v>0.71373263567580081</v>
      </c>
      <c r="BJ101">
        <f t="shared" si="129"/>
        <v>0.72224946096868925</v>
      </c>
      <c r="BK101">
        <f t="shared" si="130"/>
        <v>0.87515539600555314</v>
      </c>
      <c r="BL101">
        <f t="shared" si="131"/>
        <v>0.7612491671887619</v>
      </c>
      <c r="BM101">
        <f t="shared" si="132"/>
        <v>0.57286284027087486</v>
      </c>
      <c r="BN101">
        <f t="shared" si="133"/>
        <v>0.42713715972912514</v>
      </c>
      <c r="BO101">
        <v>7143</v>
      </c>
      <c r="BP101">
        <v>290.00000000000011</v>
      </c>
      <c r="BQ101">
        <v>864.97</v>
      </c>
      <c r="BR101">
        <v>295</v>
      </c>
      <c r="BS101">
        <v>8091.33</v>
      </c>
      <c r="BT101">
        <v>866.37</v>
      </c>
      <c r="BU101">
        <v>-1.4</v>
      </c>
      <c r="BV101">
        <v>300.00000000000011</v>
      </c>
      <c r="BW101">
        <v>19.2</v>
      </c>
      <c r="BX101">
        <v>976.6279657965124</v>
      </c>
      <c r="BY101">
        <v>3.1404256426644959</v>
      </c>
      <c r="BZ101">
        <v>-89.216549635031214</v>
      </c>
      <c r="CA101">
        <v>2.334998865905042</v>
      </c>
      <c r="CB101">
        <v>0.98118129250672625</v>
      </c>
      <c r="CC101">
        <v>-4.1693588431590779E-3</v>
      </c>
      <c r="CD101">
        <v>289.99999999999989</v>
      </c>
      <c r="CE101">
        <v>861.76</v>
      </c>
      <c r="CF101">
        <v>635</v>
      </c>
      <c r="CG101">
        <v>8086.44</v>
      </c>
      <c r="CH101">
        <v>866.3</v>
      </c>
      <c r="CI101">
        <v>-4.54</v>
      </c>
      <c r="CW101">
        <f t="shared" si="134"/>
        <v>1800.02</v>
      </c>
      <c r="CX101">
        <f t="shared" si="135"/>
        <v>1513.2048065933634</v>
      </c>
      <c r="CY101">
        <f t="shared" si="136"/>
        <v>0.84065999632968713</v>
      </c>
      <c r="CZ101">
        <f t="shared" si="137"/>
        <v>0.19131999265937416</v>
      </c>
      <c r="DA101">
        <v>6</v>
      </c>
      <c r="DB101">
        <v>0.5</v>
      </c>
      <c r="DC101" t="s">
        <v>417</v>
      </c>
      <c r="DD101">
        <v>2</v>
      </c>
      <c r="DE101">
        <v>1691181845.5</v>
      </c>
      <c r="DF101">
        <v>343.36799999999999</v>
      </c>
      <c r="DG101">
        <v>400.08699999999999</v>
      </c>
      <c r="DH101">
        <v>26.036100000000001</v>
      </c>
      <c r="DI101">
        <v>20.036100000000001</v>
      </c>
      <c r="DJ101">
        <v>340.84199999999998</v>
      </c>
      <c r="DK101">
        <v>25.9131</v>
      </c>
      <c r="DL101">
        <v>500.03899999999999</v>
      </c>
      <c r="DM101">
        <v>98.9679</v>
      </c>
      <c r="DN101">
        <v>0.100564</v>
      </c>
      <c r="DO101">
        <v>30.120999999999999</v>
      </c>
      <c r="DP101">
        <v>29.968800000000002</v>
      </c>
      <c r="DQ101">
        <v>999.9</v>
      </c>
      <c r="DR101">
        <v>0</v>
      </c>
      <c r="DS101">
        <v>0</v>
      </c>
      <c r="DT101">
        <v>9960</v>
      </c>
      <c r="DU101">
        <v>0</v>
      </c>
      <c r="DV101">
        <v>1357.6</v>
      </c>
      <c r="DW101">
        <v>-56.718899999999998</v>
      </c>
      <c r="DX101">
        <v>352.54700000000003</v>
      </c>
      <c r="DY101">
        <v>408.267</v>
      </c>
      <c r="DZ101">
        <v>6.0000200000000001</v>
      </c>
      <c r="EA101">
        <v>400.08699999999999</v>
      </c>
      <c r="EB101">
        <v>20.036100000000001</v>
      </c>
      <c r="EC101">
        <v>2.57674</v>
      </c>
      <c r="ED101">
        <v>1.9829300000000001</v>
      </c>
      <c r="EE101">
        <v>21.519500000000001</v>
      </c>
      <c r="EF101">
        <v>17.308700000000002</v>
      </c>
      <c r="EG101">
        <v>1800.02</v>
      </c>
      <c r="EH101">
        <v>0.97799599999999998</v>
      </c>
      <c r="EI101">
        <v>2.2003499999999999E-2</v>
      </c>
      <c r="EJ101">
        <v>0</v>
      </c>
      <c r="EK101">
        <v>658.1</v>
      </c>
      <c r="EL101">
        <v>0.10001</v>
      </c>
      <c r="EM101">
        <v>16528.2</v>
      </c>
      <c r="EN101">
        <v>16353.7</v>
      </c>
      <c r="EO101">
        <v>49.061999999999998</v>
      </c>
      <c r="EP101">
        <v>51.311999999999998</v>
      </c>
      <c r="EQ101">
        <v>50.561999999999998</v>
      </c>
      <c r="ER101">
        <v>49.936999999999998</v>
      </c>
      <c r="ES101">
        <v>50.436999999999998</v>
      </c>
      <c r="ET101">
        <v>1760.31</v>
      </c>
      <c r="EU101">
        <v>39.6</v>
      </c>
      <c r="EV101">
        <v>0</v>
      </c>
      <c r="EW101">
        <v>2271.7999999523158</v>
      </c>
      <c r="EX101">
        <v>0</v>
      </c>
      <c r="EY101">
        <v>654.53615384615375</v>
      </c>
      <c r="EZ101">
        <v>-1.728205209462373</v>
      </c>
      <c r="FA101">
        <v>5128.5948712143627</v>
      </c>
      <c r="FB101">
        <v>15910.07692307692</v>
      </c>
      <c r="FC101">
        <v>15</v>
      </c>
      <c r="FD101">
        <v>1691181810</v>
      </c>
      <c r="FE101" t="s">
        <v>853</v>
      </c>
      <c r="FF101">
        <v>1691181804.5</v>
      </c>
      <c r="FG101">
        <v>1691181810</v>
      </c>
      <c r="FH101">
        <v>95</v>
      </c>
      <c r="FI101">
        <v>-1.0999999999999999E-2</v>
      </c>
      <c r="FJ101">
        <v>1E-3</v>
      </c>
      <c r="FK101">
        <v>2.649</v>
      </c>
      <c r="FL101">
        <v>1.9E-2</v>
      </c>
      <c r="FM101">
        <v>400</v>
      </c>
      <c r="FN101">
        <v>20</v>
      </c>
      <c r="FO101">
        <v>0.06</v>
      </c>
      <c r="FP101">
        <v>0.03</v>
      </c>
      <c r="FQ101">
        <v>45.446245754778651</v>
      </c>
      <c r="FR101">
        <v>-0.45263267327551038</v>
      </c>
      <c r="FS101">
        <v>9.284205533917754E-2</v>
      </c>
      <c r="FT101">
        <v>1</v>
      </c>
      <c r="FU101">
        <v>0.31642566821882839</v>
      </c>
      <c r="FV101">
        <v>-4.9744695163881143E-2</v>
      </c>
      <c r="FW101">
        <v>3.8071195340870028E-3</v>
      </c>
      <c r="FX101">
        <v>1</v>
      </c>
      <c r="FY101">
        <v>2</v>
      </c>
      <c r="FZ101">
        <v>2</v>
      </c>
      <c r="GA101" t="s">
        <v>419</v>
      </c>
      <c r="GB101">
        <v>2.8829500000000001</v>
      </c>
      <c r="GC101">
        <v>2.8214100000000002</v>
      </c>
      <c r="GD101">
        <v>7.6103000000000004E-2</v>
      </c>
      <c r="GE101">
        <v>8.6765900000000007E-2</v>
      </c>
      <c r="GF101">
        <v>0.120394</v>
      </c>
      <c r="GG101">
        <v>0.100896</v>
      </c>
      <c r="GH101">
        <v>28299</v>
      </c>
      <c r="GI101">
        <v>26090.3</v>
      </c>
      <c r="GJ101">
        <v>28202</v>
      </c>
      <c r="GK101">
        <v>26837</v>
      </c>
      <c r="GL101">
        <v>35008.300000000003</v>
      </c>
      <c r="GM101">
        <v>33711.4</v>
      </c>
      <c r="GN101">
        <v>41489.800000000003</v>
      </c>
      <c r="GO101">
        <v>38841.9</v>
      </c>
      <c r="GP101">
        <v>1.9938</v>
      </c>
      <c r="GQ101">
        <v>1.6593</v>
      </c>
      <c r="GR101">
        <v>-3.8176799999999997E-2</v>
      </c>
      <c r="GS101">
        <v>0</v>
      </c>
      <c r="GT101">
        <v>30.5898</v>
      </c>
      <c r="GU101">
        <v>999.9</v>
      </c>
      <c r="GV101">
        <v>46</v>
      </c>
      <c r="GW101">
        <v>44.4</v>
      </c>
      <c r="GX101">
        <v>43.431399999999996</v>
      </c>
      <c r="GY101">
        <v>62.861499999999999</v>
      </c>
      <c r="GZ101">
        <v>29.182700000000001</v>
      </c>
      <c r="HA101">
        <v>1</v>
      </c>
      <c r="HB101">
        <v>1.0581499999999999</v>
      </c>
      <c r="HC101">
        <v>4.6309699999999996</v>
      </c>
      <c r="HD101">
        <v>20.183900000000001</v>
      </c>
      <c r="HE101">
        <v>5.2095000000000002</v>
      </c>
      <c r="HF101">
        <v>11.997999999999999</v>
      </c>
      <c r="HG101">
        <v>4.9878</v>
      </c>
      <c r="HH101">
        <v>3.2909999999999999</v>
      </c>
      <c r="HI101">
        <v>9999</v>
      </c>
      <c r="HJ101">
        <v>9999</v>
      </c>
      <c r="HK101">
        <v>9999</v>
      </c>
      <c r="HL101">
        <v>999.9</v>
      </c>
      <c r="HM101">
        <v>1.8666100000000001</v>
      </c>
      <c r="HN101">
        <v>1.8666400000000001</v>
      </c>
      <c r="HO101">
        <v>1.8631200000000001</v>
      </c>
      <c r="HP101">
        <v>1.86432</v>
      </c>
      <c r="HQ101">
        <v>1.8638999999999999</v>
      </c>
      <c r="HR101">
        <v>1.8597900000000001</v>
      </c>
      <c r="HS101">
        <v>1.8629500000000001</v>
      </c>
      <c r="HT101">
        <v>1.86572</v>
      </c>
      <c r="HU101">
        <v>5</v>
      </c>
      <c r="HV101">
        <v>0</v>
      </c>
      <c r="HW101">
        <v>0</v>
      </c>
      <c r="HX101">
        <v>0</v>
      </c>
      <c r="HY101" t="s">
        <v>420</v>
      </c>
      <c r="HZ101" t="s">
        <v>421</v>
      </c>
      <c r="IA101" t="s">
        <v>422</v>
      </c>
      <c r="IB101" t="s">
        <v>422</v>
      </c>
      <c r="IC101" t="s">
        <v>422</v>
      </c>
      <c r="ID101" t="s">
        <v>422</v>
      </c>
      <c r="IE101">
        <v>0</v>
      </c>
      <c r="IF101">
        <v>100</v>
      </c>
      <c r="IG101">
        <v>100</v>
      </c>
      <c r="IH101">
        <v>2.5259999999999998</v>
      </c>
      <c r="II101">
        <v>0.123</v>
      </c>
      <c r="IJ101">
        <v>1.5487732388803599</v>
      </c>
      <c r="IK101">
        <v>3.5576830062418229E-3</v>
      </c>
      <c r="IL101">
        <v>-2.2646740813029151E-6</v>
      </c>
      <c r="IM101">
        <v>6.9609298295988525E-10</v>
      </c>
      <c r="IN101">
        <v>-0.13854923821922821</v>
      </c>
      <c r="IO101">
        <v>-9.4437069492282083E-4</v>
      </c>
      <c r="IP101">
        <v>5.2900373165634467E-4</v>
      </c>
      <c r="IQ101">
        <v>-3.977656803091445E-6</v>
      </c>
      <c r="IR101">
        <v>2</v>
      </c>
      <c r="IS101">
        <v>1759</v>
      </c>
      <c r="IT101">
        <v>2</v>
      </c>
      <c r="IU101">
        <v>42</v>
      </c>
      <c r="IV101">
        <v>0.7</v>
      </c>
      <c r="IW101">
        <v>0.6</v>
      </c>
      <c r="IX101">
        <v>0.99121099999999995</v>
      </c>
      <c r="IY101">
        <v>2.4316399999999998</v>
      </c>
      <c r="IZ101">
        <v>1.54297</v>
      </c>
      <c r="JA101">
        <v>2.3034699999999999</v>
      </c>
      <c r="JB101">
        <v>1.5466299999999999</v>
      </c>
      <c r="JC101">
        <v>2.4096700000000002</v>
      </c>
      <c r="JD101">
        <v>47.033700000000003</v>
      </c>
      <c r="JE101">
        <v>24.008700000000001</v>
      </c>
      <c r="JF101">
        <v>18</v>
      </c>
      <c r="JG101">
        <v>534.49099999999999</v>
      </c>
      <c r="JH101">
        <v>417.11</v>
      </c>
      <c r="JI101">
        <v>24.514299999999999</v>
      </c>
      <c r="JJ101">
        <v>39.697899999999997</v>
      </c>
      <c r="JK101">
        <v>29.999600000000001</v>
      </c>
      <c r="JL101">
        <v>40.154000000000003</v>
      </c>
      <c r="JM101">
        <v>40.125</v>
      </c>
      <c r="JN101">
        <v>19.976299999999998</v>
      </c>
      <c r="JO101">
        <v>59.692500000000003</v>
      </c>
      <c r="JP101">
        <v>0</v>
      </c>
      <c r="JQ101">
        <v>24.508400000000002</v>
      </c>
      <c r="JR101">
        <v>400</v>
      </c>
      <c r="JS101">
        <v>20.060500000000001</v>
      </c>
      <c r="JT101">
        <v>98.305099999999996</v>
      </c>
      <c r="JU101">
        <v>96.100800000000007</v>
      </c>
    </row>
    <row r="102" spans="1:281" x14ac:dyDescent="0.25">
      <c r="A102">
        <v>86</v>
      </c>
      <c r="B102">
        <v>1691182019.5</v>
      </c>
      <c r="C102">
        <v>21108</v>
      </c>
      <c r="D102" t="s">
        <v>854</v>
      </c>
      <c r="E102" t="s">
        <v>855</v>
      </c>
      <c r="F102" t="s">
        <v>413</v>
      </c>
      <c r="G102" t="s">
        <v>707</v>
      </c>
      <c r="H102" t="s">
        <v>636</v>
      </c>
      <c r="I102" t="s">
        <v>31</v>
      </c>
      <c r="J102">
        <v>1691182019.5</v>
      </c>
      <c r="K102">
        <f t="shared" si="92"/>
        <v>5.5907027326065947E-3</v>
      </c>
      <c r="L102">
        <f t="shared" si="93"/>
        <v>5.5907027326065943</v>
      </c>
      <c r="M102">
        <f t="shared" si="94"/>
        <v>37.061486649704847</v>
      </c>
      <c r="N102">
        <f t="shared" si="95"/>
        <v>253.89500000000001</v>
      </c>
      <c r="O102">
        <f t="shared" si="96"/>
        <v>64.791623409249212</v>
      </c>
      <c r="P102">
        <f t="shared" si="97"/>
        <v>6.418502835694408</v>
      </c>
      <c r="Q102">
        <f t="shared" si="98"/>
        <v>25.151797280572499</v>
      </c>
      <c r="R102">
        <f t="shared" si="99"/>
        <v>0.33881287739622773</v>
      </c>
      <c r="S102">
        <f t="shared" si="100"/>
        <v>2.9117470422683889</v>
      </c>
      <c r="T102">
        <f t="shared" si="101"/>
        <v>0.31833533690894383</v>
      </c>
      <c r="U102">
        <f t="shared" si="102"/>
        <v>0.20069619285545193</v>
      </c>
      <c r="V102">
        <f t="shared" si="103"/>
        <v>344.3728999868066</v>
      </c>
      <c r="W102">
        <f t="shared" si="104"/>
        <v>30.754680467309694</v>
      </c>
      <c r="X102">
        <f t="shared" si="105"/>
        <v>30.007100000000001</v>
      </c>
      <c r="Y102">
        <f t="shared" si="106"/>
        <v>4.2621875700929595</v>
      </c>
      <c r="Z102">
        <f t="shared" si="107"/>
        <v>60.007134027882415</v>
      </c>
      <c r="AA102">
        <f t="shared" si="108"/>
        <v>2.5825034698870497</v>
      </c>
      <c r="AB102">
        <f t="shared" si="109"/>
        <v>4.3036607425495195</v>
      </c>
      <c r="AC102">
        <f t="shared" si="110"/>
        <v>1.6796841002059097</v>
      </c>
      <c r="AD102">
        <f t="shared" si="111"/>
        <v>-246.54999050795084</v>
      </c>
      <c r="AE102">
        <f t="shared" si="112"/>
        <v>26.482206573765499</v>
      </c>
      <c r="AF102">
        <f t="shared" si="113"/>
        <v>2.0241040021392482</v>
      </c>
      <c r="AG102">
        <f t="shared" si="114"/>
        <v>126.32922005476053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51793.571445963396</v>
      </c>
      <c r="AM102" t="s">
        <v>414</v>
      </c>
      <c r="AN102">
        <v>10111.299999999999</v>
      </c>
      <c r="AO102">
        <v>608.58839999999998</v>
      </c>
      <c r="AP102">
        <v>2150.11</v>
      </c>
      <c r="AQ102">
        <f t="shared" si="118"/>
        <v>0.71695010952927984</v>
      </c>
      <c r="AR102">
        <v>-1.1786277417053079</v>
      </c>
      <c r="AS102" t="s">
        <v>856</v>
      </c>
      <c r="AT102">
        <v>8092.69</v>
      </c>
      <c r="AU102">
        <v>630.21769230769235</v>
      </c>
      <c r="AV102">
        <v>873.6605764168828</v>
      </c>
      <c r="AW102">
        <f t="shared" si="119"/>
        <v>0.27864698337152316</v>
      </c>
      <c r="AX102">
        <v>0.5</v>
      </c>
      <c r="AY102">
        <f t="shared" si="120"/>
        <v>1513.1789999934033</v>
      </c>
      <c r="AZ102">
        <f t="shared" si="121"/>
        <v>37.061486649704847</v>
      </c>
      <c r="BA102">
        <f t="shared" si="122"/>
        <v>210.82138182464993</v>
      </c>
      <c r="BB102">
        <f t="shared" si="123"/>
        <v>2.5271375291077168E-2</v>
      </c>
      <c r="BC102">
        <f t="shared" si="124"/>
        <v>1.461035850808537</v>
      </c>
      <c r="BD102">
        <f t="shared" si="125"/>
        <v>430.54020444704503</v>
      </c>
      <c r="BE102" t="s">
        <v>857</v>
      </c>
      <c r="BF102">
        <v>510.65</v>
      </c>
      <c r="BG102">
        <f t="shared" si="126"/>
        <v>510.65</v>
      </c>
      <c r="BH102">
        <f t="shared" si="127"/>
        <v>0.41550527311840824</v>
      </c>
      <c r="BI102">
        <f t="shared" si="128"/>
        <v>0.67062201468648031</v>
      </c>
      <c r="BJ102">
        <f t="shared" si="129"/>
        <v>0.77857918069554444</v>
      </c>
      <c r="BK102">
        <f t="shared" si="130"/>
        <v>0.91840225330298086</v>
      </c>
      <c r="BL102">
        <f t="shared" si="131"/>
        <v>0.8280451104824722</v>
      </c>
      <c r="BM102">
        <f t="shared" si="132"/>
        <v>0.54338863535499515</v>
      </c>
      <c r="BN102">
        <f t="shared" si="133"/>
        <v>0.45661136464500485</v>
      </c>
      <c r="BO102">
        <v>7145</v>
      </c>
      <c r="BP102">
        <v>290.00000000000011</v>
      </c>
      <c r="BQ102">
        <v>794.73</v>
      </c>
      <c r="BR102">
        <v>295</v>
      </c>
      <c r="BS102">
        <v>8092.69</v>
      </c>
      <c r="BT102">
        <v>795.68</v>
      </c>
      <c r="BU102">
        <v>-0.95</v>
      </c>
      <c r="BV102">
        <v>300.00000000000011</v>
      </c>
      <c r="BW102">
        <v>19.2</v>
      </c>
      <c r="BX102">
        <v>873.6605764168828</v>
      </c>
      <c r="BY102">
        <v>2.5413489022823081</v>
      </c>
      <c r="BZ102">
        <v>-63.108045930862232</v>
      </c>
      <c r="CA102">
        <v>1.889895373041145</v>
      </c>
      <c r="CB102">
        <v>0.97550411168761775</v>
      </c>
      <c r="CC102">
        <v>-4.1698144605116783E-3</v>
      </c>
      <c r="CD102">
        <v>289.99999999999989</v>
      </c>
      <c r="CE102">
        <v>793.28</v>
      </c>
      <c r="CF102">
        <v>645</v>
      </c>
      <c r="CG102">
        <v>8087.67</v>
      </c>
      <c r="CH102">
        <v>795.63</v>
      </c>
      <c r="CI102">
        <v>-2.35</v>
      </c>
      <c r="CW102">
        <f t="shared" si="134"/>
        <v>1799.99</v>
      </c>
      <c r="CX102">
        <f t="shared" si="135"/>
        <v>1513.1789999934033</v>
      </c>
      <c r="CY102">
        <f t="shared" si="136"/>
        <v>0.84065967032783695</v>
      </c>
      <c r="CZ102">
        <f t="shared" si="137"/>
        <v>0.19131934065567396</v>
      </c>
      <c r="DA102">
        <v>6</v>
      </c>
      <c r="DB102">
        <v>0.5</v>
      </c>
      <c r="DC102" t="s">
        <v>417</v>
      </c>
      <c r="DD102">
        <v>2</v>
      </c>
      <c r="DE102">
        <v>1691182019.5</v>
      </c>
      <c r="DF102">
        <v>253.89500000000001</v>
      </c>
      <c r="DG102">
        <v>300.06400000000002</v>
      </c>
      <c r="DH102">
        <v>26.069099999999999</v>
      </c>
      <c r="DI102">
        <v>19.536300000000001</v>
      </c>
      <c r="DJ102">
        <v>251.54599999999999</v>
      </c>
      <c r="DK102">
        <v>25.940899999999999</v>
      </c>
      <c r="DL102">
        <v>500.08800000000002</v>
      </c>
      <c r="DM102">
        <v>98.963899999999995</v>
      </c>
      <c r="DN102">
        <v>9.9875500000000006E-2</v>
      </c>
      <c r="DO102">
        <v>30.175799999999999</v>
      </c>
      <c r="DP102">
        <v>30.007100000000001</v>
      </c>
      <c r="DQ102">
        <v>999.9</v>
      </c>
      <c r="DR102">
        <v>0</v>
      </c>
      <c r="DS102">
        <v>0</v>
      </c>
      <c r="DT102">
        <v>10002.5</v>
      </c>
      <c r="DU102">
        <v>0</v>
      </c>
      <c r="DV102">
        <v>1428.81</v>
      </c>
      <c r="DW102">
        <v>-46.169800000000002</v>
      </c>
      <c r="DX102">
        <v>260.69099999999997</v>
      </c>
      <c r="DY102">
        <v>306.04300000000001</v>
      </c>
      <c r="DZ102">
        <v>6.5328499999999998</v>
      </c>
      <c r="EA102">
        <v>300.06400000000002</v>
      </c>
      <c r="EB102">
        <v>19.536300000000001</v>
      </c>
      <c r="EC102">
        <v>2.5798999999999999</v>
      </c>
      <c r="ED102">
        <v>1.9333899999999999</v>
      </c>
      <c r="EE102">
        <v>21.5396</v>
      </c>
      <c r="EF102">
        <v>16.909099999999999</v>
      </c>
      <c r="EG102">
        <v>1799.99</v>
      </c>
      <c r="EH102">
        <v>0.97801000000000005</v>
      </c>
      <c r="EI102">
        <v>2.1990099999999999E-2</v>
      </c>
      <c r="EJ102">
        <v>0</v>
      </c>
      <c r="EK102">
        <v>629.70500000000004</v>
      </c>
      <c r="EL102">
        <v>0.10001</v>
      </c>
      <c r="EM102">
        <v>16229.1</v>
      </c>
      <c r="EN102">
        <v>16353.5</v>
      </c>
      <c r="EO102">
        <v>48.75</v>
      </c>
      <c r="EP102">
        <v>51.061999999999998</v>
      </c>
      <c r="EQ102">
        <v>50.311999999999998</v>
      </c>
      <c r="ER102">
        <v>49.5</v>
      </c>
      <c r="ES102">
        <v>50.061999999999998</v>
      </c>
      <c r="ET102">
        <v>1760.31</v>
      </c>
      <c r="EU102">
        <v>39.58</v>
      </c>
      <c r="EV102">
        <v>0</v>
      </c>
      <c r="EW102">
        <v>171.79999995231631</v>
      </c>
      <c r="EX102">
        <v>0</v>
      </c>
      <c r="EY102">
        <v>630.21769230769235</v>
      </c>
      <c r="EZ102">
        <v>4.2188033016840043</v>
      </c>
      <c r="FA102">
        <v>-204.87863291314679</v>
      </c>
      <c r="FB102">
        <v>16266.542307692311</v>
      </c>
      <c r="FC102">
        <v>15</v>
      </c>
      <c r="FD102">
        <v>1691181917.5</v>
      </c>
      <c r="FE102" t="s">
        <v>858</v>
      </c>
      <c r="FF102">
        <v>1691181913.5</v>
      </c>
      <c r="FG102">
        <v>1691181917.5</v>
      </c>
      <c r="FH102">
        <v>96</v>
      </c>
      <c r="FI102">
        <v>3.6999999999999998E-2</v>
      </c>
      <c r="FJ102">
        <v>5.0000000000000001E-3</v>
      </c>
      <c r="FK102">
        <v>2.4620000000000002</v>
      </c>
      <c r="FL102">
        <v>2.7E-2</v>
      </c>
      <c r="FM102">
        <v>300</v>
      </c>
      <c r="FN102">
        <v>20</v>
      </c>
      <c r="FO102">
        <v>0.12</v>
      </c>
      <c r="FP102">
        <v>0.04</v>
      </c>
      <c r="FQ102">
        <v>36.828294554506243</v>
      </c>
      <c r="FR102">
        <v>0.69481550204570008</v>
      </c>
      <c r="FS102">
        <v>0.1027961797165534</v>
      </c>
      <c r="FT102">
        <v>1</v>
      </c>
      <c r="FU102">
        <v>0.33791426708122091</v>
      </c>
      <c r="FV102">
        <v>2.5969359086525531E-2</v>
      </c>
      <c r="FW102">
        <v>2.5095680777782151E-3</v>
      </c>
      <c r="FX102">
        <v>1</v>
      </c>
      <c r="FY102">
        <v>2</v>
      </c>
      <c r="FZ102">
        <v>2</v>
      </c>
      <c r="GA102" t="s">
        <v>419</v>
      </c>
      <c r="GB102">
        <v>2.8834900000000001</v>
      </c>
      <c r="GC102">
        <v>2.8210899999999999</v>
      </c>
      <c r="GD102">
        <v>5.9243700000000003E-2</v>
      </c>
      <c r="GE102">
        <v>6.90437E-2</v>
      </c>
      <c r="GF102">
        <v>0.12053700000000001</v>
      </c>
      <c r="GG102">
        <v>9.9160700000000004E-2</v>
      </c>
      <c r="GH102">
        <v>28826.1</v>
      </c>
      <c r="GI102">
        <v>26609.7</v>
      </c>
      <c r="GJ102">
        <v>28212.2</v>
      </c>
      <c r="GK102">
        <v>26849.8</v>
      </c>
      <c r="GL102">
        <v>35014.300000000003</v>
      </c>
      <c r="GM102">
        <v>33790.300000000003</v>
      </c>
      <c r="GN102">
        <v>41505</v>
      </c>
      <c r="GO102">
        <v>38858.9</v>
      </c>
      <c r="GP102">
        <v>1.9962</v>
      </c>
      <c r="GQ102">
        <v>1.6618999999999999</v>
      </c>
      <c r="GR102">
        <v>-3.7804200000000003E-2</v>
      </c>
      <c r="GS102">
        <v>0</v>
      </c>
      <c r="GT102">
        <v>30.622</v>
      </c>
      <c r="GU102">
        <v>999.9</v>
      </c>
      <c r="GV102">
        <v>46</v>
      </c>
      <c r="GW102">
        <v>44.4</v>
      </c>
      <c r="GX102">
        <v>43.4315</v>
      </c>
      <c r="GY102">
        <v>62.591500000000003</v>
      </c>
      <c r="GZ102">
        <v>29.102599999999999</v>
      </c>
      <c r="HA102">
        <v>1</v>
      </c>
      <c r="HB102">
        <v>1.03992</v>
      </c>
      <c r="HC102">
        <v>5.1542599999999998</v>
      </c>
      <c r="HD102">
        <v>20.170100000000001</v>
      </c>
      <c r="HE102">
        <v>5.2088999999999999</v>
      </c>
      <c r="HF102">
        <v>11.9986</v>
      </c>
      <c r="HG102">
        <v>4.9889999999999999</v>
      </c>
      <c r="HH102">
        <v>3.2909999999999999</v>
      </c>
      <c r="HI102">
        <v>9999</v>
      </c>
      <c r="HJ102">
        <v>9999</v>
      </c>
      <c r="HK102">
        <v>9999</v>
      </c>
      <c r="HL102">
        <v>999.9</v>
      </c>
      <c r="HM102">
        <v>1.86676</v>
      </c>
      <c r="HN102">
        <v>1.86686</v>
      </c>
      <c r="HO102">
        <v>1.86328</v>
      </c>
      <c r="HP102">
        <v>1.8645099999999999</v>
      </c>
      <c r="HQ102">
        <v>1.86415</v>
      </c>
      <c r="HR102">
        <v>1.85999</v>
      </c>
      <c r="HS102">
        <v>1.8631</v>
      </c>
      <c r="HT102">
        <v>1.8659699999999999</v>
      </c>
      <c r="HU102">
        <v>5</v>
      </c>
      <c r="HV102">
        <v>0</v>
      </c>
      <c r="HW102">
        <v>0</v>
      </c>
      <c r="HX102">
        <v>0</v>
      </c>
      <c r="HY102" t="s">
        <v>420</v>
      </c>
      <c r="HZ102" t="s">
        <v>421</v>
      </c>
      <c r="IA102" t="s">
        <v>422</v>
      </c>
      <c r="IB102" t="s">
        <v>422</v>
      </c>
      <c r="IC102" t="s">
        <v>422</v>
      </c>
      <c r="ID102" t="s">
        <v>422</v>
      </c>
      <c r="IE102">
        <v>0</v>
      </c>
      <c r="IF102">
        <v>100</v>
      </c>
      <c r="IG102">
        <v>100</v>
      </c>
      <c r="IH102">
        <v>2.3490000000000002</v>
      </c>
      <c r="II102">
        <v>0.12820000000000001</v>
      </c>
      <c r="IJ102">
        <v>1.585583110152974</v>
      </c>
      <c r="IK102">
        <v>3.5576830062418229E-3</v>
      </c>
      <c r="IL102">
        <v>-2.2646740813029151E-6</v>
      </c>
      <c r="IM102">
        <v>6.9609298295988525E-10</v>
      </c>
      <c r="IN102">
        <v>-0.13378973917456141</v>
      </c>
      <c r="IO102">
        <v>-9.4437069492282083E-4</v>
      </c>
      <c r="IP102">
        <v>5.2900373165634467E-4</v>
      </c>
      <c r="IQ102">
        <v>-3.977656803091445E-6</v>
      </c>
      <c r="IR102">
        <v>2</v>
      </c>
      <c r="IS102">
        <v>1759</v>
      </c>
      <c r="IT102">
        <v>2</v>
      </c>
      <c r="IU102">
        <v>42</v>
      </c>
      <c r="IV102">
        <v>1.8</v>
      </c>
      <c r="IW102">
        <v>1.7</v>
      </c>
      <c r="IX102">
        <v>0.78125</v>
      </c>
      <c r="IY102">
        <v>2.4414099999999999</v>
      </c>
      <c r="IZ102">
        <v>1.54297</v>
      </c>
      <c r="JA102">
        <v>2.3022499999999999</v>
      </c>
      <c r="JB102">
        <v>1.5466299999999999</v>
      </c>
      <c r="JC102">
        <v>2.36206</v>
      </c>
      <c r="JD102">
        <v>47.033700000000003</v>
      </c>
      <c r="JE102">
        <v>23.886099999999999</v>
      </c>
      <c r="JF102">
        <v>18</v>
      </c>
      <c r="JG102">
        <v>534.423</v>
      </c>
      <c r="JH102">
        <v>417.48399999999998</v>
      </c>
      <c r="JI102">
        <v>24.2041</v>
      </c>
      <c r="JJ102">
        <v>39.465299999999999</v>
      </c>
      <c r="JK102">
        <v>29.999500000000001</v>
      </c>
      <c r="JL102">
        <v>39.937100000000001</v>
      </c>
      <c r="JM102">
        <v>39.909599999999998</v>
      </c>
      <c r="JN102">
        <v>15.758699999999999</v>
      </c>
      <c r="JO102">
        <v>60.843000000000004</v>
      </c>
      <c r="JP102">
        <v>0</v>
      </c>
      <c r="JQ102">
        <v>24.200299999999999</v>
      </c>
      <c r="JR102">
        <v>300</v>
      </c>
      <c r="JS102">
        <v>19.532299999999999</v>
      </c>
      <c r="JT102">
        <v>98.340900000000005</v>
      </c>
      <c r="JU102">
        <v>96.144300000000001</v>
      </c>
    </row>
    <row r="103" spans="1:281" x14ac:dyDescent="0.25">
      <c r="A103">
        <v>87</v>
      </c>
      <c r="B103">
        <v>1691182119</v>
      </c>
      <c r="C103">
        <v>21207.5</v>
      </c>
      <c r="D103" t="s">
        <v>859</v>
      </c>
      <c r="E103" t="s">
        <v>860</v>
      </c>
      <c r="F103" t="s">
        <v>413</v>
      </c>
      <c r="G103" t="s">
        <v>707</v>
      </c>
      <c r="H103" t="s">
        <v>636</v>
      </c>
      <c r="I103" t="s">
        <v>31</v>
      </c>
      <c r="J103">
        <v>1691182119</v>
      </c>
      <c r="K103">
        <f t="shared" si="92"/>
        <v>5.7706087384324558E-3</v>
      </c>
      <c r="L103">
        <f t="shared" si="93"/>
        <v>5.7706087384324558</v>
      </c>
      <c r="M103">
        <f t="shared" si="94"/>
        <v>25.278742598325227</v>
      </c>
      <c r="N103">
        <f t="shared" si="95"/>
        <v>168.559</v>
      </c>
      <c r="O103">
        <f t="shared" si="96"/>
        <v>45.290845359776327</v>
      </c>
      <c r="P103">
        <f t="shared" si="97"/>
        <v>4.4861571028012657</v>
      </c>
      <c r="Q103">
        <f t="shared" si="98"/>
        <v>16.696136914297</v>
      </c>
      <c r="R103">
        <f t="shared" si="99"/>
        <v>0.35556224973258521</v>
      </c>
      <c r="S103">
        <f t="shared" si="100"/>
        <v>2.9115350230569876</v>
      </c>
      <c r="T103">
        <f t="shared" si="101"/>
        <v>0.3330805676727594</v>
      </c>
      <c r="U103">
        <f t="shared" si="102"/>
        <v>0.21007667849882736</v>
      </c>
      <c r="V103">
        <f t="shared" si="103"/>
        <v>344.38229998679697</v>
      </c>
      <c r="W103">
        <f t="shared" si="104"/>
        <v>30.685330823867218</v>
      </c>
      <c r="X103">
        <f t="shared" si="105"/>
        <v>30.005800000000001</v>
      </c>
      <c r="Y103">
        <f t="shared" si="106"/>
        <v>4.2618693355957467</v>
      </c>
      <c r="Z103">
        <f t="shared" si="107"/>
        <v>60.614571656654078</v>
      </c>
      <c r="AA103">
        <f t="shared" si="108"/>
        <v>2.6052804224843</v>
      </c>
      <c r="AB103">
        <f t="shared" si="109"/>
        <v>4.2981091036024841</v>
      </c>
      <c r="AC103">
        <f t="shared" si="110"/>
        <v>1.6565889131114466</v>
      </c>
      <c r="AD103">
        <f t="shared" si="111"/>
        <v>-254.48384536487131</v>
      </c>
      <c r="AE103">
        <f t="shared" si="112"/>
        <v>23.152584734049761</v>
      </c>
      <c r="AF103">
        <f t="shared" si="113"/>
        <v>1.7695327240246947</v>
      </c>
      <c r="AG103">
        <f t="shared" si="114"/>
        <v>114.82057208000012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51791.134793484649</v>
      </c>
      <c r="AM103" t="s">
        <v>414</v>
      </c>
      <c r="AN103">
        <v>10111.299999999999</v>
      </c>
      <c r="AO103">
        <v>608.58839999999998</v>
      </c>
      <c r="AP103">
        <v>2150.11</v>
      </c>
      <c r="AQ103">
        <f t="shared" si="118"/>
        <v>0.71695010952927984</v>
      </c>
      <c r="AR103">
        <v>-1.1786277417053079</v>
      </c>
      <c r="AS103" t="s">
        <v>861</v>
      </c>
      <c r="AT103">
        <v>8092.53</v>
      </c>
      <c r="AU103">
        <v>629.21839999999997</v>
      </c>
      <c r="AV103">
        <v>799.32622460325115</v>
      </c>
      <c r="AW103">
        <f t="shared" si="119"/>
        <v>0.21281401681483036</v>
      </c>
      <c r="AX103">
        <v>0.5</v>
      </c>
      <c r="AY103">
        <f t="shared" si="120"/>
        <v>1513.2134999933983</v>
      </c>
      <c r="AZ103">
        <f t="shared" si="121"/>
        <v>25.278742598325227</v>
      </c>
      <c r="BA103">
        <f t="shared" si="122"/>
        <v>161.01652161601169</v>
      </c>
      <c r="BB103">
        <f t="shared" si="123"/>
        <v>1.7484228326105973E-2</v>
      </c>
      <c r="BC103">
        <f t="shared" si="124"/>
        <v>1.6899029880662504</v>
      </c>
      <c r="BD103">
        <f t="shared" si="125"/>
        <v>411.67377678515072</v>
      </c>
      <c r="BE103" t="s">
        <v>862</v>
      </c>
      <c r="BF103">
        <v>509.73</v>
      </c>
      <c r="BG103">
        <f t="shared" si="126"/>
        <v>509.73</v>
      </c>
      <c r="BH103">
        <f t="shared" si="127"/>
        <v>0.36230041713818839</v>
      </c>
      <c r="BI103">
        <f t="shared" si="128"/>
        <v>0.58739655475930352</v>
      </c>
      <c r="BJ103">
        <f t="shared" si="129"/>
        <v>0.82345784232723451</v>
      </c>
      <c r="BK103">
        <f t="shared" si="130"/>
        <v>0.89184106486004056</v>
      </c>
      <c r="BL103">
        <f t="shared" si="131"/>
        <v>0.87626652483932044</v>
      </c>
      <c r="BM103">
        <f t="shared" si="132"/>
        <v>0.47585011159473378</v>
      </c>
      <c r="BN103">
        <f t="shared" si="133"/>
        <v>0.52414988840526622</v>
      </c>
      <c r="BO103">
        <v>7147</v>
      </c>
      <c r="BP103">
        <v>290.00000000000011</v>
      </c>
      <c r="BQ103">
        <v>755.87</v>
      </c>
      <c r="BR103">
        <v>295</v>
      </c>
      <c r="BS103">
        <v>8092.53</v>
      </c>
      <c r="BT103">
        <v>756.24</v>
      </c>
      <c r="BU103">
        <v>-0.37</v>
      </c>
      <c r="BV103">
        <v>300.00000000000011</v>
      </c>
      <c r="BW103">
        <v>19.2</v>
      </c>
      <c r="BX103">
        <v>799.32622460325115</v>
      </c>
      <c r="BY103">
        <v>3.1957406694425949</v>
      </c>
      <c r="BZ103">
        <v>-34.867066952255271</v>
      </c>
      <c r="CA103">
        <v>2.376497439097605</v>
      </c>
      <c r="CB103">
        <v>0.8848951282274895</v>
      </c>
      <c r="CC103">
        <v>-4.1696135706340417E-3</v>
      </c>
      <c r="CD103">
        <v>289.99999999999989</v>
      </c>
      <c r="CE103">
        <v>757.67</v>
      </c>
      <c r="CF103">
        <v>665</v>
      </c>
      <c r="CG103">
        <v>8087.11</v>
      </c>
      <c r="CH103">
        <v>756.21</v>
      </c>
      <c r="CI103">
        <v>1.46</v>
      </c>
      <c r="CW103">
        <f t="shared" si="134"/>
        <v>1800.03</v>
      </c>
      <c r="CX103">
        <f t="shared" si="135"/>
        <v>1513.2134999933983</v>
      </c>
      <c r="CY103">
        <f t="shared" si="136"/>
        <v>0.84066015566040475</v>
      </c>
      <c r="CZ103">
        <f t="shared" si="137"/>
        <v>0.19132031132080962</v>
      </c>
      <c r="DA103">
        <v>6</v>
      </c>
      <c r="DB103">
        <v>0.5</v>
      </c>
      <c r="DC103" t="s">
        <v>417</v>
      </c>
      <c r="DD103">
        <v>2</v>
      </c>
      <c r="DE103">
        <v>1691182119</v>
      </c>
      <c r="DF103">
        <v>168.559</v>
      </c>
      <c r="DG103">
        <v>200.05699999999999</v>
      </c>
      <c r="DH103">
        <v>26.302099999999999</v>
      </c>
      <c r="DI103">
        <v>19.560300000000002</v>
      </c>
      <c r="DJ103">
        <v>166.52</v>
      </c>
      <c r="DK103">
        <v>26.169499999999999</v>
      </c>
      <c r="DL103">
        <v>500.05900000000003</v>
      </c>
      <c r="DM103">
        <v>98.951899999999995</v>
      </c>
      <c r="DN103">
        <v>0.100283</v>
      </c>
      <c r="DO103">
        <v>30.153300000000002</v>
      </c>
      <c r="DP103">
        <v>30.005800000000001</v>
      </c>
      <c r="DQ103">
        <v>999.9</v>
      </c>
      <c r="DR103">
        <v>0</v>
      </c>
      <c r="DS103">
        <v>0</v>
      </c>
      <c r="DT103">
        <v>10002.5</v>
      </c>
      <c r="DU103">
        <v>0</v>
      </c>
      <c r="DV103">
        <v>1424.99</v>
      </c>
      <c r="DW103">
        <v>-31.497599999999998</v>
      </c>
      <c r="DX103">
        <v>173.113</v>
      </c>
      <c r="DY103">
        <v>204.048</v>
      </c>
      <c r="DZ103">
        <v>6.7418399999999998</v>
      </c>
      <c r="EA103">
        <v>200.05699999999999</v>
      </c>
      <c r="EB103">
        <v>19.560300000000002</v>
      </c>
      <c r="EC103">
        <v>2.6026400000000001</v>
      </c>
      <c r="ED103">
        <v>1.93553</v>
      </c>
      <c r="EE103">
        <v>21.683</v>
      </c>
      <c r="EF103">
        <v>16.926500000000001</v>
      </c>
      <c r="EG103">
        <v>1800.03</v>
      </c>
      <c r="EH103">
        <v>0.977993</v>
      </c>
      <c r="EI103">
        <v>2.2007200000000001E-2</v>
      </c>
      <c r="EJ103">
        <v>0</v>
      </c>
      <c r="EK103">
        <v>628.82000000000005</v>
      </c>
      <c r="EL103">
        <v>0.10001</v>
      </c>
      <c r="EM103">
        <v>16315.5</v>
      </c>
      <c r="EN103">
        <v>16353.8</v>
      </c>
      <c r="EO103">
        <v>48.686999999999998</v>
      </c>
      <c r="EP103">
        <v>51</v>
      </c>
      <c r="EQ103">
        <v>50.25</v>
      </c>
      <c r="ER103">
        <v>49.436999999999998</v>
      </c>
      <c r="ES103">
        <v>50.061999999999998</v>
      </c>
      <c r="ET103">
        <v>1760.32</v>
      </c>
      <c r="EU103">
        <v>39.61</v>
      </c>
      <c r="EV103">
        <v>0</v>
      </c>
      <c r="EW103">
        <v>97.199999809265137</v>
      </c>
      <c r="EX103">
        <v>0</v>
      </c>
      <c r="EY103">
        <v>629.21839999999997</v>
      </c>
      <c r="EZ103">
        <v>-3.4976923704375031</v>
      </c>
      <c r="FA103">
        <v>-432.4384624249883</v>
      </c>
      <c r="FB103">
        <v>16347.915999999999</v>
      </c>
      <c r="FC103">
        <v>15</v>
      </c>
      <c r="FD103">
        <v>1691182090</v>
      </c>
      <c r="FE103" t="s">
        <v>863</v>
      </c>
      <c r="FF103">
        <v>1691182089.5</v>
      </c>
      <c r="FG103">
        <v>1691182090</v>
      </c>
      <c r="FH103">
        <v>97</v>
      </c>
      <c r="FI103">
        <v>-7.9000000000000001E-2</v>
      </c>
      <c r="FJ103">
        <v>0</v>
      </c>
      <c r="FK103">
        <v>2.1269999999999998</v>
      </c>
      <c r="FL103">
        <v>1.9E-2</v>
      </c>
      <c r="FM103">
        <v>200</v>
      </c>
      <c r="FN103">
        <v>19</v>
      </c>
      <c r="FO103">
        <v>0.17</v>
      </c>
      <c r="FP103">
        <v>0.02</v>
      </c>
      <c r="FQ103">
        <v>25.17694519571306</v>
      </c>
      <c r="FR103">
        <v>0.43379497319556121</v>
      </c>
      <c r="FS103">
        <v>8.3448422769378403E-2</v>
      </c>
      <c r="FT103">
        <v>1</v>
      </c>
      <c r="FU103">
        <v>0.34847223305273439</v>
      </c>
      <c r="FV103">
        <v>3.6560322386663763E-2</v>
      </c>
      <c r="FW103">
        <v>3.0553020574323061E-3</v>
      </c>
      <c r="FX103">
        <v>1</v>
      </c>
      <c r="FY103">
        <v>2</v>
      </c>
      <c r="FZ103">
        <v>2</v>
      </c>
      <c r="GA103" t="s">
        <v>419</v>
      </c>
      <c r="GB103">
        <v>2.88361</v>
      </c>
      <c r="GC103">
        <v>2.8214999999999999</v>
      </c>
      <c r="GD103">
        <v>4.1167599999999999E-2</v>
      </c>
      <c r="GE103">
        <v>4.8850400000000002E-2</v>
      </c>
      <c r="GF103">
        <v>0.12128800000000001</v>
      </c>
      <c r="GG103">
        <v>9.9259799999999995E-2</v>
      </c>
      <c r="GH103">
        <v>29383.7</v>
      </c>
      <c r="GI103">
        <v>27192.9</v>
      </c>
      <c r="GJ103">
        <v>28216.400000000001</v>
      </c>
      <c r="GK103">
        <v>26856.2</v>
      </c>
      <c r="GL103">
        <v>34988.9</v>
      </c>
      <c r="GM103">
        <v>33793.9</v>
      </c>
      <c r="GN103">
        <v>41510.9</v>
      </c>
      <c r="GO103">
        <v>38867.800000000003</v>
      </c>
      <c r="GP103">
        <v>1.9976</v>
      </c>
      <c r="GQ103">
        <v>1.6624000000000001</v>
      </c>
      <c r="GR103">
        <v>-4.5776400000000002E-2</v>
      </c>
      <c r="GS103">
        <v>0</v>
      </c>
      <c r="GT103">
        <v>30.750299999999999</v>
      </c>
      <c r="GU103">
        <v>999.9</v>
      </c>
      <c r="GV103">
        <v>46</v>
      </c>
      <c r="GW103">
        <v>44.3</v>
      </c>
      <c r="GX103">
        <v>43.2102</v>
      </c>
      <c r="GY103">
        <v>62.701599999999999</v>
      </c>
      <c r="GZ103">
        <v>29.6114</v>
      </c>
      <c r="HA103">
        <v>1</v>
      </c>
      <c r="HB103">
        <v>1.03224</v>
      </c>
      <c r="HC103">
        <v>5.4892700000000003</v>
      </c>
      <c r="HD103">
        <v>20.1601</v>
      </c>
      <c r="HE103">
        <v>5.2095000000000002</v>
      </c>
      <c r="HF103">
        <v>11.9986</v>
      </c>
      <c r="HG103">
        <v>4.9889999999999999</v>
      </c>
      <c r="HH103">
        <v>3.2909999999999999</v>
      </c>
      <c r="HI103">
        <v>9999</v>
      </c>
      <c r="HJ103">
        <v>9999</v>
      </c>
      <c r="HK103">
        <v>9999</v>
      </c>
      <c r="HL103">
        <v>999.9</v>
      </c>
      <c r="HM103">
        <v>1.86683</v>
      </c>
      <c r="HN103">
        <v>1.8668899999999999</v>
      </c>
      <c r="HO103">
        <v>1.8633999999999999</v>
      </c>
      <c r="HP103">
        <v>1.86456</v>
      </c>
      <c r="HQ103">
        <v>1.8641700000000001</v>
      </c>
      <c r="HR103">
        <v>1.86005</v>
      </c>
      <c r="HS103">
        <v>1.8631599999999999</v>
      </c>
      <c r="HT103">
        <v>1.8660000000000001</v>
      </c>
      <c r="HU103">
        <v>5</v>
      </c>
      <c r="HV103">
        <v>0</v>
      </c>
      <c r="HW103">
        <v>0</v>
      </c>
      <c r="HX103">
        <v>0</v>
      </c>
      <c r="HY103" t="s">
        <v>420</v>
      </c>
      <c r="HZ103" t="s">
        <v>421</v>
      </c>
      <c r="IA103" t="s">
        <v>422</v>
      </c>
      <c r="IB103" t="s">
        <v>422</v>
      </c>
      <c r="IC103" t="s">
        <v>422</v>
      </c>
      <c r="ID103" t="s">
        <v>422</v>
      </c>
      <c r="IE103">
        <v>0</v>
      </c>
      <c r="IF103">
        <v>100</v>
      </c>
      <c r="IG103">
        <v>100</v>
      </c>
      <c r="IH103">
        <v>2.0390000000000001</v>
      </c>
      <c r="II103">
        <v>0.1326</v>
      </c>
      <c r="IJ103">
        <v>1.506688747668429</v>
      </c>
      <c r="IK103">
        <v>3.5576830062418229E-3</v>
      </c>
      <c r="IL103">
        <v>-2.2646740813029151E-6</v>
      </c>
      <c r="IM103">
        <v>6.9609298295988525E-10</v>
      </c>
      <c r="IN103">
        <v>-0.13367101349683319</v>
      </c>
      <c r="IO103">
        <v>-9.4437069492282083E-4</v>
      </c>
      <c r="IP103">
        <v>5.2900373165634467E-4</v>
      </c>
      <c r="IQ103">
        <v>-3.977656803091445E-6</v>
      </c>
      <c r="IR103">
        <v>2</v>
      </c>
      <c r="IS103">
        <v>1759</v>
      </c>
      <c r="IT103">
        <v>2</v>
      </c>
      <c r="IU103">
        <v>42</v>
      </c>
      <c r="IV103">
        <v>0.5</v>
      </c>
      <c r="IW103">
        <v>0.5</v>
      </c>
      <c r="IX103">
        <v>0.56396500000000005</v>
      </c>
      <c r="IY103">
        <v>2.4462899999999999</v>
      </c>
      <c r="IZ103">
        <v>1.54297</v>
      </c>
      <c r="JA103">
        <v>2.3034699999999999</v>
      </c>
      <c r="JB103">
        <v>1.5466299999999999</v>
      </c>
      <c r="JC103">
        <v>2.4121100000000002</v>
      </c>
      <c r="JD103">
        <v>47.122900000000001</v>
      </c>
      <c r="JE103">
        <v>23.886099999999999</v>
      </c>
      <c r="JF103">
        <v>18</v>
      </c>
      <c r="JG103">
        <v>534.49400000000003</v>
      </c>
      <c r="JH103">
        <v>417.11900000000003</v>
      </c>
      <c r="JI103">
        <v>23.8949</v>
      </c>
      <c r="JJ103">
        <v>39.354500000000002</v>
      </c>
      <c r="JK103">
        <v>29.9998</v>
      </c>
      <c r="JL103">
        <v>39.825800000000001</v>
      </c>
      <c r="JM103">
        <v>39.797899999999998</v>
      </c>
      <c r="JN103">
        <v>11.399900000000001</v>
      </c>
      <c r="JO103">
        <v>60.7196</v>
      </c>
      <c r="JP103">
        <v>0</v>
      </c>
      <c r="JQ103">
        <v>23.894600000000001</v>
      </c>
      <c r="JR103">
        <v>200</v>
      </c>
      <c r="JS103">
        <v>19.480499999999999</v>
      </c>
      <c r="JT103">
        <v>98.355099999999993</v>
      </c>
      <c r="JU103">
        <v>96.166799999999995</v>
      </c>
    </row>
    <row r="104" spans="1:281" x14ac:dyDescent="0.25">
      <c r="A104">
        <v>88</v>
      </c>
      <c r="B104">
        <v>1691182226</v>
      </c>
      <c r="C104">
        <v>21314.5</v>
      </c>
      <c r="D104" t="s">
        <v>864</v>
      </c>
      <c r="E104" t="s">
        <v>865</v>
      </c>
      <c r="F104" t="s">
        <v>413</v>
      </c>
      <c r="G104" t="s">
        <v>707</v>
      </c>
      <c r="H104" t="s">
        <v>636</v>
      </c>
      <c r="I104" t="s">
        <v>31</v>
      </c>
      <c r="J104">
        <v>1691182226</v>
      </c>
      <c r="K104">
        <f t="shared" si="92"/>
        <v>6.457256548926444E-3</v>
      </c>
      <c r="L104">
        <f t="shared" si="93"/>
        <v>6.457256548926444</v>
      </c>
      <c r="M104">
        <f t="shared" si="94"/>
        <v>16.432428046780743</v>
      </c>
      <c r="N104">
        <f t="shared" si="95"/>
        <v>99.507800000000003</v>
      </c>
      <c r="O104">
        <f t="shared" si="96"/>
        <v>28.582286764347124</v>
      </c>
      <c r="P104">
        <f t="shared" si="97"/>
        <v>2.8311260089092953</v>
      </c>
      <c r="Q104">
        <f t="shared" si="98"/>
        <v>9.8564234202826011</v>
      </c>
      <c r="R104">
        <f t="shared" si="99"/>
        <v>0.40502546111787224</v>
      </c>
      <c r="S104">
        <f t="shared" si="100"/>
        <v>2.9141697631927852</v>
      </c>
      <c r="T104">
        <f t="shared" si="101"/>
        <v>0.37615042476859584</v>
      </c>
      <c r="U104">
        <f t="shared" si="102"/>
        <v>0.23751655157735835</v>
      </c>
      <c r="V104">
        <f t="shared" si="103"/>
        <v>344.31209998680424</v>
      </c>
      <c r="W104">
        <f t="shared" si="104"/>
        <v>30.514309252794558</v>
      </c>
      <c r="X104">
        <f t="shared" si="105"/>
        <v>29.972799999999999</v>
      </c>
      <c r="Y104">
        <f t="shared" si="106"/>
        <v>4.2537980068349395</v>
      </c>
      <c r="Z104">
        <f t="shared" si="107"/>
        <v>60.747834832294231</v>
      </c>
      <c r="AA104">
        <f t="shared" si="108"/>
        <v>2.6123417769745001</v>
      </c>
      <c r="AB104">
        <f t="shared" si="109"/>
        <v>4.3003043387247599</v>
      </c>
      <c r="AC104">
        <f t="shared" si="110"/>
        <v>1.6414562298604394</v>
      </c>
      <c r="AD104">
        <f t="shared" si="111"/>
        <v>-284.7650138076562</v>
      </c>
      <c r="AE104">
        <f t="shared" si="112"/>
        <v>29.756391619753309</v>
      </c>
      <c r="AF104">
        <f t="shared" si="113"/>
        <v>2.2719290659925346</v>
      </c>
      <c r="AG104">
        <f t="shared" si="114"/>
        <v>91.575406864893893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51864.503304781094</v>
      </c>
      <c r="AM104" t="s">
        <v>414</v>
      </c>
      <c r="AN104">
        <v>10111.299999999999</v>
      </c>
      <c r="AO104">
        <v>608.58839999999998</v>
      </c>
      <c r="AP104">
        <v>2150.11</v>
      </c>
      <c r="AQ104">
        <f t="shared" si="118"/>
        <v>0.71695010952927984</v>
      </c>
      <c r="AR104">
        <v>-1.1786277417053079</v>
      </c>
      <c r="AS104" t="s">
        <v>866</v>
      </c>
      <c r="AT104">
        <v>8093.59</v>
      </c>
      <c r="AU104">
        <v>636.94442307692304</v>
      </c>
      <c r="AV104">
        <v>752.5326912694153</v>
      </c>
      <c r="AW104">
        <f t="shared" si="119"/>
        <v>0.15359899913120234</v>
      </c>
      <c r="AX104">
        <v>0.5</v>
      </c>
      <c r="AY104">
        <f t="shared" si="120"/>
        <v>1512.9101999934021</v>
      </c>
      <c r="AZ104">
        <f t="shared" si="121"/>
        <v>16.432428046780743</v>
      </c>
      <c r="BA104">
        <f t="shared" si="122"/>
        <v>116.19074624718687</v>
      </c>
      <c r="BB104">
        <f t="shared" si="123"/>
        <v>1.1640516263663801E-2</v>
      </c>
      <c r="BC104">
        <f t="shared" si="124"/>
        <v>1.8571649111656148</v>
      </c>
      <c r="BD104">
        <f t="shared" si="125"/>
        <v>398.89902172873661</v>
      </c>
      <c r="BE104" t="s">
        <v>867</v>
      </c>
      <c r="BF104">
        <v>518.84</v>
      </c>
      <c r="BG104">
        <f t="shared" si="126"/>
        <v>518.84</v>
      </c>
      <c r="BH104">
        <f t="shared" si="127"/>
        <v>0.31054158042650482</v>
      </c>
      <c r="BI104">
        <f t="shared" si="128"/>
        <v>0.49461653064380612</v>
      </c>
      <c r="BJ104">
        <f t="shared" si="129"/>
        <v>0.85674186905330496</v>
      </c>
      <c r="BK104">
        <f t="shared" si="130"/>
        <v>0.80300696313235431</v>
      </c>
      <c r="BL104">
        <f t="shared" si="131"/>
        <v>0.90662194336465007</v>
      </c>
      <c r="BM104">
        <f t="shared" si="132"/>
        <v>0.40290303433309105</v>
      </c>
      <c r="BN104">
        <f t="shared" si="133"/>
        <v>0.59709696566690895</v>
      </c>
      <c r="BO104">
        <v>7149</v>
      </c>
      <c r="BP104">
        <v>290.00000000000011</v>
      </c>
      <c r="BQ104">
        <v>720.75</v>
      </c>
      <c r="BR104">
        <v>255</v>
      </c>
      <c r="BS104">
        <v>8093.59</v>
      </c>
      <c r="BT104">
        <v>721.81</v>
      </c>
      <c r="BU104">
        <v>-1.06</v>
      </c>
      <c r="BV104">
        <v>300.00000000000011</v>
      </c>
      <c r="BW104">
        <v>19.2</v>
      </c>
      <c r="BX104">
        <v>752.5326912694153</v>
      </c>
      <c r="BY104">
        <v>2.2115043534047238</v>
      </c>
      <c r="BZ104">
        <v>-24.868488727119001</v>
      </c>
      <c r="CA104">
        <v>1.644577716994938</v>
      </c>
      <c r="CB104">
        <v>0.89090620923532726</v>
      </c>
      <c r="CC104">
        <v>-4.1696122358175804E-3</v>
      </c>
      <c r="CD104">
        <v>289.99999999999989</v>
      </c>
      <c r="CE104">
        <v>721.08</v>
      </c>
      <c r="CF104">
        <v>685</v>
      </c>
      <c r="CG104">
        <v>8086.67</v>
      </c>
      <c r="CH104">
        <v>721.78</v>
      </c>
      <c r="CI104">
        <v>-0.7</v>
      </c>
      <c r="CW104">
        <f t="shared" si="134"/>
        <v>1799.67</v>
      </c>
      <c r="CX104">
        <f t="shared" si="135"/>
        <v>1512.9101999934021</v>
      </c>
      <c r="CY104">
        <f t="shared" si="136"/>
        <v>0.84065978762406557</v>
      </c>
      <c r="CZ104">
        <f t="shared" si="137"/>
        <v>0.19131957524813117</v>
      </c>
      <c r="DA104">
        <v>6</v>
      </c>
      <c r="DB104">
        <v>0.5</v>
      </c>
      <c r="DC104" t="s">
        <v>417</v>
      </c>
      <c r="DD104">
        <v>2</v>
      </c>
      <c r="DE104">
        <v>1691182226</v>
      </c>
      <c r="DF104">
        <v>99.507800000000003</v>
      </c>
      <c r="DG104">
        <v>119.999</v>
      </c>
      <c r="DH104">
        <v>26.3735</v>
      </c>
      <c r="DI104">
        <v>18.828700000000001</v>
      </c>
      <c r="DJ104">
        <v>97.7119</v>
      </c>
      <c r="DK104">
        <v>26.237100000000002</v>
      </c>
      <c r="DL104">
        <v>499.97</v>
      </c>
      <c r="DM104">
        <v>98.952699999999993</v>
      </c>
      <c r="DN104">
        <v>9.9067000000000002E-2</v>
      </c>
      <c r="DO104">
        <v>30.162199999999999</v>
      </c>
      <c r="DP104">
        <v>29.972799999999999</v>
      </c>
      <c r="DQ104">
        <v>999.9</v>
      </c>
      <c r="DR104">
        <v>0</v>
      </c>
      <c r="DS104">
        <v>0</v>
      </c>
      <c r="DT104">
        <v>10017.5</v>
      </c>
      <c r="DU104">
        <v>0</v>
      </c>
      <c r="DV104">
        <v>1423.79</v>
      </c>
      <c r="DW104">
        <v>-20.491</v>
      </c>
      <c r="DX104">
        <v>102.203</v>
      </c>
      <c r="DY104">
        <v>122.30200000000001</v>
      </c>
      <c r="DZ104">
        <v>7.5447800000000003</v>
      </c>
      <c r="EA104">
        <v>119.999</v>
      </c>
      <c r="EB104">
        <v>18.828700000000001</v>
      </c>
      <c r="EC104">
        <v>2.6097299999999999</v>
      </c>
      <c r="ED104">
        <v>1.8631500000000001</v>
      </c>
      <c r="EE104">
        <v>21.727499999999999</v>
      </c>
      <c r="EF104">
        <v>16.326899999999998</v>
      </c>
      <c r="EG104">
        <v>1799.67</v>
      </c>
      <c r="EH104">
        <v>0.97800600000000004</v>
      </c>
      <c r="EI104">
        <v>2.1993800000000001E-2</v>
      </c>
      <c r="EJ104">
        <v>0</v>
      </c>
      <c r="EK104">
        <v>635.62</v>
      </c>
      <c r="EL104">
        <v>0.10001</v>
      </c>
      <c r="EM104">
        <v>16357.6</v>
      </c>
      <c r="EN104">
        <v>16350.5</v>
      </c>
      <c r="EO104">
        <v>48.686999999999998</v>
      </c>
      <c r="EP104">
        <v>51</v>
      </c>
      <c r="EQ104">
        <v>50.25</v>
      </c>
      <c r="ER104">
        <v>49.5</v>
      </c>
      <c r="ES104">
        <v>50.061999999999998</v>
      </c>
      <c r="ET104">
        <v>1759.99</v>
      </c>
      <c r="EU104">
        <v>39.58</v>
      </c>
      <c r="EV104">
        <v>0</v>
      </c>
      <c r="EW104">
        <v>105</v>
      </c>
      <c r="EX104">
        <v>0</v>
      </c>
      <c r="EY104">
        <v>636.94442307692304</v>
      </c>
      <c r="EZ104">
        <v>-11.26786322025151</v>
      </c>
      <c r="FA104">
        <v>593.91794664518545</v>
      </c>
      <c r="FB104">
        <v>16339.373076923081</v>
      </c>
      <c r="FC104">
        <v>15</v>
      </c>
      <c r="FD104">
        <v>1691182194.5</v>
      </c>
      <c r="FE104" t="s">
        <v>868</v>
      </c>
      <c r="FF104">
        <v>1691182182.5</v>
      </c>
      <c r="FG104">
        <v>1691182194.5</v>
      </c>
      <c r="FH104">
        <v>98</v>
      </c>
      <c r="FI104">
        <v>-3.7999999999999999E-2</v>
      </c>
      <c r="FJ104">
        <v>3.0000000000000001E-3</v>
      </c>
      <c r="FK104">
        <v>1.859</v>
      </c>
      <c r="FL104">
        <v>1.2999999999999999E-2</v>
      </c>
      <c r="FM104">
        <v>120</v>
      </c>
      <c r="FN104">
        <v>19</v>
      </c>
      <c r="FO104">
        <v>0.31</v>
      </c>
      <c r="FP104">
        <v>0.03</v>
      </c>
      <c r="FQ104">
        <v>16.31083937561753</v>
      </c>
      <c r="FR104">
        <v>0.43373127397824868</v>
      </c>
      <c r="FS104">
        <v>6.1796229642140633E-2</v>
      </c>
      <c r="FT104">
        <v>1</v>
      </c>
      <c r="FU104">
        <v>0.40295632964329398</v>
      </c>
      <c r="FV104">
        <v>4.9428670148724811E-2</v>
      </c>
      <c r="FW104">
        <v>4.8109109725187511E-3</v>
      </c>
      <c r="FX104">
        <v>1</v>
      </c>
      <c r="FY104">
        <v>2</v>
      </c>
      <c r="FZ104">
        <v>2</v>
      </c>
      <c r="GA104" t="s">
        <v>419</v>
      </c>
      <c r="GB104">
        <v>2.8835000000000002</v>
      </c>
      <c r="GC104">
        <v>2.8204099999999999</v>
      </c>
      <c r="GD104">
        <v>2.49599E-2</v>
      </c>
      <c r="GE104">
        <v>3.0570099999999999E-2</v>
      </c>
      <c r="GF104">
        <v>0.121527</v>
      </c>
      <c r="GG104">
        <v>9.6639799999999998E-2</v>
      </c>
      <c r="GH104">
        <v>29882.400000000001</v>
      </c>
      <c r="GI104">
        <v>27718.3</v>
      </c>
      <c r="GJ104">
        <v>28219.3</v>
      </c>
      <c r="GK104">
        <v>26859.9</v>
      </c>
      <c r="GL104">
        <v>34982.5</v>
      </c>
      <c r="GM104">
        <v>33896.199999999997</v>
      </c>
      <c r="GN104">
        <v>41515</v>
      </c>
      <c r="GO104">
        <v>38873.300000000003</v>
      </c>
      <c r="GP104">
        <v>1.9992000000000001</v>
      </c>
      <c r="GQ104">
        <v>1.6615</v>
      </c>
      <c r="GR104">
        <v>-5.2690500000000001E-2</v>
      </c>
      <c r="GS104">
        <v>0</v>
      </c>
      <c r="GT104">
        <v>30.829699999999999</v>
      </c>
      <c r="GU104">
        <v>999.9</v>
      </c>
      <c r="GV104">
        <v>46</v>
      </c>
      <c r="GW104">
        <v>44.3</v>
      </c>
      <c r="GX104">
        <v>43.216299999999997</v>
      </c>
      <c r="GY104">
        <v>62.711599999999997</v>
      </c>
      <c r="GZ104">
        <v>29.531199999999998</v>
      </c>
      <c r="HA104">
        <v>1</v>
      </c>
      <c r="HB104">
        <v>1.0250300000000001</v>
      </c>
      <c r="HC104">
        <v>5.1273099999999996</v>
      </c>
      <c r="HD104">
        <v>20.171199999999999</v>
      </c>
      <c r="HE104">
        <v>5.2029100000000001</v>
      </c>
      <c r="HF104">
        <v>11.997999999999999</v>
      </c>
      <c r="HG104">
        <v>4.9867999999999997</v>
      </c>
      <c r="HH104">
        <v>3.2900999999999998</v>
      </c>
      <c r="HI104">
        <v>9999</v>
      </c>
      <c r="HJ104">
        <v>9999</v>
      </c>
      <c r="HK104">
        <v>9999</v>
      </c>
      <c r="HL104">
        <v>999.9</v>
      </c>
      <c r="HM104">
        <v>1.8668499999999999</v>
      </c>
      <c r="HN104">
        <v>1.8669100000000001</v>
      </c>
      <c r="HO104">
        <v>1.8633999999999999</v>
      </c>
      <c r="HP104">
        <v>1.8646199999999999</v>
      </c>
      <c r="HQ104">
        <v>1.8641700000000001</v>
      </c>
      <c r="HR104">
        <v>1.86005</v>
      </c>
      <c r="HS104">
        <v>1.8631800000000001</v>
      </c>
      <c r="HT104">
        <v>1.86598</v>
      </c>
      <c r="HU104">
        <v>5</v>
      </c>
      <c r="HV104">
        <v>0</v>
      </c>
      <c r="HW104">
        <v>0</v>
      </c>
      <c r="HX104">
        <v>0</v>
      </c>
      <c r="HY104" t="s">
        <v>420</v>
      </c>
      <c r="HZ104" t="s">
        <v>421</v>
      </c>
      <c r="IA104" t="s">
        <v>422</v>
      </c>
      <c r="IB104" t="s">
        <v>422</v>
      </c>
      <c r="IC104" t="s">
        <v>422</v>
      </c>
      <c r="ID104" t="s">
        <v>422</v>
      </c>
      <c r="IE104">
        <v>0</v>
      </c>
      <c r="IF104">
        <v>100</v>
      </c>
      <c r="IG104">
        <v>100</v>
      </c>
      <c r="IH104">
        <v>1.796</v>
      </c>
      <c r="II104">
        <v>0.13639999999999999</v>
      </c>
      <c r="IJ104">
        <v>1.469232196514513</v>
      </c>
      <c r="IK104">
        <v>3.5576830062418229E-3</v>
      </c>
      <c r="IL104">
        <v>-2.2646740813029151E-6</v>
      </c>
      <c r="IM104">
        <v>6.9609298295988525E-10</v>
      </c>
      <c r="IN104">
        <v>-0.13116055227242079</v>
      </c>
      <c r="IO104">
        <v>-9.4437069492282083E-4</v>
      </c>
      <c r="IP104">
        <v>5.2900373165634467E-4</v>
      </c>
      <c r="IQ104">
        <v>-3.977656803091445E-6</v>
      </c>
      <c r="IR104">
        <v>2</v>
      </c>
      <c r="IS104">
        <v>1759</v>
      </c>
      <c r="IT104">
        <v>2</v>
      </c>
      <c r="IU104">
        <v>42</v>
      </c>
      <c r="IV104">
        <v>0.7</v>
      </c>
      <c r="IW104">
        <v>0.5</v>
      </c>
      <c r="IX104">
        <v>0.383301</v>
      </c>
      <c r="IY104">
        <v>2.4584999999999999</v>
      </c>
      <c r="IZ104">
        <v>1.54297</v>
      </c>
      <c r="JA104">
        <v>2.3034699999999999</v>
      </c>
      <c r="JB104">
        <v>1.5466299999999999</v>
      </c>
      <c r="JC104">
        <v>2.4255399999999998</v>
      </c>
      <c r="JD104">
        <v>47.242100000000001</v>
      </c>
      <c r="JE104">
        <v>23.886099999999999</v>
      </c>
      <c r="JF104">
        <v>18</v>
      </c>
      <c r="JG104">
        <v>534.952</v>
      </c>
      <c r="JH104">
        <v>416.036</v>
      </c>
      <c r="JI104">
        <v>24.13</v>
      </c>
      <c r="JJ104">
        <v>39.296100000000003</v>
      </c>
      <c r="JK104">
        <v>29.9999</v>
      </c>
      <c r="JL104">
        <v>39.7483</v>
      </c>
      <c r="JM104">
        <v>39.716799999999999</v>
      </c>
      <c r="JN104">
        <v>7.78653</v>
      </c>
      <c r="JO104">
        <v>62.514299999999999</v>
      </c>
      <c r="JP104">
        <v>0</v>
      </c>
      <c r="JQ104">
        <v>24.145600000000002</v>
      </c>
      <c r="JR104">
        <v>120</v>
      </c>
      <c r="JS104">
        <v>18.695499999999999</v>
      </c>
      <c r="JT104">
        <v>98.364999999999995</v>
      </c>
      <c r="JU104">
        <v>96.180099999999996</v>
      </c>
    </row>
    <row r="105" spans="1:281" x14ac:dyDescent="0.25">
      <c r="A105">
        <v>89</v>
      </c>
      <c r="B105">
        <v>1691182342</v>
      </c>
      <c r="C105">
        <v>21430.5</v>
      </c>
      <c r="D105" t="s">
        <v>869</v>
      </c>
      <c r="E105" t="s">
        <v>870</v>
      </c>
      <c r="F105" t="s">
        <v>413</v>
      </c>
      <c r="G105" t="s">
        <v>707</v>
      </c>
      <c r="H105" t="s">
        <v>636</v>
      </c>
      <c r="I105" t="s">
        <v>31</v>
      </c>
      <c r="J105">
        <v>1691182342</v>
      </c>
      <c r="K105">
        <f t="shared" si="92"/>
        <v>7.0610821210239675E-3</v>
      </c>
      <c r="L105">
        <f t="shared" si="93"/>
        <v>7.0610821210239676</v>
      </c>
      <c r="M105">
        <f t="shared" si="94"/>
        <v>10.338489256225017</v>
      </c>
      <c r="N105">
        <f t="shared" si="95"/>
        <v>57.149900000000002</v>
      </c>
      <c r="O105">
        <f t="shared" si="96"/>
        <v>16.414867370163826</v>
      </c>
      <c r="P105">
        <f t="shared" si="97"/>
        <v>1.6259119168987544</v>
      </c>
      <c r="Q105">
        <f t="shared" si="98"/>
        <v>5.6607648032824001</v>
      </c>
      <c r="R105">
        <f t="shared" si="99"/>
        <v>0.44650223892411572</v>
      </c>
      <c r="S105">
        <f t="shared" si="100"/>
        <v>2.9093279868400188</v>
      </c>
      <c r="T105">
        <f t="shared" si="101"/>
        <v>0.41162973503728983</v>
      </c>
      <c r="U105">
        <f t="shared" si="102"/>
        <v>0.26017440035802952</v>
      </c>
      <c r="V105">
        <f t="shared" si="103"/>
        <v>344.36969998680314</v>
      </c>
      <c r="W105">
        <f t="shared" si="104"/>
        <v>30.434281899481373</v>
      </c>
      <c r="X105">
        <f t="shared" si="105"/>
        <v>29.982500000000002</v>
      </c>
      <c r="Y105">
        <f t="shared" si="106"/>
        <v>4.256169104752531</v>
      </c>
      <c r="Z105">
        <f t="shared" si="107"/>
        <v>60.565329545090421</v>
      </c>
      <c r="AA105">
        <f t="shared" si="108"/>
        <v>2.6159910837479998</v>
      </c>
      <c r="AB105">
        <f t="shared" si="109"/>
        <v>4.3192881197821515</v>
      </c>
      <c r="AC105">
        <f t="shared" si="110"/>
        <v>1.6401780210045311</v>
      </c>
      <c r="AD105">
        <f t="shared" si="111"/>
        <v>-311.39372153715698</v>
      </c>
      <c r="AE105">
        <f t="shared" si="112"/>
        <v>40.231432594402001</v>
      </c>
      <c r="AF105">
        <f t="shared" si="113"/>
        <v>3.0781382088365792</v>
      </c>
      <c r="AG105">
        <f t="shared" si="114"/>
        <v>76.285549252884778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51713.803448121806</v>
      </c>
      <c r="AM105" t="s">
        <v>414</v>
      </c>
      <c r="AN105">
        <v>10111.299999999999</v>
      </c>
      <c r="AO105">
        <v>608.58839999999998</v>
      </c>
      <c r="AP105">
        <v>2150.11</v>
      </c>
      <c r="AQ105">
        <f t="shared" si="118"/>
        <v>0.71695010952927984</v>
      </c>
      <c r="AR105">
        <v>-1.1786277417053079</v>
      </c>
      <c r="AS105" t="s">
        <v>871</v>
      </c>
      <c r="AT105">
        <v>8093.16</v>
      </c>
      <c r="AU105">
        <v>644.32115384615383</v>
      </c>
      <c r="AV105">
        <v>724.97199876802551</v>
      </c>
      <c r="AW105">
        <f t="shared" si="119"/>
        <v>0.11124684133859641</v>
      </c>
      <c r="AX105">
        <v>0.5</v>
      </c>
      <c r="AY105">
        <f t="shared" si="120"/>
        <v>1513.1624999934015</v>
      </c>
      <c r="AZ105">
        <f t="shared" si="121"/>
        <v>10.338489256225017</v>
      </c>
      <c r="BA105">
        <f t="shared" si="122"/>
        <v>84.167274278139914</v>
      </c>
      <c r="BB105">
        <f t="shared" si="123"/>
        <v>7.6112889382208108E-3</v>
      </c>
      <c r="BC105">
        <f t="shared" si="124"/>
        <v>1.9657835111614927</v>
      </c>
      <c r="BD105">
        <f t="shared" si="125"/>
        <v>391.01941015865532</v>
      </c>
      <c r="BE105" t="s">
        <v>872</v>
      </c>
      <c r="BF105">
        <v>535.64</v>
      </c>
      <c r="BG105">
        <f t="shared" si="126"/>
        <v>535.64</v>
      </c>
      <c r="BH105">
        <f t="shared" si="127"/>
        <v>0.26115767104076448</v>
      </c>
      <c r="BI105">
        <f t="shared" si="128"/>
        <v>0.42597577507586126</v>
      </c>
      <c r="BJ105">
        <f t="shared" si="129"/>
        <v>0.88272807870816705</v>
      </c>
      <c r="BK105">
        <f t="shared" si="130"/>
        <v>0.69297431747770599</v>
      </c>
      <c r="BL105">
        <f t="shared" si="131"/>
        <v>0.92450083166656538</v>
      </c>
      <c r="BM105">
        <f t="shared" si="132"/>
        <v>0.35412412397081561</v>
      </c>
      <c r="BN105">
        <f t="shared" si="133"/>
        <v>0.64587587602918439</v>
      </c>
      <c r="BO105">
        <v>7151</v>
      </c>
      <c r="BP105">
        <v>290.00000000000011</v>
      </c>
      <c r="BQ105">
        <v>698.41</v>
      </c>
      <c r="BR105">
        <v>285</v>
      </c>
      <c r="BS105">
        <v>8093.16</v>
      </c>
      <c r="BT105">
        <v>698.91</v>
      </c>
      <c r="BU105">
        <v>-0.5</v>
      </c>
      <c r="BV105">
        <v>300.00000000000011</v>
      </c>
      <c r="BW105">
        <v>19.2</v>
      </c>
      <c r="BX105">
        <v>724.97199876802551</v>
      </c>
      <c r="BY105">
        <v>2.2352890572920598</v>
      </c>
      <c r="BZ105">
        <v>-21.09234855402882</v>
      </c>
      <c r="CA105">
        <v>1.662396609111654</v>
      </c>
      <c r="CB105">
        <v>0.85183869191808803</v>
      </c>
      <c r="CC105">
        <v>-4.1698676307007814E-3</v>
      </c>
      <c r="CD105">
        <v>289.99999999999989</v>
      </c>
      <c r="CE105">
        <v>697.24</v>
      </c>
      <c r="CF105">
        <v>635</v>
      </c>
      <c r="CG105">
        <v>8088.38</v>
      </c>
      <c r="CH105">
        <v>698.89</v>
      </c>
      <c r="CI105">
        <v>-1.65</v>
      </c>
      <c r="CW105">
        <f t="shared" si="134"/>
        <v>1799.97</v>
      </c>
      <c r="CX105">
        <f t="shared" si="135"/>
        <v>1513.1624999934015</v>
      </c>
      <c r="CY105">
        <f t="shared" si="136"/>
        <v>0.84065984432707297</v>
      </c>
      <c r="CZ105">
        <f t="shared" si="137"/>
        <v>0.19131968865414598</v>
      </c>
      <c r="DA105">
        <v>6</v>
      </c>
      <c r="DB105">
        <v>0.5</v>
      </c>
      <c r="DC105" t="s">
        <v>417</v>
      </c>
      <c r="DD105">
        <v>2</v>
      </c>
      <c r="DE105">
        <v>1691182342</v>
      </c>
      <c r="DF105">
        <v>57.149900000000002</v>
      </c>
      <c r="DG105">
        <v>70.037499999999994</v>
      </c>
      <c r="DH105">
        <v>26.410499999999999</v>
      </c>
      <c r="DI105">
        <v>18.162800000000001</v>
      </c>
      <c r="DJ105">
        <v>55.408700000000003</v>
      </c>
      <c r="DK105">
        <v>26.274699999999999</v>
      </c>
      <c r="DL105">
        <v>500.11</v>
      </c>
      <c r="DM105">
        <v>98.950699999999998</v>
      </c>
      <c r="DN105">
        <v>0.100476</v>
      </c>
      <c r="DO105">
        <v>30.239000000000001</v>
      </c>
      <c r="DP105">
        <v>29.982500000000002</v>
      </c>
      <c r="DQ105">
        <v>999.9</v>
      </c>
      <c r="DR105">
        <v>0</v>
      </c>
      <c r="DS105">
        <v>0</v>
      </c>
      <c r="DT105">
        <v>9990</v>
      </c>
      <c r="DU105">
        <v>0</v>
      </c>
      <c r="DV105">
        <v>1409.47</v>
      </c>
      <c r="DW105">
        <v>-12.887600000000001</v>
      </c>
      <c r="DX105">
        <v>58.700200000000002</v>
      </c>
      <c r="DY105">
        <v>71.333100000000002</v>
      </c>
      <c r="DZ105">
        <v>8.2476599999999998</v>
      </c>
      <c r="EA105">
        <v>70.037499999999994</v>
      </c>
      <c r="EB105">
        <v>18.162800000000001</v>
      </c>
      <c r="EC105">
        <v>2.61334</v>
      </c>
      <c r="ED105">
        <v>1.79722</v>
      </c>
      <c r="EE105">
        <v>21.7501</v>
      </c>
      <c r="EF105">
        <v>15.762700000000001</v>
      </c>
      <c r="EG105">
        <v>1799.97</v>
      </c>
      <c r="EH105">
        <v>0.97800600000000004</v>
      </c>
      <c r="EI105">
        <v>2.1993800000000001E-2</v>
      </c>
      <c r="EJ105">
        <v>0</v>
      </c>
      <c r="EK105">
        <v>642.06500000000005</v>
      </c>
      <c r="EL105">
        <v>0.10001</v>
      </c>
      <c r="EM105">
        <v>16473.7</v>
      </c>
      <c r="EN105">
        <v>16353.2</v>
      </c>
      <c r="EO105">
        <v>48.561999999999998</v>
      </c>
      <c r="EP105">
        <v>50.936999999999998</v>
      </c>
      <c r="EQ105">
        <v>50.125</v>
      </c>
      <c r="ER105">
        <v>49.375</v>
      </c>
      <c r="ES105">
        <v>49.936999999999998</v>
      </c>
      <c r="ET105">
        <v>1760.28</v>
      </c>
      <c r="EU105">
        <v>39.590000000000003</v>
      </c>
      <c r="EV105">
        <v>0</v>
      </c>
      <c r="EW105">
        <v>113.5999999046326</v>
      </c>
      <c r="EX105">
        <v>0</v>
      </c>
      <c r="EY105">
        <v>644.32115384615383</v>
      </c>
      <c r="EZ105">
        <v>-3.7278631365771489</v>
      </c>
      <c r="FA105">
        <v>57.924787703627331</v>
      </c>
      <c r="FB105">
        <v>16415.11153846154</v>
      </c>
      <c r="FC105">
        <v>15</v>
      </c>
      <c r="FD105">
        <v>1691182312.5</v>
      </c>
      <c r="FE105" t="s">
        <v>873</v>
      </c>
      <c r="FF105">
        <v>1691182300.5</v>
      </c>
      <c r="FG105">
        <v>1691182312.5</v>
      </c>
      <c r="FH105">
        <v>99</v>
      </c>
      <c r="FI105">
        <v>8.2000000000000003E-2</v>
      </c>
      <c r="FJ105">
        <v>-1E-3</v>
      </c>
      <c r="FK105">
        <v>1.7829999999999999</v>
      </c>
      <c r="FL105">
        <v>1E-3</v>
      </c>
      <c r="FM105">
        <v>70</v>
      </c>
      <c r="FN105">
        <v>18</v>
      </c>
      <c r="FO105">
        <v>0.39</v>
      </c>
      <c r="FP105">
        <v>0.03</v>
      </c>
      <c r="FQ105">
        <v>10.347746843962961</v>
      </c>
      <c r="FR105">
        <v>-0.57291294735071441</v>
      </c>
      <c r="FS105">
        <v>5.852154938982268E-2</v>
      </c>
      <c r="FT105">
        <v>1</v>
      </c>
      <c r="FU105">
        <v>0.45107611913319262</v>
      </c>
      <c r="FV105">
        <v>1.46009695246527E-2</v>
      </c>
      <c r="FW105">
        <v>3.7382471808008271E-3</v>
      </c>
      <c r="FX105">
        <v>1</v>
      </c>
      <c r="FY105">
        <v>2</v>
      </c>
      <c r="FZ105">
        <v>2</v>
      </c>
      <c r="GA105" t="s">
        <v>419</v>
      </c>
      <c r="GB105">
        <v>2.88402</v>
      </c>
      <c r="GC105">
        <v>2.82158</v>
      </c>
      <c r="GD105">
        <v>1.4356000000000001E-2</v>
      </c>
      <c r="GE105">
        <v>1.82036E-2</v>
      </c>
      <c r="GF105">
        <v>0.121671</v>
      </c>
      <c r="GG105">
        <v>9.4220899999999996E-2</v>
      </c>
      <c r="GH105">
        <v>30210.3</v>
      </c>
      <c r="GI105">
        <v>28075.9</v>
      </c>
      <c r="GJ105">
        <v>28222.6</v>
      </c>
      <c r="GK105">
        <v>26864.3</v>
      </c>
      <c r="GL105">
        <v>34980.9</v>
      </c>
      <c r="GM105">
        <v>33991.800000000003</v>
      </c>
      <c r="GN105">
        <v>41520.6</v>
      </c>
      <c r="GO105">
        <v>38879.4</v>
      </c>
      <c r="GP105">
        <v>1.9997</v>
      </c>
      <c r="GQ105">
        <v>1.6624000000000001</v>
      </c>
      <c r="GR105">
        <v>-4.9680500000000002E-2</v>
      </c>
      <c r="GS105">
        <v>0</v>
      </c>
      <c r="GT105">
        <v>30.790500000000002</v>
      </c>
      <c r="GU105">
        <v>999.9</v>
      </c>
      <c r="GV105">
        <v>45.9</v>
      </c>
      <c r="GW105">
        <v>44.3</v>
      </c>
      <c r="GX105">
        <v>43.120399999999997</v>
      </c>
      <c r="GY105">
        <v>62.691600000000001</v>
      </c>
      <c r="GZ105">
        <v>29.727599999999999</v>
      </c>
      <c r="HA105">
        <v>1</v>
      </c>
      <c r="HB105">
        <v>1.0160100000000001</v>
      </c>
      <c r="HC105">
        <v>4.8819400000000002</v>
      </c>
      <c r="HD105">
        <v>20.178699999999999</v>
      </c>
      <c r="HE105">
        <v>5.2088999999999999</v>
      </c>
      <c r="HF105">
        <v>11.997999999999999</v>
      </c>
      <c r="HG105">
        <v>4.9889999999999999</v>
      </c>
      <c r="HH105">
        <v>3.2909999999999999</v>
      </c>
      <c r="HI105">
        <v>9999</v>
      </c>
      <c r="HJ105">
        <v>9999</v>
      </c>
      <c r="HK105">
        <v>9999</v>
      </c>
      <c r="HL105">
        <v>999.9</v>
      </c>
      <c r="HM105">
        <v>1.8668899999999999</v>
      </c>
      <c r="HN105">
        <v>1.8669100000000001</v>
      </c>
      <c r="HO105">
        <v>1.8633999999999999</v>
      </c>
      <c r="HP105">
        <v>1.8646199999999999</v>
      </c>
      <c r="HQ105">
        <v>1.8641799999999999</v>
      </c>
      <c r="HR105">
        <v>1.86005</v>
      </c>
      <c r="HS105">
        <v>1.8632500000000001</v>
      </c>
      <c r="HT105">
        <v>1.8660000000000001</v>
      </c>
      <c r="HU105">
        <v>5</v>
      </c>
      <c r="HV105">
        <v>0</v>
      </c>
      <c r="HW105">
        <v>0</v>
      </c>
      <c r="HX105">
        <v>0</v>
      </c>
      <c r="HY105" t="s">
        <v>420</v>
      </c>
      <c r="HZ105" t="s">
        <v>421</v>
      </c>
      <c r="IA105" t="s">
        <v>422</v>
      </c>
      <c r="IB105" t="s">
        <v>422</v>
      </c>
      <c r="IC105" t="s">
        <v>422</v>
      </c>
      <c r="ID105" t="s">
        <v>422</v>
      </c>
      <c r="IE105">
        <v>0</v>
      </c>
      <c r="IF105">
        <v>100</v>
      </c>
      <c r="IG105">
        <v>100</v>
      </c>
      <c r="IH105">
        <v>1.7410000000000001</v>
      </c>
      <c r="II105">
        <v>0.1358</v>
      </c>
      <c r="IJ105">
        <v>1.5508909234246651</v>
      </c>
      <c r="IK105">
        <v>3.5576830062418229E-3</v>
      </c>
      <c r="IL105">
        <v>-2.2646740813029151E-6</v>
      </c>
      <c r="IM105">
        <v>6.9609298295988525E-10</v>
      </c>
      <c r="IN105">
        <v>-0.13245841003128719</v>
      </c>
      <c r="IO105">
        <v>-9.4437069492282083E-4</v>
      </c>
      <c r="IP105">
        <v>5.2900373165634467E-4</v>
      </c>
      <c r="IQ105">
        <v>-3.977656803091445E-6</v>
      </c>
      <c r="IR105">
        <v>2</v>
      </c>
      <c r="IS105">
        <v>1759</v>
      </c>
      <c r="IT105">
        <v>2</v>
      </c>
      <c r="IU105">
        <v>42</v>
      </c>
      <c r="IV105">
        <v>0.7</v>
      </c>
      <c r="IW105">
        <v>0.5</v>
      </c>
      <c r="IX105">
        <v>0.27099600000000001</v>
      </c>
      <c r="IY105">
        <v>2.47803</v>
      </c>
      <c r="IZ105">
        <v>1.54297</v>
      </c>
      <c r="JA105">
        <v>2.3034699999999999</v>
      </c>
      <c r="JB105">
        <v>1.5466299999999999</v>
      </c>
      <c r="JC105">
        <v>2.4194300000000002</v>
      </c>
      <c r="JD105">
        <v>47.331800000000001</v>
      </c>
      <c r="JE105">
        <v>23.886099999999999</v>
      </c>
      <c r="JF105">
        <v>18</v>
      </c>
      <c r="JG105">
        <v>534.54</v>
      </c>
      <c r="JH105">
        <v>416.02800000000002</v>
      </c>
      <c r="JI105">
        <v>24.427099999999999</v>
      </c>
      <c r="JJ105">
        <v>39.2121</v>
      </c>
      <c r="JK105">
        <v>29.999500000000001</v>
      </c>
      <c r="JL105">
        <v>39.651899999999998</v>
      </c>
      <c r="JM105">
        <v>39.620699999999999</v>
      </c>
      <c r="JN105">
        <v>5.5134999999999996</v>
      </c>
      <c r="JO105">
        <v>63.415199999999999</v>
      </c>
      <c r="JP105">
        <v>0</v>
      </c>
      <c r="JQ105">
        <v>24.4343</v>
      </c>
      <c r="JR105">
        <v>70</v>
      </c>
      <c r="JS105">
        <v>18.148599999999998</v>
      </c>
      <c r="JT105">
        <v>98.377600000000001</v>
      </c>
      <c r="JU105">
        <v>96.195599999999999</v>
      </c>
    </row>
    <row r="106" spans="1:281" x14ac:dyDescent="0.25">
      <c r="A106">
        <v>90</v>
      </c>
      <c r="B106">
        <v>1691182445.5</v>
      </c>
      <c r="C106">
        <v>21534</v>
      </c>
      <c r="D106" t="s">
        <v>874</v>
      </c>
      <c r="E106" t="s">
        <v>875</v>
      </c>
      <c r="F106" t="s">
        <v>413</v>
      </c>
      <c r="G106" t="s">
        <v>707</v>
      </c>
      <c r="H106" t="s">
        <v>636</v>
      </c>
      <c r="I106" t="s">
        <v>31</v>
      </c>
      <c r="J106">
        <v>1691182445.5</v>
      </c>
      <c r="K106">
        <f t="shared" si="92"/>
        <v>7.5010223601346222E-3</v>
      </c>
      <c r="L106">
        <f t="shared" si="93"/>
        <v>7.5010223601346224</v>
      </c>
      <c r="M106">
        <f t="shared" si="94"/>
        <v>4.6180625300044227</v>
      </c>
      <c r="N106">
        <f t="shared" si="95"/>
        <v>24.298999999999999</v>
      </c>
      <c r="O106">
        <f t="shared" si="96"/>
        <v>7.2001294309929511</v>
      </c>
      <c r="P106">
        <f t="shared" si="97"/>
        <v>0.7131764245246448</v>
      </c>
      <c r="Q106">
        <f t="shared" si="98"/>
        <v>2.4068281140793997</v>
      </c>
      <c r="R106">
        <f t="shared" si="99"/>
        <v>0.4775091661292627</v>
      </c>
      <c r="S106">
        <f t="shared" si="100"/>
        <v>2.9154490191914268</v>
      </c>
      <c r="T106">
        <f t="shared" si="101"/>
        <v>0.43793126256817938</v>
      </c>
      <c r="U106">
        <f t="shared" si="102"/>
        <v>0.27698907644125093</v>
      </c>
      <c r="V106">
        <f t="shared" si="103"/>
        <v>344.36209998680283</v>
      </c>
      <c r="W106">
        <f t="shared" si="104"/>
        <v>30.368183634173146</v>
      </c>
      <c r="X106">
        <f t="shared" si="105"/>
        <v>30.007899999999999</v>
      </c>
      <c r="Y106">
        <f t="shared" si="106"/>
        <v>4.262383416999719</v>
      </c>
      <c r="Z106">
        <f t="shared" si="107"/>
        <v>60.598777349598919</v>
      </c>
      <c r="AA106">
        <f t="shared" si="108"/>
        <v>2.6247986456997601</v>
      </c>
      <c r="AB106">
        <f t="shared" si="109"/>
        <v>4.331438290507247</v>
      </c>
      <c r="AC106">
        <f t="shared" si="110"/>
        <v>1.6375847712999589</v>
      </c>
      <c r="AD106">
        <f t="shared" si="111"/>
        <v>-330.79508608193686</v>
      </c>
      <c r="AE106">
        <f t="shared" si="112"/>
        <v>44.025470275093902</v>
      </c>
      <c r="AF106">
        <f t="shared" si="113"/>
        <v>3.3625887824841345</v>
      </c>
      <c r="AG106">
        <f t="shared" si="114"/>
        <v>60.955072962444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51879.30673307932</v>
      </c>
      <c r="AM106" t="s">
        <v>414</v>
      </c>
      <c r="AN106">
        <v>10111.299999999999</v>
      </c>
      <c r="AO106">
        <v>608.58839999999998</v>
      </c>
      <c r="AP106">
        <v>2150.11</v>
      </c>
      <c r="AQ106">
        <f t="shared" si="118"/>
        <v>0.71695010952927984</v>
      </c>
      <c r="AR106">
        <v>-1.1786277417053079</v>
      </c>
      <c r="AS106" t="s">
        <v>876</v>
      </c>
      <c r="AT106">
        <v>8099.08</v>
      </c>
      <c r="AU106">
        <v>656.28057692307686</v>
      </c>
      <c r="AV106">
        <v>714.49039001934045</v>
      </c>
      <c r="AW106">
        <f t="shared" si="119"/>
        <v>8.1470393317239598E-2</v>
      </c>
      <c r="AX106">
        <v>0.5</v>
      </c>
      <c r="AY106">
        <f t="shared" si="120"/>
        <v>1513.1288999934013</v>
      </c>
      <c r="AZ106">
        <f t="shared" si="121"/>
        <v>4.6180625300044227</v>
      </c>
      <c r="BA106">
        <f t="shared" si="122"/>
        <v>61.637603311072255</v>
      </c>
      <c r="BB106">
        <f t="shared" si="123"/>
        <v>3.8309295868547678E-3</v>
      </c>
      <c r="BC106">
        <f t="shared" si="124"/>
        <v>2.0092916994192169</v>
      </c>
      <c r="BD106">
        <f t="shared" si="125"/>
        <v>387.94979337255455</v>
      </c>
      <c r="BE106" t="s">
        <v>877</v>
      </c>
      <c r="BF106">
        <v>550.98</v>
      </c>
      <c r="BG106">
        <f t="shared" si="126"/>
        <v>550.98</v>
      </c>
      <c r="BH106">
        <f t="shared" si="127"/>
        <v>0.22884897026384687</v>
      </c>
      <c r="BI106">
        <f t="shared" si="128"/>
        <v>0.35600069872855405</v>
      </c>
      <c r="BJ106">
        <f t="shared" si="129"/>
        <v>0.89775040802227446</v>
      </c>
      <c r="BK106">
        <f t="shared" si="130"/>
        <v>0.54965740573555755</v>
      </c>
      <c r="BL106">
        <f t="shared" si="131"/>
        <v>0.93130035283362866</v>
      </c>
      <c r="BM106">
        <f t="shared" si="132"/>
        <v>0.29888019222676088</v>
      </c>
      <c r="BN106">
        <f t="shared" si="133"/>
        <v>0.70111980777323912</v>
      </c>
      <c r="BO106">
        <v>7153</v>
      </c>
      <c r="BP106">
        <v>290.00000000000011</v>
      </c>
      <c r="BQ106">
        <v>694.18</v>
      </c>
      <c r="BR106">
        <v>155</v>
      </c>
      <c r="BS106">
        <v>8099.08</v>
      </c>
      <c r="BT106">
        <v>693.58</v>
      </c>
      <c r="BU106">
        <v>0.6</v>
      </c>
      <c r="BV106">
        <v>300.00000000000011</v>
      </c>
      <c r="BW106">
        <v>19.2</v>
      </c>
      <c r="BX106">
        <v>714.49039001934045</v>
      </c>
      <c r="BY106">
        <v>2.5211308989378112</v>
      </c>
      <c r="BZ106">
        <v>-16.93896874753214</v>
      </c>
      <c r="CA106">
        <v>1.8750371099806531</v>
      </c>
      <c r="CB106">
        <v>0.74455359378384289</v>
      </c>
      <c r="CC106">
        <v>-4.169941713014466E-3</v>
      </c>
      <c r="CD106">
        <v>289.99999999999989</v>
      </c>
      <c r="CE106">
        <v>691.72</v>
      </c>
      <c r="CF106">
        <v>685</v>
      </c>
      <c r="CG106">
        <v>8087.6</v>
      </c>
      <c r="CH106">
        <v>693.55</v>
      </c>
      <c r="CI106">
        <v>-1.83</v>
      </c>
      <c r="CW106">
        <f t="shared" si="134"/>
        <v>1799.93</v>
      </c>
      <c r="CX106">
        <f t="shared" si="135"/>
        <v>1513.1288999934013</v>
      </c>
      <c r="CY106">
        <f t="shared" si="136"/>
        <v>0.84065985899085038</v>
      </c>
      <c r="CZ106">
        <f t="shared" si="137"/>
        <v>0.19131971798170086</v>
      </c>
      <c r="DA106">
        <v>6</v>
      </c>
      <c r="DB106">
        <v>0.5</v>
      </c>
      <c r="DC106" t="s">
        <v>417</v>
      </c>
      <c r="DD106">
        <v>2</v>
      </c>
      <c r="DE106">
        <v>1691182445.5</v>
      </c>
      <c r="DF106">
        <v>24.298999999999999</v>
      </c>
      <c r="DG106">
        <v>30.059200000000001</v>
      </c>
      <c r="DH106">
        <v>26.499600000000001</v>
      </c>
      <c r="DI106">
        <v>17.737200000000001</v>
      </c>
      <c r="DJ106">
        <v>22.591699999999999</v>
      </c>
      <c r="DK106">
        <v>26.360600000000002</v>
      </c>
      <c r="DL106">
        <v>500.017</v>
      </c>
      <c r="DM106">
        <v>98.950999999999993</v>
      </c>
      <c r="DN106">
        <v>9.9500599999999995E-2</v>
      </c>
      <c r="DO106">
        <v>30.288</v>
      </c>
      <c r="DP106">
        <v>30.007899999999999</v>
      </c>
      <c r="DQ106">
        <v>999.9</v>
      </c>
      <c r="DR106">
        <v>0</v>
      </c>
      <c r="DS106">
        <v>0</v>
      </c>
      <c r="DT106">
        <v>10025</v>
      </c>
      <c r="DU106">
        <v>0</v>
      </c>
      <c r="DV106">
        <v>1402.45</v>
      </c>
      <c r="DW106">
        <v>-5.7601800000000001</v>
      </c>
      <c r="DX106">
        <v>24.9605</v>
      </c>
      <c r="DY106">
        <v>30.602</v>
      </c>
      <c r="DZ106">
        <v>8.7624499999999994</v>
      </c>
      <c r="EA106">
        <v>30.059200000000001</v>
      </c>
      <c r="EB106">
        <v>17.737200000000001</v>
      </c>
      <c r="EC106">
        <v>2.62216</v>
      </c>
      <c r="ED106">
        <v>1.7551099999999999</v>
      </c>
      <c r="EE106">
        <v>21.805299999999999</v>
      </c>
      <c r="EF106">
        <v>15.3926</v>
      </c>
      <c r="EG106">
        <v>1799.93</v>
      </c>
      <c r="EH106">
        <v>0.97800600000000004</v>
      </c>
      <c r="EI106">
        <v>2.1993800000000001E-2</v>
      </c>
      <c r="EJ106">
        <v>0</v>
      </c>
      <c r="EK106">
        <v>656.78</v>
      </c>
      <c r="EL106">
        <v>0.10001</v>
      </c>
      <c r="EM106">
        <v>16756.7</v>
      </c>
      <c r="EN106">
        <v>16352.9</v>
      </c>
      <c r="EO106">
        <v>48.561999999999998</v>
      </c>
      <c r="EP106">
        <v>50.875</v>
      </c>
      <c r="EQ106">
        <v>50.125</v>
      </c>
      <c r="ER106">
        <v>49.375</v>
      </c>
      <c r="ES106">
        <v>50</v>
      </c>
      <c r="ET106">
        <v>1760.24</v>
      </c>
      <c r="EU106">
        <v>39.590000000000003</v>
      </c>
      <c r="EV106">
        <v>0</v>
      </c>
      <c r="EW106">
        <v>101.3999998569489</v>
      </c>
      <c r="EX106">
        <v>0</v>
      </c>
      <c r="EY106">
        <v>656.28057692307686</v>
      </c>
      <c r="EZ106">
        <v>-1.9871795236497249</v>
      </c>
      <c r="FA106">
        <v>-219.7606840379963</v>
      </c>
      <c r="FB106">
        <v>16777.02307692308</v>
      </c>
      <c r="FC106">
        <v>15</v>
      </c>
      <c r="FD106">
        <v>1691182415.5</v>
      </c>
      <c r="FE106" t="s">
        <v>878</v>
      </c>
      <c r="FF106">
        <v>1691182400.5</v>
      </c>
      <c r="FG106">
        <v>1691182415.5</v>
      </c>
      <c r="FH106">
        <v>100</v>
      </c>
      <c r="FI106">
        <v>7.6999999999999999E-2</v>
      </c>
      <c r="FJ106">
        <v>2E-3</v>
      </c>
      <c r="FK106">
        <v>1.7270000000000001</v>
      </c>
      <c r="FL106">
        <v>0</v>
      </c>
      <c r="FM106">
        <v>30</v>
      </c>
      <c r="FN106">
        <v>18</v>
      </c>
      <c r="FO106">
        <v>0.65</v>
      </c>
      <c r="FP106">
        <v>0.02</v>
      </c>
      <c r="FQ106">
        <v>4.6054112703250496</v>
      </c>
      <c r="FR106">
        <v>-0.63865761009420774</v>
      </c>
      <c r="FS106">
        <v>7.6662625969931397E-2</v>
      </c>
      <c r="FT106">
        <v>1</v>
      </c>
      <c r="FU106">
        <v>0.47773272264816141</v>
      </c>
      <c r="FV106">
        <v>-3.9287118355092777E-2</v>
      </c>
      <c r="FW106">
        <v>3.833022681400801E-3</v>
      </c>
      <c r="FX106">
        <v>1</v>
      </c>
      <c r="FY106">
        <v>2</v>
      </c>
      <c r="FZ106">
        <v>2</v>
      </c>
      <c r="GA106" t="s">
        <v>419</v>
      </c>
      <c r="GB106">
        <v>2.8839399999999999</v>
      </c>
      <c r="GC106">
        <v>2.82091</v>
      </c>
      <c r="GD106">
        <v>5.8908500000000004E-3</v>
      </c>
      <c r="GE106">
        <v>7.8913300000000002E-3</v>
      </c>
      <c r="GF106">
        <v>0.12197</v>
      </c>
      <c r="GG106">
        <v>9.2662700000000001E-2</v>
      </c>
      <c r="GH106">
        <v>30473.5</v>
      </c>
      <c r="GI106">
        <v>28376.2</v>
      </c>
      <c r="GJ106">
        <v>28226.6</v>
      </c>
      <c r="GK106">
        <v>26870</v>
      </c>
      <c r="GL106">
        <v>34972.9</v>
      </c>
      <c r="GM106">
        <v>34056.800000000003</v>
      </c>
      <c r="GN106">
        <v>41525.699999999997</v>
      </c>
      <c r="GO106">
        <v>38887.4</v>
      </c>
      <c r="GP106">
        <v>2.0005999999999999</v>
      </c>
      <c r="GQ106">
        <v>1.6626000000000001</v>
      </c>
      <c r="GR106">
        <v>-5.2437200000000003E-2</v>
      </c>
      <c r="GS106">
        <v>0</v>
      </c>
      <c r="GT106">
        <v>30.860700000000001</v>
      </c>
      <c r="GU106">
        <v>999.9</v>
      </c>
      <c r="GV106">
        <v>45.9</v>
      </c>
      <c r="GW106">
        <v>44.2</v>
      </c>
      <c r="GX106">
        <v>42.8979</v>
      </c>
      <c r="GY106">
        <v>62.5017</v>
      </c>
      <c r="GZ106">
        <v>29.5152</v>
      </c>
      <c r="HA106">
        <v>1</v>
      </c>
      <c r="HB106">
        <v>1.0097799999999999</v>
      </c>
      <c r="HC106">
        <v>5.2389299999999999</v>
      </c>
      <c r="HD106">
        <v>20.168299999999999</v>
      </c>
      <c r="HE106">
        <v>5.2107000000000001</v>
      </c>
      <c r="HF106">
        <v>11.997999999999999</v>
      </c>
      <c r="HG106">
        <v>4.9889999999999999</v>
      </c>
      <c r="HH106">
        <v>3.2909999999999999</v>
      </c>
      <c r="HI106">
        <v>9999</v>
      </c>
      <c r="HJ106">
        <v>9999</v>
      </c>
      <c r="HK106">
        <v>9999</v>
      </c>
      <c r="HL106">
        <v>999.9</v>
      </c>
      <c r="HM106">
        <v>1.86683</v>
      </c>
      <c r="HN106">
        <v>1.8669100000000001</v>
      </c>
      <c r="HO106">
        <v>1.8633999999999999</v>
      </c>
      <c r="HP106">
        <v>1.8646199999999999</v>
      </c>
      <c r="HQ106">
        <v>1.8641799999999999</v>
      </c>
      <c r="HR106">
        <v>1.86005</v>
      </c>
      <c r="HS106">
        <v>1.8632500000000001</v>
      </c>
      <c r="HT106">
        <v>1.8660000000000001</v>
      </c>
      <c r="HU106">
        <v>5</v>
      </c>
      <c r="HV106">
        <v>0</v>
      </c>
      <c r="HW106">
        <v>0</v>
      </c>
      <c r="HX106">
        <v>0</v>
      </c>
      <c r="HY106" t="s">
        <v>420</v>
      </c>
      <c r="HZ106" t="s">
        <v>421</v>
      </c>
      <c r="IA106" t="s">
        <v>422</v>
      </c>
      <c r="IB106" t="s">
        <v>422</v>
      </c>
      <c r="IC106" t="s">
        <v>422</v>
      </c>
      <c r="ID106" t="s">
        <v>422</v>
      </c>
      <c r="IE106">
        <v>0</v>
      </c>
      <c r="IF106">
        <v>100</v>
      </c>
      <c r="IG106">
        <v>100</v>
      </c>
      <c r="IH106">
        <v>1.7070000000000001</v>
      </c>
      <c r="II106">
        <v>0.13900000000000001</v>
      </c>
      <c r="IJ106">
        <v>1.62815252785937</v>
      </c>
      <c r="IK106">
        <v>3.5576830062418229E-3</v>
      </c>
      <c r="IL106">
        <v>-2.2646740813029151E-6</v>
      </c>
      <c r="IM106">
        <v>6.9609298295988525E-10</v>
      </c>
      <c r="IN106">
        <v>-0.13083127104120321</v>
      </c>
      <c r="IO106">
        <v>-9.4437069492282083E-4</v>
      </c>
      <c r="IP106">
        <v>5.2900373165634467E-4</v>
      </c>
      <c r="IQ106">
        <v>-3.977656803091445E-6</v>
      </c>
      <c r="IR106">
        <v>2</v>
      </c>
      <c r="IS106">
        <v>1759</v>
      </c>
      <c r="IT106">
        <v>2</v>
      </c>
      <c r="IU106">
        <v>42</v>
      </c>
      <c r="IV106">
        <v>0.8</v>
      </c>
      <c r="IW106">
        <v>0.5</v>
      </c>
      <c r="IX106">
        <v>0.18066399999999999</v>
      </c>
      <c r="IY106">
        <v>2.50244</v>
      </c>
      <c r="IZ106">
        <v>1.54297</v>
      </c>
      <c r="JA106">
        <v>2.3034699999999999</v>
      </c>
      <c r="JB106">
        <v>1.5466299999999999</v>
      </c>
      <c r="JC106">
        <v>2.4352999999999998</v>
      </c>
      <c r="JD106">
        <v>47.3917</v>
      </c>
      <c r="JE106">
        <v>23.886099999999999</v>
      </c>
      <c r="JF106">
        <v>18</v>
      </c>
      <c r="JG106">
        <v>534.45100000000002</v>
      </c>
      <c r="JH106">
        <v>415.61500000000001</v>
      </c>
      <c r="JI106">
        <v>24.287199999999999</v>
      </c>
      <c r="JJ106">
        <v>39.1233</v>
      </c>
      <c r="JK106">
        <v>29.9999</v>
      </c>
      <c r="JL106">
        <v>39.563400000000001</v>
      </c>
      <c r="JM106">
        <v>39.532499999999999</v>
      </c>
      <c r="JN106">
        <v>3.72627</v>
      </c>
      <c r="JO106">
        <v>64.181700000000006</v>
      </c>
      <c r="JP106">
        <v>0</v>
      </c>
      <c r="JQ106">
        <v>24.276399999999999</v>
      </c>
      <c r="JR106">
        <v>30</v>
      </c>
      <c r="JS106">
        <v>17.769500000000001</v>
      </c>
      <c r="JT106">
        <v>98.390299999999996</v>
      </c>
      <c r="JU106">
        <v>96.215699999999998</v>
      </c>
    </row>
    <row r="107" spans="1:281" x14ac:dyDescent="0.25">
      <c r="A107">
        <v>91</v>
      </c>
      <c r="B107">
        <v>1691182556</v>
      </c>
      <c r="C107">
        <v>21644.5</v>
      </c>
      <c r="D107" t="s">
        <v>879</v>
      </c>
      <c r="E107" t="s">
        <v>880</v>
      </c>
      <c r="F107" t="s">
        <v>413</v>
      </c>
      <c r="G107" t="s">
        <v>707</v>
      </c>
      <c r="H107" t="s">
        <v>636</v>
      </c>
      <c r="I107" t="s">
        <v>31</v>
      </c>
      <c r="J107">
        <v>1691182556</v>
      </c>
      <c r="K107">
        <f t="shared" si="92"/>
        <v>7.7754207141350019E-3</v>
      </c>
      <c r="L107">
        <f t="shared" si="93"/>
        <v>7.7754207141350022</v>
      </c>
      <c r="M107">
        <f t="shared" si="94"/>
        <v>2.1463876545259719</v>
      </c>
      <c r="N107">
        <f t="shared" si="95"/>
        <v>11.194000000000001</v>
      </c>
      <c r="O107">
        <f t="shared" si="96"/>
        <v>3.5515330417053805</v>
      </c>
      <c r="P107">
        <f t="shared" si="97"/>
        <v>0.35179470460979023</v>
      </c>
      <c r="Q107">
        <f t="shared" si="98"/>
        <v>1.1088141028560001</v>
      </c>
      <c r="R107">
        <f t="shared" si="99"/>
        <v>0.49876661341419204</v>
      </c>
      <c r="S107">
        <f t="shared" si="100"/>
        <v>2.9085131812295644</v>
      </c>
      <c r="T107">
        <f t="shared" si="101"/>
        <v>0.45566323714678458</v>
      </c>
      <c r="U107">
        <f t="shared" si="102"/>
        <v>0.28835113427097353</v>
      </c>
      <c r="V107">
        <f t="shared" si="103"/>
        <v>344.31649998680115</v>
      </c>
      <c r="W107">
        <f t="shared" si="104"/>
        <v>30.321413554951036</v>
      </c>
      <c r="X107">
        <f t="shared" si="105"/>
        <v>29.996300000000002</v>
      </c>
      <c r="Y107">
        <f t="shared" si="106"/>
        <v>4.2595444043198469</v>
      </c>
      <c r="Z107">
        <f t="shared" si="107"/>
        <v>60.586967712247407</v>
      </c>
      <c r="AA107">
        <f t="shared" si="108"/>
        <v>2.6280498917736002</v>
      </c>
      <c r="AB107">
        <f t="shared" si="109"/>
        <v>4.3376488228546064</v>
      </c>
      <c r="AC107">
        <f t="shared" si="110"/>
        <v>1.6314945125462468</v>
      </c>
      <c r="AD107">
        <f t="shared" si="111"/>
        <v>-342.89605349335358</v>
      </c>
      <c r="AE107">
        <f t="shared" si="112"/>
        <v>49.659751623795749</v>
      </c>
      <c r="AF107">
        <f t="shared" si="113"/>
        <v>3.8022225696597807</v>
      </c>
      <c r="AG107">
        <f t="shared" si="114"/>
        <v>54.882420686903082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51678.135460837846</v>
      </c>
      <c r="AM107" t="s">
        <v>414</v>
      </c>
      <c r="AN107">
        <v>10111.299999999999</v>
      </c>
      <c r="AO107">
        <v>608.58839999999998</v>
      </c>
      <c r="AP107">
        <v>2150.11</v>
      </c>
      <c r="AQ107">
        <f t="shared" si="118"/>
        <v>0.71695010952927984</v>
      </c>
      <c r="AR107">
        <v>-1.1786277417053079</v>
      </c>
      <c r="AS107" t="s">
        <v>881</v>
      </c>
      <c r="AT107">
        <v>8104.47</v>
      </c>
      <c r="AU107">
        <v>660.19865384615389</v>
      </c>
      <c r="AV107">
        <v>711.12376263219892</v>
      </c>
      <c r="AW107">
        <f t="shared" si="119"/>
        <v>7.1612160164002403E-2</v>
      </c>
      <c r="AX107">
        <v>0.5</v>
      </c>
      <c r="AY107">
        <f t="shared" si="120"/>
        <v>1512.9272999934008</v>
      </c>
      <c r="AZ107">
        <f t="shared" si="121"/>
        <v>2.1463876545259719</v>
      </c>
      <c r="BA107">
        <f t="shared" si="122"/>
        <v>54.171996061809566</v>
      </c>
      <c r="BB107">
        <f t="shared" si="123"/>
        <v>2.197736398996689E-3</v>
      </c>
      <c r="BC107">
        <f t="shared" si="124"/>
        <v>2.0235383951190795</v>
      </c>
      <c r="BD107">
        <f t="shared" si="125"/>
        <v>386.95509921274777</v>
      </c>
      <c r="BE107" t="s">
        <v>882</v>
      </c>
      <c r="BF107">
        <v>561.72</v>
      </c>
      <c r="BG107">
        <f t="shared" si="126"/>
        <v>561.72</v>
      </c>
      <c r="BH107">
        <f t="shared" si="127"/>
        <v>0.21009530335364723</v>
      </c>
      <c r="BI107">
        <f t="shared" si="128"/>
        <v>0.34085559753546568</v>
      </c>
      <c r="BJ107">
        <f t="shared" si="129"/>
        <v>0.90594012639704413</v>
      </c>
      <c r="BK107">
        <f t="shared" si="130"/>
        <v>0.49665898163072508</v>
      </c>
      <c r="BL107">
        <f t="shared" si="131"/>
        <v>0.93348431664389331</v>
      </c>
      <c r="BM107">
        <f t="shared" si="132"/>
        <v>0.29001180952459044</v>
      </c>
      <c r="BN107">
        <f t="shared" si="133"/>
        <v>0.70998819047540951</v>
      </c>
      <c r="BO107">
        <v>7155</v>
      </c>
      <c r="BP107">
        <v>290.00000000000011</v>
      </c>
      <c r="BQ107">
        <v>692.83</v>
      </c>
      <c r="BR107">
        <v>75</v>
      </c>
      <c r="BS107">
        <v>8104.47</v>
      </c>
      <c r="BT107">
        <v>691.78</v>
      </c>
      <c r="BU107">
        <v>1.05</v>
      </c>
      <c r="BV107">
        <v>300.00000000000011</v>
      </c>
      <c r="BW107">
        <v>19.2</v>
      </c>
      <c r="BX107">
        <v>711.12376263219892</v>
      </c>
      <c r="BY107">
        <v>2.2271803273419928</v>
      </c>
      <c r="BZ107">
        <v>-15.674656514329961</v>
      </c>
      <c r="CA107">
        <v>1.6564482001316301</v>
      </c>
      <c r="CB107">
        <v>0.76179294048883994</v>
      </c>
      <c r="CC107">
        <v>-4.1700031145717482E-3</v>
      </c>
      <c r="CD107">
        <v>289.99999999999989</v>
      </c>
      <c r="CE107">
        <v>690.58</v>
      </c>
      <c r="CF107">
        <v>625</v>
      </c>
      <c r="CG107">
        <v>8089.01</v>
      </c>
      <c r="CH107">
        <v>691.75</v>
      </c>
      <c r="CI107">
        <v>-1.17</v>
      </c>
      <c r="CW107">
        <f t="shared" si="134"/>
        <v>1799.69</v>
      </c>
      <c r="CX107">
        <f t="shared" si="135"/>
        <v>1512.9272999934008</v>
      </c>
      <c r="CY107">
        <f t="shared" si="136"/>
        <v>0.8406599469872037</v>
      </c>
      <c r="CZ107">
        <f t="shared" si="137"/>
        <v>0.19131989397440732</v>
      </c>
      <c r="DA107">
        <v>6</v>
      </c>
      <c r="DB107">
        <v>0.5</v>
      </c>
      <c r="DC107" t="s">
        <v>417</v>
      </c>
      <c r="DD107">
        <v>2</v>
      </c>
      <c r="DE107">
        <v>1691182556</v>
      </c>
      <c r="DF107">
        <v>11.194000000000001</v>
      </c>
      <c r="DG107">
        <v>13.873799999999999</v>
      </c>
      <c r="DH107">
        <v>26.531400000000001</v>
      </c>
      <c r="DI107">
        <v>17.4495</v>
      </c>
      <c r="DJ107">
        <v>9.4093400000000003</v>
      </c>
      <c r="DK107">
        <v>26.391100000000002</v>
      </c>
      <c r="DL107">
        <v>500.05799999999999</v>
      </c>
      <c r="DM107">
        <v>98.954099999999997</v>
      </c>
      <c r="DN107">
        <v>0.10022399999999999</v>
      </c>
      <c r="DO107">
        <v>30.312999999999999</v>
      </c>
      <c r="DP107">
        <v>29.996300000000002</v>
      </c>
      <c r="DQ107">
        <v>999.9</v>
      </c>
      <c r="DR107">
        <v>0</v>
      </c>
      <c r="DS107">
        <v>0</v>
      </c>
      <c r="DT107">
        <v>9985</v>
      </c>
      <c r="DU107">
        <v>0</v>
      </c>
      <c r="DV107">
        <v>1379.04</v>
      </c>
      <c r="DW107">
        <v>-2.6798600000000001</v>
      </c>
      <c r="DX107">
        <v>11.4991</v>
      </c>
      <c r="DY107">
        <v>14.120200000000001</v>
      </c>
      <c r="DZ107">
        <v>9.0819600000000005</v>
      </c>
      <c r="EA107">
        <v>13.873799999999999</v>
      </c>
      <c r="EB107">
        <v>17.4495</v>
      </c>
      <c r="EC107">
        <v>2.6253899999999999</v>
      </c>
      <c r="ED107">
        <v>1.7266900000000001</v>
      </c>
      <c r="EE107">
        <v>21.825500000000002</v>
      </c>
      <c r="EF107">
        <v>15.138500000000001</v>
      </c>
      <c r="EG107">
        <v>1799.69</v>
      </c>
      <c r="EH107">
        <v>0.97800299999999996</v>
      </c>
      <c r="EI107">
        <v>2.19974E-2</v>
      </c>
      <c r="EJ107">
        <v>0</v>
      </c>
      <c r="EK107">
        <v>659.07</v>
      </c>
      <c r="EL107">
        <v>0.10001</v>
      </c>
      <c r="EM107">
        <v>16759.2</v>
      </c>
      <c r="EN107">
        <v>16350.7</v>
      </c>
      <c r="EO107">
        <v>48.561999999999998</v>
      </c>
      <c r="EP107">
        <v>50.875</v>
      </c>
      <c r="EQ107">
        <v>50.061999999999998</v>
      </c>
      <c r="ER107">
        <v>49.436999999999998</v>
      </c>
      <c r="ES107">
        <v>49.936999999999998</v>
      </c>
      <c r="ET107">
        <v>1760</v>
      </c>
      <c r="EU107">
        <v>39.590000000000003</v>
      </c>
      <c r="EV107">
        <v>0</v>
      </c>
      <c r="EW107">
        <v>108.19999980926509</v>
      </c>
      <c r="EX107">
        <v>0</v>
      </c>
      <c r="EY107">
        <v>660.19865384615389</v>
      </c>
      <c r="EZ107">
        <v>3.8989744073210439</v>
      </c>
      <c r="FA107">
        <v>31.50427257023323</v>
      </c>
      <c r="FB107">
        <v>16764.857692307691</v>
      </c>
      <c r="FC107">
        <v>15</v>
      </c>
      <c r="FD107">
        <v>1691182529</v>
      </c>
      <c r="FE107" t="s">
        <v>883</v>
      </c>
      <c r="FF107">
        <v>1691182520.5</v>
      </c>
      <c r="FG107">
        <v>1691182529</v>
      </c>
      <c r="FH107">
        <v>101</v>
      </c>
      <c r="FI107">
        <v>0.123</v>
      </c>
      <c r="FJ107">
        <v>1E-3</v>
      </c>
      <c r="FK107">
        <v>1.794</v>
      </c>
      <c r="FL107">
        <v>-7.0000000000000001E-3</v>
      </c>
      <c r="FM107">
        <v>14</v>
      </c>
      <c r="FN107">
        <v>17</v>
      </c>
      <c r="FO107">
        <v>0.96</v>
      </c>
      <c r="FP107">
        <v>0.03</v>
      </c>
      <c r="FQ107">
        <v>2.1349766799802459</v>
      </c>
      <c r="FR107">
        <v>-0.1040728425575564</v>
      </c>
      <c r="FS107">
        <v>2.7836014816988251E-2</v>
      </c>
      <c r="FT107">
        <v>1</v>
      </c>
      <c r="FU107">
        <v>0.49625421102040229</v>
      </c>
      <c r="FV107">
        <v>2.810640923147566E-2</v>
      </c>
      <c r="FW107">
        <v>3.5540434419115961E-3</v>
      </c>
      <c r="FX107">
        <v>1</v>
      </c>
      <c r="FY107">
        <v>2</v>
      </c>
      <c r="FZ107">
        <v>2</v>
      </c>
      <c r="GA107" t="s">
        <v>419</v>
      </c>
      <c r="GB107">
        <v>2.88415</v>
      </c>
      <c r="GC107">
        <v>2.8212899999999999</v>
      </c>
      <c r="GD107">
        <v>2.4568200000000002E-3</v>
      </c>
      <c r="GE107">
        <v>3.6504100000000002E-3</v>
      </c>
      <c r="GF107">
        <v>0.12209100000000001</v>
      </c>
      <c r="GG107">
        <v>9.1606000000000007E-2</v>
      </c>
      <c r="GH107">
        <v>30582</v>
      </c>
      <c r="GI107">
        <v>28502</v>
      </c>
      <c r="GJ107">
        <v>28229.7</v>
      </c>
      <c r="GK107">
        <v>26874.400000000001</v>
      </c>
      <c r="GL107">
        <v>34971.699999999997</v>
      </c>
      <c r="GM107">
        <v>34101.1</v>
      </c>
      <c r="GN107">
        <v>41530.300000000003</v>
      </c>
      <c r="GO107">
        <v>38893</v>
      </c>
      <c r="GP107">
        <v>2.0011999999999999</v>
      </c>
      <c r="GQ107">
        <v>1.6631</v>
      </c>
      <c r="GR107">
        <v>-5.6385999999999999E-2</v>
      </c>
      <c r="GS107">
        <v>0</v>
      </c>
      <c r="GT107">
        <v>30.9132</v>
      </c>
      <c r="GU107">
        <v>999.9</v>
      </c>
      <c r="GV107">
        <v>45.8</v>
      </c>
      <c r="GW107">
        <v>44.2</v>
      </c>
      <c r="GX107">
        <v>42.803899999999999</v>
      </c>
      <c r="GY107">
        <v>62.681699999999999</v>
      </c>
      <c r="GZ107">
        <v>29.186699999999998</v>
      </c>
      <c r="HA107">
        <v>1</v>
      </c>
      <c r="HB107">
        <v>1.0030300000000001</v>
      </c>
      <c r="HC107">
        <v>5.0980400000000001</v>
      </c>
      <c r="HD107">
        <v>20.172599999999999</v>
      </c>
      <c r="HE107">
        <v>5.2107000000000001</v>
      </c>
      <c r="HF107">
        <v>11.997999999999999</v>
      </c>
      <c r="HG107">
        <v>4.9892000000000003</v>
      </c>
      <c r="HH107">
        <v>3.2909999999999999</v>
      </c>
      <c r="HI107">
        <v>9999</v>
      </c>
      <c r="HJ107">
        <v>9999</v>
      </c>
      <c r="HK107">
        <v>9999</v>
      </c>
      <c r="HL107">
        <v>999.9</v>
      </c>
      <c r="HM107">
        <v>1.8669100000000001</v>
      </c>
      <c r="HN107">
        <v>1.8669100000000001</v>
      </c>
      <c r="HO107">
        <v>1.8634200000000001</v>
      </c>
      <c r="HP107">
        <v>1.8646199999999999</v>
      </c>
      <c r="HQ107">
        <v>1.8641799999999999</v>
      </c>
      <c r="HR107">
        <v>1.86005</v>
      </c>
      <c r="HS107">
        <v>1.8632500000000001</v>
      </c>
      <c r="HT107">
        <v>1.8660000000000001</v>
      </c>
      <c r="HU107">
        <v>5</v>
      </c>
      <c r="HV107">
        <v>0</v>
      </c>
      <c r="HW107">
        <v>0</v>
      </c>
      <c r="HX107">
        <v>0</v>
      </c>
      <c r="HY107" t="s">
        <v>420</v>
      </c>
      <c r="HZ107" t="s">
        <v>421</v>
      </c>
      <c r="IA107" t="s">
        <v>422</v>
      </c>
      <c r="IB107" t="s">
        <v>422</v>
      </c>
      <c r="IC107" t="s">
        <v>422</v>
      </c>
      <c r="ID107" t="s">
        <v>422</v>
      </c>
      <c r="IE107">
        <v>0</v>
      </c>
      <c r="IF107">
        <v>100</v>
      </c>
      <c r="IG107">
        <v>100</v>
      </c>
      <c r="IH107">
        <v>1.7849999999999999</v>
      </c>
      <c r="II107">
        <v>0.14030000000000001</v>
      </c>
      <c r="IJ107">
        <v>1.7513654332511459</v>
      </c>
      <c r="IK107">
        <v>3.5576830062418229E-3</v>
      </c>
      <c r="IL107">
        <v>-2.2646740813029151E-6</v>
      </c>
      <c r="IM107">
        <v>6.9609298295988525E-10</v>
      </c>
      <c r="IN107">
        <v>-0.13010658256822691</v>
      </c>
      <c r="IO107">
        <v>-9.4437069492282083E-4</v>
      </c>
      <c r="IP107">
        <v>5.2900373165634467E-4</v>
      </c>
      <c r="IQ107">
        <v>-3.977656803091445E-6</v>
      </c>
      <c r="IR107">
        <v>2</v>
      </c>
      <c r="IS107">
        <v>1759</v>
      </c>
      <c r="IT107">
        <v>2</v>
      </c>
      <c r="IU107">
        <v>42</v>
      </c>
      <c r="IV107">
        <v>0.6</v>
      </c>
      <c r="IW107">
        <v>0.5</v>
      </c>
      <c r="IX107">
        <v>4.0283199999999998E-2</v>
      </c>
      <c r="IY107">
        <v>2.6879900000000001</v>
      </c>
      <c r="IZ107">
        <v>1.54297</v>
      </c>
      <c r="JA107">
        <v>2.3022499999999999</v>
      </c>
      <c r="JB107">
        <v>1.5466299999999999</v>
      </c>
      <c r="JC107">
        <v>2.36938</v>
      </c>
      <c r="JD107">
        <v>47.421599999999998</v>
      </c>
      <c r="JE107">
        <v>23.886099999999999</v>
      </c>
      <c r="JF107">
        <v>18</v>
      </c>
      <c r="JG107">
        <v>534.28700000000003</v>
      </c>
      <c r="JH107">
        <v>415.49099999999999</v>
      </c>
      <c r="JI107">
        <v>24.4328</v>
      </c>
      <c r="JJ107">
        <v>39.063600000000001</v>
      </c>
      <c r="JK107">
        <v>30.000499999999999</v>
      </c>
      <c r="JL107">
        <v>39.490699999999997</v>
      </c>
      <c r="JM107">
        <v>39.46</v>
      </c>
      <c r="JN107">
        <v>0.89451499999999995</v>
      </c>
      <c r="JO107">
        <v>64.806100000000001</v>
      </c>
      <c r="JP107">
        <v>0</v>
      </c>
      <c r="JQ107">
        <v>24.4237</v>
      </c>
      <c r="JR107">
        <v>10</v>
      </c>
      <c r="JS107">
        <v>17.424800000000001</v>
      </c>
      <c r="JT107">
        <v>98.401300000000006</v>
      </c>
      <c r="JU107">
        <v>96.230199999999996</v>
      </c>
    </row>
    <row r="108" spans="1:281" x14ac:dyDescent="0.25">
      <c r="A108">
        <v>92</v>
      </c>
      <c r="B108">
        <v>1691182704</v>
      </c>
      <c r="C108">
        <v>21792.5</v>
      </c>
      <c r="D108" t="s">
        <v>884</v>
      </c>
      <c r="E108" t="s">
        <v>885</v>
      </c>
      <c r="F108" t="s">
        <v>413</v>
      </c>
      <c r="G108" t="s">
        <v>707</v>
      </c>
      <c r="H108" t="s">
        <v>636</v>
      </c>
      <c r="I108" t="s">
        <v>31</v>
      </c>
      <c r="J108">
        <v>1691182704</v>
      </c>
      <c r="K108">
        <f t="shared" si="92"/>
        <v>7.3869433347735622E-3</v>
      </c>
      <c r="L108">
        <f t="shared" si="93"/>
        <v>7.3869433347735622</v>
      </c>
      <c r="M108">
        <f t="shared" si="94"/>
        <v>45.191017444906137</v>
      </c>
      <c r="N108">
        <f t="shared" si="95"/>
        <v>342.86</v>
      </c>
      <c r="O108">
        <f t="shared" si="96"/>
        <v>166.87662462137615</v>
      </c>
      <c r="P108">
        <f t="shared" si="97"/>
        <v>16.531090302209986</v>
      </c>
      <c r="Q108">
        <f t="shared" si="98"/>
        <v>33.964311262140008</v>
      </c>
      <c r="R108">
        <f t="shared" si="99"/>
        <v>0.45995171896976361</v>
      </c>
      <c r="S108">
        <f t="shared" si="100"/>
        <v>2.9125731916697442</v>
      </c>
      <c r="T108">
        <f t="shared" si="101"/>
        <v>0.42307731539278565</v>
      </c>
      <c r="U108">
        <f t="shared" si="102"/>
        <v>0.26748955760449883</v>
      </c>
      <c r="V108">
        <f t="shared" si="103"/>
        <v>344.37539998680336</v>
      </c>
      <c r="W108">
        <f t="shared" si="104"/>
        <v>30.459891824976367</v>
      </c>
      <c r="X108">
        <f t="shared" si="105"/>
        <v>30.064</v>
      </c>
      <c r="Y108">
        <f t="shared" si="106"/>
        <v>4.2761367547544564</v>
      </c>
      <c r="Z108">
        <f t="shared" si="107"/>
        <v>59.965928750574903</v>
      </c>
      <c r="AA108">
        <f t="shared" si="108"/>
        <v>2.6066018952621004</v>
      </c>
      <c r="AB108">
        <f t="shared" si="109"/>
        <v>4.3468048433038078</v>
      </c>
      <c r="AC108">
        <f t="shared" si="110"/>
        <v>1.669534859492356</v>
      </c>
      <c r="AD108">
        <f t="shared" si="111"/>
        <v>-325.76420106351407</v>
      </c>
      <c r="AE108">
        <f t="shared" si="112"/>
        <v>44.877072200877457</v>
      </c>
      <c r="AF108">
        <f t="shared" si="113"/>
        <v>3.4330190447319535</v>
      </c>
      <c r="AG108">
        <f t="shared" si="114"/>
        <v>66.921290168898707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51787.264460359511</v>
      </c>
      <c r="AM108" t="s">
        <v>414</v>
      </c>
      <c r="AN108">
        <v>10111.299999999999</v>
      </c>
      <c r="AO108">
        <v>608.58839999999998</v>
      </c>
      <c r="AP108">
        <v>2150.11</v>
      </c>
      <c r="AQ108">
        <f t="shared" si="118"/>
        <v>0.71695010952927984</v>
      </c>
      <c r="AR108">
        <v>-1.1786277417053079</v>
      </c>
      <c r="AS108" t="s">
        <v>886</v>
      </c>
      <c r="AT108">
        <v>8094.59</v>
      </c>
      <c r="AU108">
        <v>645.42639999999994</v>
      </c>
      <c r="AV108">
        <v>963.98179850559109</v>
      </c>
      <c r="AW108">
        <f t="shared" si="119"/>
        <v>0.33045789764851408</v>
      </c>
      <c r="AX108">
        <v>0.5</v>
      </c>
      <c r="AY108">
        <f t="shared" si="120"/>
        <v>1513.1876999934016</v>
      </c>
      <c r="AZ108">
        <f t="shared" si="121"/>
        <v>45.191017444906137</v>
      </c>
      <c r="BA108">
        <f t="shared" si="122"/>
        <v>250.02241304370497</v>
      </c>
      <c r="BB108">
        <f t="shared" si="123"/>
        <v>3.0643683653266311E-2</v>
      </c>
      <c r="BC108">
        <f t="shared" si="124"/>
        <v>1.2304466778659093</v>
      </c>
      <c r="BD108">
        <f t="shared" si="125"/>
        <v>451.38205284815206</v>
      </c>
      <c r="BE108" t="s">
        <v>887</v>
      </c>
      <c r="BF108">
        <v>520.71</v>
      </c>
      <c r="BG108">
        <f t="shared" si="126"/>
        <v>520.71</v>
      </c>
      <c r="BH108">
        <f t="shared" si="127"/>
        <v>0.45983419935186676</v>
      </c>
      <c r="BI108">
        <f t="shared" si="128"/>
        <v>0.71864575995933377</v>
      </c>
      <c r="BJ108">
        <f t="shared" si="129"/>
        <v>0.7279539717039456</v>
      </c>
      <c r="BK108">
        <f t="shared" si="130"/>
        <v>0.89634585179437309</v>
      </c>
      <c r="BL108">
        <f t="shared" si="131"/>
        <v>0.769452858457779</v>
      </c>
      <c r="BM108">
        <f t="shared" si="132"/>
        <v>0.57978110853293996</v>
      </c>
      <c r="BN108">
        <f t="shared" si="133"/>
        <v>0.42021889146706004</v>
      </c>
      <c r="BO108">
        <v>7157</v>
      </c>
      <c r="BP108">
        <v>290.00000000000011</v>
      </c>
      <c r="BQ108">
        <v>836.1</v>
      </c>
      <c r="BR108">
        <v>285</v>
      </c>
      <c r="BS108">
        <v>8094.59</v>
      </c>
      <c r="BT108">
        <v>837.7</v>
      </c>
      <c r="BU108">
        <v>-1.6</v>
      </c>
      <c r="BV108">
        <v>300.00000000000011</v>
      </c>
      <c r="BW108">
        <v>19.2</v>
      </c>
      <c r="BX108">
        <v>963.98179850559109</v>
      </c>
      <c r="BY108">
        <v>3.7800896579077681</v>
      </c>
      <c r="BZ108">
        <v>-102.2171912945411</v>
      </c>
      <c r="CA108">
        <v>2.8117537812401778</v>
      </c>
      <c r="CB108">
        <v>0.9792527977115405</v>
      </c>
      <c r="CC108">
        <v>-4.1709105672969992E-3</v>
      </c>
      <c r="CD108">
        <v>289.99999999999989</v>
      </c>
      <c r="CE108">
        <v>825.66</v>
      </c>
      <c r="CF108">
        <v>625</v>
      </c>
      <c r="CG108">
        <v>8090.01</v>
      </c>
      <c r="CH108">
        <v>837.63</v>
      </c>
      <c r="CI108">
        <v>-11.97</v>
      </c>
      <c r="CW108">
        <f t="shared" si="134"/>
        <v>1800</v>
      </c>
      <c r="CX108">
        <f t="shared" si="135"/>
        <v>1513.1876999934016</v>
      </c>
      <c r="CY108">
        <f t="shared" si="136"/>
        <v>0.84065983332966754</v>
      </c>
      <c r="CZ108">
        <f t="shared" si="137"/>
        <v>0.1913196666593352</v>
      </c>
      <c r="DA108">
        <v>6</v>
      </c>
      <c r="DB108">
        <v>0.5</v>
      </c>
      <c r="DC108" t="s">
        <v>417</v>
      </c>
      <c r="DD108">
        <v>2</v>
      </c>
      <c r="DE108">
        <v>1691182704</v>
      </c>
      <c r="DF108">
        <v>342.86</v>
      </c>
      <c r="DG108">
        <v>400.10199999999998</v>
      </c>
      <c r="DH108">
        <v>26.312899999999999</v>
      </c>
      <c r="DI108">
        <v>17.6858</v>
      </c>
      <c r="DJ108">
        <v>340.399</v>
      </c>
      <c r="DK108">
        <v>26.182200000000002</v>
      </c>
      <c r="DL108">
        <v>500.23099999999999</v>
      </c>
      <c r="DM108">
        <v>98.961200000000005</v>
      </c>
      <c r="DN108">
        <v>0.100549</v>
      </c>
      <c r="DO108">
        <v>30.349799999999998</v>
      </c>
      <c r="DP108">
        <v>30.064</v>
      </c>
      <c r="DQ108">
        <v>999.9</v>
      </c>
      <c r="DR108">
        <v>0</v>
      </c>
      <c r="DS108">
        <v>0</v>
      </c>
      <c r="DT108">
        <v>10007.5</v>
      </c>
      <c r="DU108">
        <v>0</v>
      </c>
      <c r="DV108">
        <v>1382.92</v>
      </c>
      <c r="DW108">
        <v>-57.2425</v>
      </c>
      <c r="DX108">
        <v>352.125</v>
      </c>
      <c r="DY108">
        <v>407.30599999999998</v>
      </c>
      <c r="DZ108">
        <v>8.6271500000000003</v>
      </c>
      <c r="EA108">
        <v>400.10199999999998</v>
      </c>
      <c r="EB108">
        <v>17.6858</v>
      </c>
      <c r="EC108">
        <v>2.6039599999999998</v>
      </c>
      <c r="ED108">
        <v>1.75021</v>
      </c>
      <c r="EE108">
        <v>21.691299999999998</v>
      </c>
      <c r="EF108">
        <v>15.349</v>
      </c>
      <c r="EG108">
        <v>1800</v>
      </c>
      <c r="EH108">
        <v>0.97800600000000004</v>
      </c>
      <c r="EI108">
        <v>2.1993800000000001E-2</v>
      </c>
      <c r="EJ108">
        <v>0</v>
      </c>
      <c r="EK108">
        <v>643.57000000000005</v>
      </c>
      <c r="EL108">
        <v>0.10001</v>
      </c>
      <c r="EM108">
        <v>16566.400000000001</v>
      </c>
      <c r="EN108">
        <v>16353.5</v>
      </c>
      <c r="EO108">
        <v>48.561999999999998</v>
      </c>
      <c r="EP108">
        <v>50.811999999999998</v>
      </c>
      <c r="EQ108">
        <v>50.061999999999998</v>
      </c>
      <c r="ER108">
        <v>49.436999999999998</v>
      </c>
      <c r="ES108">
        <v>50</v>
      </c>
      <c r="ET108">
        <v>1760.31</v>
      </c>
      <c r="EU108">
        <v>39.590000000000003</v>
      </c>
      <c r="EV108">
        <v>0</v>
      </c>
      <c r="EW108">
        <v>145.79999995231631</v>
      </c>
      <c r="EX108">
        <v>0</v>
      </c>
      <c r="EY108">
        <v>645.42639999999994</v>
      </c>
      <c r="EZ108">
        <v>-21.325384537532461</v>
      </c>
      <c r="FA108">
        <v>-1412.030776788069</v>
      </c>
      <c r="FB108">
        <v>16506.972000000002</v>
      </c>
      <c r="FC108">
        <v>15</v>
      </c>
      <c r="FD108">
        <v>1691182662</v>
      </c>
      <c r="FE108" t="s">
        <v>888</v>
      </c>
      <c r="FF108">
        <v>1691182662</v>
      </c>
      <c r="FG108">
        <v>1691182656.5</v>
      </c>
      <c r="FH108">
        <v>102</v>
      </c>
      <c r="FI108">
        <v>-0.26700000000000002</v>
      </c>
      <c r="FJ108">
        <v>-6.0000000000000001E-3</v>
      </c>
      <c r="FK108">
        <v>2.5859999999999999</v>
      </c>
      <c r="FL108">
        <v>-1.4999999999999999E-2</v>
      </c>
      <c r="FM108">
        <v>401</v>
      </c>
      <c r="FN108">
        <v>17</v>
      </c>
      <c r="FO108">
        <v>0.14000000000000001</v>
      </c>
      <c r="FP108">
        <v>0.03</v>
      </c>
      <c r="FQ108">
        <v>45.388969081394222</v>
      </c>
      <c r="FR108">
        <v>-0.35770900940926498</v>
      </c>
      <c r="FS108">
        <v>9.2350945267991924E-2</v>
      </c>
      <c r="FT108">
        <v>1</v>
      </c>
      <c r="FU108">
        <v>0.46601028033778058</v>
      </c>
      <c r="FV108">
        <v>-4.391505109913086E-2</v>
      </c>
      <c r="FW108">
        <v>3.333717932402312E-3</v>
      </c>
      <c r="FX108">
        <v>1</v>
      </c>
      <c r="FY108">
        <v>2</v>
      </c>
      <c r="FZ108">
        <v>2</v>
      </c>
      <c r="GA108" t="s">
        <v>419</v>
      </c>
      <c r="GB108">
        <v>2.8847200000000002</v>
      </c>
      <c r="GC108">
        <v>2.8218100000000002</v>
      </c>
      <c r="GD108">
        <v>7.6165200000000002E-2</v>
      </c>
      <c r="GE108">
        <v>8.6902199999999999E-2</v>
      </c>
      <c r="GF108">
        <v>0.121451</v>
      </c>
      <c r="GG108">
        <v>9.2511899999999994E-2</v>
      </c>
      <c r="GH108">
        <v>28328.3</v>
      </c>
      <c r="GI108">
        <v>26126.3</v>
      </c>
      <c r="GJ108">
        <v>28230.6</v>
      </c>
      <c r="GK108">
        <v>26875.200000000001</v>
      </c>
      <c r="GL108">
        <v>34999</v>
      </c>
      <c r="GM108">
        <v>34068.800000000003</v>
      </c>
      <c r="GN108">
        <v>41531.599999999999</v>
      </c>
      <c r="GO108">
        <v>38893.599999999999</v>
      </c>
      <c r="GP108">
        <v>2.0028999999999999</v>
      </c>
      <c r="GQ108">
        <v>1.6655</v>
      </c>
      <c r="GR108">
        <v>-5.4448799999999999E-2</v>
      </c>
      <c r="GS108">
        <v>0</v>
      </c>
      <c r="GT108">
        <v>30.949400000000001</v>
      </c>
      <c r="GU108">
        <v>999.9</v>
      </c>
      <c r="GV108">
        <v>45.7</v>
      </c>
      <c r="GW108">
        <v>44.2</v>
      </c>
      <c r="GX108">
        <v>42.702599999999997</v>
      </c>
      <c r="GY108">
        <v>62.521799999999999</v>
      </c>
      <c r="GZ108">
        <v>29.382999999999999</v>
      </c>
      <c r="HA108">
        <v>1</v>
      </c>
      <c r="HB108">
        <v>1.00085</v>
      </c>
      <c r="HC108">
        <v>5.5991200000000001</v>
      </c>
      <c r="HD108">
        <v>20.156600000000001</v>
      </c>
      <c r="HE108">
        <v>5.2112999999999996</v>
      </c>
      <c r="HF108">
        <v>11.997999999999999</v>
      </c>
      <c r="HG108">
        <v>4.9892000000000003</v>
      </c>
      <c r="HH108">
        <v>3.2909999999999999</v>
      </c>
      <c r="HI108">
        <v>9999</v>
      </c>
      <c r="HJ108">
        <v>9999</v>
      </c>
      <c r="HK108">
        <v>9999</v>
      </c>
      <c r="HL108">
        <v>999.9</v>
      </c>
      <c r="HM108">
        <v>1.8669100000000001</v>
      </c>
      <c r="HN108">
        <v>1.86693</v>
      </c>
      <c r="HO108">
        <v>1.8634299999999999</v>
      </c>
      <c r="HP108">
        <v>1.8646199999999999</v>
      </c>
      <c r="HQ108">
        <v>1.8641799999999999</v>
      </c>
      <c r="HR108">
        <v>1.86005</v>
      </c>
      <c r="HS108">
        <v>1.8632500000000001</v>
      </c>
      <c r="HT108">
        <v>1.8660000000000001</v>
      </c>
      <c r="HU108">
        <v>5</v>
      </c>
      <c r="HV108">
        <v>0</v>
      </c>
      <c r="HW108">
        <v>0</v>
      </c>
      <c r="HX108">
        <v>0</v>
      </c>
      <c r="HY108" t="s">
        <v>420</v>
      </c>
      <c r="HZ108" t="s">
        <v>421</v>
      </c>
      <c r="IA108" t="s">
        <v>422</v>
      </c>
      <c r="IB108" t="s">
        <v>422</v>
      </c>
      <c r="IC108" t="s">
        <v>422</v>
      </c>
      <c r="ID108" t="s">
        <v>422</v>
      </c>
      <c r="IE108">
        <v>0</v>
      </c>
      <c r="IF108">
        <v>100</v>
      </c>
      <c r="IG108">
        <v>100</v>
      </c>
      <c r="IH108">
        <v>2.4609999999999999</v>
      </c>
      <c r="II108">
        <v>0.13070000000000001</v>
      </c>
      <c r="IJ108">
        <v>1.4844862808321571</v>
      </c>
      <c r="IK108">
        <v>3.5576830062418229E-3</v>
      </c>
      <c r="IL108">
        <v>-2.2646740813029151E-6</v>
      </c>
      <c r="IM108">
        <v>6.9609298295988525E-10</v>
      </c>
      <c r="IN108">
        <v>-0.13580596496583511</v>
      </c>
      <c r="IO108">
        <v>-9.4437069492282083E-4</v>
      </c>
      <c r="IP108">
        <v>5.2900373165634467E-4</v>
      </c>
      <c r="IQ108">
        <v>-3.977656803091445E-6</v>
      </c>
      <c r="IR108">
        <v>2</v>
      </c>
      <c r="IS108">
        <v>1759</v>
      </c>
      <c r="IT108">
        <v>2</v>
      </c>
      <c r="IU108">
        <v>42</v>
      </c>
      <c r="IV108">
        <v>0.7</v>
      </c>
      <c r="IW108">
        <v>0.8</v>
      </c>
      <c r="IX108">
        <v>0.99243199999999998</v>
      </c>
      <c r="IY108">
        <v>2.4414099999999999</v>
      </c>
      <c r="IZ108">
        <v>1.54297</v>
      </c>
      <c r="JA108">
        <v>2.3046899999999999</v>
      </c>
      <c r="JB108">
        <v>1.5466299999999999</v>
      </c>
      <c r="JC108">
        <v>2.3278799999999999</v>
      </c>
      <c r="JD108">
        <v>47.4816</v>
      </c>
      <c r="JE108">
        <v>23.877400000000002</v>
      </c>
      <c r="JF108">
        <v>18</v>
      </c>
      <c r="JG108">
        <v>534.78800000000001</v>
      </c>
      <c r="JH108">
        <v>416.57600000000002</v>
      </c>
      <c r="JI108">
        <v>24.230499999999999</v>
      </c>
      <c r="JJ108">
        <v>38.9925</v>
      </c>
      <c r="JK108">
        <v>30.0001</v>
      </c>
      <c r="JL108">
        <v>39.410400000000003</v>
      </c>
      <c r="JM108">
        <v>39.383800000000001</v>
      </c>
      <c r="JN108">
        <v>19.980399999999999</v>
      </c>
      <c r="JO108">
        <v>63.9846</v>
      </c>
      <c r="JP108">
        <v>0</v>
      </c>
      <c r="JQ108">
        <v>24.196300000000001</v>
      </c>
      <c r="JR108">
        <v>400</v>
      </c>
      <c r="JS108">
        <v>17.7484</v>
      </c>
      <c r="JT108">
        <v>98.404399999999995</v>
      </c>
      <c r="JU108">
        <v>96.232299999999995</v>
      </c>
    </row>
    <row r="109" spans="1:281" x14ac:dyDescent="0.25">
      <c r="A109">
        <v>93</v>
      </c>
      <c r="B109">
        <v>1691182893.5</v>
      </c>
      <c r="C109">
        <v>21982</v>
      </c>
      <c r="D109" t="s">
        <v>889</v>
      </c>
      <c r="E109" t="s">
        <v>890</v>
      </c>
      <c r="F109" t="s">
        <v>413</v>
      </c>
      <c r="G109" t="s">
        <v>707</v>
      </c>
      <c r="H109" t="s">
        <v>636</v>
      </c>
      <c r="I109" t="s">
        <v>31</v>
      </c>
      <c r="J109">
        <v>1691182893.5</v>
      </c>
      <c r="K109">
        <f t="shared" si="92"/>
        <v>6.2833922869308468E-3</v>
      </c>
      <c r="L109">
        <f t="shared" si="93"/>
        <v>6.2833922869308472</v>
      </c>
      <c r="M109">
        <f t="shared" si="94"/>
        <v>50.135009387695327</v>
      </c>
      <c r="N109">
        <f t="shared" si="95"/>
        <v>337.31</v>
      </c>
      <c r="O109">
        <f t="shared" si="96"/>
        <v>107.50955125503175</v>
      </c>
      <c r="P109">
        <f t="shared" si="97"/>
        <v>10.64984315586563</v>
      </c>
      <c r="Q109">
        <f t="shared" si="98"/>
        <v>33.413762339900998</v>
      </c>
      <c r="R109">
        <f t="shared" si="99"/>
        <v>0.38102761945899605</v>
      </c>
      <c r="S109">
        <f t="shared" si="100"/>
        <v>2.9116710706963458</v>
      </c>
      <c r="T109">
        <f t="shared" si="101"/>
        <v>0.35533623610276005</v>
      </c>
      <c r="U109">
        <f t="shared" si="102"/>
        <v>0.22424889741447751</v>
      </c>
      <c r="V109">
        <f t="shared" si="103"/>
        <v>344.39819998680423</v>
      </c>
      <c r="W109">
        <f t="shared" si="104"/>
        <v>30.489893749096979</v>
      </c>
      <c r="X109">
        <f t="shared" si="105"/>
        <v>29.983799999999999</v>
      </c>
      <c r="Y109">
        <f t="shared" si="106"/>
        <v>4.2564869682754418</v>
      </c>
      <c r="Z109">
        <f t="shared" si="107"/>
        <v>59.892261741018828</v>
      </c>
      <c r="AA109">
        <f t="shared" si="108"/>
        <v>2.56513603040379</v>
      </c>
      <c r="AB109">
        <f t="shared" si="109"/>
        <v>4.2829172848668486</v>
      </c>
      <c r="AC109">
        <f t="shared" si="110"/>
        <v>1.6913509378716518</v>
      </c>
      <c r="AD109">
        <f t="shared" si="111"/>
        <v>-277.09759985365037</v>
      </c>
      <c r="AE109">
        <f t="shared" si="112"/>
        <v>16.921798360292673</v>
      </c>
      <c r="AF109">
        <f t="shared" si="113"/>
        <v>1.292722801536593</v>
      </c>
      <c r="AG109">
        <f t="shared" si="114"/>
        <v>85.515121294983103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51805.708831663549</v>
      </c>
      <c r="AM109" t="s">
        <v>414</v>
      </c>
      <c r="AN109">
        <v>10111.299999999999</v>
      </c>
      <c r="AO109">
        <v>608.58839999999998</v>
      </c>
      <c r="AP109">
        <v>2150.11</v>
      </c>
      <c r="AQ109">
        <f t="shared" si="118"/>
        <v>0.71695010952927984</v>
      </c>
      <c r="AR109">
        <v>-1.1786277417053079</v>
      </c>
      <c r="AS109" t="s">
        <v>891</v>
      </c>
      <c r="AT109">
        <v>8095.41</v>
      </c>
      <c r="AU109">
        <v>662.90779999999995</v>
      </c>
      <c r="AV109">
        <v>1026.890260458965</v>
      </c>
      <c r="AW109">
        <f t="shared" si="119"/>
        <v>0.35445117601591081</v>
      </c>
      <c r="AX109">
        <v>0.5</v>
      </c>
      <c r="AY109">
        <f t="shared" si="120"/>
        <v>1513.288499993402</v>
      </c>
      <c r="AZ109">
        <f t="shared" si="121"/>
        <v>50.135009387695327</v>
      </c>
      <c r="BA109">
        <f t="shared" si="122"/>
        <v>268.1934442370075</v>
      </c>
      <c r="BB109">
        <f t="shared" si="123"/>
        <v>3.3908694296972693E-2</v>
      </c>
      <c r="BC109">
        <f t="shared" si="124"/>
        <v>1.0938069848271965</v>
      </c>
      <c r="BD109">
        <f t="shared" si="125"/>
        <v>464.71250388508292</v>
      </c>
      <c r="BE109" t="s">
        <v>892</v>
      </c>
      <c r="BF109">
        <v>526.02</v>
      </c>
      <c r="BG109">
        <f t="shared" si="126"/>
        <v>526.02</v>
      </c>
      <c r="BH109">
        <f t="shared" si="127"/>
        <v>0.48775441714200585</v>
      </c>
      <c r="BI109">
        <f t="shared" si="128"/>
        <v>0.7267000842202832</v>
      </c>
      <c r="BJ109">
        <f t="shared" si="129"/>
        <v>0.69159944309800259</v>
      </c>
      <c r="BK109">
        <f t="shared" si="130"/>
        <v>0.87014305903301459</v>
      </c>
      <c r="BL109">
        <f t="shared" si="131"/>
        <v>0.72864352957560574</v>
      </c>
      <c r="BM109">
        <f t="shared" si="132"/>
        <v>0.57663943357063141</v>
      </c>
      <c r="BN109">
        <f t="shared" si="133"/>
        <v>0.42336056642936859</v>
      </c>
      <c r="BO109">
        <v>7159</v>
      </c>
      <c r="BP109">
        <v>290.00000000000011</v>
      </c>
      <c r="BQ109">
        <v>892.89</v>
      </c>
      <c r="BR109">
        <v>275</v>
      </c>
      <c r="BS109">
        <v>8095.41</v>
      </c>
      <c r="BT109">
        <v>894.6</v>
      </c>
      <c r="BU109">
        <v>-1.71</v>
      </c>
      <c r="BV109">
        <v>300.00000000000011</v>
      </c>
      <c r="BW109">
        <v>19.2</v>
      </c>
      <c r="BX109">
        <v>1026.890260458965</v>
      </c>
      <c r="BY109">
        <v>2.918677897485618</v>
      </c>
      <c r="BZ109">
        <v>-107.0972948934654</v>
      </c>
      <c r="CA109">
        <v>2.1711304170594068</v>
      </c>
      <c r="CB109">
        <v>0.98862362662322867</v>
      </c>
      <c r="CC109">
        <v>-4.1712478309232541E-3</v>
      </c>
      <c r="CD109">
        <v>289.99999999999989</v>
      </c>
      <c r="CE109">
        <v>885.34</v>
      </c>
      <c r="CF109">
        <v>645</v>
      </c>
      <c r="CG109">
        <v>8089.98</v>
      </c>
      <c r="CH109">
        <v>894.51</v>
      </c>
      <c r="CI109">
        <v>-9.17</v>
      </c>
      <c r="CW109">
        <f t="shared" si="134"/>
        <v>1800.12</v>
      </c>
      <c r="CX109">
        <f t="shared" si="135"/>
        <v>1513.288499993402</v>
      </c>
      <c r="CY109">
        <f t="shared" si="136"/>
        <v>0.84065978934371155</v>
      </c>
      <c r="CZ109">
        <f t="shared" si="137"/>
        <v>0.19131957868742319</v>
      </c>
      <c r="DA109">
        <v>6</v>
      </c>
      <c r="DB109">
        <v>0.5</v>
      </c>
      <c r="DC109" t="s">
        <v>417</v>
      </c>
      <c r="DD109">
        <v>2</v>
      </c>
      <c r="DE109">
        <v>1691182893.5</v>
      </c>
      <c r="DF109">
        <v>337.31</v>
      </c>
      <c r="DG109">
        <v>400.02199999999999</v>
      </c>
      <c r="DH109">
        <v>25.8949</v>
      </c>
      <c r="DI109">
        <v>18.549299999999999</v>
      </c>
      <c r="DJ109">
        <v>334.815</v>
      </c>
      <c r="DK109">
        <v>25.767499999999998</v>
      </c>
      <c r="DL109">
        <v>499.947</v>
      </c>
      <c r="DM109">
        <v>98.959599999999995</v>
      </c>
      <c r="DN109">
        <v>9.9907099999999999E-2</v>
      </c>
      <c r="DO109">
        <v>30.0916</v>
      </c>
      <c r="DP109">
        <v>29.983799999999999</v>
      </c>
      <c r="DQ109">
        <v>999.9</v>
      </c>
      <c r="DR109">
        <v>0</v>
      </c>
      <c r="DS109">
        <v>0</v>
      </c>
      <c r="DT109">
        <v>10002.5</v>
      </c>
      <c r="DU109">
        <v>0</v>
      </c>
      <c r="DV109">
        <v>1363.4</v>
      </c>
      <c r="DW109">
        <v>-62.711500000000001</v>
      </c>
      <c r="DX109">
        <v>346.27699999999999</v>
      </c>
      <c r="DY109">
        <v>407.58199999999999</v>
      </c>
      <c r="DZ109">
        <v>7.3455399999999997</v>
      </c>
      <c r="EA109">
        <v>400.02199999999999</v>
      </c>
      <c r="EB109">
        <v>18.549299999999999</v>
      </c>
      <c r="EC109">
        <v>2.5625499999999999</v>
      </c>
      <c r="ED109">
        <v>1.8356300000000001</v>
      </c>
      <c r="EE109">
        <v>21.429300000000001</v>
      </c>
      <c r="EF109">
        <v>16.093599999999999</v>
      </c>
      <c r="EG109">
        <v>1800.12</v>
      </c>
      <c r="EH109">
        <v>0.97800600000000004</v>
      </c>
      <c r="EI109">
        <v>2.1993800000000001E-2</v>
      </c>
      <c r="EJ109">
        <v>0</v>
      </c>
      <c r="EK109">
        <v>666.20500000000004</v>
      </c>
      <c r="EL109">
        <v>0.10001</v>
      </c>
      <c r="EM109">
        <v>16808.7</v>
      </c>
      <c r="EN109">
        <v>16354.6</v>
      </c>
      <c r="EO109">
        <v>48.561999999999998</v>
      </c>
      <c r="EP109">
        <v>50.75</v>
      </c>
      <c r="EQ109">
        <v>50.061999999999998</v>
      </c>
      <c r="ER109">
        <v>49.436999999999998</v>
      </c>
      <c r="ES109">
        <v>50</v>
      </c>
      <c r="ET109">
        <v>1760.43</v>
      </c>
      <c r="EU109">
        <v>39.590000000000003</v>
      </c>
      <c r="EV109">
        <v>0</v>
      </c>
      <c r="EW109">
        <v>187.19999980926511</v>
      </c>
      <c r="EX109">
        <v>0</v>
      </c>
      <c r="EY109">
        <v>662.90779999999995</v>
      </c>
      <c r="EZ109">
        <v>10.377307728336341</v>
      </c>
      <c r="FA109">
        <v>275.23076956710293</v>
      </c>
      <c r="FB109">
        <v>16772.748</v>
      </c>
      <c r="FC109">
        <v>15</v>
      </c>
      <c r="FD109">
        <v>1691182827.5</v>
      </c>
      <c r="FE109" t="s">
        <v>893</v>
      </c>
      <c r="FF109">
        <v>1691182826</v>
      </c>
      <c r="FG109">
        <v>1691182827.5</v>
      </c>
      <c r="FH109">
        <v>103</v>
      </c>
      <c r="FI109">
        <v>4.8000000000000001E-2</v>
      </c>
      <c r="FJ109">
        <v>4.0000000000000001E-3</v>
      </c>
      <c r="FK109">
        <v>2.633</v>
      </c>
      <c r="FL109">
        <v>3.0000000000000001E-3</v>
      </c>
      <c r="FM109">
        <v>400</v>
      </c>
      <c r="FN109">
        <v>18</v>
      </c>
      <c r="FO109">
        <v>0.12</v>
      </c>
      <c r="FP109">
        <v>0.03</v>
      </c>
      <c r="FQ109">
        <v>49.990556633307143</v>
      </c>
      <c r="FR109">
        <v>1.154581107507674</v>
      </c>
      <c r="FS109">
        <v>0.11442660840789309</v>
      </c>
      <c r="FT109">
        <v>0</v>
      </c>
      <c r="FU109">
        <v>0.38324115929998859</v>
      </c>
      <c r="FV109">
        <v>-3.1923463078298693E-2</v>
      </c>
      <c r="FW109">
        <v>2.582355172143226E-3</v>
      </c>
      <c r="FX109">
        <v>1</v>
      </c>
      <c r="FY109">
        <v>1</v>
      </c>
      <c r="FZ109">
        <v>2</v>
      </c>
      <c r="GA109" t="s">
        <v>602</v>
      </c>
      <c r="GB109">
        <v>2.8840400000000002</v>
      </c>
      <c r="GC109">
        <v>2.8211200000000001</v>
      </c>
      <c r="GD109">
        <v>7.5171000000000002E-2</v>
      </c>
      <c r="GE109">
        <v>8.6907499999999999E-2</v>
      </c>
      <c r="GF109">
        <v>0.12013</v>
      </c>
      <c r="GG109">
        <v>9.5713199999999998E-2</v>
      </c>
      <c r="GH109">
        <v>28359.599999999999</v>
      </c>
      <c r="GI109">
        <v>26126.1</v>
      </c>
      <c r="GJ109">
        <v>28231.4</v>
      </c>
      <c r="GK109">
        <v>26875.200000000001</v>
      </c>
      <c r="GL109">
        <v>35052.1</v>
      </c>
      <c r="GM109">
        <v>33949.4</v>
      </c>
      <c r="GN109">
        <v>41532.699999999997</v>
      </c>
      <c r="GO109">
        <v>38894.1</v>
      </c>
      <c r="GP109">
        <v>2.0011000000000001</v>
      </c>
      <c r="GQ109">
        <v>1.6677999999999999</v>
      </c>
      <c r="GR109">
        <v>-5.3733599999999999E-2</v>
      </c>
      <c r="GS109">
        <v>0</v>
      </c>
      <c r="GT109">
        <v>30.857700000000001</v>
      </c>
      <c r="GU109">
        <v>999.9</v>
      </c>
      <c r="GV109">
        <v>45.7</v>
      </c>
      <c r="GW109">
        <v>44.2</v>
      </c>
      <c r="GX109">
        <v>42.707700000000003</v>
      </c>
      <c r="GY109">
        <v>62.701799999999999</v>
      </c>
      <c r="GZ109">
        <v>29.182700000000001</v>
      </c>
      <c r="HA109">
        <v>1</v>
      </c>
      <c r="HB109">
        <v>0.99714400000000003</v>
      </c>
      <c r="HC109">
        <v>4.8143799999999999</v>
      </c>
      <c r="HD109">
        <v>20.181999999999999</v>
      </c>
      <c r="HE109">
        <v>5.2112999999999996</v>
      </c>
      <c r="HF109">
        <v>11.997999999999999</v>
      </c>
      <c r="HG109">
        <v>4.9885999999999999</v>
      </c>
      <c r="HH109">
        <v>3.2909999999999999</v>
      </c>
      <c r="HI109">
        <v>9999</v>
      </c>
      <c r="HJ109">
        <v>9999</v>
      </c>
      <c r="HK109">
        <v>9999</v>
      </c>
      <c r="HL109">
        <v>999.9</v>
      </c>
      <c r="HM109">
        <v>1.8669100000000001</v>
      </c>
      <c r="HN109">
        <v>1.8669100000000001</v>
      </c>
      <c r="HO109">
        <v>1.8634200000000001</v>
      </c>
      <c r="HP109">
        <v>1.8646199999999999</v>
      </c>
      <c r="HQ109">
        <v>1.8641799999999999</v>
      </c>
      <c r="HR109">
        <v>1.86005</v>
      </c>
      <c r="HS109">
        <v>1.86324</v>
      </c>
      <c r="HT109">
        <v>1.8660000000000001</v>
      </c>
      <c r="HU109">
        <v>5</v>
      </c>
      <c r="HV109">
        <v>0</v>
      </c>
      <c r="HW109">
        <v>0</v>
      </c>
      <c r="HX109">
        <v>0</v>
      </c>
      <c r="HY109" t="s">
        <v>420</v>
      </c>
      <c r="HZ109" t="s">
        <v>421</v>
      </c>
      <c r="IA109" t="s">
        <v>422</v>
      </c>
      <c r="IB109" t="s">
        <v>422</v>
      </c>
      <c r="IC109" t="s">
        <v>422</v>
      </c>
      <c r="ID109" t="s">
        <v>422</v>
      </c>
      <c r="IE109">
        <v>0</v>
      </c>
      <c r="IF109">
        <v>100</v>
      </c>
      <c r="IG109">
        <v>100</v>
      </c>
      <c r="IH109">
        <v>2.4950000000000001</v>
      </c>
      <c r="II109">
        <v>0.12740000000000001</v>
      </c>
      <c r="IJ109">
        <v>1.5323768346958859</v>
      </c>
      <c r="IK109">
        <v>3.5576830062418229E-3</v>
      </c>
      <c r="IL109">
        <v>-2.2646740813029151E-6</v>
      </c>
      <c r="IM109">
        <v>6.9609298295988525E-10</v>
      </c>
      <c r="IN109">
        <v>-0.13150940068061351</v>
      </c>
      <c r="IO109">
        <v>-9.4437069492282083E-4</v>
      </c>
      <c r="IP109">
        <v>5.2900373165634467E-4</v>
      </c>
      <c r="IQ109">
        <v>-3.977656803091445E-6</v>
      </c>
      <c r="IR109">
        <v>2</v>
      </c>
      <c r="IS109">
        <v>1759</v>
      </c>
      <c r="IT109">
        <v>2</v>
      </c>
      <c r="IU109">
        <v>42</v>
      </c>
      <c r="IV109">
        <v>1.1000000000000001</v>
      </c>
      <c r="IW109">
        <v>1.1000000000000001</v>
      </c>
      <c r="IX109">
        <v>0.99121099999999995</v>
      </c>
      <c r="IY109">
        <v>2.4255399999999998</v>
      </c>
      <c r="IZ109">
        <v>1.54297</v>
      </c>
      <c r="JA109">
        <v>2.3046899999999999</v>
      </c>
      <c r="JB109">
        <v>1.5466299999999999</v>
      </c>
      <c r="JC109">
        <v>2.3791500000000001</v>
      </c>
      <c r="JD109">
        <v>47.4816</v>
      </c>
      <c r="JE109">
        <v>23.8949</v>
      </c>
      <c r="JF109">
        <v>18</v>
      </c>
      <c r="JG109">
        <v>533.10299999999995</v>
      </c>
      <c r="JH109">
        <v>417.69200000000001</v>
      </c>
      <c r="JI109">
        <v>23.771799999999999</v>
      </c>
      <c r="JJ109">
        <v>38.976599999999998</v>
      </c>
      <c r="JK109">
        <v>29.998100000000001</v>
      </c>
      <c r="JL109">
        <v>39.345700000000001</v>
      </c>
      <c r="JM109">
        <v>39.323099999999997</v>
      </c>
      <c r="JN109">
        <v>19.9636</v>
      </c>
      <c r="JO109">
        <v>61.251300000000001</v>
      </c>
      <c r="JP109">
        <v>0</v>
      </c>
      <c r="JQ109">
        <v>23.868200000000002</v>
      </c>
      <c r="JR109">
        <v>400</v>
      </c>
      <c r="JS109">
        <v>18.7041</v>
      </c>
      <c r="JT109">
        <v>98.406999999999996</v>
      </c>
      <c r="JU109">
        <v>96.232900000000001</v>
      </c>
    </row>
    <row r="110" spans="1:281" x14ac:dyDescent="0.25">
      <c r="A110">
        <v>94</v>
      </c>
      <c r="B110">
        <v>1691182995</v>
      </c>
      <c r="C110">
        <v>22083.5</v>
      </c>
      <c r="D110" t="s">
        <v>894</v>
      </c>
      <c r="E110" t="s">
        <v>895</v>
      </c>
      <c r="F110" t="s">
        <v>413</v>
      </c>
      <c r="G110" t="s">
        <v>707</v>
      </c>
      <c r="H110" t="s">
        <v>636</v>
      </c>
      <c r="I110" t="s">
        <v>31</v>
      </c>
      <c r="J110">
        <v>1691182995</v>
      </c>
      <c r="K110">
        <f t="shared" si="92"/>
        <v>5.9092556616162492E-3</v>
      </c>
      <c r="L110">
        <f t="shared" si="93"/>
        <v>5.9092556616162488</v>
      </c>
      <c r="M110">
        <f t="shared" si="94"/>
        <v>54.417507823631098</v>
      </c>
      <c r="N110">
        <f t="shared" si="95"/>
        <v>431.74400000000003</v>
      </c>
      <c r="O110">
        <f t="shared" si="96"/>
        <v>165.44080137341356</v>
      </c>
      <c r="P110">
        <f t="shared" si="97"/>
        <v>16.389116453757715</v>
      </c>
      <c r="Q110">
        <f t="shared" si="98"/>
        <v>42.769997699904003</v>
      </c>
      <c r="R110">
        <f t="shared" si="99"/>
        <v>0.35718183326851827</v>
      </c>
      <c r="S110">
        <f t="shared" si="100"/>
        <v>2.9086773998100686</v>
      </c>
      <c r="T110">
        <f t="shared" si="101"/>
        <v>0.33448112101615141</v>
      </c>
      <c r="U110">
        <f t="shared" si="102"/>
        <v>0.21096992806565437</v>
      </c>
      <c r="V110">
        <f t="shared" si="103"/>
        <v>344.35639998680267</v>
      </c>
      <c r="W110">
        <f t="shared" si="104"/>
        <v>30.581768136206318</v>
      </c>
      <c r="X110">
        <f t="shared" si="105"/>
        <v>30.023399999999999</v>
      </c>
      <c r="Y110">
        <f t="shared" si="106"/>
        <v>4.2661794991470519</v>
      </c>
      <c r="Z110">
        <f t="shared" si="107"/>
        <v>60.177818503483316</v>
      </c>
      <c r="AA110">
        <f t="shared" si="108"/>
        <v>2.5764786729594</v>
      </c>
      <c r="AB110">
        <f t="shared" si="109"/>
        <v>4.281442460082304</v>
      </c>
      <c r="AC110">
        <f t="shared" si="110"/>
        <v>1.6897008261876518</v>
      </c>
      <c r="AD110">
        <f t="shared" si="111"/>
        <v>-260.59817467727657</v>
      </c>
      <c r="AE110">
        <f t="shared" si="112"/>
        <v>9.7537447138665687</v>
      </c>
      <c r="AF110">
        <f t="shared" si="113"/>
        <v>0.74601790654112776</v>
      </c>
      <c r="AG110">
        <f t="shared" si="114"/>
        <v>94.257987929933776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51721.769200478622</v>
      </c>
      <c r="AM110" t="s">
        <v>414</v>
      </c>
      <c r="AN110">
        <v>10111.299999999999</v>
      </c>
      <c r="AO110">
        <v>608.58839999999998</v>
      </c>
      <c r="AP110">
        <v>2150.11</v>
      </c>
      <c r="AQ110">
        <f t="shared" si="118"/>
        <v>0.71695010952927984</v>
      </c>
      <c r="AR110">
        <v>-1.1786277417053079</v>
      </c>
      <c r="AS110" t="s">
        <v>896</v>
      </c>
      <c r="AT110">
        <v>8095.43</v>
      </c>
      <c r="AU110">
        <v>685.87423076923073</v>
      </c>
      <c r="AV110">
        <v>1084.209301953267</v>
      </c>
      <c r="AW110">
        <f t="shared" si="119"/>
        <v>0.36739683976738824</v>
      </c>
      <c r="AX110">
        <v>0.5</v>
      </c>
      <c r="AY110">
        <f t="shared" si="120"/>
        <v>1513.1036999934015</v>
      </c>
      <c r="AZ110">
        <f t="shared" si="121"/>
        <v>54.417507823631098</v>
      </c>
      <c r="BA110">
        <f t="shared" si="122"/>
        <v>277.95475880895901</v>
      </c>
      <c r="BB110">
        <f t="shared" si="123"/>
        <v>3.6743109917435832E-2</v>
      </c>
      <c r="BC110">
        <f t="shared" si="124"/>
        <v>0.98311340451188733</v>
      </c>
      <c r="BD110">
        <f t="shared" si="125"/>
        <v>476.10311800084196</v>
      </c>
      <c r="BE110" t="s">
        <v>897</v>
      </c>
      <c r="BF110">
        <v>532.53</v>
      </c>
      <c r="BG110">
        <f t="shared" si="126"/>
        <v>532.53</v>
      </c>
      <c r="BH110">
        <f t="shared" si="127"/>
        <v>0.50883099873740634</v>
      </c>
      <c r="BI110">
        <f t="shared" si="128"/>
        <v>0.72204099333380356</v>
      </c>
      <c r="BJ110">
        <f t="shared" si="129"/>
        <v>0.6589477478991661</v>
      </c>
      <c r="BK110">
        <f t="shared" si="130"/>
        <v>0.83750539462871498</v>
      </c>
      <c r="BL110">
        <f t="shared" si="131"/>
        <v>0.69146011190938428</v>
      </c>
      <c r="BM110">
        <f t="shared" si="132"/>
        <v>0.56061078391706209</v>
      </c>
      <c r="BN110">
        <f t="shared" si="133"/>
        <v>0.43938921608293791</v>
      </c>
      <c r="BO110">
        <v>7161</v>
      </c>
      <c r="BP110">
        <v>290.00000000000011</v>
      </c>
      <c r="BQ110">
        <v>948.7</v>
      </c>
      <c r="BR110">
        <v>295</v>
      </c>
      <c r="BS110">
        <v>8095.43</v>
      </c>
      <c r="BT110">
        <v>949.77</v>
      </c>
      <c r="BU110">
        <v>-1.07</v>
      </c>
      <c r="BV110">
        <v>300.00000000000011</v>
      </c>
      <c r="BW110">
        <v>19.2</v>
      </c>
      <c r="BX110">
        <v>1084.209301953267</v>
      </c>
      <c r="BY110">
        <v>4.5899553957977588</v>
      </c>
      <c r="BZ110">
        <v>-108.8355868563165</v>
      </c>
      <c r="CA110">
        <v>3.4145162535727271</v>
      </c>
      <c r="CB110">
        <v>0.97317946181539239</v>
      </c>
      <c r="CC110">
        <v>-4.1714825361512803E-3</v>
      </c>
      <c r="CD110">
        <v>289.99999999999989</v>
      </c>
      <c r="CE110">
        <v>941.62</v>
      </c>
      <c r="CF110">
        <v>655</v>
      </c>
      <c r="CG110">
        <v>8090.19</v>
      </c>
      <c r="CH110">
        <v>949.68</v>
      </c>
      <c r="CI110">
        <v>-8.06</v>
      </c>
      <c r="CW110">
        <f t="shared" si="134"/>
        <v>1799.9</v>
      </c>
      <c r="CX110">
        <f t="shared" si="135"/>
        <v>1513.1036999934015</v>
      </c>
      <c r="CY110">
        <f t="shared" si="136"/>
        <v>0.84065986998911124</v>
      </c>
      <c r="CZ110">
        <f t="shared" si="137"/>
        <v>0.19131973997822249</v>
      </c>
      <c r="DA110">
        <v>6</v>
      </c>
      <c r="DB110">
        <v>0.5</v>
      </c>
      <c r="DC110" t="s">
        <v>417</v>
      </c>
      <c r="DD110">
        <v>2</v>
      </c>
      <c r="DE110">
        <v>1691182995</v>
      </c>
      <c r="DF110">
        <v>431.74400000000003</v>
      </c>
      <c r="DG110">
        <v>500.084</v>
      </c>
      <c r="DH110">
        <v>26.008400000000002</v>
      </c>
      <c r="DI110">
        <v>19.103999999999999</v>
      </c>
      <c r="DJ110">
        <v>429.05900000000003</v>
      </c>
      <c r="DK110">
        <v>25.879799999999999</v>
      </c>
      <c r="DL110">
        <v>500.16500000000002</v>
      </c>
      <c r="DM110">
        <v>98.963399999999993</v>
      </c>
      <c r="DN110">
        <v>9.9928500000000003E-2</v>
      </c>
      <c r="DO110">
        <v>30.085599999999999</v>
      </c>
      <c r="DP110">
        <v>30.023399999999999</v>
      </c>
      <c r="DQ110">
        <v>999.9</v>
      </c>
      <c r="DR110">
        <v>0</v>
      </c>
      <c r="DS110">
        <v>0</v>
      </c>
      <c r="DT110">
        <v>9985</v>
      </c>
      <c r="DU110">
        <v>0</v>
      </c>
      <c r="DV110">
        <v>1348.93</v>
      </c>
      <c r="DW110">
        <v>-68.339500000000001</v>
      </c>
      <c r="DX110">
        <v>443.27300000000002</v>
      </c>
      <c r="DY110">
        <v>509.82299999999998</v>
      </c>
      <c r="DZ110">
        <v>6.9043999999999999</v>
      </c>
      <c r="EA110">
        <v>500.084</v>
      </c>
      <c r="EB110">
        <v>19.103999999999999</v>
      </c>
      <c r="EC110">
        <v>2.5738799999999999</v>
      </c>
      <c r="ED110">
        <v>1.89059</v>
      </c>
      <c r="EE110">
        <v>21.501300000000001</v>
      </c>
      <c r="EF110">
        <v>16.5566</v>
      </c>
      <c r="EG110">
        <v>1799.9</v>
      </c>
      <c r="EH110">
        <v>0.97800299999999996</v>
      </c>
      <c r="EI110">
        <v>2.19974E-2</v>
      </c>
      <c r="EJ110">
        <v>0</v>
      </c>
      <c r="EK110">
        <v>686.16499999999996</v>
      </c>
      <c r="EL110">
        <v>0.10001</v>
      </c>
      <c r="EM110">
        <v>17118.5</v>
      </c>
      <c r="EN110">
        <v>16352.6</v>
      </c>
      <c r="EO110">
        <v>48.561999999999998</v>
      </c>
      <c r="EP110">
        <v>50.811999999999998</v>
      </c>
      <c r="EQ110">
        <v>50.125</v>
      </c>
      <c r="ER110">
        <v>49.5</v>
      </c>
      <c r="ES110">
        <v>50</v>
      </c>
      <c r="ET110">
        <v>1760.21</v>
      </c>
      <c r="EU110">
        <v>39.590000000000003</v>
      </c>
      <c r="EV110">
        <v>0</v>
      </c>
      <c r="EW110">
        <v>99.599999904632568</v>
      </c>
      <c r="EX110">
        <v>0</v>
      </c>
      <c r="EY110">
        <v>685.87423076923073</v>
      </c>
      <c r="EZ110">
        <v>-1.041709476609431</v>
      </c>
      <c r="FA110">
        <v>198.26666670236389</v>
      </c>
      <c r="FB110">
        <v>17108.91153846154</v>
      </c>
      <c r="FC110">
        <v>15</v>
      </c>
      <c r="FD110">
        <v>1691182967</v>
      </c>
      <c r="FE110" t="s">
        <v>898</v>
      </c>
      <c r="FF110">
        <v>1691182962.5</v>
      </c>
      <c r="FG110">
        <v>1691182967</v>
      </c>
      <c r="FH110">
        <v>104</v>
      </c>
      <c r="FI110">
        <v>-1.2E-2</v>
      </c>
      <c r="FJ110">
        <v>-1E-3</v>
      </c>
      <c r="FK110">
        <v>2.8149999999999999</v>
      </c>
      <c r="FL110">
        <v>6.0000000000000001E-3</v>
      </c>
      <c r="FM110">
        <v>500</v>
      </c>
      <c r="FN110">
        <v>19</v>
      </c>
      <c r="FO110">
        <v>0.12</v>
      </c>
      <c r="FP110">
        <v>0.03</v>
      </c>
      <c r="FQ110">
        <v>54.431821194230047</v>
      </c>
      <c r="FR110">
        <v>-0.58875921025236666</v>
      </c>
      <c r="FS110">
        <v>9.3762846771868136E-2</v>
      </c>
      <c r="FT110">
        <v>1</v>
      </c>
      <c r="FU110">
        <v>0.36023630187278682</v>
      </c>
      <c r="FV110">
        <v>6.7196982527720434E-3</v>
      </c>
      <c r="FW110">
        <v>1.881611430824311E-3</v>
      </c>
      <c r="FX110">
        <v>1</v>
      </c>
      <c r="FY110">
        <v>2</v>
      </c>
      <c r="FZ110">
        <v>2</v>
      </c>
      <c r="GA110" t="s">
        <v>419</v>
      </c>
      <c r="GB110">
        <v>2.8845499999999999</v>
      </c>
      <c r="GC110">
        <v>2.8209900000000001</v>
      </c>
      <c r="GD110">
        <v>9.1248300000000004E-2</v>
      </c>
      <c r="GE110">
        <v>0.102801</v>
      </c>
      <c r="GF110">
        <v>0.12049700000000001</v>
      </c>
      <c r="GG110">
        <v>9.7734100000000004E-2</v>
      </c>
      <c r="GH110">
        <v>27867.200000000001</v>
      </c>
      <c r="GI110">
        <v>25672.3</v>
      </c>
      <c r="GJ110">
        <v>28231.8</v>
      </c>
      <c r="GK110">
        <v>26876.1</v>
      </c>
      <c r="GL110">
        <v>35038.699999999997</v>
      </c>
      <c r="GM110">
        <v>33874.9</v>
      </c>
      <c r="GN110">
        <v>41533.599999999999</v>
      </c>
      <c r="GO110">
        <v>38895</v>
      </c>
      <c r="GP110">
        <v>2.0015999999999998</v>
      </c>
      <c r="GQ110">
        <v>1.6680999999999999</v>
      </c>
      <c r="GR110">
        <v>-4.8160599999999998E-2</v>
      </c>
      <c r="GS110">
        <v>0</v>
      </c>
      <c r="GT110">
        <v>30.8066</v>
      </c>
      <c r="GU110">
        <v>999.9</v>
      </c>
      <c r="GV110">
        <v>45.6</v>
      </c>
      <c r="GW110">
        <v>44.2</v>
      </c>
      <c r="GX110">
        <v>42.613300000000002</v>
      </c>
      <c r="GY110">
        <v>62.551900000000003</v>
      </c>
      <c r="GZ110">
        <v>29.210699999999999</v>
      </c>
      <c r="HA110">
        <v>1</v>
      </c>
      <c r="HB110">
        <v>0.99963400000000002</v>
      </c>
      <c r="HC110">
        <v>5.5084200000000001</v>
      </c>
      <c r="HD110">
        <v>20.1616</v>
      </c>
      <c r="HE110">
        <v>5.2088999999999999</v>
      </c>
      <c r="HF110">
        <v>11.997999999999999</v>
      </c>
      <c r="HG110">
        <v>4.9884000000000004</v>
      </c>
      <c r="HH110">
        <v>3.2909999999999999</v>
      </c>
      <c r="HI110">
        <v>9999</v>
      </c>
      <c r="HJ110">
        <v>9999</v>
      </c>
      <c r="HK110">
        <v>9999</v>
      </c>
      <c r="HL110">
        <v>999.9</v>
      </c>
      <c r="HM110">
        <v>1.8669100000000001</v>
      </c>
      <c r="HN110">
        <v>1.8669100000000001</v>
      </c>
      <c r="HO110">
        <v>1.8633999999999999</v>
      </c>
      <c r="HP110">
        <v>1.8646199999999999</v>
      </c>
      <c r="HQ110">
        <v>1.8641700000000001</v>
      </c>
      <c r="HR110">
        <v>1.86005</v>
      </c>
      <c r="HS110">
        <v>1.86324</v>
      </c>
      <c r="HT110">
        <v>1.8660000000000001</v>
      </c>
      <c r="HU110">
        <v>5</v>
      </c>
      <c r="HV110">
        <v>0</v>
      </c>
      <c r="HW110">
        <v>0</v>
      </c>
      <c r="HX110">
        <v>0</v>
      </c>
      <c r="HY110" t="s">
        <v>420</v>
      </c>
      <c r="HZ110" t="s">
        <v>421</v>
      </c>
      <c r="IA110" t="s">
        <v>422</v>
      </c>
      <c r="IB110" t="s">
        <v>422</v>
      </c>
      <c r="IC110" t="s">
        <v>422</v>
      </c>
      <c r="ID110" t="s">
        <v>422</v>
      </c>
      <c r="IE110">
        <v>0</v>
      </c>
      <c r="IF110">
        <v>100</v>
      </c>
      <c r="IG110">
        <v>100</v>
      </c>
      <c r="IH110">
        <v>2.6850000000000001</v>
      </c>
      <c r="II110">
        <v>0.12859999999999999</v>
      </c>
      <c r="IJ110">
        <v>1.520279003996186</v>
      </c>
      <c r="IK110">
        <v>3.5576830062418229E-3</v>
      </c>
      <c r="IL110">
        <v>-2.2646740813029151E-6</v>
      </c>
      <c r="IM110">
        <v>6.9609298295988525E-10</v>
      </c>
      <c r="IN110">
        <v>-0.13234377791568591</v>
      </c>
      <c r="IO110">
        <v>-9.4437069492282083E-4</v>
      </c>
      <c r="IP110">
        <v>5.2900373165634467E-4</v>
      </c>
      <c r="IQ110">
        <v>-3.977656803091445E-6</v>
      </c>
      <c r="IR110">
        <v>2</v>
      </c>
      <c r="IS110">
        <v>1759</v>
      </c>
      <c r="IT110">
        <v>2</v>
      </c>
      <c r="IU110">
        <v>42</v>
      </c>
      <c r="IV110">
        <v>0.5</v>
      </c>
      <c r="IW110">
        <v>0.5</v>
      </c>
      <c r="IX110">
        <v>1.1938500000000001</v>
      </c>
      <c r="IY110">
        <v>2.4536099999999998</v>
      </c>
      <c r="IZ110">
        <v>1.54297</v>
      </c>
      <c r="JA110">
        <v>2.3046899999999999</v>
      </c>
      <c r="JB110">
        <v>1.5466299999999999</v>
      </c>
      <c r="JC110">
        <v>2.31934</v>
      </c>
      <c r="JD110">
        <v>47.511699999999998</v>
      </c>
      <c r="JE110">
        <v>23.868600000000001</v>
      </c>
      <c r="JF110">
        <v>18</v>
      </c>
      <c r="JG110">
        <v>533.43200000000002</v>
      </c>
      <c r="JH110">
        <v>417.887</v>
      </c>
      <c r="JI110">
        <v>23.898700000000002</v>
      </c>
      <c r="JJ110">
        <v>38.991700000000002</v>
      </c>
      <c r="JK110">
        <v>30.000900000000001</v>
      </c>
      <c r="JL110">
        <v>39.345700000000001</v>
      </c>
      <c r="JM110">
        <v>39.323099999999997</v>
      </c>
      <c r="JN110">
        <v>24.012499999999999</v>
      </c>
      <c r="JO110">
        <v>60.720100000000002</v>
      </c>
      <c r="JP110">
        <v>0</v>
      </c>
      <c r="JQ110">
        <v>23.889900000000001</v>
      </c>
      <c r="JR110">
        <v>500</v>
      </c>
      <c r="JS110">
        <v>19.053799999999999</v>
      </c>
      <c r="JT110">
        <v>98.408900000000003</v>
      </c>
      <c r="JU110">
        <v>96.235699999999994</v>
      </c>
    </row>
    <row r="111" spans="1:281" x14ac:dyDescent="0.25">
      <c r="A111">
        <v>95</v>
      </c>
      <c r="B111">
        <v>1691183112.5</v>
      </c>
      <c r="C111">
        <v>22201</v>
      </c>
      <c r="D111" t="s">
        <v>899</v>
      </c>
      <c r="E111" t="s">
        <v>900</v>
      </c>
      <c r="F111" t="s">
        <v>413</v>
      </c>
      <c r="G111" t="s">
        <v>707</v>
      </c>
      <c r="H111" t="s">
        <v>636</v>
      </c>
      <c r="I111" t="s">
        <v>31</v>
      </c>
      <c r="J111">
        <v>1691183112.5</v>
      </c>
      <c r="K111">
        <f t="shared" si="92"/>
        <v>4.8467291390383877E-3</v>
      </c>
      <c r="L111">
        <f t="shared" si="93"/>
        <v>4.8467291390383878</v>
      </c>
      <c r="M111">
        <f t="shared" si="94"/>
        <v>56.253776200835432</v>
      </c>
      <c r="N111">
        <f t="shared" si="95"/>
        <v>628.95799999999997</v>
      </c>
      <c r="O111">
        <f t="shared" si="96"/>
        <v>283.77334234780108</v>
      </c>
      <c r="P111">
        <f t="shared" si="97"/>
        <v>28.113439498837113</v>
      </c>
      <c r="Q111">
        <f t="shared" si="98"/>
        <v>62.310901136858</v>
      </c>
      <c r="R111">
        <f t="shared" si="99"/>
        <v>0.28349682661016545</v>
      </c>
      <c r="S111">
        <f t="shared" si="100"/>
        <v>2.9140265863971844</v>
      </c>
      <c r="T111">
        <f t="shared" si="101"/>
        <v>0.26901716423146127</v>
      </c>
      <c r="U111">
        <f t="shared" si="102"/>
        <v>0.169375016245014</v>
      </c>
      <c r="V111">
        <f t="shared" si="103"/>
        <v>344.40389998680445</v>
      </c>
      <c r="W111">
        <f t="shared" si="104"/>
        <v>30.755060148204226</v>
      </c>
      <c r="X111">
        <f t="shared" si="105"/>
        <v>30.029900000000001</v>
      </c>
      <c r="Y111">
        <f t="shared" si="106"/>
        <v>4.2677722811990435</v>
      </c>
      <c r="Z111">
        <f t="shared" si="107"/>
        <v>59.778567768159377</v>
      </c>
      <c r="AA111">
        <f t="shared" si="108"/>
        <v>2.5442477007463005</v>
      </c>
      <c r="AB111">
        <f t="shared" si="109"/>
        <v>4.2561202045082718</v>
      </c>
      <c r="AC111">
        <f t="shared" si="110"/>
        <v>1.723524580452743</v>
      </c>
      <c r="AD111">
        <f t="shared" si="111"/>
        <v>-213.7407550315929</v>
      </c>
      <c r="AE111">
        <f t="shared" si="112"/>
        <v>-7.478007663110656</v>
      </c>
      <c r="AF111">
        <f t="shared" si="113"/>
        <v>-0.57063410102596768</v>
      </c>
      <c r="AG111">
        <f t="shared" si="114"/>
        <v>122.61450319107492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51891.585482474169</v>
      </c>
      <c r="AM111" t="s">
        <v>414</v>
      </c>
      <c r="AN111">
        <v>10111.299999999999</v>
      </c>
      <c r="AO111">
        <v>608.58839999999998</v>
      </c>
      <c r="AP111">
        <v>2150.11</v>
      </c>
      <c r="AQ111">
        <f t="shared" si="118"/>
        <v>0.71695010952927984</v>
      </c>
      <c r="AR111">
        <v>-1.1786277417053079</v>
      </c>
      <c r="AS111" t="s">
        <v>901</v>
      </c>
      <c r="AT111">
        <v>8096.72</v>
      </c>
      <c r="AU111">
        <v>692.73380000000009</v>
      </c>
      <c r="AV111">
        <v>1118.062883706561</v>
      </c>
      <c r="AW111">
        <f t="shared" si="119"/>
        <v>0.38041606595196642</v>
      </c>
      <c r="AX111">
        <v>0.5</v>
      </c>
      <c r="AY111">
        <f t="shared" si="120"/>
        <v>1513.3136999934022</v>
      </c>
      <c r="AZ111">
        <f t="shared" si="121"/>
        <v>56.253776200835432</v>
      </c>
      <c r="BA111">
        <f t="shared" si="122"/>
        <v>287.84442215135221</v>
      </c>
      <c r="BB111">
        <f t="shared" si="123"/>
        <v>3.7951420080840563E-2</v>
      </c>
      <c r="BC111">
        <f t="shared" si="124"/>
        <v>0.9230671470570907</v>
      </c>
      <c r="BD111">
        <f t="shared" si="125"/>
        <v>482.51876556831354</v>
      </c>
      <c r="BE111" t="s">
        <v>902</v>
      </c>
      <c r="BF111">
        <v>539.48</v>
      </c>
      <c r="BG111">
        <f t="shared" si="126"/>
        <v>539.48</v>
      </c>
      <c r="BH111">
        <f t="shared" si="127"/>
        <v>0.51748688927805586</v>
      </c>
      <c r="BI111">
        <f t="shared" si="128"/>
        <v>0.73512213320550701</v>
      </c>
      <c r="BJ111">
        <f t="shared" si="129"/>
        <v>0.64077231660495526</v>
      </c>
      <c r="BK111">
        <f t="shared" si="130"/>
        <v>0.83483883356076993</v>
      </c>
      <c r="BL111">
        <f t="shared" si="131"/>
        <v>0.66949896536865849</v>
      </c>
      <c r="BM111">
        <f t="shared" si="132"/>
        <v>0.57249074380621656</v>
      </c>
      <c r="BN111">
        <f t="shared" si="133"/>
        <v>0.42750925619378344</v>
      </c>
      <c r="BO111">
        <v>7163</v>
      </c>
      <c r="BP111">
        <v>290.00000000000011</v>
      </c>
      <c r="BQ111">
        <v>968.8</v>
      </c>
      <c r="BR111">
        <v>255</v>
      </c>
      <c r="BS111">
        <v>8096.72</v>
      </c>
      <c r="BT111">
        <v>971.34</v>
      </c>
      <c r="BU111">
        <v>-2.54</v>
      </c>
      <c r="BV111">
        <v>300.00000000000011</v>
      </c>
      <c r="BW111">
        <v>19.2</v>
      </c>
      <c r="BX111">
        <v>1118.062883706561</v>
      </c>
      <c r="BY111">
        <v>3.5402503012095972</v>
      </c>
      <c r="BZ111">
        <v>-118.7952086671628</v>
      </c>
      <c r="CA111">
        <v>2.6336992713070528</v>
      </c>
      <c r="CB111">
        <v>0.98642448256776527</v>
      </c>
      <c r="CC111">
        <v>-4.1716505005561814E-3</v>
      </c>
      <c r="CD111">
        <v>289.99999999999989</v>
      </c>
      <c r="CE111">
        <v>962.66</v>
      </c>
      <c r="CF111">
        <v>635</v>
      </c>
      <c r="CG111">
        <v>8090.83</v>
      </c>
      <c r="CH111">
        <v>971.24</v>
      </c>
      <c r="CI111">
        <v>-8.58</v>
      </c>
      <c r="CW111">
        <f t="shared" si="134"/>
        <v>1800.15</v>
      </c>
      <c r="CX111">
        <f t="shared" si="135"/>
        <v>1513.3136999934022</v>
      </c>
      <c r="CY111">
        <f t="shared" si="136"/>
        <v>0.84065977834813888</v>
      </c>
      <c r="CZ111">
        <f t="shared" si="137"/>
        <v>0.19131955669627776</v>
      </c>
      <c r="DA111">
        <v>6</v>
      </c>
      <c r="DB111">
        <v>0.5</v>
      </c>
      <c r="DC111" t="s">
        <v>417</v>
      </c>
      <c r="DD111">
        <v>2</v>
      </c>
      <c r="DE111">
        <v>1691183112.5</v>
      </c>
      <c r="DF111">
        <v>628.95799999999997</v>
      </c>
      <c r="DG111">
        <v>700.12800000000004</v>
      </c>
      <c r="DH111">
        <v>25.6813</v>
      </c>
      <c r="DI111">
        <v>20.013999999999999</v>
      </c>
      <c r="DJ111">
        <v>625.548</v>
      </c>
      <c r="DK111">
        <v>25.560400000000001</v>
      </c>
      <c r="DL111">
        <v>499.94799999999998</v>
      </c>
      <c r="DM111">
        <v>98.969300000000004</v>
      </c>
      <c r="DN111">
        <v>0.10075099999999999</v>
      </c>
      <c r="DO111">
        <v>29.982299999999999</v>
      </c>
      <c r="DP111">
        <v>30.029900000000001</v>
      </c>
      <c r="DQ111">
        <v>999.9</v>
      </c>
      <c r="DR111">
        <v>0</v>
      </c>
      <c r="DS111">
        <v>0</v>
      </c>
      <c r="DT111">
        <v>10015</v>
      </c>
      <c r="DU111">
        <v>0</v>
      </c>
      <c r="DV111">
        <v>1310.32</v>
      </c>
      <c r="DW111">
        <v>-71.169799999999995</v>
      </c>
      <c r="DX111">
        <v>645.53599999999994</v>
      </c>
      <c r="DY111">
        <v>714.42600000000004</v>
      </c>
      <c r="DZ111">
        <v>5.6673200000000001</v>
      </c>
      <c r="EA111">
        <v>700.12800000000004</v>
      </c>
      <c r="EB111">
        <v>20.013999999999999</v>
      </c>
      <c r="EC111">
        <v>2.5416599999999998</v>
      </c>
      <c r="ED111">
        <v>1.9807699999999999</v>
      </c>
      <c r="EE111">
        <v>21.2958</v>
      </c>
      <c r="EF111">
        <v>17.291399999999999</v>
      </c>
      <c r="EG111">
        <v>1800.15</v>
      </c>
      <c r="EH111">
        <v>0.97800600000000004</v>
      </c>
      <c r="EI111">
        <v>2.1993800000000001E-2</v>
      </c>
      <c r="EJ111">
        <v>0</v>
      </c>
      <c r="EK111">
        <v>690.95</v>
      </c>
      <c r="EL111">
        <v>0.10001</v>
      </c>
      <c r="EM111">
        <v>17126.7</v>
      </c>
      <c r="EN111">
        <v>16354.9</v>
      </c>
      <c r="EO111">
        <v>48.561999999999998</v>
      </c>
      <c r="EP111">
        <v>50.875</v>
      </c>
      <c r="EQ111">
        <v>50.125</v>
      </c>
      <c r="ER111">
        <v>49.436999999999998</v>
      </c>
      <c r="ES111">
        <v>50</v>
      </c>
      <c r="ET111">
        <v>1760.46</v>
      </c>
      <c r="EU111">
        <v>39.590000000000003</v>
      </c>
      <c r="EV111">
        <v>0</v>
      </c>
      <c r="EW111">
        <v>115.3999998569489</v>
      </c>
      <c r="EX111">
        <v>0</v>
      </c>
      <c r="EY111">
        <v>692.73380000000009</v>
      </c>
      <c r="EZ111">
        <v>-6.2000000381454674</v>
      </c>
      <c r="FA111">
        <v>-643.21538863735987</v>
      </c>
      <c r="FB111">
        <v>17177.348000000002</v>
      </c>
      <c r="FC111">
        <v>15</v>
      </c>
      <c r="FD111">
        <v>1691183069.5</v>
      </c>
      <c r="FE111" t="s">
        <v>903</v>
      </c>
      <c r="FF111">
        <v>1691183066</v>
      </c>
      <c r="FG111">
        <v>1691183069.5</v>
      </c>
      <c r="FH111">
        <v>105</v>
      </c>
      <c r="FI111">
        <v>0.38</v>
      </c>
      <c r="FJ111">
        <v>-2E-3</v>
      </c>
      <c r="FK111">
        <v>3.5150000000000001</v>
      </c>
      <c r="FL111">
        <v>1.4E-2</v>
      </c>
      <c r="FM111">
        <v>701</v>
      </c>
      <c r="FN111">
        <v>19</v>
      </c>
      <c r="FO111">
        <v>0.12</v>
      </c>
      <c r="FP111">
        <v>0.03</v>
      </c>
      <c r="FQ111">
        <v>56.163157727831411</v>
      </c>
      <c r="FR111">
        <v>-0.42823285193268412</v>
      </c>
      <c r="FS111">
        <v>0.15992074731480979</v>
      </c>
      <c r="FT111">
        <v>1</v>
      </c>
      <c r="FU111">
        <v>0.28637007531322128</v>
      </c>
      <c r="FV111">
        <v>-4.27439081456749E-2</v>
      </c>
      <c r="FW111">
        <v>4.1459525083370726E-3</v>
      </c>
      <c r="FX111">
        <v>1</v>
      </c>
      <c r="FY111">
        <v>2</v>
      </c>
      <c r="FZ111">
        <v>2</v>
      </c>
      <c r="GA111" t="s">
        <v>419</v>
      </c>
      <c r="GB111">
        <v>2.8839800000000002</v>
      </c>
      <c r="GC111">
        <v>2.8220800000000001</v>
      </c>
      <c r="GD111">
        <v>0.120147</v>
      </c>
      <c r="GE111">
        <v>0.13047900000000001</v>
      </c>
      <c r="GF111">
        <v>0.11947199999999999</v>
      </c>
      <c r="GG111">
        <v>0.101003</v>
      </c>
      <c r="GH111">
        <v>26981.4</v>
      </c>
      <c r="GI111">
        <v>24878.400000000001</v>
      </c>
      <c r="GJ111">
        <v>28232.5</v>
      </c>
      <c r="GK111">
        <v>26874.7</v>
      </c>
      <c r="GL111">
        <v>35080.699999999997</v>
      </c>
      <c r="GM111">
        <v>33751.599999999999</v>
      </c>
      <c r="GN111">
        <v>41534.800000000003</v>
      </c>
      <c r="GO111">
        <v>38893.5</v>
      </c>
      <c r="GP111">
        <v>2</v>
      </c>
      <c r="GQ111">
        <v>1.6706000000000001</v>
      </c>
      <c r="GR111">
        <v>-4.5448500000000003E-2</v>
      </c>
      <c r="GS111">
        <v>0</v>
      </c>
      <c r="GT111">
        <v>30.768999999999998</v>
      </c>
      <c r="GU111">
        <v>999.9</v>
      </c>
      <c r="GV111">
        <v>45.6</v>
      </c>
      <c r="GW111">
        <v>44.1</v>
      </c>
      <c r="GX111">
        <v>42.387</v>
      </c>
      <c r="GY111">
        <v>62.4619</v>
      </c>
      <c r="GZ111">
        <v>29.146599999999999</v>
      </c>
      <c r="HA111">
        <v>1</v>
      </c>
      <c r="HB111">
        <v>1.0039</v>
      </c>
      <c r="HC111">
        <v>6.05443</v>
      </c>
      <c r="HD111">
        <v>20.1434</v>
      </c>
      <c r="HE111">
        <v>5.2107000000000001</v>
      </c>
      <c r="HF111">
        <v>11.9986</v>
      </c>
      <c r="HG111">
        <v>4.9889999999999999</v>
      </c>
      <c r="HH111">
        <v>3.2909999999999999</v>
      </c>
      <c r="HI111">
        <v>9999</v>
      </c>
      <c r="HJ111">
        <v>9999</v>
      </c>
      <c r="HK111">
        <v>9999</v>
      </c>
      <c r="HL111">
        <v>999.9</v>
      </c>
      <c r="HM111">
        <v>1.8668800000000001</v>
      </c>
      <c r="HN111">
        <v>1.8669100000000001</v>
      </c>
      <c r="HO111">
        <v>1.8634200000000001</v>
      </c>
      <c r="HP111">
        <v>1.8646199999999999</v>
      </c>
      <c r="HQ111">
        <v>1.8641799999999999</v>
      </c>
      <c r="HR111">
        <v>1.86005</v>
      </c>
      <c r="HS111">
        <v>1.86324</v>
      </c>
      <c r="HT111">
        <v>1.8660000000000001</v>
      </c>
      <c r="HU111">
        <v>5</v>
      </c>
      <c r="HV111">
        <v>0</v>
      </c>
      <c r="HW111">
        <v>0</v>
      </c>
      <c r="HX111">
        <v>0</v>
      </c>
      <c r="HY111" t="s">
        <v>420</v>
      </c>
      <c r="HZ111" t="s">
        <v>421</v>
      </c>
      <c r="IA111" t="s">
        <v>422</v>
      </c>
      <c r="IB111" t="s">
        <v>422</v>
      </c>
      <c r="IC111" t="s">
        <v>422</v>
      </c>
      <c r="ID111" t="s">
        <v>422</v>
      </c>
      <c r="IE111">
        <v>0</v>
      </c>
      <c r="IF111">
        <v>100</v>
      </c>
      <c r="IG111">
        <v>100</v>
      </c>
      <c r="IH111">
        <v>3.41</v>
      </c>
      <c r="II111">
        <v>0.12089999999999999</v>
      </c>
      <c r="IJ111">
        <v>1.900367993210943</v>
      </c>
      <c r="IK111">
        <v>3.5576830062418229E-3</v>
      </c>
      <c r="IL111">
        <v>-2.2646740813029151E-6</v>
      </c>
      <c r="IM111">
        <v>6.9609298295988525E-10</v>
      </c>
      <c r="IN111">
        <v>-0.13411625438670871</v>
      </c>
      <c r="IO111">
        <v>-9.4437069492282083E-4</v>
      </c>
      <c r="IP111">
        <v>5.2900373165634467E-4</v>
      </c>
      <c r="IQ111">
        <v>-3.977656803091445E-6</v>
      </c>
      <c r="IR111">
        <v>2</v>
      </c>
      <c r="IS111">
        <v>1759</v>
      </c>
      <c r="IT111">
        <v>2</v>
      </c>
      <c r="IU111">
        <v>42</v>
      </c>
      <c r="IV111">
        <v>0.8</v>
      </c>
      <c r="IW111">
        <v>0.7</v>
      </c>
      <c r="IX111">
        <v>1.57959</v>
      </c>
      <c r="IY111">
        <v>2.4328599999999998</v>
      </c>
      <c r="IZ111">
        <v>1.54297</v>
      </c>
      <c r="JA111">
        <v>2.3046899999999999</v>
      </c>
      <c r="JB111">
        <v>1.5466299999999999</v>
      </c>
      <c r="JC111">
        <v>2.3962400000000001</v>
      </c>
      <c r="JD111">
        <v>47.541699999999999</v>
      </c>
      <c r="JE111">
        <v>23.868600000000001</v>
      </c>
      <c r="JF111">
        <v>18</v>
      </c>
      <c r="JG111">
        <v>532.38300000000004</v>
      </c>
      <c r="JH111">
        <v>419.51400000000001</v>
      </c>
      <c r="JI111">
        <v>23.321999999999999</v>
      </c>
      <c r="JJ111">
        <v>39.006799999999998</v>
      </c>
      <c r="JK111">
        <v>30.0001</v>
      </c>
      <c r="JL111">
        <v>39.345700000000001</v>
      </c>
      <c r="JM111">
        <v>39.323099999999997</v>
      </c>
      <c r="JN111">
        <v>31.752300000000002</v>
      </c>
      <c r="JO111">
        <v>58.799399999999999</v>
      </c>
      <c r="JP111">
        <v>0</v>
      </c>
      <c r="JQ111">
        <v>23.298500000000001</v>
      </c>
      <c r="JR111">
        <v>700</v>
      </c>
      <c r="JS111">
        <v>20.1402</v>
      </c>
      <c r="JT111">
        <v>98.411600000000007</v>
      </c>
      <c r="JU111">
        <v>96.231300000000005</v>
      </c>
    </row>
    <row r="112" spans="1:281" x14ac:dyDescent="0.25">
      <c r="A112">
        <v>96</v>
      </c>
      <c r="B112">
        <v>1691183226.5</v>
      </c>
      <c r="C112">
        <v>22315</v>
      </c>
      <c r="D112" t="s">
        <v>904</v>
      </c>
      <c r="E112" t="s">
        <v>905</v>
      </c>
      <c r="F112" t="s">
        <v>413</v>
      </c>
      <c r="G112" t="s">
        <v>707</v>
      </c>
      <c r="H112" t="s">
        <v>636</v>
      </c>
      <c r="I112" t="s">
        <v>31</v>
      </c>
      <c r="J112">
        <v>1691183226.5</v>
      </c>
      <c r="K112">
        <f t="shared" si="92"/>
        <v>3.9117483840994324E-3</v>
      </c>
      <c r="L112">
        <f t="shared" si="93"/>
        <v>3.911748384099432</v>
      </c>
      <c r="M112">
        <f t="shared" si="94"/>
        <v>55.84080788492534</v>
      </c>
      <c r="N112">
        <f t="shared" si="95"/>
        <v>828.95500000000004</v>
      </c>
      <c r="O112">
        <f t="shared" si="96"/>
        <v>396.30107479956831</v>
      </c>
      <c r="P112">
        <f t="shared" si="97"/>
        <v>39.264944335425767</v>
      </c>
      <c r="Q112">
        <f t="shared" si="98"/>
        <v>82.131677154887001</v>
      </c>
      <c r="R112">
        <f t="shared" si="99"/>
        <v>0.22320129201160332</v>
      </c>
      <c r="S112">
        <f t="shared" si="100"/>
        <v>2.9107271296688602</v>
      </c>
      <c r="T112">
        <f t="shared" si="101"/>
        <v>0.2141099930388326</v>
      </c>
      <c r="U112">
        <f t="shared" si="102"/>
        <v>0.13460470650601145</v>
      </c>
      <c r="V112">
        <f t="shared" si="103"/>
        <v>344.37919998680348</v>
      </c>
      <c r="W112">
        <f t="shared" si="104"/>
        <v>30.84405161755938</v>
      </c>
      <c r="X112">
        <f t="shared" si="105"/>
        <v>30.007100000000001</v>
      </c>
      <c r="Y112">
        <f t="shared" si="106"/>
        <v>4.2621875700929595</v>
      </c>
      <c r="Z112">
        <f t="shared" si="107"/>
        <v>59.598159385559413</v>
      </c>
      <c r="AA112">
        <f t="shared" si="108"/>
        <v>2.51394040784648</v>
      </c>
      <c r="AB112">
        <f t="shared" si="109"/>
        <v>4.2181510868196472</v>
      </c>
      <c r="AC112">
        <f t="shared" si="110"/>
        <v>1.7482471622464795</v>
      </c>
      <c r="AD112">
        <f t="shared" si="111"/>
        <v>-172.50810373878497</v>
      </c>
      <c r="AE112">
        <f t="shared" si="112"/>
        <v>-28.356007967357925</v>
      </c>
      <c r="AF112">
        <f t="shared" si="113"/>
        <v>-2.1643361245645929</v>
      </c>
      <c r="AG112">
        <f t="shared" si="114"/>
        <v>141.35075215609598</v>
      </c>
      <c r="AH112">
        <v>0</v>
      </c>
      <c r="AI112">
        <v>0</v>
      </c>
      <c r="AJ112">
        <f t="shared" si="115"/>
        <v>1</v>
      </c>
      <c r="AK112">
        <f t="shared" si="116"/>
        <v>0</v>
      </c>
      <c r="AL112">
        <f t="shared" si="117"/>
        <v>51824.676959599405</v>
      </c>
      <c r="AM112" t="s">
        <v>414</v>
      </c>
      <c r="AN112">
        <v>10111.299999999999</v>
      </c>
      <c r="AO112">
        <v>608.58839999999998</v>
      </c>
      <c r="AP112">
        <v>2150.11</v>
      </c>
      <c r="AQ112">
        <f t="shared" si="118"/>
        <v>0.71695010952927984</v>
      </c>
      <c r="AR112">
        <v>-1.1786277417053079</v>
      </c>
      <c r="AS112" t="s">
        <v>906</v>
      </c>
      <c r="AT112">
        <v>8096.51</v>
      </c>
      <c r="AU112">
        <v>689.64139999999998</v>
      </c>
      <c r="AV112">
        <v>1115.507860004943</v>
      </c>
      <c r="AW112">
        <f t="shared" si="119"/>
        <v>0.38176912532293228</v>
      </c>
      <c r="AX112">
        <v>0.5</v>
      </c>
      <c r="AY112">
        <f t="shared" si="120"/>
        <v>1513.2044999934019</v>
      </c>
      <c r="AZ112">
        <f t="shared" si="121"/>
        <v>55.84080788492534</v>
      </c>
      <c r="BA112">
        <f t="shared" si="122"/>
        <v>288.84737919860305</v>
      </c>
      <c r="BB112">
        <f t="shared" si="123"/>
        <v>3.7681249049206021E-2</v>
      </c>
      <c r="BC112">
        <f t="shared" si="124"/>
        <v>0.92747185124313924</v>
      </c>
      <c r="BD112">
        <f t="shared" si="125"/>
        <v>482.0422737998374</v>
      </c>
      <c r="BE112" t="s">
        <v>907</v>
      </c>
      <c r="BF112">
        <v>535.85</v>
      </c>
      <c r="BG112">
        <f t="shared" si="126"/>
        <v>535.85</v>
      </c>
      <c r="BH112">
        <f t="shared" si="127"/>
        <v>0.5196358365438809</v>
      </c>
      <c r="BI112">
        <f t="shared" si="128"/>
        <v>0.73468590592614669</v>
      </c>
      <c r="BJ112">
        <f t="shared" si="129"/>
        <v>0.64091418978049197</v>
      </c>
      <c r="BK112">
        <f t="shared" si="130"/>
        <v>0.84010674989827849</v>
      </c>
      <c r="BL112">
        <f t="shared" si="131"/>
        <v>0.67115643400329716</v>
      </c>
      <c r="BM112">
        <f t="shared" si="132"/>
        <v>0.57084949176561284</v>
      </c>
      <c r="BN112">
        <f t="shared" si="133"/>
        <v>0.42915050823438716</v>
      </c>
      <c r="BO112">
        <v>7165</v>
      </c>
      <c r="BP112">
        <v>290.00000000000011</v>
      </c>
      <c r="BQ112">
        <v>967.33</v>
      </c>
      <c r="BR112">
        <v>275</v>
      </c>
      <c r="BS112">
        <v>8096.51</v>
      </c>
      <c r="BT112">
        <v>969.62</v>
      </c>
      <c r="BU112">
        <v>-2.29</v>
      </c>
      <c r="BV112">
        <v>300.00000000000011</v>
      </c>
      <c r="BW112">
        <v>19.2</v>
      </c>
      <c r="BX112">
        <v>1115.507860004943</v>
      </c>
      <c r="BY112">
        <v>4.1492828915260151</v>
      </c>
      <c r="BZ112">
        <v>-118.1208473028785</v>
      </c>
      <c r="CA112">
        <v>3.086973902674953</v>
      </c>
      <c r="CB112">
        <v>0.98123519917380753</v>
      </c>
      <c r="CC112">
        <v>-4.1717739710789804E-3</v>
      </c>
      <c r="CD112">
        <v>289.99999999999989</v>
      </c>
      <c r="CE112">
        <v>961.92</v>
      </c>
      <c r="CF112">
        <v>625</v>
      </c>
      <c r="CG112">
        <v>8091.58</v>
      </c>
      <c r="CH112">
        <v>969.53</v>
      </c>
      <c r="CI112">
        <v>-7.61</v>
      </c>
      <c r="CW112">
        <f t="shared" si="134"/>
        <v>1800.02</v>
      </c>
      <c r="CX112">
        <f t="shared" si="135"/>
        <v>1513.2044999934019</v>
      </c>
      <c r="CY112">
        <f t="shared" si="136"/>
        <v>0.84065982599826772</v>
      </c>
      <c r="CZ112">
        <f t="shared" si="137"/>
        <v>0.19131965199653531</v>
      </c>
      <c r="DA112">
        <v>6</v>
      </c>
      <c r="DB112">
        <v>0.5</v>
      </c>
      <c r="DC112" t="s">
        <v>417</v>
      </c>
      <c r="DD112">
        <v>2</v>
      </c>
      <c r="DE112">
        <v>1691183226.5</v>
      </c>
      <c r="DF112">
        <v>828.95500000000004</v>
      </c>
      <c r="DG112">
        <v>899.92499999999995</v>
      </c>
      <c r="DH112">
        <v>25.373200000000001</v>
      </c>
      <c r="DI112">
        <v>20.793700000000001</v>
      </c>
      <c r="DJ112">
        <v>825.33</v>
      </c>
      <c r="DK112">
        <v>25.261600000000001</v>
      </c>
      <c r="DL112">
        <v>499.50799999999998</v>
      </c>
      <c r="DM112">
        <v>98.980400000000003</v>
      </c>
      <c r="DN112">
        <v>9.8171400000000006E-2</v>
      </c>
      <c r="DO112">
        <v>29.8264</v>
      </c>
      <c r="DP112">
        <v>30.007100000000001</v>
      </c>
      <c r="DQ112">
        <v>999.9</v>
      </c>
      <c r="DR112">
        <v>0</v>
      </c>
      <c r="DS112">
        <v>0</v>
      </c>
      <c r="DT112">
        <v>9995</v>
      </c>
      <c r="DU112">
        <v>0</v>
      </c>
      <c r="DV112">
        <v>1309.42</v>
      </c>
      <c r="DW112">
        <v>-70.969399999999993</v>
      </c>
      <c r="DX112">
        <v>850.53599999999994</v>
      </c>
      <c r="DY112">
        <v>919.03499999999997</v>
      </c>
      <c r="DZ112">
        <v>4.5794499999999996</v>
      </c>
      <c r="EA112">
        <v>899.92499999999995</v>
      </c>
      <c r="EB112">
        <v>20.793700000000001</v>
      </c>
      <c r="EC112">
        <v>2.51145</v>
      </c>
      <c r="ED112">
        <v>2.0581700000000001</v>
      </c>
      <c r="EE112">
        <v>21.100899999999999</v>
      </c>
      <c r="EF112">
        <v>17.899100000000001</v>
      </c>
      <c r="EG112">
        <v>1800.02</v>
      </c>
      <c r="EH112">
        <v>0.97800299999999996</v>
      </c>
      <c r="EI112">
        <v>2.19974E-2</v>
      </c>
      <c r="EJ112">
        <v>0</v>
      </c>
      <c r="EK112">
        <v>689.63</v>
      </c>
      <c r="EL112">
        <v>0.10001</v>
      </c>
      <c r="EM112">
        <v>16988.8</v>
      </c>
      <c r="EN112">
        <v>16353.7</v>
      </c>
      <c r="EO112">
        <v>48.436999999999998</v>
      </c>
      <c r="EP112">
        <v>50.75</v>
      </c>
      <c r="EQ112">
        <v>50</v>
      </c>
      <c r="ER112">
        <v>49.25</v>
      </c>
      <c r="ES112">
        <v>49.811999999999998</v>
      </c>
      <c r="ET112">
        <v>1760.33</v>
      </c>
      <c r="EU112">
        <v>39.590000000000003</v>
      </c>
      <c r="EV112">
        <v>0</v>
      </c>
      <c r="EW112">
        <v>111.7999999523163</v>
      </c>
      <c r="EX112">
        <v>0</v>
      </c>
      <c r="EY112">
        <v>689.64139999999998</v>
      </c>
      <c r="EZ112">
        <v>-9.1434615202424165</v>
      </c>
      <c r="FA112">
        <v>-151.07693150718251</v>
      </c>
      <c r="FB112">
        <v>17064.452000000001</v>
      </c>
      <c r="FC112">
        <v>15</v>
      </c>
      <c r="FD112">
        <v>1691183194.5</v>
      </c>
      <c r="FE112" t="s">
        <v>908</v>
      </c>
      <c r="FF112">
        <v>1691183194.5</v>
      </c>
      <c r="FG112">
        <v>1691183185</v>
      </c>
      <c r="FH112">
        <v>106</v>
      </c>
      <c r="FI112">
        <v>-0.06</v>
      </c>
      <c r="FJ112">
        <v>-4.0000000000000001E-3</v>
      </c>
      <c r="FK112">
        <v>3.7120000000000002</v>
      </c>
      <c r="FL112">
        <v>2.5999999999999999E-2</v>
      </c>
      <c r="FM112">
        <v>900</v>
      </c>
      <c r="FN112">
        <v>20</v>
      </c>
      <c r="FO112">
        <v>0.1</v>
      </c>
      <c r="FP112">
        <v>0.05</v>
      </c>
      <c r="FQ112">
        <v>56.084156463409442</v>
      </c>
      <c r="FR112">
        <v>-0.43009869625320279</v>
      </c>
      <c r="FS112">
        <v>0.18556348900823039</v>
      </c>
      <c r="FT112">
        <v>1</v>
      </c>
      <c r="FU112">
        <v>0.23304216312813331</v>
      </c>
      <c r="FV112">
        <v>-4.1060774364686407E-2</v>
      </c>
      <c r="FW112">
        <v>3.0771253735762099E-3</v>
      </c>
      <c r="FX112">
        <v>1</v>
      </c>
      <c r="FY112">
        <v>2</v>
      </c>
      <c r="FZ112">
        <v>2</v>
      </c>
      <c r="GA112" t="s">
        <v>419</v>
      </c>
      <c r="GB112">
        <v>2.8828399999999998</v>
      </c>
      <c r="GC112">
        <v>2.8193199999999998</v>
      </c>
      <c r="GD112">
        <v>0.14514099999999999</v>
      </c>
      <c r="GE112">
        <v>0.15431800000000001</v>
      </c>
      <c r="GF112">
        <v>0.11851299999999999</v>
      </c>
      <c r="GG112">
        <v>0.10376100000000001</v>
      </c>
      <c r="GH112">
        <v>26214.799999999999</v>
      </c>
      <c r="GI112">
        <v>24195.9</v>
      </c>
      <c r="GJ112">
        <v>28233.599999999999</v>
      </c>
      <c r="GK112">
        <v>26875.5</v>
      </c>
      <c r="GL112">
        <v>35120.400000000001</v>
      </c>
      <c r="GM112">
        <v>33648.699999999997</v>
      </c>
      <c r="GN112">
        <v>41536.300000000003</v>
      </c>
      <c r="GO112">
        <v>38893.5</v>
      </c>
      <c r="GP112">
        <v>1.998</v>
      </c>
      <c r="GQ112">
        <v>1.6728000000000001</v>
      </c>
      <c r="GR112">
        <v>-3.7312499999999998E-2</v>
      </c>
      <c r="GS112">
        <v>0</v>
      </c>
      <c r="GT112">
        <v>30.614000000000001</v>
      </c>
      <c r="GU112">
        <v>999.9</v>
      </c>
      <c r="GV112">
        <v>45.6</v>
      </c>
      <c r="GW112">
        <v>44.1</v>
      </c>
      <c r="GX112">
        <v>42.386899999999997</v>
      </c>
      <c r="GY112">
        <v>62.581899999999997</v>
      </c>
      <c r="GZ112">
        <v>29.282900000000001</v>
      </c>
      <c r="HA112">
        <v>1</v>
      </c>
      <c r="HB112">
        <v>1.00098</v>
      </c>
      <c r="HC112">
        <v>5.6265900000000002</v>
      </c>
      <c r="HD112">
        <v>20.156300000000002</v>
      </c>
      <c r="HE112">
        <v>5.1975199999999999</v>
      </c>
      <c r="HF112">
        <v>11.997999999999999</v>
      </c>
      <c r="HG112">
        <v>4.9850000000000003</v>
      </c>
      <c r="HH112">
        <v>3.2886000000000002</v>
      </c>
      <c r="HI112">
        <v>9999</v>
      </c>
      <c r="HJ112">
        <v>9999</v>
      </c>
      <c r="HK112">
        <v>9999</v>
      </c>
      <c r="HL112">
        <v>999.9</v>
      </c>
      <c r="HM112">
        <v>1.8668800000000001</v>
      </c>
      <c r="HN112">
        <v>1.8669100000000001</v>
      </c>
      <c r="HO112">
        <v>1.8633999999999999</v>
      </c>
      <c r="HP112">
        <v>1.8646199999999999</v>
      </c>
      <c r="HQ112">
        <v>1.8641700000000001</v>
      </c>
      <c r="HR112">
        <v>1.86006</v>
      </c>
      <c r="HS112">
        <v>1.8632500000000001</v>
      </c>
      <c r="HT112">
        <v>1.8660000000000001</v>
      </c>
      <c r="HU112">
        <v>5</v>
      </c>
      <c r="HV112">
        <v>0</v>
      </c>
      <c r="HW112">
        <v>0</v>
      </c>
      <c r="HX112">
        <v>0</v>
      </c>
      <c r="HY112" t="s">
        <v>420</v>
      </c>
      <c r="HZ112" t="s">
        <v>421</v>
      </c>
      <c r="IA112" t="s">
        <v>422</v>
      </c>
      <c r="IB112" t="s">
        <v>422</v>
      </c>
      <c r="IC112" t="s">
        <v>422</v>
      </c>
      <c r="ID112" t="s">
        <v>422</v>
      </c>
      <c r="IE112">
        <v>0</v>
      </c>
      <c r="IF112">
        <v>100</v>
      </c>
      <c r="IG112">
        <v>100</v>
      </c>
      <c r="IH112">
        <v>3.625</v>
      </c>
      <c r="II112">
        <v>0.1116</v>
      </c>
      <c r="IJ112">
        <v>1.840406781639681</v>
      </c>
      <c r="IK112">
        <v>3.5576830062418229E-3</v>
      </c>
      <c r="IL112">
        <v>-2.2646740813029151E-6</v>
      </c>
      <c r="IM112">
        <v>6.9609298295988525E-10</v>
      </c>
      <c r="IN112">
        <v>-0.1379797049872111</v>
      </c>
      <c r="IO112">
        <v>-9.4437069492282083E-4</v>
      </c>
      <c r="IP112">
        <v>5.2900373165634467E-4</v>
      </c>
      <c r="IQ112">
        <v>-3.977656803091445E-6</v>
      </c>
      <c r="IR112">
        <v>2</v>
      </c>
      <c r="IS112">
        <v>1759</v>
      </c>
      <c r="IT112">
        <v>2</v>
      </c>
      <c r="IU112">
        <v>42</v>
      </c>
      <c r="IV112">
        <v>0.5</v>
      </c>
      <c r="IW112">
        <v>0.7</v>
      </c>
      <c r="IX112">
        <v>1.94824</v>
      </c>
      <c r="IY112">
        <v>2.4279799999999998</v>
      </c>
      <c r="IZ112">
        <v>1.54297</v>
      </c>
      <c r="JA112">
        <v>2.3034699999999999</v>
      </c>
      <c r="JB112">
        <v>1.5466299999999999</v>
      </c>
      <c r="JC112">
        <v>2.4060100000000002</v>
      </c>
      <c r="JD112">
        <v>47.571800000000003</v>
      </c>
      <c r="JE112">
        <v>23.877400000000002</v>
      </c>
      <c r="JF112">
        <v>18</v>
      </c>
      <c r="JG112">
        <v>531.01199999999994</v>
      </c>
      <c r="JH112">
        <v>420.90199999999999</v>
      </c>
      <c r="JI112">
        <v>23.386299999999999</v>
      </c>
      <c r="JJ112">
        <v>39.006799999999998</v>
      </c>
      <c r="JK112">
        <v>30.000299999999999</v>
      </c>
      <c r="JL112">
        <v>39.338099999999997</v>
      </c>
      <c r="JM112">
        <v>39.3155</v>
      </c>
      <c r="JN112">
        <v>39.142000000000003</v>
      </c>
      <c r="JO112">
        <v>57.124400000000001</v>
      </c>
      <c r="JP112">
        <v>0</v>
      </c>
      <c r="JQ112">
        <v>23.3871</v>
      </c>
      <c r="JR112">
        <v>900</v>
      </c>
      <c r="JS112">
        <v>20.957599999999999</v>
      </c>
      <c r="JT112">
        <v>98.415199999999999</v>
      </c>
      <c r="JU112">
        <v>96.232600000000005</v>
      </c>
    </row>
    <row r="113" spans="1:281" x14ac:dyDescent="0.25">
      <c r="A113">
        <v>97</v>
      </c>
      <c r="B113">
        <v>1691183396.0999999</v>
      </c>
      <c r="C113">
        <v>22484.599999904629</v>
      </c>
      <c r="D113" t="s">
        <v>909</v>
      </c>
      <c r="E113" t="s">
        <v>910</v>
      </c>
      <c r="F113" t="s">
        <v>413</v>
      </c>
      <c r="G113" t="s">
        <v>707</v>
      </c>
      <c r="H113" t="s">
        <v>636</v>
      </c>
      <c r="I113" t="s">
        <v>31</v>
      </c>
      <c r="J113">
        <v>1691183396.0999999</v>
      </c>
      <c r="K113">
        <f t="shared" ref="K113:K144" si="138">(L113)/1000</f>
        <v>2.3654560964958995E-3</v>
      </c>
      <c r="L113">
        <f t="shared" ref="L113:L128" si="139">1000*DL113*AJ113*(DH113-DI113)/(100*DA113*(1000-AJ113*DH113))</f>
        <v>2.3654560964958997</v>
      </c>
      <c r="M113">
        <f t="shared" ref="M113:M128" si="140">DL113*AJ113*(DG113-DF113*(1000-AJ113*DI113)/(1000-AJ113*DH113))/(100*DA113)</f>
        <v>52.773056960061034</v>
      </c>
      <c r="N113">
        <f t="shared" ref="N113:N144" si="141">DF113 - IF(AJ113&gt;1, M113*DA113*100/(AL113*DT113), 0)</f>
        <v>1133.51</v>
      </c>
      <c r="O113">
        <f t="shared" ref="O113:O144" si="142">((U113-K113/2)*N113-M113)/(U113+K113/2)</f>
        <v>459.99503553320903</v>
      </c>
      <c r="P113">
        <f t="shared" ref="P113:P144" si="143">O113*(DM113+DN113)/1000</f>
        <v>45.574579597285329</v>
      </c>
      <c r="Q113">
        <f t="shared" ref="Q113:Q128" si="144">(DF113 - IF(AJ113&gt;1, M113*DA113*100/(AL113*DT113), 0))*(DM113+DN113)/1000</f>
        <v>112.303911409473</v>
      </c>
      <c r="R113">
        <f t="shared" ref="R113:R144" si="145">2/((1/T113-1/S113)+SIGN(T113)*SQRT((1/T113-1/S113)*(1/T113-1/S113) + 4*DB113/((DB113+1)*(DB113+1))*(2*1/T113*1/S113-1/S113*1/S113)))</f>
        <v>0.13265542455939375</v>
      </c>
      <c r="S113">
        <f t="shared" ref="S113:S128" si="146">IF(LEFT(DC113,1)&lt;&gt;"0",IF(LEFT(DC113,1)="1",3,DD113),$D$5+$E$5*(DT113*DM113/($K$5*1000))+$F$5*(DT113*DM113/($K$5*1000))*MAX(MIN(DA113,$J$5),$I$5)*MAX(MIN(DA113,$J$5),$I$5)+$G$5*MAX(MIN(DA113,$J$5),$I$5)*(DT113*DM113/($K$5*1000))+$H$5*(DT113*DM113/($K$5*1000))*(DT113*DM113/($K$5*1000)))</f>
        <v>2.9102227385519903</v>
      </c>
      <c r="T113">
        <f t="shared" ref="T113:T128" si="147">K113*(1000-(1000*0.61365*EXP(17.502*X113/(240.97+X113))/(DM113+DN113)+DH113)/2)/(1000*0.61365*EXP(17.502*X113/(240.97+X113))/(DM113+DN113)-DH113)</f>
        <v>0.12938541970329753</v>
      </c>
      <c r="U113">
        <f t="shared" ref="U113:U128" si="148">1/((DB113+1)/(R113/1.6)+1/(S113/1.37)) + DB113/((DB113+1)/(R113/1.6) + DB113/(S113/1.37))</f>
        <v>8.1152970526619281E-2</v>
      </c>
      <c r="V113">
        <f t="shared" ref="V113:V128" si="149">(CW113*CZ113)</f>
        <v>344.37029998679981</v>
      </c>
      <c r="W113">
        <f t="shared" ref="W113:W144" si="150">(DO113+(V113+2*0.95*0.0000000567*(((DO113+$B$7)+273)^4-(DO113+273)^4)-44100*K113)/(1.84*29.3*S113+8*0.95*0.0000000567*(DO113+273)^3))</f>
        <v>31.15768095514224</v>
      </c>
      <c r="X113">
        <f t="shared" ref="X113:X144" si="151">($C$7*DP113+$D$7*DQ113+$E$7*W113)</f>
        <v>30.012699999999999</v>
      </c>
      <c r="Y113">
        <f t="shared" ref="Y113:Y144" si="152">0.61365*EXP(17.502*X113/(240.97+X113))</f>
        <v>4.2635586631457061</v>
      </c>
      <c r="Z113">
        <f t="shared" ref="Z113:Z144" si="153">(AA113/AB113*100)</f>
        <v>59.914605615617546</v>
      </c>
      <c r="AA113">
        <f t="shared" ref="AA113:AA128" si="154">DH113*(DM113+DN113)/1000</f>
        <v>2.5141785398532601</v>
      </c>
      <c r="AB113">
        <f t="shared" ref="AB113:AB128" si="155">0.61365*EXP(17.502*DO113/(240.97+DO113))</f>
        <v>4.1962698644517253</v>
      </c>
      <c r="AC113">
        <f t="shared" ref="AC113:AC128" si="156">(Y113-DH113*(DM113+DN113)/1000)</f>
        <v>1.749380123292446</v>
      </c>
      <c r="AD113">
        <f t="shared" ref="AD113:AD128" si="157">(-K113*44100)</f>
        <v>-104.31661385546917</v>
      </c>
      <c r="AE113">
        <f t="shared" ref="AE113:AE128" si="158">2*29.3*S113*0.92*(DO113-X113)</f>
        <v>-43.413103355301203</v>
      </c>
      <c r="AF113">
        <f t="shared" ref="AF113:AF128" si="159">2*0.95*0.0000000567*(((DO113+$B$7)+273)^4-(X113+273)^4)</f>
        <v>-3.3127860312829975</v>
      </c>
      <c r="AG113">
        <f t="shared" ref="AG113:AG144" si="160">V113+AF113+AD113+AE113</f>
        <v>193.32779674474642</v>
      </c>
      <c r="AH113">
        <v>0</v>
      </c>
      <c r="AI113">
        <v>0</v>
      </c>
      <c r="AJ113">
        <f t="shared" ref="AJ113:AJ128" si="161">IF(AH113*$H$13&gt;=AL113,1,(AL113/(AL113-AH113*$H$13)))</f>
        <v>1</v>
      </c>
      <c r="AK113">
        <f t="shared" ref="AK113:AK144" si="162">(AJ113-1)*100</f>
        <v>0</v>
      </c>
      <c r="AL113">
        <f t="shared" ref="AL113:AL128" si="163">MAX(0,($B$13+$C$13*DT113)/(1+$D$13*DT113)*DM113/(DO113+273)*$E$13)</f>
        <v>51825.72402661352</v>
      </c>
      <c r="AM113" t="s">
        <v>414</v>
      </c>
      <c r="AN113">
        <v>10111.299999999999</v>
      </c>
      <c r="AO113">
        <v>608.58839999999998</v>
      </c>
      <c r="AP113">
        <v>2150.11</v>
      </c>
      <c r="AQ113">
        <f t="shared" ref="AQ113:AQ144" si="164">1-AO113/AP113</f>
        <v>0.71695010952927984</v>
      </c>
      <c r="AR113">
        <v>-1.1786277417053079</v>
      </c>
      <c r="AS113" t="s">
        <v>911</v>
      </c>
      <c r="AT113">
        <v>8097.35</v>
      </c>
      <c r="AU113">
        <v>673.01499999999999</v>
      </c>
      <c r="AV113">
        <v>1066.076143843964</v>
      </c>
      <c r="AW113">
        <f t="shared" ref="AW113:AW144" si="165">1-AU113/AV113</f>
        <v>0.36869893967113698</v>
      </c>
      <c r="AX113">
        <v>0.5</v>
      </c>
      <c r="AY113">
        <f t="shared" ref="AY113:AY128" si="166">CX113</f>
        <v>1513.1627999933999</v>
      </c>
      <c r="AZ113">
        <f t="shared" ref="AZ113:AZ128" si="167">M113</f>
        <v>52.773056960061034</v>
      </c>
      <c r="BA113">
        <f t="shared" ref="BA113:BA128" si="168">AW113*AX113*AY113</f>
        <v>278.95075995368762</v>
      </c>
      <c r="BB113">
        <f t="shared" ref="BB113:BB128" si="169">(AZ113-AR113)/AY113</f>
        <v>3.5654910827837998E-2</v>
      </c>
      <c r="BC113">
        <f t="shared" ref="BC113:BC128" si="170">(AP113-AV113)/AV113</f>
        <v>1.0168446807629723</v>
      </c>
      <c r="BD113">
        <f t="shared" ref="BD113:BD128" si="171">AO113/(AQ113+AO113/AV113)</f>
        <v>472.57338077687041</v>
      </c>
      <c r="BE113" t="s">
        <v>912</v>
      </c>
      <c r="BF113">
        <v>532.25</v>
      </c>
      <c r="BG113">
        <f t="shared" ref="BG113:BG144" si="172">IF(BF113&lt;&gt;0, BF113, BD113)</f>
        <v>532.25</v>
      </c>
      <c r="BH113">
        <f t="shared" ref="BH113:BH144" si="173">1-BG113/AV113</f>
        <v>0.50073922667394144</v>
      </c>
      <c r="BI113">
        <f t="shared" ref="BI113:BI128" si="174">(AV113-AU113)/(AV113-BG113)</f>
        <v>0.73630928042155752</v>
      </c>
      <c r="BJ113">
        <f t="shared" ref="BJ113:BJ128" si="175">(AP113-AV113)/(AP113-BG113)</f>
        <v>0.6700418183007405</v>
      </c>
      <c r="BK113">
        <f t="shared" ref="BK113:BK128" si="176">(AV113-AU113)/(AV113-AO113)</f>
        <v>0.8591730579301069</v>
      </c>
      <c r="BL113">
        <f t="shared" ref="BL113:BL128" si="177">(AP113-AV113)/(AP113-AO113)</f>
        <v>0.70322326729384532</v>
      </c>
      <c r="BM113">
        <f t="shared" ref="BM113:BM128" si="178">(BI113*BG113/AU113)</f>
        <v>0.58230591369341544</v>
      </c>
      <c r="BN113">
        <f t="shared" ref="BN113:BN144" si="179">(1-BM113)</f>
        <v>0.41769408630658456</v>
      </c>
      <c r="BO113">
        <v>7167</v>
      </c>
      <c r="BP113">
        <v>290.00000000000011</v>
      </c>
      <c r="BQ113">
        <v>934.51</v>
      </c>
      <c r="BR113">
        <v>295</v>
      </c>
      <c r="BS113">
        <v>8097.35</v>
      </c>
      <c r="BT113">
        <v>936.37</v>
      </c>
      <c r="BU113">
        <v>-1.86</v>
      </c>
      <c r="BV113">
        <v>300.00000000000011</v>
      </c>
      <c r="BW113">
        <v>19.2</v>
      </c>
      <c r="BX113">
        <v>1066.076143843964</v>
      </c>
      <c r="BY113">
        <v>3.8069131709958479</v>
      </c>
      <c r="BZ113">
        <v>-105.03078600703449</v>
      </c>
      <c r="CA113">
        <v>2.83269266783214</v>
      </c>
      <c r="CB113">
        <v>0.9800396855252731</v>
      </c>
      <c r="CC113">
        <v>-4.1722809788654119E-3</v>
      </c>
      <c r="CD113">
        <v>289.99999999999989</v>
      </c>
      <c r="CE113">
        <v>929.55</v>
      </c>
      <c r="CF113">
        <v>655</v>
      </c>
      <c r="CG113">
        <v>8092.19</v>
      </c>
      <c r="CH113">
        <v>936.28</v>
      </c>
      <c r="CI113">
        <v>-6.73</v>
      </c>
      <c r="CW113">
        <f t="shared" ref="CW113:CW128" si="180">$B$11*DU113+$C$11*DV113+$F$11*EG113*(1-EJ113)</f>
        <v>1799.97</v>
      </c>
      <c r="CX113">
        <f t="shared" ref="CX113:CX144" si="181">CW113*CY113</f>
        <v>1513.1627999933999</v>
      </c>
      <c r="CY113">
        <f t="shared" ref="CY113:CY128" si="182">($B$11*$D$9+$C$11*$D$9+$F$11*((ET113+EL113)/MAX(ET113+EL113+EU113, 0.1)*$I$9+EU113/MAX(ET113+EL113+EU113, 0.1)*$J$9))/($B$11+$C$11+$F$11)</f>
        <v>0.84066001099651655</v>
      </c>
      <c r="CZ113">
        <f t="shared" ref="CZ113:CZ128" si="183">($B$11*$K$9+$C$11*$K$9+$F$11*((ET113+EL113)/MAX(ET113+EL113+EU113, 0.1)*$P$9+EU113/MAX(ET113+EL113+EU113, 0.1)*$Q$9))/($B$11+$C$11+$F$11)</f>
        <v>0.19132002199303311</v>
      </c>
      <c r="DA113">
        <v>6</v>
      </c>
      <c r="DB113">
        <v>0.5</v>
      </c>
      <c r="DC113" t="s">
        <v>417</v>
      </c>
      <c r="DD113">
        <v>2</v>
      </c>
      <c r="DE113">
        <v>1691183396.0999999</v>
      </c>
      <c r="DF113">
        <v>1133.51</v>
      </c>
      <c r="DG113">
        <v>1200.05</v>
      </c>
      <c r="DH113">
        <v>25.376200000000001</v>
      </c>
      <c r="DI113">
        <v>22.6099</v>
      </c>
      <c r="DJ113">
        <v>1129.43</v>
      </c>
      <c r="DK113">
        <v>25.2667</v>
      </c>
      <c r="DL113">
        <v>500.03899999999999</v>
      </c>
      <c r="DM113">
        <v>98.976600000000005</v>
      </c>
      <c r="DN113">
        <v>9.9642300000000003E-2</v>
      </c>
      <c r="DO113">
        <v>29.736000000000001</v>
      </c>
      <c r="DP113">
        <v>30.012699999999999</v>
      </c>
      <c r="DQ113">
        <v>999.9</v>
      </c>
      <c r="DR113">
        <v>0</v>
      </c>
      <c r="DS113">
        <v>0</v>
      </c>
      <c r="DT113">
        <v>9992.5</v>
      </c>
      <c r="DU113">
        <v>0</v>
      </c>
      <c r="DV113">
        <v>1298.8499999999999</v>
      </c>
      <c r="DW113">
        <v>-66.541600000000003</v>
      </c>
      <c r="DX113">
        <v>1163.02</v>
      </c>
      <c r="DY113">
        <v>1227.81</v>
      </c>
      <c r="DZ113">
        <v>2.7662599999999999</v>
      </c>
      <c r="EA113">
        <v>1200.05</v>
      </c>
      <c r="EB113">
        <v>22.6099</v>
      </c>
      <c r="EC113">
        <v>2.5116499999999999</v>
      </c>
      <c r="ED113">
        <v>2.2378499999999999</v>
      </c>
      <c r="EE113">
        <v>21.1022</v>
      </c>
      <c r="EF113">
        <v>19.235900000000001</v>
      </c>
      <c r="EG113">
        <v>1799.97</v>
      </c>
      <c r="EH113">
        <v>0.97799899999999995</v>
      </c>
      <c r="EI113">
        <v>2.2001E-2</v>
      </c>
      <c r="EJ113">
        <v>0</v>
      </c>
      <c r="EK113">
        <v>673.18</v>
      </c>
      <c r="EL113">
        <v>0.10001</v>
      </c>
      <c r="EM113">
        <v>16670.099999999999</v>
      </c>
      <c r="EN113">
        <v>16353.2</v>
      </c>
      <c r="EO113">
        <v>48.186999999999998</v>
      </c>
      <c r="EP113">
        <v>50.436999999999998</v>
      </c>
      <c r="EQ113">
        <v>49.75</v>
      </c>
      <c r="ER113">
        <v>48.936999999999998</v>
      </c>
      <c r="ES113">
        <v>49.561999999999998</v>
      </c>
      <c r="ET113">
        <v>1760.27</v>
      </c>
      <c r="EU113">
        <v>39.6</v>
      </c>
      <c r="EV113">
        <v>0</v>
      </c>
      <c r="EW113">
        <v>167.5999999046326</v>
      </c>
      <c r="EX113">
        <v>0</v>
      </c>
      <c r="EY113">
        <v>673.01499999999999</v>
      </c>
      <c r="EZ113">
        <v>-9.8788461786719051</v>
      </c>
      <c r="FA113">
        <v>-210.70769167716031</v>
      </c>
      <c r="FB113">
        <v>16700.563999999998</v>
      </c>
      <c r="FC113">
        <v>15</v>
      </c>
      <c r="FD113">
        <v>1691183328.0999999</v>
      </c>
      <c r="FE113" t="s">
        <v>913</v>
      </c>
      <c r="FF113">
        <v>1691183322.0999999</v>
      </c>
      <c r="FG113">
        <v>1691183328.0999999</v>
      </c>
      <c r="FH113">
        <v>107</v>
      </c>
      <c r="FI113">
        <v>0.106</v>
      </c>
      <c r="FJ113">
        <v>-2E-3</v>
      </c>
      <c r="FK113">
        <v>4.1500000000000004</v>
      </c>
      <c r="FL113">
        <v>4.5999999999999999E-2</v>
      </c>
      <c r="FM113">
        <v>1200</v>
      </c>
      <c r="FN113">
        <v>22</v>
      </c>
      <c r="FO113">
        <v>0.2</v>
      </c>
      <c r="FP113">
        <v>7.0000000000000007E-2</v>
      </c>
      <c r="FQ113">
        <v>52.968414409200932</v>
      </c>
      <c r="FR113">
        <v>-0.47956122508373572</v>
      </c>
      <c r="FS113">
        <v>0.14428878037867229</v>
      </c>
      <c r="FT113">
        <v>1</v>
      </c>
      <c r="FU113">
        <v>0.13442169026134351</v>
      </c>
      <c r="FV113">
        <v>-4.0940033881699443E-2</v>
      </c>
      <c r="FW113">
        <v>3.7372169454474328E-3</v>
      </c>
      <c r="FX113">
        <v>1</v>
      </c>
      <c r="FY113">
        <v>2</v>
      </c>
      <c r="FZ113">
        <v>2</v>
      </c>
      <c r="GA113" t="s">
        <v>419</v>
      </c>
      <c r="GB113">
        <v>2.8843800000000002</v>
      </c>
      <c r="GC113">
        <v>2.82077</v>
      </c>
      <c r="GD113">
        <v>0.177727</v>
      </c>
      <c r="GE113">
        <v>0.18537899999999999</v>
      </c>
      <c r="GF113">
        <v>0.118547</v>
      </c>
      <c r="GG113">
        <v>0.11002099999999999</v>
      </c>
      <c r="GH113">
        <v>25215.3</v>
      </c>
      <c r="GI113">
        <v>23307.200000000001</v>
      </c>
      <c r="GJ113">
        <v>28236</v>
      </c>
      <c r="GK113">
        <v>26878.1</v>
      </c>
      <c r="GL113">
        <v>35122</v>
      </c>
      <c r="GM113">
        <v>33416.699999999997</v>
      </c>
      <c r="GN113">
        <v>41539.699999999997</v>
      </c>
      <c r="GO113">
        <v>38895.800000000003</v>
      </c>
      <c r="GP113">
        <v>1.9986999999999999</v>
      </c>
      <c r="GQ113">
        <v>1.6775</v>
      </c>
      <c r="GR113">
        <v>-2.7328700000000001E-2</v>
      </c>
      <c r="GS113">
        <v>0</v>
      </c>
      <c r="GT113">
        <v>30.4573</v>
      </c>
      <c r="GU113">
        <v>999.9</v>
      </c>
      <c r="GV113">
        <v>45.5</v>
      </c>
      <c r="GW113">
        <v>44.1</v>
      </c>
      <c r="GX113">
        <v>42.2943</v>
      </c>
      <c r="GY113">
        <v>62.613799999999998</v>
      </c>
      <c r="GZ113">
        <v>29.4191</v>
      </c>
      <c r="HA113">
        <v>1</v>
      </c>
      <c r="HB113">
        <v>0.99179899999999999</v>
      </c>
      <c r="HC113">
        <v>5.5956400000000004</v>
      </c>
      <c r="HD113">
        <v>20.158799999999999</v>
      </c>
      <c r="HE113">
        <v>5.2112999999999996</v>
      </c>
      <c r="HF113">
        <v>11.997999999999999</v>
      </c>
      <c r="HG113">
        <v>4.9888000000000003</v>
      </c>
      <c r="HH113">
        <v>3.2909999999999999</v>
      </c>
      <c r="HI113">
        <v>9999</v>
      </c>
      <c r="HJ113">
        <v>9999</v>
      </c>
      <c r="HK113">
        <v>9999</v>
      </c>
      <c r="HL113">
        <v>999.9</v>
      </c>
      <c r="HM113">
        <v>1.8668899999999999</v>
      </c>
      <c r="HN113">
        <v>1.8669100000000001</v>
      </c>
      <c r="HO113">
        <v>1.8634200000000001</v>
      </c>
      <c r="HP113">
        <v>1.8646199999999999</v>
      </c>
      <c r="HQ113">
        <v>1.8641799999999999</v>
      </c>
      <c r="HR113">
        <v>1.86006</v>
      </c>
      <c r="HS113">
        <v>1.8632500000000001</v>
      </c>
      <c r="HT113">
        <v>1.8660000000000001</v>
      </c>
      <c r="HU113">
        <v>5</v>
      </c>
      <c r="HV113">
        <v>0</v>
      </c>
      <c r="HW113">
        <v>0</v>
      </c>
      <c r="HX113">
        <v>0</v>
      </c>
      <c r="HY113" t="s">
        <v>420</v>
      </c>
      <c r="HZ113" t="s">
        <v>421</v>
      </c>
      <c r="IA113" t="s">
        <v>422</v>
      </c>
      <c r="IB113" t="s">
        <v>422</v>
      </c>
      <c r="IC113" t="s">
        <v>422</v>
      </c>
      <c r="ID113" t="s">
        <v>422</v>
      </c>
      <c r="IE113">
        <v>0</v>
      </c>
      <c r="IF113">
        <v>100</v>
      </c>
      <c r="IG113">
        <v>100</v>
      </c>
      <c r="IH113">
        <v>4.08</v>
      </c>
      <c r="II113">
        <v>0.1095</v>
      </c>
      <c r="IJ113">
        <v>1.9436751953808</v>
      </c>
      <c r="IK113">
        <v>3.5576830062418229E-3</v>
      </c>
      <c r="IL113">
        <v>-2.2646740813029151E-6</v>
      </c>
      <c r="IM113">
        <v>6.9609298295988525E-10</v>
      </c>
      <c r="IN113">
        <v>-0.14018863214934699</v>
      </c>
      <c r="IO113">
        <v>-9.4437069492282083E-4</v>
      </c>
      <c r="IP113">
        <v>5.2900373165634467E-4</v>
      </c>
      <c r="IQ113">
        <v>-3.977656803091445E-6</v>
      </c>
      <c r="IR113">
        <v>2</v>
      </c>
      <c r="IS113">
        <v>1759</v>
      </c>
      <c r="IT113">
        <v>2</v>
      </c>
      <c r="IU113">
        <v>42</v>
      </c>
      <c r="IV113">
        <v>1.2</v>
      </c>
      <c r="IW113">
        <v>1.1000000000000001</v>
      </c>
      <c r="IX113">
        <v>2.47803</v>
      </c>
      <c r="IY113">
        <v>2.4291999999999998</v>
      </c>
      <c r="IZ113">
        <v>1.54297</v>
      </c>
      <c r="JA113">
        <v>2.3034699999999999</v>
      </c>
      <c r="JB113">
        <v>1.5466299999999999</v>
      </c>
      <c r="JC113">
        <v>2.34253</v>
      </c>
      <c r="JD113">
        <v>47.541699999999999</v>
      </c>
      <c r="JE113">
        <v>23.886099999999999</v>
      </c>
      <c r="JF113">
        <v>18</v>
      </c>
      <c r="JG113">
        <v>530.85799999999995</v>
      </c>
      <c r="JH113">
        <v>423.47899999999998</v>
      </c>
      <c r="JI113">
        <v>23.444400000000002</v>
      </c>
      <c r="JJ113">
        <v>38.904800000000002</v>
      </c>
      <c r="JK113">
        <v>30.000599999999999</v>
      </c>
      <c r="JL113">
        <v>39.258400000000002</v>
      </c>
      <c r="JM113">
        <v>39.2361</v>
      </c>
      <c r="JN113">
        <v>49.760300000000001</v>
      </c>
      <c r="JO113">
        <v>53.472799999999999</v>
      </c>
      <c r="JP113">
        <v>0</v>
      </c>
      <c r="JQ113">
        <v>23.4254</v>
      </c>
      <c r="JR113">
        <v>1200</v>
      </c>
      <c r="JS113">
        <v>22.555399999999999</v>
      </c>
      <c r="JT113">
        <v>98.423400000000001</v>
      </c>
      <c r="JU113">
        <v>96.239699999999999</v>
      </c>
    </row>
    <row r="114" spans="1:281" x14ac:dyDescent="0.25">
      <c r="A114">
        <v>98</v>
      </c>
      <c r="B114">
        <v>1691183583.5999999</v>
      </c>
      <c r="C114">
        <v>22672.099999904629</v>
      </c>
      <c r="D114" t="s">
        <v>914</v>
      </c>
      <c r="E114" t="s">
        <v>915</v>
      </c>
      <c r="F114" t="s">
        <v>413</v>
      </c>
      <c r="G114" t="s">
        <v>707</v>
      </c>
      <c r="H114" t="s">
        <v>636</v>
      </c>
      <c r="I114" t="s">
        <v>31</v>
      </c>
      <c r="J114">
        <v>1691183583.5999999</v>
      </c>
      <c r="K114">
        <f t="shared" si="138"/>
        <v>1.5709769931730891E-3</v>
      </c>
      <c r="L114">
        <f t="shared" si="139"/>
        <v>1.570976993173089</v>
      </c>
      <c r="M114">
        <f t="shared" si="140"/>
        <v>51.483466372849001</v>
      </c>
      <c r="N114">
        <f t="shared" si="141"/>
        <v>1435.35</v>
      </c>
      <c r="O114">
        <f t="shared" si="142"/>
        <v>449.69294212969709</v>
      </c>
      <c r="P114">
        <f t="shared" si="143"/>
        <v>44.55443641981703</v>
      </c>
      <c r="Q114">
        <f t="shared" si="144"/>
        <v>142.21083838300501</v>
      </c>
      <c r="R114">
        <f t="shared" si="145"/>
        <v>8.719890317307917E-2</v>
      </c>
      <c r="S114">
        <f t="shared" si="146"/>
        <v>2.9124278298187929</v>
      </c>
      <c r="T114">
        <f t="shared" si="147"/>
        <v>8.577405498510049E-2</v>
      </c>
      <c r="U114">
        <f t="shared" si="148"/>
        <v>5.3734861934537873E-2</v>
      </c>
      <c r="V114">
        <f t="shared" si="149"/>
        <v>344.36459998679953</v>
      </c>
      <c r="W114">
        <f t="shared" si="150"/>
        <v>31.332235735884002</v>
      </c>
      <c r="X114">
        <f t="shared" si="151"/>
        <v>30.024000000000001</v>
      </c>
      <c r="Y114">
        <f t="shared" si="152"/>
        <v>4.2663265034763915</v>
      </c>
      <c r="Z114">
        <f t="shared" si="153"/>
        <v>60.014939531676518</v>
      </c>
      <c r="AA114">
        <f t="shared" si="154"/>
        <v>2.5137835164731701</v>
      </c>
      <c r="AB114">
        <f t="shared" si="155"/>
        <v>4.1885962663452636</v>
      </c>
      <c r="AC114">
        <f t="shared" si="156"/>
        <v>1.7525429870032214</v>
      </c>
      <c r="AD114">
        <f t="shared" si="157"/>
        <v>-69.280085398933224</v>
      </c>
      <c r="AE114">
        <f t="shared" si="158"/>
        <v>-50.213335969748933</v>
      </c>
      <c r="AF114">
        <f t="shared" si="159"/>
        <v>-3.8284116001993955</v>
      </c>
      <c r="AG114">
        <f t="shared" si="160"/>
        <v>221.04276701791798</v>
      </c>
      <c r="AH114">
        <v>0</v>
      </c>
      <c r="AI114">
        <v>0</v>
      </c>
      <c r="AJ114">
        <f t="shared" si="161"/>
        <v>1</v>
      </c>
      <c r="AK114">
        <f t="shared" si="162"/>
        <v>0</v>
      </c>
      <c r="AL114">
        <f t="shared" si="163"/>
        <v>51893.933073388813</v>
      </c>
      <c r="AM114" t="s">
        <v>414</v>
      </c>
      <c r="AN114">
        <v>10111.299999999999</v>
      </c>
      <c r="AO114">
        <v>608.58839999999998</v>
      </c>
      <c r="AP114">
        <v>2150.11</v>
      </c>
      <c r="AQ114">
        <f t="shared" si="164"/>
        <v>0.71695010952927984</v>
      </c>
      <c r="AR114">
        <v>-1.1786277417053079</v>
      </c>
      <c r="AS114" t="s">
        <v>916</v>
      </c>
      <c r="AT114">
        <v>8097.67</v>
      </c>
      <c r="AU114">
        <v>664.83673076923071</v>
      </c>
      <c r="AV114">
        <v>1039.3458404837911</v>
      </c>
      <c r="AW114">
        <f t="shared" si="165"/>
        <v>0.36033156157168555</v>
      </c>
      <c r="AX114">
        <v>0.5</v>
      </c>
      <c r="AY114">
        <f t="shared" si="166"/>
        <v>1513.1375999933998</v>
      </c>
      <c r="AZ114">
        <f t="shared" si="167"/>
        <v>51.483466372849001</v>
      </c>
      <c r="BA114">
        <f t="shared" si="168"/>
        <v>272.61561713922714</v>
      </c>
      <c r="BB114">
        <f t="shared" si="169"/>
        <v>3.4803242028209475E-2</v>
      </c>
      <c r="BC114">
        <f t="shared" si="170"/>
        <v>1.068714682111177</v>
      </c>
      <c r="BD114">
        <f t="shared" si="171"/>
        <v>467.24652528192621</v>
      </c>
      <c r="BE114" t="s">
        <v>917</v>
      </c>
      <c r="BF114">
        <v>529.33000000000004</v>
      </c>
      <c r="BG114">
        <f t="shared" si="172"/>
        <v>529.33000000000004</v>
      </c>
      <c r="BH114">
        <f t="shared" si="173"/>
        <v>0.49070850203854244</v>
      </c>
      <c r="BI114">
        <f t="shared" si="174"/>
        <v>0.73430878021221535</v>
      </c>
      <c r="BJ114">
        <f t="shared" si="175"/>
        <v>0.68532691637125887</v>
      </c>
      <c r="BK114">
        <f t="shared" si="176"/>
        <v>0.86941994384111565</v>
      </c>
      <c r="BL114">
        <f t="shared" si="177"/>
        <v>0.72056347411298616</v>
      </c>
      <c r="BM114">
        <f t="shared" si="178"/>
        <v>0.58464228680627672</v>
      </c>
      <c r="BN114">
        <f t="shared" si="179"/>
        <v>0.41535771319372328</v>
      </c>
      <c r="BO114">
        <v>7169</v>
      </c>
      <c r="BP114">
        <v>290.00000000000011</v>
      </c>
      <c r="BQ114">
        <v>917.47</v>
      </c>
      <c r="BR114">
        <v>275</v>
      </c>
      <c r="BS114">
        <v>8097.67</v>
      </c>
      <c r="BT114">
        <v>919.36</v>
      </c>
      <c r="BU114">
        <v>-1.89</v>
      </c>
      <c r="BV114">
        <v>300.00000000000011</v>
      </c>
      <c r="BW114">
        <v>19.2</v>
      </c>
      <c r="BX114">
        <v>1039.3458404837911</v>
      </c>
      <c r="BY114">
        <v>3.5032864880257408</v>
      </c>
      <c r="BZ114">
        <v>-97.163910254143872</v>
      </c>
      <c r="CA114">
        <v>2.6067540490753078</v>
      </c>
      <c r="CB114">
        <v>0.98024474235005832</v>
      </c>
      <c r="CC114">
        <v>-4.172228253615135E-3</v>
      </c>
      <c r="CD114">
        <v>289.99999999999989</v>
      </c>
      <c r="CE114">
        <v>915.31</v>
      </c>
      <c r="CF114">
        <v>625</v>
      </c>
      <c r="CG114">
        <v>8092.84</v>
      </c>
      <c r="CH114">
        <v>919.28</v>
      </c>
      <c r="CI114">
        <v>-3.97</v>
      </c>
      <c r="CW114">
        <f t="shared" si="180"/>
        <v>1799.94</v>
      </c>
      <c r="CX114">
        <f t="shared" si="181"/>
        <v>1513.1375999933998</v>
      </c>
      <c r="CY114">
        <f t="shared" si="182"/>
        <v>0.84066002199706646</v>
      </c>
      <c r="CZ114">
        <f t="shared" si="183"/>
        <v>0.19132004399413288</v>
      </c>
      <c r="DA114">
        <v>6</v>
      </c>
      <c r="DB114">
        <v>0.5</v>
      </c>
      <c r="DC114" t="s">
        <v>417</v>
      </c>
      <c r="DD114">
        <v>2</v>
      </c>
      <c r="DE114">
        <v>1691183583.5999999</v>
      </c>
      <c r="DF114">
        <v>1435.35</v>
      </c>
      <c r="DG114">
        <v>1499.81</v>
      </c>
      <c r="DH114">
        <v>25.3719</v>
      </c>
      <c r="DI114">
        <v>23.535299999999999</v>
      </c>
      <c r="DJ114">
        <v>1431.12</v>
      </c>
      <c r="DK114">
        <v>25.2653</v>
      </c>
      <c r="DL114">
        <v>500.202</v>
      </c>
      <c r="DM114">
        <v>98.977699999999999</v>
      </c>
      <c r="DN114">
        <v>9.97643E-2</v>
      </c>
      <c r="DO114">
        <v>29.7042</v>
      </c>
      <c r="DP114">
        <v>30.024000000000001</v>
      </c>
      <c r="DQ114">
        <v>999.9</v>
      </c>
      <c r="DR114">
        <v>0</v>
      </c>
      <c r="DS114">
        <v>0</v>
      </c>
      <c r="DT114">
        <v>10005</v>
      </c>
      <c r="DU114">
        <v>0</v>
      </c>
      <c r="DV114">
        <v>1257.79</v>
      </c>
      <c r="DW114">
        <v>-64.460400000000007</v>
      </c>
      <c r="DX114">
        <v>1472.72</v>
      </c>
      <c r="DY114">
        <v>1535.96</v>
      </c>
      <c r="DZ114">
        <v>1.8365400000000001</v>
      </c>
      <c r="EA114">
        <v>1499.81</v>
      </c>
      <c r="EB114">
        <v>23.535299999999999</v>
      </c>
      <c r="EC114">
        <v>2.51125</v>
      </c>
      <c r="ED114">
        <v>2.3294700000000002</v>
      </c>
      <c r="EE114">
        <v>21.099599999999999</v>
      </c>
      <c r="EF114">
        <v>19.881699999999999</v>
      </c>
      <c r="EG114">
        <v>1799.94</v>
      </c>
      <c r="EH114">
        <v>0.97799899999999995</v>
      </c>
      <c r="EI114">
        <v>2.2001E-2</v>
      </c>
      <c r="EJ114">
        <v>0</v>
      </c>
      <c r="EK114">
        <v>666.98500000000001</v>
      </c>
      <c r="EL114">
        <v>0.10001</v>
      </c>
      <c r="EM114">
        <v>16444.599999999999</v>
      </c>
      <c r="EN114">
        <v>16352.9</v>
      </c>
      <c r="EO114">
        <v>48.186999999999998</v>
      </c>
      <c r="EP114">
        <v>50.5</v>
      </c>
      <c r="EQ114">
        <v>49.686999999999998</v>
      </c>
      <c r="ER114">
        <v>49.061999999999998</v>
      </c>
      <c r="ES114">
        <v>49.561999999999998</v>
      </c>
      <c r="ET114">
        <v>1760.24</v>
      </c>
      <c r="EU114">
        <v>39.6</v>
      </c>
      <c r="EV114">
        <v>0</v>
      </c>
      <c r="EW114">
        <v>185.39999985694891</v>
      </c>
      <c r="EX114">
        <v>0</v>
      </c>
      <c r="EY114">
        <v>664.83673076923071</v>
      </c>
      <c r="EZ114">
        <v>2.3023932161549681</v>
      </c>
      <c r="FA114">
        <v>-91.777778013148662</v>
      </c>
      <c r="FB114">
        <v>16442.79615384615</v>
      </c>
      <c r="FC114">
        <v>15</v>
      </c>
      <c r="FD114">
        <v>1691183475.5999999</v>
      </c>
      <c r="FE114" t="s">
        <v>918</v>
      </c>
      <c r="FF114">
        <v>1691183475.5999999</v>
      </c>
      <c r="FG114">
        <v>1691183456.5999999</v>
      </c>
      <c r="FH114">
        <v>108</v>
      </c>
      <c r="FI114">
        <v>-0.20399999999999999</v>
      </c>
      <c r="FJ114">
        <v>-3.0000000000000001E-3</v>
      </c>
      <c r="FK114">
        <v>4.3250000000000002</v>
      </c>
      <c r="FL114">
        <v>5.8000000000000003E-2</v>
      </c>
      <c r="FM114">
        <v>1500</v>
      </c>
      <c r="FN114">
        <v>23</v>
      </c>
      <c r="FO114">
        <v>0.18</v>
      </c>
      <c r="FP114">
        <v>0.08</v>
      </c>
      <c r="FQ114">
        <v>51.302108547122167</v>
      </c>
      <c r="FR114">
        <v>0.64233934313372276</v>
      </c>
      <c r="FS114">
        <v>0.16373421667525609</v>
      </c>
      <c r="FT114">
        <v>1</v>
      </c>
      <c r="FU114">
        <v>9.1440371957073122E-2</v>
      </c>
      <c r="FV114">
        <v>-3.1746831323225387E-2</v>
      </c>
      <c r="FW114">
        <v>2.8333891844357288E-3</v>
      </c>
      <c r="FX114">
        <v>1</v>
      </c>
      <c r="FY114">
        <v>2</v>
      </c>
      <c r="FZ114">
        <v>2</v>
      </c>
      <c r="GA114" t="s">
        <v>419</v>
      </c>
      <c r="GB114">
        <v>2.8848199999999999</v>
      </c>
      <c r="GC114">
        <v>2.8210000000000002</v>
      </c>
      <c r="GD114">
        <v>0.205597</v>
      </c>
      <c r="GE114">
        <v>0.212337</v>
      </c>
      <c r="GF114">
        <v>0.118552</v>
      </c>
      <c r="GG114">
        <v>0.113133</v>
      </c>
      <c r="GH114">
        <v>24357.3</v>
      </c>
      <c r="GI114">
        <v>22533</v>
      </c>
      <c r="GJ114">
        <v>28235.9</v>
      </c>
      <c r="GK114">
        <v>26878.400000000001</v>
      </c>
      <c r="GL114">
        <v>35121.9</v>
      </c>
      <c r="GM114">
        <v>33300</v>
      </c>
      <c r="GN114">
        <v>41539.4</v>
      </c>
      <c r="GO114">
        <v>38895.1</v>
      </c>
      <c r="GP114">
        <v>1.9986999999999999</v>
      </c>
      <c r="GQ114">
        <v>1.6798999999999999</v>
      </c>
      <c r="GR114">
        <v>-3.1694800000000002E-2</v>
      </c>
      <c r="GS114">
        <v>0</v>
      </c>
      <c r="GT114">
        <v>30.5395</v>
      </c>
      <c r="GU114">
        <v>999.9</v>
      </c>
      <c r="GV114">
        <v>45.5</v>
      </c>
      <c r="GW114">
        <v>44.1</v>
      </c>
      <c r="GX114">
        <v>42.290199999999999</v>
      </c>
      <c r="GY114">
        <v>62.693899999999999</v>
      </c>
      <c r="GZ114">
        <v>28.9543</v>
      </c>
      <c r="HA114">
        <v>1</v>
      </c>
      <c r="HB114">
        <v>0.98875000000000002</v>
      </c>
      <c r="HC114">
        <v>5.8554000000000004</v>
      </c>
      <c r="HD114">
        <v>20.200399999999998</v>
      </c>
      <c r="HE114">
        <v>5.2100999999999997</v>
      </c>
      <c r="HF114">
        <v>11.997999999999999</v>
      </c>
      <c r="HG114">
        <v>4.9880000000000004</v>
      </c>
      <c r="HH114">
        <v>3.2909999999999999</v>
      </c>
      <c r="HI114">
        <v>9999</v>
      </c>
      <c r="HJ114">
        <v>9999</v>
      </c>
      <c r="HK114">
        <v>9999</v>
      </c>
      <c r="HL114">
        <v>999.9</v>
      </c>
      <c r="HM114">
        <v>1.8666100000000001</v>
      </c>
      <c r="HN114">
        <v>1.8666499999999999</v>
      </c>
      <c r="HO114">
        <v>1.8631800000000001</v>
      </c>
      <c r="HP114">
        <v>1.86435</v>
      </c>
      <c r="HQ114">
        <v>1.86398</v>
      </c>
      <c r="HR114">
        <v>1.85975</v>
      </c>
      <c r="HS114">
        <v>1.8629500000000001</v>
      </c>
      <c r="HT114">
        <v>1.8657600000000001</v>
      </c>
      <c r="HU114">
        <v>5</v>
      </c>
      <c r="HV114">
        <v>0</v>
      </c>
      <c r="HW114">
        <v>0</v>
      </c>
      <c r="HX114">
        <v>0</v>
      </c>
      <c r="HY114" t="s">
        <v>420</v>
      </c>
      <c r="HZ114" t="s">
        <v>421</v>
      </c>
      <c r="IA114" t="s">
        <v>422</v>
      </c>
      <c r="IB114" t="s">
        <v>422</v>
      </c>
      <c r="IC114" t="s">
        <v>422</v>
      </c>
      <c r="ID114" t="s">
        <v>422</v>
      </c>
      <c r="IE114">
        <v>0</v>
      </c>
      <c r="IF114">
        <v>100</v>
      </c>
      <c r="IG114">
        <v>100</v>
      </c>
      <c r="IH114">
        <v>4.2300000000000004</v>
      </c>
      <c r="II114">
        <v>0.1066</v>
      </c>
      <c r="IJ114">
        <v>1.7402471601842759</v>
      </c>
      <c r="IK114">
        <v>3.5576830062418229E-3</v>
      </c>
      <c r="IL114">
        <v>-2.2646740813029151E-6</v>
      </c>
      <c r="IM114">
        <v>6.9609298295988525E-10</v>
      </c>
      <c r="IN114">
        <v>-0.14315191076152581</v>
      </c>
      <c r="IO114">
        <v>-9.4437069492282083E-4</v>
      </c>
      <c r="IP114">
        <v>5.2900373165634467E-4</v>
      </c>
      <c r="IQ114">
        <v>-3.977656803091445E-6</v>
      </c>
      <c r="IR114">
        <v>2</v>
      </c>
      <c r="IS114">
        <v>1759</v>
      </c>
      <c r="IT114">
        <v>2</v>
      </c>
      <c r="IU114">
        <v>42</v>
      </c>
      <c r="IV114">
        <v>1.8</v>
      </c>
      <c r="IW114">
        <v>2.1</v>
      </c>
      <c r="IX114">
        <v>2.9809600000000001</v>
      </c>
      <c r="IY114">
        <v>2.4121100000000002</v>
      </c>
      <c r="IZ114">
        <v>1.54297</v>
      </c>
      <c r="JA114">
        <v>2.3010299999999999</v>
      </c>
      <c r="JB114">
        <v>1.5466299999999999</v>
      </c>
      <c r="JC114">
        <v>2.4230999999999998</v>
      </c>
      <c r="JD114">
        <v>47.541699999999999</v>
      </c>
      <c r="JE114">
        <v>15.0602</v>
      </c>
      <c r="JF114">
        <v>18</v>
      </c>
      <c r="JG114">
        <v>530.625</v>
      </c>
      <c r="JH114">
        <v>424.86799999999999</v>
      </c>
      <c r="JI114">
        <v>23.301100000000002</v>
      </c>
      <c r="JJ114">
        <v>38.886000000000003</v>
      </c>
      <c r="JK114">
        <v>30.0002</v>
      </c>
      <c r="JL114">
        <v>39.228099999999998</v>
      </c>
      <c r="JM114">
        <v>39.207000000000001</v>
      </c>
      <c r="JN114">
        <v>59.836100000000002</v>
      </c>
      <c r="JO114">
        <v>51.530700000000003</v>
      </c>
      <c r="JP114">
        <v>0</v>
      </c>
      <c r="JQ114">
        <v>23.277100000000001</v>
      </c>
      <c r="JR114">
        <v>1500</v>
      </c>
      <c r="JS114">
        <v>23.471499999999999</v>
      </c>
      <c r="JT114">
        <v>98.422899999999998</v>
      </c>
      <c r="JU114">
        <v>96.239099999999993</v>
      </c>
    </row>
    <row r="115" spans="1:281" x14ac:dyDescent="0.25">
      <c r="A115">
        <v>99</v>
      </c>
      <c r="B115">
        <v>1691185015.0999999</v>
      </c>
      <c r="C115">
        <v>24103.599999904629</v>
      </c>
      <c r="D115" t="s">
        <v>919</v>
      </c>
      <c r="E115" t="s">
        <v>920</v>
      </c>
      <c r="F115" t="s">
        <v>413</v>
      </c>
      <c r="G115" t="s">
        <v>707</v>
      </c>
      <c r="H115" t="s">
        <v>491</v>
      </c>
      <c r="I115" t="s">
        <v>490</v>
      </c>
      <c r="J115">
        <v>1691185015.0999999</v>
      </c>
      <c r="K115">
        <f t="shared" si="138"/>
        <v>4.6825099835602355E-3</v>
      </c>
      <c r="L115">
        <f t="shared" si="139"/>
        <v>4.6825099835602355</v>
      </c>
      <c r="M115">
        <f t="shared" si="140"/>
        <v>40.196016361987191</v>
      </c>
      <c r="N115">
        <f t="shared" si="141"/>
        <v>349.79300000000001</v>
      </c>
      <c r="O115">
        <f t="shared" si="142"/>
        <v>108.08123052471129</v>
      </c>
      <c r="P115">
        <f t="shared" si="143"/>
        <v>10.705416701540411</v>
      </c>
      <c r="Q115">
        <f t="shared" si="144"/>
        <v>34.646902205890001</v>
      </c>
      <c r="R115">
        <f t="shared" si="145"/>
        <v>0.28588149486025799</v>
      </c>
      <c r="S115">
        <f t="shared" si="146"/>
        <v>2.912368202463695</v>
      </c>
      <c r="T115">
        <f t="shared" si="147"/>
        <v>0.27115608767527233</v>
      </c>
      <c r="U115">
        <f t="shared" si="148"/>
        <v>0.1707323428205248</v>
      </c>
      <c r="V115">
        <f t="shared" si="149"/>
        <v>344.3626999867995</v>
      </c>
      <c r="W115">
        <f t="shared" si="150"/>
        <v>31.064125825994168</v>
      </c>
      <c r="X115">
        <f t="shared" si="151"/>
        <v>29.9924</v>
      </c>
      <c r="Y115">
        <f t="shared" si="152"/>
        <v>4.2585902789191197</v>
      </c>
      <c r="Z115">
        <f t="shared" si="153"/>
        <v>60.333899577235449</v>
      </c>
      <c r="AA115">
        <f t="shared" si="154"/>
        <v>2.607414807439</v>
      </c>
      <c r="AB115">
        <f t="shared" si="155"/>
        <v>4.3216414415599989</v>
      </c>
      <c r="AC115">
        <f t="shared" si="156"/>
        <v>1.6511754714801197</v>
      </c>
      <c r="AD115">
        <f t="shared" si="157"/>
        <v>-206.4986902750064</v>
      </c>
      <c r="AE115">
        <f t="shared" si="158"/>
        <v>40.210669359446143</v>
      </c>
      <c r="AF115">
        <f t="shared" si="159"/>
        <v>3.0736330553169617</v>
      </c>
      <c r="AG115">
        <f t="shared" si="160"/>
        <v>181.14831212655622</v>
      </c>
      <c r="AH115">
        <v>0</v>
      </c>
      <c r="AI115">
        <v>0</v>
      </c>
      <c r="AJ115">
        <f t="shared" si="161"/>
        <v>1</v>
      </c>
      <c r="AK115">
        <f t="shared" si="162"/>
        <v>0</v>
      </c>
      <c r="AL115">
        <f t="shared" si="163"/>
        <v>51798.491558873757</v>
      </c>
      <c r="AM115" t="s">
        <v>414</v>
      </c>
      <c r="AN115">
        <v>10111.299999999999</v>
      </c>
      <c r="AO115">
        <v>608.58839999999998</v>
      </c>
      <c r="AP115">
        <v>2150.11</v>
      </c>
      <c r="AQ115">
        <f t="shared" si="164"/>
        <v>0.71695010952927984</v>
      </c>
      <c r="AR115">
        <v>-1.1786277417053079</v>
      </c>
      <c r="AS115" t="s">
        <v>921</v>
      </c>
      <c r="AT115">
        <v>8110.33</v>
      </c>
      <c r="AU115">
        <v>699.84139999999979</v>
      </c>
      <c r="AV115">
        <v>985.79630544254348</v>
      </c>
      <c r="AW115">
        <f t="shared" si="165"/>
        <v>0.29007504274848428</v>
      </c>
      <c r="AX115">
        <v>0.5</v>
      </c>
      <c r="AY115">
        <f t="shared" si="166"/>
        <v>1513.1291999933999</v>
      </c>
      <c r="AZ115">
        <f t="shared" si="167"/>
        <v>40.196016361987191</v>
      </c>
      <c r="BA115">
        <f t="shared" si="168"/>
        <v>219.46050868603265</v>
      </c>
      <c r="BB115">
        <f t="shared" si="169"/>
        <v>2.7343761592779365E-2</v>
      </c>
      <c r="BC115">
        <f t="shared" si="170"/>
        <v>1.181089529479189</v>
      </c>
      <c r="BD115">
        <f t="shared" si="171"/>
        <v>456.1081374227237</v>
      </c>
      <c r="BE115" t="s">
        <v>922</v>
      </c>
      <c r="BF115">
        <v>525.87</v>
      </c>
      <c r="BG115">
        <f t="shared" si="172"/>
        <v>525.87</v>
      </c>
      <c r="BH115">
        <f t="shared" si="173"/>
        <v>0.46655308292728226</v>
      </c>
      <c r="BI115">
        <f t="shared" si="174"/>
        <v>0.62174070510578083</v>
      </c>
      <c r="BJ115">
        <f t="shared" si="175"/>
        <v>0.71683599379245455</v>
      </c>
      <c r="BK115">
        <f t="shared" si="176"/>
        <v>0.75808301288664393</v>
      </c>
      <c r="BL115">
        <f t="shared" si="177"/>
        <v>0.75530157641479467</v>
      </c>
      <c r="BM115">
        <f t="shared" si="178"/>
        <v>0.46718411427785933</v>
      </c>
      <c r="BN115">
        <f t="shared" si="179"/>
        <v>0.53281588572214067</v>
      </c>
      <c r="BO115">
        <v>7171</v>
      </c>
      <c r="BP115">
        <v>290.00000000000011</v>
      </c>
      <c r="BQ115">
        <v>904.01</v>
      </c>
      <c r="BR115">
        <v>255</v>
      </c>
      <c r="BS115">
        <v>8110.33</v>
      </c>
      <c r="BT115">
        <v>905.47</v>
      </c>
      <c r="BU115">
        <v>-1.46</v>
      </c>
      <c r="BV115">
        <v>300.00000000000011</v>
      </c>
      <c r="BW115">
        <v>19.2</v>
      </c>
      <c r="BX115">
        <v>985.79630544254348</v>
      </c>
      <c r="BY115">
        <v>2.8642613565778499</v>
      </c>
      <c r="BZ115">
        <v>-65.146822476056457</v>
      </c>
      <c r="CA115">
        <v>2.1343759881566591</v>
      </c>
      <c r="CB115">
        <v>0.9708221632059163</v>
      </c>
      <c r="CC115">
        <v>-4.1787254727475021E-3</v>
      </c>
      <c r="CD115">
        <v>289.99999999999989</v>
      </c>
      <c r="CE115">
        <v>906.84</v>
      </c>
      <c r="CF115">
        <v>765</v>
      </c>
      <c r="CG115">
        <v>8101.94</v>
      </c>
      <c r="CH115">
        <v>905.39</v>
      </c>
      <c r="CI115">
        <v>1.45</v>
      </c>
      <c r="CW115">
        <f t="shared" si="180"/>
        <v>1799.93</v>
      </c>
      <c r="CX115">
        <f t="shared" si="181"/>
        <v>1513.1291999933999</v>
      </c>
      <c r="CY115">
        <f t="shared" si="182"/>
        <v>0.84066002566399789</v>
      </c>
      <c r="CZ115">
        <f t="shared" si="183"/>
        <v>0.19132005132799582</v>
      </c>
      <c r="DA115">
        <v>6</v>
      </c>
      <c r="DB115">
        <v>0.5</v>
      </c>
      <c r="DC115" t="s">
        <v>417</v>
      </c>
      <c r="DD115">
        <v>2</v>
      </c>
      <c r="DE115">
        <v>1691185015.0999999</v>
      </c>
      <c r="DF115">
        <v>349.79300000000001</v>
      </c>
      <c r="DG115">
        <v>399.99099999999999</v>
      </c>
      <c r="DH115">
        <v>26.324300000000001</v>
      </c>
      <c r="DI115">
        <v>20.8535</v>
      </c>
      <c r="DJ115">
        <v>347.37700000000001</v>
      </c>
      <c r="DK115">
        <v>26.194199999999999</v>
      </c>
      <c r="DL115">
        <v>500.02699999999999</v>
      </c>
      <c r="DM115">
        <v>98.949600000000004</v>
      </c>
      <c r="DN115">
        <v>0.10013</v>
      </c>
      <c r="DO115">
        <v>30.2485</v>
      </c>
      <c r="DP115">
        <v>29.9924</v>
      </c>
      <c r="DQ115">
        <v>999.9</v>
      </c>
      <c r="DR115">
        <v>0</v>
      </c>
      <c r="DS115">
        <v>0</v>
      </c>
      <c r="DT115">
        <v>10007.5</v>
      </c>
      <c r="DU115">
        <v>0</v>
      </c>
      <c r="DV115">
        <v>714.96</v>
      </c>
      <c r="DW115">
        <v>-50.198500000000003</v>
      </c>
      <c r="DX115">
        <v>359.25</v>
      </c>
      <c r="DY115">
        <v>408.51</v>
      </c>
      <c r="DZ115">
        <v>5.4708100000000002</v>
      </c>
      <c r="EA115">
        <v>399.99099999999999</v>
      </c>
      <c r="EB115">
        <v>20.8535</v>
      </c>
      <c r="EC115">
        <v>2.6047799999999999</v>
      </c>
      <c r="ED115">
        <v>2.06345</v>
      </c>
      <c r="EE115">
        <v>21.6965</v>
      </c>
      <c r="EF115">
        <v>17.939800000000002</v>
      </c>
      <c r="EG115">
        <v>1799.93</v>
      </c>
      <c r="EH115">
        <v>0.97799999999999998</v>
      </c>
      <c r="EI115">
        <v>2.1999600000000001E-2</v>
      </c>
      <c r="EJ115">
        <v>0</v>
      </c>
      <c r="EK115">
        <v>698.33500000000004</v>
      </c>
      <c r="EL115">
        <v>0.10001</v>
      </c>
      <c r="EM115">
        <v>17074.400000000001</v>
      </c>
      <c r="EN115">
        <v>16352.8</v>
      </c>
      <c r="EO115">
        <v>49.061999999999998</v>
      </c>
      <c r="EP115">
        <v>51.186999999999998</v>
      </c>
      <c r="EQ115">
        <v>50.625</v>
      </c>
      <c r="ER115">
        <v>49.811999999999998</v>
      </c>
      <c r="ES115">
        <v>50.436999999999998</v>
      </c>
      <c r="ET115">
        <v>1760.23</v>
      </c>
      <c r="EU115">
        <v>39.6</v>
      </c>
      <c r="EV115">
        <v>0</v>
      </c>
      <c r="EW115">
        <v>1429.2000000476839</v>
      </c>
      <c r="EX115">
        <v>0</v>
      </c>
      <c r="EY115">
        <v>699.84139999999979</v>
      </c>
      <c r="EZ115">
        <v>-9.9553845985544545</v>
      </c>
      <c r="FA115">
        <v>-269.12308046897391</v>
      </c>
      <c r="FB115">
        <v>17098.148000000001</v>
      </c>
      <c r="FC115">
        <v>15</v>
      </c>
      <c r="FD115">
        <v>1691184984.5999999</v>
      </c>
      <c r="FE115" t="s">
        <v>923</v>
      </c>
      <c r="FF115">
        <v>1691184979.0999999</v>
      </c>
      <c r="FG115">
        <v>1691184984.5999999</v>
      </c>
      <c r="FH115">
        <v>111</v>
      </c>
      <c r="FI115">
        <v>-0.105</v>
      </c>
      <c r="FJ115">
        <v>2E-3</v>
      </c>
      <c r="FK115">
        <v>2.524</v>
      </c>
      <c r="FL115">
        <v>3.4000000000000002E-2</v>
      </c>
      <c r="FM115">
        <v>400</v>
      </c>
      <c r="FN115">
        <v>21</v>
      </c>
      <c r="FO115">
        <v>0.13</v>
      </c>
      <c r="FP115">
        <v>0.02</v>
      </c>
      <c r="FQ115">
        <v>40.20081864499555</v>
      </c>
      <c r="FR115">
        <v>-0.16142896483063621</v>
      </c>
      <c r="FS115">
        <v>7.7098624345871641E-2</v>
      </c>
      <c r="FT115">
        <v>1</v>
      </c>
      <c r="FU115">
        <v>0.28935362950457499</v>
      </c>
      <c r="FV115">
        <v>-2.472334195239087E-2</v>
      </c>
      <c r="FW115">
        <v>2.3084873136821949E-3</v>
      </c>
      <c r="FX115">
        <v>1</v>
      </c>
      <c r="FY115">
        <v>2</v>
      </c>
      <c r="FZ115">
        <v>2</v>
      </c>
      <c r="GA115" t="s">
        <v>419</v>
      </c>
      <c r="GB115">
        <v>2.8830100000000001</v>
      </c>
      <c r="GC115">
        <v>2.8213900000000001</v>
      </c>
      <c r="GD115">
        <v>7.7284500000000006E-2</v>
      </c>
      <c r="GE115">
        <v>8.6771899999999999E-2</v>
      </c>
      <c r="GF115">
        <v>0.121318</v>
      </c>
      <c r="GG115">
        <v>0.103785</v>
      </c>
      <c r="GH115">
        <v>28263.1</v>
      </c>
      <c r="GI115">
        <v>26088.400000000001</v>
      </c>
      <c r="GJ115">
        <v>28202</v>
      </c>
      <c r="GK115">
        <v>26835</v>
      </c>
      <c r="GL115">
        <v>34970.5</v>
      </c>
      <c r="GM115">
        <v>33600.199999999997</v>
      </c>
      <c r="GN115">
        <v>41488.5</v>
      </c>
      <c r="GO115">
        <v>38838.199999999997</v>
      </c>
      <c r="GP115">
        <v>1.9942</v>
      </c>
      <c r="GQ115">
        <v>1.667</v>
      </c>
      <c r="GR115">
        <v>-5.1885800000000003E-2</v>
      </c>
      <c r="GS115">
        <v>0</v>
      </c>
      <c r="GT115">
        <v>30.836200000000002</v>
      </c>
      <c r="GU115">
        <v>999.9</v>
      </c>
      <c r="GV115">
        <v>45.3</v>
      </c>
      <c r="GW115">
        <v>43.8</v>
      </c>
      <c r="GX115">
        <v>41.471299999999999</v>
      </c>
      <c r="GY115">
        <v>62.714199999999998</v>
      </c>
      <c r="GZ115">
        <v>28.8261</v>
      </c>
      <c r="HA115">
        <v>1</v>
      </c>
      <c r="HB115">
        <v>1.05671</v>
      </c>
      <c r="HC115">
        <v>5.4048800000000004</v>
      </c>
      <c r="HD115">
        <v>20.162700000000001</v>
      </c>
      <c r="HE115">
        <v>5.2107000000000001</v>
      </c>
      <c r="HF115">
        <v>11.997999999999999</v>
      </c>
      <c r="HG115">
        <v>4.9893999999999998</v>
      </c>
      <c r="HH115">
        <v>3.2909999999999999</v>
      </c>
      <c r="HI115">
        <v>9999</v>
      </c>
      <c r="HJ115">
        <v>9999</v>
      </c>
      <c r="HK115">
        <v>9999</v>
      </c>
      <c r="HL115">
        <v>999.9</v>
      </c>
      <c r="HM115">
        <v>1.8666100000000001</v>
      </c>
      <c r="HN115">
        <v>1.8666400000000001</v>
      </c>
      <c r="HO115">
        <v>1.8631</v>
      </c>
      <c r="HP115">
        <v>1.8643400000000001</v>
      </c>
      <c r="HQ115">
        <v>1.86398</v>
      </c>
      <c r="HR115">
        <v>1.8597399999999999</v>
      </c>
      <c r="HS115">
        <v>1.8629500000000001</v>
      </c>
      <c r="HT115">
        <v>1.8656900000000001</v>
      </c>
      <c r="HU115">
        <v>5</v>
      </c>
      <c r="HV115">
        <v>0</v>
      </c>
      <c r="HW115">
        <v>0</v>
      </c>
      <c r="HX115">
        <v>0</v>
      </c>
      <c r="HY115" t="s">
        <v>420</v>
      </c>
      <c r="HZ115" t="s">
        <v>421</v>
      </c>
      <c r="IA115" t="s">
        <v>422</v>
      </c>
      <c r="IB115" t="s">
        <v>422</v>
      </c>
      <c r="IC115" t="s">
        <v>422</v>
      </c>
      <c r="ID115" t="s">
        <v>422</v>
      </c>
      <c r="IE115">
        <v>0</v>
      </c>
      <c r="IF115">
        <v>100</v>
      </c>
      <c r="IG115">
        <v>100</v>
      </c>
      <c r="IH115">
        <v>2.4159999999999999</v>
      </c>
      <c r="II115">
        <v>0.13009999999999999</v>
      </c>
      <c r="IJ115">
        <v>1.42422932739279</v>
      </c>
      <c r="IK115">
        <v>3.5576830062418229E-3</v>
      </c>
      <c r="IL115">
        <v>-2.2646740813029151E-6</v>
      </c>
      <c r="IM115">
        <v>6.9609298295988525E-10</v>
      </c>
      <c r="IN115">
        <v>-0.1365846242152749</v>
      </c>
      <c r="IO115">
        <v>-9.4437069492282083E-4</v>
      </c>
      <c r="IP115">
        <v>5.2900373165634467E-4</v>
      </c>
      <c r="IQ115">
        <v>-3.977656803091445E-6</v>
      </c>
      <c r="IR115">
        <v>2</v>
      </c>
      <c r="IS115">
        <v>1759</v>
      </c>
      <c r="IT115">
        <v>2</v>
      </c>
      <c r="IU115">
        <v>42</v>
      </c>
      <c r="IV115">
        <v>0.6</v>
      </c>
      <c r="IW115">
        <v>0.5</v>
      </c>
      <c r="IX115">
        <v>0.99243199999999998</v>
      </c>
      <c r="IY115">
        <v>2.4243199999999998</v>
      </c>
      <c r="IZ115">
        <v>1.54297</v>
      </c>
      <c r="JA115">
        <v>2.3022499999999999</v>
      </c>
      <c r="JB115">
        <v>1.5466299999999999</v>
      </c>
      <c r="JC115">
        <v>2.4230999999999998</v>
      </c>
      <c r="JD115">
        <v>47.033700000000003</v>
      </c>
      <c r="JE115">
        <v>24.078700000000001</v>
      </c>
      <c r="JF115">
        <v>18</v>
      </c>
      <c r="JG115">
        <v>533.52800000000002</v>
      </c>
      <c r="JH115">
        <v>421.22899999999998</v>
      </c>
      <c r="JI115">
        <v>24.177099999999999</v>
      </c>
      <c r="JJ115">
        <v>39.6357</v>
      </c>
      <c r="JK115">
        <v>30.000399999999999</v>
      </c>
      <c r="JL115">
        <v>39.993299999999998</v>
      </c>
      <c r="JM115">
        <v>39.976500000000001</v>
      </c>
      <c r="JN115">
        <v>19.9986</v>
      </c>
      <c r="JO115">
        <v>56.374099999999999</v>
      </c>
      <c r="JP115">
        <v>0</v>
      </c>
      <c r="JQ115">
        <v>24.182200000000002</v>
      </c>
      <c r="JR115">
        <v>400</v>
      </c>
      <c r="JS115">
        <v>20.819900000000001</v>
      </c>
      <c r="JT115">
        <v>98.303299999999993</v>
      </c>
      <c r="JU115">
        <v>96.092399999999998</v>
      </c>
    </row>
    <row r="116" spans="1:281" x14ac:dyDescent="0.25">
      <c r="A116">
        <v>100</v>
      </c>
      <c r="B116">
        <v>1691185119</v>
      </c>
      <c r="C116">
        <v>24207.5</v>
      </c>
      <c r="D116" t="s">
        <v>924</v>
      </c>
      <c r="E116" t="s">
        <v>925</v>
      </c>
      <c r="F116" t="s">
        <v>413</v>
      </c>
      <c r="G116" t="s">
        <v>707</v>
      </c>
      <c r="H116" t="s">
        <v>491</v>
      </c>
      <c r="I116" t="s">
        <v>490</v>
      </c>
      <c r="J116">
        <v>1691185119</v>
      </c>
      <c r="K116">
        <f t="shared" si="138"/>
        <v>4.6290019105095052E-3</v>
      </c>
      <c r="L116">
        <f t="shared" si="139"/>
        <v>4.6290019105095048</v>
      </c>
      <c r="M116">
        <f t="shared" si="140"/>
        <v>31.403904421762963</v>
      </c>
      <c r="N116">
        <f t="shared" si="141"/>
        <v>260.96199999999999</v>
      </c>
      <c r="O116">
        <f t="shared" si="142"/>
        <v>68.658190110667292</v>
      </c>
      <c r="P116">
        <f t="shared" si="143"/>
        <v>6.8004244880229727</v>
      </c>
      <c r="Q116">
        <f t="shared" si="144"/>
        <v>25.847642828670001</v>
      </c>
      <c r="R116">
        <f t="shared" si="145"/>
        <v>0.27984541047299433</v>
      </c>
      <c r="S116">
        <f t="shared" si="146"/>
        <v>2.9070803000127423</v>
      </c>
      <c r="T116">
        <f t="shared" si="147"/>
        <v>0.26569445881642173</v>
      </c>
      <c r="U116">
        <f t="shared" si="148"/>
        <v>0.16727079242557266</v>
      </c>
      <c r="V116">
        <f t="shared" si="149"/>
        <v>344.33419998679841</v>
      </c>
      <c r="W116">
        <f t="shared" si="150"/>
        <v>31.030147661736553</v>
      </c>
      <c r="X116">
        <f t="shared" si="151"/>
        <v>30.006399999999999</v>
      </c>
      <c r="Y116">
        <f t="shared" si="152"/>
        <v>4.2620162104827797</v>
      </c>
      <c r="Z116">
        <f t="shared" si="153"/>
        <v>60.242386429249116</v>
      </c>
      <c r="AA116">
        <f t="shared" si="154"/>
        <v>2.5961250351314997</v>
      </c>
      <c r="AB116">
        <f t="shared" si="155"/>
        <v>4.3094657914664198</v>
      </c>
      <c r="AC116">
        <f t="shared" si="156"/>
        <v>1.66589117535128</v>
      </c>
      <c r="AD116">
        <f t="shared" si="157"/>
        <v>-204.13898425346918</v>
      </c>
      <c r="AE116">
        <f t="shared" si="158"/>
        <v>30.23254438360421</v>
      </c>
      <c r="AF116">
        <f t="shared" si="159"/>
        <v>2.3147227636327323</v>
      </c>
      <c r="AG116">
        <f t="shared" si="160"/>
        <v>172.7424828805662</v>
      </c>
      <c r="AH116">
        <v>0</v>
      </c>
      <c r="AI116">
        <v>0</v>
      </c>
      <c r="AJ116">
        <f t="shared" si="161"/>
        <v>1</v>
      </c>
      <c r="AK116">
        <f t="shared" si="162"/>
        <v>0</v>
      </c>
      <c r="AL116">
        <f t="shared" si="163"/>
        <v>51656.702423119074</v>
      </c>
      <c r="AM116" t="s">
        <v>414</v>
      </c>
      <c r="AN116">
        <v>10111.299999999999</v>
      </c>
      <c r="AO116">
        <v>608.58839999999998</v>
      </c>
      <c r="AP116">
        <v>2150.11</v>
      </c>
      <c r="AQ116">
        <f t="shared" si="164"/>
        <v>0.71695010952927984</v>
      </c>
      <c r="AR116">
        <v>-1.1786277417053079</v>
      </c>
      <c r="AS116" t="s">
        <v>926</v>
      </c>
      <c r="AT116">
        <v>8109.34</v>
      </c>
      <c r="AU116">
        <v>676.18384615384628</v>
      </c>
      <c r="AV116">
        <v>897.1524801172925</v>
      </c>
      <c r="AW116">
        <f t="shared" si="165"/>
        <v>0.24629997560120109</v>
      </c>
      <c r="AX116">
        <v>0.5</v>
      </c>
      <c r="AY116">
        <f t="shared" si="166"/>
        <v>1513.0031999933992</v>
      </c>
      <c r="AZ116">
        <f t="shared" si="167"/>
        <v>31.403904421762963</v>
      </c>
      <c r="BA116">
        <f t="shared" si="168"/>
        <v>186.3263256214567</v>
      </c>
      <c r="BB116">
        <f t="shared" si="169"/>
        <v>2.153500545379575E-2</v>
      </c>
      <c r="BC116">
        <f t="shared" si="170"/>
        <v>1.3965937202992491</v>
      </c>
      <c r="BD116">
        <f t="shared" si="171"/>
        <v>436.16850428597388</v>
      </c>
      <c r="BE116" t="s">
        <v>927</v>
      </c>
      <c r="BF116">
        <v>508.35</v>
      </c>
      <c r="BG116">
        <f t="shared" si="172"/>
        <v>508.35</v>
      </c>
      <c r="BH116">
        <f t="shared" si="173"/>
        <v>0.4333739121653668</v>
      </c>
      <c r="BI116">
        <f t="shared" si="174"/>
        <v>0.56833133856755547</v>
      </c>
      <c r="BJ116">
        <f t="shared" si="175"/>
        <v>0.76317946586754914</v>
      </c>
      <c r="BK116">
        <f t="shared" si="176"/>
        <v>0.76575238981105753</v>
      </c>
      <c r="BL116">
        <f t="shared" si="177"/>
        <v>0.81280568490425797</v>
      </c>
      <c r="BM116">
        <f t="shared" si="178"/>
        <v>0.42726728478379439</v>
      </c>
      <c r="BN116">
        <f t="shared" si="179"/>
        <v>0.57273271521620561</v>
      </c>
      <c r="BO116">
        <v>7173</v>
      </c>
      <c r="BP116">
        <v>290.00000000000011</v>
      </c>
      <c r="BQ116">
        <v>834.68</v>
      </c>
      <c r="BR116">
        <v>295</v>
      </c>
      <c r="BS116">
        <v>8109.34</v>
      </c>
      <c r="BT116">
        <v>835.33</v>
      </c>
      <c r="BU116">
        <v>-0.65</v>
      </c>
      <c r="BV116">
        <v>300.00000000000011</v>
      </c>
      <c r="BW116">
        <v>19.2</v>
      </c>
      <c r="BX116">
        <v>897.1524801172925</v>
      </c>
      <c r="BY116">
        <v>2.5772521030101911</v>
      </c>
      <c r="BZ116">
        <v>-50.131116004147657</v>
      </c>
      <c r="CA116">
        <v>1.920527902144433</v>
      </c>
      <c r="CB116">
        <v>0.96052752638350791</v>
      </c>
      <c r="CC116">
        <v>-4.1784949944382701E-3</v>
      </c>
      <c r="CD116">
        <v>289.99999999999989</v>
      </c>
      <c r="CE116">
        <v>837.31</v>
      </c>
      <c r="CF116">
        <v>695</v>
      </c>
      <c r="CG116">
        <v>8103.24</v>
      </c>
      <c r="CH116">
        <v>835.29</v>
      </c>
      <c r="CI116">
        <v>2.02</v>
      </c>
      <c r="CW116">
        <f t="shared" si="180"/>
        <v>1799.78</v>
      </c>
      <c r="CX116">
        <f t="shared" si="181"/>
        <v>1513.0031999933992</v>
      </c>
      <c r="CY116">
        <f t="shared" si="182"/>
        <v>0.84066008067285958</v>
      </c>
      <c r="CZ116">
        <f t="shared" si="183"/>
        <v>0.19132016134571914</v>
      </c>
      <c r="DA116">
        <v>6</v>
      </c>
      <c r="DB116">
        <v>0.5</v>
      </c>
      <c r="DC116" t="s">
        <v>417</v>
      </c>
      <c r="DD116">
        <v>2</v>
      </c>
      <c r="DE116">
        <v>1691185119</v>
      </c>
      <c r="DF116">
        <v>260.96199999999999</v>
      </c>
      <c r="DG116">
        <v>300.089</v>
      </c>
      <c r="DH116">
        <v>26.210899999999999</v>
      </c>
      <c r="DI116">
        <v>20.802700000000002</v>
      </c>
      <c r="DJ116">
        <v>258.58800000000002</v>
      </c>
      <c r="DK116">
        <v>26.082100000000001</v>
      </c>
      <c r="DL116">
        <v>500.09300000000002</v>
      </c>
      <c r="DM116">
        <v>98.947299999999998</v>
      </c>
      <c r="DN116">
        <v>0.100235</v>
      </c>
      <c r="DO116">
        <v>30.199300000000001</v>
      </c>
      <c r="DP116">
        <v>30.006399999999999</v>
      </c>
      <c r="DQ116">
        <v>999.9</v>
      </c>
      <c r="DR116">
        <v>0</v>
      </c>
      <c r="DS116">
        <v>0</v>
      </c>
      <c r="DT116">
        <v>9977.5</v>
      </c>
      <c r="DU116">
        <v>0</v>
      </c>
      <c r="DV116">
        <v>1128.22</v>
      </c>
      <c r="DW116">
        <v>-39.127699999999997</v>
      </c>
      <c r="DX116">
        <v>267.98599999999999</v>
      </c>
      <c r="DY116">
        <v>306.46499999999997</v>
      </c>
      <c r="DZ116">
        <v>5.4081900000000003</v>
      </c>
      <c r="EA116">
        <v>300.089</v>
      </c>
      <c r="EB116">
        <v>20.802700000000002</v>
      </c>
      <c r="EC116">
        <v>2.5935000000000001</v>
      </c>
      <c r="ED116">
        <v>2.05837</v>
      </c>
      <c r="EE116">
        <v>21.625499999999999</v>
      </c>
      <c r="EF116">
        <v>17.900700000000001</v>
      </c>
      <c r="EG116">
        <v>1799.78</v>
      </c>
      <c r="EH116">
        <v>0.97799700000000001</v>
      </c>
      <c r="EI116">
        <v>2.20033E-2</v>
      </c>
      <c r="EJ116">
        <v>0</v>
      </c>
      <c r="EK116">
        <v>676.99</v>
      </c>
      <c r="EL116">
        <v>0.10001</v>
      </c>
      <c r="EM116">
        <v>16617.2</v>
      </c>
      <c r="EN116">
        <v>16351.5</v>
      </c>
      <c r="EO116">
        <v>48.936999999999998</v>
      </c>
      <c r="EP116">
        <v>51</v>
      </c>
      <c r="EQ116">
        <v>50.436999999999998</v>
      </c>
      <c r="ER116">
        <v>49.625</v>
      </c>
      <c r="ES116">
        <v>50.311999999999998</v>
      </c>
      <c r="ET116">
        <v>1760.08</v>
      </c>
      <c r="EU116">
        <v>39.6</v>
      </c>
      <c r="EV116">
        <v>0</v>
      </c>
      <c r="EW116">
        <v>102</v>
      </c>
      <c r="EX116">
        <v>0</v>
      </c>
      <c r="EY116">
        <v>676.18384615384628</v>
      </c>
      <c r="EZ116">
        <v>-7.7894016815666349</v>
      </c>
      <c r="FA116">
        <v>112.2632485305375</v>
      </c>
      <c r="FB116">
        <v>16620.55</v>
      </c>
      <c r="FC116">
        <v>15</v>
      </c>
      <c r="FD116">
        <v>1691185090.5</v>
      </c>
      <c r="FE116" t="s">
        <v>928</v>
      </c>
      <c r="FF116">
        <v>1691185084.5</v>
      </c>
      <c r="FG116">
        <v>1691185090.5</v>
      </c>
      <c r="FH116">
        <v>112</v>
      </c>
      <c r="FI116">
        <v>0.16900000000000001</v>
      </c>
      <c r="FJ116">
        <v>1E-3</v>
      </c>
      <c r="FK116">
        <v>2.4689999999999999</v>
      </c>
      <c r="FL116">
        <v>3.4000000000000002E-2</v>
      </c>
      <c r="FM116">
        <v>300</v>
      </c>
      <c r="FN116">
        <v>21</v>
      </c>
      <c r="FO116">
        <v>0.15</v>
      </c>
      <c r="FP116">
        <v>0.05</v>
      </c>
      <c r="FQ116">
        <v>31.276645861003619</v>
      </c>
      <c r="FR116">
        <v>-0.43802315734917319</v>
      </c>
      <c r="FS116">
        <v>9.7465196973289384E-2</v>
      </c>
      <c r="FT116">
        <v>1</v>
      </c>
      <c r="FU116">
        <v>0.27917252764728467</v>
      </c>
      <c r="FV116">
        <v>3.7915080091667663E-2</v>
      </c>
      <c r="FW116">
        <v>3.751224388653229E-3</v>
      </c>
      <c r="FX116">
        <v>1</v>
      </c>
      <c r="FY116">
        <v>2</v>
      </c>
      <c r="FZ116">
        <v>2</v>
      </c>
      <c r="GA116" t="s">
        <v>419</v>
      </c>
      <c r="GB116">
        <v>2.8830800000000001</v>
      </c>
      <c r="GC116">
        <v>2.8212299999999999</v>
      </c>
      <c r="GD116">
        <v>6.0623099999999999E-2</v>
      </c>
      <c r="GE116">
        <v>6.9023000000000001E-2</v>
      </c>
      <c r="GF116">
        <v>0.120944</v>
      </c>
      <c r="GG116">
        <v>0.10359500000000001</v>
      </c>
      <c r="GH116">
        <v>28768.7</v>
      </c>
      <c r="GI116">
        <v>26592.5</v>
      </c>
      <c r="GJ116">
        <v>28198.2</v>
      </c>
      <c r="GK116">
        <v>26832.799999999999</v>
      </c>
      <c r="GL116">
        <v>34980.5</v>
      </c>
      <c r="GM116">
        <v>33604</v>
      </c>
      <c r="GN116">
        <v>41482.9</v>
      </c>
      <c r="GO116">
        <v>38834.6</v>
      </c>
      <c r="GP116">
        <v>1.9939</v>
      </c>
      <c r="GQ116">
        <v>1.6662999999999999</v>
      </c>
      <c r="GR116">
        <v>-4.6730000000000001E-2</v>
      </c>
      <c r="GS116">
        <v>0</v>
      </c>
      <c r="GT116">
        <v>30.766300000000001</v>
      </c>
      <c r="GU116">
        <v>999.9</v>
      </c>
      <c r="GV116">
        <v>45.3</v>
      </c>
      <c r="GW116">
        <v>43.8</v>
      </c>
      <c r="GX116">
        <v>41.4726</v>
      </c>
      <c r="GY116">
        <v>62.784199999999998</v>
      </c>
      <c r="GZ116">
        <v>29.098600000000001</v>
      </c>
      <c r="HA116">
        <v>1</v>
      </c>
      <c r="HB116">
        <v>1.0597000000000001</v>
      </c>
      <c r="HC116">
        <v>5.2139199999999999</v>
      </c>
      <c r="HD116">
        <v>20.168299999999999</v>
      </c>
      <c r="HE116">
        <v>5.2100999999999997</v>
      </c>
      <c r="HF116">
        <v>11.9986</v>
      </c>
      <c r="HG116">
        <v>4.9871999999999996</v>
      </c>
      <c r="HH116">
        <v>3.2909999999999999</v>
      </c>
      <c r="HI116">
        <v>9999</v>
      </c>
      <c r="HJ116">
        <v>9999</v>
      </c>
      <c r="HK116">
        <v>9999</v>
      </c>
      <c r="HL116">
        <v>999.9</v>
      </c>
      <c r="HM116">
        <v>1.8666100000000001</v>
      </c>
      <c r="HN116">
        <v>1.86673</v>
      </c>
      <c r="HO116">
        <v>1.8631200000000001</v>
      </c>
      <c r="HP116">
        <v>1.8643799999999999</v>
      </c>
      <c r="HQ116">
        <v>1.86399</v>
      </c>
      <c r="HR116">
        <v>1.85982</v>
      </c>
      <c r="HS116">
        <v>1.8629500000000001</v>
      </c>
      <c r="HT116">
        <v>1.8656999999999999</v>
      </c>
      <c r="HU116">
        <v>5</v>
      </c>
      <c r="HV116">
        <v>0</v>
      </c>
      <c r="HW116">
        <v>0</v>
      </c>
      <c r="HX116">
        <v>0</v>
      </c>
      <c r="HY116" t="s">
        <v>420</v>
      </c>
      <c r="HZ116" t="s">
        <v>421</v>
      </c>
      <c r="IA116" t="s">
        <v>422</v>
      </c>
      <c r="IB116" t="s">
        <v>422</v>
      </c>
      <c r="IC116" t="s">
        <v>422</v>
      </c>
      <c r="ID116" t="s">
        <v>422</v>
      </c>
      <c r="IE116">
        <v>0</v>
      </c>
      <c r="IF116">
        <v>100</v>
      </c>
      <c r="IG116">
        <v>100</v>
      </c>
      <c r="IH116">
        <v>2.3740000000000001</v>
      </c>
      <c r="II116">
        <v>0.1288</v>
      </c>
      <c r="IJ116">
        <v>1.593015869755388</v>
      </c>
      <c r="IK116">
        <v>3.5576830062418229E-3</v>
      </c>
      <c r="IL116">
        <v>-2.2646740813029151E-6</v>
      </c>
      <c r="IM116">
        <v>6.9609298295988525E-10</v>
      </c>
      <c r="IN116">
        <v>-0.1358868405979729</v>
      </c>
      <c r="IO116">
        <v>-9.4437069492282083E-4</v>
      </c>
      <c r="IP116">
        <v>5.2900373165634467E-4</v>
      </c>
      <c r="IQ116">
        <v>-3.977656803091445E-6</v>
      </c>
      <c r="IR116">
        <v>2</v>
      </c>
      <c r="IS116">
        <v>1759</v>
      </c>
      <c r="IT116">
        <v>2</v>
      </c>
      <c r="IU116">
        <v>42</v>
      </c>
      <c r="IV116">
        <v>0.6</v>
      </c>
      <c r="IW116">
        <v>0.5</v>
      </c>
      <c r="IX116">
        <v>0.78247100000000003</v>
      </c>
      <c r="IY116">
        <v>2.4414099999999999</v>
      </c>
      <c r="IZ116">
        <v>1.54297</v>
      </c>
      <c r="JA116">
        <v>2.3022499999999999</v>
      </c>
      <c r="JB116">
        <v>1.5466299999999999</v>
      </c>
      <c r="JC116">
        <v>2.3083499999999999</v>
      </c>
      <c r="JD116">
        <v>47.093200000000003</v>
      </c>
      <c r="JE116">
        <v>24.07</v>
      </c>
      <c r="JF116">
        <v>18</v>
      </c>
      <c r="JG116">
        <v>533.68799999999999</v>
      </c>
      <c r="JH116">
        <v>421.06</v>
      </c>
      <c r="JI116">
        <v>24.3491</v>
      </c>
      <c r="JJ116">
        <v>39.694000000000003</v>
      </c>
      <c r="JK116">
        <v>30.000499999999999</v>
      </c>
      <c r="JL116">
        <v>40.040199999999999</v>
      </c>
      <c r="JM116">
        <v>40.023299999999999</v>
      </c>
      <c r="JN116">
        <v>15.7818</v>
      </c>
      <c r="JO116">
        <v>56.542900000000003</v>
      </c>
      <c r="JP116">
        <v>0</v>
      </c>
      <c r="JQ116">
        <v>24.34</v>
      </c>
      <c r="JR116">
        <v>300</v>
      </c>
      <c r="JS116">
        <v>20.816700000000001</v>
      </c>
      <c r="JT116">
        <v>98.29</v>
      </c>
      <c r="JU116">
        <v>96.083799999999997</v>
      </c>
    </row>
    <row r="117" spans="1:281" x14ac:dyDescent="0.25">
      <c r="A117">
        <v>101</v>
      </c>
      <c r="B117">
        <v>1691185221</v>
      </c>
      <c r="C117">
        <v>24309.5</v>
      </c>
      <c r="D117" t="s">
        <v>929</v>
      </c>
      <c r="E117" t="s">
        <v>930</v>
      </c>
      <c r="F117" t="s">
        <v>413</v>
      </c>
      <c r="G117" t="s">
        <v>707</v>
      </c>
      <c r="H117" t="s">
        <v>491</v>
      </c>
      <c r="I117" t="s">
        <v>490</v>
      </c>
      <c r="J117">
        <v>1691185221</v>
      </c>
      <c r="K117">
        <f t="shared" si="138"/>
        <v>4.9897291296483858E-3</v>
      </c>
      <c r="L117">
        <f t="shared" si="139"/>
        <v>4.9897291296483859</v>
      </c>
      <c r="M117">
        <f t="shared" si="140"/>
        <v>21.613820912281891</v>
      </c>
      <c r="N117">
        <f t="shared" si="141"/>
        <v>173.07400000000001</v>
      </c>
      <c r="O117">
        <f t="shared" si="142"/>
        <v>51.0961386244783</v>
      </c>
      <c r="P117">
        <f t="shared" si="143"/>
        <v>5.060862965051621</v>
      </c>
      <c r="Q117">
        <f t="shared" si="144"/>
        <v>17.142269854296401</v>
      </c>
      <c r="R117">
        <f t="shared" si="145"/>
        <v>0.30528412991345005</v>
      </c>
      <c r="S117">
        <f t="shared" si="146"/>
        <v>2.9144913582979366</v>
      </c>
      <c r="T117">
        <f t="shared" si="147"/>
        <v>0.28856635588909363</v>
      </c>
      <c r="U117">
        <f t="shared" si="148"/>
        <v>0.18177966720834382</v>
      </c>
      <c r="V117">
        <f t="shared" si="149"/>
        <v>344.33989998679863</v>
      </c>
      <c r="W117">
        <f t="shared" si="150"/>
        <v>30.90747818928363</v>
      </c>
      <c r="X117">
        <f t="shared" si="151"/>
        <v>30.001100000000001</v>
      </c>
      <c r="Y117">
        <f t="shared" si="152"/>
        <v>4.2607189682508402</v>
      </c>
      <c r="Z117">
        <f t="shared" si="153"/>
        <v>60.597976023440751</v>
      </c>
      <c r="AA117">
        <f t="shared" si="154"/>
        <v>2.6074526127740199</v>
      </c>
      <c r="AB117">
        <f t="shared" si="155"/>
        <v>4.302870795165493</v>
      </c>
      <c r="AC117">
        <f t="shared" si="156"/>
        <v>1.6532663554768203</v>
      </c>
      <c r="AD117">
        <f t="shared" si="157"/>
        <v>-220.04705461749381</v>
      </c>
      <c r="AE117">
        <f t="shared" si="158"/>
        <v>26.947118965617477</v>
      </c>
      <c r="AF117">
        <f t="shared" si="159"/>
        <v>2.0576054073604939</v>
      </c>
      <c r="AG117">
        <f t="shared" si="160"/>
        <v>153.29756974228277</v>
      </c>
      <c r="AH117">
        <v>0</v>
      </c>
      <c r="AI117">
        <v>0</v>
      </c>
      <c r="AJ117">
        <f t="shared" si="161"/>
        <v>1</v>
      </c>
      <c r="AK117">
        <f t="shared" si="162"/>
        <v>0</v>
      </c>
      <c r="AL117">
        <f t="shared" si="163"/>
        <v>51871.724692715004</v>
      </c>
      <c r="AM117" t="s">
        <v>414</v>
      </c>
      <c r="AN117">
        <v>10111.299999999999</v>
      </c>
      <c r="AO117">
        <v>608.58839999999998</v>
      </c>
      <c r="AP117">
        <v>2150.11</v>
      </c>
      <c r="AQ117">
        <f t="shared" si="164"/>
        <v>0.71695010952927984</v>
      </c>
      <c r="AR117">
        <v>-1.1786277417053079</v>
      </c>
      <c r="AS117" t="s">
        <v>931</v>
      </c>
      <c r="AT117">
        <v>8109.56</v>
      </c>
      <c r="AU117">
        <v>673.44360000000006</v>
      </c>
      <c r="AV117">
        <v>834.15676343294967</v>
      </c>
      <c r="AW117">
        <f t="shared" si="165"/>
        <v>0.19266542031205136</v>
      </c>
      <c r="AX117">
        <v>0.5</v>
      </c>
      <c r="AY117">
        <f t="shared" si="166"/>
        <v>1513.0283999933995</v>
      </c>
      <c r="AZ117">
        <f t="shared" si="167"/>
        <v>21.613820912281891</v>
      </c>
      <c r="BA117">
        <f t="shared" si="168"/>
        <v>145.75412631439943</v>
      </c>
      <c r="BB117">
        <f t="shared" si="169"/>
        <v>1.5064124806967689E-2</v>
      </c>
      <c r="BC117">
        <f t="shared" si="170"/>
        <v>1.5775850466659054</v>
      </c>
      <c r="BD117">
        <f t="shared" si="171"/>
        <v>420.72143739466532</v>
      </c>
      <c r="BE117" t="s">
        <v>932</v>
      </c>
      <c r="BF117">
        <v>506.47</v>
      </c>
      <c r="BG117">
        <f t="shared" si="172"/>
        <v>506.47</v>
      </c>
      <c r="BH117">
        <f t="shared" si="173"/>
        <v>0.39283594858640669</v>
      </c>
      <c r="BI117">
        <f t="shared" si="174"/>
        <v>0.49044752906485434</v>
      </c>
      <c r="BJ117">
        <f t="shared" si="175"/>
        <v>0.80063349429744368</v>
      </c>
      <c r="BK117">
        <f t="shared" si="176"/>
        <v>0.7124809569349102</v>
      </c>
      <c r="BL117">
        <f t="shared" si="177"/>
        <v>0.85367161677595071</v>
      </c>
      <c r="BM117">
        <f t="shared" si="178"/>
        <v>0.36884597321212464</v>
      </c>
      <c r="BN117">
        <f t="shared" si="179"/>
        <v>0.63115402678787536</v>
      </c>
      <c r="BO117">
        <v>7175</v>
      </c>
      <c r="BP117">
        <v>290.00000000000011</v>
      </c>
      <c r="BQ117">
        <v>791.78</v>
      </c>
      <c r="BR117">
        <v>285</v>
      </c>
      <c r="BS117">
        <v>8109.56</v>
      </c>
      <c r="BT117">
        <v>792.66</v>
      </c>
      <c r="BU117">
        <v>-0.88</v>
      </c>
      <c r="BV117">
        <v>300.00000000000011</v>
      </c>
      <c r="BW117">
        <v>19.2</v>
      </c>
      <c r="BX117">
        <v>834.15676343294967</v>
      </c>
      <c r="BY117">
        <v>2.3854011317462311</v>
      </c>
      <c r="BZ117">
        <v>-33.64992668304145</v>
      </c>
      <c r="CA117">
        <v>1.777617582437131</v>
      </c>
      <c r="CB117">
        <v>0.9275244023239646</v>
      </c>
      <c r="CC117">
        <v>-4.1786002224694129E-3</v>
      </c>
      <c r="CD117">
        <v>289.99999999999989</v>
      </c>
      <c r="CE117">
        <v>793.54</v>
      </c>
      <c r="CF117">
        <v>645</v>
      </c>
      <c r="CG117">
        <v>8104.47</v>
      </c>
      <c r="CH117">
        <v>792.64</v>
      </c>
      <c r="CI117">
        <v>0.9</v>
      </c>
      <c r="CW117">
        <f t="shared" si="180"/>
        <v>1799.81</v>
      </c>
      <c r="CX117">
        <f t="shared" si="181"/>
        <v>1513.0283999933995</v>
      </c>
      <c r="CY117">
        <f t="shared" si="182"/>
        <v>0.84066006967035378</v>
      </c>
      <c r="CZ117">
        <f t="shared" si="183"/>
        <v>0.19132013934070743</v>
      </c>
      <c r="DA117">
        <v>6</v>
      </c>
      <c r="DB117">
        <v>0.5</v>
      </c>
      <c r="DC117" t="s">
        <v>417</v>
      </c>
      <c r="DD117">
        <v>2</v>
      </c>
      <c r="DE117">
        <v>1691185221</v>
      </c>
      <c r="DF117">
        <v>173.07400000000001</v>
      </c>
      <c r="DG117">
        <v>200.04900000000001</v>
      </c>
      <c r="DH117">
        <v>26.325700000000001</v>
      </c>
      <c r="DI117">
        <v>20.495200000000001</v>
      </c>
      <c r="DJ117">
        <v>171.012</v>
      </c>
      <c r="DK117">
        <v>26.193899999999999</v>
      </c>
      <c r="DL117">
        <v>499.96100000000001</v>
      </c>
      <c r="DM117">
        <v>98.946200000000005</v>
      </c>
      <c r="DN117">
        <v>9.9698599999999998E-2</v>
      </c>
      <c r="DO117">
        <v>30.172599999999999</v>
      </c>
      <c r="DP117">
        <v>30.001100000000001</v>
      </c>
      <c r="DQ117">
        <v>999.9</v>
      </c>
      <c r="DR117">
        <v>0</v>
      </c>
      <c r="DS117">
        <v>0</v>
      </c>
      <c r="DT117">
        <v>10020</v>
      </c>
      <c r="DU117">
        <v>0</v>
      </c>
      <c r="DV117">
        <v>1124.78</v>
      </c>
      <c r="DW117">
        <v>-26.975100000000001</v>
      </c>
      <c r="DX117">
        <v>177.75299999999999</v>
      </c>
      <c r="DY117">
        <v>204.23400000000001</v>
      </c>
      <c r="DZ117">
        <v>5.8304299999999998</v>
      </c>
      <c r="EA117">
        <v>200.04900000000001</v>
      </c>
      <c r="EB117">
        <v>20.495200000000001</v>
      </c>
      <c r="EC117">
        <v>2.6048200000000001</v>
      </c>
      <c r="ED117">
        <v>2.0279199999999999</v>
      </c>
      <c r="EE117">
        <v>21.6967</v>
      </c>
      <c r="EF117">
        <v>17.664100000000001</v>
      </c>
      <c r="EG117">
        <v>1799.81</v>
      </c>
      <c r="EH117">
        <v>0.97799700000000001</v>
      </c>
      <c r="EI117">
        <v>2.20033E-2</v>
      </c>
      <c r="EJ117">
        <v>0</v>
      </c>
      <c r="EK117">
        <v>671.55499999999995</v>
      </c>
      <c r="EL117">
        <v>0.10001</v>
      </c>
      <c r="EM117">
        <v>16422.8</v>
      </c>
      <c r="EN117">
        <v>16351.7</v>
      </c>
      <c r="EO117">
        <v>48.875</v>
      </c>
      <c r="EP117">
        <v>50.875</v>
      </c>
      <c r="EQ117">
        <v>50.375</v>
      </c>
      <c r="ER117">
        <v>49.561999999999998</v>
      </c>
      <c r="ES117">
        <v>50.186999999999998</v>
      </c>
      <c r="ET117">
        <v>1760.11</v>
      </c>
      <c r="EU117">
        <v>39.6</v>
      </c>
      <c r="EV117">
        <v>0</v>
      </c>
      <c r="EW117">
        <v>99.799999952316284</v>
      </c>
      <c r="EX117">
        <v>0</v>
      </c>
      <c r="EY117">
        <v>673.44360000000006</v>
      </c>
      <c r="EZ117">
        <v>-0.35538455897666682</v>
      </c>
      <c r="FA117">
        <v>-709.8615375670488</v>
      </c>
      <c r="FB117">
        <v>16489.2</v>
      </c>
      <c r="FC117">
        <v>15</v>
      </c>
      <c r="FD117">
        <v>1691185193</v>
      </c>
      <c r="FE117" t="s">
        <v>933</v>
      </c>
      <c r="FF117">
        <v>1691185187.5</v>
      </c>
      <c r="FG117">
        <v>1691185193</v>
      </c>
      <c r="FH117">
        <v>113</v>
      </c>
      <c r="FI117">
        <v>-7.8E-2</v>
      </c>
      <c r="FJ117">
        <v>1E-3</v>
      </c>
      <c r="FK117">
        <v>2.1360000000000001</v>
      </c>
      <c r="FL117">
        <v>3.4000000000000002E-2</v>
      </c>
      <c r="FM117">
        <v>200</v>
      </c>
      <c r="FN117">
        <v>21</v>
      </c>
      <c r="FO117">
        <v>0.12</v>
      </c>
      <c r="FP117">
        <v>0.03</v>
      </c>
      <c r="FQ117">
        <v>21.62369308933917</v>
      </c>
      <c r="FR117">
        <v>-0.5673115505567996</v>
      </c>
      <c r="FS117">
        <v>9.4236366525692644E-2</v>
      </c>
      <c r="FT117">
        <v>1</v>
      </c>
      <c r="FU117">
        <v>0.29907882440175471</v>
      </c>
      <c r="FV117">
        <v>2.3626813396048309E-2</v>
      </c>
      <c r="FW117">
        <v>2.998030051688084E-3</v>
      </c>
      <c r="FX117">
        <v>1</v>
      </c>
      <c r="FY117">
        <v>2</v>
      </c>
      <c r="FZ117">
        <v>2</v>
      </c>
      <c r="GA117" t="s">
        <v>419</v>
      </c>
      <c r="GB117">
        <v>2.8826700000000001</v>
      </c>
      <c r="GC117">
        <v>2.8210600000000001</v>
      </c>
      <c r="GD117">
        <v>4.2143E-2</v>
      </c>
      <c r="GE117">
        <v>4.8811300000000002E-2</v>
      </c>
      <c r="GF117">
        <v>0.12129</v>
      </c>
      <c r="GG117">
        <v>0.102508</v>
      </c>
      <c r="GH117">
        <v>29334.400000000001</v>
      </c>
      <c r="GI117">
        <v>27166.2</v>
      </c>
      <c r="GJ117">
        <v>28199.1</v>
      </c>
      <c r="GK117">
        <v>26830.3</v>
      </c>
      <c r="GL117">
        <v>34967.800000000003</v>
      </c>
      <c r="GM117">
        <v>33642.699999999997</v>
      </c>
      <c r="GN117">
        <v>41484.1</v>
      </c>
      <c r="GO117">
        <v>38832.6</v>
      </c>
      <c r="GP117">
        <v>1.9933000000000001</v>
      </c>
      <c r="GQ117">
        <v>1.6652</v>
      </c>
      <c r="GR117">
        <v>-4.5403800000000001E-2</v>
      </c>
      <c r="GS117">
        <v>0</v>
      </c>
      <c r="GT117">
        <v>30.739599999999999</v>
      </c>
      <c r="GU117">
        <v>999.9</v>
      </c>
      <c r="GV117">
        <v>45.1</v>
      </c>
      <c r="GW117">
        <v>43.9</v>
      </c>
      <c r="GX117">
        <v>41.4985</v>
      </c>
      <c r="GY117">
        <v>62.784300000000002</v>
      </c>
      <c r="GZ117">
        <v>28.734000000000002</v>
      </c>
      <c r="HA117">
        <v>1</v>
      </c>
      <c r="HB117">
        <v>1.06291</v>
      </c>
      <c r="HC117">
        <v>5.1677299999999997</v>
      </c>
      <c r="HD117">
        <v>20.169799999999999</v>
      </c>
      <c r="HE117">
        <v>5.2100999999999997</v>
      </c>
      <c r="HF117">
        <v>11.997999999999999</v>
      </c>
      <c r="HG117">
        <v>4.9880000000000004</v>
      </c>
      <c r="HH117">
        <v>3.2909999999999999</v>
      </c>
      <c r="HI117">
        <v>9999</v>
      </c>
      <c r="HJ117">
        <v>9999</v>
      </c>
      <c r="HK117">
        <v>9999</v>
      </c>
      <c r="HL117">
        <v>999.9</v>
      </c>
      <c r="HM117">
        <v>1.86663</v>
      </c>
      <c r="HN117">
        <v>1.8667199999999999</v>
      </c>
      <c r="HO117">
        <v>1.8631899999999999</v>
      </c>
      <c r="HP117">
        <v>1.86436</v>
      </c>
      <c r="HQ117">
        <v>1.8640099999999999</v>
      </c>
      <c r="HR117">
        <v>1.8598600000000001</v>
      </c>
      <c r="HS117">
        <v>1.8629599999999999</v>
      </c>
      <c r="HT117">
        <v>1.86575</v>
      </c>
      <c r="HU117">
        <v>5</v>
      </c>
      <c r="HV117">
        <v>0</v>
      </c>
      <c r="HW117">
        <v>0</v>
      </c>
      <c r="HX117">
        <v>0</v>
      </c>
      <c r="HY117" t="s">
        <v>420</v>
      </c>
      <c r="HZ117" t="s">
        <v>421</v>
      </c>
      <c r="IA117" t="s">
        <v>422</v>
      </c>
      <c r="IB117" t="s">
        <v>422</v>
      </c>
      <c r="IC117" t="s">
        <v>422</v>
      </c>
      <c r="ID117" t="s">
        <v>422</v>
      </c>
      <c r="IE117">
        <v>0</v>
      </c>
      <c r="IF117">
        <v>100</v>
      </c>
      <c r="IG117">
        <v>100</v>
      </c>
      <c r="IH117">
        <v>2.0619999999999998</v>
      </c>
      <c r="II117">
        <v>0.1318</v>
      </c>
      <c r="IJ117">
        <v>1.515507343903528</v>
      </c>
      <c r="IK117">
        <v>3.5576830062418229E-3</v>
      </c>
      <c r="IL117">
        <v>-2.2646740813029151E-6</v>
      </c>
      <c r="IM117">
        <v>6.9609298295988525E-10</v>
      </c>
      <c r="IN117">
        <v>-0.134985282193339</v>
      </c>
      <c r="IO117">
        <v>-9.4437069492282083E-4</v>
      </c>
      <c r="IP117">
        <v>5.2900373165634467E-4</v>
      </c>
      <c r="IQ117">
        <v>-3.977656803091445E-6</v>
      </c>
      <c r="IR117">
        <v>2</v>
      </c>
      <c r="IS117">
        <v>1759</v>
      </c>
      <c r="IT117">
        <v>2</v>
      </c>
      <c r="IU117">
        <v>42</v>
      </c>
      <c r="IV117">
        <v>0.6</v>
      </c>
      <c r="IW117">
        <v>0.5</v>
      </c>
      <c r="IX117">
        <v>0.56396500000000005</v>
      </c>
      <c r="IY117">
        <v>2.4426299999999999</v>
      </c>
      <c r="IZ117">
        <v>1.54297</v>
      </c>
      <c r="JA117">
        <v>2.3034699999999999</v>
      </c>
      <c r="JB117">
        <v>1.5466299999999999</v>
      </c>
      <c r="JC117">
        <v>2.4206500000000002</v>
      </c>
      <c r="JD117">
        <v>47.152700000000003</v>
      </c>
      <c r="JE117">
        <v>24.078700000000001</v>
      </c>
      <c r="JF117">
        <v>18</v>
      </c>
      <c r="JG117">
        <v>533.62300000000005</v>
      </c>
      <c r="JH117">
        <v>420.58100000000002</v>
      </c>
      <c r="JI117">
        <v>24.295100000000001</v>
      </c>
      <c r="JJ117">
        <v>39.736899999999999</v>
      </c>
      <c r="JK117">
        <v>30.0002</v>
      </c>
      <c r="JL117">
        <v>40.083300000000001</v>
      </c>
      <c r="JM117">
        <v>40.062399999999997</v>
      </c>
      <c r="JN117">
        <v>11.4064</v>
      </c>
      <c r="JO117">
        <v>56.952500000000001</v>
      </c>
      <c r="JP117">
        <v>0</v>
      </c>
      <c r="JQ117">
        <v>24.2986</v>
      </c>
      <c r="JR117">
        <v>200</v>
      </c>
      <c r="JS117">
        <v>20.552800000000001</v>
      </c>
      <c r="JT117">
        <v>98.293000000000006</v>
      </c>
      <c r="JU117">
        <v>96.077399999999997</v>
      </c>
    </row>
    <row r="118" spans="1:281" x14ac:dyDescent="0.25">
      <c r="A118">
        <v>102</v>
      </c>
      <c r="B118">
        <v>1691185326.5</v>
      </c>
      <c r="C118">
        <v>24415</v>
      </c>
      <c r="D118" t="s">
        <v>934</v>
      </c>
      <c r="E118" t="s">
        <v>935</v>
      </c>
      <c r="F118" t="s">
        <v>413</v>
      </c>
      <c r="G118" t="s">
        <v>707</v>
      </c>
      <c r="H118" t="s">
        <v>491</v>
      </c>
      <c r="I118" t="s">
        <v>490</v>
      </c>
      <c r="J118">
        <v>1691185326.5</v>
      </c>
      <c r="K118">
        <f t="shared" si="138"/>
        <v>5.1798885321078314E-3</v>
      </c>
      <c r="L118">
        <f t="shared" si="139"/>
        <v>5.1798885321078316</v>
      </c>
      <c r="M118">
        <f t="shared" si="140"/>
        <v>13.570291976431882</v>
      </c>
      <c r="N118">
        <f t="shared" si="141"/>
        <v>103.047</v>
      </c>
      <c r="O118">
        <f t="shared" si="142"/>
        <v>29.098594552782725</v>
      </c>
      <c r="P118">
        <f t="shared" si="143"/>
        <v>2.8822199399127122</v>
      </c>
      <c r="Q118">
        <f t="shared" si="144"/>
        <v>10.2068200445022</v>
      </c>
      <c r="R118">
        <f t="shared" si="145"/>
        <v>0.31652481295478063</v>
      </c>
      <c r="S118">
        <f t="shared" si="146"/>
        <v>2.91194369929616</v>
      </c>
      <c r="T118">
        <f t="shared" si="147"/>
        <v>0.29857734855745538</v>
      </c>
      <c r="U118">
        <f t="shared" si="148"/>
        <v>0.18813849490316067</v>
      </c>
      <c r="V118">
        <f t="shared" si="149"/>
        <v>344.35699998679934</v>
      </c>
      <c r="W118">
        <f t="shared" si="150"/>
        <v>30.843261537031498</v>
      </c>
      <c r="X118">
        <f t="shared" si="151"/>
        <v>30.011199999999999</v>
      </c>
      <c r="Y118">
        <f t="shared" si="152"/>
        <v>4.2631913683925404</v>
      </c>
      <c r="Z118">
        <f t="shared" si="153"/>
        <v>60.579830471071539</v>
      </c>
      <c r="AA118">
        <f t="shared" si="154"/>
        <v>2.6043848294673602</v>
      </c>
      <c r="AB118">
        <f t="shared" si="155"/>
        <v>4.2990956052790912</v>
      </c>
      <c r="AC118">
        <f t="shared" si="156"/>
        <v>1.6588065389251803</v>
      </c>
      <c r="AD118">
        <f t="shared" si="157"/>
        <v>-228.43308426595536</v>
      </c>
      <c r="AE118">
        <f t="shared" si="158"/>
        <v>22.936050343474104</v>
      </c>
      <c r="AF118">
        <f t="shared" si="159"/>
        <v>1.7528187000960713</v>
      </c>
      <c r="AG118">
        <f t="shared" si="160"/>
        <v>140.61278476441419</v>
      </c>
      <c r="AH118">
        <v>0</v>
      </c>
      <c r="AI118">
        <v>0</v>
      </c>
      <c r="AJ118">
        <f t="shared" si="161"/>
        <v>1</v>
      </c>
      <c r="AK118">
        <f t="shared" si="162"/>
        <v>0</v>
      </c>
      <c r="AL118">
        <f t="shared" si="163"/>
        <v>51802.027884768548</v>
      </c>
      <c r="AM118" t="s">
        <v>414</v>
      </c>
      <c r="AN118">
        <v>10111.299999999999</v>
      </c>
      <c r="AO118">
        <v>608.58839999999998</v>
      </c>
      <c r="AP118">
        <v>2150.11</v>
      </c>
      <c r="AQ118">
        <f t="shared" si="164"/>
        <v>0.71695010952927984</v>
      </c>
      <c r="AR118">
        <v>-1.1786277417053079</v>
      </c>
      <c r="AS118" t="s">
        <v>936</v>
      </c>
      <c r="AT118">
        <v>8111.12</v>
      </c>
      <c r="AU118">
        <v>680.39279999999997</v>
      </c>
      <c r="AV118">
        <v>790.48623342016742</v>
      </c>
      <c r="AW118">
        <f t="shared" si="165"/>
        <v>0.13927305595674988</v>
      </c>
      <c r="AX118">
        <v>0.5</v>
      </c>
      <c r="AY118">
        <f t="shared" si="166"/>
        <v>1513.1039999933998</v>
      </c>
      <c r="AZ118">
        <f t="shared" si="167"/>
        <v>13.570291976431882</v>
      </c>
      <c r="BA118">
        <f t="shared" si="168"/>
        <v>105.36730902973143</v>
      </c>
      <c r="BB118">
        <f t="shared" si="169"/>
        <v>9.7474593406676104E-3</v>
      </c>
      <c r="BC118">
        <f t="shared" si="170"/>
        <v>1.7199841174933546</v>
      </c>
      <c r="BD118">
        <f t="shared" si="171"/>
        <v>409.31630929485073</v>
      </c>
      <c r="BE118" t="s">
        <v>937</v>
      </c>
      <c r="BF118">
        <v>521.59</v>
      </c>
      <c r="BG118">
        <f t="shared" si="172"/>
        <v>521.59</v>
      </c>
      <c r="BH118">
        <f t="shared" si="173"/>
        <v>0.34016561206479723</v>
      </c>
      <c r="BI118">
        <f t="shared" si="174"/>
        <v>0.40942720550547651</v>
      </c>
      <c r="BJ118">
        <f t="shared" si="175"/>
        <v>0.83488306350541142</v>
      </c>
      <c r="BK118">
        <f t="shared" si="176"/>
        <v>0.60524873413891433</v>
      </c>
      <c r="BL118">
        <f t="shared" si="177"/>
        <v>0.88200111278352022</v>
      </c>
      <c r="BM118">
        <f t="shared" si="178"/>
        <v>0.31386742499274173</v>
      </c>
      <c r="BN118">
        <f t="shared" si="179"/>
        <v>0.68613257500725822</v>
      </c>
      <c r="BO118">
        <v>7177</v>
      </c>
      <c r="BP118">
        <v>290.00000000000011</v>
      </c>
      <c r="BQ118">
        <v>759.08</v>
      </c>
      <c r="BR118">
        <v>255</v>
      </c>
      <c r="BS118">
        <v>8111.12</v>
      </c>
      <c r="BT118">
        <v>759.54</v>
      </c>
      <c r="BU118">
        <v>-0.46</v>
      </c>
      <c r="BV118">
        <v>300.00000000000011</v>
      </c>
      <c r="BW118">
        <v>19.2</v>
      </c>
      <c r="BX118">
        <v>790.48623342016742</v>
      </c>
      <c r="BY118">
        <v>2.1160243869482129</v>
      </c>
      <c r="BZ118">
        <v>-25.097325778703119</v>
      </c>
      <c r="CA118">
        <v>1.5769730396896551</v>
      </c>
      <c r="CB118">
        <v>0.90045618981542952</v>
      </c>
      <c r="CC118">
        <v>-4.178787986651839E-3</v>
      </c>
      <c r="CD118">
        <v>289.99999999999989</v>
      </c>
      <c r="CE118">
        <v>758.34</v>
      </c>
      <c r="CF118">
        <v>645</v>
      </c>
      <c r="CG118">
        <v>8104.95</v>
      </c>
      <c r="CH118">
        <v>759.52</v>
      </c>
      <c r="CI118">
        <v>-1.18</v>
      </c>
      <c r="CW118">
        <f t="shared" si="180"/>
        <v>1799.9</v>
      </c>
      <c r="CX118">
        <f t="shared" si="181"/>
        <v>1513.1039999933998</v>
      </c>
      <c r="CY118">
        <f t="shared" si="182"/>
        <v>0.84066003666503686</v>
      </c>
      <c r="CZ118">
        <f t="shared" si="183"/>
        <v>0.1913200733300735</v>
      </c>
      <c r="DA118">
        <v>6</v>
      </c>
      <c r="DB118">
        <v>0.5</v>
      </c>
      <c r="DC118" t="s">
        <v>417</v>
      </c>
      <c r="DD118">
        <v>2</v>
      </c>
      <c r="DE118">
        <v>1691185326.5</v>
      </c>
      <c r="DF118">
        <v>103.047</v>
      </c>
      <c r="DG118">
        <v>119.96899999999999</v>
      </c>
      <c r="DH118">
        <v>26.293600000000001</v>
      </c>
      <c r="DI118">
        <v>20.2422</v>
      </c>
      <c r="DJ118">
        <v>101.22499999999999</v>
      </c>
      <c r="DK118">
        <v>26.165500000000002</v>
      </c>
      <c r="DL118">
        <v>500.08499999999998</v>
      </c>
      <c r="DM118">
        <v>98.950299999999999</v>
      </c>
      <c r="DN118">
        <v>9.9842600000000004E-2</v>
      </c>
      <c r="DO118">
        <v>30.157299999999999</v>
      </c>
      <c r="DP118">
        <v>30.011199999999999</v>
      </c>
      <c r="DQ118">
        <v>999.9</v>
      </c>
      <c r="DR118">
        <v>0</v>
      </c>
      <c r="DS118">
        <v>0</v>
      </c>
      <c r="DT118">
        <v>10005</v>
      </c>
      <c r="DU118">
        <v>0</v>
      </c>
      <c r="DV118">
        <v>898.98800000000006</v>
      </c>
      <c r="DW118">
        <v>-16.922599999999999</v>
      </c>
      <c r="DX118">
        <v>105.83</v>
      </c>
      <c r="DY118">
        <v>122.44799999999999</v>
      </c>
      <c r="DZ118">
        <v>6.0514999999999999</v>
      </c>
      <c r="EA118">
        <v>119.96899999999999</v>
      </c>
      <c r="EB118">
        <v>20.2422</v>
      </c>
      <c r="EC118">
        <v>2.6017600000000001</v>
      </c>
      <c r="ED118">
        <v>2.0029699999999999</v>
      </c>
      <c r="EE118">
        <v>21.677499999999998</v>
      </c>
      <c r="EF118">
        <v>17.4678</v>
      </c>
      <c r="EG118">
        <v>1799.9</v>
      </c>
      <c r="EH118">
        <v>0.97799700000000001</v>
      </c>
      <c r="EI118">
        <v>2.20033E-2</v>
      </c>
      <c r="EJ118">
        <v>0</v>
      </c>
      <c r="EK118">
        <v>679.56500000000005</v>
      </c>
      <c r="EL118">
        <v>0.10001</v>
      </c>
      <c r="EM118">
        <v>16636.099999999999</v>
      </c>
      <c r="EN118">
        <v>16352.6</v>
      </c>
      <c r="EO118">
        <v>48.811999999999998</v>
      </c>
      <c r="EP118">
        <v>50.75</v>
      </c>
      <c r="EQ118">
        <v>50.25</v>
      </c>
      <c r="ER118">
        <v>49.436999999999998</v>
      </c>
      <c r="ES118">
        <v>50.125</v>
      </c>
      <c r="ET118">
        <v>1760.2</v>
      </c>
      <c r="EU118">
        <v>39.6</v>
      </c>
      <c r="EV118">
        <v>0</v>
      </c>
      <c r="EW118">
        <v>103.2000000476837</v>
      </c>
      <c r="EX118">
        <v>0</v>
      </c>
      <c r="EY118">
        <v>680.39279999999997</v>
      </c>
      <c r="EZ118">
        <v>-4.038077036758116</v>
      </c>
      <c r="FA118">
        <v>317.35384299407531</v>
      </c>
      <c r="FB118">
        <v>16654.12</v>
      </c>
      <c r="FC118">
        <v>15</v>
      </c>
      <c r="FD118">
        <v>1691185299</v>
      </c>
      <c r="FE118" t="s">
        <v>938</v>
      </c>
      <c r="FF118">
        <v>1691185296</v>
      </c>
      <c r="FG118">
        <v>1691185299</v>
      </c>
      <c r="FH118">
        <v>114</v>
      </c>
      <c r="FI118">
        <v>-3.1E-2</v>
      </c>
      <c r="FJ118">
        <v>-3.0000000000000001E-3</v>
      </c>
      <c r="FK118">
        <v>1.8740000000000001</v>
      </c>
      <c r="FL118">
        <v>2.7E-2</v>
      </c>
      <c r="FM118">
        <v>120</v>
      </c>
      <c r="FN118">
        <v>20</v>
      </c>
      <c r="FO118">
        <v>0.28999999999999998</v>
      </c>
      <c r="FP118">
        <v>0.03</v>
      </c>
      <c r="FQ118">
        <v>13.59931932933454</v>
      </c>
      <c r="FR118">
        <v>-0.42383718532529829</v>
      </c>
      <c r="FS118">
        <v>5.8509213543577729E-2</v>
      </c>
      <c r="FT118">
        <v>1</v>
      </c>
      <c r="FU118">
        <v>0.31713072669795578</v>
      </c>
      <c r="FV118">
        <v>2.957597541324718E-2</v>
      </c>
      <c r="FW118">
        <v>3.6467135719195341E-3</v>
      </c>
      <c r="FX118">
        <v>1</v>
      </c>
      <c r="FY118">
        <v>2</v>
      </c>
      <c r="FZ118">
        <v>2</v>
      </c>
      <c r="GA118" t="s">
        <v>419</v>
      </c>
      <c r="GB118">
        <v>2.88287</v>
      </c>
      <c r="GC118">
        <v>2.8210799999999998</v>
      </c>
      <c r="GD118">
        <v>2.5790299999999999E-2</v>
      </c>
      <c r="GE118">
        <v>3.0527200000000001E-2</v>
      </c>
      <c r="GF118">
        <v>0.12119199999999999</v>
      </c>
      <c r="GG118">
        <v>0.10161100000000001</v>
      </c>
      <c r="GH118">
        <v>29829.1</v>
      </c>
      <c r="GI118">
        <v>27683.7</v>
      </c>
      <c r="GJ118">
        <v>28194.799999999999</v>
      </c>
      <c r="GK118">
        <v>26827.3</v>
      </c>
      <c r="GL118">
        <v>34966.1</v>
      </c>
      <c r="GM118">
        <v>33672.699999999997</v>
      </c>
      <c r="GN118">
        <v>41477.5</v>
      </c>
      <c r="GO118">
        <v>38828.800000000003</v>
      </c>
      <c r="GP118">
        <v>1.9930000000000001</v>
      </c>
      <c r="GQ118">
        <v>1.6637999999999999</v>
      </c>
      <c r="GR118">
        <v>-4.6446899999999999E-2</v>
      </c>
      <c r="GS118">
        <v>0</v>
      </c>
      <c r="GT118">
        <v>30.7666</v>
      </c>
      <c r="GU118">
        <v>999.9</v>
      </c>
      <c r="GV118">
        <v>45.1</v>
      </c>
      <c r="GW118">
        <v>43.9</v>
      </c>
      <c r="GX118">
        <v>41.498800000000003</v>
      </c>
      <c r="GY118">
        <v>62.724299999999999</v>
      </c>
      <c r="GZ118">
        <v>29.2788</v>
      </c>
      <c r="HA118">
        <v>1</v>
      </c>
      <c r="HB118">
        <v>1.0704499999999999</v>
      </c>
      <c r="HC118">
        <v>5.4696300000000004</v>
      </c>
      <c r="HD118">
        <v>20.160699999999999</v>
      </c>
      <c r="HE118">
        <v>5.2083000000000004</v>
      </c>
      <c r="HF118">
        <v>12.004</v>
      </c>
      <c r="HG118">
        <v>4.9874000000000001</v>
      </c>
      <c r="HH118">
        <v>3.2909999999999999</v>
      </c>
      <c r="HI118">
        <v>9999</v>
      </c>
      <c r="HJ118">
        <v>9999</v>
      </c>
      <c r="HK118">
        <v>9999</v>
      </c>
      <c r="HL118">
        <v>999.9</v>
      </c>
      <c r="HM118">
        <v>1.8666100000000001</v>
      </c>
      <c r="HN118">
        <v>1.8667199999999999</v>
      </c>
      <c r="HO118">
        <v>1.8632</v>
      </c>
      <c r="HP118">
        <v>1.86435</v>
      </c>
      <c r="HQ118">
        <v>1.86399</v>
      </c>
      <c r="HR118">
        <v>1.8598300000000001</v>
      </c>
      <c r="HS118">
        <v>1.8629899999999999</v>
      </c>
      <c r="HT118">
        <v>1.86575</v>
      </c>
      <c r="HU118">
        <v>5</v>
      </c>
      <c r="HV118">
        <v>0</v>
      </c>
      <c r="HW118">
        <v>0</v>
      </c>
      <c r="HX118">
        <v>0</v>
      </c>
      <c r="HY118" t="s">
        <v>420</v>
      </c>
      <c r="HZ118" t="s">
        <v>421</v>
      </c>
      <c r="IA118" t="s">
        <v>422</v>
      </c>
      <c r="IB118" t="s">
        <v>422</v>
      </c>
      <c r="IC118" t="s">
        <v>422</v>
      </c>
      <c r="ID118" t="s">
        <v>422</v>
      </c>
      <c r="IE118">
        <v>0</v>
      </c>
      <c r="IF118">
        <v>100</v>
      </c>
      <c r="IG118">
        <v>100</v>
      </c>
      <c r="IH118">
        <v>1.8220000000000001</v>
      </c>
      <c r="II118">
        <v>0.12809999999999999</v>
      </c>
      <c r="IJ118">
        <v>1.484494294879168</v>
      </c>
      <c r="IK118">
        <v>3.5576830062418229E-3</v>
      </c>
      <c r="IL118">
        <v>-2.2646740813029151E-6</v>
      </c>
      <c r="IM118">
        <v>6.9609298295988525E-10</v>
      </c>
      <c r="IN118">
        <v>-0.13805976685878049</v>
      </c>
      <c r="IO118">
        <v>-9.4437069492282083E-4</v>
      </c>
      <c r="IP118">
        <v>5.2900373165634467E-4</v>
      </c>
      <c r="IQ118">
        <v>-3.977656803091445E-6</v>
      </c>
      <c r="IR118">
        <v>2</v>
      </c>
      <c r="IS118">
        <v>1759</v>
      </c>
      <c r="IT118">
        <v>2</v>
      </c>
      <c r="IU118">
        <v>42</v>
      </c>
      <c r="IV118">
        <v>0.5</v>
      </c>
      <c r="IW118">
        <v>0.5</v>
      </c>
      <c r="IX118">
        <v>0.384521</v>
      </c>
      <c r="IY118">
        <v>2.4670399999999999</v>
      </c>
      <c r="IZ118">
        <v>1.54297</v>
      </c>
      <c r="JA118">
        <v>2.3022499999999999</v>
      </c>
      <c r="JB118">
        <v>1.5466299999999999</v>
      </c>
      <c r="JC118">
        <v>2.36694</v>
      </c>
      <c r="JD118">
        <v>47.242100000000001</v>
      </c>
      <c r="JE118">
        <v>24.07</v>
      </c>
      <c r="JF118">
        <v>18</v>
      </c>
      <c r="JG118">
        <v>533.76199999999994</v>
      </c>
      <c r="JH118">
        <v>419.95400000000001</v>
      </c>
      <c r="JI118">
        <v>24.135899999999999</v>
      </c>
      <c r="JJ118">
        <v>39.795499999999997</v>
      </c>
      <c r="JK118">
        <v>30.000299999999999</v>
      </c>
      <c r="JL118">
        <v>40.128100000000003</v>
      </c>
      <c r="JM118">
        <v>40.109400000000001</v>
      </c>
      <c r="JN118">
        <v>7.7962400000000001</v>
      </c>
      <c r="JO118">
        <v>57.365099999999998</v>
      </c>
      <c r="JP118">
        <v>0</v>
      </c>
      <c r="JQ118">
        <v>24.1402</v>
      </c>
      <c r="JR118">
        <v>120</v>
      </c>
      <c r="JS118">
        <v>20.2163</v>
      </c>
      <c r="JT118">
        <v>98.277600000000007</v>
      </c>
      <c r="JU118">
        <v>96.067300000000003</v>
      </c>
    </row>
    <row r="119" spans="1:281" x14ac:dyDescent="0.25">
      <c r="A119">
        <v>103</v>
      </c>
      <c r="B119">
        <v>1691185439.5</v>
      </c>
      <c r="C119">
        <v>24528</v>
      </c>
      <c r="D119" t="s">
        <v>939</v>
      </c>
      <c r="E119" t="s">
        <v>940</v>
      </c>
      <c r="F119" t="s">
        <v>413</v>
      </c>
      <c r="G119" t="s">
        <v>707</v>
      </c>
      <c r="H119" t="s">
        <v>491</v>
      </c>
      <c r="I119" t="s">
        <v>490</v>
      </c>
      <c r="J119">
        <v>1691185439.5</v>
      </c>
      <c r="K119">
        <f t="shared" si="138"/>
        <v>5.5611218792926678E-3</v>
      </c>
      <c r="L119">
        <f t="shared" si="139"/>
        <v>5.561121879292668</v>
      </c>
      <c r="M119">
        <f t="shared" si="140"/>
        <v>8.4616441741650661</v>
      </c>
      <c r="N119">
        <f t="shared" si="141"/>
        <v>59.511899999999997</v>
      </c>
      <c r="O119">
        <f t="shared" si="142"/>
        <v>16.574562999355766</v>
      </c>
      <c r="P119">
        <f t="shared" si="143"/>
        <v>1.6416759236968981</v>
      </c>
      <c r="Q119">
        <f t="shared" si="144"/>
        <v>5.8945296722003997</v>
      </c>
      <c r="R119">
        <f t="shared" si="145"/>
        <v>0.34118297327660624</v>
      </c>
      <c r="S119">
        <f t="shared" si="146"/>
        <v>2.9035833383696064</v>
      </c>
      <c r="T119">
        <f t="shared" si="147"/>
        <v>0.32037281667106832</v>
      </c>
      <c r="U119">
        <f t="shared" si="148"/>
        <v>0.20199685930887579</v>
      </c>
      <c r="V119">
        <f t="shared" si="149"/>
        <v>344.37979998680015</v>
      </c>
      <c r="W119">
        <f t="shared" si="150"/>
        <v>30.739682908886792</v>
      </c>
      <c r="X119">
        <f t="shared" si="151"/>
        <v>29.995799999999999</v>
      </c>
      <c r="Y119">
        <f t="shared" si="152"/>
        <v>4.259422070140201</v>
      </c>
      <c r="Z119">
        <f t="shared" si="153"/>
        <v>60.489849162049012</v>
      </c>
      <c r="AA119">
        <f t="shared" si="154"/>
        <v>2.5996512225024002</v>
      </c>
      <c r="AB119">
        <f t="shared" si="155"/>
        <v>4.2976652422096082</v>
      </c>
      <c r="AC119">
        <f t="shared" si="156"/>
        <v>1.6597708476378008</v>
      </c>
      <c r="AD119">
        <f t="shared" si="157"/>
        <v>-245.24547487680664</v>
      </c>
      <c r="AE119">
        <f t="shared" si="158"/>
        <v>24.372964254874891</v>
      </c>
      <c r="AF119">
        <f t="shared" si="159"/>
        <v>1.8677976747110618</v>
      </c>
      <c r="AG119">
        <f t="shared" si="160"/>
        <v>125.37508703957948</v>
      </c>
      <c r="AH119">
        <v>0</v>
      </c>
      <c r="AI119">
        <v>0</v>
      </c>
      <c r="AJ119">
        <f t="shared" si="161"/>
        <v>1</v>
      </c>
      <c r="AK119">
        <f t="shared" si="162"/>
        <v>0</v>
      </c>
      <c r="AL119">
        <f t="shared" si="163"/>
        <v>51565.640916016884</v>
      </c>
      <c r="AM119" t="s">
        <v>414</v>
      </c>
      <c r="AN119">
        <v>10111.299999999999</v>
      </c>
      <c r="AO119">
        <v>608.58839999999998</v>
      </c>
      <c r="AP119">
        <v>2150.11</v>
      </c>
      <c r="AQ119">
        <f t="shared" si="164"/>
        <v>0.71695010952927984</v>
      </c>
      <c r="AR119">
        <v>-1.1786277417053079</v>
      </c>
      <c r="AS119" t="s">
        <v>941</v>
      </c>
      <c r="AT119">
        <v>8112.55</v>
      </c>
      <c r="AU119">
        <v>686.29019230769234</v>
      </c>
      <c r="AV119">
        <v>761.91490341202541</v>
      </c>
      <c r="AW119">
        <f t="shared" si="165"/>
        <v>9.9256112153297771E-2</v>
      </c>
      <c r="AX119">
        <v>0.5</v>
      </c>
      <c r="AY119">
        <f t="shared" si="166"/>
        <v>1513.2047999934</v>
      </c>
      <c r="AZ119">
        <f t="shared" si="167"/>
        <v>8.4616441741650661</v>
      </c>
      <c r="BA119">
        <f t="shared" si="168"/>
        <v>75.097412669526719</v>
      </c>
      <c r="BB119">
        <f t="shared" si="169"/>
        <v>6.3707648270164225E-3</v>
      </c>
      <c r="BC119">
        <f t="shared" si="170"/>
        <v>1.821981812366875</v>
      </c>
      <c r="BD119">
        <f t="shared" si="171"/>
        <v>401.51987937302152</v>
      </c>
      <c r="BE119" t="s">
        <v>942</v>
      </c>
      <c r="BF119">
        <v>537.46</v>
      </c>
      <c r="BG119">
        <f t="shared" si="172"/>
        <v>537.46</v>
      </c>
      <c r="BH119">
        <f t="shared" si="173"/>
        <v>0.29459313947904953</v>
      </c>
      <c r="BI119">
        <f t="shared" si="174"/>
        <v>0.33692608160807686</v>
      </c>
      <c r="BJ119">
        <f t="shared" si="175"/>
        <v>0.86081610801350228</v>
      </c>
      <c r="BK119">
        <f t="shared" si="176"/>
        <v>0.4932266074124913</v>
      </c>
      <c r="BL119">
        <f t="shared" si="177"/>
        <v>0.90053561142962546</v>
      </c>
      <c r="BM119">
        <f t="shared" si="178"/>
        <v>0.26385965273985645</v>
      </c>
      <c r="BN119">
        <f t="shared" si="179"/>
        <v>0.73614034726014355</v>
      </c>
      <c r="BO119">
        <v>7179</v>
      </c>
      <c r="BP119">
        <v>290.00000000000011</v>
      </c>
      <c r="BQ119">
        <v>737.65</v>
      </c>
      <c r="BR119">
        <v>225</v>
      </c>
      <c r="BS119">
        <v>8112.55</v>
      </c>
      <c r="BT119">
        <v>737.05</v>
      </c>
      <c r="BU119">
        <v>0.6</v>
      </c>
      <c r="BV119">
        <v>300.00000000000011</v>
      </c>
      <c r="BW119">
        <v>19.2</v>
      </c>
      <c r="BX119">
        <v>761.91490341202541</v>
      </c>
      <c r="BY119">
        <v>2.5974926896110651</v>
      </c>
      <c r="BZ119">
        <v>-20.175712110193601</v>
      </c>
      <c r="CA119">
        <v>1.935842167582837</v>
      </c>
      <c r="CB119">
        <v>0.79505499105111255</v>
      </c>
      <c r="CC119">
        <v>-4.1790024471635226E-3</v>
      </c>
      <c r="CD119">
        <v>289.99999999999989</v>
      </c>
      <c r="CE119">
        <v>736.06</v>
      </c>
      <c r="CF119">
        <v>665</v>
      </c>
      <c r="CG119">
        <v>8104.78</v>
      </c>
      <c r="CH119">
        <v>737.02</v>
      </c>
      <c r="CI119">
        <v>-0.96</v>
      </c>
      <c r="CW119">
        <f t="shared" si="180"/>
        <v>1800.02</v>
      </c>
      <c r="CX119">
        <f t="shared" si="181"/>
        <v>1513.2047999934</v>
      </c>
      <c r="CY119">
        <f t="shared" si="182"/>
        <v>0.84065999266308156</v>
      </c>
      <c r="CZ119">
        <f t="shared" si="183"/>
        <v>0.19131998532616312</v>
      </c>
      <c r="DA119">
        <v>6</v>
      </c>
      <c r="DB119">
        <v>0.5</v>
      </c>
      <c r="DC119" t="s">
        <v>417</v>
      </c>
      <c r="DD119">
        <v>2</v>
      </c>
      <c r="DE119">
        <v>1691185439.5</v>
      </c>
      <c r="DF119">
        <v>59.511899999999997</v>
      </c>
      <c r="DG119">
        <v>70.062700000000007</v>
      </c>
      <c r="DH119">
        <v>26.246400000000001</v>
      </c>
      <c r="DI119">
        <v>19.7484</v>
      </c>
      <c r="DJ119">
        <v>57.767499999999998</v>
      </c>
      <c r="DK119">
        <v>26.115100000000002</v>
      </c>
      <c r="DL119">
        <v>500.01499999999999</v>
      </c>
      <c r="DM119">
        <v>98.947699999999998</v>
      </c>
      <c r="DN119">
        <v>0.100216</v>
      </c>
      <c r="DO119">
        <v>30.151499999999999</v>
      </c>
      <c r="DP119">
        <v>29.995799999999999</v>
      </c>
      <c r="DQ119">
        <v>999.9</v>
      </c>
      <c r="DR119">
        <v>0</v>
      </c>
      <c r="DS119">
        <v>0</v>
      </c>
      <c r="DT119">
        <v>9957.5</v>
      </c>
      <c r="DU119">
        <v>0</v>
      </c>
      <c r="DV119">
        <v>1087.8399999999999</v>
      </c>
      <c r="DW119">
        <v>-10.550800000000001</v>
      </c>
      <c r="DX119">
        <v>61.115900000000003</v>
      </c>
      <c r="DY119">
        <v>71.474199999999996</v>
      </c>
      <c r="DZ119">
        <v>6.4980000000000002</v>
      </c>
      <c r="EA119">
        <v>70.062700000000007</v>
      </c>
      <c r="EB119">
        <v>19.7484</v>
      </c>
      <c r="EC119">
        <v>2.5970200000000001</v>
      </c>
      <c r="ED119">
        <v>1.9540599999999999</v>
      </c>
      <c r="EE119">
        <v>21.647600000000001</v>
      </c>
      <c r="EF119">
        <v>17.076899999999998</v>
      </c>
      <c r="EG119">
        <v>1800.02</v>
      </c>
      <c r="EH119">
        <v>0.97799700000000001</v>
      </c>
      <c r="EI119">
        <v>2.20033E-2</v>
      </c>
      <c r="EJ119">
        <v>0</v>
      </c>
      <c r="EK119">
        <v>687.18499999999995</v>
      </c>
      <c r="EL119">
        <v>0.10001</v>
      </c>
      <c r="EM119">
        <v>16738.599999999999</v>
      </c>
      <c r="EN119">
        <v>16353.6</v>
      </c>
      <c r="EO119">
        <v>48.75</v>
      </c>
      <c r="EP119">
        <v>50.686999999999998</v>
      </c>
      <c r="EQ119">
        <v>50.186999999999998</v>
      </c>
      <c r="ER119">
        <v>49.436999999999998</v>
      </c>
      <c r="ES119">
        <v>50.125</v>
      </c>
      <c r="ET119">
        <v>1760.32</v>
      </c>
      <c r="EU119">
        <v>39.6</v>
      </c>
      <c r="EV119">
        <v>0</v>
      </c>
      <c r="EW119">
        <v>111</v>
      </c>
      <c r="EX119">
        <v>0</v>
      </c>
      <c r="EY119">
        <v>686.29019230769234</v>
      </c>
      <c r="EZ119">
        <v>1.41316250400668</v>
      </c>
      <c r="FA119">
        <v>-101.6683744076292</v>
      </c>
      <c r="FB119">
        <v>16784.06923076923</v>
      </c>
      <c r="FC119">
        <v>15</v>
      </c>
      <c r="FD119">
        <v>1691185411.5</v>
      </c>
      <c r="FE119" t="s">
        <v>943</v>
      </c>
      <c r="FF119">
        <v>1691185397.5</v>
      </c>
      <c r="FG119">
        <v>1691185411.5</v>
      </c>
      <c r="FH119">
        <v>115</v>
      </c>
      <c r="FI119">
        <v>6.2E-2</v>
      </c>
      <c r="FJ119">
        <v>4.0000000000000001E-3</v>
      </c>
      <c r="FK119">
        <v>1.778</v>
      </c>
      <c r="FL119">
        <v>2.5000000000000001E-2</v>
      </c>
      <c r="FM119">
        <v>70</v>
      </c>
      <c r="FN119">
        <v>20</v>
      </c>
      <c r="FO119">
        <v>0.32</v>
      </c>
      <c r="FP119">
        <v>0.03</v>
      </c>
      <c r="FQ119">
        <v>8.445841277963348</v>
      </c>
      <c r="FR119">
        <v>-0.43789529544959649</v>
      </c>
      <c r="FS119">
        <v>6.6607795276462461E-2</v>
      </c>
      <c r="FT119">
        <v>1</v>
      </c>
      <c r="FU119">
        <v>0.34222013956132991</v>
      </c>
      <c r="FV119">
        <v>-4.282983464033091E-2</v>
      </c>
      <c r="FW119">
        <v>3.301277452294654E-3</v>
      </c>
      <c r="FX119">
        <v>1</v>
      </c>
      <c r="FY119">
        <v>2</v>
      </c>
      <c r="FZ119">
        <v>2</v>
      </c>
      <c r="GA119" t="s">
        <v>419</v>
      </c>
      <c r="GB119">
        <v>2.8825599999999998</v>
      </c>
      <c r="GC119">
        <v>2.82104</v>
      </c>
      <c r="GD119">
        <v>1.49321E-2</v>
      </c>
      <c r="GE119">
        <v>1.8178199999999999E-2</v>
      </c>
      <c r="GF119">
        <v>0.12101000000000001</v>
      </c>
      <c r="GG119">
        <v>9.9842600000000004E-2</v>
      </c>
      <c r="GH119">
        <v>30157.4</v>
      </c>
      <c r="GI119">
        <v>28032.1</v>
      </c>
      <c r="GJ119">
        <v>28192.2</v>
      </c>
      <c r="GK119">
        <v>26824.6</v>
      </c>
      <c r="GL119">
        <v>34970.199999999997</v>
      </c>
      <c r="GM119">
        <v>33735.4</v>
      </c>
      <c r="GN119">
        <v>41473.699999999997</v>
      </c>
      <c r="GO119">
        <v>38825</v>
      </c>
      <c r="GP119">
        <v>1.9927999999999999</v>
      </c>
      <c r="GQ119">
        <v>1.6617</v>
      </c>
      <c r="GR119">
        <v>-5.0351E-2</v>
      </c>
      <c r="GS119">
        <v>0</v>
      </c>
      <c r="GT119">
        <v>30.814699999999998</v>
      </c>
      <c r="GU119">
        <v>999.9</v>
      </c>
      <c r="GV119">
        <v>45</v>
      </c>
      <c r="GW119">
        <v>43.9</v>
      </c>
      <c r="GX119">
        <v>41.405299999999997</v>
      </c>
      <c r="GY119">
        <v>62.7943</v>
      </c>
      <c r="GZ119">
        <v>28.802099999999999</v>
      </c>
      <c r="HA119">
        <v>1</v>
      </c>
      <c r="HB119">
        <v>1.07457</v>
      </c>
      <c r="HC119">
        <v>5.2125199999999996</v>
      </c>
      <c r="HD119">
        <v>20.1678</v>
      </c>
      <c r="HE119">
        <v>5.2095000000000002</v>
      </c>
      <c r="HF119">
        <v>11.9986</v>
      </c>
      <c r="HG119">
        <v>4.9880000000000004</v>
      </c>
      <c r="HH119">
        <v>3.2909999999999999</v>
      </c>
      <c r="HI119">
        <v>9999</v>
      </c>
      <c r="HJ119">
        <v>9999</v>
      </c>
      <c r="HK119">
        <v>9999</v>
      </c>
      <c r="HL119">
        <v>999.9</v>
      </c>
      <c r="HM119">
        <v>1.8666499999999999</v>
      </c>
      <c r="HN119">
        <v>1.86673</v>
      </c>
      <c r="HO119">
        <v>1.8632200000000001</v>
      </c>
      <c r="HP119">
        <v>1.8644400000000001</v>
      </c>
      <c r="HQ119">
        <v>1.86399</v>
      </c>
      <c r="HR119">
        <v>1.8598699999999999</v>
      </c>
      <c r="HS119">
        <v>1.8630100000000001</v>
      </c>
      <c r="HT119">
        <v>1.86582</v>
      </c>
      <c r="HU119">
        <v>5</v>
      </c>
      <c r="HV119">
        <v>0</v>
      </c>
      <c r="HW119">
        <v>0</v>
      </c>
      <c r="HX119">
        <v>0</v>
      </c>
      <c r="HY119" t="s">
        <v>420</v>
      </c>
      <c r="HZ119" t="s">
        <v>421</v>
      </c>
      <c r="IA119" t="s">
        <v>422</v>
      </c>
      <c r="IB119" t="s">
        <v>422</v>
      </c>
      <c r="IC119" t="s">
        <v>422</v>
      </c>
      <c r="ID119" t="s">
        <v>422</v>
      </c>
      <c r="IE119">
        <v>0</v>
      </c>
      <c r="IF119">
        <v>100</v>
      </c>
      <c r="IG119">
        <v>100</v>
      </c>
      <c r="IH119">
        <v>1.744</v>
      </c>
      <c r="II119">
        <v>0.1313</v>
      </c>
      <c r="IJ119">
        <v>1.546249914856294</v>
      </c>
      <c r="IK119">
        <v>3.5576830062418229E-3</v>
      </c>
      <c r="IL119">
        <v>-2.2646740813029151E-6</v>
      </c>
      <c r="IM119">
        <v>6.9609298295988525E-10</v>
      </c>
      <c r="IN119">
        <v>-0.1339775256572687</v>
      </c>
      <c r="IO119">
        <v>-9.4437069492282083E-4</v>
      </c>
      <c r="IP119">
        <v>5.2900373165634467E-4</v>
      </c>
      <c r="IQ119">
        <v>-3.977656803091445E-6</v>
      </c>
      <c r="IR119">
        <v>2</v>
      </c>
      <c r="IS119">
        <v>1759</v>
      </c>
      <c r="IT119">
        <v>2</v>
      </c>
      <c r="IU119">
        <v>42</v>
      </c>
      <c r="IV119">
        <v>0.7</v>
      </c>
      <c r="IW119">
        <v>0.5</v>
      </c>
      <c r="IX119">
        <v>0.27099600000000001</v>
      </c>
      <c r="IY119">
        <v>2.47803</v>
      </c>
      <c r="IZ119">
        <v>1.54297</v>
      </c>
      <c r="JA119">
        <v>2.3022499999999999</v>
      </c>
      <c r="JB119">
        <v>1.5466299999999999</v>
      </c>
      <c r="JC119">
        <v>2.4169900000000002</v>
      </c>
      <c r="JD119">
        <v>47.361699999999999</v>
      </c>
      <c r="JE119">
        <v>24.078700000000001</v>
      </c>
      <c r="JF119">
        <v>18</v>
      </c>
      <c r="JG119">
        <v>534.13099999999997</v>
      </c>
      <c r="JH119">
        <v>418.99099999999999</v>
      </c>
      <c r="JI119">
        <v>24.334299999999999</v>
      </c>
      <c r="JJ119">
        <v>39.873800000000003</v>
      </c>
      <c r="JK119">
        <v>30.000499999999999</v>
      </c>
      <c r="JL119">
        <v>40.193399999999997</v>
      </c>
      <c r="JM119">
        <v>40.176099999999998</v>
      </c>
      <c r="JN119">
        <v>5.5221499999999999</v>
      </c>
      <c r="JO119">
        <v>58.423400000000001</v>
      </c>
      <c r="JP119">
        <v>0</v>
      </c>
      <c r="JQ119">
        <v>24.333500000000001</v>
      </c>
      <c r="JR119">
        <v>70</v>
      </c>
      <c r="JS119">
        <v>19.645499999999998</v>
      </c>
      <c r="JT119">
        <v>98.268500000000003</v>
      </c>
      <c r="JU119">
        <v>96.057900000000004</v>
      </c>
    </row>
    <row r="120" spans="1:281" x14ac:dyDescent="0.25">
      <c r="A120">
        <v>104</v>
      </c>
      <c r="B120">
        <v>1691185541.5</v>
      </c>
      <c r="C120">
        <v>24630</v>
      </c>
      <c r="D120" t="s">
        <v>944</v>
      </c>
      <c r="E120" t="s">
        <v>945</v>
      </c>
      <c r="F120" t="s">
        <v>413</v>
      </c>
      <c r="G120" t="s">
        <v>707</v>
      </c>
      <c r="H120" t="s">
        <v>491</v>
      </c>
      <c r="I120" t="s">
        <v>490</v>
      </c>
      <c r="J120">
        <v>1691185541.5</v>
      </c>
      <c r="K120">
        <f t="shared" si="138"/>
        <v>5.8144001278761159E-3</v>
      </c>
      <c r="L120">
        <f t="shared" si="139"/>
        <v>5.8144001278761159</v>
      </c>
      <c r="M120">
        <f t="shared" si="140"/>
        <v>3.7878784885500969</v>
      </c>
      <c r="N120">
        <f t="shared" si="141"/>
        <v>25.310199999999998</v>
      </c>
      <c r="O120">
        <f t="shared" si="142"/>
        <v>7.0211924450055117</v>
      </c>
      <c r="P120">
        <f t="shared" si="143"/>
        <v>0.69544462232734661</v>
      </c>
      <c r="Q120">
        <f t="shared" si="144"/>
        <v>2.5069591266581197</v>
      </c>
      <c r="R120">
        <f t="shared" si="145"/>
        <v>0.35938618380970044</v>
      </c>
      <c r="S120">
        <f t="shared" si="146"/>
        <v>2.9215309515370964</v>
      </c>
      <c r="T120">
        <f t="shared" si="147"/>
        <v>0.33650824344488423</v>
      </c>
      <c r="U120">
        <f t="shared" si="148"/>
        <v>0.21225166554613484</v>
      </c>
      <c r="V120">
        <f t="shared" si="149"/>
        <v>344.37469998679666</v>
      </c>
      <c r="W120">
        <f t="shared" si="150"/>
        <v>30.675400661078488</v>
      </c>
      <c r="X120">
        <f t="shared" si="151"/>
        <v>29.985399999999998</v>
      </c>
      <c r="Y120">
        <f t="shared" si="152"/>
        <v>4.2568782133199878</v>
      </c>
      <c r="Z120">
        <f t="shared" si="153"/>
        <v>60.590427369217245</v>
      </c>
      <c r="AA120">
        <f t="shared" si="154"/>
        <v>2.6047208455703199</v>
      </c>
      <c r="AB120">
        <f t="shared" si="155"/>
        <v>4.2988982891605074</v>
      </c>
      <c r="AC120">
        <f t="shared" si="156"/>
        <v>1.6521573677496679</v>
      </c>
      <c r="AD120">
        <f t="shared" si="157"/>
        <v>-256.41504563933671</v>
      </c>
      <c r="AE120">
        <f t="shared" si="158"/>
        <v>26.94920416640117</v>
      </c>
      <c r="AF120">
        <f t="shared" si="159"/>
        <v>2.052483271935718</v>
      </c>
      <c r="AG120">
        <f t="shared" si="160"/>
        <v>116.96134178579685</v>
      </c>
      <c r="AH120">
        <v>0</v>
      </c>
      <c r="AI120">
        <v>0</v>
      </c>
      <c r="AJ120">
        <f t="shared" si="161"/>
        <v>1</v>
      </c>
      <c r="AK120">
        <f t="shared" si="162"/>
        <v>0</v>
      </c>
      <c r="AL120">
        <f t="shared" si="163"/>
        <v>52074.830980198662</v>
      </c>
      <c r="AM120" t="s">
        <v>414</v>
      </c>
      <c r="AN120">
        <v>10111.299999999999</v>
      </c>
      <c r="AO120">
        <v>608.58839999999998</v>
      </c>
      <c r="AP120">
        <v>2150.11</v>
      </c>
      <c r="AQ120">
        <f t="shared" si="164"/>
        <v>0.71695010952927984</v>
      </c>
      <c r="AR120">
        <v>-1.1786277417053079</v>
      </c>
      <c r="AS120" t="s">
        <v>946</v>
      </c>
      <c r="AT120">
        <v>8114.86</v>
      </c>
      <c r="AU120">
        <v>694.69100000000003</v>
      </c>
      <c r="AV120">
        <v>750.40919354630057</v>
      </c>
      <c r="AW120">
        <f t="shared" si="165"/>
        <v>7.4250414341255899E-2</v>
      </c>
      <c r="AX120">
        <v>0.5</v>
      </c>
      <c r="AY120">
        <f t="shared" si="166"/>
        <v>1513.1798999933983</v>
      </c>
      <c r="AZ120">
        <f t="shared" si="167"/>
        <v>3.7878784885500969</v>
      </c>
      <c r="BA120">
        <f t="shared" si="168"/>
        <v>56.177117273684992</v>
      </c>
      <c r="BB120">
        <f t="shared" si="169"/>
        <v>3.2821650818102149E-3</v>
      </c>
      <c r="BC120">
        <f t="shared" si="170"/>
        <v>1.8652500775463079</v>
      </c>
      <c r="BD120">
        <f t="shared" si="171"/>
        <v>398.30156938211536</v>
      </c>
      <c r="BE120" t="s">
        <v>947</v>
      </c>
      <c r="BF120">
        <v>563.21</v>
      </c>
      <c r="BG120">
        <f t="shared" si="172"/>
        <v>563.21</v>
      </c>
      <c r="BH120">
        <f t="shared" si="173"/>
        <v>0.24946281996044106</v>
      </c>
      <c r="BI120">
        <f t="shared" si="174"/>
        <v>0.2976412050221765</v>
      </c>
      <c r="BJ120">
        <f t="shared" si="175"/>
        <v>0.882034662835528</v>
      </c>
      <c r="BK120">
        <f t="shared" si="176"/>
        <v>0.39287746283911518</v>
      </c>
      <c r="BL120">
        <f t="shared" si="177"/>
        <v>0.90799947691534089</v>
      </c>
      <c r="BM120">
        <f t="shared" si="178"/>
        <v>0.24130801043995104</v>
      </c>
      <c r="BN120">
        <f t="shared" si="179"/>
        <v>0.75869198956004902</v>
      </c>
      <c r="BO120">
        <v>7181</v>
      </c>
      <c r="BP120">
        <v>290.00000000000011</v>
      </c>
      <c r="BQ120">
        <v>730.59</v>
      </c>
      <c r="BR120">
        <v>185</v>
      </c>
      <c r="BS120">
        <v>8114.86</v>
      </c>
      <c r="BT120">
        <v>729.71</v>
      </c>
      <c r="BU120">
        <v>0.88</v>
      </c>
      <c r="BV120">
        <v>300.00000000000011</v>
      </c>
      <c r="BW120">
        <v>19.2</v>
      </c>
      <c r="BX120">
        <v>750.40919354630057</v>
      </c>
      <c r="BY120">
        <v>2.3895153528809701</v>
      </c>
      <c r="BZ120">
        <v>-16.79794739544165</v>
      </c>
      <c r="CA120">
        <v>1.7809377665331241</v>
      </c>
      <c r="CB120">
        <v>0.76061037272375454</v>
      </c>
      <c r="CC120">
        <v>-4.178953948832052E-3</v>
      </c>
      <c r="CD120">
        <v>289.99999999999989</v>
      </c>
      <c r="CE120">
        <v>728.01</v>
      </c>
      <c r="CF120">
        <v>755</v>
      </c>
      <c r="CG120">
        <v>8103.58</v>
      </c>
      <c r="CH120">
        <v>729.68</v>
      </c>
      <c r="CI120">
        <v>-1.67</v>
      </c>
      <c r="CW120">
        <f t="shared" si="180"/>
        <v>1799.99</v>
      </c>
      <c r="CX120">
        <f t="shared" si="181"/>
        <v>1513.1798999933983</v>
      </c>
      <c r="CY120">
        <f t="shared" si="182"/>
        <v>0.84066017033061202</v>
      </c>
      <c r="CZ120">
        <f t="shared" si="183"/>
        <v>0.19132034066122403</v>
      </c>
      <c r="DA120">
        <v>6</v>
      </c>
      <c r="DB120">
        <v>0.5</v>
      </c>
      <c r="DC120" t="s">
        <v>417</v>
      </c>
      <c r="DD120">
        <v>2</v>
      </c>
      <c r="DE120">
        <v>1691185541.5</v>
      </c>
      <c r="DF120">
        <v>25.310199999999998</v>
      </c>
      <c r="DG120">
        <v>30.032599999999999</v>
      </c>
      <c r="DH120">
        <v>26.2972</v>
      </c>
      <c r="DI120">
        <v>19.5029</v>
      </c>
      <c r="DJ120">
        <v>23.606000000000002</v>
      </c>
      <c r="DK120">
        <v>26.167200000000001</v>
      </c>
      <c r="DL120">
        <v>499.96300000000002</v>
      </c>
      <c r="DM120">
        <v>98.9499</v>
      </c>
      <c r="DN120">
        <v>9.9460599999999996E-2</v>
      </c>
      <c r="DO120">
        <v>30.156500000000001</v>
      </c>
      <c r="DP120">
        <v>29.985399999999998</v>
      </c>
      <c r="DQ120">
        <v>999.9</v>
      </c>
      <c r="DR120">
        <v>0</v>
      </c>
      <c r="DS120">
        <v>0</v>
      </c>
      <c r="DT120">
        <v>10060</v>
      </c>
      <c r="DU120">
        <v>0</v>
      </c>
      <c r="DV120">
        <v>455.99099999999999</v>
      </c>
      <c r="DW120">
        <v>-4.7223600000000001</v>
      </c>
      <c r="DX120">
        <v>25.9938</v>
      </c>
      <c r="DY120">
        <v>30.629899999999999</v>
      </c>
      <c r="DZ120">
        <v>6.7943699999999998</v>
      </c>
      <c r="EA120">
        <v>30.032599999999999</v>
      </c>
      <c r="EB120">
        <v>19.5029</v>
      </c>
      <c r="EC120">
        <v>2.6021100000000001</v>
      </c>
      <c r="ED120">
        <v>1.92981</v>
      </c>
      <c r="EE120">
        <v>21.6797</v>
      </c>
      <c r="EF120">
        <v>16.879899999999999</v>
      </c>
      <c r="EG120">
        <v>1799.99</v>
      </c>
      <c r="EH120">
        <v>0.977993</v>
      </c>
      <c r="EI120">
        <v>2.2006899999999999E-2</v>
      </c>
      <c r="EJ120">
        <v>0</v>
      </c>
      <c r="EK120">
        <v>694.55499999999995</v>
      </c>
      <c r="EL120">
        <v>0.10001</v>
      </c>
      <c r="EM120">
        <v>17073.5</v>
      </c>
      <c r="EN120">
        <v>16353.3</v>
      </c>
      <c r="EO120">
        <v>48.75</v>
      </c>
      <c r="EP120">
        <v>50.686999999999998</v>
      </c>
      <c r="EQ120">
        <v>50.186999999999998</v>
      </c>
      <c r="ER120">
        <v>49.436999999999998</v>
      </c>
      <c r="ES120">
        <v>50.125</v>
      </c>
      <c r="ET120">
        <v>1760.28</v>
      </c>
      <c r="EU120">
        <v>39.61</v>
      </c>
      <c r="EV120">
        <v>0</v>
      </c>
      <c r="EW120">
        <v>99.799999952316284</v>
      </c>
      <c r="EX120">
        <v>0</v>
      </c>
      <c r="EY120">
        <v>694.69100000000003</v>
      </c>
      <c r="EZ120">
        <v>-3.9803845493317951</v>
      </c>
      <c r="FA120">
        <v>297.09999270892848</v>
      </c>
      <c r="FB120">
        <v>16905.34</v>
      </c>
      <c r="FC120">
        <v>15</v>
      </c>
      <c r="FD120">
        <v>1691185512.5</v>
      </c>
      <c r="FE120" t="s">
        <v>948</v>
      </c>
      <c r="FF120">
        <v>1691185498.5</v>
      </c>
      <c r="FG120">
        <v>1691185512.5</v>
      </c>
      <c r="FH120">
        <v>116</v>
      </c>
      <c r="FI120">
        <v>7.4999999999999997E-2</v>
      </c>
      <c r="FJ120">
        <v>-2E-3</v>
      </c>
      <c r="FK120">
        <v>1.72</v>
      </c>
      <c r="FL120">
        <v>1.7000000000000001E-2</v>
      </c>
      <c r="FM120">
        <v>30</v>
      </c>
      <c r="FN120">
        <v>19</v>
      </c>
      <c r="FO120">
        <v>0.68</v>
      </c>
      <c r="FP120">
        <v>0.04</v>
      </c>
      <c r="FQ120">
        <v>3.8277101775123792</v>
      </c>
      <c r="FR120">
        <v>-0.54943277686032321</v>
      </c>
      <c r="FS120">
        <v>5.6351740951489211E-2</v>
      </c>
      <c r="FT120">
        <v>1</v>
      </c>
      <c r="FU120">
        <v>0.36187735074975608</v>
      </c>
      <c r="FV120">
        <v>-1.052456864376756E-2</v>
      </c>
      <c r="FW120">
        <v>1.779836355022569E-3</v>
      </c>
      <c r="FX120">
        <v>1</v>
      </c>
      <c r="FY120">
        <v>2</v>
      </c>
      <c r="FZ120">
        <v>2</v>
      </c>
      <c r="GA120" t="s">
        <v>419</v>
      </c>
      <c r="GB120">
        <v>2.8822800000000002</v>
      </c>
      <c r="GC120">
        <v>2.82117</v>
      </c>
      <c r="GD120">
        <v>6.14082E-3</v>
      </c>
      <c r="GE120">
        <v>7.8664300000000006E-3</v>
      </c>
      <c r="GF120">
        <v>0.121161</v>
      </c>
      <c r="GG120">
        <v>9.8952100000000001E-2</v>
      </c>
      <c r="GH120">
        <v>30420</v>
      </c>
      <c r="GI120">
        <v>28319.200000000001</v>
      </c>
      <c r="GJ120">
        <v>28187.4</v>
      </c>
      <c r="GK120">
        <v>26819</v>
      </c>
      <c r="GL120">
        <v>34958.199999999997</v>
      </c>
      <c r="GM120">
        <v>33762</v>
      </c>
      <c r="GN120">
        <v>41466.199999999997</v>
      </c>
      <c r="GO120">
        <v>38817.5</v>
      </c>
      <c r="GP120">
        <v>1.9917</v>
      </c>
      <c r="GQ120">
        <v>1.6601999999999999</v>
      </c>
      <c r="GR120">
        <v>-5.2318000000000003E-2</v>
      </c>
      <c r="GS120">
        <v>0</v>
      </c>
      <c r="GT120">
        <v>30.836200000000002</v>
      </c>
      <c r="GU120">
        <v>999.9</v>
      </c>
      <c r="GV120">
        <v>45</v>
      </c>
      <c r="GW120">
        <v>43.9</v>
      </c>
      <c r="GX120">
        <v>41.409599999999998</v>
      </c>
      <c r="GY120">
        <v>62.794400000000003</v>
      </c>
      <c r="GZ120">
        <v>29.226800000000001</v>
      </c>
      <c r="HA120">
        <v>1</v>
      </c>
      <c r="HB120">
        <v>1.08325</v>
      </c>
      <c r="HC120">
        <v>5.3077100000000002</v>
      </c>
      <c r="HD120">
        <v>20.164999999999999</v>
      </c>
      <c r="HE120">
        <v>5.2088999999999999</v>
      </c>
      <c r="HF120">
        <v>11.9998</v>
      </c>
      <c r="HG120">
        <v>4.9888000000000003</v>
      </c>
      <c r="HH120">
        <v>3.2909999999999999</v>
      </c>
      <c r="HI120">
        <v>9999</v>
      </c>
      <c r="HJ120">
        <v>9999</v>
      </c>
      <c r="HK120">
        <v>9999</v>
      </c>
      <c r="HL120">
        <v>999.9</v>
      </c>
      <c r="HM120">
        <v>1.8666499999999999</v>
      </c>
      <c r="HN120">
        <v>1.86676</v>
      </c>
      <c r="HO120">
        <v>1.8632500000000001</v>
      </c>
      <c r="HP120">
        <v>1.8644400000000001</v>
      </c>
      <c r="HQ120">
        <v>1.8640099999999999</v>
      </c>
      <c r="HR120">
        <v>1.8598300000000001</v>
      </c>
      <c r="HS120">
        <v>1.8630500000000001</v>
      </c>
      <c r="HT120">
        <v>1.86581</v>
      </c>
      <c r="HU120">
        <v>5</v>
      </c>
      <c r="HV120">
        <v>0</v>
      </c>
      <c r="HW120">
        <v>0</v>
      </c>
      <c r="HX120">
        <v>0</v>
      </c>
      <c r="HY120" t="s">
        <v>420</v>
      </c>
      <c r="HZ120" t="s">
        <v>421</v>
      </c>
      <c r="IA120" t="s">
        <v>422</v>
      </c>
      <c r="IB120" t="s">
        <v>422</v>
      </c>
      <c r="IC120" t="s">
        <v>422</v>
      </c>
      <c r="ID120" t="s">
        <v>422</v>
      </c>
      <c r="IE120">
        <v>0</v>
      </c>
      <c r="IF120">
        <v>100</v>
      </c>
      <c r="IG120">
        <v>100</v>
      </c>
      <c r="IH120">
        <v>1.704</v>
      </c>
      <c r="II120">
        <v>0.13</v>
      </c>
      <c r="IJ120">
        <v>1.621475644242534</v>
      </c>
      <c r="IK120">
        <v>3.5576830062418229E-3</v>
      </c>
      <c r="IL120">
        <v>-2.2646740813029151E-6</v>
      </c>
      <c r="IM120">
        <v>6.9609298295988525E-10</v>
      </c>
      <c r="IN120">
        <v>-0.1362301087623197</v>
      </c>
      <c r="IO120">
        <v>-9.4437069492282083E-4</v>
      </c>
      <c r="IP120">
        <v>5.2900373165634467E-4</v>
      </c>
      <c r="IQ120">
        <v>-3.977656803091445E-6</v>
      </c>
      <c r="IR120">
        <v>2</v>
      </c>
      <c r="IS120">
        <v>1759</v>
      </c>
      <c r="IT120">
        <v>2</v>
      </c>
      <c r="IU120">
        <v>42</v>
      </c>
      <c r="IV120">
        <v>0.7</v>
      </c>
      <c r="IW120">
        <v>0.5</v>
      </c>
      <c r="IX120">
        <v>0.18188499999999999</v>
      </c>
      <c r="IY120">
        <v>2.50122</v>
      </c>
      <c r="IZ120">
        <v>1.54297</v>
      </c>
      <c r="JA120">
        <v>2.3022499999999999</v>
      </c>
      <c r="JB120">
        <v>1.5466299999999999</v>
      </c>
      <c r="JC120">
        <v>2.4072300000000002</v>
      </c>
      <c r="JD120">
        <v>47.451599999999999</v>
      </c>
      <c r="JE120">
        <v>24.07</v>
      </c>
      <c r="JF120">
        <v>18</v>
      </c>
      <c r="JG120">
        <v>533.94500000000005</v>
      </c>
      <c r="JH120">
        <v>418.44499999999999</v>
      </c>
      <c r="JI120">
        <v>24.264900000000001</v>
      </c>
      <c r="JJ120">
        <v>39.956400000000002</v>
      </c>
      <c r="JK120">
        <v>30.000299999999999</v>
      </c>
      <c r="JL120">
        <v>40.264499999999998</v>
      </c>
      <c r="JM120">
        <v>40.246899999999997</v>
      </c>
      <c r="JN120">
        <v>3.7306699999999999</v>
      </c>
      <c r="JO120">
        <v>59.136600000000001</v>
      </c>
      <c r="JP120">
        <v>0</v>
      </c>
      <c r="JQ120">
        <v>24.267399999999999</v>
      </c>
      <c r="JR120">
        <v>30</v>
      </c>
      <c r="JS120">
        <v>19.397600000000001</v>
      </c>
      <c r="JT120">
        <v>98.251199999999997</v>
      </c>
      <c r="JU120">
        <v>96.038700000000006</v>
      </c>
    </row>
    <row r="121" spans="1:281" x14ac:dyDescent="0.25">
      <c r="A121">
        <v>105</v>
      </c>
      <c r="B121">
        <v>1691185652</v>
      </c>
      <c r="C121">
        <v>24740.5</v>
      </c>
      <c r="D121" t="s">
        <v>949</v>
      </c>
      <c r="E121" t="s">
        <v>950</v>
      </c>
      <c r="F121" t="s">
        <v>413</v>
      </c>
      <c r="G121" t="s">
        <v>707</v>
      </c>
      <c r="H121" t="s">
        <v>491</v>
      </c>
      <c r="I121" t="s">
        <v>490</v>
      </c>
      <c r="J121">
        <v>1691185652</v>
      </c>
      <c r="K121">
        <f t="shared" si="138"/>
        <v>6.0919233770836108E-3</v>
      </c>
      <c r="L121">
        <f t="shared" si="139"/>
        <v>6.091923377083611</v>
      </c>
      <c r="M121">
        <f t="shared" si="140"/>
        <v>1.8505618359602856</v>
      </c>
      <c r="N121">
        <f t="shared" si="141"/>
        <v>11.322900000000001</v>
      </c>
      <c r="O121">
        <f t="shared" si="142"/>
        <v>2.8311699850678687</v>
      </c>
      <c r="P121">
        <f t="shared" si="143"/>
        <v>0.28042337949985852</v>
      </c>
      <c r="Q121">
        <f t="shared" si="144"/>
        <v>1.1215172174350501</v>
      </c>
      <c r="R121">
        <f t="shared" si="145"/>
        <v>0.37875668786104566</v>
      </c>
      <c r="S121">
        <f t="shared" si="146"/>
        <v>2.9145355575556784</v>
      </c>
      <c r="T121">
        <f t="shared" si="147"/>
        <v>0.35338285831379213</v>
      </c>
      <c r="U121">
        <f t="shared" si="148"/>
        <v>0.223002213629242</v>
      </c>
      <c r="V121">
        <f t="shared" si="149"/>
        <v>344.39559998679738</v>
      </c>
      <c r="W121">
        <f t="shared" si="150"/>
        <v>30.649205912438596</v>
      </c>
      <c r="X121">
        <f t="shared" si="151"/>
        <v>30.001100000000001</v>
      </c>
      <c r="Y121">
        <f t="shared" si="152"/>
        <v>4.2607189682508402</v>
      </c>
      <c r="Z121">
        <f t="shared" si="153"/>
        <v>60.614499296278801</v>
      </c>
      <c r="AA121">
        <f t="shared" si="154"/>
        <v>2.61247575019665</v>
      </c>
      <c r="AB121">
        <f t="shared" si="155"/>
        <v>4.3099848724759378</v>
      </c>
      <c r="AC121">
        <f t="shared" si="156"/>
        <v>1.6482432180541902</v>
      </c>
      <c r="AD121">
        <f t="shared" si="157"/>
        <v>-268.65382092938722</v>
      </c>
      <c r="AE121">
        <f t="shared" si="158"/>
        <v>31.472826728081809</v>
      </c>
      <c r="AF121">
        <f t="shared" si="159"/>
        <v>2.4034817572955931</v>
      </c>
      <c r="AG121">
        <f t="shared" si="160"/>
        <v>109.61808754278756</v>
      </c>
      <c r="AH121">
        <v>0</v>
      </c>
      <c r="AI121">
        <v>0</v>
      </c>
      <c r="AJ121">
        <f t="shared" si="161"/>
        <v>1</v>
      </c>
      <c r="AK121">
        <f t="shared" si="162"/>
        <v>0</v>
      </c>
      <c r="AL121">
        <f t="shared" si="163"/>
        <v>51868.108065718763</v>
      </c>
      <c r="AM121" t="s">
        <v>414</v>
      </c>
      <c r="AN121">
        <v>10111.299999999999</v>
      </c>
      <c r="AO121">
        <v>608.58839999999998</v>
      </c>
      <c r="AP121">
        <v>2150.11</v>
      </c>
      <c r="AQ121">
        <f t="shared" si="164"/>
        <v>0.71695010952927984</v>
      </c>
      <c r="AR121">
        <v>-1.1786277417053079</v>
      </c>
      <c r="AS121" t="s">
        <v>951</v>
      </c>
      <c r="AT121">
        <v>8117.08</v>
      </c>
      <c r="AU121">
        <v>697.04615384615386</v>
      </c>
      <c r="AV121">
        <v>747.67612659239364</v>
      </c>
      <c r="AW121">
        <f t="shared" si="165"/>
        <v>6.7716449603641649E-2</v>
      </c>
      <c r="AX121">
        <v>0.5</v>
      </c>
      <c r="AY121">
        <f t="shared" si="166"/>
        <v>1513.2722999933985</v>
      </c>
      <c r="AZ121">
        <f t="shared" si="167"/>
        <v>1.8505618359602856</v>
      </c>
      <c r="BA121">
        <f t="shared" si="168"/>
        <v>51.23671371954493</v>
      </c>
      <c r="BB121">
        <f t="shared" si="169"/>
        <v>2.00174785309875E-3</v>
      </c>
      <c r="BC121">
        <f t="shared" si="170"/>
        <v>1.8757237572895828</v>
      </c>
      <c r="BD121">
        <f t="shared" si="171"/>
        <v>397.53027381275575</v>
      </c>
      <c r="BE121" t="s">
        <v>952</v>
      </c>
      <c r="BF121">
        <v>567.25</v>
      </c>
      <c r="BG121">
        <f t="shared" si="172"/>
        <v>567.25</v>
      </c>
      <c r="BH121">
        <f t="shared" si="173"/>
        <v>0.24131588554887151</v>
      </c>
      <c r="BI121">
        <f t="shared" si="174"/>
        <v>0.28061331084615898</v>
      </c>
      <c r="BJ121">
        <f t="shared" si="175"/>
        <v>0.88601258064996669</v>
      </c>
      <c r="BK121">
        <f t="shared" si="176"/>
        <v>0.36401466891909501</v>
      </c>
      <c r="BL121">
        <f t="shared" si="177"/>
        <v>0.90977244393306345</v>
      </c>
      <c r="BM121">
        <f t="shared" si="178"/>
        <v>0.22836063250499777</v>
      </c>
      <c r="BN121">
        <f t="shared" si="179"/>
        <v>0.77163936749500217</v>
      </c>
      <c r="BO121">
        <v>7183</v>
      </c>
      <c r="BP121">
        <v>290.00000000000011</v>
      </c>
      <c r="BQ121">
        <v>728.59</v>
      </c>
      <c r="BR121">
        <v>155</v>
      </c>
      <c r="BS121">
        <v>8117.08</v>
      </c>
      <c r="BT121">
        <v>727.11</v>
      </c>
      <c r="BU121">
        <v>1.48</v>
      </c>
      <c r="BV121">
        <v>300.00000000000011</v>
      </c>
      <c r="BW121">
        <v>19.2</v>
      </c>
      <c r="BX121">
        <v>747.67612659239364</v>
      </c>
      <c r="BY121">
        <v>2.808298984121425</v>
      </c>
      <c r="BZ121">
        <v>-16.695784376728529</v>
      </c>
      <c r="CA121">
        <v>2.0932329022812768</v>
      </c>
      <c r="CB121">
        <v>0.69438248523318613</v>
      </c>
      <c r="CC121">
        <v>-4.1794691879866626E-3</v>
      </c>
      <c r="CD121">
        <v>289.99999999999989</v>
      </c>
      <c r="CE121">
        <v>725.43</v>
      </c>
      <c r="CF121">
        <v>725</v>
      </c>
      <c r="CG121">
        <v>8104.73</v>
      </c>
      <c r="CH121">
        <v>727.08</v>
      </c>
      <c r="CI121">
        <v>-1.65</v>
      </c>
      <c r="CW121">
        <f t="shared" si="180"/>
        <v>1800.1</v>
      </c>
      <c r="CX121">
        <f t="shared" si="181"/>
        <v>1513.2722999933985</v>
      </c>
      <c r="CY121">
        <f t="shared" si="182"/>
        <v>0.84066012998911099</v>
      </c>
      <c r="CZ121">
        <f t="shared" si="183"/>
        <v>0.191320259978222</v>
      </c>
      <c r="DA121">
        <v>6</v>
      </c>
      <c r="DB121">
        <v>0.5</v>
      </c>
      <c r="DC121" t="s">
        <v>417</v>
      </c>
      <c r="DD121">
        <v>2</v>
      </c>
      <c r="DE121">
        <v>1691185652</v>
      </c>
      <c r="DF121">
        <v>11.322900000000001</v>
      </c>
      <c r="DG121">
        <v>13.6258</v>
      </c>
      <c r="DH121">
        <v>26.375699999999998</v>
      </c>
      <c r="DI121">
        <v>19.259899999999998</v>
      </c>
      <c r="DJ121">
        <v>9.5754699999999993</v>
      </c>
      <c r="DK121">
        <v>26.242100000000001</v>
      </c>
      <c r="DL121">
        <v>500.11900000000003</v>
      </c>
      <c r="DM121">
        <v>98.948700000000002</v>
      </c>
      <c r="DN121">
        <v>9.9884500000000001E-2</v>
      </c>
      <c r="DO121">
        <v>30.2014</v>
      </c>
      <c r="DP121">
        <v>30.001100000000001</v>
      </c>
      <c r="DQ121">
        <v>999.9</v>
      </c>
      <c r="DR121">
        <v>0</v>
      </c>
      <c r="DS121">
        <v>0</v>
      </c>
      <c r="DT121">
        <v>10020</v>
      </c>
      <c r="DU121">
        <v>0</v>
      </c>
      <c r="DV121">
        <v>1061.75</v>
      </c>
      <c r="DW121">
        <v>-2.30294</v>
      </c>
      <c r="DX121">
        <v>11.6296</v>
      </c>
      <c r="DY121">
        <v>13.8934</v>
      </c>
      <c r="DZ121">
        <v>7.1158400000000004</v>
      </c>
      <c r="EA121">
        <v>13.6258</v>
      </c>
      <c r="EB121">
        <v>19.259899999999998</v>
      </c>
      <c r="EC121">
        <v>2.6098400000000002</v>
      </c>
      <c r="ED121">
        <v>1.90574</v>
      </c>
      <c r="EE121">
        <v>21.728200000000001</v>
      </c>
      <c r="EF121">
        <v>16.682200000000002</v>
      </c>
      <c r="EG121">
        <v>1800.1</v>
      </c>
      <c r="EH121">
        <v>0.977993</v>
      </c>
      <c r="EI121">
        <v>2.2006899999999999E-2</v>
      </c>
      <c r="EJ121">
        <v>0</v>
      </c>
      <c r="EK121">
        <v>693.83</v>
      </c>
      <c r="EL121">
        <v>0.10001</v>
      </c>
      <c r="EM121">
        <v>16974.400000000001</v>
      </c>
      <c r="EN121">
        <v>16354.4</v>
      </c>
      <c r="EO121">
        <v>48.686999999999998</v>
      </c>
      <c r="EP121">
        <v>50.561999999999998</v>
      </c>
      <c r="EQ121">
        <v>50.061999999999998</v>
      </c>
      <c r="ER121">
        <v>49.311999999999998</v>
      </c>
      <c r="ES121">
        <v>50</v>
      </c>
      <c r="ET121">
        <v>1760.39</v>
      </c>
      <c r="EU121">
        <v>39.61</v>
      </c>
      <c r="EV121">
        <v>0</v>
      </c>
      <c r="EW121">
        <v>108.5999999046326</v>
      </c>
      <c r="EX121">
        <v>0</v>
      </c>
      <c r="EY121">
        <v>697.04615384615386</v>
      </c>
      <c r="EZ121">
        <v>-2.6061538121944272</v>
      </c>
      <c r="FA121">
        <v>-183.6376075752315</v>
      </c>
      <c r="FB121">
        <v>16979.76923076923</v>
      </c>
      <c r="FC121">
        <v>15</v>
      </c>
      <c r="FD121">
        <v>1691185626.5</v>
      </c>
      <c r="FE121" t="s">
        <v>953</v>
      </c>
      <c r="FF121">
        <v>1691185617.5</v>
      </c>
      <c r="FG121">
        <v>1691185626.5</v>
      </c>
      <c r="FH121">
        <v>117</v>
      </c>
      <c r="FI121">
        <v>9.1999999999999998E-2</v>
      </c>
      <c r="FJ121">
        <v>2E-3</v>
      </c>
      <c r="FK121">
        <v>1.756</v>
      </c>
      <c r="FL121">
        <v>1.2E-2</v>
      </c>
      <c r="FM121">
        <v>14</v>
      </c>
      <c r="FN121">
        <v>19</v>
      </c>
      <c r="FO121">
        <v>0.78</v>
      </c>
      <c r="FP121">
        <v>0.04</v>
      </c>
      <c r="FQ121">
        <v>1.8364300720473501</v>
      </c>
      <c r="FR121">
        <v>-8.6637246032535004E-2</v>
      </c>
      <c r="FS121">
        <v>3.1781583253032153E-2</v>
      </c>
      <c r="FT121">
        <v>1</v>
      </c>
      <c r="FU121">
        <v>0.37867709792734761</v>
      </c>
      <c r="FV121">
        <v>3.7078427823838543E-2</v>
      </c>
      <c r="FW121">
        <v>4.5265080291883924E-3</v>
      </c>
      <c r="FX121">
        <v>1</v>
      </c>
      <c r="FY121">
        <v>2</v>
      </c>
      <c r="FZ121">
        <v>2</v>
      </c>
      <c r="GA121" t="s">
        <v>419</v>
      </c>
      <c r="GB121">
        <v>2.8826299999999998</v>
      </c>
      <c r="GC121">
        <v>2.82125</v>
      </c>
      <c r="GD121">
        <v>2.4935299999999999E-3</v>
      </c>
      <c r="GE121">
        <v>3.5756E-3</v>
      </c>
      <c r="GF121">
        <v>0.121388</v>
      </c>
      <c r="GG121">
        <v>9.8070000000000004E-2</v>
      </c>
      <c r="GH121">
        <v>30531.7</v>
      </c>
      <c r="GI121">
        <v>28441.1</v>
      </c>
      <c r="GJ121">
        <v>28187.9</v>
      </c>
      <c r="GK121">
        <v>26819.1</v>
      </c>
      <c r="GL121">
        <v>34949.9</v>
      </c>
      <c r="GM121">
        <v>33794.1</v>
      </c>
      <c r="GN121">
        <v>41466.9</v>
      </c>
      <c r="GO121">
        <v>38816.6</v>
      </c>
      <c r="GP121">
        <v>1.9919</v>
      </c>
      <c r="GQ121">
        <v>1.6594</v>
      </c>
      <c r="GR121">
        <v>-4.7385700000000003E-2</v>
      </c>
      <c r="GS121">
        <v>0</v>
      </c>
      <c r="GT121">
        <v>30.771699999999999</v>
      </c>
      <c r="GU121">
        <v>999.9</v>
      </c>
      <c r="GV121">
        <v>44.8</v>
      </c>
      <c r="GW121">
        <v>44</v>
      </c>
      <c r="GX121">
        <v>41.435099999999998</v>
      </c>
      <c r="GY121">
        <v>62.584400000000002</v>
      </c>
      <c r="GZ121">
        <v>28.709900000000001</v>
      </c>
      <c r="HA121">
        <v>1</v>
      </c>
      <c r="HB121">
        <v>1.0835300000000001</v>
      </c>
      <c r="HC121">
        <v>5.0785299999999998</v>
      </c>
      <c r="HD121">
        <v>20.170999999999999</v>
      </c>
      <c r="HE121">
        <v>5.2100999999999997</v>
      </c>
      <c r="HF121">
        <v>11.9986</v>
      </c>
      <c r="HG121">
        <v>4.9878</v>
      </c>
      <c r="HH121">
        <v>3.2909999999999999</v>
      </c>
      <c r="HI121">
        <v>9999</v>
      </c>
      <c r="HJ121">
        <v>9999</v>
      </c>
      <c r="HK121">
        <v>9999</v>
      </c>
      <c r="HL121">
        <v>999.9</v>
      </c>
      <c r="HM121">
        <v>1.8666700000000001</v>
      </c>
      <c r="HN121">
        <v>1.8667400000000001</v>
      </c>
      <c r="HO121">
        <v>1.86324</v>
      </c>
      <c r="HP121">
        <v>1.8644099999999999</v>
      </c>
      <c r="HQ121">
        <v>1.8640099999999999</v>
      </c>
      <c r="HR121">
        <v>1.85989</v>
      </c>
      <c r="HS121">
        <v>1.86303</v>
      </c>
      <c r="HT121">
        <v>1.8658399999999999</v>
      </c>
      <c r="HU121">
        <v>5</v>
      </c>
      <c r="HV121">
        <v>0</v>
      </c>
      <c r="HW121">
        <v>0</v>
      </c>
      <c r="HX121">
        <v>0</v>
      </c>
      <c r="HY121" t="s">
        <v>420</v>
      </c>
      <c r="HZ121" t="s">
        <v>421</v>
      </c>
      <c r="IA121" t="s">
        <v>422</v>
      </c>
      <c r="IB121" t="s">
        <v>422</v>
      </c>
      <c r="IC121" t="s">
        <v>422</v>
      </c>
      <c r="ID121" t="s">
        <v>422</v>
      </c>
      <c r="IE121">
        <v>0</v>
      </c>
      <c r="IF121">
        <v>100</v>
      </c>
      <c r="IG121">
        <v>100</v>
      </c>
      <c r="IH121">
        <v>1.7470000000000001</v>
      </c>
      <c r="II121">
        <v>0.1336</v>
      </c>
      <c r="IJ121">
        <v>1.7135482442142009</v>
      </c>
      <c r="IK121">
        <v>3.5576830062418229E-3</v>
      </c>
      <c r="IL121">
        <v>-2.2646740813029151E-6</v>
      </c>
      <c r="IM121">
        <v>6.9609298295988525E-10</v>
      </c>
      <c r="IN121">
        <v>-0.1340628687151941</v>
      </c>
      <c r="IO121">
        <v>-9.4437069492282083E-4</v>
      </c>
      <c r="IP121">
        <v>5.2900373165634467E-4</v>
      </c>
      <c r="IQ121">
        <v>-3.977656803091445E-6</v>
      </c>
      <c r="IR121">
        <v>2</v>
      </c>
      <c r="IS121">
        <v>1759</v>
      </c>
      <c r="IT121">
        <v>2</v>
      </c>
      <c r="IU121">
        <v>42</v>
      </c>
      <c r="IV121">
        <v>0.6</v>
      </c>
      <c r="IW121">
        <v>0.4</v>
      </c>
      <c r="IX121">
        <v>5.1269500000000003E-2</v>
      </c>
      <c r="IY121">
        <v>2.65015</v>
      </c>
      <c r="IZ121">
        <v>1.54297</v>
      </c>
      <c r="JA121">
        <v>2.3022499999999999</v>
      </c>
      <c r="JB121">
        <v>1.5466299999999999</v>
      </c>
      <c r="JC121">
        <v>2.4121100000000002</v>
      </c>
      <c r="JD121">
        <v>47.541699999999999</v>
      </c>
      <c r="JE121">
        <v>24.07</v>
      </c>
      <c r="JF121">
        <v>18</v>
      </c>
      <c r="JG121">
        <v>534.40700000000004</v>
      </c>
      <c r="JH121">
        <v>418.16399999999999</v>
      </c>
      <c r="JI121">
        <v>24.574999999999999</v>
      </c>
      <c r="JJ121">
        <v>39.984000000000002</v>
      </c>
      <c r="JK121">
        <v>30.000900000000001</v>
      </c>
      <c r="JL121">
        <v>40.308</v>
      </c>
      <c r="JM121">
        <v>40.2864</v>
      </c>
      <c r="JN121">
        <v>1.1243700000000001</v>
      </c>
      <c r="JO121">
        <v>59.981099999999998</v>
      </c>
      <c r="JP121">
        <v>0</v>
      </c>
      <c r="JQ121">
        <v>24.565899999999999</v>
      </c>
      <c r="JR121">
        <v>10</v>
      </c>
      <c r="JS121">
        <v>19.065999999999999</v>
      </c>
      <c r="JT121">
        <v>98.252899999999997</v>
      </c>
      <c r="JU121">
        <v>96.037499999999994</v>
      </c>
    </row>
    <row r="122" spans="1:281" x14ac:dyDescent="0.25">
      <c r="A122">
        <v>106</v>
      </c>
      <c r="B122">
        <v>1691185802.5</v>
      </c>
      <c r="C122">
        <v>24891</v>
      </c>
      <c r="D122" t="s">
        <v>954</v>
      </c>
      <c r="E122" t="s">
        <v>955</v>
      </c>
      <c r="F122" t="s">
        <v>413</v>
      </c>
      <c r="G122" t="s">
        <v>707</v>
      </c>
      <c r="H122" t="s">
        <v>491</v>
      </c>
      <c r="I122" t="s">
        <v>490</v>
      </c>
      <c r="J122">
        <v>1691185802.5</v>
      </c>
      <c r="K122">
        <f t="shared" si="138"/>
        <v>5.9552239519962812E-3</v>
      </c>
      <c r="L122">
        <f t="shared" si="139"/>
        <v>5.9552239519962811</v>
      </c>
      <c r="M122">
        <f t="shared" si="140"/>
        <v>40.486171803940543</v>
      </c>
      <c r="N122">
        <f t="shared" si="141"/>
        <v>348.95600000000002</v>
      </c>
      <c r="O122">
        <f t="shared" si="142"/>
        <v>153.48285510387495</v>
      </c>
      <c r="P122">
        <f t="shared" si="143"/>
        <v>15.203190800280758</v>
      </c>
      <c r="Q122">
        <f t="shared" si="144"/>
        <v>34.565715143312005</v>
      </c>
      <c r="R122">
        <f t="shared" si="145"/>
        <v>0.36399408046475779</v>
      </c>
      <c r="S122">
        <f t="shared" si="146"/>
        <v>2.9093968669875765</v>
      </c>
      <c r="T122">
        <f t="shared" si="147"/>
        <v>0.34045523506529674</v>
      </c>
      <c r="U122">
        <f t="shared" si="148"/>
        <v>0.21477241683717782</v>
      </c>
      <c r="V122">
        <f t="shared" si="149"/>
        <v>344.38429998680698</v>
      </c>
      <c r="W122">
        <f t="shared" si="150"/>
        <v>30.73735628496534</v>
      </c>
      <c r="X122">
        <f t="shared" si="151"/>
        <v>30.009499999999999</v>
      </c>
      <c r="Y122">
        <f t="shared" si="152"/>
        <v>4.2627751343415312</v>
      </c>
      <c r="Z122">
        <f t="shared" si="153"/>
        <v>59.915972320961295</v>
      </c>
      <c r="AA122">
        <f t="shared" si="154"/>
        <v>2.5900513241004002</v>
      </c>
      <c r="AB122">
        <f t="shared" si="155"/>
        <v>4.3228061296007443</v>
      </c>
      <c r="AC122">
        <f t="shared" si="156"/>
        <v>1.672723810241131</v>
      </c>
      <c r="AD122">
        <f t="shared" si="157"/>
        <v>-262.62537628303602</v>
      </c>
      <c r="AE122">
        <f t="shared" si="158"/>
        <v>38.224687128732512</v>
      </c>
      <c r="AF122">
        <f t="shared" si="159"/>
        <v>2.9251275719862142</v>
      </c>
      <c r="AG122">
        <f t="shared" si="160"/>
        <v>122.90873840448967</v>
      </c>
      <c r="AH122">
        <v>0</v>
      </c>
      <c r="AI122">
        <v>0</v>
      </c>
      <c r="AJ122">
        <f t="shared" si="161"/>
        <v>1</v>
      </c>
      <c r="AK122">
        <f t="shared" si="162"/>
        <v>0</v>
      </c>
      <c r="AL122">
        <f t="shared" si="163"/>
        <v>51713.420050464018</v>
      </c>
      <c r="AM122" t="s">
        <v>414</v>
      </c>
      <c r="AN122">
        <v>10111.299999999999</v>
      </c>
      <c r="AO122">
        <v>608.58839999999998</v>
      </c>
      <c r="AP122">
        <v>2150.11</v>
      </c>
      <c r="AQ122">
        <f t="shared" si="164"/>
        <v>0.71695010952927984</v>
      </c>
      <c r="AR122">
        <v>-1.1786277417053079</v>
      </c>
      <c r="AS122" t="s">
        <v>956</v>
      </c>
      <c r="AT122">
        <v>8112.41</v>
      </c>
      <c r="AU122">
        <v>665.58961538461529</v>
      </c>
      <c r="AV122">
        <v>946.41954248060881</v>
      </c>
      <c r="AW122">
        <f t="shared" si="165"/>
        <v>0.29672879150395126</v>
      </c>
      <c r="AX122">
        <v>0.5</v>
      </c>
      <c r="AY122">
        <f t="shared" si="166"/>
        <v>1513.2293999934034</v>
      </c>
      <c r="AZ122">
        <f t="shared" si="167"/>
        <v>40.486171803940543</v>
      </c>
      <c r="BA122">
        <f t="shared" si="168"/>
        <v>224.50936556414592</v>
      </c>
      <c r="BB122">
        <f t="shared" si="169"/>
        <v>2.7533696837919935E-2</v>
      </c>
      <c r="BC122">
        <f t="shared" si="170"/>
        <v>1.2718360129847526</v>
      </c>
      <c r="BD122">
        <f t="shared" si="171"/>
        <v>447.49375933058667</v>
      </c>
      <c r="BE122" t="s">
        <v>957</v>
      </c>
      <c r="BF122">
        <v>517.95000000000005</v>
      </c>
      <c r="BG122">
        <f t="shared" si="172"/>
        <v>517.95000000000005</v>
      </c>
      <c r="BH122">
        <f t="shared" si="173"/>
        <v>0.45272685447467675</v>
      </c>
      <c r="BI122">
        <f t="shared" si="174"/>
        <v>0.65542564699030625</v>
      </c>
      <c r="BJ122">
        <f t="shared" si="175"/>
        <v>0.73748312513441772</v>
      </c>
      <c r="BK122">
        <f t="shared" si="176"/>
        <v>0.83127305858758382</v>
      </c>
      <c r="BL122">
        <f t="shared" si="177"/>
        <v>0.78084566412782741</v>
      </c>
      <c r="BM122">
        <f t="shared" si="178"/>
        <v>0.5100405805797612</v>
      </c>
      <c r="BN122">
        <f t="shared" si="179"/>
        <v>0.4899594194202388</v>
      </c>
      <c r="BO122">
        <v>7185</v>
      </c>
      <c r="BP122">
        <v>290.00000000000011</v>
      </c>
      <c r="BQ122">
        <v>840.63</v>
      </c>
      <c r="BR122">
        <v>295</v>
      </c>
      <c r="BS122">
        <v>8112.41</v>
      </c>
      <c r="BT122">
        <v>842.75</v>
      </c>
      <c r="BU122">
        <v>-2.12</v>
      </c>
      <c r="BV122">
        <v>300.00000000000011</v>
      </c>
      <c r="BW122">
        <v>19.2</v>
      </c>
      <c r="BX122">
        <v>946.41954248060881</v>
      </c>
      <c r="BY122">
        <v>3.3074413852745819</v>
      </c>
      <c r="BZ122">
        <v>-84.099104693303801</v>
      </c>
      <c r="CA122">
        <v>2.46559947929553</v>
      </c>
      <c r="CB122">
        <v>0.97649869318695315</v>
      </c>
      <c r="CC122">
        <v>-4.1802925472747493E-3</v>
      </c>
      <c r="CD122">
        <v>289.99999999999989</v>
      </c>
      <c r="CE122">
        <v>833.68</v>
      </c>
      <c r="CF122">
        <v>645</v>
      </c>
      <c r="CG122">
        <v>8107.35</v>
      </c>
      <c r="CH122">
        <v>842.69</v>
      </c>
      <c r="CI122">
        <v>-9.01</v>
      </c>
      <c r="CW122">
        <f t="shared" si="180"/>
        <v>1800.05</v>
      </c>
      <c r="CX122">
        <f t="shared" si="181"/>
        <v>1513.2293999934034</v>
      </c>
      <c r="CY122">
        <f t="shared" si="182"/>
        <v>0.84065964833943696</v>
      </c>
      <c r="CZ122">
        <f t="shared" si="183"/>
        <v>0.19131929667887393</v>
      </c>
      <c r="DA122">
        <v>6</v>
      </c>
      <c r="DB122">
        <v>0.5</v>
      </c>
      <c r="DC122" t="s">
        <v>417</v>
      </c>
      <c r="DD122">
        <v>2</v>
      </c>
      <c r="DE122">
        <v>1691185802.5</v>
      </c>
      <c r="DF122">
        <v>348.95600000000002</v>
      </c>
      <c r="DG122">
        <v>400.036</v>
      </c>
      <c r="DH122">
        <v>26.1477</v>
      </c>
      <c r="DI122">
        <v>19.187899999999999</v>
      </c>
      <c r="DJ122">
        <v>346.42</v>
      </c>
      <c r="DK122">
        <v>26.020800000000001</v>
      </c>
      <c r="DL122">
        <v>499.97199999999998</v>
      </c>
      <c r="DM122">
        <v>98.954599999999999</v>
      </c>
      <c r="DN122">
        <v>0.100052</v>
      </c>
      <c r="DO122">
        <v>30.2532</v>
      </c>
      <c r="DP122">
        <v>30.009499999999999</v>
      </c>
      <c r="DQ122">
        <v>999.9</v>
      </c>
      <c r="DR122">
        <v>0</v>
      </c>
      <c r="DS122">
        <v>0</v>
      </c>
      <c r="DT122">
        <v>9990</v>
      </c>
      <c r="DU122">
        <v>0</v>
      </c>
      <c r="DV122">
        <v>1044.3900000000001</v>
      </c>
      <c r="DW122">
        <v>-51.079500000000003</v>
      </c>
      <c r="DX122">
        <v>358.32600000000002</v>
      </c>
      <c r="DY122">
        <v>407.86200000000002</v>
      </c>
      <c r="DZ122">
        <v>6.9598399999999998</v>
      </c>
      <c r="EA122">
        <v>400.036</v>
      </c>
      <c r="EB122">
        <v>19.187899999999999</v>
      </c>
      <c r="EC122">
        <v>2.58744</v>
      </c>
      <c r="ED122">
        <v>1.89873</v>
      </c>
      <c r="EE122">
        <v>21.587199999999999</v>
      </c>
      <c r="EF122">
        <v>16.624199999999998</v>
      </c>
      <c r="EG122">
        <v>1800.05</v>
      </c>
      <c r="EH122">
        <v>0.97801000000000005</v>
      </c>
      <c r="EI122">
        <v>2.19898E-2</v>
      </c>
      <c r="EJ122">
        <v>0</v>
      </c>
      <c r="EK122">
        <v>664.69</v>
      </c>
      <c r="EL122">
        <v>0.10001</v>
      </c>
      <c r="EM122">
        <v>16475.3</v>
      </c>
      <c r="EN122">
        <v>16354</v>
      </c>
      <c r="EO122">
        <v>48.625</v>
      </c>
      <c r="EP122">
        <v>50.561999999999998</v>
      </c>
      <c r="EQ122">
        <v>50.061999999999998</v>
      </c>
      <c r="ER122">
        <v>49.311999999999998</v>
      </c>
      <c r="ES122">
        <v>50</v>
      </c>
      <c r="ET122">
        <v>1760.37</v>
      </c>
      <c r="EU122">
        <v>39.58</v>
      </c>
      <c r="EV122">
        <v>0</v>
      </c>
      <c r="EW122">
        <v>148.39999985694891</v>
      </c>
      <c r="EX122">
        <v>0</v>
      </c>
      <c r="EY122">
        <v>665.58961538461529</v>
      </c>
      <c r="EZ122">
        <v>-14.424615486971989</v>
      </c>
      <c r="FA122">
        <v>-63.015383788399113</v>
      </c>
      <c r="FB122">
        <v>16494.2</v>
      </c>
      <c r="FC122">
        <v>15</v>
      </c>
      <c r="FD122">
        <v>1691185757</v>
      </c>
      <c r="FE122" t="s">
        <v>958</v>
      </c>
      <c r="FF122">
        <v>1691185757</v>
      </c>
      <c r="FG122">
        <v>1691185757</v>
      </c>
      <c r="FH122">
        <v>118</v>
      </c>
      <c r="FI122">
        <v>-0.16600000000000001</v>
      </c>
      <c r="FJ122">
        <v>-3.0000000000000001E-3</v>
      </c>
      <c r="FK122">
        <v>2.6480000000000001</v>
      </c>
      <c r="FL122">
        <v>8.0000000000000002E-3</v>
      </c>
      <c r="FM122">
        <v>401</v>
      </c>
      <c r="FN122">
        <v>19</v>
      </c>
      <c r="FO122">
        <v>0.23</v>
      </c>
      <c r="FP122">
        <v>0.02</v>
      </c>
      <c r="FQ122">
        <v>40.49529657321284</v>
      </c>
      <c r="FR122">
        <v>0.24460240610886241</v>
      </c>
      <c r="FS122">
        <v>9.0764811042778254E-2</v>
      </c>
      <c r="FT122">
        <v>1</v>
      </c>
      <c r="FU122">
        <v>0.36729313764977178</v>
      </c>
      <c r="FV122">
        <v>-3.0335728578367239E-2</v>
      </c>
      <c r="FW122">
        <v>2.2329236787483162E-3</v>
      </c>
      <c r="FX122">
        <v>1</v>
      </c>
      <c r="FY122">
        <v>2</v>
      </c>
      <c r="FZ122">
        <v>2</v>
      </c>
      <c r="GA122" t="s">
        <v>419</v>
      </c>
      <c r="GB122">
        <v>2.8821400000000001</v>
      </c>
      <c r="GC122">
        <v>2.8211599999999999</v>
      </c>
      <c r="GD122">
        <v>7.7044299999999996E-2</v>
      </c>
      <c r="GE122">
        <v>8.6690900000000001E-2</v>
      </c>
      <c r="GF122">
        <v>0.120668</v>
      </c>
      <c r="GG122">
        <v>9.7802200000000006E-2</v>
      </c>
      <c r="GH122">
        <v>28251.1</v>
      </c>
      <c r="GI122">
        <v>26071.200000000001</v>
      </c>
      <c r="GJ122">
        <v>28184.2</v>
      </c>
      <c r="GK122">
        <v>26816.6</v>
      </c>
      <c r="GL122">
        <v>34975.4</v>
      </c>
      <c r="GM122">
        <v>33803.800000000003</v>
      </c>
      <c r="GN122">
        <v>41462</v>
      </c>
      <c r="GO122">
        <v>38814.9</v>
      </c>
      <c r="GP122">
        <v>1.9912000000000001</v>
      </c>
      <c r="GQ122">
        <v>1.6601999999999999</v>
      </c>
      <c r="GR122">
        <v>-5.1826200000000003E-2</v>
      </c>
      <c r="GS122">
        <v>0</v>
      </c>
      <c r="GT122">
        <v>30.8523</v>
      </c>
      <c r="GU122">
        <v>999.9</v>
      </c>
      <c r="GV122">
        <v>44.7</v>
      </c>
      <c r="GW122">
        <v>44</v>
      </c>
      <c r="GX122">
        <v>41.343200000000003</v>
      </c>
      <c r="GY122">
        <v>62.734499999999997</v>
      </c>
      <c r="GZ122">
        <v>29.130600000000001</v>
      </c>
      <c r="HA122">
        <v>1</v>
      </c>
      <c r="HB122">
        <v>1.08945</v>
      </c>
      <c r="HC122">
        <v>5.2024499999999998</v>
      </c>
      <c r="HD122">
        <v>20.167899999999999</v>
      </c>
      <c r="HE122">
        <v>5.2095000000000002</v>
      </c>
      <c r="HF122">
        <v>12.000400000000001</v>
      </c>
      <c r="HG122">
        <v>4.9882</v>
      </c>
      <c r="HH122">
        <v>3.2909999999999999</v>
      </c>
      <c r="HI122">
        <v>9999</v>
      </c>
      <c r="HJ122">
        <v>9999</v>
      </c>
      <c r="HK122">
        <v>9999</v>
      </c>
      <c r="HL122">
        <v>999.9</v>
      </c>
      <c r="HM122">
        <v>1.8666400000000001</v>
      </c>
      <c r="HN122">
        <v>1.86676</v>
      </c>
      <c r="HO122">
        <v>1.8632500000000001</v>
      </c>
      <c r="HP122">
        <v>1.8644700000000001</v>
      </c>
      <c r="HQ122">
        <v>1.8640099999999999</v>
      </c>
      <c r="HR122">
        <v>1.85989</v>
      </c>
      <c r="HS122">
        <v>1.86307</v>
      </c>
      <c r="HT122">
        <v>1.8658399999999999</v>
      </c>
      <c r="HU122">
        <v>5</v>
      </c>
      <c r="HV122">
        <v>0</v>
      </c>
      <c r="HW122">
        <v>0</v>
      </c>
      <c r="HX122">
        <v>0</v>
      </c>
      <c r="HY122" t="s">
        <v>420</v>
      </c>
      <c r="HZ122" t="s">
        <v>421</v>
      </c>
      <c r="IA122" t="s">
        <v>422</v>
      </c>
      <c r="IB122" t="s">
        <v>422</v>
      </c>
      <c r="IC122" t="s">
        <v>422</v>
      </c>
      <c r="ID122" t="s">
        <v>422</v>
      </c>
      <c r="IE122">
        <v>0</v>
      </c>
      <c r="IF122">
        <v>100</v>
      </c>
      <c r="IG122">
        <v>100</v>
      </c>
      <c r="IH122">
        <v>2.536</v>
      </c>
      <c r="II122">
        <v>0.12690000000000001</v>
      </c>
      <c r="IJ122">
        <v>1.547131838748069</v>
      </c>
      <c r="IK122">
        <v>3.5576830062418229E-3</v>
      </c>
      <c r="IL122">
        <v>-2.2646740813029151E-6</v>
      </c>
      <c r="IM122">
        <v>6.9609298295988525E-10</v>
      </c>
      <c r="IN122">
        <v>-0.13660127837874289</v>
      </c>
      <c r="IO122">
        <v>-9.4437069492282083E-4</v>
      </c>
      <c r="IP122">
        <v>5.2900373165634467E-4</v>
      </c>
      <c r="IQ122">
        <v>-3.977656803091445E-6</v>
      </c>
      <c r="IR122">
        <v>2</v>
      </c>
      <c r="IS122">
        <v>1759</v>
      </c>
      <c r="IT122">
        <v>2</v>
      </c>
      <c r="IU122">
        <v>42</v>
      </c>
      <c r="IV122">
        <v>0.8</v>
      </c>
      <c r="IW122">
        <v>0.8</v>
      </c>
      <c r="IX122">
        <v>0.99243199999999998</v>
      </c>
      <c r="IY122">
        <v>2.4304199999999998</v>
      </c>
      <c r="IZ122">
        <v>1.54297</v>
      </c>
      <c r="JA122">
        <v>2.3022499999999999</v>
      </c>
      <c r="JB122">
        <v>1.5466299999999999</v>
      </c>
      <c r="JC122">
        <v>2.4157700000000002</v>
      </c>
      <c r="JD122">
        <v>47.7226</v>
      </c>
      <c r="JE122">
        <v>24.07</v>
      </c>
      <c r="JF122">
        <v>18</v>
      </c>
      <c r="JG122">
        <v>534.41099999999994</v>
      </c>
      <c r="JH122">
        <v>419.08199999999999</v>
      </c>
      <c r="JI122">
        <v>24.520700000000001</v>
      </c>
      <c r="JJ122">
        <v>40.043199999999999</v>
      </c>
      <c r="JK122">
        <v>30.000399999999999</v>
      </c>
      <c r="JL122">
        <v>40.369799999999998</v>
      </c>
      <c r="JM122">
        <v>40.351199999999999</v>
      </c>
      <c r="JN122">
        <v>20</v>
      </c>
      <c r="JO122">
        <v>59.378100000000003</v>
      </c>
      <c r="JP122">
        <v>0</v>
      </c>
      <c r="JQ122">
        <v>24.5228</v>
      </c>
      <c r="JR122">
        <v>400</v>
      </c>
      <c r="JS122">
        <v>19.2624</v>
      </c>
      <c r="JT122">
        <v>98.240700000000004</v>
      </c>
      <c r="JU122">
        <v>96.031400000000005</v>
      </c>
    </row>
    <row r="123" spans="1:281" x14ac:dyDescent="0.25">
      <c r="A123">
        <v>107</v>
      </c>
      <c r="B123">
        <v>1691185982.5</v>
      </c>
      <c r="C123">
        <v>25071</v>
      </c>
      <c r="D123" t="s">
        <v>959</v>
      </c>
      <c r="E123" t="s">
        <v>960</v>
      </c>
      <c r="F123" t="s">
        <v>413</v>
      </c>
      <c r="G123" t="s">
        <v>707</v>
      </c>
      <c r="H123" t="s">
        <v>491</v>
      </c>
      <c r="I123" t="s">
        <v>490</v>
      </c>
      <c r="J123">
        <v>1691185982.5</v>
      </c>
      <c r="K123">
        <f t="shared" si="138"/>
        <v>5.2677451065458901E-3</v>
      </c>
      <c r="L123">
        <f t="shared" si="139"/>
        <v>5.26774510654589</v>
      </c>
      <c r="M123">
        <f t="shared" si="140"/>
        <v>44.324649492458533</v>
      </c>
      <c r="N123">
        <f t="shared" si="141"/>
        <v>344.85700000000003</v>
      </c>
      <c r="O123">
        <f t="shared" si="142"/>
        <v>105.28494577659802</v>
      </c>
      <c r="P123">
        <f t="shared" si="143"/>
        <v>10.428670235595908</v>
      </c>
      <c r="Q123">
        <f t="shared" si="144"/>
        <v>34.158729008305002</v>
      </c>
      <c r="R123">
        <f t="shared" si="145"/>
        <v>0.31975155834930974</v>
      </c>
      <c r="S123">
        <f t="shared" si="146"/>
        <v>2.91284211636785</v>
      </c>
      <c r="T123">
        <f t="shared" si="147"/>
        <v>0.30145296151349682</v>
      </c>
      <c r="U123">
        <f t="shared" si="148"/>
        <v>0.18996483607423539</v>
      </c>
      <c r="V123">
        <f t="shared" si="149"/>
        <v>344.33299998680502</v>
      </c>
      <c r="W123">
        <f t="shared" si="150"/>
        <v>30.843691948518345</v>
      </c>
      <c r="X123">
        <f t="shared" si="151"/>
        <v>29.998999999999999</v>
      </c>
      <c r="Y123">
        <f t="shared" si="152"/>
        <v>4.260205061803747</v>
      </c>
      <c r="Z123">
        <f t="shared" si="153"/>
        <v>60.144006942753713</v>
      </c>
      <c r="AA123">
        <f t="shared" si="154"/>
        <v>2.5891662251675003</v>
      </c>
      <c r="AB123">
        <f t="shared" si="155"/>
        <v>4.3049446765858503</v>
      </c>
      <c r="AC123">
        <f t="shared" si="156"/>
        <v>1.6710388366362467</v>
      </c>
      <c r="AD123">
        <f t="shared" si="157"/>
        <v>-232.30755919867374</v>
      </c>
      <c r="AE123">
        <f t="shared" si="158"/>
        <v>28.580760240327827</v>
      </c>
      <c r="AF123">
        <f t="shared" si="159"/>
        <v>2.1836493536658406</v>
      </c>
      <c r="AG123">
        <f t="shared" si="160"/>
        <v>142.78985038212494</v>
      </c>
      <c r="AH123">
        <v>0</v>
      </c>
      <c r="AI123">
        <v>0</v>
      </c>
      <c r="AJ123">
        <f t="shared" si="161"/>
        <v>1</v>
      </c>
      <c r="AK123">
        <f t="shared" si="162"/>
        <v>0</v>
      </c>
      <c r="AL123">
        <f t="shared" si="163"/>
        <v>51823.534763993208</v>
      </c>
      <c r="AM123" t="s">
        <v>414</v>
      </c>
      <c r="AN123">
        <v>10111.299999999999</v>
      </c>
      <c r="AO123">
        <v>608.58839999999998</v>
      </c>
      <c r="AP123">
        <v>2150.11</v>
      </c>
      <c r="AQ123">
        <f t="shared" si="164"/>
        <v>0.71695010952927984</v>
      </c>
      <c r="AR123">
        <v>-1.1786277417053079</v>
      </c>
      <c r="AS123" t="s">
        <v>961</v>
      </c>
      <c r="AT123">
        <v>8112.78</v>
      </c>
      <c r="AU123">
        <v>672.25980000000015</v>
      </c>
      <c r="AV123">
        <v>983.8592633543243</v>
      </c>
      <c r="AW123">
        <f t="shared" si="165"/>
        <v>0.31671141896044297</v>
      </c>
      <c r="AX123">
        <v>0.5</v>
      </c>
      <c r="AY123">
        <f t="shared" si="166"/>
        <v>1513.0025999934026</v>
      </c>
      <c r="AZ123">
        <f t="shared" si="167"/>
        <v>44.324649492458533</v>
      </c>
      <c r="BA123">
        <f t="shared" si="168"/>
        <v>239.59260016737502</v>
      </c>
      <c r="BB123">
        <f t="shared" si="169"/>
        <v>3.0074817607294434E-2</v>
      </c>
      <c r="BC123">
        <f t="shared" si="170"/>
        <v>1.1853837028169196</v>
      </c>
      <c r="BD123">
        <f t="shared" si="171"/>
        <v>455.6930313376389</v>
      </c>
      <c r="BE123" t="s">
        <v>962</v>
      </c>
      <c r="BF123">
        <v>525.39</v>
      </c>
      <c r="BG123">
        <f t="shared" si="172"/>
        <v>525.39</v>
      </c>
      <c r="BH123">
        <f t="shared" si="173"/>
        <v>0.46599069646530578</v>
      </c>
      <c r="BI123">
        <f t="shared" si="174"/>
        <v>0.67965180713435747</v>
      </c>
      <c r="BJ123">
        <f t="shared" si="175"/>
        <v>0.71781644630808727</v>
      </c>
      <c r="BK123">
        <f t="shared" si="176"/>
        <v>0.83033215147352724</v>
      </c>
      <c r="BL123">
        <f t="shared" si="177"/>
        <v>0.75655815438828478</v>
      </c>
      <c r="BM123">
        <f t="shared" si="178"/>
        <v>0.53116706212437514</v>
      </c>
      <c r="BN123">
        <f t="shared" si="179"/>
        <v>0.46883293787562486</v>
      </c>
      <c r="BO123">
        <v>7187</v>
      </c>
      <c r="BP123">
        <v>290.00000000000011</v>
      </c>
      <c r="BQ123">
        <v>880.48</v>
      </c>
      <c r="BR123">
        <v>285</v>
      </c>
      <c r="BS123">
        <v>8112.78</v>
      </c>
      <c r="BT123">
        <v>881.78</v>
      </c>
      <c r="BU123">
        <v>-1.3</v>
      </c>
      <c r="BV123">
        <v>300.00000000000011</v>
      </c>
      <c r="BW123">
        <v>19.2</v>
      </c>
      <c r="BX123">
        <v>983.8592633543243</v>
      </c>
      <c r="BY123">
        <v>3.424324147363826</v>
      </c>
      <c r="BZ123">
        <v>-82.816103173357376</v>
      </c>
      <c r="CA123">
        <v>2.552834780163785</v>
      </c>
      <c r="CB123">
        <v>0.97408386611069619</v>
      </c>
      <c r="CC123">
        <v>-4.180530367074534E-3</v>
      </c>
      <c r="CD123">
        <v>289.99999999999989</v>
      </c>
      <c r="CE123">
        <v>876.93</v>
      </c>
      <c r="CF123">
        <v>625</v>
      </c>
      <c r="CG123">
        <v>8108.11</v>
      </c>
      <c r="CH123">
        <v>881.72</v>
      </c>
      <c r="CI123">
        <v>-4.79</v>
      </c>
      <c r="CW123">
        <f t="shared" si="180"/>
        <v>1799.78</v>
      </c>
      <c r="CX123">
        <f t="shared" si="181"/>
        <v>1513.0025999934026</v>
      </c>
      <c r="CY123">
        <f t="shared" si="182"/>
        <v>0.84065974729878234</v>
      </c>
      <c r="CZ123">
        <f t="shared" si="183"/>
        <v>0.19131949459756473</v>
      </c>
      <c r="DA123">
        <v>6</v>
      </c>
      <c r="DB123">
        <v>0.5</v>
      </c>
      <c r="DC123" t="s">
        <v>417</v>
      </c>
      <c r="DD123">
        <v>2</v>
      </c>
      <c r="DE123">
        <v>1691185982.5</v>
      </c>
      <c r="DF123">
        <v>344.85700000000003</v>
      </c>
      <c r="DG123">
        <v>400.21699999999998</v>
      </c>
      <c r="DH123">
        <v>26.139500000000002</v>
      </c>
      <c r="DI123">
        <v>19.984500000000001</v>
      </c>
      <c r="DJ123">
        <v>342.37599999999998</v>
      </c>
      <c r="DK123">
        <v>26.014299999999999</v>
      </c>
      <c r="DL123">
        <v>500.08600000000001</v>
      </c>
      <c r="DM123">
        <v>98.951700000000002</v>
      </c>
      <c r="DN123">
        <v>0.100165</v>
      </c>
      <c r="DO123">
        <v>30.181000000000001</v>
      </c>
      <c r="DP123">
        <v>29.998999999999999</v>
      </c>
      <c r="DQ123">
        <v>999.9</v>
      </c>
      <c r="DR123">
        <v>0</v>
      </c>
      <c r="DS123">
        <v>0</v>
      </c>
      <c r="DT123">
        <v>10010</v>
      </c>
      <c r="DU123">
        <v>0</v>
      </c>
      <c r="DV123">
        <v>854.95699999999999</v>
      </c>
      <c r="DW123">
        <v>-55.360399999999998</v>
      </c>
      <c r="DX123">
        <v>354.113</v>
      </c>
      <c r="DY123">
        <v>408.37799999999999</v>
      </c>
      <c r="DZ123">
        <v>6.1550599999999998</v>
      </c>
      <c r="EA123">
        <v>400.21699999999998</v>
      </c>
      <c r="EB123">
        <v>19.984500000000001</v>
      </c>
      <c r="EC123">
        <v>2.5865499999999999</v>
      </c>
      <c r="ED123">
        <v>1.9775</v>
      </c>
      <c r="EE123">
        <v>21.581600000000002</v>
      </c>
      <c r="EF123">
        <v>17.2653</v>
      </c>
      <c r="EG123">
        <v>1799.78</v>
      </c>
      <c r="EH123">
        <v>0.97800699999999996</v>
      </c>
      <c r="EI123">
        <v>2.1993499999999999E-2</v>
      </c>
      <c r="EJ123">
        <v>0</v>
      </c>
      <c r="EK123">
        <v>674.06</v>
      </c>
      <c r="EL123">
        <v>0.10001</v>
      </c>
      <c r="EM123">
        <v>16860.7</v>
      </c>
      <c r="EN123">
        <v>16351.5</v>
      </c>
      <c r="EO123">
        <v>48.561999999999998</v>
      </c>
      <c r="EP123">
        <v>50.5</v>
      </c>
      <c r="EQ123">
        <v>50</v>
      </c>
      <c r="ER123">
        <v>49.25</v>
      </c>
      <c r="ES123">
        <v>49.936999999999998</v>
      </c>
      <c r="ET123">
        <v>1760.1</v>
      </c>
      <c r="EU123">
        <v>39.58</v>
      </c>
      <c r="EV123">
        <v>0</v>
      </c>
      <c r="EW123">
        <v>177.5999999046326</v>
      </c>
      <c r="EX123">
        <v>0</v>
      </c>
      <c r="EY123">
        <v>672.25980000000015</v>
      </c>
      <c r="EZ123">
        <v>13.095000028349579</v>
      </c>
      <c r="FA123">
        <v>544.22308065960817</v>
      </c>
      <c r="FB123">
        <v>16662.972000000002</v>
      </c>
      <c r="FC123">
        <v>15</v>
      </c>
      <c r="FD123">
        <v>1691185869.5</v>
      </c>
      <c r="FE123" t="s">
        <v>963</v>
      </c>
      <c r="FF123">
        <v>1691185866</v>
      </c>
      <c r="FG123">
        <v>1691185869.5</v>
      </c>
      <c r="FH123">
        <v>119</v>
      </c>
      <c r="FI123">
        <v>-4.7E-2</v>
      </c>
      <c r="FJ123">
        <v>-2E-3</v>
      </c>
      <c r="FK123">
        <v>2.6</v>
      </c>
      <c r="FL123">
        <v>1.2999999999999999E-2</v>
      </c>
      <c r="FM123">
        <v>400</v>
      </c>
      <c r="FN123">
        <v>19</v>
      </c>
      <c r="FO123">
        <v>0.17</v>
      </c>
      <c r="FP123">
        <v>0.04</v>
      </c>
      <c r="FQ123">
        <v>43.994705700703747</v>
      </c>
      <c r="FR123">
        <v>0.54649146709330965</v>
      </c>
      <c r="FS123">
        <v>0.1039246989597838</v>
      </c>
      <c r="FT123">
        <v>1</v>
      </c>
      <c r="FU123">
        <v>0.32418822498697891</v>
      </c>
      <c r="FV123">
        <v>-3.8968118845207712E-2</v>
      </c>
      <c r="FW123">
        <v>3.4965824294851001E-3</v>
      </c>
      <c r="FX123">
        <v>1</v>
      </c>
      <c r="FY123">
        <v>2</v>
      </c>
      <c r="FZ123">
        <v>2</v>
      </c>
      <c r="GA123" t="s">
        <v>419</v>
      </c>
      <c r="GB123">
        <v>2.8822700000000001</v>
      </c>
      <c r="GC123">
        <v>2.8214399999999999</v>
      </c>
      <c r="GD123">
        <v>7.6307399999999997E-2</v>
      </c>
      <c r="GE123">
        <v>8.6707500000000007E-2</v>
      </c>
      <c r="GF123">
        <v>0.12062199999999999</v>
      </c>
      <c r="GG123">
        <v>0.10062699999999999</v>
      </c>
      <c r="GH123">
        <v>28269.9</v>
      </c>
      <c r="GI123">
        <v>26065</v>
      </c>
      <c r="GJ123">
        <v>28180.799999999999</v>
      </c>
      <c r="GK123">
        <v>26811</v>
      </c>
      <c r="GL123">
        <v>34972.699999999997</v>
      </c>
      <c r="GM123">
        <v>33692</v>
      </c>
      <c r="GN123">
        <v>41456.199999999997</v>
      </c>
      <c r="GO123">
        <v>38807.199999999997</v>
      </c>
      <c r="GP123">
        <v>1.9903999999999999</v>
      </c>
      <c r="GQ123">
        <v>1.6593</v>
      </c>
      <c r="GR123">
        <v>-4.6521399999999997E-2</v>
      </c>
      <c r="GS123">
        <v>0</v>
      </c>
      <c r="GT123">
        <v>30.755600000000001</v>
      </c>
      <c r="GU123">
        <v>999.9</v>
      </c>
      <c r="GV123">
        <v>44.5</v>
      </c>
      <c r="GW123">
        <v>44.1</v>
      </c>
      <c r="GX123">
        <v>41.374200000000002</v>
      </c>
      <c r="GY123">
        <v>62.644500000000001</v>
      </c>
      <c r="GZ123">
        <v>28.73</v>
      </c>
      <c r="HA123">
        <v>1</v>
      </c>
      <c r="HB123">
        <v>1.09659</v>
      </c>
      <c r="HC123">
        <v>5.0769299999999999</v>
      </c>
      <c r="HD123">
        <v>20.1707</v>
      </c>
      <c r="HE123">
        <v>5.2100999999999997</v>
      </c>
      <c r="HF123">
        <v>12.0022</v>
      </c>
      <c r="HG123">
        <v>4.9892000000000003</v>
      </c>
      <c r="HH123">
        <v>3.2909999999999999</v>
      </c>
      <c r="HI123">
        <v>9999</v>
      </c>
      <c r="HJ123">
        <v>9999</v>
      </c>
      <c r="HK123">
        <v>9999</v>
      </c>
      <c r="HL123">
        <v>999.9</v>
      </c>
      <c r="HM123">
        <v>1.8666499999999999</v>
      </c>
      <c r="HN123">
        <v>1.86676</v>
      </c>
      <c r="HO123">
        <v>1.8632500000000001</v>
      </c>
      <c r="HP123">
        <v>1.8644700000000001</v>
      </c>
      <c r="HQ123">
        <v>1.8640099999999999</v>
      </c>
      <c r="HR123">
        <v>1.85989</v>
      </c>
      <c r="HS123">
        <v>1.8631</v>
      </c>
      <c r="HT123">
        <v>1.8658399999999999</v>
      </c>
      <c r="HU123">
        <v>5</v>
      </c>
      <c r="HV123">
        <v>0</v>
      </c>
      <c r="HW123">
        <v>0</v>
      </c>
      <c r="HX123">
        <v>0</v>
      </c>
      <c r="HY123" t="s">
        <v>420</v>
      </c>
      <c r="HZ123" t="s">
        <v>421</v>
      </c>
      <c r="IA123" t="s">
        <v>422</v>
      </c>
      <c r="IB123" t="s">
        <v>422</v>
      </c>
      <c r="IC123" t="s">
        <v>422</v>
      </c>
      <c r="ID123" t="s">
        <v>422</v>
      </c>
      <c r="IE123">
        <v>0</v>
      </c>
      <c r="IF123">
        <v>100</v>
      </c>
      <c r="IG123">
        <v>100</v>
      </c>
      <c r="IH123">
        <v>2.4809999999999999</v>
      </c>
      <c r="II123">
        <v>0.12520000000000001</v>
      </c>
      <c r="IJ123">
        <v>1.500326319796272</v>
      </c>
      <c r="IK123">
        <v>3.5576830062418229E-3</v>
      </c>
      <c r="IL123">
        <v>-2.2646740813029151E-6</v>
      </c>
      <c r="IM123">
        <v>6.9609298295988525E-10</v>
      </c>
      <c r="IN123">
        <v>-0.1381765326569783</v>
      </c>
      <c r="IO123">
        <v>-9.4437069492282083E-4</v>
      </c>
      <c r="IP123">
        <v>5.2900373165634467E-4</v>
      </c>
      <c r="IQ123">
        <v>-3.977656803091445E-6</v>
      </c>
      <c r="IR123">
        <v>2</v>
      </c>
      <c r="IS123">
        <v>1759</v>
      </c>
      <c r="IT123">
        <v>2</v>
      </c>
      <c r="IU123">
        <v>42</v>
      </c>
      <c r="IV123">
        <v>1.9</v>
      </c>
      <c r="IW123">
        <v>1.9</v>
      </c>
      <c r="IX123">
        <v>0.99121099999999995</v>
      </c>
      <c r="IY123">
        <v>2.4328599999999998</v>
      </c>
      <c r="IZ123">
        <v>1.54297</v>
      </c>
      <c r="JA123">
        <v>2.3034699999999999</v>
      </c>
      <c r="JB123">
        <v>1.5466299999999999</v>
      </c>
      <c r="JC123">
        <v>2.34741</v>
      </c>
      <c r="JD123">
        <v>47.904299999999999</v>
      </c>
      <c r="JE123">
        <v>24.061199999999999</v>
      </c>
      <c r="JF123">
        <v>18</v>
      </c>
      <c r="JG123">
        <v>534.50199999999995</v>
      </c>
      <c r="JH123">
        <v>419.00400000000002</v>
      </c>
      <c r="JI123">
        <v>24.473500000000001</v>
      </c>
      <c r="JJ123">
        <v>40.126300000000001</v>
      </c>
      <c r="JK123">
        <v>30.0001</v>
      </c>
      <c r="JL123">
        <v>40.451000000000001</v>
      </c>
      <c r="JM123">
        <v>40.4345</v>
      </c>
      <c r="JN123">
        <v>19.9803</v>
      </c>
      <c r="JO123">
        <v>57.573799999999999</v>
      </c>
      <c r="JP123">
        <v>0</v>
      </c>
      <c r="JQ123">
        <v>24.4758</v>
      </c>
      <c r="JR123">
        <v>400</v>
      </c>
      <c r="JS123">
        <v>19.890899999999998</v>
      </c>
      <c r="JT123">
        <v>98.227800000000002</v>
      </c>
      <c r="JU123">
        <v>96.012</v>
      </c>
    </row>
    <row r="124" spans="1:281" x14ac:dyDescent="0.25">
      <c r="A124">
        <v>108</v>
      </c>
      <c r="B124">
        <v>1691186090.5</v>
      </c>
      <c r="C124">
        <v>25179</v>
      </c>
      <c r="D124" t="s">
        <v>964</v>
      </c>
      <c r="E124" t="s">
        <v>965</v>
      </c>
      <c r="F124" t="s">
        <v>413</v>
      </c>
      <c r="G124" t="s">
        <v>707</v>
      </c>
      <c r="H124" t="s">
        <v>491</v>
      </c>
      <c r="I124" t="s">
        <v>490</v>
      </c>
      <c r="J124">
        <v>1691186090.5</v>
      </c>
      <c r="K124">
        <f t="shared" si="138"/>
        <v>5.2477984749245048E-3</v>
      </c>
      <c r="L124">
        <f t="shared" si="139"/>
        <v>5.2477984749245046</v>
      </c>
      <c r="M124">
        <f t="shared" si="140"/>
        <v>48.011521353484198</v>
      </c>
      <c r="N124">
        <f t="shared" si="141"/>
        <v>439.64</v>
      </c>
      <c r="O124">
        <f t="shared" si="142"/>
        <v>177.30869410506767</v>
      </c>
      <c r="P124">
        <f t="shared" si="143"/>
        <v>17.562468527884842</v>
      </c>
      <c r="Q124">
        <f t="shared" si="144"/>
        <v>43.546447073959996</v>
      </c>
      <c r="R124">
        <f t="shared" si="145"/>
        <v>0.31839910413618999</v>
      </c>
      <c r="S124">
        <f t="shared" si="146"/>
        <v>2.9093191559207234</v>
      </c>
      <c r="T124">
        <f t="shared" si="147"/>
        <v>0.30022962897482824</v>
      </c>
      <c r="U124">
        <f t="shared" si="148"/>
        <v>0.18918951511405779</v>
      </c>
      <c r="V124">
        <f t="shared" si="149"/>
        <v>344.36588678984322</v>
      </c>
      <c r="W124">
        <f t="shared" si="150"/>
        <v>30.84724277692133</v>
      </c>
      <c r="X124">
        <f t="shared" si="151"/>
        <v>30.0138</v>
      </c>
      <c r="Y124">
        <f t="shared" si="152"/>
        <v>4.2638280301582858</v>
      </c>
      <c r="Z124">
        <f t="shared" si="153"/>
        <v>60.228619949581777</v>
      </c>
      <c r="AA124">
        <f t="shared" si="154"/>
        <v>2.5924220952991996</v>
      </c>
      <c r="AB124">
        <f t="shared" si="155"/>
        <v>4.3043026678501892</v>
      </c>
      <c r="AC124">
        <f t="shared" si="156"/>
        <v>1.6714059348590862</v>
      </c>
      <c r="AD124">
        <f t="shared" si="157"/>
        <v>-231.42791274417067</v>
      </c>
      <c r="AE124">
        <f t="shared" si="158"/>
        <v>25.817051479376094</v>
      </c>
      <c r="AF124">
        <f t="shared" si="159"/>
        <v>1.9750020866631863</v>
      </c>
      <c r="AG124">
        <f t="shared" si="160"/>
        <v>140.73002761171185</v>
      </c>
      <c r="AH124">
        <v>0</v>
      </c>
      <c r="AI124">
        <v>0</v>
      </c>
      <c r="AJ124">
        <f t="shared" si="161"/>
        <v>1</v>
      </c>
      <c r="AK124">
        <f t="shared" si="162"/>
        <v>0</v>
      </c>
      <c r="AL124">
        <f t="shared" si="163"/>
        <v>51723.878759611202</v>
      </c>
      <c r="AM124" t="s">
        <v>414</v>
      </c>
      <c r="AN124">
        <v>10111.299999999999</v>
      </c>
      <c r="AO124">
        <v>608.58839999999998</v>
      </c>
      <c r="AP124">
        <v>2150.11</v>
      </c>
      <c r="AQ124">
        <f t="shared" si="164"/>
        <v>0.71695010952927984</v>
      </c>
      <c r="AR124">
        <v>-1.1786277417053079</v>
      </c>
      <c r="AS124" t="s">
        <v>966</v>
      </c>
      <c r="AT124">
        <v>8113.2</v>
      </c>
      <c r="AU124">
        <v>690.39539999999977</v>
      </c>
      <c r="AV124">
        <v>1045.8633515936269</v>
      </c>
      <c r="AW124">
        <f t="shared" si="165"/>
        <v>0.33987991935273898</v>
      </c>
      <c r="AX124">
        <v>0.5</v>
      </c>
      <c r="AY124">
        <f t="shared" si="166"/>
        <v>1513.1456933949219</v>
      </c>
      <c r="AZ124">
        <f t="shared" si="167"/>
        <v>48.011521353484198</v>
      </c>
      <c r="BA124">
        <f t="shared" si="168"/>
        <v>257.1439181200052</v>
      </c>
      <c r="BB124">
        <f t="shared" si="169"/>
        <v>3.2508534577939792E-2</v>
      </c>
      <c r="BC124">
        <f t="shared" si="170"/>
        <v>1.0558230640014159</v>
      </c>
      <c r="BD124">
        <f t="shared" si="171"/>
        <v>468.55920055117139</v>
      </c>
      <c r="BE124" t="s">
        <v>967</v>
      </c>
      <c r="BF124">
        <v>530.16999999999996</v>
      </c>
      <c r="BG124">
        <f t="shared" si="172"/>
        <v>530.16999999999996</v>
      </c>
      <c r="BH124">
        <f t="shared" si="173"/>
        <v>0.49307909184105447</v>
      </c>
      <c r="BI124">
        <f t="shared" si="174"/>
        <v>0.68930101676730648</v>
      </c>
      <c r="BJ124">
        <f t="shared" si="175"/>
        <v>0.68165898021307769</v>
      </c>
      <c r="BK124">
        <f t="shared" si="176"/>
        <v>0.81291633627341742</v>
      </c>
      <c r="BL124">
        <f t="shared" si="177"/>
        <v>0.71633550149824254</v>
      </c>
      <c r="BM124">
        <f t="shared" si="178"/>
        <v>0.52932959874808405</v>
      </c>
      <c r="BN124">
        <f t="shared" si="179"/>
        <v>0.47067040125191595</v>
      </c>
      <c r="BO124">
        <v>7189</v>
      </c>
      <c r="BP124">
        <v>290.00000000000011</v>
      </c>
      <c r="BQ124">
        <v>927.37</v>
      </c>
      <c r="BR124">
        <v>295</v>
      </c>
      <c r="BS124">
        <v>8113.2</v>
      </c>
      <c r="BT124">
        <v>929.35</v>
      </c>
      <c r="BU124">
        <v>-1.98</v>
      </c>
      <c r="BV124">
        <v>300.00000000000011</v>
      </c>
      <c r="BW124">
        <v>19.2</v>
      </c>
      <c r="BX124">
        <v>1045.8633515936269</v>
      </c>
      <c r="BY124">
        <v>2.6328338668164579</v>
      </c>
      <c r="BZ124">
        <v>-94.53226954437784</v>
      </c>
      <c r="CA124">
        <v>1.962890358115291</v>
      </c>
      <c r="CB124">
        <v>0.98807170399150113</v>
      </c>
      <c r="CC124">
        <v>-4.1805770856507291E-3</v>
      </c>
      <c r="CD124">
        <v>289.99999999999989</v>
      </c>
      <c r="CE124">
        <v>923.55</v>
      </c>
      <c r="CF124">
        <v>705</v>
      </c>
      <c r="CG124">
        <v>8106.96</v>
      </c>
      <c r="CH124">
        <v>929.26</v>
      </c>
      <c r="CI124">
        <v>-5.71</v>
      </c>
      <c r="CW124">
        <f t="shared" si="180"/>
        <v>1799.95</v>
      </c>
      <c r="CX124">
        <f t="shared" si="181"/>
        <v>1513.1456933949219</v>
      </c>
      <c r="CY124">
        <f t="shared" si="182"/>
        <v>0.84065984799295634</v>
      </c>
      <c r="CZ124">
        <f t="shared" si="183"/>
        <v>0.1913196959859125</v>
      </c>
      <c r="DA124">
        <v>6</v>
      </c>
      <c r="DB124">
        <v>0.5</v>
      </c>
      <c r="DC124" t="s">
        <v>417</v>
      </c>
      <c r="DD124">
        <v>2</v>
      </c>
      <c r="DE124">
        <v>1691186090.5</v>
      </c>
      <c r="DF124">
        <v>439.64</v>
      </c>
      <c r="DG124">
        <v>500.02300000000002</v>
      </c>
      <c r="DH124">
        <v>26.172799999999999</v>
      </c>
      <c r="DI124">
        <v>20.040199999999999</v>
      </c>
      <c r="DJ124">
        <v>437.01100000000002</v>
      </c>
      <c r="DK124">
        <v>26.051200000000001</v>
      </c>
      <c r="DL124">
        <v>499.995</v>
      </c>
      <c r="DM124">
        <v>98.950199999999995</v>
      </c>
      <c r="DN124">
        <v>0.100039</v>
      </c>
      <c r="DO124">
        <v>30.1784</v>
      </c>
      <c r="DP124">
        <v>30.0138</v>
      </c>
      <c r="DQ124">
        <v>999.9</v>
      </c>
      <c r="DR124">
        <v>0</v>
      </c>
      <c r="DS124">
        <v>0</v>
      </c>
      <c r="DT124">
        <v>9990</v>
      </c>
      <c r="DU124">
        <v>0</v>
      </c>
      <c r="DV124">
        <v>995.36699999999996</v>
      </c>
      <c r="DW124">
        <v>-60.383499999999998</v>
      </c>
      <c r="DX124">
        <v>451.45600000000002</v>
      </c>
      <c r="DY124">
        <v>510.24900000000002</v>
      </c>
      <c r="DZ124">
        <v>6.1326000000000001</v>
      </c>
      <c r="EA124">
        <v>500.02300000000002</v>
      </c>
      <c r="EB124">
        <v>20.040199999999999</v>
      </c>
      <c r="EC124">
        <v>2.5897999999999999</v>
      </c>
      <c r="ED124">
        <v>1.98298</v>
      </c>
      <c r="EE124">
        <v>21.6021</v>
      </c>
      <c r="EF124">
        <v>17.309100000000001</v>
      </c>
      <c r="EG124">
        <v>1799.95</v>
      </c>
      <c r="EH124">
        <v>0.97800699999999996</v>
      </c>
      <c r="EI124">
        <v>2.1993499999999999E-2</v>
      </c>
      <c r="EJ124">
        <v>0</v>
      </c>
      <c r="EK124">
        <v>690.29499999999996</v>
      </c>
      <c r="EL124">
        <v>0.10001</v>
      </c>
      <c r="EM124">
        <v>17135.8</v>
      </c>
      <c r="EN124">
        <v>16353.1</v>
      </c>
      <c r="EO124">
        <v>48.5</v>
      </c>
      <c r="EP124">
        <v>50.375</v>
      </c>
      <c r="EQ124">
        <v>49.936999999999998</v>
      </c>
      <c r="ER124">
        <v>49.186999999999998</v>
      </c>
      <c r="ES124">
        <v>49.936999999999998</v>
      </c>
      <c r="ET124">
        <v>1760.27</v>
      </c>
      <c r="EU124">
        <v>39.590000000000003</v>
      </c>
      <c r="EV124">
        <v>0</v>
      </c>
      <c r="EW124">
        <v>105.5999999046326</v>
      </c>
      <c r="EX124">
        <v>0</v>
      </c>
      <c r="EY124">
        <v>690.39539999999977</v>
      </c>
      <c r="EZ124">
        <v>-2.5069230947630592</v>
      </c>
      <c r="FA124">
        <v>-340.3153863164701</v>
      </c>
      <c r="FB124">
        <v>17179.036</v>
      </c>
      <c r="FC124">
        <v>15</v>
      </c>
      <c r="FD124">
        <v>1691186061.5</v>
      </c>
      <c r="FE124" t="s">
        <v>968</v>
      </c>
      <c r="FF124">
        <v>1691186061.5</v>
      </c>
      <c r="FG124">
        <v>1691186052</v>
      </c>
      <c r="FH124">
        <v>120</v>
      </c>
      <c r="FI124">
        <v>-5.1999999999999998E-2</v>
      </c>
      <c r="FJ124">
        <v>-4.0000000000000001E-3</v>
      </c>
      <c r="FK124">
        <v>2.7429999999999999</v>
      </c>
      <c r="FL124">
        <v>1.4999999999999999E-2</v>
      </c>
      <c r="FM124">
        <v>500</v>
      </c>
      <c r="FN124">
        <v>20</v>
      </c>
      <c r="FO124">
        <v>0.17</v>
      </c>
      <c r="FP124">
        <v>0.03</v>
      </c>
      <c r="FQ124">
        <v>48.06595858577812</v>
      </c>
      <c r="FR124">
        <v>-0.68870863790349623</v>
      </c>
      <c r="FS124">
        <v>0.104539702192414</v>
      </c>
      <c r="FT124">
        <v>1</v>
      </c>
      <c r="FU124">
        <v>0.32028728341147511</v>
      </c>
      <c r="FV124">
        <v>1.7376759036802449E-2</v>
      </c>
      <c r="FW124">
        <v>2.0647008905588229E-3</v>
      </c>
      <c r="FX124">
        <v>1</v>
      </c>
      <c r="FY124">
        <v>2</v>
      </c>
      <c r="FZ124">
        <v>2</v>
      </c>
      <c r="GA124" t="s">
        <v>419</v>
      </c>
      <c r="GB124">
        <v>2.88205</v>
      </c>
      <c r="GC124">
        <v>2.8211400000000002</v>
      </c>
      <c r="GD124">
        <v>9.2267799999999997E-2</v>
      </c>
      <c r="GE124">
        <v>0.10252</v>
      </c>
      <c r="GF124">
        <v>0.12073399999999999</v>
      </c>
      <c r="GG124">
        <v>0.10082099999999999</v>
      </c>
      <c r="GH124">
        <v>27781.8</v>
      </c>
      <c r="GI124">
        <v>25613</v>
      </c>
      <c r="GJ124">
        <v>28180.9</v>
      </c>
      <c r="GK124">
        <v>26810.1</v>
      </c>
      <c r="GL124">
        <v>34968.9</v>
      </c>
      <c r="GM124">
        <v>33683.800000000003</v>
      </c>
      <c r="GN124">
        <v>41456.800000000003</v>
      </c>
      <c r="GO124">
        <v>38805.9</v>
      </c>
      <c r="GP124">
        <v>1.9904999999999999</v>
      </c>
      <c r="GQ124">
        <v>1.6597</v>
      </c>
      <c r="GR124">
        <v>-4.3138900000000001E-2</v>
      </c>
      <c r="GS124">
        <v>0</v>
      </c>
      <c r="GT124">
        <v>30.715399999999999</v>
      </c>
      <c r="GU124">
        <v>999.9</v>
      </c>
      <c r="GV124">
        <v>44.4</v>
      </c>
      <c r="GW124">
        <v>44.1</v>
      </c>
      <c r="GX124">
        <v>41.2879</v>
      </c>
      <c r="GY124">
        <v>62.6145</v>
      </c>
      <c r="GZ124">
        <v>29.118600000000001</v>
      </c>
      <c r="HA124">
        <v>1</v>
      </c>
      <c r="HB124">
        <v>1.0983700000000001</v>
      </c>
      <c r="HC124">
        <v>5.2323700000000004</v>
      </c>
      <c r="HD124">
        <v>20.1661</v>
      </c>
      <c r="HE124">
        <v>5.2100999999999997</v>
      </c>
      <c r="HF124">
        <v>11.9998</v>
      </c>
      <c r="HG124">
        <v>4.9892000000000003</v>
      </c>
      <c r="HH124">
        <v>3.2909999999999999</v>
      </c>
      <c r="HI124">
        <v>9999</v>
      </c>
      <c r="HJ124">
        <v>9999</v>
      </c>
      <c r="HK124">
        <v>9999</v>
      </c>
      <c r="HL124">
        <v>999.9</v>
      </c>
      <c r="HM124">
        <v>1.8667400000000001</v>
      </c>
      <c r="HN124">
        <v>1.86676</v>
      </c>
      <c r="HO124">
        <v>1.86327</v>
      </c>
      <c r="HP124">
        <v>1.8644700000000001</v>
      </c>
      <c r="HQ124">
        <v>1.8640099999999999</v>
      </c>
      <c r="HR124">
        <v>1.85989</v>
      </c>
      <c r="HS124">
        <v>1.8631</v>
      </c>
      <c r="HT124">
        <v>1.8658399999999999</v>
      </c>
      <c r="HU124">
        <v>5</v>
      </c>
      <c r="HV124">
        <v>0</v>
      </c>
      <c r="HW124">
        <v>0</v>
      </c>
      <c r="HX124">
        <v>0</v>
      </c>
      <c r="HY124" t="s">
        <v>420</v>
      </c>
      <c r="HZ124" t="s">
        <v>421</v>
      </c>
      <c r="IA124" t="s">
        <v>422</v>
      </c>
      <c r="IB124" t="s">
        <v>422</v>
      </c>
      <c r="IC124" t="s">
        <v>422</v>
      </c>
      <c r="ID124" t="s">
        <v>422</v>
      </c>
      <c r="IE124">
        <v>0</v>
      </c>
      <c r="IF124">
        <v>100</v>
      </c>
      <c r="IG124">
        <v>100</v>
      </c>
      <c r="IH124">
        <v>2.629</v>
      </c>
      <c r="II124">
        <v>0.1216</v>
      </c>
      <c r="IJ124">
        <v>1.4482361443070939</v>
      </c>
      <c r="IK124">
        <v>3.5576830062418229E-3</v>
      </c>
      <c r="IL124">
        <v>-2.2646740813029151E-6</v>
      </c>
      <c r="IM124">
        <v>6.9609298295988525E-10</v>
      </c>
      <c r="IN124">
        <v>-0.14249999999999999</v>
      </c>
      <c r="IO124">
        <v>-9.4437099999999995E-4</v>
      </c>
      <c r="IP124">
        <v>5.2900400000000002E-4</v>
      </c>
      <c r="IQ124">
        <v>-3.9776599999999998E-6</v>
      </c>
      <c r="IR124">
        <v>2</v>
      </c>
      <c r="IS124">
        <v>1759</v>
      </c>
      <c r="IT124">
        <v>2</v>
      </c>
      <c r="IU124">
        <v>42</v>
      </c>
      <c r="IV124">
        <v>0.5</v>
      </c>
      <c r="IW124">
        <v>0.6</v>
      </c>
      <c r="IX124">
        <v>1.1938500000000001</v>
      </c>
      <c r="IY124">
        <v>2.4536099999999998</v>
      </c>
      <c r="IZ124">
        <v>1.54297</v>
      </c>
      <c r="JA124">
        <v>2.3022499999999999</v>
      </c>
      <c r="JB124">
        <v>1.5466299999999999</v>
      </c>
      <c r="JC124">
        <v>2.32178</v>
      </c>
      <c r="JD124">
        <v>48.0259</v>
      </c>
      <c r="JE124">
        <v>24.052499999999998</v>
      </c>
      <c r="JF124">
        <v>18</v>
      </c>
      <c r="JG124">
        <v>534.68899999999996</v>
      </c>
      <c r="JH124">
        <v>419.33100000000002</v>
      </c>
      <c r="JI124">
        <v>24.376999999999999</v>
      </c>
      <c r="JJ124">
        <v>40.122300000000003</v>
      </c>
      <c r="JK124">
        <v>30.0002</v>
      </c>
      <c r="JL124">
        <v>40.466900000000003</v>
      </c>
      <c r="JM124">
        <v>40.444800000000001</v>
      </c>
      <c r="JN124">
        <v>24.018699999999999</v>
      </c>
      <c r="JO124">
        <v>57.535800000000002</v>
      </c>
      <c r="JP124">
        <v>0</v>
      </c>
      <c r="JQ124">
        <v>24.375</v>
      </c>
      <c r="JR124">
        <v>500</v>
      </c>
      <c r="JS124">
        <v>20.122900000000001</v>
      </c>
      <c r="JT124">
        <v>98.228700000000003</v>
      </c>
      <c r="JU124">
        <v>96.008799999999994</v>
      </c>
    </row>
    <row r="125" spans="1:281" x14ac:dyDescent="0.25">
      <c r="A125">
        <v>109</v>
      </c>
      <c r="B125">
        <v>1691186198</v>
      </c>
      <c r="C125">
        <v>25286.5</v>
      </c>
      <c r="D125" t="s">
        <v>969</v>
      </c>
      <c r="E125" t="s">
        <v>970</v>
      </c>
      <c r="F125" t="s">
        <v>413</v>
      </c>
      <c r="G125" t="s">
        <v>707</v>
      </c>
      <c r="H125" t="s">
        <v>491</v>
      </c>
      <c r="I125" t="s">
        <v>490</v>
      </c>
      <c r="J125">
        <v>1691186198</v>
      </c>
      <c r="K125">
        <f t="shared" si="138"/>
        <v>4.6269366595084772E-3</v>
      </c>
      <c r="L125">
        <f t="shared" si="139"/>
        <v>4.6269366595084769</v>
      </c>
      <c r="M125">
        <f t="shared" si="140"/>
        <v>49.667684717042007</v>
      </c>
      <c r="N125">
        <f t="shared" si="141"/>
        <v>636.85500000000002</v>
      </c>
      <c r="O125">
        <f t="shared" si="142"/>
        <v>320.82407242979536</v>
      </c>
      <c r="P125">
        <f t="shared" si="143"/>
        <v>31.77766511882843</v>
      </c>
      <c r="Q125">
        <f t="shared" si="144"/>
        <v>63.080568630585006</v>
      </c>
      <c r="R125">
        <f t="shared" si="145"/>
        <v>0.27440853190323222</v>
      </c>
      <c r="S125">
        <f t="shared" si="146"/>
        <v>2.9119313298220355</v>
      </c>
      <c r="T125">
        <f t="shared" si="147"/>
        <v>0.26080920085095449</v>
      </c>
      <c r="U125">
        <f t="shared" si="148"/>
        <v>0.16417141613347686</v>
      </c>
      <c r="V125">
        <f t="shared" si="149"/>
        <v>344.32599998680143</v>
      </c>
      <c r="W125">
        <f t="shared" si="150"/>
        <v>30.964090424213353</v>
      </c>
      <c r="X125">
        <f t="shared" si="151"/>
        <v>30.0321</v>
      </c>
      <c r="Y125">
        <f t="shared" si="152"/>
        <v>4.2683114940369471</v>
      </c>
      <c r="Z125">
        <f t="shared" si="153"/>
        <v>59.901149723892132</v>
      </c>
      <c r="AA125">
        <f t="shared" si="154"/>
        <v>2.5717672124661002</v>
      </c>
      <c r="AB125">
        <f t="shared" si="155"/>
        <v>4.2933520046282627</v>
      </c>
      <c r="AC125">
        <f t="shared" si="156"/>
        <v>1.6965442815708469</v>
      </c>
      <c r="AD125">
        <f t="shared" si="157"/>
        <v>-204.04790668432383</v>
      </c>
      <c r="AE125">
        <f t="shared" si="158"/>
        <v>15.99708146485804</v>
      </c>
      <c r="AF125">
        <f t="shared" si="159"/>
        <v>1.2225194981812106</v>
      </c>
      <c r="AG125">
        <f t="shared" si="160"/>
        <v>157.49769426551686</v>
      </c>
      <c r="AH125">
        <v>0</v>
      </c>
      <c r="AI125">
        <v>0</v>
      </c>
      <c r="AJ125">
        <f t="shared" si="161"/>
        <v>1</v>
      </c>
      <c r="AK125">
        <f t="shared" si="162"/>
        <v>0</v>
      </c>
      <c r="AL125">
        <f t="shared" si="163"/>
        <v>51805.643091053265</v>
      </c>
      <c r="AM125" t="s">
        <v>414</v>
      </c>
      <c r="AN125">
        <v>10111.299999999999</v>
      </c>
      <c r="AO125">
        <v>608.58839999999998</v>
      </c>
      <c r="AP125">
        <v>2150.11</v>
      </c>
      <c r="AQ125">
        <f t="shared" si="164"/>
        <v>0.71695010952927984</v>
      </c>
      <c r="AR125">
        <v>-1.1786277417053079</v>
      </c>
      <c r="AS125" t="s">
        <v>971</v>
      </c>
      <c r="AT125">
        <v>8115.95</v>
      </c>
      <c r="AU125">
        <v>694.85800000000006</v>
      </c>
      <c r="AV125">
        <v>1065.3971254702569</v>
      </c>
      <c r="AW125">
        <f t="shared" si="165"/>
        <v>0.34779437320774087</v>
      </c>
      <c r="AX125">
        <v>0.5</v>
      </c>
      <c r="AY125">
        <f t="shared" si="166"/>
        <v>1512.9692999934007</v>
      </c>
      <c r="AZ125">
        <f t="shared" si="167"/>
        <v>49.667684717042007</v>
      </c>
      <c r="BA125">
        <f t="shared" si="168"/>
        <v>263.10110468687964</v>
      </c>
      <c r="BB125">
        <f t="shared" si="169"/>
        <v>3.3606969063396788E-2</v>
      </c>
      <c r="BC125">
        <f t="shared" si="170"/>
        <v>1.0181300930870829</v>
      </c>
      <c r="BD125">
        <f t="shared" si="171"/>
        <v>472.43990648967804</v>
      </c>
      <c r="BE125" t="s">
        <v>972</v>
      </c>
      <c r="BF125">
        <v>530.09</v>
      </c>
      <c r="BG125">
        <f t="shared" si="172"/>
        <v>530.09</v>
      </c>
      <c r="BH125">
        <f t="shared" si="173"/>
        <v>0.50244844168692215</v>
      </c>
      <c r="BI125">
        <f t="shared" si="174"/>
        <v>0.69219912801411987</v>
      </c>
      <c r="BJ125">
        <f t="shared" si="175"/>
        <v>0.66956758220870316</v>
      </c>
      <c r="BK125">
        <f t="shared" si="176"/>
        <v>0.81114721503799925</v>
      </c>
      <c r="BL125">
        <f t="shared" si="177"/>
        <v>0.70366375309288121</v>
      </c>
      <c r="BM125">
        <f t="shared" si="178"/>
        <v>0.52806161225603621</v>
      </c>
      <c r="BN125">
        <f t="shared" si="179"/>
        <v>0.47193838774396379</v>
      </c>
      <c r="BO125">
        <v>7191</v>
      </c>
      <c r="BP125">
        <v>290.00000000000011</v>
      </c>
      <c r="BQ125">
        <v>942.55</v>
      </c>
      <c r="BR125">
        <v>235</v>
      </c>
      <c r="BS125">
        <v>8115.95</v>
      </c>
      <c r="BT125">
        <v>944.22</v>
      </c>
      <c r="BU125">
        <v>-1.67</v>
      </c>
      <c r="BV125">
        <v>300.00000000000011</v>
      </c>
      <c r="BW125">
        <v>19.2</v>
      </c>
      <c r="BX125">
        <v>1065.3971254702569</v>
      </c>
      <c r="BY125">
        <v>3.2732241457889359</v>
      </c>
      <c r="BZ125">
        <v>-98.345021759743503</v>
      </c>
      <c r="CA125">
        <v>2.4405965016505982</v>
      </c>
      <c r="CB125">
        <v>0.98304803764547155</v>
      </c>
      <c r="CC125">
        <v>-4.181118131256956E-3</v>
      </c>
      <c r="CD125">
        <v>289.99999999999989</v>
      </c>
      <c r="CE125">
        <v>938.7</v>
      </c>
      <c r="CF125">
        <v>635</v>
      </c>
      <c r="CG125">
        <v>8109.29</v>
      </c>
      <c r="CH125">
        <v>944.12</v>
      </c>
      <c r="CI125">
        <v>-5.42</v>
      </c>
      <c r="CW125">
        <f t="shared" si="180"/>
        <v>1799.74</v>
      </c>
      <c r="CX125">
        <f t="shared" si="181"/>
        <v>1512.9692999934007</v>
      </c>
      <c r="CY125">
        <f t="shared" si="182"/>
        <v>0.84065992865269468</v>
      </c>
      <c r="CZ125">
        <f t="shared" si="183"/>
        <v>0.19131985730538936</v>
      </c>
      <c r="DA125">
        <v>6</v>
      </c>
      <c r="DB125">
        <v>0.5</v>
      </c>
      <c r="DC125" t="s">
        <v>417</v>
      </c>
      <c r="DD125">
        <v>2</v>
      </c>
      <c r="DE125">
        <v>1691186198</v>
      </c>
      <c r="DF125">
        <v>636.85500000000002</v>
      </c>
      <c r="DG125">
        <v>699.95299999999997</v>
      </c>
      <c r="DH125">
        <v>25.964300000000001</v>
      </c>
      <c r="DI125">
        <v>20.5595</v>
      </c>
      <c r="DJ125">
        <v>633.46799999999996</v>
      </c>
      <c r="DK125">
        <v>25.845800000000001</v>
      </c>
      <c r="DL125">
        <v>500.31099999999998</v>
      </c>
      <c r="DM125">
        <v>98.949600000000004</v>
      </c>
      <c r="DN125">
        <v>0.10052700000000001</v>
      </c>
      <c r="DO125">
        <v>30.134</v>
      </c>
      <c r="DP125">
        <v>30.0321</v>
      </c>
      <c r="DQ125">
        <v>999.9</v>
      </c>
      <c r="DR125">
        <v>0</v>
      </c>
      <c r="DS125">
        <v>0</v>
      </c>
      <c r="DT125">
        <v>10005</v>
      </c>
      <c r="DU125">
        <v>0</v>
      </c>
      <c r="DV125">
        <v>743.42200000000003</v>
      </c>
      <c r="DW125">
        <v>-63.098399999999998</v>
      </c>
      <c r="DX125">
        <v>653.83100000000002</v>
      </c>
      <c r="DY125">
        <v>714.64599999999996</v>
      </c>
      <c r="DZ125">
        <v>5.4048699999999998</v>
      </c>
      <c r="EA125">
        <v>699.95299999999997</v>
      </c>
      <c r="EB125">
        <v>20.5595</v>
      </c>
      <c r="EC125">
        <v>2.5691600000000001</v>
      </c>
      <c r="ED125">
        <v>2.0343499999999999</v>
      </c>
      <c r="EE125">
        <v>21.471399999999999</v>
      </c>
      <c r="EF125">
        <v>17.714300000000001</v>
      </c>
      <c r="EG125">
        <v>1799.74</v>
      </c>
      <c r="EH125">
        <v>0.97800299999999996</v>
      </c>
      <c r="EI125">
        <v>2.1997099999999999E-2</v>
      </c>
      <c r="EJ125">
        <v>0</v>
      </c>
      <c r="EK125">
        <v>694.5</v>
      </c>
      <c r="EL125">
        <v>0.10001</v>
      </c>
      <c r="EM125">
        <v>17424.099999999999</v>
      </c>
      <c r="EN125">
        <v>16351.2</v>
      </c>
      <c r="EO125">
        <v>48.436999999999998</v>
      </c>
      <c r="EP125">
        <v>50.25</v>
      </c>
      <c r="EQ125">
        <v>49.875</v>
      </c>
      <c r="ER125">
        <v>49</v>
      </c>
      <c r="ES125">
        <v>49.811999999999998</v>
      </c>
      <c r="ET125">
        <v>1760.05</v>
      </c>
      <c r="EU125">
        <v>39.590000000000003</v>
      </c>
      <c r="EV125">
        <v>0</v>
      </c>
      <c r="EW125">
        <v>105.5999999046326</v>
      </c>
      <c r="EX125">
        <v>0</v>
      </c>
      <c r="EY125">
        <v>694.85800000000006</v>
      </c>
      <c r="EZ125">
        <v>0.73384616813089698</v>
      </c>
      <c r="FA125">
        <v>1640.046168944885</v>
      </c>
      <c r="FB125">
        <v>17511.240000000002</v>
      </c>
      <c r="FC125">
        <v>15</v>
      </c>
      <c r="FD125">
        <v>1691186167</v>
      </c>
      <c r="FE125" t="s">
        <v>973</v>
      </c>
      <c r="FF125">
        <v>1691186167</v>
      </c>
      <c r="FG125">
        <v>1691186159</v>
      </c>
      <c r="FH125">
        <v>121</v>
      </c>
      <c r="FI125">
        <v>0.41699999999999998</v>
      </c>
      <c r="FJ125">
        <v>1E-3</v>
      </c>
      <c r="FK125">
        <v>3.4790000000000001</v>
      </c>
      <c r="FL125">
        <v>2.3E-2</v>
      </c>
      <c r="FM125">
        <v>700</v>
      </c>
      <c r="FN125">
        <v>20</v>
      </c>
      <c r="FO125">
        <v>0.13</v>
      </c>
      <c r="FP125">
        <v>0.04</v>
      </c>
      <c r="FQ125">
        <v>49.614895087581132</v>
      </c>
      <c r="FR125">
        <v>-0.59989285624471245</v>
      </c>
      <c r="FS125">
        <v>0.16368304951893439</v>
      </c>
      <c r="FT125">
        <v>1</v>
      </c>
      <c r="FU125">
        <v>0.28048255955767809</v>
      </c>
      <c r="FV125">
        <v>-4.8661730575898711E-2</v>
      </c>
      <c r="FW125">
        <v>3.6476496243575398E-3</v>
      </c>
      <c r="FX125">
        <v>1</v>
      </c>
      <c r="FY125">
        <v>2</v>
      </c>
      <c r="FZ125">
        <v>2</v>
      </c>
      <c r="GA125" t="s">
        <v>419</v>
      </c>
      <c r="GB125">
        <v>2.8829199999999999</v>
      </c>
      <c r="GC125">
        <v>2.8217699999999999</v>
      </c>
      <c r="GD125">
        <v>0.12089</v>
      </c>
      <c r="GE125">
        <v>0.13012399999999999</v>
      </c>
      <c r="GF125">
        <v>0.120077</v>
      </c>
      <c r="GG125">
        <v>0.10265299999999999</v>
      </c>
      <c r="GH125">
        <v>26908</v>
      </c>
      <c r="GI125">
        <v>24826</v>
      </c>
      <c r="GJ125">
        <v>28183.4</v>
      </c>
      <c r="GK125">
        <v>26811.5</v>
      </c>
      <c r="GL125">
        <v>34999</v>
      </c>
      <c r="GM125">
        <v>33618</v>
      </c>
      <c r="GN125">
        <v>41461.300000000003</v>
      </c>
      <c r="GO125">
        <v>38808.400000000001</v>
      </c>
      <c r="GP125">
        <v>1.9905999999999999</v>
      </c>
      <c r="GQ125">
        <v>1.6611</v>
      </c>
      <c r="GR125">
        <v>-3.8892000000000003E-2</v>
      </c>
      <c r="GS125">
        <v>0</v>
      </c>
      <c r="GT125">
        <v>30.6647</v>
      </c>
      <c r="GU125">
        <v>999.9</v>
      </c>
      <c r="GV125">
        <v>44.3</v>
      </c>
      <c r="GW125">
        <v>44.2</v>
      </c>
      <c r="GX125">
        <v>41.405900000000003</v>
      </c>
      <c r="GY125">
        <v>62.644500000000001</v>
      </c>
      <c r="GZ125">
        <v>28.637799999999999</v>
      </c>
      <c r="HA125">
        <v>1</v>
      </c>
      <c r="HB125">
        <v>1.09457</v>
      </c>
      <c r="HC125">
        <v>5.3772700000000002</v>
      </c>
      <c r="HD125">
        <v>20.162400000000002</v>
      </c>
      <c r="HE125">
        <v>5.2095000000000002</v>
      </c>
      <c r="HF125">
        <v>12.000999999999999</v>
      </c>
      <c r="HG125">
        <v>4.9888000000000003</v>
      </c>
      <c r="HH125">
        <v>3.2909999999999999</v>
      </c>
      <c r="HI125">
        <v>9999</v>
      </c>
      <c r="HJ125">
        <v>9999</v>
      </c>
      <c r="HK125">
        <v>9999</v>
      </c>
      <c r="HL125">
        <v>999.9</v>
      </c>
      <c r="HM125">
        <v>1.86676</v>
      </c>
      <c r="HN125">
        <v>1.86676</v>
      </c>
      <c r="HO125">
        <v>1.86328</v>
      </c>
      <c r="HP125">
        <v>1.8644700000000001</v>
      </c>
      <c r="HQ125">
        <v>1.8640399999999999</v>
      </c>
      <c r="HR125">
        <v>1.85989</v>
      </c>
      <c r="HS125">
        <v>1.8631</v>
      </c>
      <c r="HT125">
        <v>1.8658399999999999</v>
      </c>
      <c r="HU125">
        <v>5</v>
      </c>
      <c r="HV125">
        <v>0</v>
      </c>
      <c r="HW125">
        <v>0</v>
      </c>
      <c r="HX125">
        <v>0</v>
      </c>
      <c r="HY125" t="s">
        <v>420</v>
      </c>
      <c r="HZ125" t="s">
        <v>421</v>
      </c>
      <c r="IA125" t="s">
        <v>422</v>
      </c>
      <c r="IB125" t="s">
        <v>422</v>
      </c>
      <c r="IC125" t="s">
        <v>422</v>
      </c>
      <c r="ID125" t="s">
        <v>422</v>
      </c>
      <c r="IE125">
        <v>0</v>
      </c>
      <c r="IF125">
        <v>100</v>
      </c>
      <c r="IG125">
        <v>100</v>
      </c>
      <c r="IH125">
        <v>3.387</v>
      </c>
      <c r="II125">
        <v>0.11849999999999999</v>
      </c>
      <c r="IJ125">
        <v>1.8650105976735809</v>
      </c>
      <c r="IK125">
        <v>3.5576830062418229E-3</v>
      </c>
      <c r="IL125">
        <v>-2.2646740813029151E-6</v>
      </c>
      <c r="IM125">
        <v>6.9609298295988525E-10</v>
      </c>
      <c r="IN125">
        <v>-0.1418289539450987</v>
      </c>
      <c r="IO125">
        <v>-9.4437069492282083E-4</v>
      </c>
      <c r="IP125">
        <v>5.2900373165634467E-4</v>
      </c>
      <c r="IQ125">
        <v>-3.977656803091445E-6</v>
      </c>
      <c r="IR125">
        <v>2</v>
      </c>
      <c r="IS125">
        <v>1759</v>
      </c>
      <c r="IT125">
        <v>2</v>
      </c>
      <c r="IU125">
        <v>42</v>
      </c>
      <c r="IV125">
        <v>0.5</v>
      </c>
      <c r="IW125">
        <v>0.7</v>
      </c>
      <c r="IX125">
        <v>1.57959</v>
      </c>
      <c r="IY125">
        <v>2.4352999999999998</v>
      </c>
      <c r="IZ125">
        <v>1.54297</v>
      </c>
      <c r="JA125">
        <v>2.3034699999999999</v>
      </c>
      <c r="JB125">
        <v>1.5466299999999999</v>
      </c>
      <c r="JC125">
        <v>2.3718300000000001</v>
      </c>
      <c r="JD125">
        <v>48.117400000000004</v>
      </c>
      <c r="JE125">
        <v>24.061199999999999</v>
      </c>
      <c r="JF125">
        <v>18</v>
      </c>
      <c r="JG125">
        <v>534.63499999999999</v>
      </c>
      <c r="JH125">
        <v>420.15199999999999</v>
      </c>
      <c r="JI125">
        <v>24.2148</v>
      </c>
      <c r="JJ125">
        <v>40.0867</v>
      </c>
      <c r="JK125">
        <v>30</v>
      </c>
      <c r="JL125">
        <v>40.451000000000001</v>
      </c>
      <c r="JM125">
        <v>40.428899999999999</v>
      </c>
      <c r="JN125">
        <v>31.747900000000001</v>
      </c>
      <c r="JO125">
        <v>56.119</v>
      </c>
      <c r="JP125">
        <v>0</v>
      </c>
      <c r="JQ125">
        <v>24.1907</v>
      </c>
      <c r="JR125">
        <v>700</v>
      </c>
      <c r="JS125">
        <v>20.6525</v>
      </c>
      <c r="JT125">
        <v>98.238699999999994</v>
      </c>
      <c r="JU125">
        <v>96.014399999999995</v>
      </c>
    </row>
    <row r="126" spans="1:281" x14ac:dyDescent="0.25">
      <c r="A126">
        <v>110</v>
      </c>
      <c r="B126">
        <v>1691186303</v>
      </c>
      <c r="C126">
        <v>25391.5</v>
      </c>
      <c r="D126" t="s">
        <v>974</v>
      </c>
      <c r="E126" t="s">
        <v>975</v>
      </c>
      <c r="F126" t="s">
        <v>413</v>
      </c>
      <c r="G126" t="s">
        <v>707</v>
      </c>
      <c r="H126" t="s">
        <v>491</v>
      </c>
      <c r="I126" t="s">
        <v>490</v>
      </c>
      <c r="J126">
        <v>1691186303</v>
      </c>
      <c r="K126">
        <f t="shared" si="138"/>
        <v>3.8213146073666497E-3</v>
      </c>
      <c r="L126">
        <f t="shared" si="139"/>
        <v>3.8213146073666495</v>
      </c>
      <c r="M126">
        <f t="shared" si="140"/>
        <v>49.54628316540969</v>
      </c>
      <c r="N126">
        <f t="shared" si="141"/>
        <v>836.721</v>
      </c>
      <c r="O126">
        <f t="shared" si="142"/>
        <v>449.16008097131134</v>
      </c>
      <c r="P126">
        <f t="shared" si="143"/>
        <v>44.491106702972999</v>
      </c>
      <c r="Q126">
        <f t="shared" si="144"/>
        <v>82.880569464488985</v>
      </c>
      <c r="R126">
        <f t="shared" si="145"/>
        <v>0.22248367452586559</v>
      </c>
      <c r="S126">
        <f t="shared" si="146"/>
        <v>2.9067378800356054</v>
      </c>
      <c r="T126">
        <f t="shared" si="147"/>
        <v>0.21343761192073155</v>
      </c>
      <c r="U126">
        <f t="shared" si="148"/>
        <v>0.13418061185004646</v>
      </c>
      <c r="V126">
        <f t="shared" si="149"/>
        <v>344.3943999868041</v>
      </c>
      <c r="W126">
        <f t="shared" si="150"/>
        <v>31.038858611883711</v>
      </c>
      <c r="X126">
        <f t="shared" si="151"/>
        <v>30.005199999999999</v>
      </c>
      <c r="Y126">
        <f t="shared" si="152"/>
        <v>4.2617224651198287</v>
      </c>
      <c r="Z126">
        <f t="shared" si="153"/>
        <v>59.848275755490334</v>
      </c>
      <c r="AA126">
        <f t="shared" si="154"/>
        <v>2.5492638810249</v>
      </c>
      <c r="AB126">
        <f t="shared" si="155"/>
        <v>4.2595444043198469</v>
      </c>
      <c r="AC126">
        <f t="shared" si="156"/>
        <v>1.7124585840949287</v>
      </c>
      <c r="AD126">
        <f t="shared" si="157"/>
        <v>-168.51997418486926</v>
      </c>
      <c r="AE126">
        <f t="shared" si="158"/>
        <v>-1.3947016680370015</v>
      </c>
      <c r="AF126">
        <f t="shared" si="159"/>
        <v>-0.10668853911331834</v>
      </c>
      <c r="AG126">
        <f t="shared" si="160"/>
        <v>174.37303559478454</v>
      </c>
      <c r="AH126">
        <v>0</v>
      </c>
      <c r="AI126">
        <v>0</v>
      </c>
      <c r="AJ126">
        <f t="shared" si="161"/>
        <v>1</v>
      </c>
      <c r="AK126">
        <f t="shared" si="162"/>
        <v>0</v>
      </c>
      <c r="AL126">
        <f t="shared" si="163"/>
        <v>51681.701413310708</v>
      </c>
      <c r="AM126" t="s">
        <v>414</v>
      </c>
      <c r="AN126">
        <v>10111.299999999999</v>
      </c>
      <c r="AO126">
        <v>608.58839999999998</v>
      </c>
      <c r="AP126">
        <v>2150.11</v>
      </c>
      <c r="AQ126">
        <f t="shared" si="164"/>
        <v>0.71695010952927984</v>
      </c>
      <c r="AR126">
        <v>-1.1786277417053079</v>
      </c>
      <c r="AS126" t="s">
        <v>976</v>
      </c>
      <c r="AT126">
        <v>8115.52</v>
      </c>
      <c r="AU126">
        <v>691.61346153846159</v>
      </c>
      <c r="AV126">
        <v>1064.3228476799179</v>
      </c>
      <c r="AW126">
        <f t="shared" si="165"/>
        <v>0.35018452056527127</v>
      </c>
      <c r="AX126">
        <v>0.5</v>
      </c>
      <c r="AY126">
        <f t="shared" si="166"/>
        <v>1513.2716999934021</v>
      </c>
      <c r="AZ126">
        <f t="shared" si="167"/>
        <v>49.54628316540969</v>
      </c>
      <c r="BA126">
        <f t="shared" si="168"/>
        <v>264.96216237359124</v>
      </c>
      <c r="BB126">
        <f t="shared" si="169"/>
        <v>3.3520028761085112E-2</v>
      </c>
      <c r="BC126">
        <f t="shared" si="170"/>
        <v>1.0201670993786836</v>
      </c>
      <c r="BD126">
        <f t="shared" si="171"/>
        <v>472.22854274255764</v>
      </c>
      <c r="BE126" t="s">
        <v>977</v>
      </c>
      <c r="BF126">
        <v>534.72</v>
      </c>
      <c r="BG126">
        <f t="shared" si="172"/>
        <v>534.72</v>
      </c>
      <c r="BH126">
        <f t="shared" si="173"/>
        <v>0.4975960525834634</v>
      </c>
      <c r="BI126">
        <f t="shared" si="174"/>
        <v>0.70375260966631914</v>
      </c>
      <c r="BJ126">
        <f t="shared" si="175"/>
        <v>0.67215171093053827</v>
      </c>
      <c r="BK126">
        <f t="shared" si="176"/>
        <v>0.81782140463348574</v>
      </c>
      <c r="BL126">
        <f t="shared" si="177"/>
        <v>0.70436064750573857</v>
      </c>
      <c r="BM126">
        <f t="shared" si="178"/>
        <v>0.54410536573954038</v>
      </c>
      <c r="BN126">
        <f t="shared" si="179"/>
        <v>0.45589463426045962</v>
      </c>
      <c r="BO126">
        <v>7193</v>
      </c>
      <c r="BP126">
        <v>290.00000000000011</v>
      </c>
      <c r="BQ126">
        <v>940.57</v>
      </c>
      <c r="BR126">
        <v>245</v>
      </c>
      <c r="BS126">
        <v>8115.52</v>
      </c>
      <c r="BT126">
        <v>942.51</v>
      </c>
      <c r="BU126">
        <v>-1.94</v>
      </c>
      <c r="BV126">
        <v>300.00000000000011</v>
      </c>
      <c r="BW126">
        <v>19.2</v>
      </c>
      <c r="BX126">
        <v>1064.3228476799179</v>
      </c>
      <c r="BY126">
        <v>2.6440997741564618</v>
      </c>
      <c r="BZ126">
        <v>-98.858479401736759</v>
      </c>
      <c r="CA126">
        <v>1.9715011665025099</v>
      </c>
      <c r="CB126">
        <v>0.98898676927720464</v>
      </c>
      <c r="CC126">
        <v>-4.1808580645161398E-3</v>
      </c>
      <c r="CD126">
        <v>289.99999999999989</v>
      </c>
      <c r="CE126">
        <v>938.09</v>
      </c>
      <c r="CF126">
        <v>675</v>
      </c>
      <c r="CG126">
        <v>8108.43</v>
      </c>
      <c r="CH126">
        <v>942.4</v>
      </c>
      <c r="CI126">
        <v>-4.3099999999999996</v>
      </c>
      <c r="CW126">
        <f t="shared" si="180"/>
        <v>1800.1</v>
      </c>
      <c r="CX126">
        <f t="shared" si="181"/>
        <v>1513.2716999934021</v>
      </c>
      <c r="CY126">
        <f t="shared" si="182"/>
        <v>0.84065979667429702</v>
      </c>
      <c r="CZ126">
        <f t="shared" si="183"/>
        <v>0.19131959334859402</v>
      </c>
      <c r="DA126">
        <v>6</v>
      </c>
      <c r="DB126">
        <v>0.5</v>
      </c>
      <c r="DC126" t="s">
        <v>417</v>
      </c>
      <c r="DD126">
        <v>2</v>
      </c>
      <c r="DE126">
        <v>1691186303</v>
      </c>
      <c r="DF126">
        <v>836.721</v>
      </c>
      <c r="DG126">
        <v>899.97</v>
      </c>
      <c r="DH126">
        <v>25.7361</v>
      </c>
      <c r="DI126">
        <v>21.271599999999999</v>
      </c>
      <c r="DJ126">
        <v>833.02300000000002</v>
      </c>
      <c r="DK126">
        <v>25.623999999999999</v>
      </c>
      <c r="DL126">
        <v>500.34300000000002</v>
      </c>
      <c r="DM126">
        <v>98.952699999999993</v>
      </c>
      <c r="DN126">
        <v>0.101309</v>
      </c>
      <c r="DO126">
        <v>29.996300000000002</v>
      </c>
      <c r="DP126">
        <v>30.005199999999999</v>
      </c>
      <c r="DQ126">
        <v>999.9</v>
      </c>
      <c r="DR126">
        <v>0</v>
      </c>
      <c r="DS126">
        <v>0</v>
      </c>
      <c r="DT126">
        <v>9975</v>
      </c>
      <c r="DU126">
        <v>0</v>
      </c>
      <c r="DV126">
        <v>736.42700000000002</v>
      </c>
      <c r="DW126">
        <v>-63.249000000000002</v>
      </c>
      <c r="DX126">
        <v>858.82399999999996</v>
      </c>
      <c r="DY126">
        <v>919.53</v>
      </c>
      <c r="DZ126">
        <v>4.46455</v>
      </c>
      <c r="EA126">
        <v>899.97</v>
      </c>
      <c r="EB126">
        <v>21.271599999999999</v>
      </c>
      <c r="EC126">
        <v>2.5466600000000001</v>
      </c>
      <c r="ED126">
        <v>2.1048800000000001</v>
      </c>
      <c r="EE126">
        <v>21.3278</v>
      </c>
      <c r="EF126">
        <v>18.2562</v>
      </c>
      <c r="EG126">
        <v>1800.1</v>
      </c>
      <c r="EH126">
        <v>0.97800699999999996</v>
      </c>
      <c r="EI126">
        <v>2.1993499999999999E-2</v>
      </c>
      <c r="EJ126">
        <v>0</v>
      </c>
      <c r="EK126">
        <v>693.46500000000003</v>
      </c>
      <c r="EL126">
        <v>0.10001</v>
      </c>
      <c r="EM126">
        <v>16923.400000000001</v>
      </c>
      <c r="EN126">
        <v>16354.5</v>
      </c>
      <c r="EO126">
        <v>48.375</v>
      </c>
      <c r="EP126">
        <v>50.186999999999998</v>
      </c>
      <c r="EQ126">
        <v>49.75</v>
      </c>
      <c r="ER126">
        <v>48.936999999999998</v>
      </c>
      <c r="ES126">
        <v>49.686999999999998</v>
      </c>
      <c r="ET126">
        <v>1760.41</v>
      </c>
      <c r="EU126">
        <v>39.590000000000003</v>
      </c>
      <c r="EV126">
        <v>0</v>
      </c>
      <c r="EW126">
        <v>102.7999999523163</v>
      </c>
      <c r="EX126">
        <v>0</v>
      </c>
      <c r="EY126">
        <v>691.61346153846159</v>
      </c>
      <c r="EZ126">
        <v>1.4758973739077541</v>
      </c>
      <c r="FA126">
        <v>519.14530141098214</v>
      </c>
      <c r="FB126">
        <v>16941.530769230769</v>
      </c>
      <c r="FC126">
        <v>15</v>
      </c>
      <c r="FD126">
        <v>1691186269.5</v>
      </c>
      <c r="FE126" t="s">
        <v>978</v>
      </c>
      <c r="FF126">
        <v>1691186264</v>
      </c>
      <c r="FG126">
        <v>1691186269.5</v>
      </c>
      <c r="FH126">
        <v>122</v>
      </c>
      <c r="FI126">
        <v>3.7999999999999999E-2</v>
      </c>
      <c r="FJ126">
        <v>-2E-3</v>
      </c>
      <c r="FK126">
        <v>3.774</v>
      </c>
      <c r="FL126">
        <v>2.8000000000000001E-2</v>
      </c>
      <c r="FM126">
        <v>900</v>
      </c>
      <c r="FN126">
        <v>21</v>
      </c>
      <c r="FO126">
        <v>0.16</v>
      </c>
      <c r="FP126">
        <v>0.04</v>
      </c>
      <c r="FQ126">
        <v>49.57123418291134</v>
      </c>
      <c r="FR126">
        <v>-0.65437251660808582</v>
      </c>
      <c r="FS126">
        <v>0.1523695889580296</v>
      </c>
      <c r="FT126">
        <v>1</v>
      </c>
      <c r="FU126">
        <v>0.22990890238330999</v>
      </c>
      <c r="FV126">
        <v>-3.3334280511103397E-2</v>
      </c>
      <c r="FW126">
        <v>2.551285875868791E-3</v>
      </c>
      <c r="FX126">
        <v>1</v>
      </c>
      <c r="FY126">
        <v>2</v>
      </c>
      <c r="FZ126">
        <v>2</v>
      </c>
      <c r="GA126" t="s">
        <v>419</v>
      </c>
      <c r="GB126">
        <v>2.88307</v>
      </c>
      <c r="GC126">
        <v>2.8222900000000002</v>
      </c>
      <c r="GD126">
        <v>0.14566999999999999</v>
      </c>
      <c r="GE126">
        <v>0.153944</v>
      </c>
      <c r="GF126">
        <v>0.11937200000000001</v>
      </c>
      <c r="GG126">
        <v>0.105141</v>
      </c>
      <c r="GH126">
        <v>26149.9</v>
      </c>
      <c r="GI126">
        <v>24147.8</v>
      </c>
      <c r="GJ126">
        <v>28185</v>
      </c>
      <c r="GK126">
        <v>26814.5</v>
      </c>
      <c r="GL126">
        <v>35028.9</v>
      </c>
      <c r="GM126">
        <v>33528.400000000001</v>
      </c>
      <c r="GN126">
        <v>41463.599999999999</v>
      </c>
      <c r="GO126">
        <v>38811.800000000003</v>
      </c>
      <c r="GP126">
        <v>1.9899</v>
      </c>
      <c r="GQ126">
        <v>1.6634</v>
      </c>
      <c r="GR126">
        <v>-3.6805900000000003E-2</v>
      </c>
      <c r="GS126">
        <v>0</v>
      </c>
      <c r="GT126">
        <v>30.6038</v>
      </c>
      <c r="GU126">
        <v>999.9</v>
      </c>
      <c r="GV126">
        <v>44.2</v>
      </c>
      <c r="GW126">
        <v>44.2</v>
      </c>
      <c r="GX126">
        <v>41.307699999999997</v>
      </c>
      <c r="GY126">
        <v>62.644599999999997</v>
      </c>
      <c r="GZ126">
        <v>28.9343</v>
      </c>
      <c r="HA126">
        <v>1</v>
      </c>
      <c r="HB126">
        <v>1.09274</v>
      </c>
      <c r="HC126">
        <v>5.6207399999999996</v>
      </c>
      <c r="HD126">
        <v>20.155100000000001</v>
      </c>
      <c r="HE126">
        <v>5.2107000000000001</v>
      </c>
      <c r="HF126">
        <v>12.002800000000001</v>
      </c>
      <c r="HG126">
        <v>4.9882</v>
      </c>
      <c r="HH126">
        <v>3.2909999999999999</v>
      </c>
      <c r="HI126">
        <v>9999</v>
      </c>
      <c r="HJ126">
        <v>9999</v>
      </c>
      <c r="HK126">
        <v>9999</v>
      </c>
      <c r="HL126">
        <v>999.9</v>
      </c>
      <c r="HM126">
        <v>1.8667199999999999</v>
      </c>
      <c r="HN126">
        <v>1.86677</v>
      </c>
      <c r="HO126">
        <v>1.86331</v>
      </c>
      <c r="HP126">
        <v>1.8644700000000001</v>
      </c>
      <c r="HQ126">
        <v>1.8640399999999999</v>
      </c>
      <c r="HR126">
        <v>1.85991</v>
      </c>
      <c r="HS126">
        <v>1.8631</v>
      </c>
      <c r="HT126">
        <v>1.86589</v>
      </c>
      <c r="HU126">
        <v>5</v>
      </c>
      <c r="HV126">
        <v>0</v>
      </c>
      <c r="HW126">
        <v>0</v>
      </c>
      <c r="HX126">
        <v>0</v>
      </c>
      <c r="HY126" t="s">
        <v>420</v>
      </c>
      <c r="HZ126" t="s">
        <v>421</v>
      </c>
      <c r="IA126" t="s">
        <v>422</v>
      </c>
      <c r="IB126" t="s">
        <v>422</v>
      </c>
      <c r="IC126" t="s">
        <v>422</v>
      </c>
      <c r="ID126" t="s">
        <v>422</v>
      </c>
      <c r="IE126">
        <v>0</v>
      </c>
      <c r="IF126">
        <v>100</v>
      </c>
      <c r="IG126">
        <v>100</v>
      </c>
      <c r="IH126">
        <v>3.698</v>
      </c>
      <c r="II126">
        <v>0.11210000000000001</v>
      </c>
      <c r="IJ126">
        <v>1.903407132513105</v>
      </c>
      <c r="IK126">
        <v>3.5576830062418229E-3</v>
      </c>
      <c r="IL126">
        <v>-2.2646740813029151E-6</v>
      </c>
      <c r="IM126">
        <v>6.9609298295988525E-10</v>
      </c>
      <c r="IN126">
        <v>-0.14408259986910871</v>
      </c>
      <c r="IO126">
        <v>-9.4437069492282083E-4</v>
      </c>
      <c r="IP126">
        <v>5.2900373165634467E-4</v>
      </c>
      <c r="IQ126">
        <v>-3.977656803091445E-6</v>
      </c>
      <c r="IR126">
        <v>2</v>
      </c>
      <c r="IS126">
        <v>1759</v>
      </c>
      <c r="IT126">
        <v>2</v>
      </c>
      <c r="IU126">
        <v>42</v>
      </c>
      <c r="IV126">
        <v>0.7</v>
      </c>
      <c r="IW126">
        <v>0.6</v>
      </c>
      <c r="IX126">
        <v>1.94824</v>
      </c>
      <c r="IY126">
        <v>2.4401899999999999</v>
      </c>
      <c r="IZ126">
        <v>1.54297</v>
      </c>
      <c r="JA126">
        <v>2.3022499999999999</v>
      </c>
      <c r="JB126">
        <v>1.5466299999999999</v>
      </c>
      <c r="JC126">
        <v>2.3327599999999999</v>
      </c>
      <c r="JD126">
        <v>48.239600000000003</v>
      </c>
      <c r="JE126">
        <v>24.052499999999998</v>
      </c>
      <c r="JF126">
        <v>18</v>
      </c>
      <c r="JG126">
        <v>533.96199999999999</v>
      </c>
      <c r="JH126">
        <v>421.49200000000002</v>
      </c>
      <c r="JI126">
        <v>23.849699999999999</v>
      </c>
      <c r="JJ126">
        <v>40.0471</v>
      </c>
      <c r="JK126">
        <v>30</v>
      </c>
      <c r="JL126">
        <v>40.423099999999998</v>
      </c>
      <c r="JM126">
        <v>40.4011</v>
      </c>
      <c r="JN126">
        <v>39.132399999999997</v>
      </c>
      <c r="JO126">
        <v>54.796900000000001</v>
      </c>
      <c r="JP126">
        <v>0</v>
      </c>
      <c r="JQ126">
        <v>23.8553</v>
      </c>
      <c r="JR126">
        <v>900</v>
      </c>
      <c r="JS126">
        <v>21.418099999999999</v>
      </c>
      <c r="JT126">
        <v>98.244100000000003</v>
      </c>
      <c r="JU126">
        <v>96.023799999999994</v>
      </c>
    </row>
    <row r="127" spans="1:281" x14ac:dyDescent="0.25">
      <c r="A127">
        <v>111</v>
      </c>
      <c r="B127">
        <v>1691186441</v>
      </c>
      <c r="C127">
        <v>25529.5</v>
      </c>
      <c r="D127" t="s">
        <v>979</v>
      </c>
      <c r="E127" t="s">
        <v>980</v>
      </c>
      <c r="F127" t="s">
        <v>413</v>
      </c>
      <c r="G127" t="s">
        <v>707</v>
      </c>
      <c r="H127" t="s">
        <v>491</v>
      </c>
      <c r="I127" t="s">
        <v>490</v>
      </c>
      <c r="J127">
        <v>1691186441</v>
      </c>
      <c r="K127">
        <f t="shared" si="138"/>
        <v>2.8704037249147629E-3</v>
      </c>
      <c r="L127">
        <f t="shared" si="139"/>
        <v>2.8704037249147629</v>
      </c>
      <c r="M127">
        <f t="shared" si="140"/>
        <v>49.044959972019392</v>
      </c>
      <c r="N127">
        <f t="shared" si="141"/>
        <v>1137.56</v>
      </c>
      <c r="O127">
        <f t="shared" si="142"/>
        <v>620.86855176838264</v>
      </c>
      <c r="P127">
        <f t="shared" si="143"/>
        <v>61.50230991882254</v>
      </c>
      <c r="Q127">
        <f t="shared" si="144"/>
        <v>112.68499181023999</v>
      </c>
      <c r="R127">
        <f t="shared" si="145"/>
        <v>0.163954125313724</v>
      </c>
      <c r="S127">
        <f t="shared" si="146"/>
        <v>2.9138356982440921</v>
      </c>
      <c r="T127">
        <f t="shared" si="147"/>
        <v>0.1589960817823291</v>
      </c>
      <c r="U127">
        <f t="shared" si="148"/>
        <v>9.9805522388671145E-2</v>
      </c>
      <c r="V127">
        <f t="shared" si="149"/>
        <v>344.33929998680196</v>
      </c>
      <c r="W127">
        <f t="shared" si="150"/>
        <v>31.18238842773178</v>
      </c>
      <c r="X127">
        <f t="shared" si="151"/>
        <v>30.008099999999999</v>
      </c>
      <c r="Y127">
        <f t="shared" si="152"/>
        <v>4.2624323799518171</v>
      </c>
      <c r="Z127">
        <f t="shared" si="153"/>
        <v>59.873811204673508</v>
      </c>
      <c r="AA127">
        <f t="shared" si="154"/>
        <v>2.5354618449824002</v>
      </c>
      <c r="AB127">
        <f t="shared" si="155"/>
        <v>4.2346758857810816</v>
      </c>
      <c r="AC127">
        <f t="shared" si="156"/>
        <v>1.7269705349694169</v>
      </c>
      <c r="AD127">
        <f t="shared" si="157"/>
        <v>-126.58480426874104</v>
      </c>
      <c r="AE127">
        <f t="shared" si="158"/>
        <v>-17.8612137456164</v>
      </c>
      <c r="AF127">
        <f t="shared" si="159"/>
        <v>-1.3623082211044693</v>
      </c>
      <c r="AG127">
        <f t="shared" si="160"/>
        <v>198.53097375134007</v>
      </c>
      <c r="AH127">
        <v>0</v>
      </c>
      <c r="AI127">
        <v>0</v>
      </c>
      <c r="AJ127">
        <f t="shared" si="161"/>
        <v>1</v>
      </c>
      <c r="AK127">
        <f t="shared" si="162"/>
        <v>0</v>
      </c>
      <c r="AL127">
        <f t="shared" si="163"/>
        <v>51900.980128777548</v>
      </c>
      <c r="AM127" t="s">
        <v>414</v>
      </c>
      <c r="AN127">
        <v>10111.299999999999</v>
      </c>
      <c r="AO127">
        <v>608.58839999999998</v>
      </c>
      <c r="AP127">
        <v>2150.11</v>
      </c>
      <c r="AQ127">
        <f t="shared" si="164"/>
        <v>0.71695010952927984</v>
      </c>
      <c r="AR127">
        <v>-1.1786277417053079</v>
      </c>
      <c r="AS127" t="s">
        <v>981</v>
      </c>
      <c r="AT127">
        <v>8114.65</v>
      </c>
      <c r="AU127">
        <v>687.00080000000003</v>
      </c>
      <c r="AV127">
        <v>1052.2813756316559</v>
      </c>
      <c r="AW127">
        <f t="shared" si="165"/>
        <v>0.34713203530033765</v>
      </c>
      <c r="AX127">
        <v>0.5</v>
      </c>
      <c r="AY127">
        <f t="shared" si="166"/>
        <v>1513.0280999934009</v>
      </c>
      <c r="AZ127">
        <f t="shared" si="167"/>
        <v>49.044959972019392</v>
      </c>
      <c r="BA127">
        <f t="shared" si="168"/>
        <v>262.61026190865601</v>
      </c>
      <c r="BB127">
        <f t="shared" si="169"/>
        <v>3.319408787843646E-2</v>
      </c>
      <c r="BC127">
        <f t="shared" si="170"/>
        <v>1.0432842866855336</v>
      </c>
      <c r="BD127">
        <f t="shared" si="171"/>
        <v>469.84304314839898</v>
      </c>
      <c r="BE127" t="s">
        <v>982</v>
      </c>
      <c r="BF127">
        <v>532.36</v>
      </c>
      <c r="BG127">
        <f t="shared" si="172"/>
        <v>532.36</v>
      </c>
      <c r="BH127">
        <f t="shared" si="173"/>
        <v>0.49408968710442225</v>
      </c>
      <c r="BI127">
        <f t="shared" si="174"/>
        <v>0.70256887435696236</v>
      </c>
      <c r="BJ127">
        <f t="shared" si="175"/>
        <v>0.67861451050430799</v>
      </c>
      <c r="BK127">
        <f t="shared" si="176"/>
        <v>0.82327328962472401</v>
      </c>
      <c r="BL127">
        <f t="shared" si="177"/>
        <v>0.71217206711105718</v>
      </c>
      <c r="BM127">
        <f t="shared" si="178"/>
        <v>0.54442377061667535</v>
      </c>
      <c r="BN127">
        <f t="shared" si="179"/>
        <v>0.45557622938332465</v>
      </c>
      <c r="BO127">
        <v>7195</v>
      </c>
      <c r="BP127">
        <v>290.00000000000011</v>
      </c>
      <c r="BQ127">
        <v>932.24</v>
      </c>
      <c r="BR127">
        <v>275</v>
      </c>
      <c r="BS127">
        <v>8114.65</v>
      </c>
      <c r="BT127">
        <v>934.37</v>
      </c>
      <c r="BU127">
        <v>-2.13</v>
      </c>
      <c r="BV127">
        <v>300.00000000000011</v>
      </c>
      <c r="BW127">
        <v>19.2</v>
      </c>
      <c r="BX127">
        <v>1052.2813756316559</v>
      </c>
      <c r="BY127">
        <v>3.073763290513527</v>
      </c>
      <c r="BZ127">
        <v>-95.680008484605139</v>
      </c>
      <c r="CA127">
        <v>2.2919447203993988</v>
      </c>
      <c r="CB127">
        <v>0.98418745683371334</v>
      </c>
      <c r="CC127">
        <v>-4.1811203559510577E-3</v>
      </c>
      <c r="CD127">
        <v>289.99999999999989</v>
      </c>
      <c r="CE127">
        <v>930.23</v>
      </c>
      <c r="CF127">
        <v>705</v>
      </c>
      <c r="CG127">
        <v>8108.19</v>
      </c>
      <c r="CH127">
        <v>934.28</v>
      </c>
      <c r="CI127">
        <v>-4.05</v>
      </c>
      <c r="CW127">
        <f t="shared" si="180"/>
        <v>1799.81</v>
      </c>
      <c r="CX127">
        <f t="shared" si="181"/>
        <v>1513.0280999934009</v>
      </c>
      <c r="CY127">
        <f t="shared" si="182"/>
        <v>0.8406599029860935</v>
      </c>
      <c r="CZ127">
        <f t="shared" si="183"/>
        <v>0.19131980597218703</v>
      </c>
      <c r="DA127">
        <v>6</v>
      </c>
      <c r="DB127">
        <v>0.5</v>
      </c>
      <c r="DC127" t="s">
        <v>417</v>
      </c>
      <c r="DD127">
        <v>2</v>
      </c>
      <c r="DE127">
        <v>1691186441</v>
      </c>
      <c r="DF127">
        <v>1137.56</v>
      </c>
      <c r="DG127">
        <v>1200.33</v>
      </c>
      <c r="DH127">
        <v>25.595600000000001</v>
      </c>
      <c r="DI127">
        <v>22.2394</v>
      </c>
      <c r="DJ127">
        <v>1133.53</v>
      </c>
      <c r="DK127">
        <v>25.4937</v>
      </c>
      <c r="DL127">
        <v>500.01799999999997</v>
      </c>
      <c r="DM127">
        <v>98.958500000000001</v>
      </c>
      <c r="DN127">
        <v>0.100004</v>
      </c>
      <c r="DO127">
        <v>29.894400000000001</v>
      </c>
      <c r="DP127">
        <v>30.008099999999999</v>
      </c>
      <c r="DQ127">
        <v>999.9</v>
      </c>
      <c r="DR127">
        <v>0</v>
      </c>
      <c r="DS127">
        <v>0</v>
      </c>
      <c r="DT127">
        <v>10015</v>
      </c>
      <c r="DU127">
        <v>0</v>
      </c>
      <c r="DV127">
        <v>496.04399999999998</v>
      </c>
      <c r="DW127">
        <v>-62.771099999999997</v>
      </c>
      <c r="DX127">
        <v>1167.44</v>
      </c>
      <c r="DY127">
        <v>1227.6300000000001</v>
      </c>
      <c r="DZ127">
        <v>3.3562500000000002</v>
      </c>
      <c r="EA127">
        <v>1200.33</v>
      </c>
      <c r="EB127">
        <v>22.2394</v>
      </c>
      <c r="EC127">
        <v>2.5329000000000002</v>
      </c>
      <c r="ED127">
        <v>2.2007699999999999</v>
      </c>
      <c r="EE127">
        <v>21.2395</v>
      </c>
      <c r="EF127">
        <v>18.9679</v>
      </c>
      <c r="EG127">
        <v>1799.81</v>
      </c>
      <c r="EH127">
        <v>0.97800299999999996</v>
      </c>
      <c r="EI127">
        <v>2.1997099999999999E-2</v>
      </c>
      <c r="EJ127">
        <v>0</v>
      </c>
      <c r="EK127">
        <v>683.60500000000002</v>
      </c>
      <c r="EL127">
        <v>0.10001</v>
      </c>
      <c r="EM127">
        <v>16439.400000000001</v>
      </c>
      <c r="EN127">
        <v>16351.8</v>
      </c>
      <c r="EO127">
        <v>48.25</v>
      </c>
      <c r="EP127">
        <v>50.061999999999998</v>
      </c>
      <c r="EQ127">
        <v>49.625</v>
      </c>
      <c r="ER127">
        <v>48.75</v>
      </c>
      <c r="ES127">
        <v>49.561999999999998</v>
      </c>
      <c r="ET127">
        <v>1760.12</v>
      </c>
      <c r="EU127">
        <v>39.590000000000003</v>
      </c>
      <c r="EV127">
        <v>0</v>
      </c>
      <c r="EW127">
        <v>135.5999999046326</v>
      </c>
      <c r="EX127">
        <v>0</v>
      </c>
      <c r="EY127">
        <v>687.00080000000003</v>
      </c>
      <c r="EZ127">
        <v>-7.3080767725916029</v>
      </c>
      <c r="FA127">
        <v>-181.40000058989961</v>
      </c>
      <c r="FB127">
        <v>16581.583999999999</v>
      </c>
      <c r="FC127">
        <v>15</v>
      </c>
      <c r="FD127">
        <v>1691186394</v>
      </c>
      <c r="FE127" t="s">
        <v>983</v>
      </c>
      <c r="FF127">
        <v>1691186392</v>
      </c>
      <c r="FG127">
        <v>1691186394</v>
      </c>
      <c r="FH127">
        <v>123</v>
      </c>
      <c r="FI127">
        <v>-1.0999999999999999E-2</v>
      </c>
      <c r="FJ127">
        <v>-8.0000000000000002E-3</v>
      </c>
      <c r="FK127">
        <v>4.0990000000000002</v>
      </c>
      <c r="FL127">
        <v>3.5999999999999997E-2</v>
      </c>
      <c r="FM127">
        <v>1200</v>
      </c>
      <c r="FN127">
        <v>22</v>
      </c>
      <c r="FO127">
        <v>0.16</v>
      </c>
      <c r="FP127">
        <v>0.05</v>
      </c>
      <c r="FQ127">
        <v>48.708300016483612</v>
      </c>
      <c r="FR127">
        <v>-1.8557637119766289E-2</v>
      </c>
      <c r="FS127">
        <v>0.1602700904286028</v>
      </c>
      <c r="FT127">
        <v>1</v>
      </c>
      <c r="FU127">
        <v>0.16709069777474861</v>
      </c>
      <c r="FV127">
        <v>-4.8447140171624103E-2</v>
      </c>
      <c r="FW127">
        <v>4.1945549107734997E-3</v>
      </c>
      <c r="FX127">
        <v>1</v>
      </c>
      <c r="FY127">
        <v>2</v>
      </c>
      <c r="FZ127">
        <v>2</v>
      </c>
      <c r="GA127" t="s">
        <v>419</v>
      </c>
      <c r="GB127">
        <v>2.8823400000000001</v>
      </c>
      <c r="GC127">
        <v>2.8213300000000001</v>
      </c>
      <c r="GD127">
        <v>0.177707</v>
      </c>
      <c r="GE127">
        <v>0.18495200000000001</v>
      </c>
      <c r="GF127">
        <v>0.11896900000000001</v>
      </c>
      <c r="GG127">
        <v>0.108475</v>
      </c>
      <c r="GH127">
        <v>25170.6</v>
      </c>
      <c r="GI127">
        <v>23264</v>
      </c>
      <c r="GJ127">
        <v>28189.599999999999</v>
      </c>
      <c r="GK127">
        <v>26819</v>
      </c>
      <c r="GL127">
        <v>35050.6</v>
      </c>
      <c r="GM127">
        <v>33408.1</v>
      </c>
      <c r="GN127">
        <v>41470.1</v>
      </c>
      <c r="GO127">
        <v>38815.9</v>
      </c>
      <c r="GP127">
        <v>1.9898</v>
      </c>
      <c r="GQ127">
        <v>1.6658999999999999</v>
      </c>
      <c r="GR127">
        <v>-3.0383500000000001E-2</v>
      </c>
      <c r="GS127">
        <v>0</v>
      </c>
      <c r="GT127">
        <v>30.502300000000002</v>
      </c>
      <c r="GU127">
        <v>999.9</v>
      </c>
      <c r="GV127">
        <v>44.1</v>
      </c>
      <c r="GW127">
        <v>44.3</v>
      </c>
      <c r="GX127">
        <v>41.426400000000001</v>
      </c>
      <c r="GY127">
        <v>62.464599999999997</v>
      </c>
      <c r="GZ127">
        <v>28.774000000000001</v>
      </c>
      <c r="HA127">
        <v>1</v>
      </c>
      <c r="HB127">
        <v>1.08443</v>
      </c>
      <c r="HC127">
        <v>5.3291399999999998</v>
      </c>
      <c r="HD127">
        <v>20.1647</v>
      </c>
      <c r="HE127">
        <v>5.2095000000000002</v>
      </c>
      <c r="HF127">
        <v>12.003399999999999</v>
      </c>
      <c r="HG127">
        <v>4.9884000000000004</v>
      </c>
      <c r="HH127">
        <v>3.2909999999999999</v>
      </c>
      <c r="HI127">
        <v>9999</v>
      </c>
      <c r="HJ127">
        <v>9999</v>
      </c>
      <c r="HK127">
        <v>9999</v>
      </c>
      <c r="HL127">
        <v>999.9</v>
      </c>
      <c r="HM127">
        <v>1.8667400000000001</v>
      </c>
      <c r="HN127">
        <v>1.86676</v>
      </c>
      <c r="HO127">
        <v>1.86328</v>
      </c>
      <c r="HP127">
        <v>1.86449</v>
      </c>
      <c r="HQ127">
        <v>1.86409</v>
      </c>
      <c r="HR127">
        <v>1.85992</v>
      </c>
      <c r="HS127">
        <v>1.8631</v>
      </c>
      <c r="HT127">
        <v>1.8658600000000001</v>
      </c>
      <c r="HU127">
        <v>5</v>
      </c>
      <c r="HV127">
        <v>0</v>
      </c>
      <c r="HW127">
        <v>0</v>
      </c>
      <c r="HX127">
        <v>0</v>
      </c>
      <c r="HY127" t="s">
        <v>420</v>
      </c>
      <c r="HZ127" t="s">
        <v>421</v>
      </c>
      <c r="IA127" t="s">
        <v>422</v>
      </c>
      <c r="IB127" t="s">
        <v>422</v>
      </c>
      <c r="IC127" t="s">
        <v>422</v>
      </c>
      <c r="ID127" t="s">
        <v>422</v>
      </c>
      <c r="IE127">
        <v>0</v>
      </c>
      <c r="IF127">
        <v>100</v>
      </c>
      <c r="IG127">
        <v>100</v>
      </c>
      <c r="IH127">
        <v>4.03</v>
      </c>
      <c r="II127">
        <v>0.1019</v>
      </c>
      <c r="IJ127">
        <v>1.892115268199251</v>
      </c>
      <c r="IK127">
        <v>3.5576830062418229E-3</v>
      </c>
      <c r="IL127">
        <v>-2.2646740813029151E-6</v>
      </c>
      <c r="IM127">
        <v>6.9609298295988525E-10</v>
      </c>
      <c r="IN127">
        <v>-0.1518974094773419</v>
      </c>
      <c r="IO127">
        <v>-9.4437069492282083E-4</v>
      </c>
      <c r="IP127">
        <v>5.2900373165634467E-4</v>
      </c>
      <c r="IQ127">
        <v>-3.977656803091445E-6</v>
      </c>
      <c r="IR127">
        <v>2</v>
      </c>
      <c r="IS127">
        <v>1759</v>
      </c>
      <c r="IT127">
        <v>2</v>
      </c>
      <c r="IU127">
        <v>42</v>
      </c>
      <c r="IV127">
        <v>0.8</v>
      </c>
      <c r="IW127">
        <v>0.8</v>
      </c>
      <c r="IX127">
        <v>2.47559</v>
      </c>
      <c r="IY127">
        <v>2.4206500000000002</v>
      </c>
      <c r="IZ127">
        <v>1.54297</v>
      </c>
      <c r="JA127">
        <v>2.3022499999999999</v>
      </c>
      <c r="JB127">
        <v>1.5466299999999999</v>
      </c>
      <c r="JC127">
        <v>2.4072300000000002</v>
      </c>
      <c r="JD127">
        <v>48.362299999999998</v>
      </c>
      <c r="JE127">
        <v>24.061199999999999</v>
      </c>
      <c r="JF127">
        <v>18</v>
      </c>
      <c r="JG127">
        <v>533.53</v>
      </c>
      <c r="JH127">
        <v>422.84399999999999</v>
      </c>
      <c r="JI127">
        <v>23.996400000000001</v>
      </c>
      <c r="JJ127">
        <v>39.987900000000003</v>
      </c>
      <c r="JK127">
        <v>30.0002</v>
      </c>
      <c r="JL127">
        <v>40.375399999999999</v>
      </c>
      <c r="JM127">
        <v>40.3536</v>
      </c>
      <c r="JN127">
        <v>49.717100000000002</v>
      </c>
      <c r="JO127">
        <v>52.898600000000002</v>
      </c>
      <c r="JP127">
        <v>0</v>
      </c>
      <c r="JQ127">
        <v>23.988299999999999</v>
      </c>
      <c r="JR127">
        <v>1200</v>
      </c>
      <c r="JS127">
        <v>22.267099999999999</v>
      </c>
      <c r="JT127">
        <v>98.259699999999995</v>
      </c>
      <c r="JU127">
        <v>96.0364</v>
      </c>
    </row>
    <row r="128" spans="1:281" x14ac:dyDescent="0.25">
      <c r="A128">
        <v>112</v>
      </c>
      <c r="B128">
        <v>1691186587</v>
      </c>
      <c r="C128">
        <v>25675.5</v>
      </c>
      <c r="D128" t="s">
        <v>984</v>
      </c>
      <c r="E128" t="s">
        <v>985</v>
      </c>
      <c r="F128" t="s">
        <v>413</v>
      </c>
      <c r="G128" t="s">
        <v>707</v>
      </c>
      <c r="H128" t="s">
        <v>491</v>
      </c>
      <c r="I128" t="s">
        <v>490</v>
      </c>
      <c r="J128">
        <v>1691186587</v>
      </c>
      <c r="K128">
        <f t="shared" si="138"/>
        <v>2.1112106257804085E-3</v>
      </c>
      <c r="L128">
        <f t="shared" si="139"/>
        <v>2.1112106257804086</v>
      </c>
      <c r="M128">
        <f t="shared" si="140"/>
        <v>47.283922175909758</v>
      </c>
      <c r="N128">
        <f t="shared" si="141"/>
        <v>1439.84</v>
      </c>
      <c r="O128">
        <f t="shared" si="142"/>
        <v>762.81981361820931</v>
      </c>
      <c r="P128">
        <f t="shared" si="143"/>
        <v>75.566487652259397</v>
      </c>
      <c r="Q128">
        <f t="shared" si="144"/>
        <v>142.63348911343999</v>
      </c>
      <c r="R128">
        <f t="shared" si="145"/>
        <v>0.11952267783984664</v>
      </c>
      <c r="S128">
        <f t="shared" si="146"/>
        <v>2.9169504451572212</v>
      </c>
      <c r="T128">
        <f t="shared" si="147"/>
        <v>0.11686707287118969</v>
      </c>
      <c r="U128">
        <f t="shared" si="148"/>
        <v>7.3275601784905928E-2</v>
      </c>
      <c r="V128">
        <f t="shared" si="149"/>
        <v>344.41719998680492</v>
      </c>
      <c r="W128">
        <f t="shared" si="150"/>
        <v>31.311177438013228</v>
      </c>
      <c r="X128">
        <f t="shared" si="151"/>
        <v>29.990100000000002</v>
      </c>
      <c r="Y128">
        <f t="shared" si="152"/>
        <v>4.2580276768974503</v>
      </c>
      <c r="Z128">
        <f t="shared" si="153"/>
        <v>59.974634772214344</v>
      </c>
      <c r="AA128">
        <f t="shared" si="154"/>
        <v>2.5297770596292999</v>
      </c>
      <c r="AB128">
        <f t="shared" si="155"/>
        <v>4.2180783080005027</v>
      </c>
      <c r="AC128">
        <f t="shared" si="156"/>
        <v>1.7282506172681504</v>
      </c>
      <c r="AD128">
        <f t="shared" si="157"/>
        <v>-93.10438859691601</v>
      </c>
      <c r="AE128">
        <f t="shared" si="158"/>
        <v>-25.790415713488077</v>
      </c>
      <c r="AF128">
        <f t="shared" si="159"/>
        <v>-1.964143398438521</v>
      </c>
      <c r="AG128">
        <f t="shared" si="160"/>
        <v>223.55825227796231</v>
      </c>
      <c r="AH128">
        <v>0</v>
      </c>
      <c r="AI128">
        <v>0</v>
      </c>
      <c r="AJ128">
        <f t="shared" si="161"/>
        <v>1</v>
      </c>
      <c r="AK128">
        <f t="shared" si="162"/>
        <v>0</v>
      </c>
      <c r="AL128">
        <f t="shared" si="163"/>
        <v>52001.421161050188</v>
      </c>
      <c r="AM128" t="s">
        <v>414</v>
      </c>
      <c r="AN128">
        <v>10111.299999999999</v>
      </c>
      <c r="AO128">
        <v>608.58839999999998</v>
      </c>
      <c r="AP128">
        <v>2150.11</v>
      </c>
      <c r="AQ128">
        <f t="shared" si="164"/>
        <v>0.71695010952927984</v>
      </c>
      <c r="AR128">
        <v>-1.1786277417053079</v>
      </c>
      <c r="AS128" t="s">
        <v>986</v>
      </c>
      <c r="AT128">
        <v>8114.67</v>
      </c>
      <c r="AU128">
        <v>680.34884615384613</v>
      </c>
      <c r="AV128">
        <v>1030.4578754028689</v>
      </c>
      <c r="AW128">
        <f t="shared" si="165"/>
        <v>0.33976064194971944</v>
      </c>
      <c r="AX128">
        <v>0.5</v>
      </c>
      <c r="AY128">
        <f t="shared" si="166"/>
        <v>1513.3724999934025</v>
      </c>
      <c r="AZ128">
        <f t="shared" si="167"/>
        <v>47.283922175909758</v>
      </c>
      <c r="BA128">
        <f t="shared" si="168"/>
        <v>257.09220605340511</v>
      </c>
      <c r="BB128">
        <f t="shared" si="169"/>
        <v>3.2022882613385886E-2</v>
      </c>
      <c r="BC128">
        <f t="shared" si="170"/>
        <v>1.0865578800680142</v>
      </c>
      <c r="BD128">
        <f t="shared" si="171"/>
        <v>465.44174876834694</v>
      </c>
      <c r="BE128" t="s">
        <v>987</v>
      </c>
      <c r="BF128">
        <v>531.04999999999995</v>
      </c>
      <c r="BG128">
        <f t="shared" si="172"/>
        <v>531.04999999999995</v>
      </c>
      <c r="BH128">
        <f t="shared" si="173"/>
        <v>0.48464657054284721</v>
      </c>
      <c r="BI128">
        <f t="shared" si="174"/>
        <v>0.70104827435208583</v>
      </c>
      <c r="BJ128">
        <f t="shared" si="175"/>
        <v>0.69154455338105514</v>
      </c>
      <c r="BK128">
        <f t="shared" si="176"/>
        <v>0.82989893714088292</v>
      </c>
      <c r="BL128">
        <f t="shared" si="177"/>
        <v>0.72632918318960382</v>
      </c>
      <c r="BM128">
        <f t="shared" si="178"/>
        <v>0.54720705149912086</v>
      </c>
      <c r="BN128">
        <f t="shared" si="179"/>
        <v>0.45279294850087914</v>
      </c>
      <c r="BO128">
        <v>7197</v>
      </c>
      <c r="BP128">
        <v>290.00000000000011</v>
      </c>
      <c r="BQ128">
        <v>918.94</v>
      </c>
      <c r="BR128">
        <v>295</v>
      </c>
      <c r="BS128">
        <v>8114.67</v>
      </c>
      <c r="BT128">
        <v>921.07</v>
      </c>
      <c r="BU128">
        <v>-2.13</v>
      </c>
      <c r="BV128">
        <v>300.00000000000011</v>
      </c>
      <c r="BW128">
        <v>19.2</v>
      </c>
      <c r="BX128">
        <v>1030.4578754028689</v>
      </c>
      <c r="BY128">
        <v>2.718469998574276</v>
      </c>
      <c r="BZ128">
        <v>-88.768428353166527</v>
      </c>
      <c r="CA128">
        <v>2.0271146092846681</v>
      </c>
      <c r="CB128">
        <v>0.98560863210470973</v>
      </c>
      <c r="CC128">
        <v>-4.1809966629588573E-3</v>
      </c>
      <c r="CD128">
        <v>289.99999999999989</v>
      </c>
      <c r="CE128">
        <v>918.21</v>
      </c>
      <c r="CF128">
        <v>675</v>
      </c>
      <c r="CG128">
        <v>8109.1</v>
      </c>
      <c r="CH128">
        <v>920.99</v>
      </c>
      <c r="CI128">
        <v>-2.78</v>
      </c>
      <c r="CW128">
        <f t="shared" si="180"/>
        <v>1800.22</v>
      </c>
      <c r="CX128">
        <f t="shared" si="181"/>
        <v>1513.3724999934025</v>
      </c>
      <c r="CY128">
        <f t="shared" si="182"/>
        <v>0.84065975269322779</v>
      </c>
      <c r="CZ128">
        <f t="shared" si="183"/>
        <v>0.19131950538645551</v>
      </c>
      <c r="DA128">
        <v>6</v>
      </c>
      <c r="DB128">
        <v>0.5</v>
      </c>
      <c r="DC128" t="s">
        <v>417</v>
      </c>
      <c r="DD128">
        <v>2</v>
      </c>
      <c r="DE128">
        <v>1691186587</v>
      </c>
      <c r="DF128">
        <v>1439.84</v>
      </c>
      <c r="DG128">
        <v>1500.21</v>
      </c>
      <c r="DH128">
        <v>25.537299999999998</v>
      </c>
      <c r="DI128">
        <v>23.069299999999998</v>
      </c>
      <c r="DJ128">
        <v>1435.5</v>
      </c>
      <c r="DK128">
        <v>25.438700000000001</v>
      </c>
      <c r="DL128">
        <v>500.15300000000002</v>
      </c>
      <c r="DM128">
        <v>98.9619</v>
      </c>
      <c r="DN128">
        <v>0.10014099999999999</v>
      </c>
      <c r="DO128">
        <v>29.8261</v>
      </c>
      <c r="DP128">
        <v>29.990100000000002</v>
      </c>
      <c r="DQ128">
        <v>999.9</v>
      </c>
      <c r="DR128">
        <v>0</v>
      </c>
      <c r="DS128">
        <v>0</v>
      </c>
      <c r="DT128">
        <v>10032.5</v>
      </c>
      <c r="DU128">
        <v>0</v>
      </c>
      <c r="DV128">
        <v>177.20699999999999</v>
      </c>
      <c r="DW128">
        <v>-60.376800000000003</v>
      </c>
      <c r="DX128">
        <v>1477.57</v>
      </c>
      <c r="DY128">
        <v>1535.64</v>
      </c>
      <c r="DZ128">
        <v>2.46801</v>
      </c>
      <c r="EA128">
        <v>1500.21</v>
      </c>
      <c r="EB128">
        <v>23.069299999999998</v>
      </c>
      <c r="EC128">
        <v>2.5272199999999998</v>
      </c>
      <c r="ED128">
        <v>2.2829799999999998</v>
      </c>
      <c r="EE128">
        <v>21.2029</v>
      </c>
      <c r="EF128">
        <v>19.556799999999999</v>
      </c>
      <c r="EG128">
        <v>1800.22</v>
      </c>
      <c r="EH128">
        <v>0.97800699999999996</v>
      </c>
      <c r="EI128">
        <v>2.1993499999999999E-2</v>
      </c>
      <c r="EJ128">
        <v>0</v>
      </c>
      <c r="EK128">
        <v>681.03499999999997</v>
      </c>
      <c r="EL128">
        <v>0.10001</v>
      </c>
      <c r="EM128">
        <v>16833.599999999999</v>
      </c>
      <c r="EN128">
        <v>16355.5</v>
      </c>
      <c r="EO128">
        <v>48.125</v>
      </c>
      <c r="EP128">
        <v>49.936999999999998</v>
      </c>
      <c r="EQ128">
        <v>49.5</v>
      </c>
      <c r="ER128">
        <v>48.625</v>
      </c>
      <c r="ES128">
        <v>49.436999999999998</v>
      </c>
      <c r="ET128">
        <v>1760.53</v>
      </c>
      <c r="EU128">
        <v>39.590000000000003</v>
      </c>
      <c r="EV128">
        <v>0</v>
      </c>
      <c r="EW128">
        <v>143.39999985694891</v>
      </c>
      <c r="EX128">
        <v>0</v>
      </c>
      <c r="EY128">
        <v>680.34884615384613</v>
      </c>
      <c r="EZ128">
        <v>1.6516239144932501</v>
      </c>
      <c r="FA128">
        <v>-1600.4683794989039</v>
      </c>
      <c r="FB128">
        <v>16883.45</v>
      </c>
      <c r="FC128">
        <v>15</v>
      </c>
      <c r="FD128">
        <v>1691186551.5</v>
      </c>
      <c r="FE128" t="s">
        <v>988</v>
      </c>
      <c r="FF128">
        <v>1691186551.5</v>
      </c>
      <c r="FG128">
        <v>1691186544.5</v>
      </c>
      <c r="FH128">
        <v>124</v>
      </c>
      <c r="FI128">
        <v>-5.6000000000000001E-2</v>
      </c>
      <c r="FJ128">
        <v>-2E-3</v>
      </c>
      <c r="FK128">
        <v>4.4189999999999996</v>
      </c>
      <c r="FL128">
        <v>5.0999999999999997E-2</v>
      </c>
      <c r="FM128">
        <v>1500</v>
      </c>
      <c r="FN128">
        <v>23</v>
      </c>
      <c r="FO128">
        <v>0.14000000000000001</v>
      </c>
      <c r="FP128">
        <v>0.09</v>
      </c>
      <c r="FQ128">
        <v>47.14125602467783</v>
      </c>
      <c r="FR128">
        <v>-0.30985346647306888</v>
      </c>
      <c r="FS128">
        <v>0.1837744349472436</v>
      </c>
      <c r="FT128">
        <v>1</v>
      </c>
      <c r="FU128">
        <v>0.12126560703473151</v>
      </c>
      <c r="FV128">
        <v>-1.502312492554622E-2</v>
      </c>
      <c r="FW128">
        <v>1.139765698983101E-3</v>
      </c>
      <c r="FX128">
        <v>1</v>
      </c>
      <c r="FY128">
        <v>2</v>
      </c>
      <c r="FZ128">
        <v>2</v>
      </c>
      <c r="GA128" t="s">
        <v>419</v>
      </c>
      <c r="GB128">
        <v>2.8828200000000002</v>
      </c>
      <c r="GC128">
        <v>2.8216199999999998</v>
      </c>
      <c r="GD128">
        <v>0.20551900000000001</v>
      </c>
      <c r="GE128">
        <v>0.21188199999999999</v>
      </c>
      <c r="GF128">
        <v>0.118811</v>
      </c>
      <c r="GG128">
        <v>0.11129</v>
      </c>
      <c r="GH128">
        <v>24316.9</v>
      </c>
      <c r="GI128">
        <v>22493.5</v>
      </c>
      <c r="GJ128">
        <v>28190.799999999999</v>
      </c>
      <c r="GK128">
        <v>26820.7</v>
      </c>
      <c r="GL128">
        <v>35058.199999999997</v>
      </c>
      <c r="GM128">
        <v>33305.800000000003</v>
      </c>
      <c r="GN128">
        <v>41471.599999999999</v>
      </c>
      <c r="GO128">
        <v>38818.800000000003</v>
      </c>
      <c r="GP128">
        <v>1.9890000000000001</v>
      </c>
      <c r="GQ128">
        <v>1.6679999999999999</v>
      </c>
      <c r="GR128">
        <v>-2.1740800000000001E-2</v>
      </c>
      <c r="GS128">
        <v>0</v>
      </c>
      <c r="GT128">
        <v>30.343800000000002</v>
      </c>
      <c r="GU128">
        <v>999.9</v>
      </c>
      <c r="GV128">
        <v>44</v>
      </c>
      <c r="GW128">
        <v>44.3</v>
      </c>
      <c r="GX128">
        <v>41.329700000000003</v>
      </c>
      <c r="GY128">
        <v>62.654699999999998</v>
      </c>
      <c r="GZ128">
        <v>29.118600000000001</v>
      </c>
      <c r="HA128">
        <v>1</v>
      </c>
      <c r="HB128">
        <v>1.0777399999999999</v>
      </c>
      <c r="HC128">
        <v>5.1525800000000004</v>
      </c>
      <c r="HD128">
        <v>20.169699999999999</v>
      </c>
      <c r="HE128">
        <v>5.2112999999999996</v>
      </c>
      <c r="HF128">
        <v>11.997999999999999</v>
      </c>
      <c r="HG128">
        <v>4.9882</v>
      </c>
      <c r="HH128">
        <v>3.2909999999999999</v>
      </c>
      <c r="HI128">
        <v>9999</v>
      </c>
      <c r="HJ128">
        <v>9999</v>
      </c>
      <c r="HK128">
        <v>9999</v>
      </c>
      <c r="HL128">
        <v>999.9</v>
      </c>
      <c r="HM128">
        <v>1.86676</v>
      </c>
      <c r="HN128">
        <v>1.8667899999999999</v>
      </c>
      <c r="HO128">
        <v>1.86328</v>
      </c>
      <c r="HP128">
        <v>1.8645099999999999</v>
      </c>
      <c r="HQ128">
        <v>1.86415</v>
      </c>
      <c r="HR128">
        <v>1.85989</v>
      </c>
      <c r="HS128">
        <v>1.8631</v>
      </c>
      <c r="HT128">
        <v>1.8658999999999999</v>
      </c>
      <c r="HU128">
        <v>5</v>
      </c>
      <c r="HV128">
        <v>0</v>
      </c>
      <c r="HW128">
        <v>0</v>
      </c>
      <c r="HX128">
        <v>0</v>
      </c>
      <c r="HY128" t="s">
        <v>420</v>
      </c>
      <c r="HZ128" t="s">
        <v>421</v>
      </c>
      <c r="IA128" t="s">
        <v>422</v>
      </c>
      <c r="IB128" t="s">
        <v>422</v>
      </c>
      <c r="IC128" t="s">
        <v>422</v>
      </c>
      <c r="ID128" t="s">
        <v>422</v>
      </c>
      <c r="IE128">
        <v>0</v>
      </c>
      <c r="IF128">
        <v>100</v>
      </c>
      <c r="IG128">
        <v>100</v>
      </c>
      <c r="IH128">
        <v>4.34</v>
      </c>
      <c r="II128">
        <v>9.8599999999999993E-2</v>
      </c>
      <c r="IJ128">
        <v>1.8355847745495131</v>
      </c>
      <c r="IK128">
        <v>3.5576830062418229E-3</v>
      </c>
      <c r="IL128">
        <v>-2.2646740813029151E-6</v>
      </c>
      <c r="IM128">
        <v>6.9609298295988525E-10</v>
      </c>
      <c r="IN128">
        <v>-0.15422410484549559</v>
      </c>
      <c r="IO128">
        <v>-9.4437069492282083E-4</v>
      </c>
      <c r="IP128">
        <v>5.2900373165634467E-4</v>
      </c>
      <c r="IQ128">
        <v>-3.977656803091445E-6</v>
      </c>
      <c r="IR128">
        <v>2</v>
      </c>
      <c r="IS128">
        <v>1759</v>
      </c>
      <c r="IT128">
        <v>2</v>
      </c>
      <c r="IU128">
        <v>42</v>
      </c>
      <c r="IV128">
        <v>0.6</v>
      </c>
      <c r="IW128">
        <v>0.7</v>
      </c>
      <c r="IX128">
        <v>2.97729</v>
      </c>
      <c r="IY128">
        <v>2.4145500000000002</v>
      </c>
      <c r="IZ128">
        <v>1.54297</v>
      </c>
      <c r="JA128">
        <v>2.3022499999999999</v>
      </c>
      <c r="JB128">
        <v>1.5466299999999999</v>
      </c>
      <c r="JC128">
        <v>2.3877000000000002</v>
      </c>
      <c r="JD128">
        <v>48.485399999999998</v>
      </c>
      <c r="JE128">
        <v>24.061199999999999</v>
      </c>
      <c r="JF128">
        <v>18</v>
      </c>
      <c r="JG128">
        <v>532.553</v>
      </c>
      <c r="JH128">
        <v>423.86099999999999</v>
      </c>
      <c r="JI128">
        <v>24.043500000000002</v>
      </c>
      <c r="JJ128">
        <v>39.9131</v>
      </c>
      <c r="JK128">
        <v>29.9999</v>
      </c>
      <c r="JL128">
        <v>40.315899999999999</v>
      </c>
      <c r="JM128">
        <v>40.294199999999996</v>
      </c>
      <c r="JN128">
        <v>59.750399999999999</v>
      </c>
      <c r="JO128">
        <v>51.289099999999998</v>
      </c>
      <c r="JP128">
        <v>0</v>
      </c>
      <c r="JQ128">
        <v>24.046299999999999</v>
      </c>
      <c r="JR128">
        <v>1500</v>
      </c>
      <c r="JS128">
        <v>23.0214</v>
      </c>
      <c r="JT128">
        <v>98.263499999999993</v>
      </c>
      <c r="JU128">
        <v>96.043099999999995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2023-08-04T22:11:24Z</dcterms:created>
  <dcterms:modified xsi:type="dcterms:W3CDTF">2023-08-05T02:16:19Z</dcterms:modified>
</cp:coreProperties>
</file>