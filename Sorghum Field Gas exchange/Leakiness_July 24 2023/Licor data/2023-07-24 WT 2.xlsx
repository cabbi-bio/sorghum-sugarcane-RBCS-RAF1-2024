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orghum field 2023\leakiness July 24\2023-07-24 tdl leakiness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AN231" i="1" l="1"/>
  <c r="AM231" i="1"/>
  <c r="AK231" i="1"/>
  <c r="AL231" i="1" s="1"/>
  <c r="AJ231" i="1"/>
  <c r="AH231" i="1"/>
  <c r="Z231" i="1"/>
  <c r="Y231" i="1"/>
  <c r="X231" i="1"/>
  <c r="T231" i="1"/>
  <c r="Q231" i="1"/>
  <c r="AN230" i="1"/>
  <c r="T230" i="1" s="1"/>
  <c r="AM230" i="1"/>
  <c r="AK230" i="1"/>
  <c r="AL230" i="1" s="1"/>
  <c r="AJ230" i="1"/>
  <c r="AH230" i="1"/>
  <c r="L230" i="1" s="1"/>
  <c r="Z230" i="1"/>
  <c r="Y230" i="1"/>
  <c r="X230" i="1"/>
  <c r="Q230" i="1"/>
  <c r="O230" i="1"/>
  <c r="AN229" i="1"/>
  <c r="AM229" i="1"/>
  <c r="AL229" i="1"/>
  <c r="AK229" i="1"/>
  <c r="AJ229" i="1"/>
  <c r="AH229" i="1"/>
  <c r="J229" i="1" s="1"/>
  <c r="I229" i="1" s="1"/>
  <c r="AB229" i="1"/>
  <c r="Z229" i="1"/>
  <c r="Y229" i="1"/>
  <c r="X229" i="1"/>
  <c r="T229" i="1"/>
  <c r="Q229" i="1"/>
  <c r="O229" i="1"/>
  <c r="L229" i="1"/>
  <c r="K229" i="1"/>
  <c r="AN228" i="1"/>
  <c r="AM228" i="1"/>
  <c r="AK228" i="1"/>
  <c r="AL228" i="1" s="1"/>
  <c r="AJ228" i="1"/>
  <c r="AH228" i="1" s="1"/>
  <c r="Z228" i="1"/>
  <c r="Y228" i="1"/>
  <c r="X228" i="1" s="1"/>
  <c r="Q228" i="1"/>
  <c r="J228" i="1"/>
  <c r="I228" i="1" s="1"/>
  <c r="AB228" i="1" s="1"/>
  <c r="AN227" i="1"/>
  <c r="AM227" i="1"/>
  <c r="AK227" i="1"/>
  <c r="AL227" i="1" s="1"/>
  <c r="AJ227" i="1"/>
  <c r="AH227" i="1"/>
  <c r="Z227" i="1"/>
  <c r="Y227" i="1"/>
  <c r="X227" i="1"/>
  <c r="Q227" i="1"/>
  <c r="AN226" i="1"/>
  <c r="AM226" i="1"/>
  <c r="AK226" i="1"/>
  <c r="AL226" i="1" s="1"/>
  <c r="AJ226" i="1"/>
  <c r="AI226" i="1"/>
  <c r="AH226" i="1"/>
  <c r="L226" i="1" s="1"/>
  <c r="Z226" i="1"/>
  <c r="Y226" i="1"/>
  <c r="X226" i="1" s="1"/>
  <c r="Q226" i="1"/>
  <c r="O226" i="1"/>
  <c r="K226" i="1"/>
  <c r="AN225" i="1"/>
  <c r="AM225" i="1"/>
  <c r="AL225" i="1"/>
  <c r="AK225" i="1"/>
  <c r="AJ225" i="1"/>
  <c r="AI225" i="1"/>
  <c r="AH225" i="1"/>
  <c r="J225" i="1" s="1"/>
  <c r="I225" i="1" s="1"/>
  <c r="Z225" i="1"/>
  <c r="Y225" i="1"/>
  <c r="X225" i="1" s="1"/>
  <c r="T225" i="1"/>
  <c r="Q225" i="1"/>
  <c r="O225" i="1"/>
  <c r="L225" i="1"/>
  <c r="K225" i="1"/>
  <c r="AN224" i="1"/>
  <c r="AM224" i="1"/>
  <c r="AK224" i="1"/>
  <c r="AL224" i="1" s="1"/>
  <c r="AJ224" i="1"/>
  <c r="AH224" i="1" s="1"/>
  <c r="Z224" i="1"/>
  <c r="Y224" i="1"/>
  <c r="X224" i="1" s="1"/>
  <c r="Q224" i="1"/>
  <c r="J224" i="1"/>
  <c r="I224" i="1" s="1"/>
  <c r="AB224" i="1" s="1"/>
  <c r="AN223" i="1"/>
  <c r="AM223" i="1"/>
  <c r="AK223" i="1"/>
  <c r="AL223" i="1" s="1"/>
  <c r="AJ223" i="1"/>
  <c r="AH223" i="1"/>
  <c r="Z223" i="1"/>
  <c r="Y223" i="1"/>
  <c r="X223" i="1"/>
  <c r="Q223" i="1"/>
  <c r="AN222" i="1"/>
  <c r="AM222" i="1"/>
  <c r="AK222" i="1"/>
  <c r="AL222" i="1" s="1"/>
  <c r="AJ222" i="1"/>
  <c r="AH222" i="1" s="1"/>
  <c r="Z222" i="1"/>
  <c r="Y222" i="1"/>
  <c r="X222" i="1" s="1"/>
  <c r="Q222" i="1"/>
  <c r="AN221" i="1"/>
  <c r="AM221" i="1"/>
  <c r="AL221" i="1"/>
  <c r="AK221" i="1"/>
  <c r="AJ221" i="1"/>
  <c r="AI221" i="1"/>
  <c r="AH221" i="1"/>
  <c r="J221" i="1" s="1"/>
  <c r="I221" i="1" s="1"/>
  <c r="AB221" i="1" s="1"/>
  <c r="Z221" i="1"/>
  <c r="Y221" i="1"/>
  <c r="X221" i="1" s="1"/>
  <c r="T221" i="1"/>
  <c r="Q221" i="1"/>
  <c r="O221" i="1"/>
  <c r="L221" i="1"/>
  <c r="K221" i="1"/>
  <c r="AN220" i="1"/>
  <c r="AM220" i="1"/>
  <c r="AK220" i="1"/>
  <c r="AL220" i="1" s="1"/>
  <c r="AJ220" i="1"/>
  <c r="AH220" i="1" s="1"/>
  <c r="Z220" i="1"/>
  <c r="Y220" i="1"/>
  <c r="X220" i="1" s="1"/>
  <c r="Q220" i="1"/>
  <c r="AN219" i="1"/>
  <c r="AM219" i="1"/>
  <c r="AK219" i="1"/>
  <c r="AL219" i="1" s="1"/>
  <c r="AJ219" i="1"/>
  <c r="AH219" i="1"/>
  <c r="Z219" i="1"/>
  <c r="Y219" i="1"/>
  <c r="X219" i="1"/>
  <c r="Q219" i="1"/>
  <c r="AN218" i="1"/>
  <c r="AM218" i="1"/>
  <c r="AK218" i="1"/>
  <c r="AL218" i="1" s="1"/>
  <c r="AJ218" i="1"/>
  <c r="AH218" i="1" s="1"/>
  <c r="Z218" i="1"/>
  <c r="Y218" i="1"/>
  <c r="X218" i="1" s="1"/>
  <c r="Q218" i="1"/>
  <c r="AN217" i="1"/>
  <c r="AM217" i="1"/>
  <c r="AL217" i="1"/>
  <c r="AK217" i="1"/>
  <c r="AJ217" i="1"/>
  <c r="AI217" i="1"/>
  <c r="AH217" i="1"/>
  <c r="J217" i="1" s="1"/>
  <c r="I217" i="1" s="1"/>
  <c r="Z217" i="1"/>
  <c r="Y217" i="1"/>
  <c r="X217" i="1" s="1"/>
  <c r="T217" i="1"/>
  <c r="Q217" i="1"/>
  <c r="O217" i="1"/>
  <c r="L217" i="1"/>
  <c r="K217" i="1"/>
  <c r="AN216" i="1"/>
  <c r="AM216" i="1"/>
  <c r="AK216" i="1"/>
  <c r="AL216" i="1" s="1"/>
  <c r="AJ216" i="1"/>
  <c r="AH216" i="1" s="1"/>
  <c r="J216" i="1" s="1"/>
  <c r="I216" i="1" s="1"/>
  <c r="Z216" i="1"/>
  <c r="Y216" i="1"/>
  <c r="X216" i="1" s="1"/>
  <c r="Q216" i="1"/>
  <c r="AN215" i="1"/>
  <c r="AM215" i="1"/>
  <c r="AK215" i="1"/>
  <c r="AL215" i="1" s="1"/>
  <c r="AJ215" i="1"/>
  <c r="AH215" i="1"/>
  <c r="Z215" i="1"/>
  <c r="Y215" i="1"/>
  <c r="X215" i="1"/>
  <c r="Q215" i="1"/>
  <c r="AN214" i="1"/>
  <c r="AM214" i="1"/>
  <c r="AK214" i="1"/>
  <c r="AL214" i="1" s="1"/>
  <c r="AJ214" i="1"/>
  <c r="AH214" i="1" s="1"/>
  <c r="Z214" i="1"/>
  <c r="Y214" i="1"/>
  <c r="X214" i="1" s="1"/>
  <c r="Q214" i="1"/>
  <c r="AN213" i="1"/>
  <c r="AM213" i="1"/>
  <c r="AL213" i="1"/>
  <c r="AK213" i="1"/>
  <c r="AJ213" i="1"/>
  <c r="AI213" i="1"/>
  <c r="AH213" i="1"/>
  <c r="J213" i="1" s="1"/>
  <c r="I213" i="1" s="1"/>
  <c r="Z213" i="1"/>
  <c r="Y213" i="1"/>
  <c r="X213" i="1" s="1"/>
  <c r="T213" i="1"/>
  <c r="Q213" i="1"/>
  <c r="O213" i="1"/>
  <c r="L213" i="1"/>
  <c r="K213" i="1"/>
  <c r="AN212" i="1"/>
  <c r="AM212" i="1"/>
  <c r="AK212" i="1"/>
  <c r="AL212" i="1" s="1"/>
  <c r="AJ212" i="1"/>
  <c r="AH212" i="1" s="1"/>
  <c r="Z212" i="1"/>
  <c r="Y212" i="1"/>
  <c r="X212" i="1" s="1"/>
  <c r="Q212" i="1"/>
  <c r="O212" i="1"/>
  <c r="J212" i="1"/>
  <c r="I212" i="1" s="1"/>
  <c r="AB212" i="1" s="1"/>
  <c r="AN211" i="1"/>
  <c r="AM211" i="1"/>
  <c r="AK211" i="1"/>
  <c r="AL211" i="1" s="1"/>
  <c r="AJ211" i="1"/>
  <c r="AH211" i="1"/>
  <c r="Z211" i="1"/>
  <c r="Y211" i="1"/>
  <c r="X211" i="1"/>
  <c r="Q211" i="1"/>
  <c r="AN210" i="1"/>
  <c r="AM210" i="1"/>
  <c r="AK210" i="1"/>
  <c r="AJ210" i="1"/>
  <c r="AH210" i="1" s="1"/>
  <c r="Z210" i="1"/>
  <c r="Y210" i="1"/>
  <c r="X210" i="1" s="1"/>
  <c r="Q210" i="1"/>
  <c r="O210" i="1"/>
  <c r="K210" i="1"/>
  <c r="AN209" i="1"/>
  <c r="AM209" i="1"/>
  <c r="AL209" i="1"/>
  <c r="AK209" i="1"/>
  <c r="AJ209" i="1"/>
  <c r="AI209" i="1"/>
  <c r="AH209" i="1"/>
  <c r="J209" i="1" s="1"/>
  <c r="I209" i="1" s="1"/>
  <c r="AB209" i="1"/>
  <c r="Z209" i="1"/>
  <c r="Y209" i="1"/>
  <c r="X209" i="1" s="1"/>
  <c r="T209" i="1"/>
  <c r="Q209" i="1"/>
  <c r="O209" i="1"/>
  <c r="L209" i="1"/>
  <c r="K209" i="1"/>
  <c r="AN208" i="1"/>
  <c r="AM208" i="1"/>
  <c r="AK208" i="1"/>
  <c r="AJ208" i="1"/>
  <c r="AH208" i="1" s="1"/>
  <c r="Z208" i="1"/>
  <c r="Y208" i="1"/>
  <c r="Q208" i="1"/>
  <c r="AN207" i="1"/>
  <c r="AM207" i="1"/>
  <c r="AK207" i="1"/>
  <c r="AL207" i="1" s="1"/>
  <c r="AJ207" i="1"/>
  <c r="AI207" i="1"/>
  <c r="AH207" i="1"/>
  <c r="Z207" i="1"/>
  <c r="Y207" i="1"/>
  <c r="X207" i="1"/>
  <c r="Q207" i="1"/>
  <c r="O207" i="1"/>
  <c r="K207" i="1"/>
  <c r="AN206" i="1"/>
  <c r="AM206" i="1"/>
  <c r="AK206" i="1"/>
  <c r="AJ206" i="1"/>
  <c r="AH206" i="1" s="1"/>
  <c r="AI206" i="1" s="1"/>
  <c r="Z206" i="1"/>
  <c r="Y206" i="1"/>
  <c r="X206" i="1" s="1"/>
  <c r="Q206" i="1"/>
  <c r="O206" i="1"/>
  <c r="K206" i="1"/>
  <c r="AN205" i="1"/>
  <c r="AM205" i="1"/>
  <c r="AL205" i="1"/>
  <c r="AK205" i="1"/>
  <c r="T205" i="1" s="1"/>
  <c r="AJ205" i="1"/>
  <c r="AI205" i="1"/>
  <c r="AH205" i="1"/>
  <c r="J205" i="1" s="1"/>
  <c r="AB205" i="1"/>
  <c r="Z205" i="1"/>
  <c r="Y205" i="1"/>
  <c r="X205" i="1" s="1"/>
  <c r="Q205" i="1"/>
  <c r="O205" i="1"/>
  <c r="L205" i="1"/>
  <c r="K205" i="1"/>
  <c r="I205" i="1"/>
  <c r="AN204" i="1"/>
  <c r="AM204" i="1"/>
  <c r="AK204" i="1"/>
  <c r="AJ204" i="1"/>
  <c r="AH204" i="1" s="1"/>
  <c r="Z204" i="1"/>
  <c r="Y204" i="1"/>
  <c r="X204" i="1" s="1"/>
  <c r="Q204" i="1"/>
  <c r="AN203" i="1"/>
  <c r="AM203" i="1"/>
  <c r="AK203" i="1"/>
  <c r="T203" i="1" s="1"/>
  <c r="AJ203" i="1"/>
  <c r="AI203" i="1"/>
  <c r="AH203" i="1"/>
  <c r="J203" i="1" s="1"/>
  <c r="I203" i="1" s="1"/>
  <c r="Z203" i="1"/>
  <c r="Y203" i="1"/>
  <c r="X203" i="1"/>
  <c r="Q203" i="1"/>
  <c r="O203" i="1"/>
  <c r="K203" i="1"/>
  <c r="AN202" i="1"/>
  <c r="T202" i="1" s="1"/>
  <c r="AM202" i="1"/>
  <c r="AL202" i="1"/>
  <c r="AK202" i="1"/>
  <c r="AJ202" i="1"/>
  <c r="AH202" i="1" s="1"/>
  <c r="AI202" i="1" s="1"/>
  <c r="Z202" i="1"/>
  <c r="Y202" i="1"/>
  <c r="X202" i="1" s="1"/>
  <c r="Q202" i="1"/>
  <c r="K202" i="1"/>
  <c r="AN201" i="1"/>
  <c r="AM201" i="1"/>
  <c r="AK201" i="1"/>
  <c r="AL201" i="1" s="1"/>
  <c r="AJ201" i="1"/>
  <c r="AH201" i="1" s="1"/>
  <c r="AI201" i="1"/>
  <c r="Z201" i="1"/>
  <c r="Y201" i="1"/>
  <c r="X201" i="1" s="1"/>
  <c r="Q201" i="1"/>
  <c r="AN200" i="1"/>
  <c r="AM200" i="1"/>
  <c r="AK200" i="1"/>
  <c r="AL200" i="1" s="1"/>
  <c r="AJ200" i="1"/>
  <c r="AI200" i="1"/>
  <c r="AH200" i="1"/>
  <c r="L200" i="1" s="1"/>
  <c r="Z200" i="1"/>
  <c r="Y200" i="1"/>
  <c r="X200" i="1" s="1"/>
  <c r="Q200" i="1"/>
  <c r="O200" i="1"/>
  <c r="K200" i="1"/>
  <c r="AN199" i="1"/>
  <c r="AM199" i="1"/>
  <c r="AK199" i="1"/>
  <c r="AJ199" i="1"/>
  <c r="AH199" i="1" s="1"/>
  <c r="Z199" i="1"/>
  <c r="Y199" i="1"/>
  <c r="X199" i="1" s="1"/>
  <c r="Q199" i="1"/>
  <c r="AN198" i="1"/>
  <c r="AM198" i="1"/>
  <c r="AK198" i="1"/>
  <c r="AJ198" i="1"/>
  <c r="AH198" i="1" s="1"/>
  <c r="Z198" i="1"/>
  <c r="Y198" i="1"/>
  <c r="X198" i="1" s="1"/>
  <c r="Q198" i="1"/>
  <c r="AN197" i="1"/>
  <c r="AM197" i="1"/>
  <c r="AK197" i="1"/>
  <c r="AL197" i="1" s="1"/>
  <c r="AJ197" i="1"/>
  <c r="AH197" i="1" s="1"/>
  <c r="Z197" i="1"/>
  <c r="Y197" i="1"/>
  <c r="X197" i="1" s="1"/>
  <c r="Q197" i="1"/>
  <c r="AN196" i="1"/>
  <c r="AM196" i="1"/>
  <c r="AK196" i="1"/>
  <c r="AL196" i="1" s="1"/>
  <c r="AJ196" i="1"/>
  <c r="AI196" i="1"/>
  <c r="AH196" i="1"/>
  <c r="L196" i="1" s="1"/>
  <c r="Z196" i="1"/>
  <c r="Y196" i="1"/>
  <c r="X196" i="1" s="1"/>
  <c r="Q196" i="1"/>
  <c r="O196" i="1"/>
  <c r="K196" i="1"/>
  <c r="AN195" i="1"/>
  <c r="AM195" i="1"/>
  <c r="AK195" i="1"/>
  <c r="AL195" i="1" s="1"/>
  <c r="AJ195" i="1"/>
  <c r="AH195" i="1" s="1"/>
  <c r="Z195" i="1"/>
  <c r="Y195" i="1"/>
  <c r="X195" i="1" s="1"/>
  <c r="Q195" i="1"/>
  <c r="AN194" i="1"/>
  <c r="AM194" i="1"/>
  <c r="AK194" i="1"/>
  <c r="AJ194" i="1"/>
  <c r="AH194" i="1" s="1"/>
  <c r="Z194" i="1"/>
  <c r="Y194" i="1"/>
  <c r="X194" i="1" s="1"/>
  <c r="Q194" i="1"/>
  <c r="AN193" i="1"/>
  <c r="AM193" i="1"/>
  <c r="AK193" i="1"/>
  <c r="AL193" i="1" s="1"/>
  <c r="AJ193" i="1"/>
  <c r="AH193" i="1" s="1"/>
  <c r="AI193" i="1" s="1"/>
  <c r="Z193" i="1"/>
  <c r="Y193" i="1"/>
  <c r="X193" i="1" s="1"/>
  <c r="Q193" i="1"/>
  <c r="O193" i="1"/>
  <c r="K193" i="1"/>
  <c r="AN192" i="1"/>
  <c r="AM192" i="1"/>
  <c r="AK192" i="1"/>
  <c r="AL192" i="1" s="1"/>
  <c r="AJ192" i="1"/>
  <c r="AI192" i="1"/>
  <c r="AH192" i="1"/>
  <c r="L192" i="1" s="1"/>
  <c r="Z192" i="1"/>
  <c r="Y192" i="1"/>
  <c r="X192" i="1" s="1"/>
  <c r="Q192" i="1"/>
  <c r="O192" i="1"/>
  <c r="K192" i="1"/>
  <c r="AN191" i="1"/>
  <c r="AM191" i="1"/>
  <c r="AK191" i="1"/>
  <c r="AJ191" i="1"/>
  <c r="AH191" i="1" s="1"/>
  <c r="Z191" i="1"/>
  <c r="Y191" i="1"/>
  <c r="X191" i="1" s="1"/>
  <c r="Q191" i="1"/>
  <c r="AN190" i="1"/>
  <c r="AM190" i="1"/>
  <c r="AK190" i="1"/>
  <c r="AJ190" i="1"/>
  <c r="AI190" i="1"/>
  <c r="AH190" i="1"/>
  <c r="L190" i="1" s="1"/>
  <c r="Z190" i="1"/>
  <c r="Y190" i="1"/>
  <c r="X190" i="1" s="1"/>
  <c r="Q190" i="1"/>
  <c r="O190" i="1"/>
  <c r="K190" i="1"/>
  <c r="AN189" i="1"/>
  <c r="AM189" i="1"/>
  <c r="AK189" i="1"/>
  <c r="AJ189" i="1"/>
  <c r="AH189" i="1" s="1"/>
  <c r="Z189" i="1"/>
  <c r="Y189" i="1"/>
  <c r="X189" i="1" s="1"/>
  <c r="Q189" i="1"/>
  <c r="AN188" i="1"/>
  <c r="AM188" i="1"/>
  <c r="AK188" i="1"/>
  <c r="AL188" i="1" s="1"/>
  <c r="AJ188" i="1"/>
  <c r="AI188" i="1"/>
  <c r="AH188" i="1"/>
  <c r="J188" i="1" s="1"/>
  <c r="Z188" i="1"/>
  <c r="Y188" i="1"/>
  <c r="X188" i="1" s="1"/>
  <c r="Q188" i="1"/>
  <c r="O188" i="1"/>
  <c r="L188" i="1"/>
  <c r="K188" i="1"/>
  <c r="I188" i="1"/>
  <c r="AN187" i="1"/>
  <c r="AM187" i="1"/>
  <c r="AK187" i="1"/>
  <c r="AJ187" i="1"/>
  <c r="AH187" i="1" s="1"/>
  <c r="L187" i="1" s="1"/>
  <c r="AI187" i="1"/>
  <c r="Z187" i="1"/>
  <c r="Y187" i="1"/>
  <c r="Q187" i="1"/>
  <c r="O187" i="1"/>
  <c r="K187" i="1"/>
  <c r="J187" i="1"/>
  <c r="I187" i="1" s="1"/>
  <c r="AN186" i="1"/>
  <c r="AM186" i="1"/>
  <c r="AK186" i="1"/>
  <c r="AJ186" i="1"/>
  <c r="AI186" i="1"/>
  <c r="AH186" i="1"/>
  <c r="J186" i="1" s="1"/>
  <c r="I186" i="1" s="1"/>
  <c r="Z186" i="1"/>
  <c r="Y186" i="1"/>
  <c r="X186" i="1" s="1"/>
  <c r="Q186" i="1"/>
  <c r="O186" i="1"/>
  <c r="L186" i="1"/>
  <c r="AN185" i="1"/>
  <c r="AM185" i="1"/>
  <c r="AK185" i="1"/>
  <c r="AJ185" i="1"/>
  <c r="AH185" i="1" s="1"/>
  <c r="Z185" i="1"/>
  <c r="Y185" i="1"/>
  <c r="X185" i="1" s="1"/>
  <c r="Q185" i="1"/>
  <c r="AN184" i="1"/>
  <c r="AM184" i="1"/>
  <c r="AK184" i="1"/>
  <c r="AJ184" i="1"/>
  <c r="AI184" i="1"/>
  <c r="AH184" i="1"/>
  <c r="J184" i="1" s="1"/>
  <c r="I184" i="1" s="1"/>
  <c r="Z184" i="1"/>
  <c r="Y184" i="1"/>
  <c r="X184" i="1" s="1"/>
  <c r="Q184" i="1"/>
  <c r="O184" i="1"/>
  <c r="L184" i="1"/>
  <c r="AN183" i="1"/>
  <c r="AM183" i="1"/>
  <c r="AK183" i="1"/>
  <c r="AJ183" i="1"/>
  <c r="AH183" i="1" s="1"/>
  <c r="Z183" i="1"/>
  <c r="Y183" i="1"/>
  <c r="X183" i="1" s="1"/>
  <c r="Q183" i="1"/>
  <c r="AN182" i="1"/>
  <c r="AM182" i="1"/>
  <c r="AK182" i="1"/>
  <c r="AJ182" i="1"/>
  <c r="AH182" i="1" s="1"/>
  <c r="Z182" i="1"/>
  <c r="Y182" i="1"/>
  <c r="Q182" i="1"/>
  <c r="J182" i="1"/>
  <c r="I182" i="1" s="1"/>
  <c r="AN181" i="1"/>
  <c r="AM181" i="1"/>
  <c r="AK181" i="1"/>
  <c r="AL181" i="1" s="1"/>
  <c r="AJ181" i="1"/>
  <c r="AI181" i="1"/>
  <c r="AH181" i="1"/>
  <c r="Z181" i="1"/>
  <c r="Y181" i="1"/>
  <c r="X181" i="1" s="1"/>
  <c r="Q181" i="1"/>
  <c r="AN180" i="1"/>
  <c r="AM180" i="1"/>
  <c r="AK180" i="1"/>
  <c r="AL180" i="1" s="1"/>
  <c r="AJ180" i="1"/>
  <c r="AH180" i="1"/>
  <c r="L180" i="1" s="1"/>
  <c r="Z180" i="1"/>
  <c r="Y180" i="1"/>
  <c r="X180" i="1"/>
  <c r="Q180" i="1"/>
  <c r="O180" i="1"/>
  <c r="AN179" i="1"/>
  <c r="AM179" i="1"/>
  <c r="AL179" i="1" s="1"/>
  <c r="AK179" i="1"/>
  <c r="AJ179" i="1"/>
  <c r="AH179" i="1"/>
  <c r="AI179" i="1" s="1"/>
  <c r="AB179" i="1"/>
  <c r="Z179" i="1"/>
  <c r="Y179" i="1"/>
  <c r="X179" i="1"/>
  <c r="T179" i="1"/>
  <c r="Q179" i="1"/>
  <c r="O179" i="1"/>
  <c r="L179" i="1"/>
  <c r="K179" i="1"/>
  <c r="J179" i="1"/>
  <c r="I179" i="1"/>
  <c r="AN178" i="1"/>
  <c r="AM178" i="1"/>
  <c r="AK178" i="1"/>
  <c r="AJ178" i="1"/>
  <c r="AH178" i="1" s="1"/>
  <c r="Z178" i="1"/>
  <c r="Y178" i="1"/>
  <c r="Q178" i="1"/>
  <c r="K178" i="1"/>
  <c r="J178" i="1"/>
  <c r="I178" i="1" s="1"/>
  <c r="AB178" i="1" s="1"/>
  <c r="AN177" i="1"/>
  <c r="AM177" i="1"/>
  <c r="AK177" i="1"/>
  <c r="AL177" i="1" s="1"/>
  <c r="AJ177" i="1"/>
  <c r="AI177" i="1"/>
  <c r="AH177" i="1"/>
  <c r="Z177" i="1"/>
  <c r="Y177" i="1"/>
  <c r="X177" i="1" s="1"/>
  <c r="Q177" i="1"/>
  <c r="AN176" i="1"/>
  <c r="AM176" i="1"/>
  <c r="AK176" i="1"/>
  <c r="AL176" i="1" s="1"/>
  <c r="AJ176" i="1"/>
  <c r="AH176" i="1"/>
  <c r="L176" i="1" s="1"/>
  <c r="Z176" i="1"/>
  <c r="Y176" i="1"/>
  <c r="X176" i="1"/>
  <c r="Q176" i="1"/>
  <c r="O176" i="1"/>
  <c r="AN175" i="1"/>
  <c r="AM175" i="1"/>
  <c r="AL175" i="1" s="1"/>
  <c r="AK175" i="1"/>
  <c r="AJ175" i="1"/>
  <c r="AH175" i="1" s="1"/>
  <c r="Z175" i="1"/>
  <c r="Y175" i="1"/>
  <c r="X175" i="1" s="1"/>
  <c r="T175" i="1"/>
  <c r="Q175" i="1"/>
  <c r="L175" i="1"/>
  <c r="AN174" i="1"/>
  <c r="AM174" i="1"/>
  <c r="AK174" i="1"/>
  <c r="AL174" i="1" s="1"/>
  <c r="AJ174" i="1"/>
  <c r="AH174" i="1" s="1"/>
  <c r="Z174" i="1"/>
  <c r="Y174" i="1"/>
  <c r="X174" i="1" s="1"/>
  <c r="Q174" i="1"/>
  <c r="L174" i="1"/>
  <c r="K174" i="1"/>
  <c r="J174" i="1"/>
  <c r="I174" i="1" s="1"/>
  <c r="AN173" i="1"/>
  <c r="AM173" i="1"/>
  <c r="AK173" i="1"/>
  <c r="AL173" i="1" s="1"/>
  <c r="AJ173" i="1"/>
  <c r="AH173" i="1"/>
  <c r="Z173" i="1"/>
  <c r="Y173" i="1"/>
  <c r="X173" i="1"/>
  <c r="Q173" i="1"/>
  <c r="AN172" i="1"/>
  <c r="AM172" i="1"/>
  <c r="AK172" i="1"/>
  <c r="AL172" i="1" s="1"/>
  <c r="AJ172" i="1"/>
  <c r="AH172" i="1"/>
  <c r="O172" i="1" s="1"/>
  <c r="Z172" i="1"/>
  <c r="Y172" i="1"/>
  <c r="X172" i="1"/>
  <c r="Q172" i="1"/>
  <c r="AN171" i="1"/>
  <c r="T171" i="1" s="1"/>
  <c r="AM171" i="1"/>
  <c r="AL171" i="1" s="1"/>
  <c r="AK171" i="1"/>
  <c r="AJ171" i="1"/>
  <c r="AH171" i="1" s="1"/>
  <c r="Z171" i="1"/>
  <c r="Y171" i="1"/>
  <c r="X171" i="1" s="1"/>
  <c r="Q171" i="1"/>
  <c r="L171" i="1"/>
  <c r="AN170" i="1"/>
  <c r="AM170" i="1"/>
  <c r="AK170" i="1"/>
  <c r="AL170" i="1" s="1"/>
  <c r="AJ170" i="1"/>
  <c r="AH170" i="1" s="1"/>
  <c r="AI170" i="1" s="1"/>
  <c r="AB170" i="1"/>
  <c r="Z170" i="1"/>
  <c r="Y170" i="1"/>
  <c r="T170" i="1"/>
  <c r="Q170" i="1"/>
  <c r="O170" i="1"/>
  <c r="L170" i="1"/>
  <c r="K170" i="1"/>
  <c r="J170" i="1"/>
  <c r="I170" i="1"/>
  <c r="AN169" i="1"/>
  <c r="AM169" i="1"/>
  <c r="AK169" i="1"/>
  <c r="AJ169" i="1"/>
  <c r="AH169" i="1" s="1"/>
  <c r="AI169" i="1" s="1"/>
  <c r="Z169" i="1"/>
  <c r="Y169" i="1"/>
  <c r="X169" i="1" s="1"/>
  <c r="Q169" i="1"/>
  <c r="AN168" i="1"/>
  <c r="AM168" i="1"/>
  <c r="AK168" i="1"/>
  <c r="AJ168" i="1"/>
  <c r="AH168" i="1"/>
  <c r="Z168" i="1"/>
  <c r="Y168" i="1"/>
  <c r="X168" i="1"/>
  <c r="Q168" i="1"/>
  <c r="O168" i="1"/>
  <c r="K168" i="1"/>
  <c r="AN167" i="1"/>
  <c r="AM167" i="1"/>
  <c r="AK167" i="1"/>
  <c r="AL167" i="1" s="1"/>
  <c r="AJ167" i="1"/>
  <c r="AH167" i="1" s="1"/>
  <c r="J167" i="1" s="1"/>
  <c r="Z167" i="1"/>
  <c r="Y167" i="1"/>
  <c r="X167" i="1" s="1"/>
  <c r="T167" i="1"/>
  <c r="Q167" i="1"/>
  <c r="O167" i="1"/>
  <c r="L167" i="1"/>
  <c r="K167" i="1"/>
  <c r="I167" i="1"/>
  <c r="AN166" i="1"/>
  <c r="AM166" i="1"/>
  <c r="AK166" i="1"/>
  <c r="AL166" i="1" s="1"/>
  <c r="AJ166" i="1"/>
  <c r="AH166" i="1" s="1"/>
  <c r="AI166" i="1"/>
  <c r="AB166" i="1"/>
  <c r="Z166" i="1"/>
  <c r="Y166" i="1"/>
  <c r="X166" i="1" s="1"/>
  <c r="T166" i="1"/>
  <c r="R166" i="1"/>
  <c r="P166" i="1" s="1"/>
  <c r="S166" i="1" s="1"/>
  <c r="M166" i="1" s="1"/>
  <c r="N166" i="1" s="1"/>
  <c r="Q166" i="1"/>
  <c r="O166" i="1"/>
  <c r="L166" i="1"/>
  <c r="K166" i="1"/>
  <c r="J166" i="1"/>
  <c r="I166" i="1"/>
  <c r="U166" i="1" s="1"/>
  <c r="V166" i="1" s="1"/>
  <c r="AC166" i="1" s="1"/>
  <c r="AN165" i="1"/>
  <c r="AM165" i="1"/>
  <c r="AK165" i="1"/>
  <c r="AJ165" i="1"/>
  <c r="AH165" i="1"/>
  <c r="L165" i="1" s="1"/>
  <c r="Z165" i="1"/>
  <c r="X165" i="1" s="1"/>
  <c r="Y165" i="1"/>
  <c r="Q165" i="1"/>
  <c r="J165" i="1"/>
  <c r="I165" i="1" s="1"/>
  <c r="AB165" i="1" s="1"/>
  <c r="AN164" i="1"/>
  <c r="AM164" i="1"/>
  <c r="AK164" i="1"/>
  <c r="AJ164" i="1"/>
  <c r="AI164" i="1"/>
  <c r="AH164" i="1"/>
  <c r="Z164" i="1"/>
  <c r="Y164" i="1"/>
  <c r="X164" i="1"/>
  <c r="Q164" i="1"/>
  <c r="O164" i="1"/>
  <c r="K164" i="1"/>
  <c r="AN163" i="1"/>
  <c r="AM163" i="1"/>
  <c r="AL163" i="1" s="1"/>
  <c r="AK163" i="1"/>
  <c r="AJ163" i="1"/>
  <c r="AH163" i="1" s="1"/>
  <c r="J163" i="1" s="1"/>
  <c r="AB163" i="1"/>
  <c r="Z163" i="1"/>
  <c r="Y163" i="1"/>
  <c r="X163" i="1" s="1"/>
  <c r="T163" i="1"/>
  <c r="Q163" i="1"/>
  <c r="L163" i="1"/>
  <c r="I163" i="1"/>
  <c r="AN162" i="1"/>
  <c r="AM162" i="1"/>
  <c r="AK162" i="1"/>
  <c r="AL162" i="1" s="1"/>
  <c r="AJ162" i="1"/>
  <c r="AH162" i="1" s="1"/>
  <c r="AI162" i="1"/>
  <c r="Z162" i="1"/>
  <c r="Y162" i="1"/>
  <c r="X162" i="1" s="1"/>
  <c r="Q162" i="1"/>
  <c r="O162" i="1"/>
  <c r="L162" i="1"/>
  <c r="K162" i="1"/>
  <c r="J162" i="1"/>
  <c r="I162" i="1"/>
  <c r="AB162" i="1" s="1"/>
  <c r="AN161" i="1"/>
  <c r="T161" i="1" s="1"/>
  <c r="AM161" i="1"/>
  <c r="AL161" i="1"/>
  <c r="AK161" i="1"/>
  <c r="AJ161" i="1"/>
  <c r="AH161" i="1"/>
  <c r="Z161" i="1"/>
  <c r="Y161" i="1"/>
  <c r="X161" i="1"/>
  <c r="Q161" i="1"/>
  <c r="O161" i="1"/>
  <c r="AN160" i="1"/>
  <c r="T160" i="1" s="1"/>
  <c r="AM160" i="1"/>
  <c r="AL160" i="1" s="1"/>
  <c r="AK160" i="1"/>
  <c r="AJ160" i="1"/>
  <c r="AH160" i="1"/>
  <c r="K160" i="1" s="1"/>
  <c r="Z160" i="1"/>
  <c r="Y160" i="1"/>
  <c r="X160" i="1"/>
  <c r="Q160" i="1"/>
  <c r="AN159" i="1"/>
  <c r="AM159" i="1"/>
  <c r="AK159" i="1"/>
  <c r="AJ159" i="1"/>
  <c r="AH159" i="1" s="1"/>
  <c r="Z159" i="1"/>
  <c r="X159" i="1" s="1"/>
  <c r="Y159" i="1"/>
  <c r="Q159" i="1"/>
  <c r="L159" i="1"/>
  <c r="K159" i="1"/>
  <c r="AN158" i="1"/>
  <c r="AM158" i="1"/>
  <c r="AL158" i="1"/>
  <c r="AK158" i="1"/>
  <c r="AJ158" i="1"/>
  <c r="AH158" i="1" s="1"/>
  <c r="AI158" i="1"/>
  <c r="Z158" i="1"/>
  <c r="Y158" i="1"/>
  <c r="X158" i="1" s="1"/>
  <c r="T158" i="1"/>
  <c r="Q158" i="1"/>
  <c r="AN157" i="1"/>
  <c r="T157" i="1" s="1"/>
  <c r="AM157" i="1"/>
  <c r="AL157" i="1"/>
  <c r="AK157" i="1"/>
  <c r="AJ157" i="1"/>
  <c r="AH157" i="1"/>
  <c r="Z157" i="1"/>
  <c r="Y157" i="1"/>
  <c r="X157" i="1"/>
  <c r="Q157" i="1"/>
  <c r="O157" i="1"/>
  <c r="AN156" i="1"/>
  <c r="T156" i="1" s="1"/>
  <c r="AM156" i="1"/>
  <c r="AL156" i="1" s="1"/>
  <c r="AK156" i="1"/>
  <c r="AJ156" i="1"/>
  <c r="AH156" i="1"/>
  <c r="K156" i="1" s="1"/>
  <c r="Z156" i="1"/>
  <c r="Y156" i="1"/>
  <c r="X156" i="1"/>
  <c r="Q156" i="1"/>
  <c r="AN155" i="1"/>
  <c r="AM155" i="1"/>
  <c r="AK155" i="1"/>
  <c r="AJ155" i="1"/>
  <c r="AH155" i="1" s="1"/>
  <c r="Z155" i="1"/>
  <c r="X155" i="1" s="1"/>
  <c r="Y155" i="1"/>
  <c r="Q155" i="1"/>
  <c r="L155" i="1"/>
  <c r="K155" i="1"/>
  <c r="AN154" i="1"/>
  <c r="AM154" i="1"/>
  <c r="AL154" i="1"/>
  <c r="AK154" i="1"/>
  <c r="AJ154" i="1"/>
  <c r="AH154" i="1" s="1"/>
  <c r="AI154" i="1"/>
  <c r="Z154" i="1"/>
  <c r="Y154" i="1"/>
  <c r="X154" i="1" s="1"/>
  <c r="T154" i="1"/>
  <c r="Q154" i="1"/>
  <c r="J154" i="1"/>
  <c r="I154" i="1"/>
  <c r="AB154" i="1" s="1"/>
  <c r="AN153" i="1"/>
  <c r="T153" i="1" s="1"/>
  <c r="AM153" i="1"/>
  <c r="AL153" i="1"/>
  <c r="AK153" i="1"/>
  <c r="AJ153" i="1"/>
  <c r="AH153" i="1"/>
  <c r="Z153" i="1"/>
  <c r="X153" i="1" s="1"/>
  <c r="Y153" i="1"/>
  <c r="Q153" i="1"/>
  <c r="O153" i="1"/>
  <c r="J153" i="1"/>
  <c r="I153" i="1" s="1"/>
  <c r="AB153" i="1" s="1"/>
  <c r="AN152" i="1"/>
  <c r="T152" i="1" s="1"/>
  <c r="AM152" i="1"/>
  <c r="AL152" i="1" s="1"/>
  <c r="AK152" i="1"/>
  <c r="AJ152" i="1"/>
  <c r="AH152" i="1"/>
  <c r="Z152" i="1"/>
  <c r="Y152" i="1"/>
  <c r="X152" i="1"/>
  <c r="Q152" i="1"/>
  <c r="AN151" i="1"/>
  <c r="AM151" i="1"/>
  <c r="AK151" i="1"/>
  <c r="AJ151" i="1"/>
  <c r="AH151" i="1"/>
  <c r="AI151" i="1" s="1"/>
  <c r="Z151" i="1"/>
  <c r="Y151" i="1"/>
  <c r="X151" i="1"/>
  <c r="Q151" i="1"/>
  <c r="L151" i="1"/>
  <c r="K151" i="1"/>
  <c r="AN150" i="1"/>
  <c r="AM150" i="1"/>
  <c r="AL150" i="1"/>
  <c r="AK150" i="1"/>
  <c r="AJ150" i="1"/>
  <c r="AH150" i="1" s="1"/>
  <c r="L150" i="1" s="1"/>
  <c r="Z150" i="1"/>
  <c r="Y150" i="1"/>
  <c r="X150" i="1" s="1"/>
  <c r="T150" i="1"/>
  <c r="Q150" i="1"/>
  <c r="AN149" i="1"/>
  <c r="AM149" i="1"/>
  <c r="AL149" i="1"/>
  <c r="AK149" i="1"/>
  <c r="AJ149" i="1"/>
  <c r="AH149" i="1"/>
  <c r="Z149" i="1"/>
  <c r="Y149" i="1"/>
  <c r="X149" i="1"/>
  <c r="T149" i="1"/>
  <c r="Q149" i="1"/>
  <c r="AN148" i="1"/>
  <c r="T148" i="1" s="1"/>
  <c r="AM148" i="1"/>
  <c r="AL148" i="1" s="1"/>
  <c r="AK148" i="1"/>
  <c r="AJ148" i="1"/>
  <c r="AH148" i="1"/>
  <c r="Z148" i="1"/>
  <c r="Y148" i="1"/>
  <c r="X148" i="1"/>
  <c r="Q148" i="1"/>
  <c r="AN147" i="1"/>
  <c r="AM147" i="1"/>
  <c r="AK147" i="1"/>
  <c r="AJ147" i="1"/>
  <c r="AH147" i="1"/>
  <c r="AI147" i="1" s="1"/>
  <c r="Z147" i="1"/>
  <c r="Y147" i="1"/>
  <c r="X147" i="1"/>
  <c r="Q147" i="1"/>
  <c r="L147" i="1"/>
  <c r="K147" i="1"/>
  <c r="AN146" i="1"/>
  <c r="AM146" i="1"/>
  <c r="AL146" i="1"/>
  <c r="AK146" i="1"/>
  <c r="AJ146" i="1"/>
  <c r="AH146" i="1" s="1"/>
  <c r="AI146" i="1"/>
  <c r="Z146" i="1"/>
  <c r="Y146" i="1"/>
  <c r="X146" i="1" s="1"/>
  <c r="T146" i="1"/>
  <c r="Q146" i="1"/>
  <c r="L146" i="1"/>
  <c r="J146" i="1"/>
  <c r="I146" i="1" s="1"/>
  <c r="AN145" i="1"/>
  <c r="AM145" i="1"/>
  <c r="AL145" i="1"/>
  <c r="AK145" i="1"/>
  <c r="AJ145" i="1"/>
  <c r="AH145" i="1"/>
  <c r="O145" i="1" s="1"/>
  <c r="Z145" i="1"/>
  <c r="Y145" i="1"/>
  <c r="X145" i="1"/>
  <c r="T145" i="1"/>
  <c r="Q145" i="1"/>
  <c r="J145" i="1"/>
  <c r="I145" i="1" s="1"/>
  <c r="AN144" i="1"/>
  <c r="T144" i="1" s="1"/>
  <c r="AM144" i="1"/>
  <c r="AL144" i="1" s="1"/>
  <c r="AK144" i="1"/>
  <c r="AJ144" i="1"/>
  <c r="AH144" i="1"/>
  <c r="Z144" i="1"/>
  <c r="X144" i="1" s="1"/>
  <c r="Y144" i="1"/>
  <c r="Q144" i="1"/>
  <c r="O144" i="1"/>
  <c r="AN143" i="1"/>
  <c r="AM143" i="1"/>
  <c r="AK143" i="1"/>
  <c r="AJ143" i="1"/>
  <c r="AH143" i="1"/>
  <c r="Z143" i="1"/>
  <c r="Y143" i="1"/>
  <c r="X143" i="1"/>
  <c r="Q143" i="1"/>
  <c r="L143" i="1"/>
  <c r="K143" i="1"/>
  <c r="J143" i="1"/>
  <c r="I143" i="1" s="1"/>
  <c r="AB143" i="1" s="1"/>
  <c r="AN142" i="1"/>
  <c r="AM142" i="1"/>
  <c r="AK142" i="1"/>
  <c r="T142" i="1" s="1"/>
  <c r="AJ142" i="1"/>
  <c r="AH142" i="1"/>
  <c r="O142" i="1" s="1"/>
  <c r="Z142" i="1"/>
  <c r="Y142" i="1"/>
  <c r="Q142" i="1"/>
  <c r="J142" i="1"/>
  <c r="I142" i="1"/>
  <c r="AN141" i="1"/>
  <c r="AM141" i="1"/>
  <c r="AL141" i="1"/>
  <c r="AK141" i="1"/>
  <c r="AJ141" i="1"/>
  <c r="AH141" i="1"/>
  <c r="L141" i="1" s="1"/>
  <c r="Z141" i="1"/>
  <c r="Y141" i="1"/>
  <c r="X141" i="1" s="1"/>
  <c r="T141" i="1"/>
  <c r="Q141" i="1"/>
  <c r="O141" i="1"/>
  <c r="AN140" i="1"/>
  <c r="AM140" i="1"/>
  <c r="AL140" i="1" s="1"/>
  <c r="AK140" i="1"/>
  <c r="AJ140" i="1"/>
  <c r="AH140" i="1"/>
  <c r="Z140" i="1"/>
  <c r="Y140" i="1"/>
  <c r="X140" i="1"/>
  <c r="T140" i="1"/>
  <c r="Q140" i="1"/>
  <c r="K140" i="1"/>
  <c r="AN139" i="1"/>
  <c r="AM139" i="1"/>
  <c r="AK139" i="1"/>
  <c r="AJ139" i="1"/>
  <c r="AH139" i="1" s="1"/>
  <c r="AI139" i="1"/>
  <c r="Z139" i="1"/>
  <c r="Y139" i="1"/>
  <c r="X139" i="1" s="1"/>
  <c r="Q139" i="1"/>
  <c r="J139" i="1"/>
  <c r="I139" i="1"/>
  <c r="AB139" i="1" s="1"/>
  <c r="AN138" i="1"/>
  <c r="AM138" i="1"/>
  <c r="AK138" i="1"/>
  <c r="T138" i="1" s="1"/>
  <c r="AJ138" i="1"/>
  <c r="AH138" i="1"/>
  <c r="Z138" i="1"/>
  <c r="Y138" i="1"/>
  <c r="X138" i="1"/>
  <c r="Q138" i="1"/>
  <c r="O138" i="1"/>
  <c r="L138" i="1"/>
  <c r="K138" i="1"/>
  <c r="AN137" i="1"/>
  <c r="AM137" i="1"/>
  <c r="AK137" i="1"/>
  <c r="AL137" i="1" s="1"/>
  <c r="AJ137" i="1"/>
  <c r="AH137" i="1" s="1"/>
  <c r="AI137" i="1" s="1"/>
  <c r="Z137" i="1"/>
  <c r="Y137" i="1"/>
  <c r="Q137" i="1"/>
  <c r="J137" i="1"/>
  <c r="I137" i="1" s="1"/>
  <c r="AN136" i="1"/>
  <c r="AM136" i="1"/>
  <c r="AL136" i="1"/>
  <c r="AK136" i="1"/>
  <c r="T136" i="1" s="1"/>
  <c r="AJ136" i="1"/>
  <c r="AH136" i="1"/>
  <c r="Z136" i="1"/>
  <c r="Y136" i="1"/>
  <c r="X136" i="1"/>
  <c r="Q136" i="1"/>
  <c r="O136" i="1"/>
  <c r="L136" i="1"/>
  <c r="K136" i="1"/>
  <c r="AN135" i="1"/>
  <c r="AM135" i="1"/>
  <c r="AK135" i="1"/>
  <c r="AL135" i="1" s="1"/>
  <c r="AJ135" i="1"/>
  <c r="AH135" i="1" s="1"/>
  <c r="AI135" i="1" s="1"/>
  <c r="Z135" i="1"/>
  <c r="Y135" i="1"/>
  <c r="Q135" i="1"/>
  <c r="J135" i="1"/>
  <c r="I135" i="1" s="1"/>
  <c r="AN134" i="1"/>
  <c r="AM134" i="1"/>
  <c r="AL134" i="1"/>
  <c r="AK134" i="1"/>
  <c r="AJ134" i="1"/>
  <c r="AH134" i="1"/>
  <c r="Z134" i="1"/>
  <c r="Y134" i="1"/>
  <c r="X134" i="1"/>
  <c r="T134" i="1"/>
  <c r="Q134" i="1"/>
  <c r="O134" i="1"/>
  <c r="AN133" i="1"/>
  <c r="AM133" i="1"/>
  <c r="AK133" i="1"/>
  <c r="AJ133" i="1"/>
  <c r="AH133" i="1" s="1"/>
  <c r="AI133" i="1" s="1"/>
  <c r="Z133" i="1"/>
  <c r="Y133" i="1"/>
  <c r="X133" i="1" s="1"/>
  <c r="Q133" i="1"/>
  <c r="J133" i="1"/>
  <c r="I133" i="1"/>
  <c r="AB133" i="1" s="1"/>
  <c r="AN132" i="1"/>
  <c r="AM132" i="1"/>
  <c r="AK132" i="1"/>
  <c r="AL132" i="1" s="1"/>
  <c r="AJ132" i="1"/>
  <c r="AH132" i="1"/>
  <c r="L132" i="1" s="1"/>
  <c r="Z132" i="1"/>
  <c r="Y132" i="1"/>
  <c r="X132" i="1"/>
  <c r="T132" i="1"/>
  <c r="Q132" i="1"/>
  <c r="O132" i="1"/>
  <c r="AN131" i="1"/>
  <c r="AM131" i="1"/>
  <c r="AK131" i="1"/>
  <c r="AJ131" i="1"/>
  <c r="AH131" i="1" s="1"/>
  <c r="J131" i="1" s="1"/>
  <c r="I131" i="1" s="1"/>
  <c r="AI131" i="1"/>
  <c r="Z131" i="1"/>
  <c r="Y131" i="1"/>
  <c r="X131" i="1" s="1"/>
  <c r="Q131" i="1"/>
  <c r="AN130" i="1"/>
  <c r="AM130" i="1"/>
  <c r="AK130" i="1"/>
  <c r="AL130" i="1" s="1"/>
  <c r="AJ130" i="1"/>
  <c r="AH130" i="1"/>
  <c r="Z130" i="1"/>
  <c r="Y130" i="1"/>
  <c r="X130" i="1"/>
  <c r="Q130" i="1"/>
  <c r="O130" i="1"/>
  <c r="L130" i="1"/>
  <c r="K130" i="1"/>
  <c r="AN129" i="1"/>
  <c r="AM129" i="1"/>
  <c r="AK129" i="1"/>
  <c r="AL129" i="1" s="1"/>
  <c r="AJ129" i="1"/>
  <c r="AH129" i="1" s="1"/>
  <c r="L129" i="1" s="1"/>
  <c r="Z129" i="1"/>
  <c r="Y129" i="1"/>
  <c r="X129" i="1" s="1"/>
  <c r="Q129" i="1"/>
  <c r="O129" i="1"/>
  <c r="K129" i="1"/>
  <c r="J129" i="1"/>
  <c r="I129" i="1" s="1"/>
  <c r="AN128" i="1"/>
  <c r="AM128" i="1"/>
  <c r="AL128" i="1" s="1"/>
  <c r="AK128" i="1"/>
  <c r="AJ128" i="1"/>
  <c r="AI128" i="1"/>
  <c r="AH128" i="1"/>
  <c r="J128" i="1" s="1"/>
  <c r="I128" i="1" s="1"/>
  <c r="Z128" i="1"/>
  <c r="Y128" i="1"/>
  <c r="X128" i="1"/>
  <c r="T128" i="1"/>
  <c r="Q128" i="1"/>
  <c r="L128" i="1"/>
  <c r="AN127" i="1"/>
  <c r="AM127" i="1"/>
  <c r="AK127" i="1"/>
  <c r="AJ127" i="1"/>
  <c r="AH127" i="1" s="1"/>
  <c r="L127" i="1" s="1"/>
  <c r="AI127" i="1"/>
  <c r="Z127" i="1"/>
  <c r="Y127" i="1"/>
  <c r="Q127" i="1"/>
  <c r="O127" i="1"/>
  <c r="K127" i="1"/>
  <c r="J127" i="1"/>
  <c r="I127" i="1" s="1"/>
  <c r="AN126" i="1"/>
  <c r="AM126" i="1"/>
  <c r="AL126" i="1" s="1"/>
  <c r="AK126" i="1"/>
  <c r="AJ126" i="1"/>
  <c r="AI126" i="1"/>
  <c r="AH126" i="1"/>
  <c r="J126" i="1" s="1"/>
  <c r="I126" i="1" s="1"/>
  <c r="AB126" i="1"/>
  <c r="Z126" i="1"/>
  <c r="Y126" i="1"/>
  <c r="X126" i="1"/>
  <c r="T126" i="1"/>
  <c r="Q126" i="1"/>
  <c r="L126" i="1"/>
  <c r="AN125" i="1"/>
  <c r="AM125" i="1"/>
  <c r="AK125" i="1"/>
  <c r="AJ125" i="1"/>
  <c r="AH125" i="1" s="1"/>
  <c r="L125" i="1" s="1"/>
  <c r="AI125" i="1"/>
  <c r="Z125" i="1"/>
  <c r="Y125" i="1"/>
  <c r="Q125" i="1"/>
  <c r="O125" i="1"/>
  <c r="K125" i="1"/>
  <c r="J125" i="1"/>
  <c r="I125" i="1" s="1"/>
  <c r="AN124" i="1"/>
  <c r="AM124" i="1"/>
  <c r="AL124" i="1" s="1"/>
  <c r="AK124" i="1"/>
  <c r="AJ124" i="1"/>
  <c r="AI124" i="1"/>
  <c r="AH124" i="1"/>
  <c r="J124" i="1" s="1"/>
  <c r="I124" i="1" s="1"/>
  <c r="AB124" i="1" s="1"/>
  <c r="Z124" i="1"/>
  <c r="Y124" i="1"/>
  <c r="X124" i="1"/>
  <c r="T124" i="1"/>
  <c r="Q124" i="1"/>
  <c r="L124" i="1"/>
  <c r="AN123" i="1"/>
  <c r="AM123" i="1"/>
  <c r="AK123" i="1"/>
  <c r="AJ123" i="1"/>
  <c r="AH123" i="1" s="1"/>
  <c r="J123" i="1" s="1"/>
  <c r="I123" i="1" s="1"/>
  <c r="AI123" i="1"/>
  <c r="Z123" i="1"/>
  <c r="Y123" i="1"/>
  <c r="Q123" i="1"/>
  <c r="O123" i="1"/>
  <c r="L123" i="1"/>
  <c r="K123" i="1"/>
  <c r="AN122" i="1"/>
  <c r="AM122" i="1"/>
  <c r="AK122" i="1"/>
  <c r="AL122" i="1" s="1"/>
  <c r="AJ122" i="1"/>
  <c r="AH122" i="1" s="1"/>
  <c r="Z122" i="1"/>
  <c r="Y122" i="1"/>
  <c r="Q122" i="1"/>
  <c r="J122" i="1"/>
  <c r="I122" i="1" s="1"/>
  <c r="AB122" i="1" s="1"/>
  <c r="AN121" i="1"/>
  <c r="AM121" i="1"/>
  <c r="AL121" i="1"/>
  <c r="AK121" i="1"/>
  <c r="AJ121" i="1"/>
  <c r="AH121" i="1"/>
  <c r="Z121" i="1"/>
  <c r="Y121" i="1"/>
  <c r="X121" i="1"/>
  <c r="T121" i="1"/>
  <c r="Q121" i="1"/>
  <c r="L121" i="1"/>
  <c r="AN120" i="1"/>
  <c r="AM120" i="1"/>
  <c r="AK120" i="1"/>
  <c r="AL120" i="1" s="1"/>
  <c r="AJ120" i="1"/>
  <c r="AH120" i="1" s="1"/>
  <c r="Z120" i="1"/>
  <c r="Y120" i="1"/>
  <c r="X120" i="1" s="1"/>
  <c r="Q120" i="1"/>
  <c r="J120" i="1"/>
  <c r="I120" i="1" s="1"/>
  <c r="AB120" i="1" s="1"/>
  <c r="AN119" i="1"/>
  <c r="AM119" i="1"/>
  <c r="AL119" i="1"/>
  <c r="AK119" i="1"/>
  <c r="AJ119" i="1"/>
  <c r="AH119" i="1"/>
  <c r="Z119" i="1"/>
  <c r="Y119" i="1"/>
  <c r="X119" i="1"/>
  <c r="T119" i="1"/>
  <c r="Q119" i="1"/>
  <c r="L119" i="1"/>
  <c r="AN118" i="1"/>
  <c r="AM118" i="1"/>
  <c r="AK118" i="1"/>
  <c r="AL118" i="1" s="1"/>
  <c r="AJ118" i="1"/>
  <c r="AH118" i="1" s="1"/>
  <c r="Z118" i="1"/>
  <c r="Y118" i="1"/>
  <c r="Q118" i="1"/>
  <c r="J118" i="1"/>
  <c r="I118" i="1" s="1"/>
  <c r="AB118" i="1" s="1"/>
  <c r="AN117" i="1"/>
  <c r="AM117" i="1"/>
  <c r="AL117" i="1"/>
  <c r="AK117" i="1"/>
  <c r="AJ117" i="1"/>
  <c r="AH117" i="1"/>
  <c r="Z117" i="1"/>
  <c r="Y117" i="1"/>
  <c r="X117" i="1"/>
  <c r="T117" i="1"/>
  <c r="Q117" i="1"/>
  <c r="L117" i="1"/>
  <c r="AN116" i="1"/>
  <c r="AM116" i="1"/>
  <c r="AK116" i="1"/>
  <c r="AL116" i="1" s="1"/>
  <c r="AJ116" i="1"/>
  <c r="AH116" i="1" s="1"/>
  <c r="Z116" i="1"/>
  <c r="Y116" i="1"/>
  <c r="X116" i="1" s="1"/>
  <c r="Q116" i="1"/>
  <c r="J116" i="1"/>
  <c r="I116" i="1" s="1"/>
  <c r="AN115" i="1"/>
  <c r="AM115" i="1"/>
  <c r="AL115" i="1"/>
  <c r="AK115" i="1"/>
  <c r="AJ115" i="1"/>
  <c r="AH115" i="1"/>
  <c r="O115" i="1" s="1"/>
  <c r="Z115" i="1"/>
  <c r="Y115" i="1"/>
  <c r="X115" i="1"/>
  <c r="T115" i="1"/>
  <c r="Q115" i="1"/>
  <c r="AN114" i="1"/>
  <c r="AM114" i="1"/>
  <c r="AK114" i="1"/>
  <c r="AJ114" i="1"/>
  <c r="AH114" i="1" s="1"/>
  <c r="Z114" i="1"/>
  <c r="Y114" i="1"/>
  <c r="X114" i="1" s="1"/>
  <c r="Q114" i="1"/>
  <c r="AN113" i="1"/>
  <c r="AM113" i="1"/>
  <c r="AK113" i="1"/>
  <c r="AL113" i="1" s="1"/>
  <c r="AJ113" i="1"/>
  <c r="AH113" i="1"/>
  <c r="L113" i="1" s="1"/>
  <c r="Z113" i="1"/>
  <c r="Y113" i="1"/>
  <c r="X113" i="1"/>
  <c r="T113" i="1"/>
  <c r="Q113" i="1"/>
  <c r="O113" i="1"/>
  <c r="AN112" i="1"/>
  <c r="AM112" i="1"/>
  <c r="AK112" i="1"/>
  <c r="AJ112" i="1"/>
  <c r="AH112" i="1" s="1"/>
  <c r="J112" i="1" s="1"/>
  <c r="I112" i="1" s="1"/>
  <c r="AI112" i="1"/>
  <c r="Z112" i="1"/>
  <c r="Y112" i="1"/>
  <c r="X112" i="1" s="1"/>
  <c r="Q112" i="1"/>
  <c r="AN111" i="1"/>
  <c r="AM111" i="1"/>
  <c r="AK111" i="1"/>
  <c r="AL111" i="1" s="1"/>
  <c r="AJ111" i="1"/>
  <c r="AH111" i="1"/>
  <c r="Z111" i="1"/>
  <c r="Y111" i="1"/>
  <c r="X111" i="1"/>
  <c r="Q111" i="1"/>
  <c r="L111" i="1"/>
  <c r="K111" i="1"/>
  <c r="AN110" i="1"/>
  <c r="AM110" i="1"/>
  <c r="AK110" i="1"/>
  <c r="AL110" i="1" s="1"/>
  <c r="AJ110" i="1"/>
  <c r="AH110" i="1" s="1"/>
  <c r="AI110" i="1" s="1"/>
  <c r="Z110" i="1"/>
  <c r="Y110" i="1"/>
  <c r="Q110" i="1"/>
  <c r="J110" i="1"/>
  <c r="I110" i="1" s="1"/>
  <c r="AN109" i="1"/>
  <c r="AM109" i="1"/>
  <c r="AL109" i="1"/>
  <c r="AK109" i="1"/>
  <c r="T109" i="1" s="1"/>
  <c r="AJ109" i="1"/>
  <c r="AH109" i="1"/>
  <c r="O109" i="1" s="1"/>
  <c r="Z109" i="1"/>
  <c r="Y109" i="1"/>
  <c r="X109" i="1"/>
  <c r="Q109" i="1"/>
  <c r="L109" i="1"/>
  <c r="K109" i="1"/>
  <c r="AN108" i="1"/>
  <c r="AM108" i="1"/>
  <c r="AK108" i="1"/>
  <c r="AL108" i="1" s="1"/>
  <c r="AJ108" i="1"/>
  <c r="AH108" i="1" s="1"/>
  <c r="AI108" i="1" s="1"/>
  <c r="Z108" i="1"/>
  <c r="Y108" i="1"/>
  <c r="Q108" i="1"/>
  <c r="J108" i="1"/>
  <c r="I108" i="1" s="1"/>
  <c r="AN107" i="1"/>
  <c r="AM107" i="1"/>
  <c r="AL107" i="1"/>
  <c r="AK107" i="1"/>
  <c r="AJ107" i="1"/>
  <c r="AH107" i="1"/>
  <c r="L107" i="1" s="1"/>
  <c r="Z107" i="1"/>
  <c r="Y107" i="1"/>
  <c r="X107" i="1"/>
  <c r="T107" i="1"/>
  <c r="Q107" i="1"/>
  <c r="O107" i="1"/>
  <c r="AN106" i="1"/>
  <c r="AM106" i="1"/>
  <c r="AK106" i="1"/>
  <c r="AJ106" i="1"/>
  <c r="AH106" i="1" s="1"/>
  <c r="AI106" i="1"/>
  <c r="Z106" i="1"/>
  <c r="Y106" i="1"/>
  <c r="Q106" i="1"/>
  <c r="J106" i="1"/>
  <c r="I106" i="1" s="1"/>
  <c r="AN105" i="1"/>
  <c r="AM105" i="1"/>
  <c r="AK105" i="1"/>
  <c r="AL105" i="1" s="1"/>
  <c r="AJ105" i="1"/>
  <c r="AH105" i="1"/>
  <c r="Z105" i="1"/>
  <c r="Y105" i="1"/>
  <c r="X105" i="1"/>
  <c r="T105" i="1"/>
  <c r="Q105" i="1"/>
  <c r="O105" i="1"/>
  <c r="AN104" i="1"/>
  <c r="AM104" i="1"/>
  <c r="AK104" i="1"/>
  <c r="AJ104" i="1"/>
  <c r="AH104" i="1" s="1"/>
  <c r="AI104" i="1"/>
  <c r="Z104" i="1"/>
  <c r="Y104" i="1"/>
  <c r="X104" i="1" s="1"/>
  <c r="Q104" i="1"/>
  <c r="J104" i="1"/>
  <c r="I104" i="1"/>
  <c r="AB104" i="1" s="1"/>
  <c r="AN103" i="1"/>
  <c r="AM103" i="1"/>
  <c r="AK103" i="1"/>
  <c r="T103" i="1" s="1"/>
  <c r="AJ103" i="1"/>
  <c r="AH103" i="1"/>
  <c r="Z103" i="1"/>
  <c r="Y103" i="1"/>
  <c r="X103" i="1"/>
  <c r="Q103" i="1"/>
  <c r="O103" i="1"/>
  <c r="L103" i="1"/>
  <c r="K103" i="1"/>
  <c r="AN102" i="1"/>
  <c r="AM102" i="1"/>
  <c r="AK102" i="1"/>
  <c r="AJ102" i="1"/>
  <c r="AH102" i="1" s="1"/>
  <c r="L102" i="1" s="1"/>
  <c r="AI102" i="1"/>
  <c r="Z102" i="1"/>
  <c r="Y102" i="1"/>
  <c r="Q102" i="1"/>
  <c r="O102" i="1"/>
  <c r="K102" i="1"/>
  <c r="J102" i="1"/>
  <c r="I102" i="1" s="1"/>
  <c r="AN101" i="1"/>
  <c r="AM101" i="1"/>
  <c r="AL101" i="1" s="1"/>
  <c r="AK101" i="1"/>
  <c r="AJ101" i="1"/>
  <c r="AI101" i="1"/>
  <c r="AH101" i="1"/>
  <c r="J101" i="1" s="1"/>
  <c r="I101" i="1" s="1"/>
  <c r="Z101" i="1"/>
  <c r="Y101" i="1"/>
  <c r="X101" i="1"/>
  <c r="T101" i="1"/>
  <c r="Q101" i="1"/>
  <c r="L101" i="1"/>
  <c r="AN100" i="1"/>
  <c r="AM100" i="1"/>
  <c r="AK100" i="1"/>
  <c r="AJ100" i="1"/>
  <c r="AH100" i="1" s="1"/>
  <c r="L100" i="1" s="1"/>
  <c r="AI100" i="1"/>
  <c r="Z100" i="1"/>
  <c r="Y100" i="1"/>
  <c r="Q100" i="1"/>
  <c r="O100" i="1"/>
  <c r="K100" i="1"/>
  <c r="J100" i="1"/>
  <c r="I100" i="1" s="1"/>
  <c r="AN99" i="1"/>
  <c r="AM99" i="1"/>
  <c r="AL99" i="1" s="1"/>
  <c r="AK99" i="1"/>
  <c r="AJ99" i="1"/>
  <c r="AI99" i="1"/>
  <c r="AH99" i="1"/>
  <c r="J99" i="1" s="1"/>
  <c r="I99" i="1" s="1"/>
  <c r="Z99" i="1"/>
  <c r="Y99" i="1"/>
  <c r="X99" i="1"/>
  <c r="T99" i="1"/>
  <c r="Q99" i="1"/>
  <c r="L99" i="1"/>
  <c r="AN98" i="1"/>
  <c r="AM98" i="1"/>
  <c r="AK98" i="1"/>
  <c r="AJ98" i="1"/>
  <c r="AH98" i="1" s="1"/>
  <c r="L98" i="1" s="1"/>
  <c r="AI98" i="1"/>
  <c r="Z98" i="1"/>
  <c r="Y98" i="1"/>
  <c r="Q98" i="1"/>
  <c r="O98" i="1"/>
  <c r="K98" i="1"/>
  <c r="J98" i="1"/>
  <c r="I98" i="1" s="1"/>
  <c r="AN97" i="1"/>
  <c r="AM97" i="1"/>
  <c r="AL97" i="1" s="1"/>
  <c r="AK97" i="1"/>
  <c r="AJ97" i="1"/>
  <c r="AI97" i="1"/>
  <c r="AH97" i="1"/>
  <c r="J97" i="1" s="1"/>
  <c r="I97" i="1" s="1"/>
  <c r="AB97" i="1"/>
  <c r="Z97" i="1"/>
  <c r="Y97" i="1"/>
  <c r="X97" i="1"/>
  <c r="T97" i="1"/>
  <c r="Q97" i="1"/>
  <c r="L97" i="1"/>
  <c r="AN96" i="1"/>
  <c r="AM96" i="1"/>
  <c r="AK96" i="1"/>
  <c r="AJ96" i="1"/>
  <c r="AH96" i="1" s="1"/>
  <c r="L96" i="1" s="1"/>
  <c r="AI96" i="1"/>
  <c r="Z96" i="1"/>
  <c r="Y96" i="1"/>
  <c r="Q96" i="1"/>
  <c r="O96" i="1"/>
  <c r="K96" i="1"/>
  <c r="J96" i="1"/>
  <c r="I96" i="1" s="1"/>
  <c r="AN95" i="1"/>
  <c r="AM95" i="1"/>
  <c r="AL95" i="1" s="1"/>
  <c r="AK95" i="1"/>
  <c r="AJ95" i="1"/>
  <c r="AI95" i="1"/>
  <c r="AH95" i="1"/>
  <c r="J95" i="1" s="1"/>
  <c r="I95" i="1" s="1"/>
  <c r="AB95" i="1"/>
  <c r="Z95" i="1"/>
  <c r="Y95" i="1"/>
  <c r="X95" i="1"/>
  <c r="T95" i="1"/>
  <c r="Q95" i="1"/>
  <c r="O95" i="1"/>
  <c r="L95" i="1"/>
  <c r="K95" i="1"/>
  <c r="AN94" i="1"/>
  <c r="AM94" i="1"/>
  <c r="AK94" i="1"/>
  <c r="AL94" i="1" s="1"/>
  <c r="AJ94" i="1"/>
  <c r="AH94" i="1" s="1"/>
  <c r="Z94" i="1"/>
  <c r="Y94" i="1"/>
  <c r="X94" i="1" s="1"/>
  <c r="Q94" i="1"/>
  <c r="J94" i="1"/>
  <c r="I94" i="1" s="1"/>
  <c r="AB94" i="1" s="1"/>
  <c r="AN93" i="1"/>
  <c r="AM93" i="1"/>
  <c r="AL93" i="1"/>
  <c r="AK93" i="1"/>
  <c r="AJ93" i="1"/>
  <c r="AH93" i="1"/>
  <c r="Z93" i="1"/>
  <c r="Y93" i="1"/>
  <c r="X93" i="1"/>
  <c r="T93" i="1"/>
  <c r="Q93" i="1"/>
  <c r="L93" i="1"/>
  <c r="AN92" i="1"/>
  <c r="AM92" i="1"/>
  <c r="AK92" i="1"/>
  <c r="AL92" i="1" s="1"/>
  <c r="AJ92" i="1"/>
  <c r="AH92" i="1" s="1"/>
  <c r="Z92" i="1"/>
  <c r="Y92" i="1"/>
  <c r="Q92" i="1"/>
  <c r="J92" i="1"/>
  <c r="I92" i="1" s="1"/>
  <c r="AB92" i="1" s="1"/>
  <c r="AN91" i="1"/>
  <c r="AM91" i="1"/>
  <c r="AL91" i="1"/>
  <c r="AK91" i="1"/>
  <c r="AJ91" i="1"/>
  <c r="AH91" i="1"/>
  <c r="Z91" i="1"/>
  <c r="Y91" i="1"/>
  <c r="X91" i="1"/>
  <c r="T91" i="1"/>
  <c r="Q91" i="1"/>
  <c r="L91" i="1"/>
  <c r="AN90" i="1"/>
  <c r="AM90" i="1"/>
  <c r="AK90" i="1"/>
  <c r="AL90" i="1" s="1"/>
  <c r="AJ90" i="1"/>
  <c r="AH90" i="1" s="1"/>
  <c r="Z90" i="1"/>
  <c r="Y90" i="1"/>
  <c r="X90" i="1" s="1"/>
  <c r="Q90" i="1"/>
  <c r="J90" i="1"/>
  <c r="I90" i="1" s="1"/>
  <c r="AB90" i="1" s="1"/>
  <c r="AN89" i="1"/>
  <c r="AM89" i="1"/>
  <c r="AL89" i="1"/>
  <c r="AK89" i="1"/>
  <c r="AJ89" i="1"/>
  <c r="AH89" i="1"/>
  <c r="Z89" i="1"/>
  <c r="Y89" i="1"/>
  <c r="X89" i="1"/>
  <c r="T89" i="1"/>
  <c r="Q89" i="1"/>
  <c r="L89" i="1"/>
  <c r="AN88" i="1"/>
  <c r="AM88" i="1"/>
  <c r="AK88" i="1"/>
  <c r="AL88" i="1" s="1"/>
  <c r="AJ88" i="1"/>
  <c r="AH88" i="1" s="1"/>
  <c r="Z88" i="1"/>
  <c r="Y88" i="1"/>
  <c r="Q88" i="1"/>
  <c r="J88" i="1"/>
  <c r="I88" i="1" s="1"/>
  <c r="AB88" i="1" s="1"/>
  <c r="AN87" i="1"/>
  <c r="AM87" i="1"/>
  <c r="AL87" i="1"/>
  <c r="AK87" i="1"/>
  <c r="AJ87" i="1"/>
  <c r="AH87" i="1"/>
  <c r="Z87" i="1"/>
  <c r="Y87" i="1"/>
  <c r="X87" i="1"/>
  <c r="T87" i="1"/>
  <c r="Q87" i="1"/>
  <c r="L87" i="1"/>
  <c r="AN86" i="1"/>
  <c r="AM86" i="1"/>
  <c r="AK86" i="1"/>
  <c r="AL86" i="1" s="1"/>
  <c r="AJ86" i="1"/>
  <c r="AH86" i="1" s="1"/>
  <c r="Z86" i="1"/>
  <c r="Y86" i="1"/>
  <c r="X86" i="1" s="1"/>
  <c r="Q86" i="1"/>
  <c r="J86" i="1"/>
  <c r="I86" i="1" s="1"/>
  <c r="AB86" i="1" s="1"/>
  <c r="AN85" i="1"/>
  <c r="AM85" i="1"/>
  <c r="AL85" i="1"/>
  <c r="AK85" i="1"/>
  <c r="AJ85" i="1"/>
  <c r="AH85" i="1"/>
  <c r="Z85" i="1"/>
  <c r="Y85" i="1"/>
  <c r="X85" i="1"/>
  <c r="T85" i="1"/>
  <c r="Q85" i="1"/>
  <c r="L85" i="1"/>
  <c r="AN84" i="1"/>
  <c r="AM84" i="1"/>
  <c r="AK84" i="1"/>
  <c r="AL84" i="1" s="1"/>
  <c r="AJ84" i="1"/>
  <c r="AH84" i="1" s="1"/>
  <c r="Z84" i="1"/>
  <c r="Y84" i="1"/>
  <c r="Q84" i="1"/>
  <c r="J84" i="1"/>
  <c r="I84" i="1" s="1"/>
  <c r="AB84" i="1" s="1"/>
  <c r="AN83" i="1"/>
  <c r="AM83" i="1"/>
  <c r="AL83" i="1"/>
  <c r="AK83" i="1"/>
  <c r="AJ83" i="1"/>
  <c r="AH83" i="1"/>
  <c r="Z83" i="1"/>
  <c r="Y83" i="1"/>
  <c r="X83" i="1"/>
  <c r="T83" i="1"/>
  <c r="Q83" i="1"/>
  <c r="L83" i="1"/>
  <c r="AN82" i="1"/>
  <c r="AM82" i="1"/>
  <c r="AK82" i="1"/>
  <c r="AL82" i="1" s="1"/>
  <c r="AJ82" i="1"/>
  <c r="AH82" i="1" s="1"/>
  <c r="Z82" i="1"/>
  <c r="Y82" i="1"/>
  <c r="X82" i="1" s="1"/>
  <c r="Q82" i="1"/>
  <c r="J82" i="1"/>
  <c r="I82" i="1" s="1"/>
  <c r="AB82" i="1" s="1"/>
  <c r="AN81" i="1"/>
  <c r="AM81" i="1"/>
  <c r="AL81" i="1"/>
  <c r="AK81" i="1"/>
  <c r="AJ81" i="1"/>
  <c r="AH81" i="1"/>
  <c r="Z81" i="1"/>
  <c r="Y81" i="1"/>
  <c r="X81" i="1"/>
  <c r="T81" i="1"/>
  <c r="Q81" i="1"/>
  <c r="L81" i="1"/>
  <c r="AN80" i="1"/>
  <c r="AM80" i="1"/>
  <c r="AK80" i="1"/>
  <c r="AJ80" i="1"/>
  <c r="AH80" i="1" s="1"/>
  <c r="Z80" i="1"/>
  <c r="Y80" i="1"/>
  <c r="X80" i="1" s="1"/>
  <c r="Q80" i="1"/>
  <c r="AN79" i="1"/>
  <c r="AM79" i="1"/>
  <c r="AL79" i="1"/>
  <c r="AK79" i="1"/>
  <c r="AJ79" i="1"/>
  <c r="AH79" i="1"/>
  <c r="L79" i="1" s="1"/>
  <c r="Z79" i="1"/>
  <c r="Y79" i="1"/>
  <c r="X79" i="1"/>
  <c r="T79" i="1"/>
  <c r="Q79" i="1"/>
  <c r="AN78" i="1"/>
  <c r="AM78" i="1"/>
  <c r="AK78" i="1"/>
  <c r="AL78" i="1" s="1"/>
  <c r="AJ78" i="1"/>
  <c r="AH78" i="1" s="1"/>
  <c r="AI78" i="1"/>
  <c r="Z78" i="1"/>
  <c r="Y78" i="1"/>
  <c r="X78" i="1" s="1"/>
  <c r="Q78" i="1"/>
  <c r="AN77" i="1"/>
  <c r="AM77" i="1"/>
  <c r="AK77" i="1"/>
  <c r="AL77" i="1" s="1"/>
  <c r="AJ77" i="1"/>
  <c r="AH77" i="1"/>
  <c r="L77" i="1" s="1"/>
  <c r="Z77" i="1"/>
  <c r="Y77" i="1"/>
  <c r="X77" i="1"/>
  <c r="T77" i="1"/>
  <c r="Q77" i="1"/>
  <c r="O77" i="1"/>
  <c r="AN76" i="1"/>
  <c r="AM76" i="1"/>
  <c r="AK76" i="1"/>
  <c r="AJ76" i="1"/>
  <c r="AH76" i="1" s="1"/>
  <c r="AI76" i="1"/>
  <c r="Z76" i="1"/>
  <c r="Y76" i="1"/>
  <c r="X76" i="1" s="1"/>
  <c r="Q76" i="1"/>
  <c r="J76" i="1"/>
  <c r="I76" i="1"/>
  <c r="AB76" i="1" s="1"/>
  <c r="AN75" i="1"/>
  <c r="AM75" i="1"/>
  <c r="AK75" i="1"/>
  <c r="AL75" i="1" s="1"/>
  <c r="AJ75" i="1"/>
  <c r="AH75" i="1"/>
  <c r="Z75" i="1"/>
  <c r="Y75" i="1"/>
  <c r="X75" i="1"/>
  <c r="Q75" i="1"/>
  <c r="O75" i="1"/>
  <c r="L75" i="1"/>
  <c r="K75" i="1"/>
  <c r="AN74" i="1"/>
  <c r="AM74" i="1"/>
  <c r="AK74" i="1"/>
  <c r="AL74" i="1" s="1"/>
  <c r="AJ74" i="1"/>
  <c r="AH74" i="1" s="1"/>
  <c r="AI74" i="1"/>
  <c r="Z74" i="1"/>
  <c r="Y74" i="1"/>
  <c r="X74" i="1" s="1"/>
  <c r="Q74" i="1"/>
  <c r="J74" i="1"/>
  <c r="I74" i="1"/>
  <c r="AB74" i="1" s="1"/>
  <c r="AN73" i="1"/>
  <c r="AM73" i="1"/>
  <c r="AK73" i="1"/>
  <c r="AL73" i="1" s="1"/>
  <c r="AJ73" i="1"/>
  <c r="AH73" i="1"/>
  <c r="Z73" i="1"/>
  <c r="Y73" i="1"/>
  <c r="X73" i="1"/>
  <c r="Q73" i="1"/>
  <c r="O73" i="1"/>
  <c r="L73" i="1"/>
  <c r="K73" i="1"/>
  <c r="AN72" i="1"/>
  <c r="AM72" i="1"/>
  <c r="AK72" i="1"/>
  <c r="AL72" i="1" s="1"/>
  <c r="AJ72" i="1"/>
  <c r="AH72" i="1" s="1"/>
  <c r="AI72" i="1" s="1"/>
  <c r="Z72" i="1"/>
  <c r="Y72" i="1"/>
  <c r="Q72" i="1"/>
  <c r="J72" i="1"/>
  <c r="I72" i="1" s="1"/>
  <c r="AN71" i="1"/>
  <c r="AM71" i="1"/>
  <c r="AL71" i="1"/>
  <c r="AK71" i="1"/>
  <c r="AJ71" i="1"/>
  <c r="AH71" i="1"/>
  <c r="K71" i="1" s="1"/>
  <c r="Z71" i="1"/>
  <c r="Y71" i="1"/>
  <c r="X71" i="1"/>
  <c r="T71" i="1"/>
  <c r="Q71" i="1"/>
  <c r="O71" i="1"/>
  <c r="L71" i="1"/>
  <c r="AN70" i="1"/>
  <c r="AM70" i="1"/>
  <c r="AK70" i="1"/>
  <c r="AL70" i="1" s="1"/>
  <c r="AJ70" i="1"/>
  <c r="AH70" i="1" s="1"/>
  <c r="AI70" i="1"/>
  <c r="Z70" i="1"/>
  <c r="Y70" i="1"/>
  <c r="X70" i="1" s="1"/>
  <c r="Q70" i="1"/>
  <c r="J70" i="1"/>
  <c r="I70" i="1"/>
  <c r="AB70" i="1" s="1"/>
  <c r="AN69" i="1"/>
  <c r="AM69" i="1"/>
  <c r="AK69" i="1"/>
  <c r="AL69" i="1" s="1"/>
  <c r="AJ69" i="1"/>
  <c r="AH69" i="1"/>
  <c r="Z69" i="1"/>
  <c r="Y69" i="1"/>
  <c r="X69" i="1"/>
  <c r="T69" i="1"/>
  <c r="Q69" i="1"/>
  <c r="O69" i="1"/>
  <c r="AN68" i="1"/>
  <c r="AM68" i="1"/>
  <c r="AK68" i="1"/>
  <c r="AJ68" i="1"/>
  <c r="AH68" i="1" s="1"/>
  <c r="AI68" i="1"/>
  <c r="Z68" i="1"/>
  <c r="Y68" i="1"/>
  <c r="X68" i="1" s="1"/>
  <c r="Q68" i="1"/>
  <c r="J68" i="1"/>
  <c r="I68" i="1"/>
  <c r="AB68" i="1" s="1"/>
  <c r="AN67" i="1"/>
  <c r="AM67" i="1"/>
  <c r="AK67" i="1"/>
  <c r="AL67" i="1" s="1"/>
  <c r="AJ67" i="1"/>
  <c r="AH67" i="1"/>
  <c r="J67" i="1" s="1"/>
  <c r="Z67" i="1"/>
  <c r="Y67" i="1"/>
  <c r="X67" i="1" s="1"/>
  <c r="T67" i="1"/>
  <c r="U67" i="1" s="1"/>
  <c r="V67" i="1" s="1"/>
  <c r="Q67" i="1"/>
  <c r="O67" i="1"/>
  <c r="K67" i="1"/>
  <c r="I67" i="1"/>
  <c r="AB67" i="1" s="1"/>
  <c r="AN66" i="1"/>
  <c r="AM66" i="1"/>
  <c r="AK66" i="1"/>
  <c r="AJ66" i="1"/>
  <c r="AH66" i="1" s="1"/>
  <c r="L66" i="1" s="1"/>
  <c r="Z66" i="1"/>
  <c r="Y66" i="1"/>
  <c r="X66" i="1" s="1"/>
  <c r="Q66" i="1"/>
  <c r="AN65" i="1"/>
  <c r="AM65" i="1"/>
  <c r="AK65" i="1"/>
  <c r="AL65" i="1" s="1"/>
  <c r="AJ65" i="1"/>
  <c r="AH65" i="1"/>
  <c r="J65" i="1" s="1"/>
  <c r="Z65" i="1"/>
  <c r="Y65" i="1"/>
  <c r="X65" i="1" s="1"/>
  <c r="T65" i="1"/>
  <c r="Q65" i="1"/>
  <c r="O65" i="1"/>
  <c r="L65" i="1"/>
  <c r="K65" i="1"/>
  <c r="I65" i="1"/>
  <c r="AB65" i="1" s="1"/>
  <c r="AN64" i="1"/>
  <c r="AM64" i="1"/>
  <c r="AK64" i="1"/>
  <c r="AJ64" i="1"/>
  <c r="AH64" i="1" s="1"/>
  <c r="L64" i="1" s="1"/>
  <c r="Z64" i="1"/>
  <c r="Y64" i="1"/>
  <c r="X64" i="1" s="1"/>
  <c r="Q64" i="1"/>
  <c r="AN63" i="1"/>
  <c r="AM63" i="1"/>
  <c r="AK63" i="1"/>
  <c r="AL63" i="1" s="1"/>
  <c r="AJ63" i="1"/>
  <c r="AH63" i="1"/>
  <c r="J63" i="1" s="1"/>
  <c r="Z63" i="1"/>
  <c r="Y63" i="1"/>
  <c r="X63" i="1" s="1"/>
  <c r="T63" i="1"/>
  <c r="Q63" i="1"/>
  <c r="O63" i="1"/>
  <c r="L63" i="1"/>
  <c r="K63" i="1"/>
  <c r="I63" i="1"/>
  <c r="AB63" i="1" s="1"/>
  <c r="AN62" i="1"/>
  <c r="AM62" i="1"/>
  <c r="AK62" i="1"/>
  <c r="AJ62" i="1"/>
  <c r="AH62" i="1" s="1"/>
  <c r="L62" i="1" s="1"/>
  <c r="Z62" i="1"/>
  <c r="Y62" i="1"/>
  <c r="X62" i="1" s="1"/>
  <c r="Q62" i="1"/>
  <c r="AN61" i="1"/>
  <c r="AM61" i="1"/>
  <c r="AK61" i="1"/>
  <c r="AL61" i="1" s="1"/>
  <c r="AJ61" i="1"/>
  <c r="AH61" i="1"/>
  <c r="J61" i="1" s="1"/>
  <c r="Z61" i="1"/>
  <c r="Y61" i="1"/>
  <c r="X61" i="1" s="1"/>
  <c r="T61" i="1"/>
  <c r="Q61" i="1"/>
  <c r="O61" i="1"/>
  <c r="L61" i="1"/>
  <c r="K61" i="1"/>
  <c r="I61" i="1"/>
  <c r="AB61" i="1" s="1"/>
  <c r="AN60" i="1"/>
  <c r="AM60" i="1"/>
  <c r="AK60" i="1"/>
  <c r="AJ60" i="1"/>
  <c r="AH60" i="1" s="1"/>
  <c r="L60" i="1" s="1"/>
  <c r="Z60" i="1"/>
  <c r="Y60" i="1"/>
  <c r="X60" i="1" s="1"/>
  <c r="Q60" i="1"/>
  <c r="AN59" i="1"/>
  <c r="AM59" i="1"/>
  <c r="AK59" i="1"/>
  <c r="AL59" i="1" s="1"/>
  <c r="AJ59" i="1"/>
  <c r="AH59" i="1"/>
  <c r="J59" i="1" s="1"/>
  <c r="Z59" i="1"/>
  <c r="Y59" i="1"/>
  <c r="X59" i="1" s="1"/>
  <c r="T59" i="1"/>
  <c r="Q59" i="1"/>
  <c r="O59" i="1"/>
  <c r="L59" i="1"/>
  <c r="K59" i="1"/>
  <c r="I59" i="1"/>
  <c r="AB59" i="1" s="1"/>
  <c r="AN58" i="1"/>
  <c r="AM58" i="1"/>
  <c r="AK58" i="1"/>
  <c r="AJ58" i="1"/>
  <c r="AH58" i="1" s="1"/>
  <c r="L58" i="1" s="1"/>
  <c r="Z58" i="1"/>
  <c r="Y58" i="1"/>
  <c r="X58" i="1" s="1"/>
  <c r="Q58" i="1"/>
  <c r="AN57" i="1"/>
  <c r="AM57" i="1"/>
  <c r="AK57" i="1"/>
  <c r="AL57" i="1" s="1"/>
  <c r="AJ57" i="1"/>
  <c r="AH57" i="1"/>
  <c r="J57" i="1" s="1"/>
  <c r="Z57" i="1"/>
  <c r="Y57" i="1"/>
  <c r="X57" i="1" s="1"/>
  <c r="T57" i="1"/>
  <c r="Q57" i="1"/>
  <c r="O57" i="1"/>
  <c r="L57" i="1"/>
  <c r="K57" i="1"/>
  <c r="I57" i="1"/>
  <c r="AB57" i="1" s="1"/>
  <c r="AN56" i="1"/>
  <c r="AM56" i="1"/>
  <c r="AK56" i="1"/>
  <c r="AJ56" i="1"/>
  <c r="AH56" i="1" s="1"/>
  <c r="L56" i="1" s="1"/>
  <c r="Z56" i="1"/>
  <c r="Y56" i="1"/>
  <c r="X56" i="1" s="1"/>
  <c r="Q56" i="1"/>
  <c r="AN55" i="1"/>
  <c r="AM55" i="1"/>
  <c r="AK55" i="1"/>
  <c r="AL55" i="1" s="1"/>
  <c r="AJ55" i="1"/>
  <c r="AH55" i="1" s="1"/>
  <c r="Z55" i="1"/>
  <c r="X55" i="1" s="1"/>
  <c r="Y55" i="1"/>
  <c r="Q55" i="1"/>
  <c r="AN54" i="1"/>
  <c r="AM54" i="1"/>
  <c r="AL54" i="1"/>
  <c r="AK54" i="1"/>
  <c r="AJ54" i="1"/>
  <c r="AH54" i="1"/>
  <c r="AI54" i="1" s="1"/>
  <c r="Z54" i="1"/>
  <c r="Y54" i="1"/>
  <c r="X54" i="1"/>
  <c r="T54" i="1"/>
  <c r="Q54" i="1"/>
  <c r="AN53" i="1"/>
  <c r="AM53" i="1"/>
  <c r="AK53" i="1"/>
  <c r="AL53" i="1" s="1"/>
  <c r="AJ53" i="1"/>
  <c r="AH53" i="1" s="1"/>
  <c r="Z53" i="1"/>
  <c r="X53" i="1" s="1"/>
  <c r="Y53" i="1"/>
  <c r="Q53" i="1"/>
  <c r="AN52" i="1"/>
  <c r="AM52" i="1"/>
  <c r="AL52" i="1"/>
  <c r="AK52" i="1"/>
  <c r="AJ52" i="1"/>
  <c r="AH52" i="1"/>
  <c r="K52" i="1" s="1"/>
  <c r="Z52" i="1"/>
  <c r="Y52" i="1"/>
  <c r="X52" i="1"/>
  <c r="T52" i="1"/>
  <c r="Q52" i="1"/>
  <c r="L52" i="1"/>
  <c r="AN51" i="1"/>
  <c r="AM51" i="1"/>
  <c r="AK51" i="1"/>
  <c r="AL51" i="1" s="1"/>
  <c r="AJ51" i="1"/>
  <c r="AH51" i="1" s="1"/>
  <c r="Z51" i="1"/>
  <c r="X51" i="1" s="1"/>
  <c r="Y51" i="1"/>
  <c r="Q51" i="1"/>
  <c r="AN50" i="1"/>
  <c r="AM50" i="1"/>
  <c r="AL50" i="1"/>
  <c r="AK50" i="1"/>
  <c r="AJ50" i="1"/>
  <c r="AH50" i="1"/>
  <c r="AI50" i="1" s="1"/>
  <c r="Z50" i="1"/>
  <c r="Y50" i="1"/>
  <c r="X50" i="1"/>
  <c r="T50" i="1"/>
  <c r="Q50" i="1"/>
  <c r="AN49" i="1"/>
  <c r="AM49" i="1"/>
  <c r="AK49" i="1"/>
  <c r="AL49" i="1" s="1"/>
  <c r="AJ49" i="1"/>
  <c r="AH49" i="1" s="1"/>
  <c r="Z49" i="1"/>
  <c r="Y49" i="1"/>
  <c r="X49" i="1" s="1"/>
  <c r="Q49" i="1"/>
  <c r="AN48" i="1"/>
  <c r="AM48" i="1"/>
  <c r="AL48" i="1"/>
  <c r="AK48" i="1"/>
  <c r="AJ48" i="1"/>
  <c r="AH48" i="1"/>
  <c r="K48" i="1" s="1"/>
  <c r="Z48" i="1"/>
  <c r="Y48" i="1"/>
  <c r="X48" i="1"/>
  <c r="T48" i="1"/>
  <c r="Q48" i="1"/>
  <c r="L48" i="1"/>
  <c r="AN47" i="1"/>
  <c r="AM47" i="1"/>
  <c r="AK47" i="1"/>
  <c r="AL47" i="1" s="1"/>
  <c r="AJ47" i="1"/>
  <c r="AH47" i="1" s="1"/>
  <c r="Z47" i="1"/>
  <c r="X47" i="1" s="1"/>
  <c r="Y47" i="1"/>
  <c r="Q47" i="1"/>
  <c r="AN46" i="1"/>
  <c r="AM46" i="1"/>
  <c r="AL46" i="1"/>
  <c r="AK46" i="1"/>
  <c r="AJ46" i="1"/>
  <c r="AH46" i="1"/>
  <c r="AI46" i="1" s="1"/>
  <c r="Z46" i="1"/>
  <c r="Y46" i="1"/>
  <c r="X46" i="1"/>
  <c r="T46" i="1"/>
  <c r="Q46" i="1"/>
  <c r="AN45" i="1"/>
  <c r="AM45" i="1"/>
  <c r="AK45" i="1"/>
  <c r="AL45" i="1" s="1"/>
  <c r="AJ45" i="1"/>
  <c r="AH45" i="1" s="1"/>
  <c r="Z45" i="1"/>
  <c r="Y45" i="1"/>
  <c r="X45" i="1" s="1"/>
  <c r="Q45" i="1"/>
  <c r="AN44" i="1"/>
  <c r="AM44" i="1"/>
  <c r="AL44" i="1"/>
  <c r="AK44" i="1"/>
  <c r="AJ44" i="1"/>
  <c r="AH44" i="1"/>
  <c r="K44" i="1" s="1"/>
  <c r="Z44" i="1"/>
  <c r="Y44" i="1"/>
  <c r="X44" i="1"/>
  <c r="T44" i="1"/>
  <c r="Q44" i="1"/>
  <c r="L44" i="1"/>
  <c r="AN43" i="1"/>
  <c r="AM43" i="1"/>
  <c r="AK43" i="1"/>
  <c r="AL43" i="1" s="1"/>
  <c r="AJ43" i="1"/>
  <c r="AH43" i="1" s="1"/>
  <c r="Z43" i="1"/>
  <c r="X43" i="1" s="1"/>
  <c r="Y43" i="1"/>
  <c r="Q43" i="1"/>
  <c r="AN42" i="1"/>
  <c r="AM42" i="1"/>
  <c r="AL42" i="1"/>
  <c r="AK42" i="1"/>
  <c r="AJ42" i="1"/>
  <c r="AH42" i="1"/>
  <c r="AI42" i="1" s="1"/>
  <c r="Z42" i="1"/>
  <c r="Y42" i="1"/>
  <c r="X42" i="1"/>
  <c r="T42" i="1"/>
  <c r="Q42" i="1"/>
  <c r="AN41" i="1"/>
  <c r="AM41" i="1"/>
  <c r="AK41" i="1"/>
  <c r="AL41" i="1" s="1"/>
  <c r="AJ41" i="1"/>
  <c r="AH41" i="1" s="1"/>
  <c r="Z41" i="1"/>
  <c r="Y41" i="1"/>
  <c r="X41" i="1" s="1"/>
  <c r="Q41" i="1"/>
  <c r="AN40" i="1"/>
  <c r="AM40" i="1"/>
  <c r="AL40" i="1"/>
  <c r="AK40" i="1"/>
  <c r="AJ40" i="1"/>
  <c r="AH40" i="1"/>
  <c r="K40" i="1" s="1"/>
  <c r="Z40" i="1"/>
  <c r="Y40" i="1"/>
  <c r="X40" i="1"/>
  <c r="T40" i="1"/>
  <c r="Q40" i="1"/>
  <c r="L40" i="1"/>
  <c r="AN39" i="1"/>
  <c r="AM39" i="1"/>
  <c r="AK39" i="1"/>
  <c r="AL39" i="1" s="1"/>
  <c r="AJ39" i="1"/>
  <c r="AH39" i="1" s="1"/>
  <c r="Z39" i="1"/>
  <c r="X39" i="1" s="1"/>
  <c r="Y39" i="1"/>
  <c r="Q39" i="1"/>
  <c r="AN38" i="1"/>
  <c r="AM38" i="1"/>
  <c r="AL38" i="1"/>
  <c r="AK38" i="1"/>
  <c r="AJ38" i="1"/>
  <c r="AH38" i="1"/>
  <c r="AI38" i="1" s="1"/>
  <c r="Z38" i="1"/>
  <c r="Y38" i="1"/>
  <c r="X38" i="1"/>
  <c r="T38" i="1"/>
  <c r="Q38" i="1"/>
  <c r="AN37" i="1"/>
  <c r="AM37" i="1"/>
  <c r="AK37" i="1"/>
  <c r="AL37" i="1" s="1"/>
  <c r="AJ37" i="1"/>
  <c r="AH37" i="1" s="1"/>
  <c r="Z37" i="1"/>
  <c r="Y37" i="1"/>
  <c r="X37" i="1" s="1"/>
  <c r="Q37" i="1"/>
  <c r="AN36" i="1"/>
  <c r="AM36" i="1"/>
  <c r="AL36" i="1"/>
  <c r="AK36" i="1"/>
  <c r="AJ36" i="1"/>
  <c r="AH36" i="1"/>
  <c r="K36" i="1" s="1"/>
  <c r="Z36" i="1"/>
  <c r="Y36" i="1"/>
  <c r="X36" i="1"/>
  <c r="T36" i="1"/>
  <c r="Q36" i="1"/>
  <c r="L36" i="1"/>
  <c r="AN35" i="1"/>
  <c r="AM35" i="1"/>
  <c r="AK35" i="1"/>
  <c r="AL35" i="1" s="1"/>
  <c r="AJ35" i="1"/>
  <c r="AH35" i="1" s="1"/>
  <c r="J35" i="1" s="1"/>
  <c r="I35" i="1" s="1"/>
  <c r="Z35" i="1"/>
  <c r="X35" i="1" s="1"/>
  <c r="Y35" i="1"/>
  <c r="Q35" i="1"/>
  <c r="AN34" i="1"/>
  <c r="AM34" i="1"/>
  <c r="AL34" i="1"/>
  <c r="AK34" i="1"/>
  <c r="AJ34" i="1"/>
  <c r="AH34" i="1"/>
  <c r="Z34" i="1"/>
  <c r="Y34" i="1"/>
  <c r="X34" i="1"/>
  <c r="T34" i="1"/>
  <c r="Q34" i="1"/>
  <c r="AN33" i="1"/>
  <c r="AM33" i="1"/>
  <c r="AK33" i="1"/>
  <c r="AL33" i="1" s="1"/>
  <c r="AJ33" i="1"/>
  <c r="AH33" i="1" s="1"/>
  <c r="Z33" i="1"/>
  <c r="Y33" i="1"/>
  <c r="Q33" i="1"/>
  <c r="J33" i="1"/>
  <c r="I33" i="1" s="1"/>
  <c r="AB33" i="1" s="1"/>
  <c r="AN32" i="1"/>
  <c r="AM32" i="1"/>
  <c r="AL32" i="1"/>
  <c r="AK32" i="1"/>
  <c r="AJ32" i="1"/>
  <c r="AH32" i="1"/>
  <c r="Z32" i="1"/>
  <c r="Y32" i="1"/>
  <c r="X32" i="1"/>
  <c r="T32" i="1"/>
  <c r="Q32" i="1"/>
  <c r="L32" i="1"/>
  <c r="AN31" i="1"/>
  <c r="AM31" i="1"/>
  <c r="AK31" i="1"/>
  <c r="AL31" i="1" s="1"/>
  <c r="AJ31" i="1"/>
  <c r="AH31" i="1" s="1"/>
  <c r="Z31" i="1"/>
  <c r="Y31" i="1"/>
  <c r="X31" i="1" s="1"/>
  <c r="Q31" i="1"/>
  <c r="J31" i="1"/>
  <c r="I31" i="1" s="1"/>
  <c r="AB31" i="1" s="1"/>
  <c r="AN30" i="1"/>
  <c r="AM30" i="1"/>
  <c r="AL30" i="1"/>
  <c r="AK30" i="1"/>
  <c r="AJ30" i="1"/>
  <c r="AH30" i="1"/>
  <c r="L30" i="1" s="1"/>
  <c r="Z30" i="1"/>
  <c r="Y30" i="1"/>
  <c r="X30" i="1"/>
  <c r="T30" i="1"/>
  <c r="Q30" i="1"/>
  <c r="AN29" i="1"/>
  <c r="AM29" i="1"/>
  <c r="AK29" i="1"/>
  <c r="AJ29" i="1"/>
  <c r="AH29" i="1" s="1"/>
  <c r="O29" i="1" s="1"/>
  <c r="Z29" i="1"/>
  <c r="Y29" i="1"/>
  <c r="X29" i="1" s="1"/>
  <c r="Q29" i="1"/>
  <c r="K29" i="1"/>
  <c r="AN28" i="1"/>
  <c r="AM28" i="1"/>
  <c r="AL28" i="1"/>
  <c r="AK28" i="1"/>
  <c r="AJ28" i="1"/>
  <c r="AH28" i="1"/>
  <c r="Z28" i="1"/>
  <c r="Y28" i="1"/>
  <c r="X28" i="1" s="1"/>
  <c r="T28" i="1"/>
  <c r="Q28" i="1"/>
  <c r="AN27" i="1"/>
  <c r="AM27" i="1"/>
  <c r="AK27" i="1"/>
  <c r="AJ27" i="1"/>
  <c r="AH27" i="1" s="1"/>
  <c r="Z27" i="1"/>
  <c r="Y27" i="1"/>
  <c r="Q27" i="1"/>
  <c r="AN26" i="1"/>
  <c r="AM26" i="1"/>
  <c r="AL26" i="1" s="1"/>
  <c r="AK26" i="1"/>
  <c r="AJ26" i="1"/>
  <c r="AI26" i="1"/>
  <c r="AH26" i="1"/>
  <c r="Z26" i="1"/>
  <c r="Y26" i="1"/>
  <c r="X26" i="1" s="1"/>
  <c r="T26" i="1"/>
  <c r="Q26" i="1"/>
  <c r="L26" i="1"/>
  <c r="AN25" i="1"/>
  <c r="AM25" i="1"/>
  <c r="AK25" i="1"/>
  <c r="AJ25" i="1"/>
  <c r="AH25" i="1" s="1"/>
  <c r="K25" i="1" s="1"/>
  <c r="Z25" i="1"/>
  <c r="Y25" i="1"/>
  <c r="Q25" i="1"/>
  <c r="O25" i="1"/>
  <c r="J25" i="1"/>
  <c r="I25" i="1" s="1"/>
  <c r="AB25" i="1" s="1"/>
  <c r="AN24" i="1"/>
  <c r="AM24" i="1"/>
  <c r="AL24" i="1" s="1"/>
  <c r="AK24" i="1"/>
  <c r="AJ24" i="1"/>
  <c r="AI24" i="1"/>
  <c r="AH24" i="1"/>
  <c r="Z24" i="1"/>
  <c r="Y24" i="1"/>
  <c r="X24" i="1"/>
  <c r="T24" i="1"/>
  <c r="Q24" i="1"/>
  <c r="L24" i="1"/>
  <c r="AN23" i="1"/>
  <c r="AM23" i="1"/>
  <c r="AK23" i="1"/>
  <c r="AJ23" i="1"/>
  <c r="AH23" i="1" s="1"/>
  <c r="Z23" i="1"/>
  <c r="Y23" i="1"/>
  <c r="X23" i="1" s="1"/>
  <c r="Q23" i="1"/>
  <c r="O23" i="1"/>
  <c r="K23" i="1"/>
  <c r="J23" i="1"/>
  <c r="I23" i="1" s="1"/>
  <c r="AB23" i="1" s="1"/>
  <c r="AN22" i="1"/>
  <c r="AM22" i="1"/>
  <c r="AK22" i="1"/>
  <c r="AL22" i="1" s="1"/>
  <c r="AJ22" i="1"/>
  <c r="AH22" i="1"/>
  <c r="Z22" i="1"/>
  <c r="Y22" i="1"/>
  <c r="X22" i="1"/>
  <c r="Q22" i="1"/>
  <c r="L22" i="1"/>
  <c r="K22" i="1"/>
  <c r="AN21" i="1"/>
  <c r="AM21" i="1"/>
  <c r="AK21" i="1"/>
  <c r="AJ21" i="1"/>
  <c r="AH21" i="1" s="1"/>
  <c r="L21" i="1" s="1"/>
  <c r="Z21" i="1"/>
  <c r="Y21" i="1"/>
  <c r="X21" i="1" s="1"/>
  <c r="Q21" i="1"/>
  <c r="K21" i="1"/>
  <c r="J21" i="1"/>
  <c r="I21" i="1" s="1"/>
  <c r="AN20" i="1"/>
  <c r="AM20" i="1"/>
  <c r="AL20" i="1"/>
  <c r="AK20" i="1"/>
  <c r="AJ20" i="1"/>
  <c r="AH20" i="1"/>
  <c r="L20" i="1" s="1"/>
  <c r="Z20" i="1"/>
  <c r="Y20" i="1"/>
  <c r="X20" i="1"/>
  <c r="T20" i="1"/>
  <c r="Q20" i="1"/>
  <c r="O20" i="1"/>
  <c r="AN19" i="1"/>
  <c r="AM19" i="1"/>
  <c r="AK19" i="1"/>
  <c r="AJ19" i="1"/>
  <c r="AH19" i="1" s="1"/>
  <c r="Z19" i="1"/>
  <c r="Y19" i="1"/>
  <c r="Q19" i="1"/>
  <c r="O19" i="1"/>
  <c r="K19" i="1"/>
  <c r="J19" i="1"/>
  <c r="I19" i="1" s="1"/>
  <c r="AB19" i="1" s="1"/>
  <c r="AN18" i="1"/>
  <c r="AM18" i="1"/>
  <c r="AK18" i="1"/>
  <c r="AL18" i="1" s="1"/>
  <c r="AJ18" i="1"/>
  <c r="AH18" i="1"/>
  <c r="Z18" i="1"/>
  <c r="Y18" i="1"/>
  <c r="X18" i="1" s="1"/>
  <c r="Q18" i="1"/>
  <c r="L18" i="1"/>
  <c r="AN17" i="1"/>
  <c r="AM17" i="1"/>
  <c r="AK17" i="1"/>
  <c r="AJ17" i="1"/>
  <c r="AH17" i="1" s="1"/>
  <c r="L17" i="1" s="1"/>
  <c r="AI17" i="1"/>
  <c r="Z17" i="1"/>
  <c r="Y17" i="1"/>
  <c r="X17" i="1" s="1"/>
  <c r="Q17" i="1"/>
  <c r="K17" i="1"/>
  <c r="AB35" i="1" l="1"/>
  <c r="AB21" i="1"/>
  <c r="T22" i="1"/>
  <c r="O22" i="1"/>
  <c r="J22" i="1"/>
  <c r="I22" i="1" s="1"/>
  <c r="AI23" i="1"/>
  <c r="L23" i="1"/>
  <c r="K24" i="1"/>
  <c r="J24" i="1"/>
  <c r="I24" i="1" s="1"/>
  <c r="O24" i="1"/>
  <c r="X25" i="1"/>
  <c r="AL29" i="1"/>
  <c r="T29" i="1"/>
  <c r="O37" i="1"/>
  <c r="L37" i="1"/>
  <c r="K37" i="1"/>
  <c r="J37" i="1"/>
  <c r="I37" i="1" s="1"/>
  <c r="AI37" i="1"/>
  <c r="J17" i="1"/>
  <c r="I17" i="1" s="1"/>
  <c r="AL17" i="1"/>
  <c r="T17" i="1"/>
  <c r="O21" i="1"/>
  <c r="AI22" i="1"/>
  <c r="AL23" i="1"/>
  <c r="T23" i="1"/>
  <c r="J29" i="1"/>
  <c r="I29" i="1" s="1"/>
  <c r="K32" i="1"/>
  <c r="J32" i="1"/>
  <c r="I32" i="1" s="1"/>
  <c r="U32" i="1" s="1"/>
  <c r="V32" i="1" s="1"/>
  <c r="AI32" i="1"/>
  <c r="O32" i="1"/>
  <c r="K51" i="1"/>
  <c r="J51" i="1"/>
  <c r="I51" i="1" s="1"/>
  <c r="AI51" i="1"/>
  <c r="O51" i="1"/>
  <c r="L51" i="1"/>
  <c r="AD67" i="1"/>
  <c r="W67" i="1"/>
  <c r="AA67" i="1" s="1"/>
  <c r="AI27" i="1"/>
  <c r="L27" i="1"/>
  <c r="K28" i="1"/>
  <c r="J28" i="1"/>
  <c r="I28" i="1" s="1"/>
  <c r="O28" i="1"/>
  <c r="AI34" i="1"/>
  <c r="O34" i="1"/>
  <c r="K34" i="1"/>
  <c r="J34" i="1"/>
  <c r="I34" i="1" s="1"/>
  <c r="K39" i="1"/>
  <c r="J39" i="1"/>
  <c r="I39" i="1" s="1"/>
  <c r="AI39" i="1"/>
  <c r="O39" i="1"/>
  <c r="L39" i="1"/>
  <c r="O45" i="1"/>
  <c r="L45" i="1"/>
  <c r="K45" i="1"/>
  <c r="J45" i="1"/>
  <c r="I45" i="1" s="1"/>
  <c r="AI45" i="1"/>
  <c r="T18" i="1"/>
  <c r="O18" i="1"/>
  <c r="J18" i="1"/>
  <c r="I18" i="1" s="1"/>
  <c r="AI19" i="1"/>
  <c r="L19" i="1"/>
  <c r="AL27" i="1"/>
  <c r="T27" i="1"/>
  <c r="AI28" i="1"/>
  <c r="L34" i="1"/>
  <c r="U36" i="1"/>
  <c r="V36" i="1" s="1"/>
  <c r="O17" i="1"/>
  <c r="AI18" i="1"/>
  <c r="AL19" i="1"/>
  <c r="T19" i="1"/>
  <c r="AI21" i="1"/>
  <c r="J27" i="1"/>
  <c r="I27" i="1" s="1"/>
  <c r="U28" i="1"/>
  <c r="V28" i="1" s="1"/>
  <c r="AC28" i="1" s="1"/>
  <c r="X33" i="1"/>
  <c r="AC38" i="1"/>
  <c r="K47" i="1"/>
  <c r="J47" i="1"/>
  <c r="I47" i="1" s="1"/>
  <c r="AI47" i="1"/>
  <c r="O47" i="1"/>
  <c r="L47" i="1"/>
  <c r="O53" i="1"/>
  <c r="L53" i="1"/>
  <c r="K53" i="1"/>
  <c r="J53" i="1"/>
  <c r="I53" i="1" s="1"/>
  <c r="AI53" i="1"/>
  <c r="K18" i="1"/>
  <c r="X19" i="1"/>
  <c r="L25" i="1"/>
  <c r="AI25" i="1"/>
  <c r="O26" i="1"/>
  <c r="K26" i="1"/>
  <c r="J26" i="1"/>
  <c r="I26" i="1" s="1"/>
  <c r="K27" i="1"/>
  <c r="X27" i="1"/>
  <c r="K31" i="1"/>
  <c r="AI31" i="1"/>
  <c r="O31" i="1"/>
  <c r="L31" i="1"/>
  <c r="K35" i="1"/>
  <c r="AI35" i="1"/>
  <c r="O35" i="1"/>
  <c r="L35" i="1"/>
  <c r="O41" i="1"/>
  <c r="L41" i="1"/>
  <c r="K41" i="1"/>
  <c r="J41" i="1"/>
  <c r="I41" i="1" s="1"/>
  <c r="AI41" i="1"/>
  <c r="AB72" i="1"/>
  <c r="K20" i="1"/>
  <c r="J20" i="1"/>
  <c r="I20" i="1" s="1"/>
  <c r="AL21" i="1"/>
  <c r="T21" i="1"/>
  <c r="AL25" i="1"/>
  <c r="T25" i="1"/>
  <c r="U34" i="1"/>
  <c r="V34" i="1" s="1"/>
  <c r="K55" i="1"/>
  <c r="J55" i="1"/>
  <c r="I55" i="1" s="1"/>
  <c r="AI55" i="1"/>
  <c r="O55" i="1"/>
  <c r="L55" i="1"/>
  <c r="AI20" i="1"/>
  <c r="U26" i="1"/>
  <c r="V26" i="1" s="1"/>
  <c r="AC26" i="1" s="1"/>
  <c r="O27" i="1"/>
  <c r="L28" i="1"/>
  <c r="L29" i="1"/>
  <c r="AI29" i="1"/>
  <c r="AI30" i="1"/>
  <c r="O30" i="1"/>
  <c r="K30" i="1"/>
  <c r="J30" i="1"/>
  <c r="I30" i="1" s="1"/>
  <c r="O33" i="1"/>
  <c r="L33" i="1"/>
  <c r="K33" i="1"/>
  <c r="AI33" i="1"/>
  <c r="K43" i="1"/>
  <c r="J43" i="1"/>
  <c r="I43" i="1" s="1"/>
  <c r="AI43" i="1"/>
  <c r="O43" i="1"/>
  <c r="L43" i="1"/>
  <c r="O49" i="1"/>
  <c r="L49" i="1"/>
  <c r="K49" i="1"/>
  <c r="J49" i="1"/>
  <c r="I49" i="1" s="1"/>
  <c r="AI49" i="1"/>
  <c r="T31" i="1"/>
  <c r="T35" i="1"/>
  <c r="J38" i="1"/>
  <c r="I38" i="1" s="1"/>
  <c r="T39" i="1"/>
  <c r="J42" i="1"/>
  <c r="I42" i="1" s="1"/>
  <c r="T43" i="1"/>
  <c r="J46" i="1"/>
  <c r="I46" i="1" s="1"/>
  <c r="T47" i="1"/>
  <c r="J50" i="1"/>
  <c r="I50" i="1" s="1"/>
  <c r="T51" i="1"/>
  <c r="J54" i="1"/>
  <c r="I54" i="1" s="1"/>
  <c r="T55" i="1"/>
  <c r="O56" i="1"/>
  <c r="O58" i="1"/>
  <c r="O60" i="1"/>
  <c r="O62" i="1"/>
  <c r="O64" i="1"/>
  <c r="O66" i="1"/>
  <c r="AC67" i="1"/>
  <c r="O68" i="1"/>
  <c r="L68" i="1"/>
  <c r="K77" i="1"/>
  <c r="L78" i="1"/>
  <c r="K78" i="1"/>
  <c r="O78" i="1"/>
  <c r="AI80" i="1"/>
  <c r="O80" i="1"/>
  <c r="L80" i="1"/>
  <c r="K80" i="1"/>
  <c r="K85" i="1"/>
  <c r="J85" i="1"/>
  <c r="I85" i="1" s="1"/>
  <c r="AI85" i="1"/>
  <c r="O85" i="1"/>
  <c r="AI88" i="1"/>
  <c r="O88" i="1"/>
  <c r="L88" i="1"/>
  <c r="K88" i="1"/>
  <c r="K93" i="1"/>
  <c r="J93" i="1"/>
  <c r="I93" i="1" s="1"/>
  <c r="AI93" i="1"/>
  <c r="O93" i="1"/>
  <c r="AB100" i="1"/>
  <c r="AB108" i="1"/>
  <c r="O36" i="1"/>
  <c r="K38" i="1"/>
  <c r="O40" i="1"/>
  <c r="K42" i="1"/>
  <c r="O44" i="1"/>
  <c r="K46" i="1"/>
  <c r="O48" i="1"/>
  <c r="K50" i="1"/>
  <c r="O52" i="1"/>
  <c r="K54" i="1"/>
  <c r="AL68" i="1"/>
  <c r="T75" i="1"/>
  <c r="J75" i="1"/>
  <c r="I75" i="1" s="1"/>
  <c r="AI75" i="1"/>
  <c r="AL80" i="1"/>
  <c r="X84" i="1"/>
  <c r="X92" i="1"/>
  <c r="AB98" i="1"/>
  <c r="AB101" i="1"/>
  <c r="L38" i="1"/>
  <c r="L42" i="1"/>
  <c r="L46" i="1"/>
  <c r="L50" i="1"/>
  <c r="L54" i="1"/>
  <c r="R67" i="1"/>
  <c r="P67" i="1" s="1"/>
  <c r="S67" i="1" s="1"/>
  <c r="M67" i="1" s="1"/>
  <c r="N67" i="1" s="1"/>
  <c r="AE67" i="1"/>
  <c r="U69" i="1"/>
  <c r="V69" i="1" s="1"/>
  <c r="J69" i="1"/>
  <c r="I69" i="1" s="1"/>
  <c r="AI69" i="1"/>
  <c r="O72" i="1"/>
  <c r="L72" i="1"/>
  <c r="K72" i="1"/>
  <c r="L82" i="1"/>
  <c r="K82" i="1"/>
  <c r="AI82" i="1"/>
  <c r="O82" i="1"/>
  <c r="O87" i="1"/>
  <c r="K87" i="1"/>
  <c r="J87" i="1"/>
  <c r="I87" i="1" s="1"/>
  <c r="AI87" i="1"/>
  <c r="L90" i="1"/>
  <c r="K90" i="1"/>
  <c r="AI90" i="1"/>
  <c r="O90" i="1"/>
  <c r="AB99" i="1"/>
  <c r="AI36" i="1"/>
  <c r="U38" i="1"/>
  <c r="V38" i="1" s="1"/>
  <c r="AI40" i="1"/>
  <c r="U42" i="1"/>
  <c r="V42" i="1" s="1"/>
  <c r="AC42" i="1" s="1"/>
  <c r="AI44" i="1"/>
  <c r="U46" i="1"/>
  <c r="V46" i="1" s="1"/>
  <c r="AI48" i="1"/>
  <c r="U50" i="1"/>
  <c r="V50" i="1" s="1"/>
  <c r="AI52" i="1"/>
  <c r="U54" i="1"/>
  <c r="V54" i="1" s="1"/>
  <c r="AC54" i="1" s="1"/>
  <c r="U57" i="1"/>
  <c r="V57" i="1" s="1"/>
  <c r="U59" i="1"/>
  <c r="V59" i="1" s="1"/>
  <c r="U61" i="1"/>
  <c r="V61" i="1" s="1"/>
  <c r="U63" i="1"/>
  <c r="V63" i="1" s="1"/>
  <c r="U65" i="1"/>
  <c r="V65" i="1" s="1"/>
  <c r="U85" i="1"/>
  <c r="V85" i="1" s="1"/>
  <c r="U103" i="1"/>
  <c r="V103" i="1" s="1"/>
  <c r="AC103" i="1" s="1"/>
  <c r="AB106" i="1"/>
  <c r="AB112" i="1"/>
  <c r="T33" i="1"/>
  <c r="J36" i="1"/>
  <c r="I36" i="1" s="1"/>
  <c r="T37" i="1"/>
  <c r="J40" i="1"/>
  <c r="I40" i="1" s="1"/>
  <c r="T41" i="1"/>
  <c r="J44" i="1"/>
  <c r="I44" i="1" s="1"/>
  <c r="T45" i="1"/>
  <c r="J48" i="1"/>
  <c r="I48" i="1" s="1"/>
  <c r="U48" i="1" s="1"/>
  <c r="V48" i="1" s="1"/>
  <c r="T49" i="1"/>
  <c r="J52" i="1"/>
  <c r="I52" i="1" s="1"/>
  <c r="T53" i="1"/>
  <c r="J56" i="1"/>
  <c r="I56" i="1" s="1"/>
  <c r="J58" i="1"/>
  <c r="I58" i="1" s="1"/>
  <c r="J60" i="1"/>
  <c r="I60" i="1" s="1"/>
  <c r="J62" i="1"/>
  <c r="I62" i="1" s="1"/>
  <c r="J64" i="1"/>
  <c r="I64" i="1" s="1"/>
  <c r="J66" i="1"/>
  <c r="I66" i="1" s="1"/>
  <c r="L67" i="1"/>
  <c r="AI67" i="1"/>
  <c r="K68" i="1"/>
  <c r="K69" i="1"/>
  <c r="T73" i="1"/>
  <c r="J73" i="1"/>
  <c r="I73" i="1" s="1"/>
  <c r="AI73" i="1"/>
  <c r="O76" i="1"/>
  <c r="L76" i="1"/>
  <c r="K76" i="1"/>
  <c r="K79" i="1"/>
  <c r="K81" i="1"/>
  <c r="J81" i="1"/>
  <c r="I81" i="1" s="1"/>
  <c r="AI81" i="1"/>
  <c r="O81" i="1"/>
  <c r="AI84" i="1"/>
  <c r="O84" i="1"/>
  <c r="L84" i="1"/>
  <c r="K84" i="1"/>
  <c r="K89" i="1"/>
  <c r="J89" i="1"/>
  <c r="I89" i="1" s="1"/>
  <c r="AI89" i="1"/>
  <c r="O89" i="1"/>
  <c r="AI92" i="1"/>
  <c r="O92" i="1"/>
  <c r="L92" i="1"/>
  <c r="K92" i="1"/>
  <c r="L94" i="1"/>
  <c r="K94" i="1"/>
  <c r="AI94" i="1"/>
  <c r="O94" i="1"/>
  <c r="U95" i="1"/>
  <c r="V95" i="1" s="1"/>
  <c r="AC95" i="1" s="1"/>
  <c r="AB110" i="1"/>
  <c r="AB116" i="1"/>
  <c r="O38" i="1"/>
  <c r="O42" i="1"/>
  <c r="O46" i="1"/>
  <c r="O50" i="1"/>
  <c r="O54" i="1"/>
  <c r="K56" i="1"/>
  <c r="AI56" i="1"/>
  <c r="AI57" i="1"/>
  <c r="K58" i="1"/>
  <c r="AI58" i="1"/>
  <c r="AI59" i="1"/>
  <c r="K60" i="1"/>
  <c r="AI60" i="1"/>
  <c r="AI61" i="1"/>
  <c r="K62" i="1"/>
  <c r="AI62" i="1"/>
  <c r="AI63" i="1"/>
  <c r="K64" i="1"/>
  <c r="AI64" i="1"/>
  <c r="AI65" i="1"/>
  <c r="K66" i="1"/>
  <c r="AI66" i="1"/>
  <c r="L69" i="1"/>
  <c r="L70" i="1"/>
  <c r="K70" i="1"/>
  <c r="O70" i="1"/>
  <c r="X72" i="1"/>
  <c r="AL76" i="1"/>
  <c r="J78" i="1"/>
  <c r="I78" i="1" s="1"/>
  <c r="J80" i="1"/>
  <c r="I80" i="1" s="1"/>
  <c r="U87" i="1"/>
  <c r="V87" i="1" s="1"/>
  <c r="X88" i="1"/>
  <c r="AC99" i="1"/>
  <c r="U77" i="1"/>
  <c r="V77" i="1" s="1"/>
  <c r="J77" i="1"/>
  <c r="I77" i="1" s="1"/>
  <c r="AI77" i="1"/>
  <c r="O83" i="1"/>
  <c r="K83" i="1"/>
  <c r="J83" i="1"/>
  <c r="I83" i="1" s="1"/>
  <c r="AI83" i="1"/>
  <c r="L86" i="1"/>
  <c r="K86" i="1"/>
  <c r="AI86" i="1"/>
  <c r="O86" i="1"/>
  <c r="O91" i="1"/>
  <c r="K91" i="1"/>
  <c r="J91" i="1"/>
  <c r="I91" i="1" s="1"/>
  <c r="U91" i="1" s="1"/>
  <c r="V91" i="1" s="1"/>
  <c r="AI91" i="1"/>
  <c r="AL56" i="1"/>
  <c r="T56" i="1"/>
  <c r="AL58" i="1"/>
  <c r="T58" i="1"/>
  <c r="AL60" i="1"/>
  <c r="T60" i="1"/>
  <c r="AL62" i="1"/>
  <c r="T62" i="1"/>
  <c r="AL64" i="1"/>
  <c r="T64" i="1"/>
  <c r="AL66" i="1"/>
  <c r="T66" i="1"/>
  <c r="U71" i="1"/>
  <c r="V71" i="1" s="1"/>
  <c r="J71" i="1"/>
  <c r="I71" i="1" s="1"/>
  <c r="AI71" i="1"/>
  <c r="L74" i="1"/>
  <c r="K74" i="1"/>
  <c r="O74" i="1"/>
  <c r="O79" i="1"/>
  <c r="J79" i="1"/>
  <c r="I79" i="1" s="1"/>
  <c r="U79" i="1" s="1"/>
  <c r="V79" i="1" s="1"/>
  <c r="AI79" i="1"/>
  <c r="U81" i="1"/>
  <c r="V81" i="1" s="1"/>
  <c r="U89" i="1"/>
  <c r="V89" i="1" s="1"/>
  <c r="AB96" i="1"/>
  <c r="AB102" i="1"/>
  <c r="O97" i="1"/>
  <c r="O99" i="1"/>
  <c r="O101" i="1"/>
  <c r="AL103" i="1"/>
  <c r="L104" i="1"/>
  <c r="K104" i="1"/>
  <c r="O104" i="1"/>
  <c r="X106" i="1"/>
  <c r="K113" i="1"/>
  <c r="AI114" i="1"/>
  <c r="O114" i="1"/>
  <c r="L114" i="1"/>
  <c r="K114" i="1"/>
  <c r="AI118" i="1"/>
  <c r="O118" i="1"/>
  <c r="L118" i="1"/>
  <c r="K118" i="1"/>
  <c r="AB128" i="1"/>
  <c r="AB131" i="1"/>
  <c r="T68" i="1"/>
  <c r="T72" i="1"/>
  <c r="T76" i="1"/>
  <c r="T80" i="1"/>
  <c r="T84" i="1"/>
  <c r="T88" i="1"/>
  <c r="T92" i="1"/>
  <c r="X96" i="1"/>
  <c r="AL96" i="1"/>
  <c r="T96" i="1"/>
  <c r="X98" i="1"/>
  <c r="AL98" i="1"/>
  <c r="T98" i="1"/>
  <c r="X100" i="1"/>
  <c r="AL100" i="1"/>
  <c r="T100" i="1"/>
  <c r="X102" i="1"/>
  <c r="AL102" i="1"/>
  <c r="T102" i="1"/>
  <c r="AL104" i="1"/>
  <c r="K107" i="1"/>
  <c r="T111" i="1"/>
  <c r="J111" i="1"/>
  <c r="I111" i="1" s="1"/>
  <c r="AI111" i="1"/>
  <c r="AL114" i="1"/>
  <c r="U121" i="1"/>
  <c r="V121" i="1" s="1"/>
  <c r="X122" i="1"/>
  <c r="AB123" i="1"/>
  <c r="AC126" i="1"/>
  <c r="AB137" i="1"/>
  <c r="U105" i="1"/>
  <c r="V105" i="1" s="1"/>
  <c r="AC105" i="1" s="1"/>
  <c r="J105" i="1"/>
  <c r="I105" i="1" s="1"/>
  <c r="AI105" i="1"/>
  <c r="L108" i="1"/>
  <c r="K108" i="1"/>
  <c r="O108" i="1"/>
  <c r="X110" i="1"/>
  <c r="O117" i="1"/>
  <c r="K117" i="1"/>
  <c r="J117" i="1"/>
  <c r="I117" i="1" s="1"/>
  <c r="U117" i="1" s="1"/>
  <c r="V117" i="1" s="1"/>
  <c r="AI117" i="1"/>
  <c r="L120" i="1"/>
  <c r="K120" i="1"/>
  <c r="AI120" i="1"/>
  <c r="O120" i="1"/>
  <c r="K105" i="1"/>
  <c r="J109" i="1"/>
  <c r="I109" i="1" s="1"/>
  <c r="U109" i="1" s="1"/>
  <c r="V109" i="1" s="1"/>
  <c r="AI109" i="1"/>
  <c r="L112" i="1"/>
  <c r="K112" i="1"/>
  <c r="O112" i="1"/>
  <c r="L115" i="1"/>
  <c r="K119" i="1"/>
  <c r="J119" i="1"/>
  <c r="I119" i="1" s="1"/>
  <c r="AI119" i="1"/>
  <c r="O119" i="1"/>
  <c r="AI122" i="1"/>
  <c r="O122" i="1"/>
  <c r="L122" i="1"/>
  <c r="K122" i="1"/>
  <c r="AB125" i="1"/>
  <c r="AB135" i="1"/>
  <c r="T70" i="1"/>
  <c r="T74" i="1"/>
  <c r="T78" i="1"/>
  <c r="T82" i="1"/>
  <c r="T86" i="1"/>
  <c r="T90" i="1"/>
  <c r="T94" i="1"/>
  <c r="K97" i="1"/>
  <c r="U97" i="1"/>
  <c r="V97" i="1" s="1"/>
  <c r="K99" i="1"/>
  <c r="U99" i="1"/>
  <c r="V99" i="1" s="1"/>
  <c r="K101" i="1"/>
  <c r="U101" i="1"/>
  <c r="V101" i="1" s="1"/>
  <c r="R101" i="1" s="1"/>
  <c r="P101" i="1" s="1"/>
  <c r="S101" i="1" s="1"/>
  <c r="M101" i="1" s="1"/>
  <c r="N101" i="1" s="1"/>
  <c r="J103" i="1"/>
  <c r="I103" i="1" s="1"/>
  <c r="AI103" i="1"/>
  <c r="L105" i="1"/>
  <c r="O106" i="1"/>
  <c r="L106" i="1"/>
  <c r="K106" i="1"/>
  <c r="X108" i="1"/>
  <c r="O111" i="1"/>
  <c r="AL112" i="1"/>
  <c r="J114" i="1"/>
  <c r="I114" i="1" s="1"/>
  <c r="X118" i="1"/>
  <c r="AL106" i="1"/>
  <c r="J113" i="1"/>
  <c r="I113" i="1" s="1"/>
  <c r="AI113" i="1"/>
  <c r="L116" i="1"/>
  <c r="K116" i="1"/>
  <c r="AI116" i="1"/>
  <c r="O116" i="1"/>
  <c r="O121" i="1"/>
  <c r="K121" i="1"/>
  <c r="J121" i="1"/>
  <c r="I121" i="1" s="1"/>
  <c r="AI121" i="1"/>
  <c r="R124" i="1"/>
  <c r="P124" i="1" s="1"/>
  <c r="S124" i="1" s="1"/>
  <c r="M124" i="1" s="1"/>
  <c r="N124" i="1" s="1"/>
  <c r="AB127" i="1"/>
  <c r="AB129" i="1"/>
  <c r="U107" i="1"/>
  <c r="V107" i="1" s="1"/>
  <c r="J107" i="1"/>
  <c r="I107" i="1" s="1"/>
  <c r="AI107" i="1"/>
  <c r="O110" i="1"/>
  <c r="L110" i="1"/>
  <c r="K110" i="1"/>
  <c r="K115" i="1"/>
  <c r="J115" i="1"/>
  <c r="I115" i="1" s="1"/>
  <c r="AI115" i="1"/>
  <c r="U119" i="1"/>
  <c r="V119" i="1" s="1"/>
  <c r="O124" i="1"/>
  <c r="O126" i="1"/>
  <c r="O128" i="1"/>
  <c r="K132" i="1"/>
  <c r="J136" i="1"/>
  <c r="I136" i="1" s="1"/>
  <c r="AI136" i="1"/>
  <c r="AL138" i="1"/>
  <c r="L139" i="1"/>
  <c r="K139" i="1"/>
  <c r="O139" i="1"/>
  <c r="J141" i="1"/>
  <c r="I141" i="1" s="1"/>
  <c r="AB142" i="1"/>
  <c r="AL147" i="1"/>
  <c r="T147" i="1"/>
  <c r="K148" i="1"/>
  <c r="J148" i="1"/>
  <c r="I148" i="1" s="1"/>
  <c r="AI148" i="1"/>
  <c r="O148" i="1"/>
  <c r="L148" i="1"/>
  <c r="T106" i="1"/>
  <c r="T110" i="1"/>
  <c r="T114" i="1"/>
  <c r="T118" i="1"/>
  <c r="T122" i="1"/>
  <c r="X123" i="1"/>
  <c r="AL123" i="1"/>
  <c r="T123" i="1"/>
  <c r="X125" i="1"/>
  <c r="AL125" i="1"/>
  <c r="T125" i="1"/>
  <c r="X127" i="1"/>
  <c r="AL127" i="1"/>
  <c r="T127" i="1"/>
  <c r="T130" i="1"/>
  <c r="J130" i="1"/>
  <c r="I130" i="1" s="1"/>
  <c r="AI130" i="1"/>
  <c r="O133" i="1"/>
  <c r="L133" i="1"/>
  <c r="K133" i="1"/>
  <c r="X135" i="1"/>
  <c r="AL139" i="1"/>
  <c r="AB146" i="1"/>
  <c r="T155" i="1"/>
  <c r="AL155" i="1"/>
  <c r="AL133" i="1"/>
  <c r="AI140" i="1"/>
  <c r="J140" i="1"/>
  <c r="I140" i="1" s="1"/>
  <c r="U140" i="1" s="1"/>
  <c r="V140" i="1" s="1"/>
  <c r="K141" i="1"/>
  <c r="AI141" i="1"/>
  <c r="AB145" i="1"/>
  <c r="AC150" i="1"/>
  <c r="U134" i="1"/>
  <c r="V134" i="1" s="1"/>
  <c r="AC134" i="1" s="1"/>
  <c r="J134" i="1"/>
  <c r="I134" i="1" s="1"/>
  <c r="AI134" i="1"/>
  <c r="O137" i="1"/>
  <c r="L137" i="1"/>
  <c r="K137" i="1"/>
  <c r="U142" i="1"/>
  <c r="V142" i="1" s="1"/>
  <c r="AC142" i="1" s="1"/>
  <c r="L149" i="1"/>
  <c r="K149" i="1"/>
  <c r="AI149" i="1"/>
  <c r="J149" i="1"/>
  <c r="I149" i="1" s="1"/>
  <c r="O149" i="1"/>
  <c r="L131" i="1"/>
  <c r="K131" i="1"/>
  <c r="O131" i="1"/>
  <c r="AL142" i="1"/>
  <c r="T143" i="1"/>
  <c r="AL143" i="1"/>
  <c r="U146" i="1"/>
  <c r="V146" i="1" s="1"/>
  <c r="R146" i="1" s="1"/>
  <c r="P146" i="1" s="1"/>
  <c r="S146" i="1" s="1"/>
  <c r="M146" i="1" s="1"/>
  <c r="N146" i="1" s="1"/>
  <c r="AL151" i="1"/>
  <c r="T151" i="1"/>
  <c r="T104" i="1"/>
  <c r="T108" i="1"/>
  <c r="T112" i="1"/>
  <c r="T116" i="1"/>
  <c r="T120" i="1"/>
  <c r="K124" i="1"/>
  <c r="U124" i="1"/>
  <c r="V124" i="1" s="1"/>
  <c r="AC124" i="1" s="1"/>
  <c r="K126" i="1"/>
  <c r="U126" i="1"/>
  <c r="V126" i="1" s="1"/>
  <c r="K128" i="1"/>
  <c r="U128" i="1"/>
  <c r="V128" i="1" s="1"/>
  <c r="AI129" i="1"/>
  <c r="AL131" i="1"/>
  <c r="K134" i="1"/>
  <c r="J138" i="1"/>
  <c r="I138" i="1" s="1"/>
  <c r="AI138" i="1"/>
  <c r="L140" i="1"/>
  <c r="U141" i="1"/>
  <c r="V141" i="1" s="1"/>
  <c r="K144" i="1"/>
  <c r="AI144" i="1"/>
  <c r="L144" i="1"/>
  <c r="J144" i="1"/>
  <c r="I144" i="1" s="1"/>
  <c r="R153" i="1"/>
  <c r="P153" i="1" s="1"/>
  <c r="S153" i="1" s="1"/>
  <c r="T159" i="1"/>
  <c r="AL159" i="1"/>
  <c r="U132" i="1"/>
  <c r="V132" i="1" s="1"/>
  <c r="J132" i="1"/>
  <c r="I132" i="1" s="1"/>
  <c r="AI132" i="1"/>
  <c r="L134" i="1"/>
  <c r="L135" i="1"/>
  <c r="K135" i="1"/>
  <c r="O135" i="1"/>
  <c r="X137" i="1"/>
  <c r="O140" i="1"/>
  <c r="X142" i="1"/>
  <c r="O150" i="1"/>
  <c r="K150" i="1"/>
  <c r="AI150" i="1"/>
  <c r="J150" i="1"/>
  <c r="I150" i="1" s="1"/>
  <c r="R167" i="1"/>
  <c r="P167" i="1" s="1"/>
  <c r="S167" i="1" s="1"/>
  <c r="M167" i="1" s="1"/>
  <c r="N167" i="1" s="1"/>
  <c r="AB167" i="1"/>
  <c r="K142" i="1"/>
  <c r="AI142" i="1"/>
  <c r="U163" i="1"/>
  <c r="V163" i="1" s="1"/>
  <c r="O182" i="1"/>
  <c r="L182" i="1"/>
  <c r="AI182" i="1"/>
  <c r="T129" i="1"/>
  <c r="T133" i="1"/>
  <c r="T137" i="1"/>
  <c r="L142" i="1"/>
  <c r="AI143" i="1"/>
  <c r="O143" i="1"/>
  <c r="U145" i="1"/>
  <c r="V145" i="1" s="1"/>
  <c r="R145" i="1" s="1"/>
  <c r="P145" i="1" s="1"/>
  <c r="S145" i="1" s="1"/>
  <c r="M145" i="1" s="1"/>
  <c r="N145" i="1" s="1"/>
  <c r="U153" i="1"/>
  <c r="V153" i="1" s="1"/>
  <c r="AI155" i="1"/>
  <c r="O155" i="1"/>
  <c r="J155" i="1"/>
  <c r="I155" i="1" s="1"/>
  <c r="AI159" i="1"/>
  <c r="O159" i="1"/>
  <c r="J159" i="1"/>
  <c r="I159" i="1" s="1"/>
  <c r="AL182" i="1"/>
  <c r="T182" i="1"/>
  <c r="AB187" i="1"/>
  <c r="AB225" i="1"/>
  <c r="U161" i="1"/>
  <c r="V161" i="1" s="1"/>
  <c r="AC161" i="1" s="1"/>
  <c r="L169" i="1"/>
  <c r="K169" i="1"/>
  <c r="O169" i="1"/>
  <c r="J169" i="1"/>
  <c r="I169" i="1" s="1"/>
  <c r="L185" i="1"/>
  <c r="J185" i="1"/>
  <c r="I185" i="1" s="1"/>
  <c r="O185" i="1"/>
  <c r="AI185" i="1"/>
  <c r="K185" i="1"/>
  <c r="O154" i="1"/>
  <c r="K154" i="1"/>
  <c r="O158" i="1"/>
  <c r="L158" i="1"/>
  <c r="K158" i="1"/>
  <c r="AB174" i="1"/>
  <c r="AB182" i="1"/>
  <c r="AL185" i="1"/>
  <c r="T185" i="1"/>
  <c r="L145" i="1"/>
  <c r="U149" i="1"/>
  <c r="V149" i="1" s="1"/>
  <c r="L153" i="1"/>
  <c r="K153" i="1"/>
  <c r="AI153" i="1"/>
  <c r="L154" i="1"/>
  <c r="J158" i="1"/>
  <c r="I158" i="1" s="1"/>
  <c r="AD166" i="1"/>
  <c r="AE166" i="1" s="1"/>
  <c r="W166" i="1"/>
  <c r="AA166" i="1" s="1"/>
  <c r="U167" i="1"/>
  <c r="V167" i="1" s="1"/>
  <c r="U179" i="1"/>
  <c r="V179" i="1" s="1"/>
  <c r="K182" i="1"/>
  <c r="T131" i="1"/>
  <c r="T135" i="1"/>
  <c r="T139" i="1"/>
  <c r="U150" i="1"/>
  <c r="V150" i="1" s="1"/>
  <c r="K152" i="1"/>
  <c r="J152" i="1"/>
  <c r="I152" i="1" s="1"/>
  <c r="AI152" i="1"/>
  <c r="O152" i="1"/>
  <c r="L152" i="1"/>
  <c r="AC153" i="1"/>
  <c r="L157" i="1"/>
  <c r="K157" i="1"/>
  <c r="J157" i="1"/>
  <c r="I157" i="1" s="1"/>
  <c r="U157" i="1" s="1"/>
  <c r="V157" i="1" s="1"/>
  <c r="AI157" i="1"/>
  <c r="AC158" i="1"/>
  <c r="L161" i="1"/>
  <c r="K161" i="1"/>
  <c r="J161" i="1"/>
  <c r="I161" i="1" s="1"/>
  <c r="AI161" i="1"/>
  <c r="R179" i="1"/>
  <c r="P179" i="1" s="1"/>
  <c r="S179" i="1" s="1"/>
  <c r="M179" i="1" s="1"/>
  <c r="N179" i="1" s="1"/>
  <c r="AL189" i="1"/>
  <c r="T189" i="1"/>
  <c r="K145" i="1"/>
  <c r="AI145" i="1"/>
  <c r="O146" i="1"/>
  <c r="K146" i="1"/>
  <c r="J147" i="1"/>
  <c r="I147" i="1" s="1"/>
  <c r="J151" i="1"/>
  <c r="I151" i="1" s="1"/>
  <c r="L156" i="1"/>
  <c r="L160" i="1"/>
  <c r="AL164" i="1"/>
  <c r="T164" i="1"/>
  <c r="X170" i="1"/>
  <c r="T174" i="1"/>
  <c r="L177" i="1"/>
  <c r="K177" i="1"/>
  <c r="J177" i="1"/>
  <c r="I177" i="1" s="1"/>
  <c r="O177" i="1"/>
  <c r="T184" i="1"/>
  <c r="AL184" i="1"/>
  <c r="AL191" i="1"/>
  <c r="T191" i="1"/>
  <c r="O156" i="1"/>
  <c r="O160" i="1"/>
  <c r="T162" i="1"/>
  <c r="K163" i="1"/>
  <c r="AL169" i="1"/>
  <c r="AC170" i="1"/>
  <c r="X178" i="1"/>
  <c r="L181" i="1"/>
  <c r="K181" i="1"/>
  <c r="J181" i="1"/>
  <c r="I181" i="1" s="1"/>
  <c r="O181" i="1"/>
  <c r="L183" i="1"/>
  <c r="J183" i="1"/>
  <c r="I183" i="1" s="1"/>
  <c r="O183" i="1"/>
  <c r="AI183" i="1"/>
  <c r="K183" i="1"/>
  <c r="AB186" i="1"/>
  <c r="L208" i="1"/>
  <c r="O208" i="1"/>
  <c r="K208" i="1"/>
  <c r="J208" i="1"/>
  <c r="I208" i="1" s="1"/>
  <c r="AI208" i="1"/>
  <c r="AB216" i="1"/>
  <c r="L173" i="1"/>
  <c r="K173" i="1"/>
  <c r="O173" i="1"/>
  <c r="AL183" i="1"/>
  <c r="T183" i="1"/>
  <c r="AI194" i="1"/>
  <c r="O194" i="1"/>
  <c r="L194" i="1"/>
  <c r="J194" i="1"/>
  <c r="I194" i="1" s="1"/>
  <c r="K194" i="1"/>
  <c r="O147" i="1"/>
  <c r="O151" i="1"/>
  <c r="U154" i="1"/>
  <c r="V154" i="1" s="1"/>
  <c r="AI156" i="1"/>
  <c r="U158" i="1"/>
  <c r="V158" i="1" s="1"/>
  <c r="AI160" i="1"/>
  <c r="AI163" i="1"/>
  <c r="L164" i="1"/>
  <c r="J164" i="1"/>
  <c r="I164" i="1" s="1"/>
  <c r="K165" i="1"/>
  <c r="AI165" i="1"/>
  <c r="AI167" i="1"/>
  <c r="L168" i="1"/>
  <c r="J168" i="1"/>
  <c r="I168" i="1" s="1"/>
  <c r="AI168" i="1"/>
  <c r="J173" i="1"/>
  <c r="I173" i="1" s="1"/>
  <c r="AI173" i="1"/>
  <c r="O174" i="1"/>
  <c r="AI174" i="1"/>
  <c r="AB184" i="1"/>
  <c r="AL194" i="1"/>
  <c r="T194" i="1"/>
  <c r="J156" i="1"/>
  <c r="I156" i="1" s="1"/>
  <c r="J160" i="1"/>
  <c r="I160" i="1" s="1"/>
  <c r="U170" i="1"/>
  <c r="V170" i="1" s="1"/>
  <c r="J175" i="1"/>
  <c r="I175" i="1" s="1"/>
  <c r="AI175" i="1"/>
  <c r="O175" i="1"/>
  <c r="K175" i="1"/>
  <c r="O178" i="1"/>
  <c r="L178" i="1"/>
  <c r="AI178" i="1"/>
  <c r="X182" i="1"/>
  <c r="AL186" i="1"/>
  <c r="T186" i="1"/>
  <c r="AB188" i="1"/>
  <c r="O163" i="1"/>
  <c r="O165" i="1"/>
  <c r="AL165" i="1"/>
  <c r="T165" i="1"/>
  <c r="AL168" i="1"/>
  <c r="T168" i="1"/>
  <c r="J171" i="1"/>
  <c r="I171" i="1" s="1"/>
  <c r="AI171" i="1"/>
  <c r="O171" i="1"/>
  <c r="K171" i="1"/>
  <c r="L172" i="1"/>
  <c r="K172" i="1"/>
  <c r="J172" i="1"/>
  <c r="I172" i="1" s="1"/>
  <c r="AI172" i="1"/>
  <c r="U175" i="1"/>
  <c r="V175" i="1" s="1"/>
  <c r="AL178" i="1"/>
  <c r="T178" i="1"/>
  <c r="AL190" i="1"/>
  <c r="T190" i="1"/>
  <c r="J191" i="1"/>
  <c r="I191" i="1" s="1"/>
  <c r="AI191" i="1"/>
  <c r="L191" i="1"/>
  <c r="O191" i="1"/>
  <c r="K191" i="1"/>
  <c r="O197" i="1"/>
  <c r="L197" i="1"/>
  <c r="K197" i="1"/>
  <c r="J197" i="1"/>
  <c r="I197" i="1" s="1"/>
  <c r="AI197" i="1"/>
  <c r="L189" i="1"/>
  <c r="J189" i="1"/>
  <c r="I189" i="1" s="1"/>
  <c r="R203" i="1"/>
  <c r="P203" i="1" s="1"/>
  <c r="S203" i="1" s="1"/>
  <c r="AB203" i="1"/>
  <c r="K195" i="1"/>
  <c r="J195" i="1"/>
  <c r="I195" i="1" s="1"/>
  <c r="AI195" i="1"/>
  <c r="O195" i="1"/>
  <c r="L195" i="1"/>
  <c r="AI198" i="1"/>
  <c r="O198" i="1"/>
  <c r="L198" i="1"/>
  <c r="J198" i="1"/>
  <c r="I198" i="1" s="1"/>
  <c r="O201" i="1"/>
  <c r="L201" i="1"/>
  <c r="K201" i="1"/>
  <c r="J201" i="1"/>
  <c r="I201" i="1" s="1"/>
  <c r="U203" i="1"/>
  <c r="V203" i="1" s="1"/>
  <c r="L204" i="1"/>
  <c r="O204" i="1"/>
  <c r="AI204" i="1"/>
  <c r="J204" i="1"/>
  <c r="I204" i="1" s="1"/>
  <c r="U205" i="1"/>
  <c r="V205" i="1" s="1"/>
  <c r="AI176" i="1"/>
  <c r="AI180" i="1"/>
  <c r="AL198" i="1"/>
  <c r="T198" i="1"/>
  <c r="AC203" i="1"/>
  <c r="U213" i="1"/>
  <c r="V213" i="1" s="1"/>
  <c r="T169" i="1"/>
  <c r="T173" i="1"/>
  <c r="J176" i="1"/>
  <c r="I176" i="1" s="1"/>
  <c r="T177" i="1"/>
  <c r="J180" i="1"/>
  <c r="I180" i="1" s="1"/>
  <c r="T181" i="1"/>
  <c r="K198" i="1"/>
  <c r="K199" i="1"/>
  <c r="J199" i="1"/>
  <c r="I199" i="1" s="1"/>
  <c r="AI199" i="1"/>
  <c r="O199" i="1"/>
  <c r="L199" i="1"/>
  <c r="AB217" i="1"/>
  <c r="K176" i="1"/>
  <c r="K180" i="1"/>
  <c r="K184" i="1"/>
  <c r="K186" i="1"/>
  <c r="AL187" i="1"/>
  <c r="T187" i="1"/>
  <c r="K189" i="1"/>
  <c r="AL199" i="1"/>
  <c r="K204" i="1"/>
  <c r="R209" i="1"/>
  <c r="P209" i="1" s="1"/>
  <c r="S209" i="1" s="1"/>
  <c r="M209" i="1" s="1"/>
  <c r="N209" i="1" s="1"/>
  <c r="U209" i="1"/>
  <c r="V209" i="1" s="1"/>
  <c r="AC209" i="1" s="1"/>
  <c r="T172" i="1"/>
  <c r="T176" i="1"/>
  <c r="T180" i="1"/>
  <c r="X187" i="1"/>
  <c r="O189" i="1"/>
  <c r="AI189" i="1"/>
  <c r="L193" i="1"/>
  <c r="J193" i="1"/>
  <c r="I193" i="1" s="1"/>
  <c r="R213" i="1"/>
  <c r="P213" i="1" s="1"/>
  <c r="S213" i="1" s="1"/>
  <c r="M213" i="1" s="1"/>
  <c r="N213" i="1" s="1"/>
  <c r="AB213" i="1"/>
  <c r="O220" i="1"/>
  <c r="L220" i="1"/>
  <c r="K220" i="1"/>
  <c r="AI220" i="1"/>
  <c r="J220" i="1"/>
  <c r="I220" i="1" s="1"/>
  <c r="U221" i="1"/>
  <c r="V221" i="1" s="1"/>
  <c r="J190" i="1"/>
  <c r="I190" i="1" s="1"/>
  <c r="T195" i="1"/>
  <c r="T199" i="1"/>
  <c r="J202" i="1"/>
  <c r="I202" i="1" s="1"/>
  <c r="L212" i="1"/>
  <c r="K212" i="1"/>
  <c r="AI212" i="1"/>
  <c r="AC213" i="1"/>
  <c r="AC221" i="1"/>
  <c r="L202" i="1"/>
  <c r="AL204" i="1"/>
  <c r="T204" i="1"/>
  <c r="AL208" i="1"/>
  <c r="T208" i="1"/>
  <c r="L214" i="1"/>
  <c r="K214" i="1"/>
  <c r="J214" i="1"/>
  <c r="I214" i="1" s="1"/>
  <c r="AI214" i="1"/>
  <c r="O214" i="1"/>
  <c r="L222" i="1"/>
  <c r="K222" i="1"/>
  <c r="J222" i="1"/>
  <c r="I222" i="1" s="1"/>
  <c r="AI222" i="1"/>
  <c r="O222" i="1"/>
  <c r="L211" i="1"/>
  <c r="K211" i="1"/>
  <c r="J211" i="1"/>
  <c r="I211" i="1" s="1"/>
  <c r="AI211" i="1"/>
  <c r="O211" i="1"/>
  <c r="L215" i="1"/>
  <c r="K215" i="1"/>
  <c r="J215" i="1"/>
  <c r="I215" i="1" s="1"/>
  <c r="AI215" i="1"/>
  <c r="O215" i="1"/>
  <c r="L223" i="1"/>
  <c r="K223" i="1"/>
  <c r="J223" i="1"/>
  <c r="I223" i="1" s="1"/>
  <c r="AI223" i="1"/>
  <c r="O223" i="1"/>
  <c r="L227" i="1"/>
  <c r="K227" i="1"/>
  <c r="J227" i="1"/>
  <c r="I227" i="1" s="1"/>
  <c r="AI227" i="1"/>
  <c r="O227" i="1"/>
  <c r="L231" i="1"/>
  <c r="K231" i="1"/>
  <c r="J231" i="1"/>
  <c r="I231" i="1" s="1"/>
  <c r="U231" i="1" s="1"/>
  <c r="V231" i="1" s="1"/>
  <c r="AI231" i="1"/>
  <c r="O231" i="1"/>
  <c r="J192" i="1"/>
  <c r="I192" i="1" s="1"/>
  <c r="T193" i="1"/>
  <c r="J196" i="1"/>
  <c r="I196" i="1" s="1"/>
  <c r="T197" i="1"/>
  <c r="J200" i="1"/>
  <c r="I200" i="1" s="1"/>
  <c r="T201" i="1"/>
  <c r="AL203" i="1"/>
  <c r="X208" i="1"/>
  <c r="U230" i="1"/>
  <c r="V230" i="1" s="1"/>
  <c r="AC230" i="1" s="1"/>
  <c r="O202" i="1"/>
  <c r="R205" i="1"/>
  <c r="P205" i="1" s="1"/>
  <c r="S205" i="1" s="1"/>
  <c r="M205" i="1" s="1"/>
  <c r="N205" i="1" s="1"/>
  <c r="L206" i="1"/>
  <c r="J206" i="1"/>
  <c r="I206" i="1" s="1"/>
  <c r="O216" i="1"/>
  <c r="L216" i="1"/>
  <c r="K216" i="1"/>
  <c r="AI216" i="1"/>
  <c r="U217" i="1"/>
  <c r="V217" i="1" s="1"/>
  <c r="AC217" i="1" s="1"/>
  <c r="R221" i="1"/>
  <c r="P221" i="1" s="1"/>
  <c r="S221" i="1" s="1"/>
  <c r="M221" i="1" s="1"/>
  <c r="N221" i="1" s="1"/>
  <c r="O224" i="1"/>
  <c r="L224" i="1"/>
  <c r="K224" i="1"/>
  <c r="AI224" i="1"/>
  <c r="U225" i="1"/>
  <c r="V225" i="1" s="1"/>
  <c r="O228" i="1"/>
  <c r="L228" i="1"/>
  <c r="K228" i="1"/>
  <c r="AI228" i="1"/>
  <c r="U229" i="1"/>
  <c r="V229" i="1" s="1"/>
  <c r="R229" i="1" s="1"/>
  <c r="P229" i="1" s="1"/>
  <c r="S229" i="1" s="1"/>
  <c r="M229" i="1" s="1"/>
  <c r="N229" i="1" s="1"/>
  <c r="T188" i="1"/>
  <c r="T192" i="1"/>
  <c r="T196" i="1"/>
  <c r="T200" i="1"/>
  <c r="L203" i="1"/>
  <c r="AL206" i="1"/>
  <c r="T206" i="1"/>
  <c r="L207" i="1"/>
  <c r="J207" i="1"/>
  <c r="I207" i="1" s="1"/>
  <c r="L210" i="1"/>
  <c r="J210" i="1"/>
  <c r="I210" i="1" s="1"/>
  <c r="AI210" i="1"/>
  <c r="L218" i="1"/>
  <c r="K218" i="1"/>
  <c r="J218" i="1"/>
  <c r="I218" i="1" s="1"/>
  <c r="AI218" i="1"/>
  <c r="O218" i="1"/>
  <c r="AL210" i="1"/>
  <c r="T210" i="1"/>
  <c r="L219" i="1"/>
  <c r="K219" i="1"/>
  <c r="J219" i="1"/>
  <c r="I219" i="1" s="1"/>
  <c r="AI219" i="1"/>
  <c r="O219" i="1"/>
  <c r="T212" i="1"/>
  <c r="T216" i="1"/>
  <c r="T220" i="1"/>
  <c r="T224" i="1"/>
  <c r="T228" i="1"/>
  <c r="AI230" i="1"/>
  <c r="T207" i="1"/>
  <c r="T211" i="1"/>
  <c r="T215" i="1"/>
  <c r="T219" i="1"/>
  <c r="T223" i="1"/>
  <c r="J226" i="1"/>
  <c r="I226" i="1" s="1"/>
  <c r="T227" i="1"/>
  <c r="J230" i="1"/>
  <c r="I230" i="1" s="1"/>
  <c r="AI229" i="1"/>
  <c r="K230" i="1"/>
  <c r="T214" i="1"/>
  <c r="T218" i="1"/>
  <c r="T222" i="1"/>
  <c r="T226" i="1"/>
  <c r="AD231" i="1" l="1"/>
  <c r="W231" i="1"/>
  <c r="AA231" i="1" s="1"/>
  <c r="AC231" i="1"/>
  <c r="AD140" i="1"/>
  <c r="W140" i="1"/>
  <c r="AA140" i="1" s="1"/>
  <c r="AC140" i="1"/>
  <c r="AD157" i="1"/>
  <c r="AE157" i="1" s="1"/>
  <c r="W157" i="1"/>
  <c r="AA157" i="1" s="1"/>
  <c r="AC157" i="1"/>
  <c r="W91" i="1"/>
  <c r="AA91" i="1" s="1"/>
  <c r="AD91" i="1"/>
  <c r="AC91" i="1"/>
  <c r="W32" i="1"/>
  <c r="AA32" i="1" s="1"/>
  <c r="AD32" i="1"/>
  <c r="AC32" i="1"/>
  <c r="W48" i="1"/>
  <c r="AA48" i="1" s="1"/>
  <c r="AD48" i="1"/>
  <c r="AC48" i="1"/>
  <c r="W117" i="1"/>
  <c r="AA117" i="1" s="1"/>
  <c r="AD117" i="1"/>
  <c r="AC117" i="1"/>
  <c r="W79" i="1"/>
  <c r="AA79" i="1" s="1"/>
  <c r="AD79" i="1"/>
  <c r="AE79" i="1" s="1"/>
  <c r="AC79" i="1"/>
  <c r="AD109" i="1"/>
  <c r="W109" i="1"/>
  <c r="AA109" i="1" s="1"/>
  <c r="AC109" i="1"/>
  <c r="U215" i="1"/>
  <c r="V215" i="1" s="1"/>
  <c r="U108" i="1"/>
  <c r="V108" i="1" s="1"/>
  <c r="AB29" i="1"/>
  <c r="U218" i="1"/>
  <c r="V218" i="1" s="1"/>
  <c r="U219" i="1"/>
  <c r="V219" i="1" s="1"/>
  <c r="U216" i="1"/>
  <c r="V216" i="1" s="1"/>
  <c r="U193" i="1"/>
  <c r="V193" i="1" s="1"/>
  <c r="U195" i="1"/>
  <c r="V195" i="1" s="1"/>
  <c r="AB199" i="1"/>
  <c r="U173" i="1"/>
  <c r="V173" i="1" s="1"/>
  <c r="R195" i="1"/>
  <c r="P195" i="1" s="1"/>
  <c r="S195" i="1" s="1"/>
  <c r="M195" i="1" s="1"/>
  <c r="N195" i="1" s="1"/>
  <c r="AB195" i="1"/>
  <c r="U178" i="1"/>
  <c r="V178" i="1" s="1"/>
  <c r="AB160" i="1"/>
  <c r="AB181" i="1"/>
  <c r="R181" i="1"/>
  <c r="P181" i="1" s="1"/>
  <c r="S181" i="1" s="1"/>
  <c r="M181" i="1" s="1"/>
  <c r="N181" i="1" s="1"/>
  <c r="U184" i="1"/>
  <c r="V184" i="1" s="1"/>
  <c r="U164" i="1"/>
  <c r="V164" i="1" s="1"/>
  <c r="AC145" i="1"/>
  <c r="U131" i="1"/>
  <c r="V131" i="1" s="1"/>
  <c r="AB169" i="1"/>
  <c r="U137" i="1"/>
  <c r="V137" i="1" s="1"/>
  <c r="W163" i="1"/>
  <c r="AA163" i="1" s="1"/>
  <c r="AD163" i="1"/>
  <c r="AE163" i="1" s="1"/>
  <c r="AC163" i="1"/>
  <c r="AD132" i="1"/>
  <c r="W132" i="1"/>
  <c r="AA132" i="1" s="1"/>
  <c r="AD128" i="1"/>
  <c r="W128" i="1"/>
  <c r="AA128" i="1" s="1"/>
  <c r="U112" i="1"/>
  <c r="V112" i="1" s="1"/>
  <c r="U160" i="1"/>
  <c r="V160" i="1" s="1"/>
  <c r="AB130" i="1"/>
  <c r="U123" i="1"/>
  <c r="V123" i="1" s="1"/>
  <c r="AD99" i="1"/>
  <c r="AE99" i="1" s="1"/>
  <c r="W99" i="1"/>
  <c r="AA99" i="1" s="1"/>
  <c r="U78" i="1"/>
  <c r="V78" i="1" s="1"/>
  <c r="R78" i="1" s="1"/>
  <c r="P78" i="1" s="1"/>
  <c r="S78" i="1" s="1"/>
  <c r="M78" i="1" s="1"/>
  <c r="N78" i="1" s="1"/>
  <c r="R119" i="1"/>
  <c r="P119" i="1" s="1"/>
  <c r="S119" i="1" s="1"/>
  <c r="M119" i="1" s="1"/>
  <c r="N119" i="1" s="1"/>
  <c r="AB119" i="1"/>
  <c r="R105" i="1"/>
  <c r="P105" i="1" s="1"/>
  <c r="S105" i="1" s="1"/>
  <c r="M105" i="1" s="1"/>
  <c r="N105" i="1" s="1"/>
  <c r="AB105" i="1"/>
  <c r="U68" i="1"/>
  <c r="V68" i="1" s="1"/>
  <c r="AD71" i="1"/>
  <c r="W71" i="1"/>
  <c r="AA71" i="1" s="1"/>
  <c r="AB78" i="1"/>
  <c r="AB56" i="1"/>
  <c r="AB40" i="1"/>
  <c r="W50" i="1"/>
  <c r="AA50" i="1" s="1"/>
  <c r="AD50" i="1"/>
  <c r="R95" i="1"/>
  <c r="P95" i="1" s="1"/>
  <c r="S95" i="1" s="1"/>
  <c r="M95" i="1" s="1"/>
  <c r="N95" i="1" s="1"/>
  <c r="AB42" i="1"/>
  <c r="R42" i="1"/>
  <c r="P42" i="1" s="1"/>
  <c r="S42" i="1" s="1"/>
  <c r="M42" i="1" s="1"/>
  <c r="N42" i="1" s="1"/>
  <c r="AB43" i="1"/>
  <c r="U21" i="1"/>
  <c r="V21" i="1" s="1"/>
  <c r="AC50" i="1"/>
  <c r="AB51" i="1"/>
  <c r="AB227" i="1"/>
  <c r="W154" i="1"/>
  <c r="AA154" i="1" s="1"/>
  <c r="AD154" i="1"/>
  <c r="R154" i="1"/>
  <c r="P154" i="1" s="1"/>
  <c r="S154" i="1" s="1"/>
  <c r="M154" i="1" s="1"/>
  <c r="N154" i="1" s="1"/>
  <c r="U182" i="1"/>
  <c r="V182" i="1" s="1"/>
  <c r="U130" i="1"/>
  <c r="V130" i="1" s="1"/>
  <c r="AB136" i="1"/>
  <c r="R109" i="1"/>
  <c r="P109" i="1" s="1"/>
  <c r="S109" i="1" s="1"/>
  <c r="M109" i="1" s="1"/>
  <c r="N109" i="1" s="1"/>
  <c r="AB109" i="1"/>
  <c r="W89" i="1"/>
  <c r="AA89" i="1" s="1"/>
  <c r="AD89" i="1"/>
  <c r="AC89" i="1"/>
  <c r="R83" i="1"/>
  <c r="P83" i="1" s="1"/>
  <c r="S83" i="1" s="1"/>
  <c r="M83" i="1" s="1"/>
  <c r="N83" i="1" s="1"/>
  <c r="AB83" i="1"/>
  <c r="U53" i="1"/>
  <c r="V53" i="1" s="1"/>
  <c r="AB93" i="1"/>
  <c r="U55" i="1"/>
  <c r="V55" i="1" s="1"/>
  <c r="U211" i="1"/>
  <c r="V211" i="1" s="1"/>
  <c r="U210" i="1"/>
  <c r="V210" i="1" s="1"/>
  <c r="U200" i="1"/>
  <c r="V200" i="1" s="1"/>
  <c r="AB206" i="1"/>
  <c r="AB222" i="1"/>
  <c r="W221" i="1"/>
  <c r="AA221" i="1" s="1"/>
  <c r="AD221" i="1"/>
  <c r="AE221" i="1" s="1"/>
  <c r="W213" i="1"/>
  <c r="AA213" i="1" s="1"/>
  <c r="AD213" i="1"/>
  <c r="AE213" i="1" s="1"/>
  <c r="AD203" i="1"/>
  <c r="AE203" i="1" s="1"/>
  <c r="W203" i="1"/>
  <c r="AA203" i="1" s="1"/>
  <c r="AB197" i="1"/>
  <c r="AB191" i="1"/>
  <c r="W175" i="1"/>
  <c r="AA175" i="1" s="1"/>
  <c r="AD175" i="1"/>
  <c r="AC175" i="1"/>
  <c r="U194" i="1"/>
  <c r="V194" i="1" s="1"/>
  <c r="U183" i="1"/>
  <c r="V183" i="1" s="1"/>
  <c r="AB157" i="1"/>
  <c r="R157" i="1"/>
  <c r="P157" i="1" s="1"/>
  <c r="S157" i="1" s="1"/>
  <c r="M157" i="1" s="1"/>
  <c r="N157" i="1" s="1"/>
  <c r="AB152" i="1"/>
  <c r="U152" i="1"/>
  <c r="V152" i="1" s="1"/>
  <c r="R163" i="1"/>
  <c r="P163" i="1" s="1"/>
  <c r="S163" i="1" s="1"/>
  <c r="M163" i="1" s="1"/>
  <c r="N163" i="1" s="1"/>
  <c r="AD153" i="1"/>
  <c r="AE153" i="1" s="1"/>
  <c r="W153" i="1"/>
  <c r="AA153" i="1" s="1"/>
  <c r="U129" i="1"/>
  <c r="V129" i="1" s="1"/>
  <c r="AC146" i="1"/>
  <c r="R150" i="1"/>
  <c r="P150" i="1" s="1"/>
  <c r="S150" i="1" s="1"/>
  <c r="M150" i="1" s="1"/>
  <c r="N150" i="1" s="1"/>
  <c r="AB150" i="1"/>
  <c r="U159" i="1"/>
  <c r="V159" i="1" s="1"/>
  <c r="AD126" i="1"/>
  <c r="AE126" i="1" s="1"/>
  <c r="W126" i="1"/>
  <c r="AA126" i="1" s="1"/>
  <c r="U104" i="1"/>
  <c r="V104" i="1" s="1"/>
  <c r="AB149" i="1"/>
  <c r="R149" i="1"/>
  <c r="P149" i="1" s="1"/>
  <c r="S149" i="1" s="1"/>
  <c r="M149" i="1" s="1"/>
  <c r="N149" i="1" s="1"/>
  <c r="U127" i="1"/>
  <c r="V127" i="1" s="1"/>
  <c r="R107" i="1"/>
  <c r="P107" i="1" s="1"/>
  <c r="S107" i="1" s="1"/>
  <c r="M107" i="1" s="1"/>
  <c r="N107" i="1" s="1"/>
  <c r="AB107" i="1"/>
  <c r="AD97" i="1"/>
  <c r="W97" i="1"/>
  <c r="AA97" i="1" s="1"/>
  <c r="U70" i="1"/>
  <c r="V70" i="1" s="1"/>
  <c r="R111" i="1"/>
  <c r="P111" i="1" s="1"/>
  <c r="S111" i="1" s="1"/>
  <c r="M111" i="1" s="1"/>
  <c r="N111" i="1" s="1"/>
  <c r="AB111" i="1"/>
  <c r="U92" i="1"/>
  <c r="V92" i="1" s="1"/>
  <c r="AB52" i="1"/>
  <c r="AB36" i="1"/>
  <c r="R36" i="1"/>
  <c r="P36" i="1" s="1"/>
  <c r="S36" i="1" s="1"/>
  <c r="M36" i="1" s="1"/>
  <c r="N36" i="1" s="1"/>
  <c r="AD63" i="1"/>
  <c r="AE63" i="1" s="1"/>
  <c r="W63" i="1"/>
  <c r="AA63" i="1" s="1"/>
  <c r="AC63" i="1"/>
  <c r="W46" i="1"/>
  <c r="AA46" i="1" s="1"/>
  <c r="AD46" i="1"/>
  <c r="R87" i="1"/>
  <c r="P87" i="1" s="1"/>
  <c r="S87" i="1" s="1"/>
  <c r="M87" i="1" s="1"/>
  <c r="N87" i="1" s="1"/>
  <c r="AB87" i="1"/>
  <c r="R63" i="1"/>
  <c r="P63" i="1" s="1"/>
  <c r="S63" i="1" s="1"/>
  <c r="M63" i="1" s="1"/>
  <c r="N63" i="1" s="1"/>
  <c r="AB54" i="1"/>
  <c r="R54" i="1"/>
  <c r="P54" i="1" s="1"/>
  <c r="S54" i="1" s="1"/>
  <c r="M54" i="1" s="1"/>
  <c r="N54" i="1" s="1"/>
  <c r="AB38" i="1"/>
  <c r="R38" i="1"/>
  <c r="P38" i="1" s="1"/>
  <c r="S38" i="1" s="1"/>
  <c r="M38" i="1" s="1"/>
  <c r="N38" i="1" s="1"/>
  <c r="AC46" i="1"/>
  <c r="R20" i="1"/>
  <c r="P20" i="1" s="1"/>
  <c r="S20" i="1" s="1"/>
  <c r="M20" i="1" s="1"/>
  <c r="N20" i="1" s="1"/>
  <c r="U20" i="1"/>
  <c r="V20" i="1" s="1"/>
  <c r="AB20" i="1"/>
  <c r="AB45" i="1"/>
  <c r="AB190" i="1"/>
  <c r="U169" i="1"/>
  <c r="V169" i="1" s="1"/>
  <c r="R169" i="1" s="1"/>
  <c r="P169" i="1" s="1"/>
  <c r="S169" i="1" s="1"/>
  <c r="M169" i="1" s="1"/>
  <c r="N169" i="1" s="1"/>
  <c r="U189" i="1"/>
  <c r="V189" i="1" s="1"/>
  <c r="U133" i="1"/>
  <c r="V133" i="1" s="1"/>
  <c r="W119" i="1"/>
  <c r="AA119" i="1" s="1"/>
  <c r="AD119" i="1"/>
  <c r="AE119" i="1" s="1"/>
  <c r="AC119" i="1"/>
  <c r="U100" i="1"/>
  <c r="V100" i="1" s="1"/>
  <c r="U58" i="1"/>
  <c r="V58" i="1" s="1"/>
  <c r="R58" i="1" s="1"/>
  <c r="P58" i="1" s="1"/>
  <c r="S58" i="1" s="1"/>
  <c r="M58" i="1" s="1"/>
  <c r="N58" i="1" s="1"/>
  <c r="AD65" i="1"/>
  <c r="AE65" i="1" s="1"/>
  <c r="W65" i="1"/>
  <c r="AA65" i="1" s="1"/>
  <c r="AC65" i="1"/>
  <c r="U207" i="1"/>
  <c r="V207" i="1" s="1"/>
  <c r="AB210" i="1"/>
  <c r="R210" i="1"/>
  <c r="P210" i="1" s="1"/>
  <c r="S210" i="1" s="1"/>
  <c r="M210" i="1" s="1"/>
  <c r="N210" i="1" s="1"/>
  <c r="U196" i="1"/>
  <c r="V196" i="1" s="1"/>
  <c r="R196" i="1" s="1"/>
  <c r="P196" i="1" s="1"/>
  <c r="S196" i="1" s="1"/>
  <c r="M196" i="1" s="1"/>
  <c r="N196" i="1" s="1"/>
  <c r="U208" i="1"/>
  <c r="V208" i="1" s="1"/>
  <c r="R208" i="1" s="1"/>
  <c r="P208" i="1" s="1"/>
  <c r="S208" i="1" s="1"/>
  <c r="M208" i="1" s="1"/>
  <c r="N208" i="1" s="1"/>
  <c r="U180" i="1"/>
  <c r="V180" i="1" s="1"/>
  <c r="M203" i="1"/>
  <c r="N203" i="1" s="1"/>
  <c r="U190" i="1"/>
  <c r="V190" i="1" s="1"/>
  <c r="AB171" i="1"/>
  <c r="AB164" i="1"/>
  <c r="R164" i="1"/>
  <c r="P164" i="1" s="1"/>
  <c r="S164" i="1" s="1"/>
  <c r="M164" i="1" s="1"/>
  <c r="N164" i="1" s="1"/>
  <c r="AB208" i="1"/>
  <c r="AB177" i="1"/>
  <c r="R177" i="1"/>
  <c r="P177" i="1" s="1"/>
  <c r="S177" i="1" s="1"/>
  <c r="M177" i="1" s="1"/>
  <c r="N177" i="1" s="1"/>
  <c r="W179" i="1"/>
  <c r="AA179" i="1" s="1"/>
  <c r="AD179" i="1"/>
  <c r="AE179" i="1" s="1"/>
  <c r="AC179" i="1"/>
  <c r="AD149" i="1"/>
  <c r="W149" i="1"/>
  <c r="AA149" i="1" s="1"/>
  <c r="M153" i="1"/>
  <c r="N153" i="1" s="1"/>
  <c r="U151" i="1"/>
  <c r="V151" i="1" s="1"/>
  <c r="AC132" i="1"/>
  <c r="U122" i="1"/>
  <c r="V122" i="1" s="1"/>
  <c r="R148" i="1"/>
  <c r="P148" i="1" s="1"/>
  <c r="S148" i="1" s="1"/>
  <c r="M148" i="1" s="1"/>
  <c r="N148" i="1" s="1"/>
  <c r="AB148" i="1"/>
  <c r="U148" i="1"/>
  <c r="V148" i="1" s="1"/>
  <c r="AD107" i="1"/>
  <c r="AC107" i="1"/>
  <c r="W107" i="1"/>
  <c r="AA107" i="1" s="1"/>
  <c r="R121" i="1"/>
  <c r="P121" i="1" s="1"/>
  <c r="S121" i="1" s="1"/>
  <c r="M121" i="1" s="1"/>
  <c r="N121" i="1" s="1"/>
  <c r="AB121" i="1"/>
  <c r="AB113" i="1"/>
  <c r="AC128" i="1"/>
  <c r="U111" i="1"/>
  <c r="V111" i="1" s="1"/>
  <c r="U88" i="1"/>
  <c r="V88" i="1" s="1"/>
  <c r="W81" i="1"/>
  <c r="AA81" i="1" s="1"/>
  <c r="AD81" i="1"/>
  <c r="AC81" i="1"/>
  <c r="U64" i="1"/>
  <c r="V64" i="1" s="1"/>
  <c r="U56" i="1"/>
  <c r="V56" i="1" s="1"/>
  <c r="AC71" i="1"/>
  <c r="AC101" i="1"/>
  <c r="R89" i="1"/>
  <c r="P89" i="1" s="1"/>
  <c r="S89" i="1" s="1"/>
  <c r="M89" i="1" s="1"/>
  <c r="N89" i="1" s="1"/>
  <c r="AB89" i="1"/>
  <c r="AB66" i="1"/>
  <c r="U49" i="1"/>
  <c r="V49" i="1" s="1"/>
  <c r="U33" i="1"/>
  <c r="V33" i="1" s="1"/>
  <c r="R97" i="1"/>
  <c r="P97" i="1" s="1"/>
  <c r="S97" i="1" s="1"/>
  <c r="M97" i="1" s="1"/>
  <c r="N97" i="1" s="1"/>
  <c r="AD61" i="1"/>
  <c r="W61" i="1"/>
  <c r="AA61" i="1" s="1"/>
  <c r="AC61" i="1"/>
  <c r="R99" i="1"/>
  <c r="P99" i="1" s="1"/>
  <c r="S99" i="1" s="1"/>
  <c r="M99" i="1" s="1"/>
  <c r="N99" i="1" s="1"/>
  <c r="R61" i="1"/>
  <c r="P61" i="1" s="1"/>
  <c r="S61" i="1" s="1"/>
  <c r="M61" i="1" s="1"/>
  <c r="N61" i="1" s="1"/>
  <c r="R85" i="1"/>
  <c r="P85" i="1" s="1"/>
  <c r="S85" i="1" s="1"/>
  <c r="M85" i="1" s="1"/>
  <c r="N85" i="1" s="1"/>
  <c r="AB85" i="1"/>
  <c r="U51" i="1"/>
  <c r="V51" i="1" s="1"/>
  <c r="R51" i="1" s="1"/>
  <c r="P51" i="1" s="1"/>
  <c r="S51" i="1" s="1"/>
  <c r="M51" i="1" s="1"/>
  <c r="N51" i="1" s="1"/>
  <c r="U35" i="1"/>
  <c r="V35" i="1" s="1"/>
  <c r="W34" i="1"/>
  <c r="AA34" i="1" s="1"/>
  <c r="AD34" i="1"/>
  <c r="AC34" i="1"/>
  <c r="R26" i="1"/>
  <c r="P26" i="1" s="1"/>
  <c r="S26" i="1" s="1"/>
  <c r="M26" i="1" s="1"/>
  <c r="N26" i="1" s="1"/>
  <c r="AB26" i="1"/>
  <c r="AB18" i="1"/>
  <c r="AB39" i="1"/>
  <c r="R28" i="1"/>
  <c r="P28" i="1" s="1"/>
  <c r="S28" i="1" s="1"/>
  <c r="M28" i="1" s="1"/>
  <c r="N28" i="1" s="1"/>
  <c r="AB28" i="1"/>
  <c r="U23" i="1"/>
  <c r="V23" i="1" s="1"/>
  <c r="U40" i="1"/>
  <c r="V40" i="1" s="1"/>
  <c r="U29" i="1"/>
  <c r="V29" i="1" s="1"/>
  <c r="R22" i="1"/>
  <c r="P22" i="1" s="1"/>
  <c r="S22" i="1" s="1"/>
  <c r="M22" i="1" s="1"/>
  <c r="N22" i="1" s="1"/>
  <c r="AB22" i="1"/>
  <c r="U212" i="1"/>
  <c r="V212" i="1" s="1"/>
  <c r="AB192" i="1"/>
  <c r="U66" i="1"/>
  <c r="V66" i="1" s="1"/>
  <c r="AD103" i="1"/>
  <c r="AE103" i="1" s="1"/>
  <c r="W103" i="1"/>
  <c r="AA103" i="1" s="1"/>
  <c r="R65" i="1"/>
  <c r="P65" i="1" s="1"/>
  <c r="S65" i="1" s="1"/>
  <c r="M65" i="1" s="1"/>
  <c r="N65" i="1" s="1"/>
  <c r="U39" i="1"/>
  <c r="V39" i="1" s="1"/>
  <c r="R39" i="1" s="1"/>
  <c r="P39" i="1" s="1"/>
  <c r="S39" i="1" s="1"/>
  <c r="M39" i="1" s="1"/>
  <c r="N39" i="1" s="1"/>
  <c r="W36" i="1"/>
  <c r="AA36" i="1" s="1"/>
  <c r="AD36" i="1"/>
  <c r="AB230" i="1"/>
  <c r="R230" i="1"/>
  <c r="P230" i="1" s="1"/>
  <c r="S230" i="1" s="1"/>
  <c r="M230" i="1" s="1"/>
  <c r="N230" i="1" s="1"/>
  <c r="U192" i="1"/>
  <c r="V192" i="1" s="1"/>
  <c r="R192" i="1" s="1"/>
  <c r="P192" i="1" s="1"/>
  <c r="S192" i="1" s="1"/>
  <c r="M192" i="1" s="1"/>
  <c r="N192" i="1" s="1"/>
  <c r="W225" i="1"/>
  <c r="AA225" i="1" s="1"/>
  <c r="AD225" i="1"/>
  <c r="AE225" i="1" s="1"/>
  <c r="AC225" i="1"/>
  <c r="W217" i="1"/>
  <c r="AA217" i="1" s="1"/>
  <c r="AD217" i="1"/>
  <c r="AE217" i="1" s="1"/>
  <c r="U201" i="1"/>
  <c r="V201" i="1" s="1"/>
  <c r="AB231" i="1"/>
  <c r="R231" i="1"/>
  <c r="P231" i="1" s="1"/>
  <c r="S231" i="1" s="1"/>
  <c r="M231" i="1" s="1"/>
  <c r="N231" i="1" s="1"/>
  <c r="AB215" i="1"/>
  <c r="R215" i="1"/>
  <c r="P215" i="1" s="1"/>
  <c r="S215" i="1" s="1"/>
  <c r="M215" i="1" s="1"/>
  <c r="N215" i="1" s="1"/>
  <c r="AB220" i="1"/>
  <c r="U176" i="1"/>
  <c r="V176" i="1" s="1"/>
  <c r="R217" i="1"/>
  <c r="P217" i="1" s="1"/>
  <c r="S217" i="1" s="1"/>
  <c r="M217" i="1" s="1"/>
  <c r="N217" i="1" s="1"/>
  <c r="U181" i="1"/>
  <c r="V181" i="1" s="1"/>
  <c r="AB201" i="1"/>
  <c r="AB189" i="1"/>
  <c r="R189" i="1"/>
  <c r="P189" i="1" s="1"/>
  <c r="S189" i="1" s="1"/>
  <c r="M189" i="1" s="1"/>
  <c r="N189" i="1" s="1"/>
  <c r="U168" i="1"/>
  <c r="V168" i="1" s="1"/>
  <c r="U186" i="1"/>
  <c r="V186" i="1" s="1"/>
  <c r="AB173" i="1"/>
  <c r="R173" i="1"/>
  <c r="P173" i="1" s="1"/>
  <c r="S173" i="1" s="1"/>
  <c r="M173" i="1" s="1"/>
  <c r="N173" i="1" s="1"/>
  <c r="AB183" i="1"/>
  <c r="R183" i="1"/>
  <c r="P183" i="1" s="1"/>
  <c r="S183" i="1" s="1"/>
  <c r="M183" i="1" s="1"/>
  <c r="N183" i="1" s="1"/>
  <c r="U191" i="1"/>
  <c r="V191" i="1" s="1"/>
  <c r="AB151" i="1"/>
  <c r="W150" i="1"/>
  <c r="AA150" i="1" s="1"/>
  <c r="AD150" i="1"/>
  <c r="AE150" i="1" s="1"/>
  <c r="AD161" i="1"/>
  <c r="W161" i="1"/>
  <c r="AA161" i="1" s="1"/>
  <c r="R159" i="1"/>
  <c r="P159" i="1" s="1"/>
  <c r="S159" i="1" s="1"/>
  <c r="M159" i="1" s="1"/>
  <c r="N159" i="1" s="1"/>
  <c r="AB159" i="1"/>
  <c r="AD145" i="1"/>
  <c r="AE145" i="1" s="1"/>
  <c r="W145" i="1"/>
  <c r="AA145" i="1" s="1"/>
  <c r="AC149" i="1"/>
  <c r="AB138" i="1"/>
  <c r="AD124" i="1"/>
  <c r="AE124" i="1" s="1"/>
  <c r="W124" i="1"/>
  <c r="AA124" i="1" s="1"/>
  <c r="U155" i="1"/>
  <c r="V155" i="1" s="1"/>
  <c r="U118" i="1"/>
  <c r="V118" i="1" s="1"/>
  <c r="AB115" i="1"/>
  <c r="U113" i="1"/>
  <c r="V113" i="1" s="1"/>
  <c r="AB114" i="1"/>
  <c r="R114" i="1"/>
  <c r="P114" i="1" s="1"/>
  <c r="S114" i="1" s="1"/>
  <c r="M114" i="1" s="1"/>
  <c r="N114" i="1" s="1"/>
  <c r="U94" i="1"/>
  <c r="V94" i="1" s="1"/>
  <c r="U98" i="1"/>
  <c r="V98" i="1" s="1"/>
  <c r="U84" i="1"/>
  <c r="V84" i="1" s="1"/>
  <c r="R128" i="1"/>
  <c r="P128" i="1" s="1"/>
  <c r="S128" i="1" s="1"/>
  <c r="M128" i="1" s="1"/>
  <c r="N128" i="1" s="1"/>
  <c r="U115" i="1"/>
  <c r="V115" i="1" s="1"/>
  <c r="R115" i="1" s="1"/>
  <c r="P115" i="1" s="1"/>
  <c r="S115" i="1" s="1"/>
  <c r="M115" i="1" s="1"/>
  <c r="N115" i="1" s="1"/>
  <c r="W87" i="1"/>
  <c r="AA87" i="1" s="1"/>
  <c r="AD87" i="1"/>
  <c r="AB64" i="1"/>
  <c r="R64" i="1"/>
  <c r="P64" i="1" s="1"/>
  <c r="S64" i="1" s="1"/>
  <c r="M64" i="1" s="1"/>
  <c r="N64" i="1" s="1"/>
  <c r="AB48" i="1"/>
  <c r="R48" i="1"/>
  <c r="P48" i="1" s="1"/>
  <c r="S48" i="1" s="1"/>
  <c r="M48" i="1" s="1"/>
  <c r="N48" i="1" s="1"/>
  <c r="AD59" i="1"/>
  <c r="AE59" i="1" s="1"/>
  <c r="W59" i="1"/>
  <c r="AA59" i="1" s="1"/>
  <c r="AC59" i="1"/>
  <c r="W42" i="1"/>
  <c r="AA42" i="1" s="1"/>
  <c r="AD42" i="1"/>
  <c r="AE42" i="1" s="1"/>
  <c r="R59" i="1"/>
  <c r="P59" i="1" s="1"/>
  <c r="S59" i="1" s="1"/>
  <c r="M59" i="1" s="1"/>
  <c r="N59" i="1" s="1"/>
  <c r="AB50" i="1"/>
  <c r="R50" i="1"/>
  <c r="P50" i="1" s="1"/>
  <c r="S50" i="1" s="1"/>
  <c r="M50" i="1" s="1"/>
  <c r="N50" i="1" s="1"/>
  <c r="U31" i="1"/>
  <c r="V31" i="1" s="1"/>
  <c r="U214" i="1"/>
  <c r="V214" i="1" s="1"/>
  <c r="AB198" i="1"/>
  <c r="AB156" i="1"/>
  <c r="AD141" i="1"/>
  <c r="W141" i="1"/>
  <c r="AA141" i="1" s="1"/>
  <c r="R141" i="1"/>
  <c r="P141" i="1" s="1"/>
  <c r="S141" i="1" s="1"/>
  <c r="M141" i="1" s="1"/>
  <c r="N141" i="1" s="1"/>
  <c r="AB141" i="1"/>
  <c r="AD105" i="1"/>
  <c r="AE105" i="1" s="1"/>
  <c r="W105" i="1"/>
  <c r="AA105" i="1" s="1"/>
  <c r="R91" i="1"/>
  <c r="P91" i="1" s="1"/>
  <c r="S91" i="1" s="1"/>
  <c r="M91" i="1" s="1"/>
  <c r="N91" i="1" s="1"/>
  <c r="AB91" i="1"/>
  <c r="U37" i="1"/>
  <c r="V37" i="1" s="1"/>
  <c r="AB41" i="1"/>
  <c r="U19" i="1"/>
  <c r="V19" i="1" s="1"/>
  <c r="AB17" i="1"/>
  <c r="R17" i="1"/>
  <c r="P17" i="1" s="1"/>
  <c r="S17" i="1" s="1"/>
  <c r="M17" i="1" s="1"/>
  <c r="N17" i="1" s="1"/>
  <c r="U227" i="1"/>
  <c r="V227" i="1" s="1"/>
  <c r="U228" i="1"/>
  <c r="V228" i="1" s="1"/>
  <c r="AB207" i="1"/>
  <c r="R207" i="1"/>
  <c r="P207" i="1" s="1"/>
  <c r="S207" i="1" s="1"/>
  <c r="M207" i="1" s="1"/>
  <c r="N207" i="1" s="1"/>
  <c r="U188" i="1"/>
  <c r="V188" i="1" s="1"/>
  <c r="AB200" i="1"/>
  <c r="R200" i="1"/>
  <c r="P200" i="1" s="1"/>
  <c r="S200" i="1" s="1"/>
  <c r="M200" i="1" s="1"/>
  <c r="N200" i="1" s="1"/>
  <c r="U204" i="1"/>
  <c r="V204" i="1" s="1"/>
  <c r="U172" i="1"/>
  <c r="V172" i="1" s="1"/>
  <c r="U187" i="1"/>
  <c r="V187" i="1" s="1"/>
  <c r="AB180" i="1"/>
  <c r="R180" i="1"/>
  <c r="P180" i="1" s="1"/>
  <c r="S180" i="1" s="1"/>
  <c r="M180" i="1" s="1"/>
  <c r="N180" i="1" s="1"/>
  <c r="AD205" i="1"/>
  <c r="AE205" i="1" s="1"/>
  <c r="W205" i="1"/>
  <c r="AA205" i="1" s="1"/>
  <c r="AC205" i="1"/>
  <c r="AB172" i="1"/>
  <c r="R172" i="1"/>
  <c r="P172" i="1" s="1"/>
  <c r="S172" i="1" s="1"/>
  <c r="M172" i="1" s="1"/>
  <c r="N172" i="1" s="1"/>
  <c r="R175" i="1"/>
  <c r="P175" i="1" s="1"/>
  <c r="S175" i="1" s="1"/>
  <c r="M175" i="1" s="1"/>
  <c r="N175" i="1" s="1"/>
  <c r="AB175" i="1"/>
  <c r="R147" i="1"/>
  <c r="P147" i="1" s="1"/>
  <c r="S147" i="1" s="1"/>
  <c r="M147" i="1" s="1"/>
  <c r="N147" i="1" s="1"/>
  <c r="AB147" i="1"/>
  <c r="AB161" i="1"/>
  <c r="R161" i="1"/>
  <c r="P161" i="1" s="1"/>
  <c r="S161" i="1" s="1"/>
  <c r="M161" i="1" s="1"/>
  <c r="N161" i="1" s="1"/>
  <c r="AC154" i="1"/>
  <c r="W167" i="1"/>
  <c r="AA167" i="1" s="1"/>
  <c r="AD167" i="1"/>
  <c r="AE167" i="1" s="1"/>
  <c r="AC167" i="1"/>
  <c r="AB158" i="1"/>
  <c r="R158" i="1"/>
  <c r="P158" i="1" s="1"/>
  <c r="S158" i="1" s="1"/>
  <c r="M158" i="1" s="1"/>
  <c r="N158" i="1" s="1"/>
  <c r="U156" i="1"/>
  <c r="V156" i="1" s="1"/>
  <c r="R156" i="1" s="1"/>
  <c r="P156" i="1" s="1"/>
  <c r="S156" i="1" s="1"/>
  <c r="M156" i="1" s="1"/>
  <c r="N156" i="1" s="1"/>
  <c r="AB144" i="1"/>
  <c r="U144" i="1"/>
  <c r="V144" i="1" s="1"/>
  <c r="R134" i="1"/>
  <c r="P134" i="1" s="1"/>
  <c r="S134" i="1" s="1"/>
  <c r="M134" i="1" s="1"/>
  <c r="N134" i="1" s="1"/>
  <c r="AB134" i="1"/>
  <c r="U125" i="1"/>
  <c r="V125" i="1" s="1"/>
  <c r="U114" i="1"/>
  <c r="V114" i="1" s="1"/>
  <c r="U147" i="1"/>
  <c r="V147" i="1" s="1"/>
  <c r="R103" i="1"/>
  <c r="P103" i="1" s="1"/>
  <c r="S103" i="1" s="1"/>
  <c r="M103" i="1" s="1"/>
  <c r="N103" i="1" s="1"/>
  <c r="AB103" i="1"/>
  <c r="U90" i="1"/>
  <c r="V90" i="1" s="1"/>
  <c r="U80" i="1"/>
  <c r="V80" i="1" s="1"/>
  <c r="R126" i="1"/>
  <c r="P126" i="1" s="1"/>
  <c r="S126" i="1" s="1"/>
  <c r="M126" i="1" s="1"/>
  <c r="N126" i="1" s="1"/>
  <c r="U62" i="1"/>
  <c r="V62" i="1" s="1"/>
  <c r="R77" i="1"/>
  <c r="P77" i="1" s="1"/>
  <c r="S77" i="1" s="1"/>
  <c r="M77" i="1" s="1"/>
  <c r="N77" i="1" s="1"/>
  <c r="AB77" i="1"/>
  <c r="AC97" i="1"/>
  <c r="AC87" i="1"/>
  <c r="R81" i="1"/>
  <c r="P81" i="1" s="1"/>
  <c r="S81" i="1" s="1"/>
  <c r="M81" i="1" s="1"/>
  <c r="N81" i="1" s="1"/>
  <c r="AB81" i="1"/>
  <c r="AB73" i="1"/>
  <c r="AB62" i="1"/>
  <c r="U45" i="1"/>
  <c r="V45" i="1" s="1"/>
  <c r="R45" i="1" s="1"/>
  <c r="P45" i="1" s="1"/>
  <c r="S45" i="1" s="1"/>
  <c r="M45" i="1" s="1"/>
  <c r="N45" i="1" s="1"/>
  <c r="U93" i="1"/>
  <c r="V93" i="1" s="1"/>
  <c r="AD57" i="1"/>
  <c r="W57" i="1"/>
  <c r="AA57" i="1" s="1"/>
  <c r="AC57" i="1"/>
  <c r="R69" i="1"/>
  <c r="P69" i="1" s="1"/>
  <c r="S69" i="1" s="1"/>
  <c r="M69" i="1" s="1"/>
  <c r="N69" i="1" s="1"/>
  <c r="AB69" i="1"/>
  <c r="R57" i="1"/>
  <c r="P57" i="1" s="1"/>
  <c r="S57" i="1" s="1"/>
  <c r="M57" i="1" s="1"/>
  <c r="N57" i="1" s="1"/>
  <c r="AB75" i="1"/>
  <c r="U47" i="1"/>
  <c r="V47" i="1" s="1"/>
  <c r="U52" i="1"/>
  <c r="V52" i="1" s="1"/>
  <c r="AB53" i="1"/>
  <c r="R53" i="1"/>
  <c r="P53" i="1" s="1"/>
  <c r="S53" i="1" s="1"/>
  <c r="M53" i="1" s="1"/>
  <c r="N53" i="1" s="1"/>
  <c r="W28" i="1"/>
  <c r="AA28" i="1" s="1"/>
  <c r="AD28" i="1"/>
  <c r="AE28" i="1" s="1"/>
  <c r="U18" i="1"/>
  <c r="V18" i="1" s="1"/>
  <c r="AC36" i="1"/>
  <c r="AB37" i="1"/>
  <c r="R37" i="1"/>
  <c r="P37" i="1" s="1"/>
  <c r="S37" i="1" s="1"/>
  <c r="M37" i="1" s="1"/>
  <c r="N37" i="1" s="1"/>
  <c r="U22" i="1"/>
  <c r="V22" i="1" s="1"/>
  <c r="U226" i="1"/>
  <c r="V226" i="1" s="1"/>
  <c r="AB226" i="1"/>
  <c r="R226" i="1"/>
  <c r="P226" i="1" s="1"/>
  <c r="S226" i="1" s="1"/>
  <c r="M226" i="1" s="1"/>
  <c r="N226" i="1" s="1"/>
  <c r="U224" i="1"/>
  <c r="V224" i="1" s="1"/>
  <c r="W229" i="1"/>
  <c r="AA229" i="1" s="1"/>
  <c r="AD229" i="1"/>
  <c r="AE229" i="1" s="1"/>
  <c r="AC229" i="1"/>
  <c r="W230" i="1"/>
  <c r="AA230" i="1" s="1"/>
  <c r="AD230" i="1"/>
  <c r="AE230" i="1" s="1"/>
  <c r="U197" i="1"/>
  <c r="V197" i="1" s="1"/>
  <c r="R197" i="1" s="1"/>
  <c r="P197" i="1" s="1"/>
  <c r="S197" i="1" s="1"/>
  <c r="M197" i="1" s="1"/>
  <c r="N197" i="1" s="1"/>
  <c r="AB202" i="1"/>
  <c r="AB193" i="1"/>
  <c r="R193" i="1"/>
  <c r="P193" i="1" s="1"/>
  <c r="S193" i="1" s="1"/>
  <c r="M193" i="1" s="1"/>
  <c r="N193" i="1" s="1"/>
  <c r="U177" i="1"/>
  <c r="V177" i="1" s="1"/>
  <c r="U198" i="1"/>
  <c r="V198" i="1" s="1"/>
  <c r="AB204" i="1"/>
  <c r="R204" i="1"/>
  <c r="P204" i="1" s="1"/>
  <c r="S204" i="1" s="1"/>
  <c r="M204" i="1" s="1"/>
  <c r="N204" i="1" s="1"/>
  <c r="U165" i="1"/>
  <c r="V165" i="1" s="1"/>
  <c r="AB168" i="1"/>
  <c r="R168" i="1"/>
  <c r="P168" i="1" s="1"/>
  <c r="S168" i="1" s="1"/>
  <c r="M168" i="1" s="1"/>
  <c r="N168" i="1" s="1"/>
  <c r="AB194" i="1"/>
  <c r="R194" i="1"/>
  <c r="P194" i="1" s="1"/>
  <c r="S194" i="1" s="1"/>
  <c r="M194" i="1" s="1"/>
  <c r="N194" i="1" s="1"/>
  <c r="U174" i="1"/>
  <c r="V174" i="1" s="1"/>
  <c r="U171" i="1"/>
  <c r="V171" i="1" s="1"/>
  <c r="R171" i="1" s="1"/>
  <c r="P171" i="1" s="1"/>
  <c r="S171" i="1" s="1"/>
  <c r="M171" i="1" s="1"/>
  <c r="N171" i="1" s="1"/>
  <c r="U139" i="1"/>
  <c r="V139" i="1" s="1"/>
  <c r="AC141" i="1"/>
  <c r="AB185" i="1"/>
  <c r="R185" i="1"/>
  <c r="P185" i="1" s="1"/>
  <c r="S185" i="1" s="1"/>
  <c r="M185" i="1" s="1"/>
  <c r="N185" i="1" s="1"/>
  <c r="R225" i="1"/>
  <c r="P225" i="1" s="1"/>
  <c r="S225" i="1" s="1"/>
  <c r="M225" i="1" s="1"/>
  <c r="N225" i="1" s="1"/>
  <c r="U120" i="1"/>
  <c r="V120" i="1" s="1"/>
  <c r="W146" i="1"/>
  <c r="AA146" i="1" s="1"/>
  <c r="AD146" i="1"/>
  <c r="AE146" i="1" s="1"/>
  <c r="W142" i="1"/>
  <c r="AA142" i="1" s="1"/>
  <c r="AD142" i="1"/>
  <c r="AE142" i="1" s="1"/>
  <c r="AD134" i="1"/>
  <c r="AE134" i="1" s="1"/>
  <c r="W134" i="1"/>
  <c r="AA134" i="1" s="1"/>
  <c r="R140" i="1"/>
  <c r="P140" i="1" s="1"/>
  <c r="S140" i="1" s="1"/>
  <c r="M140" i="1" s="1"/>
  <c r="N140" i="1" s="1"/>
  <c r="AB140" i="1"/>
  <c r="U110" i="1"/>
  <c r="V110" i="1" s="1"/>
  <c r="AD101" i="1"/>
  <c r="AE101" i="1" s="1"/>
  <c r="W101" i="1"/>
  <c r="AA101" i="1" s="1"/>
  <c r="U86" i="1"/>
  <c r="V86" i="1" s="1"/>
  <c r="W121" i="1"/>
  <c r="AA121" i="1" s="1"/>
  <c r="AD121" i="1"/>
  <c r="U102" i="1"/>
  <c r="V102" i="1" s="1"/>
  <c r="U76" i="1"/>
  <c r="V76" i="1" s="1"/>
  <c r="AC121" i="1"/>
  <c r="R79" i="1"/>
  <c r="P79" i="1" s="1"/>
  <c r="S79" i="1" s="1"/>
  <c r="M79" i="1" s="1"/>
  <c r="N79" i="1" s="1"/>
  <c r="AB79" i="1"/>
  <c r="AD77" i="1"/>
  <c r="AC77" i="1"/>
  <c r="W77" i="1"/>
  <c r="AA77" i="1" s="1"/>
  <c r="AD95" i="1"/>
  <c r="AE95" i="1" s="1"/>
  <c r="W95" i="1"/>
  <c r="AA95" i="1" s="1"/>
  <c r="U73" i="1"/>
  <c r="V73" i="1" s="1"/>
  <c r="R73" i="1" s="1"/>
  <c r="P73" i="1" s="1"/>
  <c r="S73" i="1" s="1"/>
  <c r="M73" i="1" s="1"/>
  <c r="N73" i="1" s="1"/>
  <c r="AB60" i="1"/>
  <c r="AB44" i="1"/>
  <c r="W54" i="1"/>
  <c r="AA54" i="1" s="1"/>
  <c r="AD54" i="1"/>
  <c r="W38" i="1"/>
  <c r="AA38" i="1" s="1"/>
  <c r="AD38" i="1"/>
  <c r="AE38" i="1" s="1"/>
  <c r="AD69" i="1"/>
  <c r="AE69" i="1" s="1"/>
  <c r="AC69" i="1"/>
  <c r="W69" i="1"/>
  <c r="AA69" i="1" s="1"/>
  <c r="U75" i="1"/>
  <c r="V75" i="1" s="1"/>
  <c r="AB46" i="1"/>
  <c r="R46" i="1"/>
  <c r="P46" i="1" s="1"/>
  <c r="S46" i="1" s="1"/>
  <c r="M46" i="1" s="1"/>
  <c r="N46" i="1" s="1"/>
  <c r="U25" i="1"/>
  <c r="V25" i="1" s="1"/>
  <c r="R47" i="1"/>
  <c r="P47" i="1" s="1"/>
  <c r="S47" i="1" s="1"/>
  <c r="M47" i="1" s="1"/>
  <c r="N47" i="1" s="1"/>
  <c r="AB47" i="1"/>
  <c r="AB27" i="1"/>
  <c r="U27" i="1"/>
  <c r="V27" i="1" s="1"/>
  <c r="AB34" i="1"/>
  <c r="R34" i="1"/>
  <c r="P34" i="1" s="1"/>
  <c r="S34" i="1" s="1"/>
  <c r="M34" i="1" s="1"/>
  <c r="N34" i="1" s="1"/>
  <c r="AB211" i="1"/>
  <c r="R211" i="1"/>
  <c r="P211" i="1" s="1"/>
  <c r="S211" i="1" s="1"/>
  <c r="M211" i="1" s="1"/>
  <c r="N211" i="1" s="1"/>
  <c r="U143" i="1"/>
  <c r="V143" i="1" s="1"/>
  <c r="U74" i="1"/>
  <c r="V74" i="1" s="1"/>
  <c r="U222" i="1"/>
  <c r="V222" i="1" s="1"/>
  <c r="R222" i="1" s="1"/>
  <c r="P222" i="1" s="1"/>
  <c r="S222" i="1" s="1"/>
  <c r="M222" i="1" s="1"/>
  <c r="N222" i="1" s="1"/>
  <c r="U223" i="1"/>
  <c r="V223" i="1" s="1"/>
  <c r="U220" i="1"/>
  <c r="V220" i="1" s="1"/>
  <c r="R220" i="1" s="1"/>
  <c r="P220" i="1" s="1"/>
  <c r="S220" i="1" s="1"/>
  <c r="M220" i="1" s="1"/>
  <c r="N220" i="1" s="1"/>
  <c r="AB219" i="1"/>
  <c r="R219" i="1"/>
  <c r="P219" i="1" s="1"/>
  <c r="S219" i="1" s="1"/>
  <c r="M219" i="1" s="1"/>
  <c r="N219" i="1" s="1"/>
  <c r="AB218" i="1"/>
  <c r="R218" i="1"/>
  <c r="P218" i="1" s="1"/>
  <c r="S218" i="1" s="1"/>
  <c r="M218" i="1" s="1"/>
  <c r="N218" i="1" s="1"/>
  <c r="U206" i="1"/>
  <c r="V206" i="1" s="1"/>
  <c r="R206" i="1" s="1"/>
  <c r="P206" i="1" s="1"/>
  <c r="S206" i="1" s="1"/>
  <c r="M206" i="1" s="1"/>
  <c r="N206" i="1" s="1"/>
  <c r="AB196" i="1"/>
  <c r="AB223" i="1"/>
  <c r="R223" i="1"/>
  <c r="P223" i="1" s="1"/>
  <c r="S223" i="1" s="1"/>
  <c r="M223" i="1" s="1"/>
  <c r="N223" i="1" s="1"/>
  <c r="AB214" i="1"/>
  <c r="R214" i="1"/>
  <c r="P214" i="1" s="1"/>
  <c r="S214" i="1" s="1"/>
  <c r="M214" i="1" s="1"/>
  <c r="N214" i="1" s="1"/>
  <c r="U199" i="1"/>
  <c r="V199" i="1" s="1"/>
  <c r="R199" i="1" s="1"/>
  <c r="P199" i="1" s="1"/>
  <c r="S199" i="1" s="1"/>
  <c r="M199" i="1" s="1"/>
  <c r="N199" i="1" s="1"/>
  <c r="W209" i="1"/>
  <c r="AA209" i="1" s="1"/>
  <c r="AD209" i="1"/>
  <c r="AE209" i="1" s="1"/>
  <c r="AB176" i="1"/>
  <c r="R176" i="1"/>
  <c r="P176" i="1" s="1"/>
  <c r="S176" i="1" s="1"/>
  <c r="M176" i="1" s="1"/>
  <c r="N176" i="1" s="1"/>
  <c r="U202" i="1"/>
  <c r="V202" i="1" s="1"/>
  <c r="AD170" i="1"/>
  <c r="AE170" i="1" s="1"/>
  <c r="W170" i="1"/>
  <c r="AA170" i="1" s="1"/>
  <c r="R170" i="1"/>
  <c r="P170" i="1" s="1"/>
  <c r="S170" i="1" s="1"/>
  <c r="M170" i="1" s="1"/>
  <c r="N170" i="1" s="1"/>
  <c r="W158" i="1"/>
  <c r="AA158" i="1" s="1"/>
  <c r="AD158" i="1"/>
  <c r="U162" i="1"/>
  <c r="V162" i="1" s="1"/>
  <c r="U135" i="1"/>
  <c r="V135" i="1" s="1"/>
  <c r="U185" i="1"/>
  <c r="V185" i="1" s="1"/>
  <c r="R155" i="1"/>
  <c r="P155" i="1" s="1"/>
  <c r="S155" i="1" s="1"/>
  <c r="M155" i="1" s="1"/>
  <c r="N155" i="1" s="1"/>
  <c r="AB155" i="1"/>
  <c r="R132" i="1"/>
  <c r="P132" i="1" s="1"/>
  <c r="S132" i="1" s="1"/>
  <c r="M132" i="1" s="1"/>
  <c r="N132" i="1" s="1"/>
  <c r="AB132" i="1"/>
  <c r="U116" i="1"/>
  <c r="V116" i="1" s="1"/>
  <c r="U106" i="1"/>
  <c r="V106" i="1" s="1"/>
  <c r="R142" i="1"/>
  <c r="P142" i="1" s="1"/>
  <c r="S142" i="1" s="1"/>
  <c r="M142" i="1" s="1"/>
  <c r="N142" i="1" s="1"/>
  <c r="U136" i="1"/>
  <c r="V136" i="1" s="1"/>
  <c r="R136" i="1" s="1"/>
  <c r="P136" i="1" s="1"/>
  <c r="S136" i="1" s="1"/>
  <c r="M136" i="1" s="1"/>
  <c r="N136" i="1" s="1"/>
  <c r="U82" i="1"/>
  <c r="V82" i="1" s="1"/>
  <c r="U138" i="1"/>
  <c r="V138" i="1" s="1"/>
  <c r="R117" i="1"/>
  <c r="P117" i="1" s="1"/>
  <c r="S117" i="1" s="1"/>
  <c r="M117" i="1" s="1"/>
  <c r="N117" i="1" s="1"/>
  <c r="AB117" i="1"/>
  <c r="U96" i="1"/>
  <c r="V96" i="1" s="1"/>
  <c r="U72" i="1"/>
  <c r="V72" i="1" s="1"/>
  <c r="R71" i="1"/>
  <c r="P71" i="1" s="1"/>
  <c r="S71" i="1" s="1"/>
  <c r="M71" i="1" s="1"/>
  <c r="N71" i="1" s="1"/>
  <c r="AB71" i="1"/>
  <c r="U60" i="1"/>
  <c r="V60" i="1" s="1"/>
  <c r="AB80" i="1"/>
  <c r="R80" i="1"/>
  <c r="P80" i="1" s="1"/>
  <c r="S80" i="1" s="1"/>
  <c r="M80" i="1" s="1"/>
  <c r="N80" i="1" s="1"/>
  <c r="AB58" i="1"/>
  <c r="U41" i="1"/>
  <c r="V41" i="1" s="1"/>
  <c r="W85" i="1"/>
  <c r="AA85" i="1" s="1"/>
  <c r="AD85" i="1"/>
  <c r="AE85" i="1" s="1"/>
  <c r="AC85" i="1"/>
  <c r="U83" i="1"/>
  <c r="V83" i="1" s="1"/>
  <c r="U43" i="1"/>
  <c r="V43" i="1" s="1"/>
  <c r="R43" i="1" s="1"/>
  <c r="P43" i="1" s="1"/>
  <c r="S43" i="1" s="1"/>
  <c r="M43" i="1" s="1"/>
  <c r="N43" i="1" s="1"/>
  <c r="AB49" i="1"/>
  <c r="R49" i="1"/>
  <c r="P49" i="1" s="1"/>
  <c r="S49" i="1" s="1"/>
  <c r="M49" i="1" s="1"/>
  <c r="N49" i="1" s="1"/>
  <c r="R30" i="1"/>
  <c r="P30" i="1" s="1"/>
  <c r="S30" i="1" s="1"/>
  <c r="M30" i="1" s="1"/>
  <c r="N30" i="1" s="1"/>
  <c r="AB30" i="1"/>
  <c r="U30" i="1"/>
  <c r="V30" i="1" s="1"/>
  <c r="W26" i="1"/>
  <c r="AA26" i="1" s="1"/>
  <c r="AD26" i="1"/>
  <c r="AE26" i="1" s="1"/>
  <c r="R55" i="1"/>
  <c r="P55" i="1" s="1"/>
  <c r="S55" i="1" s="1"/>
  <c r="M55" i="1" s="1"/>
  <c r="N55" i="1" s="1"/>
  <c r="AB55" i="1"/>
  <c r="U44" i="1"/>
  <c r="V44" i="1" s="1"/>
  <c r="R32" i="1"/>
  <c r="P32" i="1" s="1"/>
  <c r="S32" i="1" s="1"/>
  <c r="M32" i="1" s="1"/>
  <c r="N32" i="1" s="1"/>
  <c r="AB32" i="1"/>
  <c r="U17" i="1"/>
  <c r="V17" i="1" s="1"/>
  <c r="AB24" i="1"/>
  <c r="U24" i="1"/>
  <c r="V24" i="1" s="1"/>
  <c r="R24" i="1" s="1"/>
  <c r="P24" i="1" s="1"/>
  <c r="S24" i="1" s="1"/>
  <c r="M24" i="1" s="1"/>
  <c r="N24" i="1" s="1"/>
  <c r="W44" i="1" l="1"/>
  <c r="AA44" i="1" s="1"/>
  <c r="AD44" i="1"/>
  <c r="AC44" i="1"/>
  <c r="W41" i="1"/>
  <c r="AA41" i="1" s="1"/>
  <c r="AD41" i="1"/>
  <c r="AC41" i="1"/>
  <c r="AD138" i="1"/>
  <c r="AE138" i="1" s="1"/>
  <c r="W138" i="1"/>
  <c r="AA138" i="1" s="1"/>
  <c r="AC138" i="1"/>
  <c r="W116" i="1"/>
  <c r="AA116" i="1" s="1"/>
  <c r="AD116" i="1"/>
  <c r="R116" i="1"/>
  <c r="P116" i="1" s="1"/>
  <c r="S116" i="1" s="1"/>
  <c r="M116" i="1" s="1"/>
  <c r="N116" i="1" s="1"/>
  <c r="AC116" i="1"/>
  <c r="W202" i="1"/>
  <c r="AA202" i="1" s="1"/>
  <c r="AD202" i="1"/>
  <c r="AE202" i="1" s="1"/>
  <c r="AC202" i="1"/>
  <c r="W25" i="1"/>
  <c r="AA25" i="1" s="1"/>
  <c r="AD25" i="1"/>
  <c r="R25" i="1"/>
  <c r="P25" i="1" s="1"/>
  <c r="S25" i="1" s="1"/>
  <c r="M25" i="1" s="1"/>
  <c r="N25" i="1" s="1"/>
  <c r="AC25" i="1"/>
  <c r="W224" i="1"/>
  <c r="AA224" i="1" s="1"/>
  <c r="AD224" i="1"/>
  <c r="R224" i="1"/>
  <c r="P224" i="1" s="1"/>
  <c r="S224" i="1" s="1"/>
  <c r="M224" i="1" s="1"/>
  <c r="N224" i="1" s="1"/>
  <c r="AC224" i="1"/>
  <c r="AD227" i="1"/>
  <c r="W227" i="1"/>
  <c r="AA227" i="1" s="1"/>
  <c r="AC227" i="1"/>
  <c r="AE141" i="1"/>
  <c r="W201" i="1"/>
  <c r="AA201" i="1" s="1"/>
  <c r="AD201" i="1"/>
  <c r="AC201" i="1"/>
  <c r="AE34" i="1"/>
  <c r="W49" i="1"/>
  <c r="AA49" i="1" s="1"/>
  <c r="AD49" i="1"/>
  <c r="AC49" i="1"/>
  <c r="W56" i="1"/>
  <c r="AA56" i="1" s="1"/>
  <c r="AD56" i="1"/>
  <c r="AC56" i="1"/>
  <c r="W133" i="1"/>
  <c r="AA133" i="1" s="1"/>
  <c r="AD133" i="1"/>
  <c r="AE133" i="1" s="1"/>
  <c r="AC133" i="1"/>
  <c r="R133" i="1"/>
  <c r="P133" i="1" s="1"/>
  <c r="S133" i="1" s="1"/>
  <c r="M133" i="1" s="1"/>
  <c r="N133" i="1" s="1"/>
  <c r="AD127" i="1"/>
  <c r="W127" i="1"/>
  <c r="AA127" i="1" s="1"/>
  <c r="R127" i="1"/>
  <c r="P127" i="1" s="1"/>
  <c r="S127" i="1" s="1"/>
  <c r="M127" i="1" s="1"/>
  <c r="N127" i="1" s="1"/>
  <c r="AC127" i="1"/>
  <c r="W159" i="1"/>
  <c r="AA159" i="1" s="1"/>
  <c r="AD159" i="1"/>
  <c r="AE159" i="1" s="1"/>
  <c r="AC159" i="1"/>
  <c r="AD211" i="1"/>
  <c r="W211" i="1"/>
  <c r="AA211" i="1" s="1"/>
  <c r="AC211" i="1"/>
  <c r="R227" i="1"/>
  <c r="P227" i="1" s="1"/>
  <c r="S227" i="1" s="1"/>
  <c r="M227" i="1" s="1"/>
  <c r="N227" i="1" s="1"/>
  <c r="R56" i="1"/>
  <c r="P56" i="1" s="1"/>
  <c r="S56" i="1" s="1"/>
  <c r="M56" i="1" s="1"/>
  <c r="N56" i="1" s="1"/>
  <c r="AD123" i="1"/>
  <c r="AE123" i="1" s="1"/>
  <c r="W123" i="1"/>
  <c r="AA123" i="1" s="1"/>
  <c r="AC123" i="1"/>
  <c r="R123" i="1"/>
  <c r="P123" i="1" s="1"/>
  <c r="S123" i="1" s="1"/>
  <c r="M123" i="1" s="1"/>
  <c r="N123" i="1" s="1"/>
  <c r="AE128" i="1"/>
  <c r="W74" i="1"/>
  <c r="AA74" i="1" s="1"/>
  <c r="AD74" i="1"/>
  <c r="AE74" i="1" s="1"/>
  <c r="AC74" i="1"/>
  <c r="R74" i="1"/>
  <c r="P74" i="1" s="1"/>
  <c r="S74" i="1" s="1"/>
  <c r="M74" i="1" s="1"/>
  <c r="N74" i="1" s="1"/>
  <c r="W86" i="1"/>
  <c r="AA86" i="1" s="1"/>
  <c r="AD86" i="1"/>
  <c r="R86" i="1"/>
  <c r="P86" i="1" s="1"/>
  <c r="S86" i="1" s="1"/>
  <c r="M86" i="1" s="1"/>
  <c r="N86" i="1" s="1"/>
  <c r="AC86" i="1"/>
  <c r="W197" i="1"/>
  <c r="AA197" i="1" s="1"/>
  <c r="AD197" i="1"/>
  <c r="AE197" i="1" s="1"/>
  <c r="AC197" i="1"/>
  <c r="AD188" i="1"/>
  <c r="AE188" i="1" s="1"/>
  <c r="W188" i="1"/>
  <c r="AA188" i="1" s="1"/>
  <c r="AC188" i="1"/>
  <c r="R188" i="1"/>
  <c r="P188" i="1" s="1"/>
  <c r="S188" i="1" s="1"/>
  <c r="M188" i="1" s="1"/>
  <c r="N188" i="1" s="1"/>
  <c r="W43" i="1"/>
  <c r="AA43" i="1" s="1"/>
  <c r="AD43" i="1"/>
  <c r="AC43" i="1"/>
  <c r="W72" i="1"/>
  <c r="AA72" i="1" s="1"/>
  <c r="AC72" i="1"/>
  <c r="AD72" i="1"/>
  <c r="R72" i="1"/>
  <c r="P72" i="1" s="1"/>
  <c r="S72" i="1" s="1"/>
  <c r="M72" i="1" s="1"/>
  <c r="N72" i="1" s="1"/>
  <c r="W82" i="1"/>
  <c r="AA82" i="1" s="1"/>
  <c r="AD82" i="1"/>
  <c r="R82" i="1"/>
  <c r="P82" i="1" s="1"/>
  <c r="S82" i="1" s="1"/>
  <c r="M82" i="1" s="1"/>
  <c r="N82" i="1" s="1"/>
  <c r="AC82" i="1"/>
  <c r="AD162" i="1"/>
  <c r="W162" i="1"/>
  <c r="AA162" i="1" s="1"/>
  <c r="AC162" i="1"/>
  <c r="R162" i="1"/>
  <c r="P162" i="1" s="1"/>
  <c r="S162" i="1" s="1"/>
  <c r="M162" i="1" s="1"/>
  <c r="N162" i="1" s="1"/>
  <c r="AC27" i="1"/>
  <c r="W27" i="1"/>
  <c r="AA27" i="1" s="1"/>
  <c r="AD27" i="1"/>
  <c r="AE54" i="1"/>
  <c r="W76" i="1"/>
  <c r="AA76" i="1" s="1"/>
  <c r="AD76" i="1"/>
  <c r="AE76" i="1" s="1"/>
  <c r="R76" i="1"/>
  <c r="P76" i="1" s="1"/>
  <c r="S76" i="1" s="1"/>
  <c r="M76" i="1" s="1"/>
  <c r="N76" i="1" s="1"/>
  <c r="AC76" i="1"/>
  <c r="W47" i="1"/>
  <c r="AA47" i="1" s="1"/>
  <c r="AD47" i="1"/>
  <c r="AC47" i="1"/>
  <c r="W147" i="1"/>
  <c r="AA147" i="1" s="1"/>
  <c r="AC147" i="1"/>
  <c r="AD147" i="1"/>
  <c r="AE147" i="1" s="1"/>
  <c r="AD144" i="1"/>
  <c r="AE144" i="1" s="1"/>
  <c r="AC144" i="1"/>
  <c r="W144" i="1"/>
  <c r="AA144" i="1" s="1"/>
  <c r="AD187" i="1"/>
  <c r="W187" i="1"/>
  <c r="AA187" i="1" s="1"/>
  <c r="R187" i="1"/>
  <c r="P187" i="1" s="1"/>
  <c r="S187" i="1" s="1"/>
  <c r="M187" i="1" s="1"/>
  <c r="N187" i="1" s="1"/>
  <c r="AC187" i="1"/>
  <c r="AE161" i="1"/>
  <c r="W66" i="1"/>
  <c r="AA66" i="1" s="1"/>
  <c r="AD66" i="1"/>
  <c r="AC66" i="1"/>
  <c r="W35" i="1"/>
  <c r="AA35" i="1" s="1"/>
  <c r="AD35" i="1"/>
  <c r="AC35" i="1"/>
  <c r="R35" i="1"/>
  <c r="P35" i="1" s="1"/>
  <c r="S35" i="1" s="1"/>
  <c r="M35" i="1" s="1"/>
  <c r="N35" i="1" s="1"/>
  <c r="R66" i="1"/>
  <c r="P66" i="1" s="1"/>
  <c r="S66" i="1" s="1"/>
  <c r="M66" i="1" s="1"/>
  <c r="N66" i="1" s="1"/>
  <c r="W64" i="1"/>
  <c r="AA64" i="1" s="1"/>
  <c r="AD64" i="1"/>
  <c r="AC64" i="1"/>
  <c r="AD111" i="1"/>
  <c r="AC111" i="1"/>
  <c r="W111" i="1"/>
  <c r="AA111" i="1" s="1"/>
  <c r="AE107" i="1"/>
  <c r="W70" i="1"/>
  <c r="AA70" i="1" s="1"/>
  <c r="AD70" i="1"/>
  <c r="AE70" i="1" s="1"/>
  <c r="AC70" i="1"/>
  <c r="R70" i="1"/>
  <c r="P70" i="1" s="1"/>
  <c r="S70" i="1" s="1"/>
  <c r="M70" i="1" s="1"/>
  <c r="N70" i="1" s="1"/>
  <c r="W152" i="1"/>
  <c r="AA152" i="1" s="1"/>
  <c r="AD152" i="1"/>
  <c r="AC152" i="1"/>
  <c r="W55" i="1"/>
  <c r="AA55" i="1" s="1"/>
  <c r="AD55" i="1"/>
  <c r="AE55" i="1" s="1"/>
  <c r="AC55" i="1"/>
  <c r="AD130" i="1"/>
  <c r="AE130" i="1" s="1"/>
  <c r="W130" i="1"/>
  <c r="AA130" i="1" s="1"/>
  <c r="AC130" i="1"/>
  <c r="AE132" i="1"/>
  <c r="W131" i="1"/>
  <c r="AA131" i="1" s="1"/>
  <c r="AD131" i="1"/>
  <c r="AC131" i="1"/>
  <c r="R131" i="1"/>
  <c r="P131" i="1" s="1"/>
  <c r="S131" i="1" s="1"/>
  <c r="M131" i="1" s="1"/>
  <c r="N131" i="1" s="1"/>
  <c r="AD173" i="1"/>
  <c r="AE173" i="1" s="1"/>
  <c r="W173" i="1"/>
  <c r="AA173" i="1" s="1"/>
  <c r="AC173" i="1"/>
  <c r="AE32" i="1"/>
  <c r="AD73" i="1"/>
  <c r="AE73" i="1" s="1"/>
  <c r="AC73" i="1"/>
  <c r="W73" i="1"/>
  <c r="AA73" i="1" s="1"/>
  <c r="W198" i="1"/>
  <c r="AA198" i="1" s="1"/>
  <c r="AD198" i="1"/>
  <c r="AC198" i="1"/>
  <c r="W62" i="1"/>
  <c r="AA62" i="1" s="1"/>
  <c r="AD62" i="1"/>
  <c r="AC62" i="1"/>
  <c r="AC176" i="1"/>
  <c r="W176" i="1"/>
  <c r="AA176" i="1" s="1"/>
  <c r="AD176" i="1"/>
  <c r="AE176" i="1" s="1"/>
  <c r="W58" i="1"/>
  <c r="AA58" i="1" s="1"/>
  <c r="AD58" i="1"/>
  <c r="AE58" i="1" s="1"/>
  <c r="AC58" i="1"/>
  <c r="AD136" i="1"/>
  <c r="W136" i="1"/>
  <c r="AA136" i="1" s="1"/>
  <c r="AC136" i="1"/>
  <c r="AE158" i="1"/>
  <c r="W220" i="1"/>
  <c r="AA220" i="1" s="1"/>
  <c r="AD220" i="1"/>
  <c r="AC220" i="1"/>
  <c r="W143" i="1"/>
  <c r="AA143" i="1" s="1"/>
  <c r="AC143" i="1"/>
  <c r="AD143" i="1"/>
  <c r="AE143" i="1" s="1"/>
  <c r="R143" i="1"/>
  <c r="P143" i="1" s="1"/>
  <c r="S143" i="1" s="1"/>
  <c r="M143" i="1" s="1"/>
  <c r="N143" i="1" s="1"/>
  <c r="R27" i="1"/>
  <c r="P27" i="1" s="1"/>
  <c r="S27" i="1" s="1"/>
  <c r="M27" i="1" s="1"/>
  <c r="N27" i="1" s="1"/>
  <c r="W18" i="1"/>
  <c r="AA18" i="1" s="1"/>
  <c r="AD18" i="1"/>
  <c r="AC18" i="1"/>
  <c r="AE57" i="1"/>
  <c r="R144" i="1"/>
  <c r="P144" i="1" s="1"/>
  <c r="S144" i="1" s="1"/>
  <c r="M144" i="1" s="1"/>
  <c r="N144" i="1" s="1"/>
  <c r="W19" i="1"/>
  <c r="AA19" i="1" s="1"/>
  <c r="AD19" i="1"/>
  <c r="AC19" i="1"/>
  <c r="R19" i="1"/>
  <c r="P19" i="1" s="1"/>
  <c r="S19" i="1" s="1"/>
  <c r="M19" i="1" s="1"/>
  <c r="N19" i="1" s="1"/>
  <c r="R198" i="1"/>
  <c r="P198" i="1" s="1"/>
  <c r="S198" i="1" s="1"/>
  <c r="M198" i="1" s="1"/>
  <c r="N198" i="1" s="1"/>
  <c r="AD98" i="1"/>
  <c r="W98" i="1"/>
  <c r="AA98" i="1" s="1"/>
  <c r="R98" i="1"/>
  <c r="P98" i="1" s="1"/>
  <c r="S98" i="1" s="1"/>
  <c r="M98" i="1" s="1"/>
  <c r="N98" i="1" s="1"/>
  <c r="AC98" i="1"/>
  <c r="R138" i="1"/>
  <c r="P138" i="1" s="1"/>
  <c r="S138" i="1" s="1"/>
  <c r="M138" i="1" s="1"/>
  <c r="N138" i="1" s="1"/>
  <c r="R201" i="1"/>
  <c r="P201" i="1" s="1"/>
  <c r="S201" i="1" s="1"/>
  <c r="M201" i="1" s="1"/>
  <c r="N201" i="1" s="1"/>
  <c r="AE36" i="1"/>
  <c r="AD29" i="1"/>
  <c r="AE29" i="1" s="1"/>
  <c r="W29" i="1"/>
  <c r="AA29" i="1" s="1"/>
  <c r="AC29" i="1"/>
  <c r="W148" i="1"/>
  <c r="AA148" i="1" s="1"/>
  <c r="AD148" i="1"/>
  <c r="AE148" i="1" s="1"/>
  <c r="AC148" i="1"/>
  <c r="AD100" i="1"/>
  <c r="AE100" i="1" s="1"/>
  <c r="W100" i="1"/>
  <c r="AA100" i="1" s="1"/>
  <c r="R100" i="1"/>
  <c r="P100" i="1" s="1"/>
  <c r="S100" i="1" s="1"/>
  <c r="M100" i="1" s="1"/>
  <c r="N100" i="1" s="1"/>
  <c r="AC100" i="1"/>
  <c r="AD189" i="1"/>
  <c r="W189" i="1"/>
  <c r="AA189" i="1" s="1"/>
  <c r="AC189" i="1"/>
  <c r="AD20" i="1"/>
  <c r="W20" i="1"/>
  <c r="AA20" i="1" s="1"/>
  <c r="AC20" i="1"/>
  <c r="AE89" i="1"/>
  <c r="W182" i="1"/>
  <c r="AA182" i="1" s="1"/>
  <c r="AD182" i="1"/>
  <c r="AC182" i="1"/>
  <c r="R182" i="1"/>
  <c r="P182" i="1" s="1"/>
  <c r="S182" i="1" s="1"/>
  <c r="M182" i="1" s="1"/>
  <c r="N182" i="1" s="1"/>
  <c r="R130" i="1"/>
  <c r="P130" i="1" s="1"/>
  <c r="S130" i="1" s="1"/>
  <c r="M130" i="1" s="1"/>
  <c r="N130" i="1" s="1"/>
  <c r="W52" i="1"/>
  <c r="AA52" i="1" s="1"/>
  <c r="AD52" i="1"/>
  <c r="AE52" i="1" s="1"/>
  <c r="AC52" i="1"/>
  <c r="AD113" i="1"/>
  <c r="W113" i="1"/>
  <c r="AA113" i="1" s="1"/>
  <c r="AC113" i="1"/>
  <c r="W151" i="1"/>
  <c r="AA151" i="1" s="1"/>
  <c r="AC151" i="1"/>
  <c r="AD151" i="1"/>
  <c r="AE151" i="1" s="1"/>
  <c r="W83" i="1"/>
  <c r="AA83" i="1" s="1"/>
  <c r="AD83" i="1"/>
  <c r="AE83" i="1" s="1"/>
  <c r="AC83" i="1"/>
  <c r="AD96" i="1"/>
  <c r="W96" i="1"/>
  <c r="AA96" i="1" s="1"/>
  <c r="R96" i="1"/>
  <c r="P96" i="1" s="1"/>
  <c r="S96" i="1" s="1"/>
  <c r="M96" i="1" s="1"/>
  <c r="N96" i="1" s="1"/>
  <c r="AC96" i="1"/>
  <c r="AD75" i="1"/>
  <c r="AE75" i="1" s="1"/>
  <c r="W75" i="1"/>
  <c r="AA75" i="1" s="1"/>
  <c r="AC75" i="1"/>
  <c r="R44" i="1"/>
  <c r="P44" i="1" s="1"/>
  <c r="S44" i="1" s="1"/>
  <c r="M44" i="1" s="1"/>
  <c r="N44" i="1" s="1"/>
  <c r="AD102" i="1"/>
  <c r="W102" i="1"/>
  <c r="AA102" i="1" s="1"/>
  <c r="R102" i="1"/>
  <c r="P102" i="1" s="1"/>
  <c r="S102" i="1" s="1"/>
  <c r="M102" i="1" s="1"/>
  <c r="N102" i="1" s="1"/>
  <c r="AC102" i="1"/>
  <c r="W110" i="1"/>
  <c r="AA110" i="1" s="1"/>
  <c r="AD110" i="1"/>
  <c r="AE110" i="1" s="1"/>
  <c r="AC110" i="1"/>
  <c r="R110" i="1"/>
  <c r="P110" i="1" s="1"/>
  <c r="S110" i="1" s="1"/>
  <c r="M110" i="1" s="1"/>
  <c r="N110" i="1" s="1"/>
  <c r="W139" i="1"/>
  <c r="AA139" i="1" s="1"/>
  <c r="AD139" i="1"/>
  <c r="AC139" i="1"/>
  <c r="R139" i="1"/>
  <c r="P139" i="1" s="1"/>
  <c r="S139" i="1" s="1"/>
  <c r="M139" i="1" s="1"/>
  <c r="N139" i="1" s="1"/>
  <c r="AD177" i="1"/>
  <c r="AE177" i="1" s="1"/>
  <c r="W177" i="1"/>
  <c r="AA177" i="1" s="1"/>
  <c r="AC177" i="1"/>
  <c r="W226" i="1"/>
  <c r="AA226" i="1" s="1"/>
  <c r="AD226" i="1"/>
  <c r="AC226" i="1"/>
  <c r="W93" i="1"/>
  <c r="AA93" i="1" s="1"/>
  <c r="AD93" i="1"/>
  <c r="AC93" i="1"/>
  <c r="W80" i="1"/>
  <c r="AA80" i="1" s="1"/>
  <c r="AD80" i="1"/>
  <c r="AE80" i="1" s="1"/>
  <c r="AC80" i="1"/>
  <c r="W114" i="1"/>
  <c r="AA114" i="1" s="1"/>
  <c r="AD114" i="1"/>
  <c r="AC114" i="1"/>
  <c r="AC172" i="1"/>
  <c r="AD172" i="1"/>
  <c r="AE172" i="1" s="1"/>
  <c r="W172" i="1"/>
  <c r="AA172" i="1" s="1"/>
  <c r="W118" i="1"/>
  <c r="AA118" i="1" s="1"/>
  <c r="AC118" i="1"/>
  <c r="AD118" i="1"/>
  <c r="R118" i="1"/>
  <c r="P118" i="1" s="1"/>
  <c r="S118" i="1" s="1"/>
  <c r="M118" i="1" s="1"/>
  <c r="N118" i="1" s="1"/>
  <c r="W40" i="1"/>
  <c r="AA40" i="1" s="1"/>
  <c r="AD40" i="1"/>
  <c r="AC40" i="1"/>
  <c r="R18" i="1"/>
  <c r="P18" i="1" s="1"/>
  <c r="S18" i="1" s="1"/>
  <c r="M18" i="1" s="1"/>
  <c r="N18" i="1" s="1"/>
  <c r="W51" i="1"/>
  <c r="AA51" i="1" s="1"/>
  <c r="AD51" i="1"/>
  <c r="AE51" i="1" s="1"/>
  <c r="AC51" i="1"/>
  <c r="AE61" i="1"/>
  <c r="AD169" i="1"/>
  <c r="W169" i="1"/>
  <c r="AA169" i="1" s="1"/>
  <c r="AC169" i="1"/>
  <c r="R52" i="1"/>
  <c r="P52" i="1" s="1"/>
  <c r="S52" i="1" s="1"/>
  <c r="M52" i="1" s="1"/>
  <c r="N52" i="1" s="1"/>
  <c r="W104" i="1"/>
  <c r="AA104" i="1" s="1"/>
  <c r="AD104" i="1"/>
  <c r="R104" i="1"/>
  <c r="P104" i="1" s="1"/>
  <c r="S104" i="1" s="1"/>
  <c r="M104" i="1" s="1"/>
  <c r="N104" i="1" s="1"/>
  <c r="AC104" i="1"/>
  <c r="R152" i="1"/>
  <c r="P152" i="1" s="1"/>
  <c r="S152" i="1" s="1"/>
  <c r="M152" i="1" s="1"/>
  <c r="N152" i="1" s="1"/>
  <c r="AE175" i="1"/>
  <c r="AE50" i="1"/>
  <c r="W78" i="1"/>
  <c r="AA78" i="1" s="1"/>
  <c r="AD78" i="1"/>
  <c r="AE78" i="1" s="1"/>
  <c r="AC78" i="1"/>
  <c r="W160" i="1"/>
  <c r="AA160" i="1" s="1"/>
  <c r="AD160" i="1"/>
  <c r="AC160" i="1"/>
  <c r="R160" i="1"/>
  <c r="P160" i="1" s="1"/>
  <c r="S160" i="1" s="1"/>
  <c r="M160" i="1" s="1"/>
  <c r="N160" i="1" s="1"/>
  <c r="AD219" i="1"/>
  <c r="AE219" i="1" s="1"/>
  <c r="AC219" i="1"/>
  <c r="W219" i="1"/>
  <c r="AA219" i="1" s="1"/>
  <c r="AD215" i="1"/>
  <c r="AE215" i="1" s="1"/>
  <c r="AC215" i="1"/>
  <c r="W215" i="1"/>
  <c r="AA215" i="1" s="1"/>
  <c r="AE117" i="1"/>
  <c r="AE140" i="1"/>
  <c r="W24" i="1"/>
  <c r="AA24" i="1" s="1"/>
  <c r="AD24" i="1"/>
  <c r="AE24" i="1" s="1"/>
  <c r="AC24" i="1"/>
  <c r="W84" i="1"/>
  <c r="AA84" i="1" s="1"/>
  <c r="AC84" i="1"/>
  <c r="R84" i="1"/>
  <c r="P84" i="1" s="1"/>
  <c r="S84" i="1" s="1"/>
  <c r="M84" i="1" s="1"/>
  <c r="N84" i="1" s="1"/>
  <c r="AD84" i="1"/>
  <c r="AE84" i="1" s="1"/>
  <c r="W190" i="1"/>
  <c r="AA190" i="1" s="1"/>
  <c r="AD190" i="1"/>
  <c r="AE190" i="1" s="1"/>
  <c r="AC190" i="1"/>
  <c r="AD196" i="1"/>
  <c r="AE196" i="1" s="1"/>
  <c r="W196" i="1"/>
  <c r="AA196" i="1" s="1"/>
  <c r="AC196" i="1"/>
  <c r="W194" i="1"/>
  <c r="AA194" i="1" s="1"/>
  <c r="AD194" i="1"/>
  <c r="AE194" i="1" s="1"/>
  <c r="AC194" i="1"/>
  <c r="W108" i="1"/>
  <c r="AA108" i="1" s="1"/>
  <c r="AC108" i="1"/>
  <c r="AD108" i="1"/>
  <c r="R108" i="1"/>
  <c r="P108" i="1" s="1"/>
  <c r="S108" i="1" s="1"/>
  <c r="M108" i="1" s="1"/>
  <c r="N108" i="1" s="1"/>
  <c r="AD17" i="1"/>
  <c r="W17" i="1"/>
  <c r="AA17" i="1" s="1"/>
  <c r="AC17" i="1"/>
  <c r="W30" i="1"/>
  <c r="AA30" i="1" s="1"/>
  <c r="AD30" i="1"/>
  <c r="AE30" i="1" s="1"/>
  <c r="AC30" i="1"/>
  <c r="W106" i="1"/>
  <c r="AA106" i="1" s="1"/>
  <c r="AD106" i="1"/>
  <c r="AE106" i="1" s="1"/>
  <c r="AC106" i="1"/>
  <c r="R106" i="1"/>
  <c r="P106" i="1" s="1"/>
  <c r="S106" i="1" s="1"/>
  <c r="M106" i="1" s="1"/>
  <c r="N106" i="1" s="1"/>
  <c r="AD185" i="1"/>
  <c r="W185" i="1"/>
  <c r="AA185" i="1" s="1"/>
  <c r="AC185" i="1"/>
  <c r="W199" i="1"/>
  <c r="AA199" i="1" s="1"/>
  <c r="AD199" i="1"/>
  <c r="AE199" i="1" s="1"/>
  <c r="AC199" i="1"/>
  <c r="W206" i="1"/>
  <c r="AA206" i="1" s="1"/>
  <c r="AD206" i="1"/>
  <c r="AC206" i="1"/>
  <c r="R75" i="1"/>
  <c r="P75" i="1" s="1"/>
  <c r="S75" i="1" s="1"/>
  <c r="M75" i="1" s="1"/>
  <c r="N75" i="1" s="1"/>
  <c r="W45" i="1"/>
  <c r="AA45" i="1" s="1"/>
  <c r="AD45" i="1"/>
  <c r="AE45" i="1" s="1"/>
  <c r="AC45" i="1"/>
  <c r="W156" i="1"/>
  <c r="AA156" i="1" s="1"/>
  <c r="AD156" i="1"/>
  <c r="AC156" i="1"/>
  <c r="AD204" i="1"/>
  <c r="W204" i="1"/>
  <c r="AA204" i="1" s="1"/>
  <c r="AC204" i="1"/>
  <c r="W228" i="1"/>
  <c r="AA228" i="1" s="1"/>
  <c r="AD228" i="1"/>
  <c r="AE228" i="1" s="1"/>
  <c r="AC228" i="1"/>
  <c r="R228" i="1"/>
  <c r="P228" i="1" s="1"/>
  <c r="S228" i="1" s="1"/>
  <c r="M228" i="1" s="1"/>
  <c r="N228" i="1" s="1"/>
  <c r="R41" i="1"/>
  <c r="P41" i="1" s="1"/>
  <c r="S41" i="1" s="1"/>
  <c r="M41" i="1" s="1"/>
  <c r="N41" i="1" s="1"/>
  <c r="W214" i="1"/>
  <c r="AA214" i="1" s="1"/>
  <c r="AC214" i="1"/>
  <c r="AD214" i="1"/>
  <c r="AE214" i="1" s="1"/>
  <c r="AE87" i="1"/>
  <c r="AD186" i="1"/>
  <c r="AE186" i="1" s="1"/>
  <c r="W186" i="1"/>
  <c r="AA186" i="1" s="1"/>
  <c r="AC186" i="1"/>
  <c r="R186" i="1"/>
  <c r="P186" i="1" s="1"/>
  <c r="S186" i="1" s="1"/>
  <c r="M186" i="1" s="1"/>
  <c r="N186" i="1" s="1"/>
  <c r="W39" i="1"/>
  <c r="AA39" i="1" s="1"/>
  <c r="AD39" i="1"/>
  <c r="AC39" i="1"/>
  <c r="AD23" i="1"/>
  <c r="AE23" i="1" s="1"/>
  <c r="AC23" i="1"/>
  <c r="W23" i="1"/>
  <c r="AA23" i="1" s="1"/>
  <c r="R23" i="1"/>
  <c r="P23" i="1" s="1"/>
  <c r="S23" i="1" s="1"/>
  <c r="M23" i="1" s="1"/>
  <c r="N23" i="1" s="1"/>
  <c r="AE81" i="1"/>
  <c r="R113" i="1"/>
  <c r="P113" i="1" s="1"/>
  <c r="S113" i="1" s="1"/>
  <c r="M113" i="1" s="1"/>
  <c r="N113" i="1" s="1"/>
  <c r="AE149" i="1"/>
  <c r="AC180" i="1"/>
  <c r="AD180" i="1"/>
  <c r="W180" i="1"/>
  <c r="AA180" i="1" s="1"/>
  <c r="AD207" i="1"/>
  <c r="W207" i="1"/>
  <c r="AA207" i="1" s="1"/>
  <c r="AC207" i="1"/>
  <c r="AE46" i="1"/>
  <c r="AE97" i="1"/>
  <c r="AD200" i="1"/>
  <c r="AE200" i="1" s="1"/>
  <c r="W200" i="1"/>
  <c r="AA200" i="1" s="1"/>
  <c r="AC200" i="1"/>
  <c r="R93" i="1"/>
  <c r="P93" i="1" s="1"/>
  <c r="S93" i="1" s="1"/>
  <c r="M93" i="1" s="1"/>
  <c r="N93" i="1" s="1"/>
  <c r="AE71" i="1"/>
  <c r="W112" i="1"/>
  <c r="AA112" i="1" s="1"/>
  <c r="AD112" i="1"/>
  <c r="R112" i="1"/>
  <c r="P112" i="1" s="1"/>
  <c r="S112" i="1" s="1"/>
  <c r="M112" i="1" s="1"/>
  <c r="N112" i="1" s="1"/>
  <c r="AC112" i="1"/>
  <c r="W164" i="1"/>
  <c r="AA164" i="1" s="1"/>
  <c r="AD164" i="1"/>
  <c r="AE164" i="1" s="1"/>
  <c r="AC164" i="1"/>
  <c r="W178" i="1"/>
  <c r="AA178" i="1" s="1"/>
  <c r="AD178" i="1"/>
  <c r="R178" i="1"/>
  <c r="P178" i="1" s="1"/>
  <c r="S178" i="1" s="1"/>
  <c r="M178" i="1" s="1"/>
  <c r="N178" i="1" s="1"/>
  <c r="AC178" i="1"/>
  <c r="W195" i="1"/>
  <c r="AA195" i="1" s="1"/>
  <c r="AD195" i="1"/>
  <c r="AE195" i="1" s="1"/>
  <c r="AC195" i="1"/>
  <c r="W218" i="1"/>
  <c r="AA218" i="1" s="1"/>
  <c r="AC218" i="1"/>
  <c r="AD218" i="1"/>
  <c r="AE218" i="1" s="1"/>
  <c r="AE91" i="1"/>
  <c r="W216" i="1"/>
  <c r="AA216" i="1" s="1"/>
  <c r="AD216" i="1"/>
  <c r="AE216" i="1" s="1"/>
  <c r="AC216" i="1"/>
  <c r="R216" i="1"/>
  <c r="P216" i="1" s="1"/>
  <c r="S216" i="1" s="1"/>
  <c r="M216" i="1" s="1"/>
  <c r="N216" i="1" s="1"/>
  <c r="W60" i="1"/>
  <c r="AA60" i="1" s="1"/>
  <c r="AD60" i="1"/>
  <c r="AC60" i="1"/>
  <c r="AD223" i="1"/>
  <c r="W223" i="1"/>
  <c r="AA223" i="1" s="1"/>
  <c r="AC223" i="1"/>
  <c r="R60" i="1"/>
  <c r="P60" i="1" s="1"/>
  <c r="S60" i="1" s="1"/>
  <c r="M60" i="1" s="1"/>
  <c r="N60" i="1" s="1"/>
  <c r="AE77" i="1"/>
  <c r="AE121" i="1"/>
  <c r="W171" i="1"/>
  <c r="AA171" i="1" s="1"/>
  <c r="AD171" i="1"/>
  <c r="AC171" i="1"/>
  <c r="AD165" i="1"/>
  <c r="AE165" i="1" s="1"/>
  <c r="W165" i="1"/>
  <c r="AA165" i="1" s="1"/>
  <c r="R165" i="1"/>
  <c r="P165" i="1" s="1"/>
  <c r="S165" i="1" s="1"/>
  <c r="M165" i="1" s="1"/>
  <c r="N165" i="1" s="1"/>
  <c r="AC165" i="1"/>
  <c r="W22" i="1"/>
  <c r="AA22" i="1" s="1"/>
  <c r="AD22" i="1"/>
  <c r="AC22" i="1"/>
  <c r="AD125" i="1"/>
  <c r="W125" i="1"/>
  <c r="AA125" i="1" s="1"/>
  <c r="R125" i="1"/>
  <c r="P125" i="1" s="1"/>
  <c r="S125" i="1" s="1"/>
  <c r="M125" i="1" s="1"/>
  <c r="N125" i="1" s="1"/>
  <c r="AC125" i="1"/>
  <c r="AD94" i="1"/>
  <c r="AE94" i="1" s="1"/>
  <c r="W94" i="1"/>
  <c r="AA94" i="1" s="1"/>
  <c r="AC94" i="1"/>
  <c r="R94" i="1"/>
  <c r="P94" i="1" s="1"/>
  <c r="S94" i="1" s="1"/>
  <c r="M94" i="1" s="1"/>
  <c r="N94" i="1" s="1"/>
  <c r="W155" i="1"/>
  <c r="AA155" i="1" s="1"/>
  <c r="AD155" i="1"/>
  <c r="AC155" i="1"/>
  <c r="R151" i="1"/>
  <c r="P151" i="1" s="1"/>
  <c r="S151" i="1" s="1"/>
  <c r="M151" i="1" s="1"/>
  <c r="N151" i="1" s="1"/>
  <c r="AD181" i="1"/>
  <c r="AE181" i="1" s="1"/>
  <c r="W181" i="1"/>
  <c r="AA181" i="1" s="1"/>
  <c r="AC181" i="1"/>
  <c r="W33" i="1"/>
  <c r="AA33" i="1" s="1"/>
  <c r="AD33" i="1"/>
  <c r="R33" i="1"/>
  <c r="P33" i="1" s="1"/>
  <c r="S33" i="1" s="1"/>
  <c r="M33" i="1" s="1"/>
  <c r="N33" i="1" s="1"/>
  <c r="AC33" i="1"/>
  <c r="W122" i="1"/>
  <c r="AA122" i="1" s="1"/>
  <c r="AC122" i="1"/>
  <c r="R122" i="1"/>
  <c r="P122" i="1" s="1"/>
  <c r="S122" i="1" s="1"/>
  <c r="M122" i="1" s="1"/>
  <c r="N122" i="1" s="1"/>
  <c r="AD122" i="1"/>
  <c r="R190" i="1"/>
  <c r="P190" i="1" s="1"/>
  <c r="S190" i="1" s="1"/>
  <c r="M190" i="1" s="1"/>
  <c r="N190" i="1" s="1"/>
  <c r="W92" i="1"/>
  <c r="AA92" i="1" s="1"/>
  <c r="AC92" i="1"/>
  <c r="R92" i="1"/>
  <c r="P92" i="1" s="1"/>
  <c r="S92" i="1" s="1"/>
  <c r="M92" i="1" s="1"/>
  <c r="N92" i="1" s="1"/>
  <c r="AD92" i="1"/>
  <c r="AE92" i="1" s="1"/>
  <c r="W129" i="1"/>
  <c r="AA129" i="1" s="1"/>
  <c r="AD129" i="1"/>
  <c r="AE129" i="1" s="1"/>
  <c r="AC129" i="1"/>
  <c r="R129" i="1"/>
  <c r="P129" i="1" s="1"/>
  <c r="S129" i="1" s="1"/>
  <c r="M129" i="1" s="1"/>
  <c r="N129" i="1" s="1"/>
  <c r="W53" i="1"/>
  <c r="AA53" i="1" s="1"/>
  <c r="AD53" i="1"/>
  <c r="AC53" i="1"/>
  <c r="AE154" i="1"/>
  <c r="W21" i="1"/>
  <c r="AA21" i="1" s="1"/>
  <c r="AD21" i="1"/>
  <c r="AE21" i="1" s="1"/>
  <c r="AC21" i="1"/>
  <c r="R21" i="1"/>
  <c r="P21" i="1" s="1"/>
  <c r="S21" i="1" s="1"/>
  <c r="M21" i="1" s="1"/>
  <c r="N21" i="1" s="1"/>
  <c r="R40" i="1"/>
  <c r="P40" i="1" s="1"/>
  <c r="S40" i="1" s="1"/>
  <c r="M40" i="1" s="1"/>
  <c r="N40" i="1" s="1"/>
  <c r="W68" i="1"/>
  <c r="AA68" i="1" s="1"/>
  <c r="AD68" i="1"/>
  <c r="AE68" i="1" s="1"/>
  <c r="AC68" i="1"/>
  <c r="R68" i="1"/>
  <c r="P68" i="1" s="1"/>
  <c r="S68" i="1" s="1"/>
  <c r="M68" i="1" s="1"/>
  <c r="N68" i="1" s="1"/>
  <c r="W137" i="1"/>
  <c r="AA137" i="1" s="1"/>
  <c r="AD137" i="1"/>
  <c r="R137" i="1"/>
  <c r="P137" i="1" s="1"/>
  <c r="S137" i="1" s="1"/>
  <c r="M137" i="1" s="1"/>
  <c r="N137" i="1" s="1"/>
  <c r="AC137" i="1"/>
  <c r="W135" i="1"/>
  <c r="AA135" i="1" s="1"/>
  <c r="AD135" i="1"/>
  <c r="AE135" i="1" s="1"/>
  <c r="AC135" i="1"/>
  <c r="R135" i="1"/>
  <c r="P135" i="1" s="1"/>
  <c r="S135" i="1" s="1"/>
  <c r="M135" i="1" s="1"/>
  <c r="N135" i="1" s="1"/>
  <c r="W222" i="1"/>
  <c r="AA222" i="1" s="1"/>
  <c r="AC222" i="1"/>
  <c r="AD222" i="1"/>
  <c r="AE222" i="1" s="1"/>
  <c r="W120" i="1"/>
  <c r="AA120" i="1" s="1"/>
  <c r="AD120" i="1"/>
  <c r="AC120" i="1"/>
  <c r="R120" i="1"/>
  <c r="P120" i="1" s="1"/>
  <c r="S120" i="1" s="1"/>
  <c r="M120" i="1" s="1"/>
  <c r="N120" i="1" s="1"/>
  <c r="W174" i="1"/>
  <c r="AA174" i="1" s="1"/>
  <c r="AD174" i="1"/>
  <c r="R174" i="1"/>
  <c r="P174" i="1" s="1"/>
  <c r="S174" i="1" s="1"/>
  <c r="M174" i="1" s="1"/>
  <c r="N174" i="1" s="1"/>
  <c r="AC174" i="1"/>
  <c r="R202" i="1"/>
  <c r="P202" i="1" s="1"/>
  <c r="S202" i="1" s="1"/>
  <c r="M202" i="1" s="1"/>
  <c r="N202" i="1" s="1"/>
  <c r="R62" i="1"/>
  <c r="P62" i="1" s="1"/>
  <c r="S62" i="1" s="1"/>
  <c r="M62" i="1" s="1"/>
  <c r="N62" i="1" s="1"/>
  <c r="W90" i="1"/>
  <c r="AA90" i="1" s="1"/>
  <c r="AD90" i="1"/>
  <c r="AE90" i="1" s="1"/>
  <c r="R90" i="1"/>
  <c r="P90" i="1" s="1"/>
  <c r="S90" i="1" s="1"/>
  <c r="M90" i="1" s="1"/>
  <c r="N90" i="1" s="1"/>
  <c r="AC90" i="1"/>
  <c r="W37" i="1"/>
  <c r="AA37" i="1" s="1"/>
  <c r="AD37" i="1"/>
  <c r="AE37" i="1" s="1"/>
  <c r="AC37" i="1"/>
  <c r="W31" i="1"/>
  <c r="AA31" i="1" s="1"/>
  <c r="AC31" i="1"/>
  <c r="AD31" i="1"/>
  <c r="R31" i="1"/>
  <c r="P31" i="1" s="1"/>
  <c r="S31" i="1" s="1"/>
  <c r="M31" i="1" s="1"/>
  <c r="N31" i="1" s="1"/>
  <c r="AD115" i="1"/>
  <c r="AE115" i="1" s="1"/>
  <c r="AC115" i="1"/>
  <c r="W115" i="1"/>
  <c r="AA115" i="1" s="1"/>
  <c r="AD191" i="1"/>
  <c r="AE191" i="1" s="1"/>
  <c r="AC191" i="1"/>
  <c r="W191" i="1"/>
  <c r="AA191" i="1" s="1"/>
  <c r="W168" i="1"/>
  <c r="AA168" i="1" s="1"/>
  <c r="AD168" i="1"/>
  <c r="AE168" i="1" s="1"/>
  <c r="AC168" i="1"/>
  <c r="AD192" i="1"/>
  <c r="W192" i="1"/>
  <c r="AA192" i="1" s="1"/>
  <c r="AC192" i="1"/>
  <c r="AD212" i="1"/>
  <c r="AE212" i="1" s="1"/>
  <c r="W212" i="1"/>
  <c r="AA212" i="1" s="1"/>
  <c r="R212" i="1"/>
  <c r="P212" i="1" s="1"/>
  <c r="S212" i="1" s="1"/>
  <c r="M212" i="1" s="1"/>
  <c r="N212" i="1" s="1"/>
  <c r="AC212" i="1"/>
  <c r="W88" i="1"/>
  <c r="AA88" i="1" s="1"/>
  <c r="AC88" i="1"/>
  <c r="AD88" i="1"/>
  <c r="AE88" i="1" s="1"/>
  <c r="R88" i="1"/>
  <c r="P88" i="1" s="1"/>
  <c r="S88" i="1" s="1"/>
  <c r="M88" i="1" s="1"/>
  <c r="N88" i="1" s="1"/>
  <c r="AD208" i="1"/>
  <c r="W208" i="1"/>
  <c r="AA208" i="1" s="1"/>
  <c r="AC208" i="1"/>
  <c r="AD183" i="1"/>
  <c r="AE183" i="1" s="1"/>
  <c r="W183" i="1"/>
  <c r="AA183" i="1" s="1"/>
  <c r="AC183" i="1"/>
  <c r="R191" i="1"/>
  <c r="P191" i="1" s="1"/>
  <c r="S191" i="1" s="1"/>
  <c r="M191" i="1" s="1"/>
  <c r="N191" i="1" s="1"/>
  <c r="AC210" i="1"/>
  <c r="AD210" i="1"/>
  <c r="W210" i="1"/>
  <c r="AA210" i="1" s="1"/>
  <c r="AD184" i="1"/>
  <c r="AE184" i="1" s="1"/>
  <c r="W184" i="1"/>
  <c r="AA184" i="1" s="1"/>
  <c r="R184" i="1"/>
  <c r="P184" i="1" s="1"/>
  <c r="S184" i="1" s="1"/>
  <c r="M184" i="1" s="1"/>
  <c r="N184" i="1" s="1"/>
  <c r="AC184" i="1"/>
  <c r="W193" i="1"/>
  <c r="AA193" i="1" s="1"/>
  <c r="AD193" i="1"/>
  <c r="AE193" i="1" s="1"/>
  <c r="AC193" i="1"/>
  <c r="R29" i="1"/>
  <c r="P29" i="1" s="1"/>
  <c r="S29" i="1" s="1"/>
  <c r="M29" i="1" s="1"/>
  <c r="N29" i="1" s="1"/>
  <c r="AE109" i="1"/>
  <c r="AE48" i="1"/>
  <c r="AE231" i="1"/>
  <c r="AE31" i="1" l="1"/>
  <c r="AE180" i="1"/>
  <c r="AE72" i="1"/>
  <c r="AE210" i="1"/>
  <c r="AE208" i="1"/>
  <c r="AE120" i="1"/>
  <c r="AE53" i="1"/>
  <c r="AE155" i="1"/>
  <c r="AE39" i="1"/>
  <c r="AE40" i="1"/>
  <c r="AE93" i="1"/>
  <c r="AE20" i="1"/>
  <c r="AE19" i="1"/>
  <c r="AE131" i="1"/>
  <c r="AE162" i="1"/>
  <c r="AE201" i="1"/>
  <c r="AE224" i="1"/>
  <c r="AE33" i="1"/>
  <c r="AE125" i="1"/>
  <c r="AE223" i="1"/>
  <c r="AE112" i="1"/>
  <c r="AE204" i="1"/>
  <c r="AE185" i="1"/>
  <c r="AE169" i="1"/>
  <c r="AE56" i="1"/>
  <c r="AE41" i="1"/>
  <c r="AE171" i="1"/>
  <c r="AE178" i="1"/>
  <c r="AE206" i="1"/>
  <c r="AE160" i="1"/>
  <c r="AE114" i="1"/>
  <c r="AE139" i="1"/>
  <c r="AE136" i="1"/>
  <c r="AE62" i="1"/>
  <c r="AE152" i="1"/>
  <c r="AE35" i="1"/>
  <c r="AE27" i="1"/>
  <c r="AE43" i="1"/>
  <c r="AE192" i="1"/>
  <c r="AE137" i="1"/>
  <c r="AE122" i="1"/>
  <c r="AE22" i="1"/>
  <c r="AE60" i="1"/>
  <c r="AE156" i="1"/>
  <c r="AE17" i="1"/>
  <c r="AE118" i="1"/>
  <c r="AE226" i="1"/>
  <c r="AE102" i="1"/>
  <c r="AE96" i="1"/>
  <c r="AE182" i="1"/>
  <c r="AE189" i="1"/>
  <c r="AE111" i="1"/>
  <c r="AE187" i="1"/>
  <c r="AE47" i="1"/>
  <c r="AE82" i="1"/>
  <c r="AE127" i="1"/>
  <c r="AE116" i="1"/>
  <c r="AE174" i="1"/>
  <c r="AE207" i="1"/>
  <c r="AE104" i="1"/>
  <c r="AE113" i="1"/>
  <c r="AE98" i="1"/>
  <c r="AE211" i="1"/>
  <c r="AE49" i="1"/>
  <c r="AE25" i="1"/>
  <c r="AE44" i="1"/>
  <c r="AE108" i="1"/>
  <c r="AE18" i="1"/>
  <c r="AE220" i="1"/>
  <c r="AE198" i="1"/>
  <c r="AE64" i="1"/>
  <c r="AE66" i="1"/>
  <c r="AE86" i="1"/>
  <c r="AE227" i="1"/>
</calcChain>
</file>

<file path=xl/sharedStrings.xml><?xml version="1.0" encoding="utf-8"?>
<sst xmlns="http://schemas.openxmlformats.org/spreadsheetml/2006/main" count="3225" uniqueCount="763">
  <si>
    <t>File opened</t>
  </si>
  <si>
    <t>2023-07-24 10:18:55</t>
  </si>
  <si>
    <t>Console s/n</t>
  </si>
  <si>
    <t>68C-571076</t>
  </si>
  <si>
    <t>Console ver</t>
  </si>
  <si>
    <t>Bluestem v.2.1.08</t>
  </si>
  <si>
    <t>Scripts ver</t>
  </si>
  <si>
    <t>2022.05  2.1.08, Aug 2022</t>
  </si>
  <si>
    <t>Head s/n</t>
  </si>
  <si>
    <t>68H-581076</t>
  </si>
  <si>
    <t>Head ver</t>
  </si>
  <si>
    <t>1.4.22</t>
  </si>
  <si>
    <t>Head cal</t>
  </si>
  <si>
    <t>{"oxygen": "21", "co2azero": "0.850833", "co2aspan1": "1.00272", "co2aspan2": "-0.03976", "co2aspan2a": "0.284984", "co2aspan2b": "0.282529", "co2aspanconc1": "2473", "co2aspanconc2": "301.4", "co2bzero": "0.868439", "co2bspan1": "1.00227", "co2bspan2": "-0.0386207", "co2bspan2a": "0.284833", "co2bspan2b": "0.282347", "co2bspanconc1": "2473", "co2bspanconc2": "301.4", "h2oazero": "1.04701", "h2oaspan1": "0.996202", "h2oaspan2": "0", "h2oaspan2a": "0.066505", "h2oaspan2b": "0.0662524", "h2oaspanconc1": "11.63", "h2oaspanconc2": "0", "h2obzero": "1.06461", "h2obspan1": "0.99351", "h2obspan2": "0", "h2obspan2a": "0.0653957", "h2obspan2b": "0.0649713", "h2obspanconc1": "11.63", "h2obspanconc2": "0", "tazero": "0.121614", "tbzero": "0.233824", "flowmeterzero": "0.996312", "flowazero": "0.28101", "flowbzero": "0.31827", "chamberpressurezero": "2.60495", "ssa_ref": "37865.9", "ssb_ref": "35475.3"}</t>
  </si>
  <si>
    <t>CO2 rangematch</t>
  </si>
  <si>
    <t>Wed Mar  8 15:59</t>
  </si>
  <si>
    <t>H2O rangematch</t>
  </si>
  <si>
    <t>Wed Mar  8 16:05</t>
  </si>
  <si>
    <t>Chamber type</t>
  </si>
  <si>
    <t>6800-13</t>
  </si>
  <si>
    <t>Chamber s/n</t>
  </si>
  <si>
    <t>CHM-10960</t>
  </si>
  <si>
    <t>Chamber rev</t>
  </si>
  <si>
    <t>0</t>
  </si>
  <si>
    <t>Chamber cal</t>
  </si>
  <si>
    <t>8.12</t>
  </si>
  <si>
    <t>HeadLS type</t>
  </si>
  <si>
    <t>6800-03</t>
  </si>
  <si>
    <t>HeadLS s/n</t>
  </si>
  <si>
    <t>181040</t>
  </si>
  <si>
    <t>HeadLS f</t>
  </si>
  <si>
    <t>0.065 0.0828 0.1212 0.0686</t>
  </si>
  <si>
    <t>HeadLS u0</t>
  </si>
  <si>
    <t>278 337 932 412</t>
  </si>
  <si>
    <t>10:18:55</t>
  </si>
  <si>
    <t>Stability Definition:	ΔCO2 (Meas2): Per=20	ΔH2O (Meas2): Per=20</t>
  </si>
  <si>
    <t>SysConst</t>
  </si>
  <si>
    <t>AvgTime</t>
  </si>
  <si>
    <t>4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</si>
  <si>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</si>
  <si>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</si>
  <si>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</si>
  <si>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</si>
  <si>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</si>
  <si>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</si>
  <si>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</si>
  <si>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</si>
  <si>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</si>
  <si>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</si>
  <si>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</si>
  <si>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</si>
  <si>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</si>
  <si>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</si>
  <si>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</si>
  <si>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</si>
  <si>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</si>
  <si>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</si>
  <si>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</si>
  <si>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</si>
  <si>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</si>
  <si>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</si>
  <si>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</si>
  <si>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</si>
  <si>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</si>
  <si>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</si>
  <si>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</si>
  <si>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</si>
  <si>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</si>
  <si>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</si>
  <si>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</si>
  <si>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</si>
  <si>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</si>
  <si>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</si>
  <si>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</si>
  <si>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</si>
  <si>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</si>
  <si>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</si>
  <si>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</si>
  <si>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</si>
  <si>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</si>
  <si>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</si>
  <si>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</si>
  <si>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</si>
  <si>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</si>
  <si>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</si>
  <si>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</si>
  <si>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</si>
  <si>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9.97078 92.7854 372.141 611.155 845.403 1063.04 1243.82 1429.26</t>
  </si>
  <si>
    <t>Fs_true</t>
  </si>
  <si>
    <t>0.126893 101.801 400.957 601.151 800.133 1001.03 1199.98 1400.42</t>
  </si>
  <si>
    <t>leak_wt</t>
  </si>
  <si>
    <t>SysObs</t>
  </si>
  <si>
    <t>UserDefCon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</si>
  <si>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</si>
  <si>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</si>
  <si>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</si>
  <si>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</si>
  <si>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</si>
  <si>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</si>
  <si>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</si>
  <si>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</si>
  <si>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</si>
  <si>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</si>
  <si>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</si>
  <si>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</si>
  <si>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</si>
  <si>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</si>
  <si>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</si>
  <si>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</si>
  <si>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</si>
  <si>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</si>
  <si>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</si>
  <si>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</si>
  <si>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</si>
  <si>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</si>
  <si>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</si>
  <si>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</si>
  <si>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</si>
  <si>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</si>
  <si>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</si>
  <si>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</si>
  <si>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</si>
  <si>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</si>
  <si>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</si>
  <si>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</si>
  <si>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</si>
  <si>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</si>
  <si>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</si>
  <si>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</si>
  <si>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</si>
  <si>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</si>
  <si>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</si>
  <si>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</si>
  <si>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</si>
  <si>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</si>
  <si>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</si>
  <si>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</si>
  <si>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</si>
  <si>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</si>
  <si>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</si>
  <si>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</si>
  <si>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</si>
  <si>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</si>
  <si>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</si>
  <si>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</si>
  <si>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</si>
  <si>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</si>
  <si>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</si>
  <si>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</si>
  <si>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</si>
  <si>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</si>
  <si>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</si>
  <si>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</si>
  <si>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</si>
  <si>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</si>
  <si>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</si>
  <si>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</si>
  <si>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</si>
  <si>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</si>
  <si>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</si>
  <si>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</si>
  <si>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</si>
  <si>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</si>
  <si>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</si>
  <si>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</si>
  <si>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</si>
  <si>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</si>
  <si>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</si>
  <si>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</si>
  <si>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</si>
  <si>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</si>
  <si>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</si>
  <si>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</si>
  <si>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</si>
  <si>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</si>
  <si>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</si>
  <si>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</si>
  <si>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</si>
  <si>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</si>
  <si>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</si>
  <si>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</si>
  <si>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</si>
  <si>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</si>
  <si>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</si>
  <si>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</si>
  <si>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</si>
  <si>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</si>
  <si>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</si>
  <si>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</si>
  <si>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</si>
  <si>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</si>
  <si>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</si>
  <si>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</si>
  <si>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</si>
  <si>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</si>
  <si>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</si>
  <si>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</si>
  <si>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</si>
  <si>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</si>
  <si>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</si>
  <si>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</si>
  <si>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</si>
  <si>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</si>
  <si>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</si>
  <si>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</si>
  <si>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</si>
  <si>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</si>
  <si>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</si>
  <si>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</si>
  <si>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</si>
  <si>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</si>
  <si>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</si>
  <si>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</si>
  <si>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</si>
  <si>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</si>
  <si>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</si>
  <si>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</si>
  <si>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</si>
  <si>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</si>
  <si>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</si>
  <si>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</si>
  <si>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</si>
  <si>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</si>
  <si>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</si>
  <si>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</si>
  <si>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</si>
  <si>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</si>
  <si>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</si>
  <si>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</si>
  <si>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</si>
  <si>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</si>
  <si>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</si>
  <si>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</si>
  <si>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</si>
  <si>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</si>
  <si>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</si>
  <si>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</si>
  <si>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</si>
  <si>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</si>
  <si>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</si>
  <si>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</si>
  <si>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</si>
  <si>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</si>
  <si>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</si>
  <si>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</si>
  <si>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</si>
  <si>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</si>
  <si>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</si>
  <si>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</si>
  <si>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</si>
  <si>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</si>
  <si>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</si>
  <si>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</si>
  <si>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</si>
  <si>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</si>
  <si>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</si>
  <si>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</si>
  <si>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</si>
  <si>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</si>
  <si>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</si>
  <si>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</si>
  <si>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</si>
  <si>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</si>
  <si>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</si>
  <si>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</si>
  <si>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</si>
  <si>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</si>
  <si>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</si>
  <si>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</si>
  <si>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</si>
  <si>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</si>
  <si>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</si>
  <si>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</si>
  <si>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</si>
  <si>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</si>
  <si>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</si>
  <si>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</si>
  <si>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</si>
  <si>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</si>
  <si>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</si>
  <si>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</si>
  <si>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</si>
  <si>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</si>
  <si>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</si>
  <si>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</si>
  <si>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</si>
  <si>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</si>
  <si>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</si>
  <si>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</si>
  <si>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</si>
  <si>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</si>
  <si>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</si>
  <si>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</si>
  <si>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</si>
  <si>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</si>
  <si>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</si>
  <si>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</si>
  <si>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</si>
  <si>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</si>
  <si>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</si>
  <si>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</si>
  <si>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</si>
  <si>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</si>
  <si>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</si>
  <si>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</si>
  <si>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</si>
  <si>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</si>
  <si>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</si>
  <si>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</si>
  <si>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</si>
  <si>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</si>
  <si>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</si>
  <si>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</si>
  <si>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</si>
  <si>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</si>
  <si>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J/µmol</t>
  </si>
  <si>
    <t>cm²</t>
  </si>
  <si>
    <t>mmol mol⁻¹</t>
  </si>
  <si>
    <t>rpm</t>
  </si>
  <si>
    <t>secs</t>
  </si>
  <si>
    <t>µmol/mol</t>
  </si>
  <si>
    <t>mmol/mol</t>
  </si>
  <si>
    <t xml:space="preserve"> min⁻¹</t>
  </si>
  <si>
    <t>V</t>
  </si>
  <si>
    <t>mV</t>
  </si>
  <si>
    <t>mg</t>
  </si>
  <si>
    <t>hrs</t>
  </si>
  <si>
    <t>min</t>
  </si>
  <si>
    <t>20230724 10:24:27</t>
  </si>
  <si>
    <t>10:24:27</t>
  </si>
  <si>
    <t>none</t>
  </si>
  <si>
    <t>0: Broadleaf</t>
  </si>
  <si>
    <t>10:18:42</t>
  </si>
  <si>
    <t>0/0</t>
  </si>
  <si>
    <t>00000000</t>
  </si>
  <si>
    <t>iiiiiiii</t>
  </si>
  <si>
    <t>off</t>
  </si>
  <si>
    <t>20230724 10:24:29</t>
  </si>
  <si>
    <t>10:24:29</t>
  </si>
  <si>
    <t>20230724 10:24:30</t>
  </si>
  <si>
    <t>10:24:30</t>
  </si>
  <si>
    <t>20230724 10:24:31</t>
  </si>
  <si>
    <t>10:24:31</t>
  </si>
  <si>
    <t>20230724 10:27:45</t>
  </si>
  <si>
    <t>10:27:45</t>
  </si>
  <si>
    <t>20230724 10:27:55</t>
  </si>
  <si>
    <t>10:27:55</t>
  </si>
  <si>
    <t>20230724 10:28:05</t>
  </si>
  <si>
    <t>10:28:05</t>
  </si>
  <si>
    <t>20230724 10:28:15</t>
  </si>
  <si>
    <t>10:28:15</t>
  </si>
  <si>
    <t>20230724 10:28:25</t>
  </si>
  <si>
    <t>10:28:25</t>
  </si>
  <si>
    <t>20230724 10:28:35</t>
  </si>
  <si>
    <t>10:28:35</t>
  </si>
  <si>
    <t>20230724 10:28:45</t>
  </si>
  <si>
    <t>10:28:45</t>
  </si>
  <si>
    <t>20230724 10:28:55</t>
  </si>
  <si>
    <t>10:28:55</t>
  </si>
  <si>
    <t>20230724 10:29:05</t>
  </si>
  <si>
    <t>10:29:05</t>
  </si>
  <si>
    <t>20230724 10:29:15</t>
  </si>
  <si>
    <t>10:29:15</t>
  </si>
  <si>
    <t>20230724 10:29:25</t>
  </si>
  <si>
    <t>10:29:25</t>
  </si>
  <si>
    <t>20230724 10:29:35</t>
  </si>
  <si>
    <t>10:29:35</t>
  </si>
  <si>
    <t>20230724 10:29:45</t>
  </si>
  <si>
    <t>10:29:45</t>
  </si>
  <si>
    <t>20230724 10:29:55</t>
  </si>
  <si>
    <t>10:29:55</t>
  </si>
  <si>
    <t>20230724 10:30:05</t>
  </si>
  <si>
    <t>10:30:05</t>
  </si>
  <si>
    <t>20230724 10:30:15</t>
  </si>
  <si>
    <t>10:30:15</t>
  </si>
  <si>
    <t>20230724 10:30:25</t>
  </si>
  <si>
    <t>10:30:25</t>
  </si>
  <si>
    <t>20230724 10:30:35</t>
  </si>
  <si>
    <t>10:30:35</t>
  </si>
  <si>
    <t>20230724 10:30:45</t>
  </si>
  <si>
    <t>10:30:45</t>
  </si>
  <si>
    <t>20230724 10:30:55</t>
  </si>
  <si>
    <t>10:30:55</t>
  </si>
  <si>
    <t>20230724 10:31:05</t>
  </si>
  <si>
    <t>10:31:05</t>
  </si>
  <si>
    <t>20230724 10:31:15</t>
  </si>
  <si>
    <t>10:31:15</t>
  </si>
  <si>
    <t>20230724 10:31:25</t>
  </si>
  <si>
    <t>10:31:25</t>
  </si>
  <si>
    <t>20230724 10:31:35</t>
  </si>
  <si>
    <t>10:31:35</t>
  </si>
  <si>
    <t>20230724 10:31:45</t>
  </si>
  <si>
    <t>10:31:45</t>
  </si>
  <si>
    <t>20230724 10:31:55</t>
  </si>
  <si>
    <t>10:31:55</t>
  </si>
  <si>
    <t>20230724 10:32:05</t>
  </si>
  <si>
    <t>10:32:05</t>
  </si>
  <si>
    <t>20230724 10:32:15</t>
  </si>
  <si>
    <t>10:32:15</t>
  </si>
  <si>
    <t>20230724 10:32:25</t>
  </si>
  <si>
    <t>10:32:25</t>
  </si>
  <si>
    <t>20230724 10:32:35</t>
  </si>
  <si>
    <t>10:32:35</t>
  </si>
  <si>
    <t>20230724 10:32:45</t>
  </si>
  <si>
    <t>10:32:45</t>
  </si>
  <si>
    <t>20230724 10:32:55</t>
  </si>
  <si>
    <t>10:32:55</t>
  </si>
  <si>
    <t>20230724 10:33:05</t>
  </si>
  <si>
    <t>10:33:05</t>
  </si>
  <si>
    <t>20230724 10:33:15</t>
  </si>
  <si>
    <t>10:33:15</t>
  </si>
  <si>
    <t>20230724 10:33:25</t>
  </si>
  <si>
    <t>10:33:25</t>
  </si>
  <si>
    <t>20230724 10:33:35</t>
  </si>
  <si>
    <t>10:33:35</t>
  </si>
  <si>
    <t>20230724 10:33:45</t>
  </si>
  <si>
    <t>10:33:45</t>
  </si>
  <si>
    <t>20230724 10:33:55</t>
  </si>
  <si>
    <t>10:33:55</t>
  </si>
  <si>
    <t>20230724 10:34:05</t>
  </si>
  <si>
    <t>10:34:05</t>
  </si>
  <si>
    <t>20230724 10:34:15</t>
  </si>
  <si>
    <t>10:34:15</t>
  </si>
  <si>
    <t>20230724 10:34:25</t>
  </si>
  <si>
    <t>10:34:25</t>
  </si>
  <si>
    <t>20230724 10:34:35</t>
  </si>
  <si>
    <t>10:34:35</t>
  </si>
  <si>
    <t>20230724 10:34:45</t>
  </si>
  <si>
    <t>10:34:45</t>
  </si>
  <si>
    <t>20230724 10:34:55</t>
  </si>
  <si>
    <t>10:34:55</t>
  </si>
  <si>
    <t>20230724 10:35:05</t>
  </si>
  <si>
    <t>10:35:05</t>
  </si>
  <si>
    <t>20230724 10:35:15</t>
  </si>
  <si>
    <t>10:35:15</t>
  </si>
  <si>
    <t>20230724 10:35:25</t>
  </si>
  <si>
    <t>10:35:25</t>
  </si>
  <si>
    <t>20230724 10:35:35</t>
  </si>
  <si>
    <t>10:35:35</t>
  </si>
  <si>
    <t>20230724 10:35:45</t>
  </si>
  <si>
    <t>10:35:45</t>
  </si>
  <si>
    <t>20230724 10:35:55</t>
  </si>
  <si>
    <t>10:35:55</t>
  </si>
  <si>
    <t>20230724 10:36:05</t>
  </si>
  <si>
    <t>10:36:05</t>
  </si>
  <si>
    <t>20230724 10:36:15</t>
  </si>
  <si>
    <t>10:36:15</t>
  </si>
  <si>
    <t>20230724 10:36:25</t>
  </si>
  <si>
    <t>10:36:25</t>
  </si>
  <si>
    <t>20230724 10:36:35</t>
  </si>
  <si>
    <t>10:36:35</t>
  </si>
  <si>
    <t>20230724 10:36:45</t>
  </si>
  <si>
    <t>10:36:45</t>
  </si>
  <si>
    <t>20230724 10:36:55</t>
  </si>
  <si>
    <t>10:36:55</t>
  </si>
  <si>
    <t>20230724 10:37:05</t>
  </si>
  <si>
    <t>10:37:05</t>
  </si>
  <si>
    <t>20230724 10:37:15</t>
  </si>
  <si>
    <t>10:37:15</t>
  </si>
  <si>
    <t>20230724 10:37:25</t>
  </si>
  <si>
    <t>10:37:25</t>
  </si>
  <si>
    <t>20230724 10:37:35</t>
  </si>
  <si>
    <t>10:37:35</t>
  </si>
  <si>
    <t>20230724 10:37:45</t>
  </si>
  <si>
    <t>10:37:45</t>
  </si>
  <si>
    <t>20230724 10:37:55</t>
  </si>
  <si>
    <t>10:37:55</t>
  </si>
  <si>
    <t>20230724 10:38:05</t>
  </si>
  <si>
    <t>10:38:05</t>
  </si>
  <si>
    <t>20230724 10:38:15</t>
  </si>
  <si>
    <t>10:38:15</t>
  </si>
  <si>
    <t>20230724 10:38:25</t>
  </si>
  <si>
    <t>10:38:25</t>
  </si>
  <si>
    <t>20230724 10:38:35</t>
  </si>
  <si>
    <t>10:38:35</t>
  </si>
  <si>
    <t>20230724 10:38:45</t>
  </si>
  <si>
    <t>10:38:45</t>
  </si>
  <si>
    <t>20230724 10:38:55</t>
  </si>
  <si>
    <t>10:38:55</t>
  </si>
  <si>
    <t>20230724 10:39:05</t>
  </si>
  <si>
    <t>10:39:05</t>
  </si>
  <si>
    <t>20230724 10:39:15</t>
  </si>
  <si>
    <t>10:39:15</t>
  </si>
  <si>
    <t>20230724 10:39:25</t>
  </si>
  <si>
    <t>10:39:25</t>
  </si>
  <si>
    <t>20230724 10:39:35</t>
  </si>
  <si>
    <t>10:39:35</t>
  </si>
  <si>
    <t>20230724 10:39:45</t>
  </si>
  <si>
    <t>10:39:45</t>
  </si>
  <si>
    <t>20230724 10:39:55</t>
  </si>
  <si>
    <t>10:39:55</t>
  </si>
  <si>
    <t>20230724 10:40:05</t>
  </si>
  <si>
    <t>10:40:05</t>
  </si>
  <si>
    <t>20230724 10:40:15</t>
  </si>
  <si>
    <t>10:40:15</t>
  </si>
  <si>
    <t>20230724 10:40:25</t>
  </si>
  <si>
    <t>10:40:25</t>
  </si>
  <si>
    <t>20230724 10:40:35</t>
  </si>
  <si>
    <t>10:40:35</t>
  </si>
  <si>
    <t>20230724 10:40:45</t>
  </si>
  <si>
    <t>10:40:45</t>
  </si>
  <si>
    <t>20230724 10:40:55</t>
  </si>
  <si>
    <t>10:40:55</t>
  </si>
  <si>
    <t>20230724 10:41:05</t>
  </si>
  <si>
    <t>10:41:05</t>
  </si>
  <si>
    <t>20230724 10:41:15</t>
  </si>
  <si>
    <t>10:41:15</t>
  </si>
  <si>
    <t>20230724 10:41:25</t>
  </si>
  <si>
    <t>10:41:25</t>
  </si>
  <si>
    <t>20230724 10:41:35</t>
  </si>
  <si>
    <t>10:41:35</t>
  </si>
  <si>
    <t>20230724 10:41:45</t>
  </si>
  <si>
    <t>10:41:45</t>
  </si>
  <si>
    <t>20230724 10:41:55</t>
  </si>
  <si>
    <t>10:41:55</t>
  </si>
  <si>
    <t>20230724 10:42:05</t>
  </si>
  <si>
    <t>10:42:05</t>
  </si>
  <si>
    <t>20230724 10:42:15</t>
  </si>
  <si>
    <t>10:42:15</t>
  </si>
  <si>
    <t>20230724 10:42:25</t>
  </si>
  <si>
    <t>10:42:25</t>
  </si>
  <si>
    <t>20230724 10:42:35</t>
  </si>
  <si>
    <t>10:42:35</t>
  </si>
  <si>
    <t>20230724 10:42:45</t>
  </si>
  <si>
    <t>10:42:45</t>
  </si>
  <si>
    <t>20230724 10:42:55</t>
  </si>
  <si>
    <t>10:42:55</t>
  </si>
  <si>
    <t>20230724 10:43:05</t>
  </si>
  <si>
    <t>10:43:05</t>
  </si>
  <si>
    <t>20230724 10:43:15</t>
  </si>
  <si>
    <t>10:43:15</t>
  </si>
  <si>
    <t>20230724 10:43:25</t>
  </si>
  <si>
    <t>10:43:25</t>
  </si>
  <si>
    <t>20230724 10:43:35</t>
  </si>
  <si>
    <t>10:43:35</t>
  </si>
  <si>
    <t>20230724 10:43:45</t>
  </si>
  <si>
    <t>10:43:45</t>
  </si>
  <si>
    <t>20230724 10:43:55</t>
  </si>
  <si>
    <t>10:43:55</t>
  </si>
  <si>
    <t>20230724 10:44:05</t>
  </si>
  <si>
    <t>10:44:05</t>
  </si>
  <si>
    <t>20230724 10:44:15</t>
  </si>
  <si>
    <t>10:44:15</t>
  </si>
  <si>
    <t>20230724 10:44:25</t>
  </si>
  <si>
    <t>10:44:25</t>
  </si>
  <si>
    <t>20230724 10:44:35</t>
  </si>
  <si>
    <t>10:44:35</t>
  </si>
  <si>
    <t>20230724 10:44:45</t>
  </si>
  <si>
    <t>10:44:45</t>
  </si>
  <si>
    <t>20230724 10:44:55</t>
  </si>
  <si>
    <t>10:44:55</t>
  </si>
  <si>
    <t>20230724 10:45:05</t>
  </si>
  <si>
    <t>10:45:05</t>
  </si>
  <si>
    <t>20230724 10:45:15</t>
  </si>
  <si>
    <t>10:45:15</t>
  </si>
  <si>
    <t>20230724 10:45:25</t>
  </si>
  <si>
    <t>10:45:25</t>
  </si>
  <si>
    <t>20230724 10:45:35</t>
  </si>
  <si>
    <t>10:45:35</t>
  </si>
  <si>
    <t>20230724 10:45:45</t>
  </si>
  <si>
    <t>10:45:45</t>
  </si>
  <si>
    <t>20230724 10:45:55</t>
  </si>
  <si>
    <t>10:45:55</t>
  </si>
  <si>
    <t>20230724 10:46:05</t>
  </si>
  <si>
    <t>10:46:05</t>
  </si>
  <si>
    <t>20230724 10:46:15</t>
  </si>
  <si>
    <t>10:46:15</t>
  </si>
  <si>
    <t>20230724 10:46:25</t>
  </si>
  <si>
    <t>10:46:25</t>
  </si>
  <si>
    <t>20230724 10:46:35</t>
  </si>
  <si>
    <t>10:46:35</t>
  </si>
  <si>
    <t>20230724 10:46:45</t>
  </si>
  <si>
    <t>10:46:45</t>
  </si>
  <si>
    <t>20230724 10:46:55</t>
  </si>
  <si>
    <t>10:46:55</t>
  </si>
  <si>
    <t>20230724 10:47:05</t>
  </si>
  <si>
    <t>10:47:05</t>
  </si>
  <si>
    <t>20230724 10:47:15</t>
  </si>
  <si>
    <t>10:47:15</t>
  </si>
  <si>
    <t>20230724 10:47:25</t>
  </si>
  <si>
    <t>10:47:25</t>
  </si>
  <si>
    <t>20230724 10:47:35</t>
  </si>
  <si>
    <t>10:47:35</t>
  </si>
  <si>
    <t>20230724 10:47:45</t>
  </si>
  <si>
    <t>10:47:45</t>
  </si>
  <si>
    <t>20230724 10:47:55</t>
  </si>
  <si>
    <t>10:47:55</t>
  </si>
  <si>
    <t>20230724 10:48:05</t>
  </si>
  <si>
    <t>10:48:05</t>
  </si>
  <si>
    <t>20230724 10:48:15</t>
  </si>
  <si>
    <t>10:48:15</t>
  </si>
  <si>
    <t>20230724 10:48:25</t>
  </si>
  <si>
    <t>10:48:25</t>
  </si>
  <si>
    <t>20230724 10:48:35</t>
  </si>
  <si>
    <t>10:48:35</t>
  </si>
  <si>
    <t>20230724 10:48:45</t>
  </si>
  <si>
    <t>10:48:45</t>
  </si>
  <si>
    <t>20230724 10:48:55</t>
  </si>
  <si>
    <t>10:48:55</t>
  </si>
  <si>
    <t>20230724 10:49:05</t>
  </si>
  <si>
    <t>10:49:05</t>
  </si>
  <si>
    <t>20230724 10:49:15</t>
  </si>
  <si>
    <t>10:49:15</t>
  </si>
  <si>
    <t>20230724 10:49:25</t>
  </si>
  <si>
    <t>10:49:25</t>
  </si>
  <si>
    <t>20230724 10:49:35</t>
  </si>
  <si>
    <t>10:49:35</t>
  </si>
  <si>
    <t>20230724 10:49:45</t>
  </si>
  <si>
    <t>10:49:45</t>
  </si>
  <si>
    <t>20230724 10:49:55</t>
  </si>
  <si>
    <t>10:49:55</t>
  </si>
  <si>
    <t>20230724 10:50:05</t>
  </si>
  <si>
    <t>10:50:05</t>
  </si>
  <si>
    <t>20230724 10:50:15</t>
  </si>
  <si>
    <t>10:50:15</t>
  </si>
  <si>
    <t>20230724 10:50:25</t>
  </si>
  <si>
    <t>10:50:25</t>
  </si>
  <si>
    <t>20230724 10:50:35</t>
  </si>
  <si>
    <t>10:50:35</t>
  </si>
  <si>
    <t>20230724 10:50:45</t>
  </si>
  <si>
    <t>10:50:45</t>
  </si>
  <si>
    <t>20230724 10:50:55</t>
  </si>
  <si>
    <t>10:50:55</t>
  </si>
  <si>
    <t>20230724 10:51:05</t>
  </si>
  <si>
    <t>10:51:05</t>
  </si>
  <si>
    <t>20230724 10:51:15</t>
  </si>
  <si>
    <t>10:51:15</t>
  </si>
  <si>
    <t>20230724 10:51:25</t>
  </si>
  <si>
    <t>10:51:25</t>
  </si>
  <si>
    <t>20230724 10:51:35</t>
  </si>
  <si>
    <t>10:51:35</t>
  </si>
  <si>
    <t>20230724 10:51:45</t>
  </si>
  <si>
    <t>10:51:45</t>
  </si>
  <si>
    <t>20230724 10:51:55</t>
  </si>
  <si>
    <t>10:51:55</t>
  </si>
  <si>
    <t>20230724 10:52:05</t>
  </si>
  <si>
    <t>10:52:05</t>
  </si>
  <si>
    <t>20230724 10:52:15</t>
  </si>
  <si>
    <t>10:52:15</t>
  </si>
  <si>
    <t>20230724 10:52:25</t>
  </si>
  <si>
    <t>10:52:25</t>
  </si>
  <si>
    <t>20230724 10:52:36</t>
  </si>
  <si>
    <t>10:52:36</t>
  </si>
  <si>
    <t>20230724 10:52:46</t>
  </si>
  <si>
    <t>10:52:46</t>
  </si>
  <si>
    <t>20230724 10:52:56</t>
  </si>
  <si>
    <t>10:52:56</t>
  </si>
  <si>
    <t>20230724 10:53:06</t>
  </si>
  <si>
    <t>10:53:06</t>
  </si>
  <si>
    <t>20230724 10:53:16</t>
  </si>
  <si>
    <t>10:53:16</t>
  </si>
  <si>
    <t>20230724 10:53:26</t>
  </si>
  <si>
    <t>10:53:26</t>
  </si>
  <si>
    <t>20230724 10:53:36</t>
  </si>
  <si>
    <t>10:53:36</t>
  </si>
  <si>
    <t>20230724 10:53:46</t>
  </si>
  <si>
    <t>10:53:46</t>
  </si>
  <si>
    <t>20230724 10:53:56</t>
  </si>
  <si>
    <t>10:53:56</t>
  </si>
  <si>
    <t>20230724 10:54:06</t>
  </si>
  <si>
    <t>10:54:06</t>
  </si>
  <si>
    <t>20230724 10:54:16</t>
  </si>
  <si>
    <t>10:54:16</t>
  </si>
  <si>
    <t>20230724 10:54:26</t>
  </si>
  <si>
    <t>10:54:26</t>
  </si>
  <si>
    <t>20230724 10:54:36</t>
  </si>
  <si>
    <t>10:54:36</t>
  </si>
  <si>
    <t>20230724 10:54:46</t>
  </si>
  <si>
    <t>10:54:46</t>
  </si>
  <si>
    <t>20230724 10:54:56</t>
  </si>
  <si>
    <t>10:54:56</t>
  </si>
  <si>
    <t>20230724 10:55:06</t>
  </si>
  <si>
    <t>10:55:06</t>
  </si>
  <si>
    <t>20230724 10:55:16</t>
  </si>
  <si>
    <t>10:55:16</t>
  </si>
  <si>
    <t>20230724 10:55:26</t>
  </si>
  <si>
    <t>10:55:26</t>
  </si>
  <si>
    <t>20230724 10:55:36</t>
  </si>
  <si>
    <t>10:55:36</t>
  </si>
  <si>
    <t>20230724 10:55:46</t>
  </si>
  <si>
    <t>10:55:46</t>
  </si>
  <si>
    <t>20230724 10:55:56</t>
  </si>
  <si>
    <t>10:55:56</t>
  </si>
  <si>
    <t>20230724 10:56:06</t>
  </si>
  <si>
    <t>10:56:06</t>
  </si>
  <si>
    <t>20230724 10:56:16</t>
  </si>
  <si>
    <t>10:56:16</t>
  </si>
  <si>
    <t>20230724 10:56:26</t>
  </si>
  <si>
    <t>10:56:26</t>
  </si>
  <si>
    <t>20230724 10:56:36</t>
  </si>
  <si>
    <t>10:56:36</t>
  </si>
  <si>
    <t>20230724 10:56:46</t>
  </si>
  <si>
    <t>10:56:46</t>
  </si>
  <si>
    <t>20230724 10:56:56</t>
  </si>
  <si>
    <t>10:56:56</t>
  </si>
  <si>
    <t>20230724 10:57:06</t>
  </si>
  <si>
    <t>10:57:06</t>
  </si>
  <si>
    <t>20230724 10:57:16</t>
  </si>
  <si>
    <t>10:57:16</t>
  </si>
  <si>
    <t>20230724 10:57:26</t>
  </si>
  <si>
    <t>10:57:26</t>
  </si>
  <si>
    <t>20230724 10:57:36</t>
  </si>
  <si>
    <t>10:57:36</t>
  </si>
  <si>
    <t>20230724 10:57:46</t>
  </si>
  <si>
    <t>10:57:46</t>
  </si>
  <si>
    <t>20230724 10:57:56</t>
  </si>
  <si>
    <t>10:57:56</t>
  </si>
  <si>
    <t>20230724 10:58:06</t>
  </si>
  <si>
    <t>10:58:06</t>
  </si>
  <si>
    <t>20230724 10:58:16</t>
  </si>
  <si>
    <t>10:58:16</t>
  </si>
  <si>
    <t>20230724 10:58:26</t>
  </si>
  <si>
    <t>10:58:26</t>
  </si>
  <si>
    <t>20230724 10:58:36</t>
  </si>
  <si>
    <t>10:58:36</t>
  </si>
  <si>
    <t>20230724 10:58:46</t>
  </si>
  <si>
    <t>10:58:46</t>
  </si>
  <si>
    <t>20230724 10:58:56</t>
  </si>
  <si>
    <t>10:58:56</t>
  </si>
  <si>
    <t>20230724 10:59:06</t>
  </si>
  <si>
    <t>10:59:06</t>
  </si>
  <si>
    <t>20230724 10:59:16</t>
  </si>
  <si>
    <t>10:59:16</t>
  </si>
  <si>
    <t>20230724 10:59:26</t>
  </si>
  <si>
    <t>10:59:26</t>
  </si>
  <si>
    <t>20230724 10:59:36</t>
  </si>
  <si>
    <t>10:59:36</t>
  </si>
  <si>
    <t>20230724 10:59:46</t>
  </si>
  <si>
    <t>10:59:46</t>
  </si>
  <si>
    <t>20230724 10:59:56</t>
  </si>
  <si>
    <t>10:59:56</t>
  </si>
  <si>
    <t>20230724 11:00:06</t>
  </si>
  <si>
    <t>11:00:06</t>
  </si>
  <si>
    <t>20230724 11:00:16</t>
  </si>
  <si>
    <t>11:00:16</t>
  </si>
  <si>
    <t>20230724 11:00:26</t>
  </si>
  <si>
    <t>11:00:26</t>
  </si>
  <si>
    <t>20230724 11:00:36</t>
  </si>
  <si>
    <t>11:00:36</t>
  </si>
  <si>
    <t>20230724 11:00:46</t>
  </si>
  <si>
    <t>11:00:46</t>
  </si>
  <si>
    <t>20230724 11:00:56</t>
  </si>
  <si>
    <t>11:00:56</t>
  </si>
  <si>
    <t>20230724 11:01:06</t>
  </si>
  <si>
    <t>11:01:06</t>
  </si>
  <si>
    <t>20230724 11:01:16</t>
  </si>
  <si>
    <t>11:01:16</t>
  </si>
  <si>
    <t>20230724 11:01:26</t>
  </si>
  <si>
    <t>11:01:26</t>
  </si>
  <si>
    <t>20230724 11:01:36</t>
  </si>
  <si>
    <t>11:01:36</t>
  </si>
  <si>
    <t>20230724 11:01:46</t>
  </si>
  <si>
    <t>11:01:46</t>
  </si>
  <si>
    <t>20230724 11:01:56</t>
  </si>
  <si>
    <t>11:01:56</t>
  </si>
  <si>
    <t>20230724 11:02:06</t>
  </si>
  <si>
    <t>11:02:06</t>
  </si>
  <si>
    <t>20230724 11:02:16</t>
  </si>
  <si>
    <t>11:02:16</t>
  </si>
  <si>
    <t>20230724 11:02:26</t>
  </si>
  <si>
    <t>11:02:26</t>
  </si>
  <si>
    <t>20230724 11:02:36</t>
  </si>
  <si>
    <t>11:02:36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</si>
</sst>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S231"/>
  <sheetViews>
    <sheetView tabSelected="1" workbookViewId="0"/>
  </sheetViews>
  <sheetFormatPr defaultRowHeight="15" x14ac:dyDescent="0.25"/>
  <sheetData>
    <row r="2" spans="1:201" x14ac:dyDescent="0.25">
      <c r="A2" t="s">
        <v>36</v>
      </c>
      <c r="B2" t="s">
        <v>37</v>
      </c>
      <c r="C2" t="s">
        <v>39</v>
      </c>
    </row>
    <row r="3" spans="1:201" x14ac:dyDescent="0.25">
      <c r="B3" t="s">
        <v>38</v>
      </c>
      <c r="C3">
        <v>21</v>
      </c>
    </row>
    <row r="4" spans="1:201" x14ac:dyDescent="0.2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</row>
    <row r="5" spans="1:201" x14ac:dyDescent="0.25">
      <c r="B5" t="s">
        <v>19</v>
      </c>
      <c r="D5">
        <v>0.43</v>
      </c>
      <c r="E5">
        <v>0.26782699999999998</v>
      </c>
      <c r="F5">
        <v>-1.164018E-4</v>
      </c>
      <c r="G5">
        <v>2.2482019999999999E-3</v>
      </c>
      <c r="H5">
        <v>-5.1094620000000004E-3</v>
      </c>
      <c r="I5">
        <v>6</v>
      </c>
      <c r="J5">
        <v>36</v>
      </c>
      <c r="K5">
        <v>96.8</v>
      </c>
    </row>
    <row r="6" spans="1:201" x14ac:dyDescent="0.25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201" x14ac:dyDescent="0.25">
      <c r="B7">
        <v>0</v>
      </c>
      <c r="C7">
        <v>0</v>
      </c>
      <c r="D7">
        <v>0</v>
      </c>
      <c r="E7">
        <v>1</v>
      </c>
    </row>
    <row r="8" spans="1:201" x14ac:dyDescent="0.25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  <c r="K8" t="s">
        <v>68</v>
      </c>
      <c r="L8" t="s">
        <v>69</v>
      </c>
      <c r="M8" t="s">
        <v>70</v>
      </c>
      <c r="N8" t="s">
        <v>71</v>
      </c>
      <c r="O8" t="s">
        <v>72</v>
      </c>
      <c r="P8" t="s">
        <v>73</v>
      </c>
      <c r="Q8" t="s">
        <v>74</v>
      </c>
    </row>
    <row r="9" spans="1:201" x14ac:dyDescent="0.25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01" x14ac:dyDescent="0.25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201" x14ac:dyDescent="0.25">
      <c r="B11">
        <v>0</v>
      </c>
      <c r="C11">
        <v>0</v>
      </c>
      <c r="D11">
        <v>1</v>
      </c>
      <c r="E11">
        <v>0</v>
      </c>
      <c r="F11">
        <v>0</v>
      </c>
    </row>
    <row r="12" spans="1:201" x14ac:dyDescent="0.25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201" x14ac:dyDescent="0.25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201" x14ac:dyDescent="0.25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93</v>
      </c>
      <c r="I14" t="s">
        <v>93</v>
      </c>
      <c r="J14" t="s">
        <v>93</v>
      </c>
      <c r="K14" t="s">
        <v>93</v>
      </c>
      <c r="L14" t="s">
        <v>93</v>
      </c>
      <c r="M14" t="s">
        <v>93</v>
      </c>
      <c r="N14" t="s">
        <v>93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93</v>
      </c>
      <c r="U14" t="s">
        <v>93</v>
      </c>
      <c r="V14" t="s">
        <v>93</v>
      </c>
      <c r="W14" t="s">
        <v>93</v>
      </c>
      <c r="X14" t="s">
        <v>93</v>
      </c>
      <c r="Y14" t="s">
        <v>93</v>
      </c>
      <c r="Z14" t="s">
        <v>93</v>
      </c>
      <c r="AA14" t="s">
        <v>93</v>
      </c>
      <c r="AB14" t="s">
        <v>93</v>
      </c>
      <c r="AC14" t="s">
        <v>93</v>
      </c>
      <c r="AD14" t="s">
        <v>93</v>
      </c>
      <c r="AE14" t="s">
        <v>93</v>
      </c>
      <c r="AF14" t="s">
        <v>94</v>
      </c>
      <c r="AG14" t="s">
        <v>94</v>
      </c>
      <c r="AH14" t="s">
        <v>94</v>
      </c>
      <c r="AI14" t="s">
        <v>94</v>
      </c>
      <c r="AJ14" t="s">
        <v>94</v>
      </c>
      <c r="AK14" t="s">
        <v>95</v>
      </c>
      <c r="AL14" t="s">
        <v>95</v>
      </c>
      <c r="AM14" t="s">
        <v>95</v>
      </c>
      <c r="AN14" t="s">
        <v>95</v>
      </c>
      <c r="AO14" t="s">
        <v>96</v>
      </c>
      <c r="AP14" t="s">
        <v>96</v>
      </c>
      <c r="AQ14" t="s">
        <v>96</v>
      </c>
      <c r="AR14" t="s">
        <v>96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97</v>
      </c>
      <c r="BB14" t="s">
        <v>97</v>
      </c>
      <c r="BC14" t="s">
        <v>97</v>
      </c>
      <c r="BD14" t="s">
        <v>97</v>
      </c>
      <c r="BE14" t="s">
        <v>97</v>
      </c>
      <c r="BF14" t="s">
        <v>97</v>
      </c>
      <c r="BG14" t="s">
        <v>97</v>
      </c>
      <c r="BH14" t="s">
        <v>97</v>
      </c>
      <c r="BI14" t="s">
        <v>97</v>
      </c>
      <c r="BJ14" t="s">
        <v>97</v>
      </c>
      <c r="BK14" t="s">
        <v>98</v>
      </c>
      <c r="BL14" t="s">
        <v>98</v>
      </c>
      <c r="BM14" t="s">
        <v>98</v>
      </c>
      <c r="BN14" t="s">
        <v>98</v>
      </c>
      <c r="BO14" t="s">
        <v>98</v>
      </c>
      <c r="BP14" t="s">
        <v>98</v>
      </c>
      <c r="BQ14" t="s">
        <v>98</v>
      </c>
      <c r="BR14" t="s">
        <v>98</v>
      </c>
      <c r="BS14" t="s">
        <v>98</v>
      </c>
      <c r="BT14" t="s">
        <v>98</v>
      </c>
      <c r="BU14" t="s">
        <v>99</v>
      </c>
      <c r="BV14" t="s">
        <v>99</v>
      </c>
      <c r="BW14" t="s">
        <v>99</v>
      </c>
      <c r="BX14" t="s">
        <v>99</v>
      </c>
      <c r="BY14" t="s">
        <v>99</v>
      </c>
      <c r="BZ14" t="s">
        <v>99</v>
      </c>
      <c r="CA14" t="s">
        <v>99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100</v>
      </c>
      <c r="CK14" t="s">
        <v>100</v>
      </c>
      <c r="CL14" t="s">
        <v>100</v>
      </c>
      <c r="CM14" t="s">
        <v>100</v>
      </c>
      <c r="CN14" t="s">
        <v>100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102</v>
      </c>
      <c r="DA14" t="s">
        <v>102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103</v>
      </c>
      <c r="DS14" t="s">
        <v>103</v>
      </c>
      <c r="DT14" t="s">
        <v>103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104</v>
      </c>
      <c r="EL14" t="s">
        <v>104</v>
      </c>
      <c r="EM14" t="s">
        <v>104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105</v>
      </c>
      <c r="FE14" t="s">
        <v>105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105</v>
      </c>
      <c r="FO14" t="s">
        <v>105</v>
      </c>
      <c r="FP14" t="s">
        <v>105</v>
      </c>
      <c r="FQ14" t="s">
        <v>105</v>
      </c>
      <c r="FR14" t="s">
        <v>105</v>
      </c>
      <c r="FS14" t="s">
        <v>105</v>
      </c>
      <c r="FT14" t="s">
        <v>105</v>
      </c>
      <c r="FU14" t="s">
        <v>105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  <c r="GD14" t="s">
        <v>107</v>
      </c>
      <c r="GE14" t="s">
        <v>107</v>
      </c>
      <c r="GF14" t="s">
        <v>107</v>
      </c>
      <c r="GG14" t="s">
        <v>107</v>
      </c>
      <c r="GH14" t="s">
        <v>107</v>
      </c>
      <c r="GI14" t="s">
        <v>107</v>
      </c>
      <c r="GJ14" t="s">
        <v>107</v>
      </c>
      <c r="GK14" t="s">
        <v>107</v>
      </c>
      <c r="GL14" t="s">
        <v>107</v>
      </c>
      <c r="GM14" t="s">
        <v>107</v>
      </c>
      <c r="GN14" t="s">
        <v>107</v>
      </c>
      <c r="GO14" t="s">
        <v>107</v>
      </c>
      <c r="GP14" t="s">
        <v>107</v>
      </c>
      <c r="GQ14" t="s">
        <v>107</v>
      </c>
      <c r="GR14" t="s">
        <v>107</v>
      </c>
      <c r="GS14" t="s">
        <v>107</v>
      </c>
    </row>
    <row r="15" spans="1:201" x14ac:dyDescent="0.25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94</v>
      </c>
      <c r="AG15" t="s">
        <v>139</v>
      </c>
      <c r="AH15" t="s">
        <v>140</v>
      </c>
      <c r="AI15" t="s">
        <v>141</v>
      </c>
      <c r="AJ15" t="s">
        <v>142</v>
      </c>
      <c r="AK15" t="s">
        <v>143</v>
      </c>
      <c r="AL15" t="s">
        <v>144</v>
      </c>
      <c r="AM15" t="s">
        <v>145</v>
      </c>
      <c r="AN15" t="s">
        <v>146</v>
      </c>
      <c r="AO15" t="s">
        <v>147</v>
      </c>
      <c r="AP15" t="s">
        <v>148</v>
      </c>
      <c r="AQ15" t="s">
        <v>149</v>
      </c>
      <c r="AR15" t="s">
        <v>150</v>
      </c>
      <c r="AS15" t="s">
        <v>115</v>
      </c>
      <c r="AT15" t="s">
        <v>151</v>
      </c>
      <c r="AU15" t="s">
        <v>152</v>
      </c>
      <c r="AV15" t="s">
        <v>153</v>
      </c>
      <c r="AW15" t="s">
        <v>154</v>
      </c>
      <c r="AX15" t="s">
        <v>155</v>
      </c>
      <c r="AY15" t="s">
        <v>156</v>
      </c>
      <c r="AZ15" t="s">
        <v>157</v>
      </c>
      <c r="BA15" t="s">
        <v>158</v>
      </c>
      <c r="BB15" t="s">
        <v>159</v>
      </c>
      <c r="BC15" t="s">
        <v>160</v>
      </c>
      <c r="BD15" t="s">
        <v>161</v>
      </c>
      <c r="BE15" t="s">
        <v>162</v>
      </c>
      <c r="BF15" t="s">
        <v>163</v>
      </c>
      <c r="BG15" t="s">
        <v>164</v>
      </c>
      <c r="BH15" t="s">
        <v>165</v>
      </c>
      <c r="BI15" t="s">
        <v>166</v>
      </c>
      <c r="BJ15" t="s">
        <v>167</v>
      </c>
      <c r="BK15" t="s">
        <v>168</v>
      </c>
      <c r="BL15" t="s">
        <v>169</v>
      </c>
      <c r="BM15" t="s">
        <v>170</v>
      </c>
      <c r="BN15" t="s">
        <v>171</v>
      </c>
      <c r="BO15" t="s">
        <v>172</v>
      </c>
      <c r="BP15" t="s">
        <v>173</v>
      </c>
      <c r="BQ15" t="s">
        <v>174</v>
      </c>
      <c r="BR15" t="s">
        <v>175</v>
      </c>
      <c r="BS15" t="s">
        <v>176</v>
      </c>
      <c r="BT15" t="s">
        <v>177</v>
      </c>
      <c r="BU15" t="s">
        <v>178</v>
      </c>
      <c r="BV15" t="s">
        <v>179</v>
      </c>
      <c r="BW15" t="s">
        <v>180</v>
      </c>
      <c r="BX15" t="s">
        <v>181</v>
      </c>
      <c r="BY15" t="s">
        <v>182</v>
      </c>
      <c r="BZ15" t="s">
        <v>183</v>
      </c>
      <c r="CA15" t="s">
        <v>184</v>
      </c>
      <c r="CB15" t="s">
        <v>109</v>
      </c>
      <c r="CC15" t="s">
        <v>112</v>
      </c>
      <c r="CD15" t="s">
        <v>185</v>
      </c>
      <c r="CE15" t="s">
        <v>186</v>
      </c>
      <c r="CF15" t="s">
        <v>187</v>
      </c>
      <c r="CG15" t="s">
        <v>188</v>
      </c>
      <c r="CH15" t="s">
        <v>189</v>
      </c>
      <c r="CI15" t="s">
        <v>190</v>
      </c>
      <c r="CJ15" t="s">
        <v>191</v>
      </c>
      <c r="CK15" t="s">
        <v>192</v>
      </c>
      <c r="CL15" t="s">
        <v>193</v>
      </c>
      <c r="CM15" t="s">
        <v>194</v>
      </c>
      <c r="CN15" t="s">
        <v>195</v>
      </c>
      <c r="CO15" t="s">
        <v>196</v>
      </c>
      <c r="CP15" t="s">
        <v>197</v>
      </c>
      <c r="CQ15" t="s">
        <v>198</v>
      </c>
      <c r="CR15" t="s">
        <v>199</v>
      </c>
      <c r="CS15" t="s">
        <v>200</v>
      </c>
      <c r="CT15" t="s">
        <v>201</v>
      </c>
      <c r="CU15" t="s">
        <v>202</v>
      </c>
      <c r="CV15" t="s">
        <v>203</v>
      </c>
      <c r="CW15" t="s">
        <v>204</v>
      </c>
      <c r="CX15" t="s">
        <v>205</v>
      </c>
      <c r="CY15" t="s">
        <v>206</v>
      </c>
      <c r="CZ15" t="s">
        <v>207</v>
      </c>
      <c r="DA15" t="s">
        <v>208</v>
      </c>
      <c r="DB15" t="s">
        <v>209</v>
      </c>
      <c r="DC15" t="s">
        <v>210</v>
      </c>
      <c r="DD15" t="s">
        <v>211</v>
      </c>
      <c r="DE15" t="s">
        <v>212</v>
      </c>
      <c r="DF15" t="s">
        <v>213</v>
      </c>
      <c r="DG15" t="s">
        <v>214</v>
      </c>
      <c r="DH15" t="s">
        <v>215</v>
      </c>
      <c r="DI15" t="s">
        <v>216</v>
      </c>
      <c r="DJ15" t="s">
        <v>217</v>
      </c>
      <c r="DK15" t="s">
        <v>218</v>
      </c>
      <c r="DL15" t="s">
        <v>219</v>
      </c>
      <c r="DM15" t="s">
        <v>220</v>
      </c>
      <c r="DN15" t="s">
        <v>221</v>
      </c>
      <c r="DO15" t="s">
        <v>222</v>
      </c>
      <c r="DP15" t="s">
        <v>223</v>
      </c>
      <c r="DQ15" t="s">
        <v>224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275</v>
      </c>
      <c r="FQ15" t="s">
        <v>276</v>
      </c>
      <c r="FR15" t="s">
        <v>277</v>
      </c>
      <c r="FS15" t="s">
        <v>278</v>
      </c>
      <c r="FT15" t="s">
        <v>279</v>
      </c>
      <c r="FU15" t="s">
        <v>280</v>
      </c>
      <c r="FV15" t="s">
        <v>281</v>
      </c>
      <c r="FW15" t="s">
        <v>282</v>
      </c>
      <c r="FX15" t="s">
        <v>283</v>
      </c>
      <c r="FY15" t="s">
        <v>284</v>
      </c>
      <c r="FZ15" t="s">
        <v>285</v>
      </c>
      <c r="GA15" t="s">
        <v>286</v>
      </c>
      <c r="GB15" t="s">
        <v>287</v>
      </c>
      <c r="GC15" t="s">
        <v>288</v>
      </c>
      <c r="GD15" t="s">
        <v>289</v>
      </c>
      <c r="GE15" t="s">
        <v>290</v>
      </c>
      <c r="GF15" t="s">
        <v>291</v>
      </c>
      <c r="GG15" t="s">
        <v>292</v>
      </c>
      <c r="GH15" t="s">
        <v>293</v>
      </c>
      <c r="GI15" t="s">
        <v>294</v>
      </c>
      <c r="GJ15" t="s">
        <v>295</v>
      </c>
      <c r="GK15" t="s">
        <v>296</v>
      </c>
      <c r="GL15" t="s">
        <v>297</v>
      </c>
      <c r="GM15" t="s">
        <v>298</v>
      </c>
      <c r="GN15" t="s">
        <v>299</v>
      </c>
      <c r="GO15" t="s">
        <v>300</v>
      </c>
      <c r="GP15" t="s">
        <v>301</v>
      </c>
      <c r="GQ15" t="s">
        <v>302</v>
      </c>
      <c r="GR15" t="s">
        <v>303</v>
      </c>
      <c r="GS15" t="s">
        <v>304</v>
      </c>
    </row>
    <row r="16" spans="1:201" x14ac:dyDescent="0.25">
      <c r="B16" t="s">
        <v>305</v>
      </c>
      <c r="C16" t="s">
        <v>305</v>
      </c>
      <c r="F16" t="s">
        <v>305</v>
      </c>
      <c r="H16" t="s">
        <v>305</v>
      </c>
      <c r="I16" t="s">
        <v>306</v>
      </c>
      <c r="J16" t="s">
        <v>307</v>
      </c>
      <c r="K16" t="s">
        <v>308</v>
      </c>
      <c r="L16" t="s">
        <v>309</v>
      </c>
      <c r="M16" t="s">
        <v>309</v>
      </c>
      <c r="N16" t="s">
        <v>158</v>
      </c>
      <c r="O16" t="s">
        <v>158</v>
      </c>
      <c r="P16" t="s">
        <v>306</v>
      </c>
      <c r="Q16" t="s">
        <v>306</v>
      </c>
      <c r="R16" t="s">
        <v>306</v>
      </c>
      <c r="S16" t="s">
        <v>306</v>
      </c>
      <c r="T16" t="s">
        <v>310</v>
      </c>
      <c r="U16" t="s">
        <v>311</v>
      </c>
      <c r="V16" t="s">
        <v>311</v>
      </c>
      <c r="W16" t="s">
        <v>312</v>
      </c>
      <c r="X16" t="s">
        <v>313</v>
      </c>
      <c r="Y16" t="s">
        <v>312</v>
      </c>
      <c r="Z16" t="s">
        <v>312</v>
      </c>
      <c r="AA16" t="s">
        <v>312</v>
      </c>
      <c r="AB16" t="s">
        <v>310</v>
      </c>
      <c r="AC16" t="s">
        <v>310</v>
      </c>
      <c r="AD16" t="s">
        <v>310</v>
      </c>
      <c r="AE16" t="s">
        <v>310</v>
      </c>
      <c r="AF16" t="s">
        <v>314</v>
      </c>
      <c r="AG16" t="s">
        <v>313</v>
      </c>
      <c r="AI16" t="s">
        <v>313</v>
      </c>
      <c r="AJ16" t="s">
        <v>314</v>
      </c>
      <c r="AK16" t="s">
        <v>308</v>
      </c>
      <c r="AL16" t="s">
        <v>308</v>
      </c>
      <c r="AN16" t="s">
        <v>315</v>
      </c>
      <c r="AO16" t="s">
        <v>316</v>
      </c>
      <c r="AR16" t="s">
        <v>306</v>
      </c>
      <c r="AS16" t="s">
        <v>305</v>
      </c>
      <c r="AT16" t="s">
        <v>309</v>
      </c>
      <c r="AU16" t="s">
        <v>309</v>
      </c>
      <c r="AV16" t="s">
        <v>317</v>
      </c>
      <c r="AW16" t="s">
        <v>317</v>
      </c>
      <c r="AX16" t="s">
        <v>309</v>
      </c>
      <c r="AY16" t="s">
        <v>317</v>
      </c>
      <c r="AZ16" t="s">
        <v>314</v>
      </c>
      <c r="BA16" t="s">
        <v>312</v>
      </c>
      <c r="BB16" t="s">
        <v>312</v>
      </c>
      <c r="BC16" t="s">
        <v>311</v>
      </c>
      <c r="BD16" t="s">
        <v>311</v>
      </c>
      <c r="BE16" t="s">
        <v>311</v>
      </c>
      <c r="BF16" t="s">
        <v>311</v>
      </c>
      <c r="BG16" t="s">
        <v>311</v>
      </c>
      <c r="BH16" t="s">
        <v>318</v>
      </c>
      <c r="BI16" t="s">
        <v>308</v>
      </c>
      <c r="BJ16" t="s">
        <v>308</v>
      </c>
      <c r="BK16" t="s">
        <v>309</v>
      </c>
      <c r="BL16" t="s">
        <v>309</v>
      </c>
      <c r="BM16" t="s">
        <v>309</v>
      </c>
      <c r="BN16" t="s">
        <v>317</v>
      </c>
      <c r="BO16" t="s">
        <v>309</v>
      </c>
      <c r="BP16" t="s">
        <v>317</v>
      </c>
      <c r="BQ16" t="s">
        <v>312</v>
      </c>
      <c r="BR16" t="s">
        <v>312</v>
      </c>
      <c r="BS16" t="s">
        <v>311</v>
      </c>
      <c r="BT16" t="s">
        <v>311</v>
      </c>
      <c r="BU16" t="s">
        <v>308</v>
      </c>
      <c r="BZ16" t="s">
        <v>311</v>
      </c>
      <c r="CB16" t="s">
        <v>319</v>
      </c>
      <c r="CD16" t="s">
        <v>305</v>
      </c>
      <c r="CE16" t="s">
        <v>305</v>
      </c>
      <c r="CG16" t="s">
        <v>320</v>
      </c>
      <c r="CH16" t="s">
        <v>321</v>
      </c>
      <c r="CI16" t="s">
        <v>320</v>
      </c>
      <c r="CJ16" t="s">
        <v>321</v>
      </c>
      <c r="CK16" t="s">
        <v>320</v>
      </c>
      <c r="CL16" t="s">
        <v>321</v>
      </c>
      <c r="CM16" t="s">
        <v>313</v>
      </c>
      <c r="CN16" t="s">
        <v>313</v>
      </c>
      <c r="CP16" t="s">
        <v>322</v>
      </c>
      <c r="CT16" t="s">
        <v>322</v>
      </c>
      <c r="CZ16" t="s">
        <v>323</v>
      </c>
      <c r="DA16" t="s">
        <v>323</v>
      </c>
      <c r="DN16" t="s">
        <v>323</v>
      </c>
      <c r="DO16" t="s">
        <v>323</v>
      </c>
      <c r="DP16" t="s">
        <v>324</v>
      </c>
      <c r="DQ16" t="s">
        <v>324</v>
      </c>
      <c r="DR16" t="s">
        <v>311</v>
      </c>
      <c r="DS16" t="s">
        <v>311</v>
      </c>
      <c r="DT16" t="s">
        <v>313</v>
      </c>
      <c r="DU16" t="s">
        <v>311</v>
      </c>
      <c r="DV16" t="s">
        <v>317</v>
      </c>
      <c r="DW16" t="s">
        <v>313</v>
      </c>
      <c r="DX16" t="s">
        <v>313</v>
      </c>
      <c r="DZ16" t="s">
        <v>323</v>
      </c>
      <c r="EA16" t="s">
        <v>323</v>
      </c>
      <c r="EB16" t="s">
        <v>323</v>
      </c>
      <c r="EC16" t="s">
        <v>323</v>
      </c>
      <c r="ED16" t="s">
        <v>323</v>
      </c>
      <c r="EE16" t="s">
        <v>323</v>
      </c>
      <c r="EF16" t="s">
        <v>323</v>
      </c>
      <c r="EG16" t="s">
        <v>325</v>
      </c>
      <c r="EH16" t="s">
        <v>325</v>
      </c>
      <c r="EI16" t="s">
        <v>325</v>
      </c>
      <c r="EJ16" t="s">
        <v>326</v>
      </c>
      <c r="EK16" t="s">
        <v>323</v>
      </c>
      <c r="EL16" t="s">
        <v>323</v>
      </c>
      <c r="EM16" t="s">
        <v>323</v>
      </c>
      <c r="EN16" t="s">
        <v>323</v>
      </c>
      <c r="EO16" t="s">
        <v>323</v>
      </c>
      <c r="EP16" t="s">
        <v>323</v>
      </c>
      <c r="EQ16" t="s">
        <v>323</v>
      </c>
      <c r="ER16" t="s">
        <v>323</v>
      </c>
      <c r="ES16" t="s">
        <v>323</v>
      </c>
      <c r="ET16" t="s">
        <v>323</v>
      </c>
      <c r="EU16" t="s">
        <v>323</v>
      </c>
      <c r="EV16" t="s">
        <v>323</v>
      </c>
      <c r="FC16" t="s">
        <v>323</v>
      </c>
      <c r="FD16" t="s">
        <v>313</v>
      </c>
      <c r="FE16" t="s">
        <v>313</v>
      </c>
      <c r="FF16" t="s">
        <v>320</v>
      </c>
      <c r="FG16" t="s">
        <v>321</v>
      </c>
      <c r="FH16" t="s">
        <v>321</v>
      </c>
      <c r="FL16" t="s">
        <v>321</v>
      </c>
      <c r="FP16" t="s">
        <v>309</v>
      </c>
      <c r="FQ16" t="s">
        <v>309</v>
      </c>
      <c r="FR16" t="s">
        <v>317</v>
      </c>
      <c r="FS16" t="s">
        <v>317</v>
      </c>
      <c r="FT16" t="s">
        <v>327</v>
      </c>
      <c r="FU16" t="s">
        <v>327</v>
      </c>
      <c r="FV16" t="s">
        <v>323</v>
      </c>
      <c r="FW16" t="s">
        <v>323</v>
      </c>
      <c r="FX16" t="s">
        <v>323</v>
      </c>
      <c r="FY16" t="s">
        <v>323</v>
      </c>
      <c r="FZ16" t="s">
        <v>323</v>
      </c>
      <c r="GA16" t="s">
        <v>323</v>
      </c>
      <c r="GB16" t="s">
        <v>311</v>
      </c>
      <c r="GC16" t="s">
        <v>323</v>
      </c>
      <c r="GE16" t="s">
        <v>314</v>
      </c>
      <c r="GF16" t="s">
        <v>314</v>
      </c>
      <c r="GG16" t="s">
        <v>311</v>
      </c>
      <c r="GH16" t="s">
        <v>311</v>
      </c>
      <c r="GI16" t="s">
        <v>311</v>
      </c>
      <c r="GJ16" t="s">
        <v>311</v>
      </c>
      <c r="GK16" t="s">
        <v>311</v>
      </c>
      <c r="GL16" t="s">
        <v>313</v>
      </c>
      <c r="GM16" t="s">
        <v>313</v>
      </c>
      <c r="GN16" t="s">
        <v>313</v>
      </c>
      <c r="GO16" t="s">
        <v>311</v>
      </c>
      <c r="GP16" t="s">
        <v>309</v>
      </c>
      <c r="GQ16" t="s">
        <v>317</v>
      </c>
      <c r="GR16" t="s">
        <v>313</v>
      </c>
      <c r="GS16" t="s">
        <v>313</v>
      </c>
    </row>
    <row r="17" spans="1:201" x14ac:dyDescent="0.25">
      <c r="A17">
        <v>1</v>
      </c>
      <c r="B17">
        <v>1690212267.5</v>
      </c>
      <c r="C17">
        <v>0</v>
      </c>
      <c r="D17" t="s">
        <v>328</v>
      </c>
      <c r="E17" t="s">
        <v>329</v>
      </c>
      <c r="F17" t="s">
        <v>330</v>
      </c>
      <c r="H17">
        <v>1690212267.5</v>
      </c>
      <c r="I17">
        <f t="shared" ref="I17:I80" si="0">(J17)/1000</f>
        <v>2.8973482960336559E-4</v>
      </c>
      <c r="J17">
        <f t="shared" ref="J17:J80" si="1">1000*AZ17*AH17*(AV17-AW17)/(100*AO17*(1000-AH17*AV17))</f>
        <v>0.28973482960336561</v>
      </c>
      <c r="K17">
        <f t="shared" ref="K17:K80" si="2">AZ17*AH17*(AU17-AT17*(1000-AH17*AW17)/(1000-AH17*AV17))/(100*AO17)</f>
        <v>-0.82879673072222981</v>
      </c>
      <c r="L17">
        <f t="shared" ref="L17:L80" si="3">AT17 - IF(AH17&gt;1, K17*AO17*100/(AJ17*BH17), 0)</f>
        <v>806.85500000000002</v>
      </c>
      <c r="M17">
        <f t="shared" ref="M17:M80" si="4">((S17-I17/2)*L17-K17)/(S17+I17/2)</f>
        <v>892.24403554326489</v>
      </c>
      <c r="N17">
        <f t="shared" ref="N17:N80" si="5">M17*(BA17+BB17)/1000</f>
        <v>88.504133310925923</v>
      </c>
      <c r="O17">
        <f t="shared" ref="O17:O80" si="6">(AT17 - IF(AH17&gt;1, K17*AO17*100/(AJ17*BH17), 0))*(BA17+BB17)/1000</f>
        <v>80.034160653264991</v>
      </c>
      <c r="P17">
        <f t="shared" ref="P17:P80" si="7">2/((1/R17-1/Q17)+SIGN(R17)*SQRT((1/R17-1/Q17)*(1/R17-1/Q17) + 4*AP17/((AP17+1)*(AP17+1))*(2*1/R17*1/Q17-1/Q17*1/Q17)))</f>
        <v>1.0945882768980921E-2</v>
      </c>
      <c r="Q17">
        <f t="shared" ref="Q17:Q80" si="8">IF(LEFT(AQ17,1)&lt;&gt;"0",IF(LEFT(AQ17,1)="1",3,AR17),$D$5+$E$5*(BH17*BA17/($K$5*1000))+$F$5*(BH17*BA17/($K$5*1000))*MAX(MIN(AO17,$J$5),$I$5)*MAX(MIN(AO17,$J$5),$I$5)+$G$5*MAX(MIN(AO17,$J$5),$I$5)*(BH17*BA17/($K$5*1000))+$H$5*(BH17*BA17/($K$5*1000))*(BH17*BA17/($K$5*1000)))</f>
        <v>2.010279479155729</v>
      </c>
      <c r="R17">
        <f t="shared" ref="R17:R80" si="9">I17*(1000-(1000*0.61365*EXP(17.502*V17/(240.97+V17))/(BA17+BB17)+AV17)/2)/(1000*0.61365*EXP(17.502*V17/(240.97+V17))/(BA17+BB17)-AV17)</f>
        <v>1.0912879546107883E-2</v>
      </c>
      <c r="S17">
        <f t="shared" ref="S17:S80" si="10">1/((AP17+1)/(P17/1.6)+1/(Q17/1.37)) + AP17/((AP17+1)/(P17/1.6) + AP17/(Q17/1.37))</f>
        <v>6.82350658072285E-3</v>
      </c>
      <c r="T17">
        <f t="shared" ref="T17:T80" si="11">(AK17*AN17)</f>
        <v>0</v>
      </c>
      <c r="U17">
        <f t="shared" ref="U17:U80" si="12">(BC17+(T17+2*0.95*0.0000000567*(((BC17+$B$7)+273)^4-(BC17+273)^4)-44100*I17)/(1.84*29.3*Q17+8*0.95*0.0000000567*(BC17+273)^3))</f>
        <v>26.650408930988789</v>
      </c>
      <c r="V17">
        <f t="shared" ref="V17:V80" si="13">($C$7*BD17+$D$7*BE17+$E$7*U17)</f>
        <v>26.650408930988789</v>
      </c>
      <c r="W17">
        <f t="shared" ref="W17:W80" si="14">0.61365*EXP(17.502*V17/(240.97+V17))</f>
        <v>3.5063264012020707</v>
      </c>
      <c r="X17">
        <f t="shared" ref="X17:X80" si="15">(Y17/Z17*100)</f>
        <v>26.40572011105785</v>
      </c>
      <c r="Y17">
        <f t="shared" ref="Y17:Y80" si="16">AV17*(BA17+BB17)/1000</f>
        <v>0.93169263681324987</v>
      </c>
      <c r="Z17">
        <f t="shared" ref="Z17:Z80" si="17">0.61365*EXP(17.502*BC17/(240.97+BC17))</f>
        <v>3.5283742798708508</v>
      </c>
      <c r="AA17">
        <f t="shared" ref="AA17:AA80" si="18">(W17-AV17*(BA17+BB17)/1000)</f>
        <v>2.5746337643888211</v>
      </c>
      <c r="AB17">
        <f t="shared" ref="AB17:AB80" si="19">(-I17*44100)</f>
        <v>-12.777305985508423</v>
      </c>
      <c r="AC17">
        <f t="shared" ref="AC17:AC80" si="20">2*29.3*Q17*0.92*(BC17-V17)</f>
        <v>11.541309020970582</v>
      </c>
      <c r="AD17">
        <f t="shared" ref="AD17:AD80" si="21">2*0.95*0.0000000567*(((BC17+$B$7)+273)^4-(V17+273)^4)</f>
        <v>1.2353384736033217</v>
      </c>
      <c r="AE17">
        <f t="shared" ref="AE17:AE80" si="22">T17+AD17+AB17+AC17</f>
        <v>-6.5849093451930685E-4</v>
      </c>
      <c r="AF17">
        <v>46</v>
      </c>
      <c r="AG17">
        <v>15</v>
      </c>
      <c r="AH17">
        <f t="shared" ref="AH17:AH80" si="23">IF(AF17*$H$13&gt;=AJ17,1,(AJ17/(AJ17-AF17*$H$13)))</f>
        <v>1</v>
      </c>
      <c r="AI17">
        <f t="shared" ref="AI17:AI80" si="24">(AH17-1)*100</f>
        <v>0</v>
      </c>
      <c r="AJ17">
        <f t="shared" ref="AJ17:AJ80" si="25">MAX(0,($B$13+$C$13*BH17)/(1+$D$13*BH17)*BA17/(BC17+273)*$E$13)</f>
        <v>52358.159356356882</v>
      </c>
      <c r="AK17">
        <f t="shared" ref="AK17:AK80" si="26">$B$11*BI17+$C$11*BJ17+$D$11*BU17</f>
        <v>0</v>
      </c>
      <c r="AL17">
        <f t="shared" ref="AL17:AL80" si="27">AK17*AM17</f>
        <v>0</v>
      </c>
      <c r="AM17">
        <f t="shared" ref="AM17:AM80" si="28">($B$11*$D$9+$C$11*$D$9+$D$11*(BV17*$E$9+BW17*$F$9+BX17*$G$9+BY17*$H$9))/($B$11+$C$11+$D$11)</f>
        <v>0</v>
      </c>
      <c r="AN17">
        <f t="shared" ref="AN17:AN80" si="29">($B$11*$K$9+$C$11*$K$9+$D$11*(BV17*$L$9+BW17*$M$9+BX17*$N$9+BY17*$O$9))/($B$11+$C$11+$D$11)</f>
        <v>0</v>
      </c>
      <c r="AO17">
        <v>34.5</v>
      </c>
      <c r="AP17">
        <v>0.5</v>
      </c>
      <c r="AQ17" t="s">
        <v>331</v>
      </c>
      <c r="AR17">
        <v>2</v>
      </c>
      <c r="AS17">
        <v>1690212267.5</v>
      </c>
      <c r="AT17">
        <v>806.85500000000002</v>
      </c>
      <c r="AU17">
        <v>800.01599999999996</v>
      </c>
      <c r="AV17">
        <v>9.3927499999999995</v>
      </c>
      <c r="AW17">
        <v>6.0939100000000002</v>
      </c>
      <c r="AX17">
        <v>807.37099999999998</v>
      </c>
      <c r="AY17">
        <v>9.4294499999999992</v>
      </c>
      <c r="AZ17">
        <v>300.16500000000002</v>
      </c>
      <c r="BA17">
        <v>99.092699999999994</v>
      </c>
      <c r="BB17">
        <v>0.10004300000000001</v>
      </c>
      <c r="BC17">
        <v>26.756900000000002</v>
      </c>
      <c r="BD17">
        <v>27.013000000000002</v>
      </c>
      <c r="BE17">
        <v>26.637499999999999</v>
      </c>
      <c r="BF17">
        <v>0</v>
      </c>
      <c r="BG17">
        <v>0</v>
      </c>
      <c r="BH17">
        <v>9983.75</v>
      </c>
      <c r="BI17">
        <v>0.69087900000000002</v>
      </c>
      <c r="BJ17">
        <v>1.70861</v>
      </c>
      <c r="BK17">
        <v>6.8392900000000001</v>
      </c>
      <c r="BL17">
        <v>814.50599999999997</v>
      </c>
      <c r="BM17">
        <v>804.92100000000005</v>
      </c>
      <c r="BN17">
        <v>3.2988400000000002</v>
      </c>
      <c r="BO17">
        <v>800.01599999999996</v>
      </c>
      <c r="BP17">
        <v>6.0939100000000002</v>
      </c>
      <c r="BQ17">
        <v>0.93075300000000005</v>
      </c>
      <c r="BR17">
        <v>0.60386200000000001</v>
      </c>
      <c r="BS17">
        <v>5.8752199999999997</v>
      </c>
      <c r="BT17">
        <v>-0.22117899999999999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26</v>
      </c>
      <c r="CA17">
        <v>0</v>
      </c>
      <c r="CB17">
        <v>1690211922</v>
      </c>
      <c r="CC17" t="s">
        <v>332</v>
      </c>
      <c r="CD17">
        <v>1690211915</v>
      </c>
      <c r="CE17">
        <v>1690211922</v>
      </c>
      <c r="CF17">
        <v>6</v>
      </c>
      <c r="CG17">
        <v>1.0999999999999999E-2</v>
      </c>
      <c r="CH17">
        <v>8.0000000000000002E-3</v>
      </c>
      <c r="CI17">
        <v>-0.51100000000000001</v>
      </c>
      <c r="CJ17">
        <v>-6.6000000000000003E-2</v>
      </c>
      <c r="CK17">
        <v>800</v>
      </c>
      <c r="CL17">
        <v>6</v>
      </c>
      <c r="CM17">
        <v>0.21</v>
      </c>
      <c r="CN17">
        <v>0.02</v>
      </c>
      <c r="CO17">
        <v>6.782922000000001</v>
      </c>
      <c r="CP17">
        <v>0.25270986866789757</v>
      </c>
      <c r="CQ17">
        <v>4.6584622044189658E-2</v>
      </c>
      <c r="CR17">
        <v>-1</v>
      </c>
      <c r="CS17">
        <v>3.335142499999999</v>
      </c>
      <c r="CT17">
        <v>-0.1998006754221473</v>
      </c>
      <c r="CU17">
        <v>1.9231217687655639E-2</v>
      </c>
      <c r="CV17">
        <v>-1</v>
      </c>
      <c r="CW17">
        <v>0</v>
      </c>
      <c r="CX17">
        <v>0</v>
      </c>
      <c r="CY17" t="s">
        <v>333</v>
      </c>
      <c r="CZ17">
        <v>2.3642599999999998</v>
      </c>
      <c r="DA17">
        <v>2.7138200000000001</v>
      </c>
      <c r="DB17">
        <v>0.14733199999999999</v>
      </c>
      <c r="DC17">
        <v>0.146063</v>
      </c>
      <c r="DD17">
        <v>5.7390700000000003E-2</v>
      </c>
      <c r="DE17">
        <v>3.9944300000000002E-2</v>
      </c>
      <c r="DF17">
        <v>31110</v>
      </c>
      <c r="DG17">
        <v>27485.3</v>
      </c>
      <c r="DH17">
        <v>31148.9</v>
      </c>
      <c r="DI17">
        <v>28047</v>
      </c>
      <c r="DJ17">
        <v>39878.199999999997</v>
      </c>
      <c r="DK17">
        <v>38284.300000000003</v>
      </c>
      <c r="DL17">
        <v>44323.9</v>
      </c>
      <c r="DM17">
        <v>42501</v>
      </c>
      <c r="DN17">
        <v>1.3551299999999999</v>
      </c>
      <c r="DO17">
        <v>2.0329999999999999</v>
      </c>
      <c r="DP17">
        <v>8.2679100000000005E-2</v>
      </c>
      <c r="DQ17">
        <v>5.3703800000000003E-2</v>
      </c>
      <c r="DR17">
        <v>25.659400000000002</v>
      </c>
      <c r="DS17">
        <v>25.758099999999999</v>
      </c>
      <c r="DT17">
        <v>18.2</v>
      </c>
      <c r="DU17">
        <v>29.6</v>
      </c>
      <c r="DV17">
        <v>7.6459000000000001</v>
      </c>
      <c r="DW17">
        <v>61.668500000000002</v>
      </c>
      <c r="DX17">
        <v>37.1995</v>
      </c>
      <c r="DY17">
        <v>1</v>
      </c>
      <c r="DZ17">
        <v>-7.5523400000000004E-2</v>
      </c>
      <c r="EA17">
        <v>-1.3899900000000001</v>
      </c>
      <c r="EB17">
        <v>20.297899999999998</v>
      </c>
      <c r="EC17">
        <v>5.2415500000000002</v>
      </c>
      <c r="ED17">
        <v>12.039899999999999</v>
      </c>
      <c r="EE17">
        <v>5.0170500000000002</v>
      </c>
      <c r="EF17">
        <v>3.2879999999999998</v>
      </c>
      <c r="EG17">
        <v>9999</v>
      </c>
      <c r="EH17">
        <v>9999</v>
      </c>
      <c r="EI17">
        <v>9999</v>
      </c>
      <c r="EJ17">
        <v>999.9</v>
      </c>
      <c r="EK17">
        <v>1.8689100000000001</v>
      </c>
      <c r="EL17">
        <v>1.8646499999999999</v>
      </c>
      <c r="EM17">
        <v>1.8691800000000001</v>
      </c>
      <c r="EN17">
        <v>1.8672200000000001</v>
      </c>
      <c r="EO17">
        <v>1.8633999999999999</v>
      </c>
      <c r="EP17">
        <v>1.8645499999999999</v>
      </c>
      <c r="EQ17">
        <v>1.8701399999999999</v>
      </c>
      <c r="ER17">
        <v>1.8694200000000001</v>
      </c>
      <c r="ES17">
        <v>0</v>
      </c>
      <c r="ET17">
        <v>0</v>
      </c>
      <c r="EU17">
        <v>0</v>
      </c>
      <c r="EV17">
        <v>0</v>
      </c>
      <c r="EW17" t="s">
        <v>334</v>
      </c>
      <c r="EX17" t="s">
        <v>335</v>
      </c>
      <c r="EY17" t="s">
        <v>336</v>
      </c>
      <c r="EZ17" t="s">
        <v>336</v>
      </c>
      <c r="FA17" t="s">
        <v>336</v>
      </c>
      <c r="FB17" t="s">
        <v>336</v>
      </c>
      <c r="FC17">
        <v>0</v>
      </c>
      <c r="FD17">
        <v>100</v>
      </c>
      <c r="FE17">
        <v>100</v>
      </c>
      <c r="FF17">
        <v>-0.51600000000000001</v>
      </c>
      <c r="FG17">
        <v>-3.6700000000000003E-2</v>
      </c>
      <c r="FH17">
        <v>4.0020685143421282E-2</v>
      </c>
      <c r="FI17">
        <v>-6.1462078757559423E-4</v>
      </c>
      <c r="FJ17">
        <v>-1.8861989874597051E-7</v>
      </c>
      <c r="FK17">
        <v>1.1980462299894961E-10</v>
      </c>
      <c r="FL17">
        <v>-3.1035565592992288E-2</v>
      </c>
      <c r="FM17">
        <v>-1.6848085045870601E-2</v>
      </c>
      <c r="FN17">
        <v>1.9789084769509481E-3</v>
      </c>
      <c r="FO17">
        <v>-2.7142391389806329E-5</v>
      </c>
      <c r="FP17">
        <v>3</v>
      </c>
      <c r="FQ17">
        <v>2158</v>
      </c>
      <c r="FR17">
        <v>1</v>
      </c>
      <c r="FS17">
        <v>19</v>
      </c>
      <c r="FT17">
        <v>5.9</v>
      </c>
      <c r="FU17">
        <v>5.8</v>
      </c>
      <c r="FV17">
        <v>1.77979</v>
      </c>
      <c r="FW17">
        <v>2.5769000000000002</v>
      </c>
      <c r="FX17">
        <v>1.5490699999999999</v>
      </c>
      <c r="FY17">
        <v>2.3290999999999999</v>
      </c>
      <c r="FZ17">
        <v>1.50146</v>
      </c>
      <c r="GA17">
        <v>2.36084</v>
      </c>
      <c r="GB17">
        <v>33.692999999999998</v>
      </c>
      <c r="GC17">
        <v>24.026199999999999</v>
      </c>
      <c r="GD17">
        <v>19</v>
      </c>
      <c r="GE17">
        <v>235.14400000000001</v>
      </c>
      <c r="GF17">
        <v>582.07600000000002</v>
      </c>
      <c r="GG17">
        <v>28.460699999999999</v>
      </c>
      <c r="GH17">
        <v>26.4422</v>
      </c>
      <c r="GI17">
        <v>30.0001</v>
      </c>
      <c r="GJ17">
        <v>26.516999999999999</v>
      </c>
      <c r="GK17">
        <v>26.4892</v>
      </c>
      <c r="GL17">
        <v>35.589599999999997</v>
      </c>
      <c r="GM17">
        <v>-30</v>
      </c>
      <c r="GN17">
        <v>-30</v>
      </c>
      <c r="GO17">
        <v>28.4575</v>
      </c>
      <c r="GP17">
        <v>800</v>
      </c>
      <c r="GQ17">
        <v>12.5298</v>
      </c>
      <c r="GR17">
        <v>99.658000000000001</v>
      </c>
      <c r="GS17">
        <v>99.432599999999994</v>
      </c>
    </row>
    <row r="18" spans="1:201" x14ac:dyDescent="0.25">
      <c r="A18">
        <v>2</v>
      </c>
      <c r="B18">
        <v>1690212269</v>
      </c>
      <c r="C18">
        <v>1.5</v>
      </c>
      <c r="D18" t="s">
        <v>337</v>
      </c>
      <c r="E18" t="s">
        <v>338</v>
      </c>
      <c r="F18" t="s">
        <v>330</v>
      </c>
      <c r="H18">
        <v>1690212269</v>
      </c>
      <c r="I18">
        <f t="shared" si="0"/>
        <v>2.892792240503027E-4</v>
      </c>
      <c r="J18">
        <f t="shared" si="1"/>
        <v>0.28927922405030271</v>
      </c>
      <c r="K18">
        <f t="shared" si="2"/>
        <v>-0.82677493152108295</v>
      </c>
      <c r="L18">
        <f t="shared" si="3"/>
        <v>806.85799999999995</v>
      </c>
      <c r="M18">
        <f t="shared" si="4"/>
        <v>892.17991663708892</v>
      </c>
      <c r="N18">
        <f t="shared" si="5"/>
        <v>88.498294213815498</v>
      </c>
      <c r="O18">
        <f t="shared" si="6"/>
        <v>80.034929436565989</v>
      </c>
      <c r="P18">
        <f t="shared" si="7"/>
        <v>1.092385229648906E-2</v>
      </c>
      <c r="Q18">
        <f t="shared" si="8"/>
        <v>2.0113995383694387</v>
      </c>
      <c r="R18">
        <f t="shared" si="9"/>
        <v>1.0890999818705789E-2</v>
      </c>
      <c r="S18">
        <f t="shared" si="10"/>
        <v>6.809818266437109E-3</v>
      </c>
      <c r="T18">
        <f t="shared" si="11"/>
        <v>0</v>
      </c>
      <c r="U18">
        <f t="shared" si="12"/>
        <v>26.653530167978552</v>
      </c>
      <c r="V18">
        <f t="shared" si="13"/>
        <v>26.653530167978552</v>
      </c>
      <c r="W18">
        <f t="shared" si="14"/>
        <v>3.5069709059635197</v>
      </c>
      <c r="X18">
        <f t="shared" si="15"/>
        <v>26.38748480596248</v>
      </c>
      <c r="Y18">
        <f t="shared" si="16"/>
        <v>0.93120810714386992</v>
      </c>
      <c r="Z18">
        <f t="shared" si="17"/>
        <v>3.5289763840373878</v>
      </c>
      <c r="AA18">
        <f t="shared" si="18"/>
        <v>2.5757627988196496</v>
      </c>
      <c r="AB18">
        <f t="shared" si="19"/>
        <v>-12.757213780618349</v>
      </c>
      <c r="AC18">
        <f t="shared" si="20"/>
        <v>11.523748821794708</v>
      </c>
      <c r="AD18">
        <f t="shared" si="21"/>
        <v>1.2328091880866459</v>
      </c>
      <c r="AE18">
        <f t="shared" si="22"/>
        <v>-6.5577073699429889E-4</v>
      </c>
      <c r="AF18">
        <v>46</v>
      </c>
      <c r="AG18">
        <v>15</v>
      </c>
      <c r="AH18">
        <f t="shared" si="23"/>
        <v>1</v>
      </c>
      <c r="AI18">
        <f t="shared" si="24"/>
        <v>0</v>
      </c>
      <c r="AJ18">
        <f t="shared" si="25"/>
        <v>52411.451952938434</v>
      </c>
      <c r="AK18">
        <f t="shared" si="26"/>
        <v>0</v>
      </c>
      <c r="AL18">
        <f t="shared" si="27"/>
        <v>0</v>
      </c>
      <c r="AM18">
        <f t="shared" si="28"/>
        <v>0</v>
      </c>
      <c r="AN18">
        <f t="shared" si="29"/>
        <v>0</v>
      </c>
      <c r="AO18">
        <v>34.5</v>
      </c>
      <c r="AP18">
        <v>0.5</v>
      </c>
      <c r="AQ18" t="s">
        <v>331</v>
      </c>
      <c r="AR18">
        <v>2</v>
      </c>
      <c r="AS18">
        <v>1690212269</v>
      </c>
      <c r="AT18">
        <v>806.85799999999995</v>
      </c>
      <c r="AU18">
        <v>800.03800000000001</v>
      </c>
      <c r="AV18">
        <v>9.38781</v>
      </c>
      <c r="AW18">
        <v>6.0941299999999998</v>
      </c>
      <c r="AX18">
        <v>807.37400000000002</v>
      </c>
      <c r="AY18">
        <v>9.4245800000000006</v>
      </c>
      <c r="AZ18">
        <v>300.16399999999999</v>
      </c>
      <c r="BA18">
        <v>99.093299999999999</v>
      </c>
      <c r="BB18">
        <v>0.100027</v>
      </c>
      <c r="BC18">
        <v>26.759799999999998</v>
      </c>
      <c r="BD18">
        <v>27.008199999999999</v>
      </c>
      <c r="BE18">
        <v>26.636800000000001</v>
      </c>
      <c r="BF18">
        <v>0</v>
      </c>
      <c r="BG18">
        <v>0</v>
      </c>
      <c r="BH18">
        <v>9994.3799999999992</v>
      </c>
      <c r="BI18">
        <v>0.71269899999999997</v>
      </c>
      <c r="BJ18">
        <v>1.6875899999999999</v>
      </c>
      <c r="BK18">
        <v>6.8206800000000003</v>
      </c>
      <c r="BL18">
        <v>814.505</v>
      </c>
      <c r="BM18">
        <v>804.94299999999998</v>
      </c>
      <c r="BN18">
        <v>3.2936800000000002</v>
      </c>
      <c r="BO18">
        <v>800.03800000000001</v>
      </c>
      <c r="BP18">
        <v>6.0941299999999998</v>
      </c>
      <c r="BQ18">
        <v>0.93027000000000004</v>
      </c>
      <c r="BR18">
        <v>0.60388699999999995</v>
      </c>
      <c r="BS18">
        <v>5.8677200000000003</v>
      </c>
      <c r="BT18">
        <v>-0.22059599999999999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26</v>
      </c>
      <c r="CA18">
        <v>0</v>
      </c>
      <c r="CB18">
        <v>1690211922</v>
      </c>
      <c r="CC18" t="s">
        <v>332</v>
      </c>
      <c r="CD18">
        <v>1690211915</v>
      </c>
      <c r="CE18">
        <v>1690211922</v>
      </c>
      <c r="CF18">
        <v>6</v>
      </c>
      <c r="CG18">
        <v>1.0999999999999999E-2</v>
      </c>
      <c r="CH18">
        <v>8.0000000000000002E-3</v>
      </c>
      <c r="CI18">
        <v>-0.51100000000000001</v>
      </c>
      <c r="CJ18">
        <v>-6.6000000000000003E-2</v>
      </c>
      <c r="CK18">
        <v>800</v>
      </c>
      <c r="CL18">
        <v>6</v>
      </c>
      <c r="CM18">
        <v>0.21</v>
      </c>
      <c r="CN18">
        <v>0.02</v>
      </c>
      <c r="CO18">
        <v>6.792453170731708</v>
      </c>
      <c r="CP18">
        <v>0.2048153310104828</v>
      </c>
      <c r="CQ18">
        <v>4.0932068734942657E-2</v>
      </c>
      <c r="CR18">
        <v>-1</v>
      </c>
      <c r="CS18">
        <v>3.3311026829268289</v>
      </c>
      <c r="CT18">
        <v>-0.19871790940765741</v>
      </c>
      <c r="CU18">
        <v>1.9606989796994951E-2</v>
      </c>
      <c r="CV18">
        <v>-1</v>
      </c>
      <c r="CW18">
        <v>0</v>
      </c>
      <c r="CX18">
        <v>0</v>
      </c>
      <c r="CY18" t="s">
        <v>333</v>
      </c>
      <c r="CZ18">
        <v>2.3642599999999998</v>
      </c>
      <c r="DA18">
        <v>2.7138100000000001</v>
      </c>
      <c r="DB18">
        <v>0.14733399999999999</v>
      </c>
      <c r="DC18">
        <v>0.146067</v>
      </c>
      <c r="DD18">
        <v>5.7367899999999999E-2</v>
      </c>
      <c r="DE18">
        <v>3.9945700000000001E-2</v>
      </c>
      <c r="DF18">
        <v>31110</v>
      </c>
      <c r="DG18">
        <v>27485</v>
      </c>
      <c r="DH18">
        <v>31148.9</v>
      </c>
      <c r="DI18">
        <v>28046.9</v>
      </c>
      <c r="DJ18">
        <v>39879.300000000003</v>
      </c>
      <c r="DK18">
        <v>38284.199999999997</v>
      </c>
      <c r="DL18">
        <v>44324</v>
      </c>
      <c r="DM18">
        <v>42500.9</v>
      </c>
      <c r="DN18">
        <v>1.3551500000000001</v>
      </c>
      <c r="DO18">
        <v>2.0330300000000001</v>
      </c>
      <c r="DP18">
        <v>8.2336400000000004E-2</v>
      </c>
      <c r="DQ18">
        <v>5.36144E-2</v>
      </c>
      <c r="DR18">
        <v>25.6602</v>
      </c>
      <c r="DS18">
        <v>25.758900000000001</v>
      </c>
      <c r="DT18">
        <v>18.2</v>
      </c>
      <c r="DU18">
        <v>29.6</v>
      </c>
      <c r="DV18">
        <v>7.6464999999999996</v>
      </c>
      <c r="DW18">
        <v>61.768500000000003</v>
      </c>
      <c r="DX18">
        <v>36.5946</v>
      </c>
      <c r="DY18">
        <v>1</v>
      </c>
      <c r="DZ18">
        <v>-7.5444600000000001E-2</v>
      </c>
      <c r="EA18">
        <v>-1.3955200000000001</v>
      </c>
      <c r="EB18">
        <v>20.297899999999998</v>
      </c>
      <c r="EC18">
        <v>5.2413999999999996</v>
      </c>
      <c r="ED18">
        <v>12.039899999999999</v>
      </c>
      <c r="EE18">
        <v>5.0170000000000003</v>
      </c>
      <c r="EF18">
        <v>3.2879999999999998</v>
      </c>
      <c r="EG18">
        <v>9999</v>
      </c>
      <c r="EH18">
        <v>9999</v>
      </c>
      <c r="EI18">
        <v>9999</v>
      </c>
      <c r="EJ18">
        <v>999.9</v>
      </c>
      <c r="EK18">
        <v>1.8689100000000001</v>
      </c>
      <c r="EL18">
        <v>1.8646499999999999</v>
      </c>
      <c r="EM18">
        <v>1.8691800000000001</v>
      </c>
      <c r="EN18">
        <v>1.8672299999999999</v>
      </c>
      <c r="EO18">
        <v>1.8633999999999999</v>
      </c>
      <c r="EP18">
        <v>1.8645499999999999</v>
      </c>
      <c r="EQ18">
        <v>1.8701399999999999</v>
      </c>
      <c r="ER18">
        <v>1.8694200000000001</v>
      </c>
      <c r="ES18">
        <v>0</v>
      </c>
      <c r="ET18">
        <v>0</v>
      </c>
      <c r="EU18">
        <v>0</v>
      </c>
      <c r="EV18">
        <v>0</v>
      </c>
      <c r="EW18" t="s">
        <v>334</v>
      </c>
      <c r="EX18" t="s">
        <v>335</v>
      </c>
      <c r="EY18" t="s">
        <v>336</v>
      </c>
      <c r="EZ18" t="s">
        <v>336</v>
      </c>
      <c r="FA18" t="s">
        <v>336</v>
      </c>
      <c r="FB18" t="s">
        <v>336</v>
      </c>
      <c r="FC18">
        <v>0</v>
      </c>
      <c r="FD18">
        <v>100</v>
      </c>
      <c r="FE18">
        <v>100</v>
      </c>
      <c r="FF18">
        <v>-0.51600000000000001</v>
      </c>
      <c r="FG18">
        <v>-3.6799999999999999E-2</v>
      </c>
      <c r="FH18">
        <v>4.0020685143421282E-2</v>
      </c>
      <c r="FI18">
        <v>-6.1462078757559423E-4</v>
      </c>
      <c r="FJ18">
        <v>-1.8861989874597051E-7</v>
      </c>
      <c r="FK18">
        <v>1.1980462299894961E-10</v>
      </c>
      <c r="FL18">
        <v>-3.1035565592992288E-2</v>
      </c>
      <c r="FM18">
        <v>-1.6848085045870601E-2</v>
      </c>
      <c r="FN18">
        <v>1.9789084769509481E-3</v>
      </c>
      <c r="FO18">
        <v>-2.7142391389806329E-5</v>
      </c>
      <c r="FP18">
        <v>3</v>
      </c>
      <c r="FQ18">
        <v>2158</v>
      </c>
      <c r="FR18">
        <v>1</v>
      </c>
      <c r="FS18">
        <v>19</v>
      </c>
      <c r="FT18">
        <v>5.9</v>
      </c>
      <c r="FU18">
        <v>5.8</v>
      </c>
      <c r="FV18">
        <v>1.77979</v>
      </c>
      <c r="FW18">
        <v>2.5744600000000002</v>
      </c>
      <c r="FX18">
        <v>1.5490699999999999</v>
      </c>
      <c r="FY18">
        <v>2.3290999999999999</v>
      </c>
      <c r="FZ18">
        <v>1.50146</v>
      </c>
      <c r="GA18">
        <v>2.3779300000000001</v>
      </c>
      <c r="GB18">
        <v>33.692999999999998</v>
      </c>
      <c r="GC18">
        <v>24.026199999999999</v>
      </c>
      <c r="GD18">
        <v>19</v>
      </c>
      <c r="GE18">
        <v>235.154</v>
      </c>
      <c r="GF18">
        <v>582.09699999999998</v>
      </c>
      <c r="GG18">
        <v>28.4557</v>
      </c>
      <c r="GH18">
        <v>26.442599999999999</v>
      </c>
      <c r="GI18">
        <v>30.0001</v>
      </c>
      <c r="GJ18">
        <v>26.516999999999999</v>
      </c>
      <c r="GK18">
        <v>26.4892</v>
      </c>
      <c r="GL18">
        <v>35.588900000000002</v>
      </c>
      <c r="GM18">
        <v>-30</v>
      </c>
      <c r="GN18">
        <v>-30</v>
      </c>
      <c r="GO18">
        <v>28.444400000000002</v>
      </c>
      <c r="GP18">
        <v>800</v>
      </c>
      <c r="GQ18">
        <v>12.5298</v>
      </c>
      <c r="GR18">
        <v>99.658100000000005</v>
      </c>
      <c r="GS18">
        <v>99.432400000000001</v>
      </c>
    </row>
    <row r="19" spans="1:201" x14ac:dyDescent="0.25">
      <c r="A19">
        <v>3</v>
      </c>
      <c r="B19">
        <v>1690212269.5</v>
      </c>
      <c r="C19">
        <v>2</v>
      </c>
      <c r="D19" t="s">
        <v>337</v>
      </c>
      <c r="E19" t="s">
        <v>338</v>
      </c>
      <c r="F19" t="s">
        <v>330</v>
      </c>
      <c r="H19">
        <v>1690212269.5</v>
      </c>
      <c r="I19">
        <f t="shared" si="0"/>
        <v>2.8913561127585138E-4</v>
      </c>
      <c r="J19">
        <f t="shared" si="1"/>
        <v>0.28913561127585136</v>
      </c>
      <c r="K19">
        <f t="shared" si="2"/>
        <v>-0.82600564483163352</v>
      </c>
      <c r="L19">
        <f t="shared" si="3"/>
        <v>806.86199999999997</v>
      </c>
      <c r="M19">
        <f t="shared" si="4"/>
        <v>892.14292070854913</v>
      </c>
      <c r="N19">
        <f t="shared" si="5"/>
        <v>88.494371988131618</v>
      </c>
      <c r="O19">
        <f t="shared" si="6"/>
        <v>80.035097867927988</v>
      </c>
      <c r="P19">
        <f t="shared" si="7"/>
        <v>1.0916994800581052E-2</v>
      </c>
      <c r="Q19">
        <f t="shared" si="8"/>
        <v>2.0117879280531659</v>
      </c>
      <c r="R19">
        <f t="shared" si="9"/>
        <v>1.0884189803446149E-2</v>
      </c>
      <c r="S19">
        <f t="shared" si="10"/>
        <v>6.8055577596335421E-3</v>
      </c>
      <c r="T19">
        <f t="shared" si="11"/>
        <v>0</v>
      </c>
      <c r="U19">
        <f t="shared" si="12"/>
        <v>26.654301521217246</v>
      </c>
      <c r="V19">
        <f t="shared" si="13"/>
        <v>26.654301521217246</v>
      </c>
      <c r="W19">
        <f t="shared" si="14"/>
        <v>3.5071301987643784</v>
      </c>
      <c r="X19">
        <f t="shared" si="15"/>
        <v>26.38171319240422</v>
      </c>
      <c r="Y19">
        <f t="shared" si="16"/>
        <v>0.93104277380147993</v>
      </c>
      <c r="Z19">
        <f t="shared" si="17"/>
        <v>3.5291217329644242</v>
      </c>
      <c r="AA19">
        <f t="shared" si="18"/>
        <v>2.5760874249628984</v>
      </c>
      <c r="AB19">
        <f t="shared" si="19"/>
        <v>-12.750880457265046</v>
      </c>
      <c r="AC19">
        <f t="shared" si="20"/>
        <v>11.518235054060682</v>
      </c>
      <c r="AD19">
        <f t="shared" si="21"/>
        <v>1.2319905096224766</v>
      </c>
      <c r="AE19">
        <f t="shared" si="22"/>
        <v>-6.5489358188663971E-4</v>
      </c>
      <c r="AF19">
        <v>46</v>
      </c>
      <c r="AG19">
        <v>15</v>
      </c>
      <c r="AH19">
        <f t="shared" si="23"/>
        <v>1</v>
      </c>
      <c r="AI19">
        <f t="shared" si="24"/>
        <v>0</v>
      </c>
      <c r="AJ19">
        <f t="shared" si="25"/>
        <v>52429.983688844302</v>
      </c>
      <c r="AK19">
        <f t="shared" si="26"/>
        <v>0</v>
      </c>
      <c r="AL19">
        <f t="shared" si="27"/>
        <v>0</v>
      </c>
      <c r="AM19">
        <f t="shared" si="28"/>
        <v>0</v>
      </c>
      <c r="AN19">
        <f t="shared" si="29"/>
        <v>0</v>
      </c>
      <c r="AO19">
        <v>34.5</v>
      </c>
      <c r="AP19">
        <v>0.5</v>
      </c>
      <c r="AQ19" t="s">
        <v>331</v>
      </c>
      <c r="AR19">
        <v>2</v>
      </c>
      <c r="AS19">
        <v>1690212269.5</v>
      </c>
      <c r="AT19">
        <v>806.86199999999997</v>
      </c>
      <c r="AU19">
        <v>800.05</v>
      </c>
      <c r="AV19">
        <v>9.3861699999999999</v>
      </c>
      <c r="AW19">
        <v>6.0943500000000004</v>
      </c>
      <c r="AX19">
        <v>807.37800000000004</v>
      </c>
      <c r="AY19">
        <v>9.4229599999999998</v>
      </c>
      <c r="AZ19">
        <v>300.185</v>
      </c>
      <c r="BA19">
        <v>99.093000000000004</v>
      </c>
      <c r="BB19">
        <v>0.10004399999999999</v>
      </c>
      <c r="BC19">
        <v>26.7605</v>
      </c>
      <c r="BD19">
        <v>27.007999999999999</v>
      </c>
      <c r="BE19">
        <v>26.638100000000001</v>
      </c>
      <c r="BF19">
        <v>0</v>
      </c>
      <c r="BG19">
        <v>0</v>
      </c>
      <c r="BH19">
        <v>9998.1200000000008</v>
      </c>
      <c r="BI19">
        <v>0.71391099999999996</v>
      </c>
      <c r="BJ19">
        <v>1.68198</v>
      </c>
      <c r="BK19">
        <v>6.8115199999999998</v>
      </c>
      <c r="BL19">
        <v>814.50699999999995</v>
      </c>
      <c r="BM19">
        <v>804.95600000000002</v>
      </c>
      <c r="BN19">
        <v>3.29182</v>
      </c>
      <c r="BO19">
        <v>800.05</v>
      </c>
      <c r="BP19">
        <v>6.0943500000000004</v>
      </c>
      <c r="BQ19">
        <v>0.93010400000000004</v>
      </c>
      <c r="BR19">
        <v>0.60390699999999997</v>
      </c>
      <c r="BS19">
        <v>5.8651400000000002</v>
      </c>
      <c r="BT19">
        <v>-0.220141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26</v>
      </c>
      <c r="CA19">
        <v>0</v>
      </c>
      <c r="CB19">
        <v>1690211922</v>
      </c>
      <c r="CC19" t="s">
        <v>332</v>
      </c>
      <c r="CD19">
        <v>1690211915</v>
      </c>
      <c r="CE19">
        <v>1690211922</v>
      </c>
      <c r="CF19">
        <v>6</v>
      </c>
      <c r="CG19">
        <v>1.0999999999999999E-2</v>
      </c>
      <c r="CH19">
        <v>8.0000000000000002E-3</v>
      </c>
      <c r="CI19">
        <v>-0.51100000000000001</v>
      </c>
      <c r="CJ19">
        <v>-6.6000000000000003E-2</v>
      </c>
      <c r="CK19">
        <v>800</v>
      </c>
      <c r="CL19">
        <v>6</v>
      </c>
      <c r="CM19">
        <v>0.21</v>
      </c>
      <c r="CN19">
        <v>0.02</v>
      </c>
      <c r="CO19">
        <v>6.7971689999999994</v>
      </c>
      <c r="CP19">
        <v>0.2366652157598344</v>
      </c>
      <c r="CQ19">
        <v>4.1295557920919268E-2</v>
      </c>
      <c r="CR19">
        <v>-1</v>
      </c>
      <c r="CS19">
        <v>3.3253872499999999</v>
      </c>
      <c r="CT19">
        <v>-0.19868048780488479</v>
      </c>
      <c r="CU19">
        <v>1.9126025722493931E-2</v>
      </c>
      <c r="CV19">
        <v>-1</v>
      </c>
      <c r="CW19">
        <v>0</v>
      </c>
      <c r="CX19">
        <v>0</v>
      </c>
      <c r="CY19" t="s">
        <v>333</v>
      </c>
      <c r="CZ19">
        <v>2.3643200000000002</v>
      </c>
      <c r="DA19">
        <v>2.7138300000000002</v>
      </c>
      <c r="DB19">
        <v>0.14733399999999999</v>
      </c>
      <c r="DC19">
        <v>0.146068</v>
      </c>
      <c r="DD19">
        <v>5.7360000000000001E-2</v>
      </c>
      <c r="DE19">
        <v>3.9946799999999998E-2</v>
      </c>
      <c r="DF19">
        <v>31109.9</v>
      </c>
      <c r="DG19">
        <v>27485</v>
      </c>
      <c r="DH19">
        <v>31148.9</v>
      </c>
      <c r="DI19">
        <v>28046.9</v>
      </c>
      <c r="DJ19">
        <v>39879.599999999999</v>
      </c>
      <c r="DK19">
        <v>38284.1</v>
      </c>
      <c r="DL19">
        <v>44323.9</v>
      </c>
      <c r="DM19">
        <v>42500.9</v>
      </c>
      <c r="DN19">
        <v>1.3551500000000001</v>
      </c>
      <c r="DO19">
        <v>2.0330300000000001</v>
      </c>
      <c r="DP19">
        <v>8.2306599999999994E-2</v>
      </c>
      <c r="DQ19">
        <v>5.3677700000000002E-2</v>
      </c>
      <c r="DR19">
        <v>25.660499999999999</v>
      </c>
      <c r="DS19">
        <v>25.7592</v>
      </c>
      <c r="DT19">
        <v>18.2</v>
      </c>
      <c r="DU19">
        <v>29.6</v>
      </c>
      <c r="DV19">
        <v>7.6472300000000004</v>
      </c>
      <c r="DW19">
        <v>61.768500000000003</v>
      </c>
      <c r="DX19">
        <v>37.1434</v>
      </c>
      <c r="DY19">
        <v>1</v>
      </c>
      <c r="DZ19">
        <v>-7.5497999999999996E-2</v>
      </c>
      <c r="EA19">
        <v>-1.3938999999999999</v>
      </c>
      <c r="EB19">
        <v>20.297899999999998</v>
      </c>
      <c r="EC19">
        <v>5.2413999999999996</v>
      </c>
      <c r="ED19">
        <v>12.039899999999999</v>
      </c>
      <c r="EE19">
        <v>5.0168499999999998</v>
      </c>
      <c r="EF19">
        <v>3.2879999999999998</v>
      </c>
      <c r="EG19">
        <v>9999</v>
      </c>
      <c r="EH19">
        <v>9999</v>
      </c>
      <c r="EI19">
        <v>9999</v>
      </c>
      <c r="EJ19">
        <v>999.9</v>
      </c>
      <c r="EK19">
        <v>1.8689100000000001</v>
      </c>
      <c r="EL19">
        <v>1.86466</v>
      </c>
      <c r="EM19">
        <v>1.8691800000000001</v>
      </c>
      <c r="EN19">
        <v>1.8672299999999999</v>
      </c>
      <c r="EO19">
        <v>1.8633999999999999</v>
      </c>
      <c r="EP19">
        <v>1.8645499999999999</v>
      </c>
      <c r="EQ19">
        <v>1.8701399999999999</v>
      </c>
      <c r="ER19">
        <v>1.8694200000000001</v>
      </c>
      <c r="ES19">
        <v>0</v>
      </c>
      <c r="ET19">
        <v>0</v>
      </c>
      <c r="EU19">
        <v>0</v>
      </c>
      <c r="EV19">
        <v>0</v>
      </c>
      <c r="EW19" t="s">
        <v>334</v>
      </c>
      <c r="EX19" t="s">
        <v>335</v>
      </c>
      <c r="EY19" t="s">
        <v>336</v>
      </c>
      <c r="EZ19" t="s">
        <v>336</v>
      </c>
      <c r="FA19" t="s">
        <v>336</v>
      </c>
      <c r="FB19" t="s">
        <v>336</v>
      </c>
      <c r="FC19">
        <v>0</v>
      </c>
      <c r="FD19">
        <v>100</v>
      </c>
      <c r="FE19">
        <v>100</v>
      </c>
      <c r="FF19">
        <v>-0.51600000000000001</v>
      </c>
      <c r="FG19">
        <v>-3.6799999999999999E-2</v>
      </c>
      <c r="FH19">
        <v>4.0020685143421282E-2</v>
      </c>
      <c r="FI19">
        <v>-6.1462078757559423E-4</v>
      </c>
      <c r="FJ19">
        <v>-1.8861989874597051E-7</v>
      </c>
      <c r="FK19">
        <v>1.1980462299894961E-10</v>
      </c>
      <c r="FL19">
        <v>-3.1035565592992288E-2</v>
      </c>
      <c r="FM19">
        <v>-1.6848085045870601E-2</v>
      </c>
      <c r="FN19">
        <v>1.9789084769509481E-3</v>
      </c>
      <c r="FO19">
        <v>-2.7142391389806329E-5</v>
      </c>
      <c r="FP19">
        <v>3</v>
      </c>
      <c r="FQ19">
        <v>2158</v>
      </c>
      <c r="FR19">
        <v>1</v>
      </c>
      <c r="FS19">
        <v>19</v>
      </c>
      <c r="FT19">
        <v>5.9</v>
      </c>
      <c r="FU19">
        <v>5.8</v>
      </c>
      <c r="FV19">
        <v>1.77979</v>
      </c>
      <c r="FW19">
        <v>2.5769000000000002</v>
      </c>
      <c r="FX19">
        <v>1.5490699999999999</v>
      </c>
      <c r="FY19">
        <v>2.3290999999999999</v>
      </c>
      <c r="FZ19">
        <v>1.50146</v>
      </c>
      <c r="GA19">
        <v>2.3742700000000001</v>
      </c>
      <c r="GB19">
        <v>33.692999999999998</v>
      </c>
      <c r="GC19">
        <v>24.026199999999999</v>
      </c>
      <c r="GD19">
        <v>19</v>
      </c>
      <c r="GE19">
        <v>235.154</v>
      </c>
      <c r="GF19">
        <v>582.09699999999998</v>
      </c>
      <c r="GG19">
        <v>28.4543</v>
      </c>
      <c r="GH19">
        <v>26.442900000000002</v>
      </c>
      <c r="GI19">
        <v>30.0001</v>
      </c>
      <c r="GJ19">
        <v>26.516999999999999</v>
      </c>
      <c r="GK19">
        <v>26.4892</v>
      </c>
      <c r="GL19">
        <v>35.590000000000003</v>
      </c>
      <c r="GM19">
        <v>-30</v>
      </c>
      <c r="GN19">
        <v>-30</v>
      </c>
      <c r="GO19">
        <v>28.444400000000002</v>
      </c>
      <c r="GP19">
        <v>800</v>
      </c>
      <c r="GQ19">
        <v>12.5298</v>
      </c>
      <c r="GR19">
        <v>99.658000000000001</v>
      </c>
      <c r="GS19">
        <v>99.432400000000001</v>
      </c>
    </row>
    <row r="20" spans="1:201" x14ac:dyDescent="0.25">
      <c r="A20">
        <v>4</v>
      </c>
      <c r="B20">
        <v>1690212270.5</v>
      </c>
      <c r="C20">
        <v>3</v>
      </c>
      <c r="D20" t="s">
        <v>339</v>
      </c>
      <c r="E20" t="s">
        <v>340</v>
      </c>
      <c r="F20" t="s">
        <v>330</v>
      </c>
      <c r="H20">
        <v>1690212270.5</v>
      </c>
      <c r="I20">
        <f t="shared" si="0"/>
        <v>2.8881130225605139E-4</v>
      </c>
      <c r="J20">
        <f t="shared" si="1"/>
        <v>0.28881130225605139</v>
      </c>
      <c r="K20">
        <f t="shared" si="2"/>
        <v>-0.82815906426265351</v>
      </c>
      <c r="L20">
        <f t="shared" si="3"/>
        <v>806.87099999999998</v>
      </c>
      <c r="M20">
        <f t="shared" si="4"/>
        <v>892.61032057628074</v>
      </c>
      <c r="N20">
        <f t="shared" si="5"/>
        <v>88.540170674054522</v>
      </c>
      <c r="O20">
        <f t="shared" si="6"/>
        <v>80.035480662851995</v>
      </c>
      <c r="P20">
        <f t="shared" si="7"/>
        <v>1.0902758704870086E-2</v>
      </c>
      <c r="Q20">
        <f t="shared" si="8"/>
        <v>2.0109962300843423</v>
      </c>
      <c r="R20">
        <f t="shared" si="9"/>
        <v>1.0870026231508336E-2</v>
      </c>
      <c r="S20">
        <f t="shared" si="10"/>
        <v>6.7966990368959288E-3</v>
      </c>
      <c r="T20">
        <f t="shared" si="11"/>
        <v>0</v>
      </c>
      <c r="U20">
        <f t="shared" si="12"/>
        <v>26.654882966925783</v>
      </c>
      <c r="V20">
        <f t="shared" si="13"/>
        <v>26.654882966925783</v>
      </c>
      <c r="W20">
        <f t="shared" si="14"/>
        <v>3.5072502777783554</v>
      </c>
      <c r="X20">
        <f t="shared" si="15"/>
        <v>26.37160644716171</v>
      </c>
      <c r="Y20">
        <f t="shared" si="16"/>
        <v>0.93071347447892017</v>
      </c>
      <c r="Z20">
        <f t="shared" si="17"/>
        <v>3.5292255568264399</v>
      </c>
      <c r="AA20">
        <f t="shared" si="18"/>
        <v>2.5765368032994354</v>
      </c>
      <c r="AB20">
        <f t="shared" si="19"/>
        <v>-12.736578429491866</v>
      </c>
      <c r="AC20">
        <f t="shared" si="20"/>
        <v>11.504872202934701</v>
      </c>
      <c r="AD20">
        <f t="shared" si="21"/>
        <v>1.2310523347919253</v>
      </c>
      <c r="AE20">
        <f t="shared" si="22"/>
        <v>-6.5389176523922288E-4</v>
      </c>
      <c r="AF20">
        <v>46</v>
      </c>
      <c r="AG20">
        <v>15</v>
      </c>
      <c r="AH20">
        <f t="shared" si="23"/>
        <v>1</v>
      </c>
      <c r="AI20">
        <f t="shared" si="24"/>
        <v>0</v>
      </c>
      <c r="AJ20">
        <f t="shared" si="25"/>
        <v>52391.85079527284</v>
      </c>
      <c r="AK20">
        <f t="shared" si="26"/>
        <v>0</v>
      </c>
      <c r="AL20">
        <f t="shared" si="27"/>
        <v>0</v>
      </c>
      <c r="AM20">
        <f t="shared" si="28"/>
        <v>0</v>
      </c>
      <c r="AN20">
        <f t="shared" si="29"/>
        <v>0</v>
      </c>
      <c r="AO20">
        <v>34.5</v>
      </c>
      <c r="AP20">
        <v>0.5</v>
      </c>
      <c r="AQ20" t="s">
        <v>331</v>
      </c>
      <c r="AR20">
        <v>2</v>
      </c>
      <c r="AS20">
        <v>1690212270.5</v>
      </c>
      <c r="AT20">
        <v>806.87099999999998</v>
      </c>
      <c r="AU20">
        <v>800.03099999999995</v>
      </c>
      <c r="AV20">
        <v>9.3829100000000007</v>
      </c>
      <c r="AW20">
        <v>6.0946400000000001</v>
      </c>
      <c r="AX20">
        <v>807.38699999999994</v>
      </c>
      <c r="AY20">
        <v>9.4197399999999991</v>
      </c>
      <c r="AZ20">
        <v>300.173</v>
      </c>
      <c r="BA20">
        <v>99.092399999999998</v>
      </c>
      <c r="BB20">
        <v>0.100012</v>
      </c>
      <c r="BC20">
        <v>26.760999999999999</v>
      </c>
      <c r="BD20">
        <v>27.006399999999999</v>
      </c>
      <c r="BE20">
        <v>26.6403</v>
      </c>
      <c r="BF20">
        <v>0</v>
      </c>
      <c r="BG20">
        <v>0</v>
      </c>
      <c r="BH20">
        <v>9990.6200000000008</v>
      </c>
      <c r="BI20">
        <v>0.72482000000000002</v>
      </c>
      <c r="BJ20">
        <v>1.68198</v>
      </c>
      <c r="BK20">
        <v>6.8403900000000002</v>
      </c>
      <c r="BL20">
        <v>814.51300000000003</v>
      </c>
      <c r="BM20">
        <v>804.93600000000004</v>
      </c>
      <c r="BN20">
        <v>3.2882600000000002</v>
      </c>
      <c r="BO20">
        <v>800.03099999999995</v>
      </c>
      <c r="BP20">
        <v>6.0946400000000001</v>
      </c>
      <c r="BQ20">
        <v>0.92977500000000002</v>
      </c>
      <c r="BR20">
        <v>0.60393300000000005</v>
      </c>
      <c r="BS20">
        <v>5.8600300000000001</v>
      </c>
      <c r="BT20">
        <v>-0.21956600000000001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26</v>
      </c>
      <c r="CA20">
        <v>0</v>
      </c>
      <c r="CB20">
        <v>1690211922</v>
      </c>
      <c r="CC20" t="s">
        <v>332</v>
      </c>
      <c r="CD20">
        <v>1690211915</v>
      </c>
      <c r="CE20">
        <v>1690211922</v>
      </c>
      <c r="CF20">
        <v>6</v>
      </c>
      <c r="CG20">
        <v>1.0999999999999999E-2</v>
      </c>
      <c r="CH20">
        <v>8.0000000000000002E-3</v>
      </c>
      <c r="CI20">
        <v>-0.51100000000000001</v>
      </c>
      <c r="CJ20">
        <v>-6.6000000000000003E-2</v>
      </c>
      <c r="CK20">
        <v>800</v>
      </c>
      <c r="CL20">
        <v>6</v>
      </c>
      <c r="CM20">
        <v>0.21</v>
      </c>
      <c r="CN20">
        <v>0.02</v>
      </c>
      <c r="CO20">
        <v>6.7971689999999994</v>
      </c>
      <c r="CP20">
        <v>0.2366652157598344</v>
      </c>
      <c r="CQ20">
        <v>4.1295557920919268E-2</v>
      </c>
      <c r="CR20">
        <v>-1</v>
      </c>
      <c r="CS20">
        <v>3.3253872499999999</v>
      </c>
      <c r="CT20">
        <v>-0.19868048780488479</v>
      </c>
      <c r="CU20">
        <v>1.9126025722493931E-2</v>
      </c>
      <c r="CV20">
        <v>-1</v>
      </c>
      <c r="CW20">
        <v>0</v>
      </c>
      <c r="CX20">
        <v>0</v>
      </c>
      <c r="CY20" t="s">
        <v>333</v>
      </c>
      <c r="CZ20">
        <v>2.36429</v>
      </c>
      <c r="DA20">
        <v>2.7137899999999999</v>
      </c>
      <c r="DB20">
        <v>0.14733399999999999</v>
      </c>
      <c r="DC20">
        <v>0.146065</v>
      </c>
      <c r="DD20">
        <v>5.7344399999999997E-2</v>
      </c>
      <c r="DE20">
        <v>3.99481E-2</v>
      </c>
      <c r="DF20">
        <v>31109.8</v>
      </c>
      <c r="DG20">
        <v>27485</v>
      </c>
      <c r="DH20">
        <v>31148.799999999999</v>
      </c>
      <c r="DI20">
        <v>28046.799999999999</v>
      </c>
      <c r="DJ20">
        <v>39880.1</v>
      </c>
      <c r="DK20">
        <v>38284</v>
      </c>
      <c r="DL20">
        <v>44323.8</v>
      </c>
      <c r="DM20">
        <v>42500.9</v>
      </c>
      <c r="DN20">
        <v>1.3551500000000001</v>
      </c>
      <c r="DO20">
        <v>2.0330699999999999</v>
      </c>
      <c r="DP20">
        <v>8.2176200000000005E-2</v>
      </c>
      <c r="DQ20">
        <v>5.3778300000000001E-2</v>
      </c>
      <c r="DR20">
        <v>25.661000000000001</v>
      </c>
      <c r="DS20">
        <v>25.759699999999999</v>
      </c>
      <c r="DT20">
        <v>18.2</v>
      </c>
      <c r="DU20">
        <v>29.6</v>
      </c>
      <c r="DV20">
        <v>7.6465699999999996</v>
      </c>
      <c r="DW20">
        <v>61.9985</v>
      </c>
      <c r="DX20">
        <v>35.861400000000003</v>
      </c>
      <c r="DY20">
        <v>1</v>
      </c>
      <c r="DZ20">
        <v>-7.5444600000000001E-2</v>
      </c>
      <c r="EA20">
        <v>-1.3903799999999999</v>
      </c>
      <c r="EB20">
        <v>20.297899999999998</v>
      </c>
      <c r="EC20">
        <v>5.2409499999999998</v>
      </c>
      <c r="ED20">
        <v>12.039899999999999</v>
      </c>
      <c r="EE20">
        <v>5.0167000000000002</v>
      </c>
      <c r="EF20">
        <v>3.2879999999999998</v>
      </c>
      <c r="EG20">
        <v>9999</v>
      </c>
      <c r="EH20">
        <v>9999</v>
      </c>
      <c r="EI20">
        <v>9999</v>
      </c>
      <c r="EJ20">
        <v>999.9</v>
      </c>
      <c r="EK20">
        <v>1.8689100000000001</v>
      </c>
      <c r="EL20">
        <v>1.86467</v>
      </c>
      <c r="EM20">
        <v>1.8691899999999999</v>
      </c>
      <c r="EN20">
        <v>1.86724</v>
      </c>
      <c r="EO20">
        <v>1.8633999999999999</v>
      </c>
      <c r="EP20">
        <v>1.86456</v>
      </c>
      <c r="EQ20">
        <v>1.87015</v>
      </c>
      <c r="ER20">
        <v>1.8694299999999999</v>
      </c>
      <c r="ES20">
        <v>0</v>
      </c>
      <c r="ET20">
        <v>0</v>
      </c>
      <c r="EU20">
        <v>0</v>
      </c>
      <c r="EV20">
        <v>0</v>
      </c>
      <c r="EW20" t="s">
        <v>334</v>
      </c>
      <c r="EX20" t="s">
        <v>335</v>
      </c>
      <c r="EY20" t="s">
        <v>336</v>
      </c>
      <c r="EZ20" t="s">
        <v>336</v>
      </c>
      <c r="FA20" t="s">
        <v>336</v>
      </c>
      <c r="FB20" t="s">
        <v>336</v>
      </c>
      <c r="FC20">
        <v>0</v>
      </c>
      <c r="FD20">
        <v>100</v>
      </c>
      <c r="FE20">
        <v>100</v>
      </c>
      <c r="FF20">
        <v>-0.51600000000000001</v>
      </c>
      <c r="FG20">
        <v>-3.6799999999999999E-2</v>
      </c>
      <c r="FH20">
        <v>4.0020685143421282E-2</v>
      </c>
      <c r="FI20">
        <v>-6.1462078757559423E-4</v>
      </c>
      <c r="FJ20">
        <v>-1.8861989874597051E-7</v>
      </c>
      <c r="FK20">
        <v>1.1980462299894961E-10</v>
      </c>
      <c r="FL20">
        <v>-3.1035565592992288E-2</v>
      </c>
      <c r="FM20">
        <v>-1.6848085045870601E-2</v>
      </c>
      <c r="FN20">
        <v>1.9789084769509481E-3</v>
      </c>
      <c r="FO20">
        <v>-2.7142391389806329E-5</v>
      </c>
      <c r="FP20">
        <v>3</v>
      </c>
      <c r="FQ20">
        <v>2158</v>
      </c>
      <c r="FR20">
        <v>1</v>
      </c>
      <c r="FS20">
        <v>19</v>
      </c>
      <c r="FT20">
        <v>5.9</v>
      </c>
      <c r="FU20">
        <v>5.8</v>
      </c>
      <c r="FV20">
        <v>1.77979</v>
      </c>
      <c r="FW20">
        <v>2.5732400000000002</v>
      </c>
      <c r="FX20">
        <v>1.5490699999999999</v>
      </c>
      <c r="FY20">
        <v>2.3303199999999999</v>
      </c>
      <c r="FZ20">
        <v>1.50146</v>
      </c>
      <c r="GA20">
        <v>2.3120099999999999</v>
      </c>
      <c r="GB20">
        <v>33.692999999999998</v>
      </c>
      <c r="GC20">
        <v>24.017499999999998</v>
      </c>
      <c r="GD20">
        <v>19</v>
      </c>
      <c r="GE20">
        <v>235.154</v>
      </c>
      <c r="GF20">
        <v>582.13800000000003</v>
      </c>
      <c r="GG20">
        <v>28.4514</v>
      </c>
      <c r="GH20">
        <v>26.4435</v>
      </c>
      <c r="GI20">
        <v>30.0001</v>
      </c>
      <c r="GJ20">
        <v>26.516999999999999</v>
      </c>
      <c r="GK20">
        <v>26.4892</v>
      </c>
      <c r="GL20">
        <v>35.5914</v>
      </c>
      <c r="GM20">
        <v>-30</v>
      </c>
      <c r="GN20">
        <v>-30</v>
      </c>
      <c r="GO20">
        <v>28.444400000000002</v>
      </c>
      <c r="GP20">
        <v>800</v>
      </c>
      <c r="GQ20">
        <v>12.5298</v>
      </c>
      <c r="GR20">
        <v>99.657799999999995</v>
      </c>
      <c r="GS20">
        <v>99.432199999999995</v>
      </c>
    </row>
    <row r="21" spans="1:201" x14ac:dyDescent="0.25">
      <c r="A21">
        <v>5</v>
      </c>
      <c r="B21">
        <v>1690212271.5</v>
      </c>
      <c r="C21">
        <v>4</v>
      </c>
      <c r="D21" t="s">
        <v>341</v>
      </c>
      <c r="E21" t="s">
        <v>342</v>
      </c>
      <c r="F21" t="s">
        <v>330</v>
      </c>
      <c r="H21">
        <v>1690212271.5</v>
      </c>
      <c r="I21">
        <f t="shared" si="0"/>
        <v>2.8856334567422929E-4</v>
      </c>
      <c r="J21">
        <f t="shared" si="1"/>
        <v>0.28856334567422931</v>
      </c>
      <c r="K21">
        <f t="shared" si="2"/>
        <v>-0.82890260858254716</v>
      </c>
      <c r="L21">
        <f t="shared" si="3"/>
        <v>806.84500000000003</v>
      </c>
      <c r="M21">
        <f t="shared" si="4"/>
        <v>892.79981677710236</v>
      </c>
      <c r="N21">
        <f t="shared" si="5"/>
        <v>88.559271793296347</v>
      </c>
      <c r="O21">
        <f t="shared" si="6"/>
        <v>80.033176874969485</v>
      </c>
      <c r="P21">
        <f t="shared" si="7"/>
        <v>1.0892767975525609E-2</v>
      </c>
      <c r="Q21">
        <f t="shared" si="8"/>
        <v>2.0109355045461936</v>
      </c>
      <c r="R21">
        <f t="shared" si="9"/>
        <v>1.0860094382915195E-2</v>
      </c>
      <c r="S21">
        <f t="shared" si="10"/>
        <v>6.7904863633483116E-3</v>
      </c>
      <c r="T21">
        <f t="shared" si="11"/>
        <v>0</v>
      </c>
      <c r="U21">
        <f t="shared" si="12"/>
        <v>26.654171098641715</v>
      </c>
      <c r="V21">
        <f t="shared" si="13"/>
        <v>26.654171098641715</v>
      </c>
      <c r="W21">
        <f t="shared" si="14"/>
        <v>3.5071032646457465</v>
      </c>
      <c r="X21">
        <f t="shared" si="15"/>
        <v>26.364225179333172</v>
      </c>
      <c r="Y21">
        <f t="shared" si="16"/>
        <v>0.93040917745491092</v>
      </c>
      <c r="Z21">
        <f t="shared" si="17"/>
        <v>3.5290594399271615</v>
      </c>
      <c r="AA21">
        <f t="shared" si="18"/>
        <v>2.5766940871908357</v>
      </c>
      <c r="AB21">
        <f t="shared" si="19"/>
        <v>-12.725643544233511</v>
      </c>
      <c r="AC21">
        <f t="shared" si="20"/>
        <v>11.494970120629842</v>
      </c>
      <c r="AD21">
        <f t="shared" si="21"/>
        <v>1.2300206208777194</v>
      </c>
      <c r="AE21">
        <f t="shared" si="22"/>
        <v>-6.5280272595025224E-4</v>
      </c>
      <c r="AF21">
        <v>46</v>
      </c>
      <c r="AG21">
        <v>15</v>
      </c>
      <c r="AH21">
        <f t="shared" si="23"/>
        <v>1</v>
      </c>
      <c r="AI21">
        <f t="shared" si="24"/>
        <v>0</v>
      </c>
      <c r="AJ21">
        <f t="shared" si="25"/>
        <v>52389.082868957797</v>
      </c>
      <c r="AK21">
        <f t="shared" si="26"/>
        <v>0</v>
      </c>
      <c r="AL21">
        <f t="shared" si="27"/>
        <v>0</v>
      </c>
      <c r="AM21">
        <f t="shared" si="28"/>
        <v>0</v>
      </c>
      <c r="AN21">
        <f t="shared" si="29"/>
        <v>0</v>
      </c>
      <c r="AO21">
        <v>34.5</v>
      </c>
      <c r="AP21">
        <v>0.5</v>
      </c>
      <c r="AQ21" t="s">
        <v>331</v>
      </c>
      <c r="AR21">
        <v>2</v>
      </c>
      <c r="AS21">
        <v>1690212271.5</v>
      </c>
      <c r="AT21">
        <v>806.84500000000003</v>
      </c>
      <c r="AU21">
        <v>799.99400000000003</v>
      </c>
      <c r="AV21">
        <v>9.3798100000000009</v>
      </c>
      <c r="AW21">
        <v>6.0943199999999997</v>
      </c>
      <c r="AX21">
        <v>807.36099999999999</v>
      </c>
      <c r="AY21">
        <v>9.4166799999999995</v>
      </c>
      <c r="AZ21">
        <v>300.17</v>
      </c>
      <c r="BA21">
        <v>99.092799999999997</v>
      </c>
      <c r="BB21">
        <v>9.9953100000000003E-2</v>
      </c>
      <c r="BC21">
        <v>26.760200000000001</v>
      </c>
      <c r="BD21">
        <v>27.0061</v>
      </c>
      <c r="BE21">
        <v>26.640999999999998</v>
      </c>
      <c r="BF21">
        <v>0</v>
      </c>
      <c r="BG21">
        <v>0</v>
      </c>
      <c r="BH21">
        <v>9990</v>
      </c>
      <c r="BI21">
        <v>0.72360800000000003</v>
      </c>
      <c r="BJ21">
        <v>1.68198</v>
      </c>
      <c r="BK21">
        <v>6.85114</v>
      </c>
      <c r="BL21">
        <v>814.48500000000001</v>
      </c>
      <c r="BM21">
        <v>804.9</v>
      </c>
      <c r="BN21">
        <v>3.2854899999999998</v>
      </c>
      <c r="BO21">
        <v>799.99400000000003</v>
      </c>
      <c r="BP21">
        <v>6.0943199999999997</v>
      </c>
      <c r="BQ21">
        <v>0.92947199999999996</v>
      </c>
      <c r="BR21">
        <v>0.603904</v>
      </c>
      <c r="BS21">
        <v>5.8553199999999999</v>
      </c>
      <c r="BT21">
        <v>-0.22023000000000001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26</v>
      </c>
      <c r="CA21">
        <v>0</v>
      </c>
      <c r="CB21">
        <v>1690211922</v>
      </c>
      <c r="CC21" t="s">
        <v>332</v>
      </c>
      <c r="CD21">
        <v>1690211915</v>
      </c>
      <c r="CE21">
        <v>1690211922</v>
      </c>
      <c r="CF21">
        <v>6</v>
      </c>
      <c r="CG21">
        <v>1.0999999999999999E-2</v>
      </c>
      <c r="CH21">
        <v>8.0000000000000002E-3</v>
      </c>
      <c r="CI21">
        <v>-0.51100000000000001</v>
      </c>
      <c r="CJ21">
        <v>-6.6000000000000003E-2</v>
      </c>
      <c r="CK21">
        <v>800</v>
      </c>
      <c r="CL21">
        <v>6</v>
      </c>
      <c r="CM21">
        <v>0.21</v>
      </c>
      <c r="CN21">
        <v>0.02</v>
      </c>
      <c r="CO21">
        <v>6.7996804878048778</v>
      </c>
      <c r="CP21">
        <v>0.24401581881533041</v>
      </c>
      <c r="CQ21">
        <v>4.1447385921937772E-2</v>
      </c>
      <c r="CR21">
        <v>-1</v>
      </c>
      <c r="CS21">
        <v>3.321259024390244</v>
      </c>
      <c r="CT21">
        <v>-0.19823540069685991</v>
      </c>
      <c r="CU21">
        <v>1.955964883280932E-2</v>
      </c>
      <c r="CV21">
        <v>-1</v>
      </c>
      <c r="CW21">
        <v>0</v>
      </c>
      <c r="CX21">
        <v>0</v>
      </c>
      <c r="CY21" t="s">
        <v>333</v>
      </c>
      <c r="CZ21">
        <v>2.36429</v>
      </c>
      <c r="DA21">
        <v>2.71374</v>
      </c>
      <c r="DB21">
        <v>0.14733099999999999</v>
      </c>
      <c r="DC21">
        <v>0.146061</v>
      </c>
      <c r="DD21">
        <v>5.7329999999999999E-2</v>
      </c>
      <c r="DE21">
        <v>3.9946500000000003E-2</v>
      </c>
      <c r="DF21">
        <v>31109.9</v>
      </c>
      <c r="DG21">
        <v>27485.1</v>
      </c>
      <c r="DH21">
        <v>31148.7</v>
      </c>
      <c r="DI21">
        <v>28046.799999999999</v>
      </c>
      <c r="DJ21">
        <v>39880.800000000003</v>
      </c>
      <c r="DK21">
        <v>38284</v>
      </c>
      <c r="DL21">
        <v>44323.8</v>
      </c>
      <c r="DM21">
        <v>42500.800000000003</v>
      </c>
      <c r="DN21">
        <v>1.3552200000000001</v>
      </c>
      <c r="DO21">
        <v>2.0331999999999999</v>
      </c>
      <c r="DP21">
        <v>8.2127699999999998E-2</v>
      </c>
      <c r="DQ21">
        <v>5.3785699999999999E-2</v>
      </c>
      <c r="DR21">
        <v>25.6616</v>
      </c>
      <c r="DS21">
        <v>25.760200000000001</v>
      </c>
      <c r="DT21">
        <v>18.2</v>
      </c>
      <c r="DU21">
        <v>29.6</v>
      </c>
      <c r="DV21">
        <v>7.6466500000000002</v>
      </c>
      <c r="DW21">
        <v>61.838500000000003</v>
      </c>
      <c r="DX21">
        <v>37.139400000000002</v>
      </c>
      <c r="DY21">
        <v>1</v>
      </c>
      <c r="DZ21">
        <v>-7.5414099999999998E-2</v>
      </c>
      <c r="EA21">
        <v>-1.3871</v>
      </c>
      <c r="EB21">
        <v>20.297999999999998</v>
      </c>
      <c r="EC21">
        <v>5.2411000000000003</v>
      </c>
      <c r="ED21">
        <v>12.039899999999999</v>
      </c>
      <c r="EE21">
        <v>5.0165499999999996</v>
      </c>
      <c r="EF21">
        <v>3.2879999999999998</v>
      </c>
      <c r="EG21">
        <v>9999</v>
      </c>
      <c r="EH21">
        <v>9999</v>
      </c>
      <c r="EI21">
        <v>9999</v>
      </c>
      <c r="EJ21">
        <v>999.9</v>
      </c>
      <c r="EK21">
        <v>1.8689100000000001</v>
      </c>
      <c r="EL21">
        <v>1.86467</v>
      </c>
      <c r="EM21">
        <v>1.8691899999999999</v>
      </c>
      <c r="EN21">
        <v>1.8672500000000001</v>
      </c>
      <c r="EO21">
        <v>1.8633999999999999</v>
      </c>
      <c r="EP21">
        <v>1.86456</v>
      </c>
      <c r="EQ21">
        <v>1.87016</v>
      </c>
      <c r="ER21">
        <v>1.8694299999999999</v>
      </c>
      <c r="ES21">
        <v>0</v>
      </c>
      <c r="ET21">
        <v>0</v>
      </c>
      <c r="EU21">
        <v>0</v>
      </c>
      <c r="EV21">
        <v>0</v>
      </c>
      <c r="EW21" t="s">
        <v>334</v>
      </c>
      <c r="EX21" t="s">
        <v>335</v>
      </c>
      <c r="EY21" t="s">
        <v>336</v>
      </c>
      <c r="EZ21" t="s">
        <v>336</v>
      </c>
      <c r="FA21" t="s">
        <v>336</v>
      </c>
      <c r="FB21" t="s">
        <v>336</v>
      </c>
      <c r="FC21">
        <v>0</v>
      </c>
      <c r="FD21">
        <v>100</v>
      </c>
      <c r="FE21">
        <v>100</v>
      </c>
      <c r="FF21">
        <v>-0.51600000000000001</v>
      </c>
      <c r="FG21">
        <v>-3.6900000000000002E-2</v>
      </c>
      <c r="FH21">
        <v>4.0020685143421282E-2</v>
      </c>
      <c r="FI21">
        <v>-6.1462078757559423E-4</v>
      </c>
      <c r="FJ21">
        <v>-1.8861989874597051E-7</v>
      </c>
      <c r="FK21">
        <v>1.1980462299894961E-10</v>
      </c>
      <c r="FL21">
        <v>-3.1035565592992288E-2</v>
      </c>
      <c r="FM21">
        <v>-1.6848085045870601E-2</v>
      </c>
      <c r="FN21">
        <v>1.9789084769509481E-3</v>
      </c>
      <c r="FO21">
        <v>-2.7142391389806329E-5</v>
      </c>
      <c r="FP21">
        <v>3</v>
      </c>
      <c r="FQ21">
        <v>2158</v>
      </c>
      <c r="FR21">
        <v>1</v>
      </c>
      <c r="FS21">
        <v>19</v>
      </c>
      <c r="FT21">
        <v>5.9</v>
      </c>
      <c r="FU21">
        <v>5.8</v>
      </c>
      <c r="FV21">
        <v>1.77979</v>
      </c>
      <c r="FW21">
        <v>2.5793499999999998</v>
      </c>
      <c r="FX21">
        <v>1.5490699999999999</v>
      </c>
      <c r="FY21">
        <v>2.3290999999999999</v>
      </c>
      <c r="FZ21">
        <v>1.50146</v>
      </c>
      <c r="GA21">
        <v>2.3645</v>
      </c>
      <c r="GB21">
        <v>33.692999999999998</v>
      </c>
      <c r="GC21">
        <v>24.017499999999998</v>
      </c>
      <c r="GD21">
        <v>19</v>
      </c>
      <c r="GE21">
        <v>235.18199999999999</v>
      </c>
      <c r="GF21">
        <v>582.24099999999999</v>
      </c>
      <c r="GG21">
        <v>28.4483</v>
      </c>
      <c r="GH21">
        <v>26.443999999999999</v>
      </c>
      <c r="GI21">
        <v>30.0001</v>
      </c>
      <c r="GJ21">
        <v>26.517099999999999</v>
      </c>
      <c r="GK21">
        <v>26.4892</v>
      </c>
      <c r="GL21">
        <v>35.591500000000003</v>
      </c>
      <c r="GM21">
        <v>-30</v>
      </c>
      <c r="GN21">
        <v>-30</v>
      </c>
      <c r="GO21">
        <v>28.444400000000002</v>
      </c>
      <c r="GP21">
        <v>800</v>
      </c>
      <c r="GQ21">
        <v>12.5298</v>
      </c>
      <c r="GR21">
        <v>99.657700000000006</v>
      </c>
      <c r="GS21">
        <v>99.432000000000002</v>
      </c>
    </row>
    <row r="22" spans="1:201" x14ac:dyDescent="0.25">
      <c r="A22">
        <v>6</v>
      </c>
      <c r="B22">
        <v>1690212465.5999999</v>
      </c>
      <c r="C22">
        <v>198.0999999046326</v>
      </c>
      <c r="D22" t="s">
        <v>343</v>
      </c>
      <c r="E22" t="s">
        <v>344</v>
      </c>
      <c r="F22" t="s">
        <v>330</v>
      </c>
      <c r="H22">
        <v>1690212465.5999999</v>
      </c>
      <c r="I22">
        <f t="shared" si="0"/>
        <v>2.5639385082383613E-4</v>
      </c>
      <c r="J22">
        <f t="shared" si="1"/>
        <v>0.25639385082383614</v>
      </c>
      <c r="K22">
        <f t="shared" si="2"/>
        <v>-0.80819864881732795</v>
      </c>
      <c r="L22">
        <f t="shared" si="3"/>
        <v>806.96</v>
      </c>
      <c r="M22">
        <f t="shared" si="4"/>
        <v>929.4752519522832</v>
      </c>
      <c r="N22">
        <f t="shared" si="5"/>
        <v>92.202223512552365</v>
      </c>
      <c r="O22">
        <f t="shared" si="6"/>
        <v>80.048937429384011</v>
      </c>
      <c r="P22">
        <f t="shared" si="7"/>
        <v>7.6614829055788296E-3</v>
      </c>
      <c r="Q22">
        <f t="shared" si="8"/>
        <v>2.008697790046269</v>
      </c>
      <c r="R22">
        <f t="shared" si="9"/>
        <v>7.6452854821809843E-3</v>
      </c>
      <c r="S22">
        <f t="shared" si="10"/>
        <v>4.7797558182245828E-3</v>
      </c>
      <c r="T22">
        <f t="shared" si="11"/>
        <v>276.07531046023382</v>
      </c>
      <c r="U22">
        <f t="shared" si="12"/>
        <v>29.49351815080081</v>
      </c>
      <c r="V22">
        <f t="shared" si="13"/>
        <v>29.49351815080081</v>
      </c>
      <c r="W22">
        <f t="shared" si="14"/>
        <v>4.1380652761252099</v>
      </c>
      <c r="X22">
        <f t="shared" si="15"/>
        <v>24.60962992965224</v>
      </c>
      <c r="Y22">
        <f t="shared" si="16"/>
        <v>0.89574340383333606</v>
      </c>
      <c r="Z22">
        <f t="shared" si="17"/>
        <v>3.6398085074576896</v>
      </c>
      <c r="AA22">
        <f t="shared" si="18"/>
        <v>3.2423218722918739</v>
      </c>
      <c r="AB22">
        <f t="shared" si="19"/>
        <v>-11.306968821331173</v>
      </c>
      <c r="AC22">
        <f t="shared" si="20"/>
        <v>-239.01525886680227</v>
      </c>
      <c r="AD22">
        <f t="shared" si="21"/>
        <v>-26.038406015172839</v>
      </c>
      <c r="AE22">
        <f t="shared" si="22"/>
        <v>-0.28532324307244039</v>
      </c>
      <c r="AF22">
        <v>40</v>
      </c>
      <c r="AG22">
        <v>13</v>
      </c>
      <c r="AH22">
        <f t="shared" si="23"/>
        <v>1</v>
      </c>
      <c r="AI22">
        <f t="shared" si="24"/>
        <v>0</v>
      </c>
      <c r="AJ22">
        <f t="shared" si="25"/>
        <v>52190.201883115893</v>
      </c>
      <c r="AK22">
        <f t="shared" si="26"/>
        <v>1799.74</v>
      </c>
      <c r="AL22">
        <f t="shared" si="27"/>
        <v>1498.8953032228799</v>
      </c>
      <c r="AM22">
        <f t="shared" si="28"/>
        <v>0.83283991199999996</v>
      </c>
      <c r="AN22">
        <f t="shared" si="29"/>
        <v>0.15339732987000002</v>
      </c>
      <c r="AO22">
        <v>34.5</v>
      </c>
      <c r="AP22">
        <v>0.5</v>
      </c>
      <c r="AQ22" t="s">
        <v>331</v>
      </c>
      <c r="AR22">
        <v>2</v>
      </c>
      <c r="AS22">
        <v>1690212465.5999999</v>
      </c>
      <c r="AT22">
        <v>806.96</v>
      </c>
      <c r="AU22">
        <v>800.04899999999998</v>
      </c>
      <c r="AV22">
        <v>9.0298400000000001</v>
      </c>
      <c r="AW22">
        <v>6.1096000000000004</v>
      </c>
      <c r="AX22">
        <v>807.476</v>
      </c>
      <c r="AY22">
        <v>9.0711300000000001</v>
      </c>
      <c r="AZ22">
        <v>300.17099999999999</v>
      </c>
      <c r="BA22">
        <v>99.098200000000006</v>
      </c>
      <c r="BB22">
        <v>9.9947900000000006E-2</v>
      </c>
      <c r="BC22">
        <v>27.2864</v>
      </c>
      <c r="BD22">
        <v>27.500699999999998</v>
      </c>
      <c r="BE22">
        <v>28.377400000000002</v>
      </c>
      <c r="BF22">
        <v>0</v>
      </c>
      <c r="BG22">
        <v>0</v>
      </c>
      <c r="BH22">
        <v>9968.1200000000008</v>
      </c>
      <c r="BI22">
        <v>1069.03</v>
      </c>
      <c r="BJ22">
        <v>1.7016100000000001</v>
      </c>
      <c r="BK22">
        <v>6.91113</v>
      </c>
      <c r="BL22">
        <v>814.31299999999999</v>
      </c>
      <c r="BM22">
        <v>804.96699999999998</v>
      </c>
      <c r="BN22">
        <v>2.9202400000000002</v>
      </c>
      <c r="BO22">
        <v>800.04899999999998</v>
      </c>
      <c r="BP22">
        <v>6.1096000000000004</v>
      </c>
      <c r="BQ22">
        <v>0.894841</v>
      </c>
      <c r="BR22">
        <v>0.60545000000000004</v>
      </c>
      <c r="BS22">
        <v>5.3080400000000001</v>
      </c>
      <c r="BT22">
        <v>-0.18506800000000001</v>
      </c>
      <c r="BU22">
        <v>1799.74</v>
      </c>
      <c r="BV22">
        <v>0.91000199999999998</v>
      </c>
      <c r="BW22">
        <v>3.3999599999999998E-2</v>
      </c>
      <c r="BX22">
        <v>2.2000100000000002E-2</v>
      </c>
      <c r="BY22">
        <v>3.3997899999999998E-2</v>
      </c>
      <c r="BZ22">
        <v>26</v>
      </c>
      <c r="CA22">
        <v>33523.5</v>
      </c>
      <c r="CB22">
        <v>1690211922</v>
      </c>
      <c r="CC22" t="s">
        <v>332</v>
      </c>
      <c r="CD22">
        <v>1690211915</v>
      </c>
      <c r="CE22">
        <v>1690211922</v>
      </c>
      <c r="CF22">
        <v>6</v>
      </c>
      <c r="CG22">
        <v>1.0999999999999999E-2</v>
      </c>
      <c r="CH22">
        <v>8.0000000000000002E-3</v>
      </c>
      <c r="CI22">
        <v>-0.51100000000000001</v>
      </c>
      <c r="CJ22">
        <v>-6.6000000000000003E-2</v>
      </c>
      <c r="CK22">
        <v>800</v>
      </c>
      <c r="CL22">
        <v>6</v>
      </c>
      <c r="CM22">
        <v>0.21</v>
      </c>
      <c r="CN22">
        <v>0.02</v>
      </c>
      <c r="CO22">
        <v>7.3365792499999998</v>
      </c>
      <c r="CP22">
        <v>-0.20574675422139971</v>
      </c>
      <c r="CQ22">
        <v>5.6563310210219257E-2</v>
      </c>
      <c r="CR22">
        <v>-1</v>
      </c>
      <c r="CS22">
        <v>2.9033362500000002</v>
      </c>
      <c r="CT22">
        <v>-4.7870881801127432E-2</v>
      </c>
      <c r="CU22">
        <v>6.0113740889666404E-3</v>
      </c>
      <c r="CV22">
        <v>-1</v>
      </c>
      <c r="CW22">
        <v>0</v>
      </c>
      <c r="CX22">
        <v>0</v>
      </c>
      <c r="CY22" t="s">
        <v>333</v>
      </c>
      <c r="CZ22">
        <v>2.3642699999999999</v>
      </c>
      <c r="DA22">
        <v>2.7137099999999998</v>
      </c>
      <c r="DB22">
        <v>0.147338</v>
      </c>
      <c r="DC22">
        <v>0.146068</v>
      </c>
      <c r="DD22">
        <v>5.5675599999999999E-2</v>
      </c>
      <c r="DE22">
        <v>4.0027600000000003E-2</v>
      </c>
      <c r="DF22">
        <v>31109.8</v>
      </c>
      <c r="DG22">
        <v>27484.400000000001</v>
      </c>
      <c r="DH22">
        <v>31149</v>
      </c>
      <c r="DI22">
        <v>28046.400000000001</v>
      </c>
      <c r="DJ22">
        <v>39951.199999999997</v>
      </c>
      <c r="DK22">
        <v>38280.5</v>
      </c>
      <c r="DL22">
        <v>44324</v>
      </c>
      <c r="DM22">
        <v>42500.5</v>
      </c>
      <c r="DN22">
        <v>1.3691500000000001</v>
      </c>
      <c r="DO22">
        <v>2.0327700000000002</v>
      </c>
      <c r="DP22">
        <v>0.10807799999999999</v>
      </c>
      <c r="DQ22">
        <v>0.155471</v>
      </c>
      <c r="DR22">
        <v>25.732099999999999</v>
      </c>
      <c r="DS22">
        <v>25.8353</v>
      </c>
      <c r="DT22">
        <v>18.2</v>
      </c>
      <c r="DU22">
        <v>29.6</v>
      </c>
      <c r="DV22">
        <v>7.6463400000000004</v>
      </c>
      <c r="DW22">
        <v>61.8812</v>
      </c>
      <c r="DX22">
        <v>36.770800000000001</v>
      </c>
      <c r="DY22">
        <v>1</v>
      </c>
      <c r="DZ22">
        <v>-7.4723100000000001E-2</v>
      </c>
      <c r="EA22">
        <v>-0.85797100000000004</v>
      </c>
      <c r="EB22">
        <v>20.186</v>
      </c>
      <c r="EC22">
        <v>5.2413999999999996</v>
      </c>
      <c r="ED22">
        <v>12.039899999999999</v>
      </c>
      <c r="EE22">
        <v>5.0172999999999996</v>
      </c>
      <c r="EF22">
        <v>3.2879999999999998</v>
      </c>
      <c r="EG22">
        <v>9999</v>
      </c>
      <c r="EH22">
        <v>9999</v>
      </c>
      <c r="EI22">
        <v>9999</v>
      </c>
      <c r="EJ22">
        <v>999.9</v>
      </c>
      <c r="EK22">
        <v>1.8689</v>
      </c>
      <c r="EL22">
        <v>1.8646499999999999</v>
      </c>
      <c r="EM22">
        <v>1.86917</v>
      </c>
      <c r="EN22">
        <v>1.86724</v>
      </c>
      <c r="EO22">
        <v>1.8633999999999999</v>
      </c>
      <c r="EP22">
        <v>1.8645499999999999</v>
      </c>
      <c r="EQ22">
        <v>1.8701399999999999</v>
      </c>
      <c r="ER22">
        <v>1.8694200000000001</v>
      </c>
      <c r="ES22">
        <v>0</v>
      </c>
      <c r="ET22">
        <v>0</v>
      </c>
      <c r="EU22">
        <v>0</v>
      </c>
      <c r="EV22">
        <v>0</v>
      </c>
      <c r="EW22" t="s">
        <v>334</v>
      </c>
      <c r="EX22" t="s">
        <v>335</v>
      </c>
      <c r="EY22" t="s">
        <v>336</v>
      </c>
      <c r="EZ22" t="s">
        <v>336</v>
      </c>
      <c r="FA22" t="s">
        <v>336</v>
      </c>
      <c r="FB22" t="s">
        <v>336</v>
      </c>
      <c r="FC22">
        <v>0</v>
      </c>
      <c r="FD22">
        <v>100</v>
      </c>
      <c r="FE22">
        <v>100</v>
      </c>
      <c r="FF22">
        <v>-0.51600000000000001</v>
      </c>
      <c r="FG22">
        <v>-4.1300000000000003E-2</v>
      </c>
      <c r="FH22">
        <v>4.0020685143421282E-2</v>
      </c>
      <c r="FI22">
        <v>-6.1462078757559423E-4</v>
      </c>
      <c r="FJ22">
        <v>-1.8861989874597051E-7</v>
      </c>
      <c r="FK22">
        <v>1.1980462299894961E-10</v>
      </c>
      <c r="FL22">
        <v>-3.1035565592992288E-2</v>
      </c>
      <c r="FM22">
        <v>-1.6848085045870601E-2</v>
      </c>
      <c r="FN22">
        <v>1.9789084769509481E-3</v>
      </c>
      <c r="FO22">
        <v>-2.7142391389806329E-5</v>
      </c>
      <c r="FP22">
        <v>3</v>
      </c>
      <c r="FQ22">
        <v>2158</v>
      </c>
      <c r="FR22">
        <v>1</v>
      </c>
      <c r="FS22">
        <v>19</v>
      </c>
      <c r="FT22">
        <v>9.1999999999999993</v>
      </c>
      <c r="FU22">
        <v>9.1</v>
      </c>
      <c r="FV22">
        <v>1.77979</v>
      </c>
      <c r="FW22">
        <v>2.5805699999999998</v>
      </c>
      <c r="FX22">
        <v>1.5490699999999999</v>
      </c>
      <c r="FY22">
        <v>2.3290999999999999</v>
      </c>
      <c r="FZ22">
        <v>1.50146</v>
      </c>
      <c r="GA22">
        <v>2.4060100000000002</v>
      </c>
      <c r="GB22">
        <v>33.692999999999998</v>
      </c>
      <c r="GC22">
        <v>23.991199999999999</v>
      </c>
      <c r="GD22">
        <v>19</v>
      </c>
      <c r="GE22">
        <v>240.517</v>
      </c>
      <c r="GF22">
        <v>582.17200000000003</v>
      </c>
      <c r="GG22">
        <v>28.324300000000001</v>
      </c>
      <c r="GH22">
        <v>26.460799999999999</v>
      </c>
      <c r="GI22">
        <v>30</v>
      </c>
      <c r="GJ22">
        <v>26.541699999999999</v>
      </c>
      <c r="GK22">
        <v>26.514299999999999</v>
      </c>
      <c r="GL22">
        <v>35.591299999999997</v>
      </c>
      <c r="GM22">
        <v>-30</v>
      </c>
      <c r="GN22">
        <v>-30</v>
      </c>
      <c r="GO22">
        <v>28.162199999999999</v>
      </c>
      <c r="GP22">
        <v>800</v>
      </c>
      <c r="GQ22">
        <v>12.5298</v>
      </c>
      <c r="GR22">
        <v>99.658199999999994</v>
      </c>
      <c r="GS22">
        <v>99.430999999999997</v>
      </c>
    </row>
    <row r="23" spans="1:201" x14ac:dyDescent="0.25">
      <c r="A23">
        <v>7</v>
      </c>
      <c r="B23">
        <v>1690212475.5999999</v>
      </c>
      <c r="C23">
        <v>208.0999999046326</v>
      </c>
      <c r="D23" t="s">
        <v>345</v>
      </c>
      <c r="E23" t="s">
        <v>346</v>
      </c>
      <c r="F23" t="s">
        <v>330</v>
      </c>
      <c r="H23">
        <v>1690212475.5999999</v>
      </c>
      <c r="I23">
        <f t="shared" si="0"/>
        <v>2.6518412382984846E-4</v>
      </c>
      <c r="J23">
        <f t="shared" si="1"/>
        <v>0.26518412382984846</v>
      </c>
      <c r="K23">
        <f t="shared" si="2"/>
        <v>-0.70931583776435825</v>
      </c>
      <c r="L23">
        <f t="shared" si="3"/>
        <v>805.68499999999995</v>
      </c>
      <c r="M23">
        <f t="shared" si="4"/>
        <v>905.36364533292385</v>
      </c>
      <c r="N23">
        <f t="shared" si="5"/>
        <v>89.813062274126764</v>
      </c>
      <c r="O23">
        <f t="shared" si="6"/>
        <v>79.924831808020002</v>
      </c>
      <c r="P23">
        <f t="shared" si="7"/>
        <v>7.7581924400095736E-3</v>
      </c>
      <c r="Q23">
        <f t="shared" si="8"/>
        <v>2.0127910437796102</v>
      </c>
      <c r="R23">
        <f t="shared" si="9"/>
        <v>7.7416176973265707E-3</v>
      </c>
      <c r="S23">
        <f t="shared" si="10"/>
        <v>4.8399972554961646E-3</v>
      </c>
      <c r="T23">
        <f t="shared" si="11"/>
        <v>276.10692038719145</v>
      </c>
      <c r="U23">
        <f t="shared" si="12"/>
        <v>29.817793919553957</v>
      </c>
      <c r="V23">
        <f t="shared" si="13"/>
        <v>29.817793919553957</v>
      </c>
      <c r="W23">
        <f t="shared" si="14"/>
        <v>4.2160637201666722</v>
      </c>
      <c r="X23">
        <f t="shared" si="15"/>
        <v>24.404706125058979</v>
      </c>
      <c r="Y23">
        <f t="shared" si="16"/>
        <v>0.90571589006920006</v>
      </c>
      <c r="Z23">
        <f t="shared" si="17"/>
        <v>3.7112345685621779</v>
      </c>
      <c r="AA23">
        <f t="shared" si="18"/>
        <v>3.3103478300974722</v>
      </c>
      <c r="AB23">
        <f t="shared" si="19"/>
        <v>-11.694619860896317</v>
      </c>
      <c r="AC23">
        <f t="shared" si="20"/>
        <v>-238.66413168945692</v>
      </c>
      <c r="AD23">
        <f t="shared" si="21"/>
        <v>-26.032118946593112</v>
      </c>
      <c r="AE23">
        <f t="shared" si="22"/>
        <v>-0.28395010975489754</v>
      </c>
      <c r="AF23">
        <v>41</v>
      </c>
      <c r="AG23">
        <v>14</v>
      </c>
      <c r="AH23">
        <f t="shared" si="23"/>
        <v>1</v>
      </c>
      <c r="AI23">
        <f t="shared" si="24"/>
        <v>0</v>
      </c>
      <c r="AJ23">
        <f t="shared" si="25"/>
        <v>52328.614826388133</v>
      </c>
      <c r="AK23">
        <f t="shared" si="26"/>
        <v>1799.94</v>
      </c>
      <c r="AL23">
        <f t="shared" si="27"/>
        <v>1499.0624903846399</v>
      </c>
      <c r="AM23">
        <f t="shared" si="28"/>
        <v>0.83284025599999989</v>
      </c>
      <c r="AN23">
        <f t="shared" si="29"/>
        <v>0.15339784681000002</v>
      </c>
      <c r="AO23">
        <v>34.5</v>
      </c>
      <c r="AP23">
        <v>0.5</v>
      </c>
      <c r="AQ23" t="s">
        <v>331</v>
      </c>
      <c r="AR23">
        <v>2</v>
      </c>
      <c r="AS23">
        <v>1690212475.5999999</v>
      </c>
      <c r="AT23">
        <v>805.68499999999995</v>
      </c>
      <c r="AU23">
        <v>799.98900000000003</v>
      </c>
      <c r="AV23">
        <v>9.1301000000000005</v>
      </c>
      <c r="AW23">
        <v>6.1105</v>
      </c>
      <c r="AX23">
        <v>806.2</v>
      </c>
      <c r="AY23">
        <v>9.1701499999999996</v>
      </c>
      <c r="AZ23">
        <v>300.21600000000001</v>
      </c>
      <c r="BA23">
        <v>99.100999999999999</v>
      </c>
      <c r="BB23">
        <v>0.100092</v>
      </c>
      <c r="BC23">
        <v>27.618400000000001</v>
      </c>
      <c r="BD23">
        <v>27.806899999999999</v>
      </c>
      <c r="BE23">
        <v>29.458600000000001</v>
      </c>
      <c r="BF23">
        <v>0</v>
      </c>
      <c r="BG23">
        <v>0</v>
      </c>
      <c r="BH23">
        <v>10006.9</v>
      </c>
      <c r="BI23">
        <v>1071.94</v>
      </c>
      <c r="BJ23">
        <v>2.0183800000000001</v>
      </c>
      <c r="BK23">
        <v>5.6961700000000004</v>
      </c>
      <c r="BL23">
        <v>813.10900000000004</v>
      </c>
      <c r="BM23">
        <v>804.90700000000004</v>
      </c>
      <c r="BN23">
        <v>3.0196000000000001</v>
      </c>
      <c r="BO23">
        <v>799.98900000000003</v>
      </c>
      <c r="BP23">
        <v>6.1105</v>
      </c>
      <c r="BQ23">
        <v>0.90480099999999997</v>
      </c>
      <c r="BR23">
        <v>0.60555599999999998</v>
      </c>
      <c r="BS23">
        <v>5.4673400000000001</v>
      </c>
      <c r="BT23">
        <v>-0.182669</v>
      </c>
      <c r="BU23">
        <v>1799.94</v>
      </c>
      <c r="BV23">
        <v>0.909995</v>
      </c>
      <c r="BW23">
        <v>3.3999500000000002E-2</v>
      </c>
      <c r="BX23">
        <v>2.2006299999999999E-2</v>
      </c>
      <c r="BY23">
        <v>3.3999099999999997E-2</v>
      </c>
      <c r="BZ23">
        <v>26</v>
      </c>
      <c r="CA23">
        <v>33527.1</v>
      </c>
      <c r="CB23">
        <v>1690211922</v>
      </c>
      <c r="CC23" t="s">
        <v>332</v>
      </c>
      <c r="CD23">
        <v>1690211915</v>
      </c>
      <c r="CE23">
        <v>1690211922</v>
      </c>
      <c r="CF23">
        <v>6</v>
      </c>
      <c r="CG23">
        <v>1.0999999999999999E-2</v>
      </c>
      <c r="CH23">
        <v>8.0000000000000002E-3</v>
      </c>
      <c r="CI23">
        <v>-0.51100000000000001</v>
      </c>
      <c r="CJ23">
        <v>-6.6000000000000003E-2</v>
      </c>
      <c r="CK23">
        <v>800</v>
      </c>
      <c r="CL23">
        <v>6</v>
      </c>
      <c r="CM23">
        <v>0.21</v>
      </c>
      <c r="CN23">
        <v>0.02</v>
      </c>
      <c r="CO23">
        <v>6.9011660975609743</v>
      </c>
      <c r="CP23">
        <v>-4.7346691986062606</v>
      </c>
      <c r="CQ23">
        <v>0.48774661656952062</v>
      </c>
      <c r="CR23">
        <v>-1</v>
      </c>
      <c r="CS23">
        <v>2.9298882926829268</v>
      </c>
      <c r="CT23">
        <v>0.35190648083624099</v>
      </c>
      <c r="CU23">
        <v>3.7404857771283502E-2</v>
      </c>
      <c r="CV23">
        <v>-1</v>
      </c>
      <c r="CW23">
        <v>0</v>
      </c>
      <c r="CX23">
        <v>0</v>
      </c>
      <c r="CY23" t="s">
        <v>333</v>
      </c>
      <c r="CZ23">
        <v>2.36442</v>
      </c>
      <c r="DA23">
        <v>2.7138900000000001</v>
      </c>
      <c r="DB23">
        <v>0.14718800000000001</v>
      </c>
      <c r="DC23">
        <v>0.146064</v>
      </c>
      <c r="DD23">
        <v>5.6152899999999999E-2</v>
      </c>
      <c r="DE23">
        <v>4.0033300000000001E-2</v>
      </c>
      <c r="DF23">
        <v>31115.3</v>
      </c>
      <c r="DG23">
        <v>27484.799999999999</v>
      </c>
      <c r="DH23">
        <v>31149</v>
      </c>
      <c r="DI23">
        <v>28046.6</v>
      </c>
      <c r="DJ23">
        <v>39931.1</v>
      </c>
      <c r="DK23">
        <v>38280.5</v>
      </c>
      <c r="DL23">
        <v>44324.2</v>
      </c>
      <c r="DM23">
        <v>42500.800000000003</v>
      </c>
      <c r="DN23">
        <v>1.3674500000000001</v>
      </c>
      <c r="DO23">
        <v>2.03288</v>
      </c>
      <c r="DP23">
        <v>0.12400700000000001</v>
      </c>
      <c r="DQ23">
        <v>0.21956100000000001</v>
      </c>
      <c r="DR23">
        <v>25.778199999999998</v>
      </c>
      <c r="DS23">
        <v>25.871700000000001</v>
      </c>
      <c r="DT23">
        <v>18.2</v>
      </c>
      <c r="DU23">
        <v>29.6</v>
      </c>
      <c r="DV23">
        <v>7.6461100000000002</v>
      </c>
      <c r="DW23">
        <v>62.2012</v>
      </c>
      <c r="DX23">
        <v>36.298099999999998</v>
      </c>
      <c r="DY23">
        <v>1</v>
      </c>
      <c r="DZ23">
        <v>-7.2273900000000002E-2</v>
      </c>
      <c r="EA23">
        <v>2.1945800000000002</v>
      </c>
      <c r="EB23">
        <v>20.1587</v>
      </c>
      <c r="EC23">
        <v>5.24125</v>
      </c>
      <c r="ED23">
        <v>12.039899999999999</v>
      </c>
      <c r="EE23">
        <v>5.0174500000000002</v>
      </c>
      <c r="EF23">
        <v>3.2879999999999998</v>
      </c>
      <c r="EG23">
        <v>9999</v>
      </c>
      <c r="EH23">
        <v>9999</v>
      </c>
      <c r="EI23">
        <v>9999</v>
      </c>
      <c r="EJ23">
        <v>999.9</v>
      </c>
      <c r="EK23">
        <v>1.8689</v>
      </c>
      <c r="EL23">
        <v>1.86467</v>
      </c>
      <c r="EM23">
        <v>1.86917</v>
      </c>
      <c r="EN23">
        <v>1.8672299999999999</v>
      </c>
      <c r="EO23">
        <v>1.86341</v>
      </c>
      <c r="EP23">
        <v>1.8645400000000001</v>
      </c>
      <c r="EQ23">
        <v>1.87015</v>
      </c>
      <c r="ER23">
        <v>1.8694299999999999</v>
      </c>
      <c r="ES23">
        <v>0</v>
      </c>
      <c r="ET23">
        <v>0</v>
      </c>
      <c r="EU23">
        <v>0</v>
      </c>
      <c r="EV23">
        <v>0</v>
      </c>
      <c r="EW23" t="s">
        <v>334</v>
      </c>
      <c r="EX23" t="s">
        <v>335</v>
      </c>
      <c r="EY23" t="s">
        <v>336</v>
      </c>
      <c r="EZ23" t="s">
        <v>336</v>
      </c>
      <c r="FA23" t="s">
        <v>336</v>
      </c>
      <c r="FB23" t="s">
        <v>336</v>
      </c>
      <c r="FC23">
        <v>0</v>
      </c>
      <c r="FD23">
        <v>100</v>
      </c>
      <c r="FE23">
        <v>100</v>
      </c>
      <c r="FF23">
        <v>-0.51500000000000001</v>
      </c>
      <c r="FG23">
        <v>-0.04</v>
      </c>
      <c r="FH23">
        <v>4.0020685143421282E-2</v>
      </c>
      <c r="FI23">
        <v>-6.1462078757559423E-4</v>
      </c>
      <c r="FJ23">
        <v>-1.8861989874597051E-7</v>
      </c>
      <c r="FK23">
        <v>1.1980462299894961E-10</v>
      </c>
      <c r="FL23">
        <v>-3.1035565592992288E-2</v>
      </c>
      <c r="FM23">
        <v>-1.6848085045870601E-2</v>
      </c>
      <c r="FN23">
        <v>1.9789084769509481E-3</v>
      </c>
      <c r="FO23">
        <v>-2.7142391389806329E-5</v>
      </c>
      <c r="FP23">
        <v>3</v>
      </c>
      <c r="FQ23">
        <v>2158</v>
      </c>
      <c r="FR23">
        <v>1</v>
      </c>
      <c r="FS23">
        <v>19</v>
      </c>
      <c r="FT23">
        <v>9.3000000000000007</v>
      </c>
      <c r="FU23">
        <v>9.1999999999999993</v>
      </c>
      <c r="FV23">
        <v>1.77979</v>
      </c>
      <c r="FW23">
        <v>2.5756800000000002</v>
      </c>
      <c r="FX23">
        <v>1.5490699999999999</v>
      </c>
      <c r="FY23">
        <v>2.3290999999999999</v>
      </c>
      <c r="FZ23">
        <v>1.50146</v>
      </c>
      <c r="GA23">
        <v>2.3962400000000001</v>
      </c>
      <c r="GB23">
        <v>33.692999999999998</v>
      </c>
      <c r="GC23">
        <v>23.982399999999998</v>
      </c>
      <c r="GD23">
        <v>19</v>
      </c>
      <c r="GE23">
        <v>239.87899999999999</v>
      </c>
      <c r="GF23">
        <v>582.27200000000005</v>
      </c>
      <c r="GG23">
        <v>27.556699999999999</v>
      </c>
      <c r="GH23">
        <v>26.462299999999999</v>
      </c>
      <c r="GI23">
        <v>30.0014</v>
      </c>
      <c r="GJ23">
        <v>26.543700000000001</v>
      </c>
      <c r="GK23">
        <v>26.515799999999999</v>
      </c>
      <c r="GL23">
        <v>35.592399999999998</v>
      </c>
      <c r="GM23">
        <v>-30</v>
      </c>
      <c r="GN23">
        <v>-30</v>
      </c>
      <c r="GO23">
        <v>26.935199999999998</v>
      </c>
      <c r="GP23">
        <v>800</v>
      </c>
      <c r="GQ23">
        <v>12.5298</v>
      </c>
      <c r="GR23">
        <v>99.658500000000004</v>
      </c>
      <c r="GS23">
        <v>99.431700000000006</v>
      </c>
    </row>
    <row r="24" spans="1:201" x14ac:dyDescent="0.25">
      <c r="A24">
        <v>8</v>
      </c>
      <c r="B24">
        <v>1690212485.5999999</v>
      </c>
      <c r="C24">
        <v>218.0999999046326</v>
      </c>
      <c r="D24" t="s">
        <v>347</v>
      </c>
      <c r="E24" t="s">
        <v>348</v>
      </c>
      <c r="F24" t="s">
        <v>330</v>
      </c>
      <c r="H24">
        <v>1690212485.5999999</v>
      </c>
      <c r="I24">
        <f t="shared" si="0"/>
        <v>2.7235423282953038E-4</v>
      </c>
      <c r="J24">
        <f t="shared" si="1"/>
        <v>0.27235423282953036</v>
      </c>
      <c r="K24">
        <f t="shared" si="2"/>
        <v>-0.62876166043845771</v>
      </c>
      <c r="L24">
        <f t="shared" si="3"/>
        <v>804.73699999999997</v>
      </c>
      <c r="M24">
        <f t="shared" si="4"/>
        <v>884.85751651029034</v>
      </c>
      <c r="N24">
        <f t="shared" si="5"/>
        <v>87.777212524487851</v>
      </c>
      <c r="O24">
        <f t="shared" si="6"/>
        <v>79.829316423620284</v>
      </c>
      <c r="P24">
        <f t="shared" si="7"/>
        <v>7.9765878824256103E-3</v>
      </c>
      <c r="Q24">
        <f t="shared" si="8"/>
        <v>2.0095626693965207</v>
      </c>
      <c r="R24">
        <f t="shared" si="9"/>
        <v>7.9590398960282804E-3</v>
      </c>
      <c r="S24">
        <f t="shared" si="10"/>
        <v>4.975973304149655E-3</v>
      </c>
      <c r="T24">
        <f t="shared" si="11"/>
        <v>276.10524995287443</v>
      </c>
      <c r="U24">
        <f t="shared" si="12"/>
        <v>29.836296238862538</v>
      </c>
      <c r="V24">
        <f t="shared" si="13"/>
        <v>29.836296238862538</v>
      </c>
      <c r="W24">
        <f t="shared" si="14"/>
        <v>4.220552489034235</v>
      </c>
      <c r="X24">
        <f t="shared" si="15"/>
        <v>24.598074999390107</v>
      </c>
      <c r="Y24">
        <f t="shared" si="16"/>
        <v>0.91385336040137011</v>
      </c>
      <c r="Z24">
        <f t="shared" si="17"/>
        <v>3.7151417760293377</v>
      </c>
      <c r="AA24">
        <f t="shared" si="18"/>
        <v>3.3066991286328649</v>
      </c>
      <c r="AB24">
        <f t="shared" si="19"/>
        <v>-12.01082166778229</v>
      </c>
      <c r="AC24">
        <f t="shared" si="20"/>
        <v>-238.33575235733602</v>
      </c>
      <c r="AD24">
        <f t="shared" si="21"/>
        <v>-26.042790008677386</v>
      </c>
      <c r="AE24">
        <f t="shared" si="22"/>
        <v>-0.28411408092128454</v>
      </c>
      <c r="AF24">
        <v>41</v>
      </c>
      <c r="AG24">
        <v>14</v>
      </c>
      <c r="AH24">
        <f t="shared" si="23"/>
        <v>1</v>
      </c>
      <c r="AI24">
        <f t="shared" si="24"/>
        <v>0</v>
      </c>
      <c r="AJ24">
        <f t="shared" si="25"/>
        <v>52170.828159449797</v>
      </c>
      <c r="AK24">
        <f t="shared" si="26"/>
        <v>1799.94</v>
      </c>
      <c r="AL24">
        <f t="shared" si="27"/>
        <v>1499.0621123972401</v>
      </c>
      <c r="AM24">
        <f t="shared" si="28"/>
        <v>0.83284004600000006</v>
      </c>
      <c r="AN24">
        <f t="shared" si="29"/>
        <v>0.15339691876</v>
      </c>
      <c r="AO24">
        <v>34.5</v>
      </c>
      <c r="AP24">
        <v>0.5</v>
      </c>
      <c r="AQ24" t="s">
        <v>331</v>
      </c>
      <c r="AR24">
        <v>2</v>
      </c>
      <c r="AS24">
        <v>1690212485.5999999</v>
      </c>
      <c r="AT24">
        <v>804.73699999999997</v>
      </c>
      <c r="AU24">
        <v>800.03</v>
      </c>
      <c r="AV24">
        <v>9.2123000000000008</v>
      </c>
      <c r="AW24">
        <v>6.1112299999999999</v>
      </c>
      <c r="AX24">
        <v>805.25199999999995</v>
      </c>
      <c r="AY24">
        <v>9.2513299999999994</v>
      </c>
      <c r="AZ24">
        <v>300.20800000000003</v>
      </c>
      <c r="BA24">
        <v>99.099299999999999</v>
      </c>
      <c r="BB24">
        <v>9.9961900000000006E-2</v>
      </c>
      <c r="BC24">
        <v>27.636399999999998</v>
      </c>
      <c r="BD24">
        <v>27.7773</v>
      </c>
      <c r="BE24">
        <v>29.653300000000002</v>
      </c>
      <c r="BF24">
        <v>0</v>
      </c>
      <c r="BG24">
        <v>0</v>
      </c>
      <c r="BH24">
        <v>9976.25</v>
      </c>
      <c r="BI24">
        <v>1073.6600000000001</v>
      </c>
      <c r="BJ24">
        <v>2.0211800000000002</v>
      </c>
      <c r="BK24">
        <v>4.7072799999999999</v>
      </c>
      <c r="BL24">
        <v>812.21900000000005</v>
      </c>
      <c r="BM24">
        <v>804.94899999999996</v>
      </c>
      <c r="BN24">
        <v>3.10107</v>
      </c>
      <c r="BO24">
        <v>800.03</v>
      </c>
      <c r="BP24">
        <v>6.1112299999999999</v>
      </c>
      <c r="BQ24">
        <v>0.91293299999999999</v>
      </c>
      <c r="BR24">
        <v>0.60561900000000002</v>
      </c>
      <c r="BS24">
        <v>5.5962399999999999</v>
      </c>
      <c r="BT24">
        <v>-0.18124499999999999</v>
      </c>
      <c r="BU24">
        <v>1799.94</v>
      </c>
      <c r="BV24">
        <v>0.91000899999999996</v>
      </c>
      <c r="BW24">
        <v>3.40004E-2</v>
      </c>
      <c r="BX24">
        <v>2.1993800000000001E-2</v>
      </c>
      <c r="BY24">
        <v>3.3996800000000001E-2</v>
      </c>
      <c r="BZ24">
        <v>26</v>
      </c>
      <c r="CA24">
        <v>33527.4</v>
      </c>
      <c r="CB24">
        <v>1690211922</v>
      </c>
      <c r="CC24" t="s">
        <v>332</v>
      </c>
      <c r="CD24">
        <v>1690211915</v>
      </c>
      <c r="CE24">
        <v>1690211922</v>
      </c>
      <c r="CF24">
        <v>6</v>
      </c>
      <c r="CG24">
        <v>1.0999999999999999E-2</v>
      </c>
      <c r="CH24">
        <v>8.0000000000000002E-3</v>
      </c>
      <c r="CI24">
        <v>-0.51100000000000001</v>
      </c>
      <c r="CJ24">
        <v>-6.6000000000000003E-2</v>
      </c>
      <c r="CK24">
        <v>800</v>
      </c>
      <c r="CL24">
        <v>6</v>
      </c>
      <c r="CM24">
        <v>0.21</v>
      </c>
      <c r="CN24">
        <v>0.02</v>
      </c>
      <c r="CO24">
        <v>5.9127082926829271</v>
      </c>
      <c r="CP24">
        <v>-6.7426467595818877</v>
      </c>
      <c r="CQ24">
        <v>0.66682416677094725</v>
      </c>
      <c r="CR24">
        <v>-1</v>
      </c>
      <c r="CS24">
        <v>3.0069958536585371</v>
      </c>
      <c r="CT24">
        <v>0.56353317073170461</v>
      </c>
      <c r="CU24">
        <v>5.5627891669452451E-2</v>
      </c>
      <c r="CV24">
        <v>-1</v>
      </c>
      <c r="CW24">
        <v>0</v>
      </c>
      <c r="CX24">
        <v>0</v>
      </c>
      <c r="CY24" t="s">
        <v>333</v>
      </c>
      <c r="CZ24">
        <v>2.3643900000000002</v>
      </c>
      <c r="DA24">
        <v>2.71373</v>
      </c>
      <c r="DB24">
        <v>0.14707100000000001</v>
      </c>
      <c r="DC24">
        <v>0.146066</v>
      </c>
      <c r="DD24">
        <v>5.6540600000000003E-2</v>
      </c>
      <c r="DE24">
        <v>4.0036299999999997E-2</v>
      </c>
      <c r="DF24">
        <v>31118.7</v>
      </c>
      <c r="DG24">
        <v>27483.7</v>
      </c>
      <c r="DH24">
        <v>31148.2</v>
      </c>
      <c r="DI24">
        <v>28045.599999999999</v>
      </c>
      <c r="DJ24">
        <v>39913.699999999997</v>
      </c>
      <c r="DK24">
        <v>38279</v>
      </c>
      <c r="DL24">
        <v>44323.199999999997</v>
      </c>
      <c r="DM24">
        <v>42499.199999999997</v>
      </c>
      <c r="DN24">
        <v>1.36643</v>
      </c>
      <c r="DO24">
        <v>2.0327500000000001</v>
      </c>
      <c r="DP24">
        <v>0.11847199999999999</v>
      </c>
      <c r="DQ24">
        <v>0.228629</v>
      </c>
      <c r="DR24">
        <v>25.839200000000002</v>
      </c>
      <c r="DS24">
        <v>25.919</v>
      </c>
      <c r="DT24">
        <v>18.2</v>
      </c>
      <c r="DU24">
        <v>29.6</v>
      </c>
      <c r="DV24">
        <v>7.6463000000000001</v>
      </c>
      <c r="DW24">
        <v>62.221200000000003</v>
      </c>
      <c r="DX24">
        <v>36.113799999999998</v>
      </c>
      <c r="DY24">
        <v>1</v>
      </c>
      <c r="DZ24">
        <v>-6.5058400000000002E-2</v>
      </c>
      <c r="EA24">
        <v>4.8331</v>
      </c>
      <c r="EB24">
        <v>20.0852</v>
      </c>
      <c r="EC24">
        <v>5.24125</v>
      </c>
      <c r="ED24">
        <v>12.039899999999999</v>
      </c>
      <c r="EE24">
        <v>5.01715</v>
      </c>
      <c r="EF24">
        <v>3.2879999999999998</v>
      </c>
      <c r="EG24">
        <v>9999</v>
      </c>
      <c r="EH24">
        <v>9999</v>
      </c>
      <c r="EI24">
        <v>9999</v>
      </c>
      <c r="EJ24">
        <v>999.9</v>
      </c>
      <c r="EK24">
        <v>1.8689</v>
      </c>
      <c r="EL24">
        <v>1.86466</v>
      </c>
      <c r="EM24">
        <v>1.8691599999999999</v>
      </c>
      <c r="EN24">
        <v>1.8672200000000001</v>
      </c>
      <c r="EO24">
        <v>1.8633999999999999</v>
      </c>
      <c r="EP24">
        <v>1.8645</v>
      </c>
      <c r="EQ24">
        <v>1.87016</v>
      </c>
      <c r="ER24">
        <v>1.86941</v>
      </c>
      <c r="ES24">
        <v>0</v>
      </c>
      <c r="ET24">
        <v>0</v>
      </c>
      <c r="EU24">
        <v>0</v>
      </c>
      <c r="EV24">
        <v>0</v>
      </c>
      <c r="EW24" t="s">
        <v>334</v>
      </c>
      <c r="EX24" t="s">
        <v>335</v>
      </c>
      <c r="EY24" t="s">
        <v>336</v>
      </c>
      <c r="EZ24" t="s">
        <v>336</v>
      </c>
      <c r="FA24" t="s">
        <v>336</v>
      </c>
      <c r="FB24" t="s">
        <v>336</v>
      </c>
      <c r="FC24">
        <v>0</v>
      </c>
      <c r="FD24">
        <v>100</v>
      </c>
      <c r="FE24">
        <v>100</v>
      </c>
      <c r="FF24">
        <v>-0.51500000000000001</v>
      </c>
      <c r="FG24">
        <v>-3.9E-2</v>
      </c>
      <c r="FH24">
        <v>4.0020685143421282E-2</v>
      </c>
      <c r="FI24">
        <v>-6.1462078757559423E-4</v>
      </c>
      <c r="FJ24">
        <v>-1.8861989874597051E-7</v>
      </c>
      <c r="FK24">
        <v>1.1980462299894961E-10</v>
      </c>
      <c r="FL24">
        <v>-3.1035565592992288E-2</v>
      </c>
      <c r="FM24">
        <v>-1.6848085045870601E-2</v>
      </c>
      <c r="FN24">
        <v>1.9789084769509481E-3</v>
      </c>
      <c r="FO24">
        <v>-2.7142391389806329E-5</v>
      </c>
      <c r="FP24">
        <v>3</v>
      </c>
      <c r="FQ24">
        <v>2158</v>
      </c>
      <c r="FR24">
        <v>1</v>
      </c>
      <c r="FS24">
        <v>19</v>
      </c>
      <c r="FT24">
        <v>9.5</v>
      </c>
      <c r="FU24">
        <v>9.4</v>
      </c>
      <c r="FV24">
        <v>1.77979</v>
      </c>
      <c r="FW24">
        <v>2.5756800000000002</v>
      </c>
      <c r="FX24">
        <v>1.5490699999999999</v>
      </c>
      <c r="FY24">
        <v>2.3290999999999999</v>
      </c>
      <c r="FZ24">
        <v>1.50146</v>
      </c>
      <c r="GA24">
        <v>2.3986800000000001</v>
      </c>
      <c r="GB24">
        <v>33.692999999999998</v>
      </c>
      <c r="GC24">
        <v>23.947399999999998</v>
      </c>
      <c r="GD24">
        <v>19</v>
      </c>
      <c r="GE24">
        <v>239.49799999999999</v>
      </c>
      <c r="GF24">
        <v>582.19500000000005</v>
      </c>
      <c r="GG24">
        <v>25.9207</v>
      </c>
      <c r="GH24">
        <v>26.464500000000001</v>
      </c>
      <c r="GI24">
        <v>30.0029</v>
      </c>
      <c r="GJ24">
        <v>26.545999999999999</v>
      </c>
      <c r="GK24">
        <v>26.518000000000001</v>
      </c>
      <c r="GL24">
        <v>35.589300000000001</v>
      </c>
      <c r="GM24">
        <v>-30</v>
      </c>
      <c r="GN24">
        <v>-30</v>
      </c>
      <c r="GO24">
        <v>25.309000000000001</v>
      </c>
      <c r="GP24">
        <v>800</v>
      </c>
      <c r="GQ24">
        <v>12.5298</v>
      </c>
      <c r="GR24">
        <v>99.656199999999998</v>
      </c>
      <c r="GS24">
        <v>99.428100000000001</v>
      </c>
    </row>
    <row r="25" spans="1:201" x14ac:dyDescent="0.25">
      <c r="A25">
        <v>9</v>
      </c>
      <c r="B25">
        <v>1690212495.5999999</v>
      </c>
      <c r="C25">
        <v>228.0999999046326</v>
      </c>
      <c r="D25" t="s">
        <v>349</v>
      </c>
      <c r="E25" t="s">
        <v>350</v>
      </c>
      <c r="F25" t="s">
        <v>330</v>
      </c>
      <c r="H25">
        <v>1690212495.5999999</v>
      </c>
      <c r="I25">
        <f t="shared" si="0"/>
        <v>2.761855956166327E-4</v>
      </c>
      <c r="J25">
        <f t="shared" si="1"/>
        <v>0.2761855956166327</v>
      </c>
      <c r="K25">
        <f t="shared" si="2"/>
        <v>-0.49434875773602466</v>
      </c>
      <c r="L25">
        <f t="shared" si="3"/>
        <v>803.173</v>
      </c>
      <c r="M25">
        <f t="shared" si="4"/>
        <v>855.07707170252672</v>
      </c>
      <c r="N25">
        <f t="shared" si="5"/>
        <v>84.822291925886134</v>
      </c>
      <c r="O25">
        <f t="shared" si="6"/>
        <v>79.673490177140991</v>
      </c>
      <c r="P25">
        <f t="shared" si="7"/>
        <v>8.1957451962815491E-3</v>
      </c>
      <c r="Q25">
        <f t="shared" si="8"/>
        <v>2.0125021022186758</v>
      </c>
      <c r="R25">
        <f t="shared" si="9"/>
        <v>8.1772478982884197E-3</v>
      </c>
      <c r="S25">
        <f t="shared" si="10"/>
        <v>5.1124383341175257E-3</v>
      </c>
      <c r="T25">
        <f t="shared" si="11"/>
        <v>276.10793209216752</v>
      </c>
      <c r="U25">
        <f t="shared" si="12"/>
        <v>29.679039844430296</v>
      </c>
      <c r="V25">
        <f t="shared" si="13"/>
        <v>29.679039844430296</v>
      </c>
      <c r="W25">
        <f t="shared" si="14"/>
        <v>4.1825335865142037</v>
      </c>
      <c r="X25">
        <f t="shared" si="15"/>
        <v>24.939242599754248</v>
      </c>
      <c r="Y25">
        <f t="shared" si="16"/>
        <v>0.91825792251725991</v>
      </c>
      <c r="Z25">
        <f t="shared" si="17"/>
        <v>3.6819799913502922</v>
      </c>
      <c r="AA25">
        <f t="shared" si="18"/>
        <v>3.2642756639969437</v>
      </c>
      <c r="AB25">
        <f t="shared" si="19"/>
        <v>-12.179784766693501</v>
      </c>
      <c r="AC25">
        <f t="shared" si="20"/>
        <v>-238.25511052344595</v>
      </c>
      <c r="AD25">
        <f t="shared" si="21"/>
        <v>-25.955839462811777</v>
      </c>
      <c r="AE25">
        <f t="shared" si="22"/>
        <v>-0.28280266078371596</v>
      </c>
      <c r="AF25">
        <v>42</v>
      </c>
      <c r="AG25">
        <v>14</v>
      </c>
      <c r="AH25">
        <f t="shared" si="23"/>
        <v>1</v>
      </c>
      <c r="AI25">
        <f t="shared" si="24"/>
        <v>0</v>
      </c>
      <c r="AJ25">
        <f t="shared" si="25"/>
        <v>52338.261182960428</v>
      </c>
      <c r="AK25">
        <f t="shared" si="26"/>
        <v>1799.95</v>
      </c>
      <c r="AL25">
        <f t="shared" si="27"/>
        <v>1499.0692150317498</v>
      </c>
      <c r="AM25">
        <f t="shared" si="28"/>
        <v>0.83283936499999989</v>
      </c>
      <c r="AN25">
        <f t="shared" si="29"/>
        <v>0.15339755665000002</v>
      </c>
      <c r="AO25">
        <v>34.5</v>
      </c>
      <c r="AP25">
        <v>0.5</v>
      </c>
      <c r="AQ25" t="s">
        <v>331</v>
      </c>
      <c r="AR25">
        <v>2</v>
      </c>
      <c r="AS25">
        <v>1690212495.5999999</v>
      </c>
      <c r="AT25">
        <v>803.173</v>
      </c>
      <c r="AU25">
        <v>800.04100000000005</v>
      </c>
      <c r="AV25">
        <v>9.2567799999999991</v>
      </c>
      <c r="AW25">
        <v>6.1120799999999997</v>
      </c>
      <c r="AX25">
        <v>803.68700000000001</v>
      </c>
      <c r="AY25">
        <v>9.2952399999999997</v>
      </c>
      <c r="AZ25">
        <v>300.19400000000002</v>
      </c>
      <c r="BA25">
        <v>99.098399999999998</v>
      </c>
      <c r="BB25">
        <v>0.10001699999999999</v>
      </c>
      <c r="BC25">
        <v>27.4831</v>
      </c>
      <c r="BD25">
        <v>27.596599999999999</v>
      </c>
      <c r="BE25">
        <v>29.5642</v>
      </c>
      <c r="BF25">
        <v>0</v>
      </c>
      <c r="BG25">
        <v>0</v>
      </c>
      <c r="BH25">
        <v>10004.4</v>
      </c>
      <c r="BI25">
        <v>1074.78</v>
      </c>
      <c r="BJ25">
        <v>2.0183800000000001</v>
      </c>
      <c r="BK25">
        <v>3.13239</v>
      </c>
      <c r="BL25">
        <v>810.678</v>
      </c>
      <c r="BM25">
        <v>804.96100000000001</v>
      </c>
      <c r="BN25">
        <v>3.1446900000000002</v>
      </c>
      <c r="BO25">
        <v>800.04100000000005</v>
      </c>
      <c r="BP25">
        <v>6.1120799999999997</v>
      </c>
      <c r="BQ25">
        <v>0.91733200000000004</v>
      </c>
      <c r="BR25">
        <v>0.60569799999999996</v>
      </c>
      <c r="BS25">
        <v>5.6655499999999996</v>
      </c>
      <c r="BT25">
        <v>-0.17944599999999999</v>
      </c>
      <c r="BU25">
        <v>1799.95</v>
      </c>
      <c r="BV25">
        <v>0.90999099999999999</v>
      </c>
      <c r="BW25">
        <v>3.3998300000000002E-2</v>
      </c>
      <c r="BX25">
        <v>2.2002000000000001E-2</v>
      </c>
      <c r="BY25">
        <v>3.4008499999999997E-2</v>
      </c>
      <c r="BZ25">
        <v>26</v>
      </c>
      <c r="CA25">
        <v>33527.300000000003</v>
      </c>
      <c r="CB25">
        <v>1690211922</v>
      </c>
      <c r="CC25" t="s">
        <v>332</v>
      </c>
      <c r="CD25">
        <v>1690211915</v>
      </c>
      <c r="CE25">
        <v>1690211922</v>
      </c>
      <c r="CF25">
        <v>6</v>
      </c>
      <c r="CG25">
        <v>1.0999999999999999E-2</v>
      </c>
      <c r="CH25">
        <v>8.0000000000000002E-3</v>
      </c>
      <c r="CI25">
        <v>-0.51100000000000001</v>
      </c>
      <c r="CJ25">
        <v>-6.6000000000000003E-2</v>
      </c>
      <c r="CK25">
        <v>800</v>
      </c>
      <c r="CL25">
        <v>6</v>
      </c>
      <c r="CM25">
        <v>0.21</v>
      </c>
      <c r="CN25">
        <v>0.02</v>
      </c>
      <c r="CO25">
        <v>4.6321242499999986</v>
      </c>
      <c r="CP25">
        <v>-7.4023194371482317</v>
      </c>
      <c r="CQ25">
        <v>0.71811808793501197</v>
      </c>
      <c r="CR25">
        <v>-1</v>
      </c>
      <c r="CS25">
        <v>3.0928222500000002</v>
      </c>
      <c r="CT25">
        <v>0.38234172607879358</v>
      </c>
      <c r="CU25">
        <v>3.7202181420415377E-2</v>
      </c>
      <c r="CV25">
        <v>-1</v>
      </c>
      <c r="CW25">
        <v>0</v>
      </c>
      <c r="CX25">
        <v>0</v>
      </c>
      <c r="CY25" t="s">
        <v>333</v>
      </c>
      <c r="CZ25">
        <v>2.3643399999999999</v>
      </c>
      <c r="DA25">
        <v>2.7138100000000001</v>
      </c>
      <c r="DB25">
        <v>0.14687900000000001</v>
      </c>
      <c r="DC25">
        <v>0.146066</v>
      </c>
      <c r="DD25">
        <v>5.67497E-2</v>
      </c>
      <c r="DE25">
        <v>4.0040399999999997E-2</v>
      </c>
      <c r="DF25">
        <v>31124.7</v>
      </c>
      <c r="DG25">
        <v>27482.7</v>
      </c>
      <c r="DH25">
        <v>31147.200000000001</v>
      </c>
      <c r="DI25">
        <v>28044.5</v>
      </c>
      <c r="DJ25">
        <v>39903.5</v>
      </c>
      <c r="DK25">
        <v>38277.599999999999</v>
      </c>
      <c r="DL25">
        <v>44321.7</v>
      </c>
      <c r="DM25">
        <v>42497.9</v>
      </c>
      <c r="DN25">
        <v>1.3656299999999999</v>
      </c>
      <c r="DO25">
        <v>2.0326200000000001</v>
      </c>
      <c r="DP25">
        <v>0.10402500000000001</v>
      </c>
      <c r="DQ25">
        <v>0.22120799999999999</v>
      </c>
      <c r="DR25">
        <v>25.8947</v>
      </c>
      <c r="DS25">
        <v>25.951000000000001</v>
      </c>
      <c r="DT25">
        <v>18.2</v>
      </c>
      <c r="DU25">
        <v>29.6</v>
      </c>
      <c r="DV25">
        <v>7.6476300000000004</v>
      </c>
      <c r="DW25">
        <v>62.4512</v>
      </c>
      <c r="DX25">
        <v>36.093800000000002</v>
      </c>
      <c r="DY25">
        <v>1</v>
      </c>
      <c r="DZ25">
        <v>-5.9839900000000001E-2</v>
      </c>
      <c r="EA25">
        <v>5.8678400000000002</v>
      </c>
      <c r="EB25">
        <v>20.049800000000001</v>
      </c>
      <c r="EC25">
        <v>5.24125</v>
      </c>
      <c r="ED25">
        <v>12.039899999999999</v>
      </c>
      <c r="EE25">
        <v>5.0174000000000003</v>
      </c>
      <c r="EF25">
        <v>3.2879999999999998</v>
      </c>
      <c r="EG25">
        <v>9999</v>
      </c>
      <c r="EH25">
        <v>9999</v>
      </c>
      <c r="EI25">
        <v>9999</v>
      </c>
      <c r="EJ25">
        <v>999.9</v>
      </c>
      <c r="EK25">
        <v>1.8689</v>
      </c>
      <c r="EL25">
        <v>1.8646499999999999</v>
      </c>
      <c r="EM25">
        <v>1.86917</v>
      </c>
      <c r="EN25">
        <v>1.8672200000000001</v>
      </c>
      <c r="EO25">
        <v>1.8633999999999999</v>
      </c>
      <c r="EP25">
        <v>1.8645099999999999</v>
      </c>
      <c r="EQ25">
        <v>1.87015</v>
      </c>
      <c r="ER25">
        <v>1.86944</v>
      </c>
      <c r="ES25">
        <v>0</v>
      </c>
      <c r="ET25">
        <v>0</v>
      </c>
      <c r="EU25">
        <v>0</v>
      </c>
      <c r="EV25">
        <v>0</v>
      </c>
      <c r="EW25" t="s">
        <v>334</v>
      </c>
      <c r="EX25" t="s">
        <v>335</v>
      </c>
      <c r="EY25" t="s">
        <v>336</v>
      </c>
      <c r="EZ25" t="s">
        <v>336</v>
      </c>
      <c r="FA25" t="s">
        <v>336</v>
      </c>
      <c r="FB25" t="s">
        <v>336</v>
      </c>
      <c r="FC25">
        <v>0</v>
      </c>
      <c r="FD25">
        <v>100</v>
      </c>
      <c r="FE25">
        <v>100</v>
      </c>
      <c r="FF25">
        <v>-0.51400000000000001</v>
      </c>
      <c r="FG25">
        <v>-3.85E-2</v>
      </c>
      <c r="FH25">
        <v>4.0020685143421282E-2</v>
      </c>
      <c r="FI25">
        <v>-6.1462078757559423E-4</v>
      </c>
      <c r="FJ25">
        <v>-1.8861989874597051E-7</v>
      </c>
      <c r="FK25">
        <v>1.1980462299894961E-10</v>
      </c>
      <c r="FL25">
        <v>-3.1035565592992288E-2</v>
      </c>
      <c r="FM25">
        <v>-1.6848085045870601E-2</v>
      </c>
      <c r="FN25">
        <v>1.9789084769509481E-3</v>
      </c>
      <c r="FO25">
        <v>-2.7142391389806329E-5</v>
      </c>
      <c r="FP25">
        <v>3</v>
      </c>
      <c r="FQ25">
        <v>2158</v>
      </c>
      <c r="FR25">
        <v>1</v>
      </c>
      <c r="FS25">
        <v>19</v>
      </c>
      <c r="FT25">
        <v>9.6999999999999993</v>
      </c>
      <c r="FU25">
        <v>9.6</v>
      </c>
      <c r="FV25">
        <v>1.77979</v>
      </c>
      <c r="FW25">
        <v>2.5793499999999998</v>
      </c>
      <c r="FX25">
        <v>1.5490699999999999</v>
      </c>
      <c r="FY25">
        <v>2.3290999999999999</v>
      </c>
      <c r="FZ25">
        <v>1.50146</v>
      </c>
      <c r="GA25">
        <v>2.3645</v>
      </c>
      <c r="GB25">
        <v>33.692999999999998</v>
      </c>
      <c r="GC25">
        <v>23.938700000000001</v>
      </c>
      <c r="GD25">
        <v>19</v>
      </c>
      <c r="GE25">
        <v>239.20400000000001</v>
      </c>
      <c r="GF25">
        <v>582.09900000000005</v>
      </c>
      <c r="GG25">
        <v>24.235299999999999</v>
      </c>
      <c r="GH25">
        <v>26.466699999999999</v>
      </c>
      <c r="GI25">
        <v>30.001799999999999</v>
      </c>
      <c r="GJ25">
        <v>26.548200000000001</v>
      </c>
      <c r="GK25">
        <v>26.518699999999999</v>
      </c>
      <c r="GL25">
        <v>35.5871</v>
      </c>
      <c r="GM25">
        <v>-30</v>
      </c>
      <c r="GN25">
        <v>-30</v>
      </c>
      <c r="GO25">
        <v>23.834499999999998</v>
      </c>
      <c r="GP25">
        <v>800</v>
      </c>
      <c r="GQ25">
        <v>12.5298</v>
      </c>
      <c r="GR25">
        <v>99.652900000000002</v>
      </c>
      <c r="GS25">
        <v>99.424700000000001</v>
      </c>
    </row>
    <row r="26" spans="1:201" x14ac:dyDescent="0.25">
      <c r="A26">
        <v>10</v>
      </c>
      <c r="B26">
        <v>1690212505.5999999</v>
      </c>
      <c r="C26">
        <v>238.0999999046326</v>
      </c>
      <c r="D26" t="s">
        <v>351</v>
      </c>
      <c r="E26" t="s">
        <v>352</v>
      </c>
      <c r="F26" t="s">
        <v>330</v>
      </c>
      <c r="H26">
        <v>1690212505.5999999</v>
      </c>
      <c r="I26">
        <f t="shared" si="0"/>
        <v>2.7787554745058076E-4</v>
      </c>
      <c r="J26">
        <f t="shared" si="1"/>
        <v>0.27787554745058074</v>
      </c>
      <c r="K26">
        <f t="shared" si="2"/>
        <v>-0.32434020192656776</v>
      </c>
      <c r="L26">
        <f t="shared" si="3"/>
        <v>801.17899999999997</v>
      </c>
      <c r="M26">
        <f t="shared" si="4"/>
        <v>820.15028441264155</v>
      </c>
      <c r="N26">
        <f t="shared" si="5"/>
        <v>81.358456310927323</v>
      </c>
      <c r="O26">
        <f t="shared" si="6"/>
        <v>79.476515350371002</v>
      </c>
      <c r="P26">
        <f t="shared" si="7"/>
        <v>8.3724281022103855E-3</v>
      </c>
      <c r="Q26">
        <f t="shared" si="8"/>
        <v>2.0129006922045409</v>
      </c>
      <c r="R26">
        <f t="shared" si="9"/>
        <v>8.3531295093609986E-3</v>
      </c>
      <c r="S26">
        <f t="shared" si="10"/>
        <v>5.2224361049922974E-3</v>
      </c>
      <c r="T26">
        <f t="shared" si="11"/>
        <v>276.10846746792572</v>
      </c>
      <c r="U26">
        <f t="shared" si="12"/>
        <v>29.485043781591109</v>
      </c>
      <c r="V26">
        <f t="shared" si="13"/>
        <v>29.485043781591109</v>
      </c>
      <c r="W26">
        <f t="shared" si="14"/>
        <v>4.1360439075787392</v>
      </c>
      <c r="X26">
        <f t="shared" si="15"/>
        <v>25.27586729094536</v>
      </c>
      <c r="Y26">
        <f t="shared" si="16"/>
        <v>0.92017111294053</v>
      </c>
      <c r="Z26">
        <f t="shared" si="17"/>
        <v>3.6405125187145027</v>
      </c>
      <c r="AA26">
        <f t="shared" si="18"/>
        <v>3.2158727946382091</v>
      </c>
      <c r="AB26">
        <f t="shared" si="19"/>
        <v>-12.254311642570611</v>
      </c>
      <c r="AC26">
        <f t="shared" si="20"/>
        <v>-238.2376141564026</v>
      </c>
      <c r="AD26">
        <f t="shared" si="21"/>
        <v>-25.898827609057999</v>
      </c>
      <c r="AE26">
        <f t="shared" si="22"/>
        <v>-0.28228594010548136</v>
      </c>
      <c r="AF26">
        <v>41</v>
      </c>
      <c r="AG26">
        <v>14</v>
      </c>
      <c r="AH26">
        <f t="shared" si="23"/>
        <v>1</v>
      </c>
      <c r="AI26">
        <f t="shared" si="24"/>
        <v>0</v>
      </c>
      <c r="AJ26">
        <f t="shared" si="25"/>
        <v>52391.125287348135</v>
      </c>
      <c r="AK26">
        <f t="shared" si="26"/>
        <v>1799.96</v>
      </c>
      <c r="AL26">
        <f t="shared" si="27"/>
        <v>1499.08176613156</v>
      </c>
      <c r="AM26">
        <f t="shared" si="28"/>
        <v>0.83284171100000004</v>
      </c>
      <c r="AN26">
        <f t="shared" si="29"/>
        <v>0.15339700186000005</v>
      </c>
      <c r="AO26">
        <v>34.5</v>
      </c>
      <c r="AP26">
        <v>0.5</v>
      </c>
      <c r="AQ26" t="s">
        <v>331</v>
      </c>
      <c r="AR26">
        <v>2</v>
      </c>
      <c r="AS26">
        <v>1690212505.5999999</v>
      </c>
      <c r="AT26">
        <v>801.17899999999997</v>
      </c>
      <c r="AU26">
        <v>800.01</v>
      </c>
      <c r="AV26">
        <v>9.2759699999999992</v>
      </c>
      <c r="AW26">
        <v>6.11191</v>
      </c>
      <c r="AX26">
        <v>801.69100000000003</v>
      </c>
      <c r="AY26">
        <v>9.31419</v>
      </c>
      <c r="AZ26">
        <v>300.17700000000002</v>
      </c>
      <c r="BA26">
        <v>99.099500000000006</v>
      </c>
      <c r="BB26">
        <v>9.9948999999999996E-2</v>
      </c>
      <c r="BC26">
        <v>27.2897</v>
      </c>
      <c r="BD26">
        <v>27.340900000000001</v>
      </c>
      <c r="BE26">
        <v>29.3337</v>
      </c>
      <c r="BF26">
        <v>0</v>
      </c>
      <c r="BG26">
        <v>0</v>
      </c>
      <c r="BH26">
        <v>10008.1</v>
      </c>
      <c r="BI26">
        <v>1075.1500000000001</v>
      </c>
      <c r="BJ26">
        <v>2.0604300000000002</v>
      </c>
      <c r="BK26">
        <v>1.1686399999999999</v>
      </c>
      <c r="BL26">
        <v>808.68</v>
      </c>
      <c r="BM26">
        <v>804.93</v>
      </c>
      <c r="BN26">
        <v>3.1640600000000001</v>
      </c>
      <c r="BO26">
        <v>800.01</v>
      </c>
      <c r="BP26">
        <v>6.11191</v>
      </c>
      <c r="BQ26">
        <v>0.91924399999999995</v>
      </c>
      <c r="BR26">
        <v>0.60568699999999998</v>
      </c>
      <c r="BS26">
        <v>5.6955900000000002</v>
      </c>
      <c r="BT26">
        <v>-0.17969299999999999</v>
      </c>
      <c r="BU26">
        <v>1799.96</v>
      </c>
      <c r="BV26">
        <v>0.91001900000000002</v>
      </c>
      <c r="BW26">
        <v>3.3994700000000003E-2</v>
      </c>
      <c r="BX26">
        <v>2.1995299999999999E-2</v>
      </c>
      <c r="BY26">
        <v>3.3991399999999998E-2</v>
      </c>
      <c r="BZ26">
        <v>26</v>
      </c>
      <c r="CA26">
        <v>33527.800000000003</v>
      </c>
      <c r="CB26">
        <v>1690211922</v>
      </c>
      <c r="CC26" t="s">
        <v>332</v>
      </c>
      <c r="CD26">
        <v>1690211915</v>
      </c>
      <c r="CE26">
        <v>1690211922</v>
      </c>
      <c r="CF26">
        <v>6</v>
      </c>
      <c r="CG26">
        <v>1.0999999999999999E-2</v>
      </c>
      <c r="CH26">
        <v>8.0000000000000002E-3</v>
      </c>
      <c r="CI26">
        <v>-0.51100000000000001</v>
      </c>
      <c r="CJ26">
        <v>-6.6000000000000003E-2</v>
      </c>
      <c r="CK26">
        <v>800</v>
      </c>
      <c r="CL26">
        <v>6</v>
      </c>
      <c r="CM26">
        <v>0.21</v>
      </c>
      <c r="CN26">
        <v>0.02</v>
      </c>
      <c r="CO26">
        <v>3.327007500000001</v>
      </c>
      <c r="CP26">
        <v>-10.03946251407131</v>
      </c>
      <c r="CQ26">
        <v>0.96819103851138266</v>
      </c>
      <c r="CR26">
        <v>-1</v>
      </c>
      <c r="CS26">
        <v>3.1365237499999998</v>
      </c>
      <c r="CT26">
        <v>0.19874780487804539</v>
      </c>
      <c r="CU26">
        <v>1.9543312499100549E-2</v>
      </c>
      <c r="CV26">
        <v>-1</v>
      </c>
      <c r="CW26">
        <v>0</v>
      </c>
      <c r="CX26">
        <v>0</v>
      </c>
      <c r="CY26" t="s">
        <v>333</v>
      </c>
      <c r="CZ26">
        <v>2.36429</v>
      </c>
      <c r="DA26">
        <v>2.7137500000000001</v>
      </c>
      <c r="DB26">
        <v>0.14663799999999999</v>
      </c>
      <c r="DC26">
        <v>0.146063</v>
      </c>
      <c r="DD26">
        <v>5.6840599999999998E-2</v>
      </c>
      <c r="DE26">
        <v>4.0039699999999998E-2</v>
      </c>
      <c r="DF26">
        <v>31133.4</v>
      </c>
      <c r="DG26">
        <v>27482.6</v>
      </c>
      <c r="DH26">
        <v>31147.1</v>
      </c>
      <c r="DI26">
        <v>28044.400000000001</v>
      </c>
      <c r="DJ26">
        <v>39899.1</v>
      </c>
      <c r="DK26">
        <v>38277.4</v>
      </c>
      <c r="DL26">
        <v>44321.2</v>
      </c>
      <c r="DM26">
        <v>42497.599999999999</v>
      </c>
      <c r="DN26">
        <v>1.3658999999999999</v>
      </c>
      <c r="DO26">
        <v>2.0327999999999999</v>
      </c>
      <c r="DP26">
        <v>8.5934999999999997E-2</v>
      </c>
      <c r="DQ26">
        <v>0.20652300000000001</v>
      </c>
      <c r="DR26">
        <v>25.934699999999999</v>
      </c>
      <c r="DS26">
        <v>25.959800000000001</v>
      </c>
      <c r="DT26">
        <v>18.2</v>
      </c>
      <c r="DU26">
        <v>29.6</v>
      </c>
      <c r="DV26">
        <v>7.6461100000000002</v>
      </c>
      <c r="DW26">
        <v>62.351199999999999</v>
      </c>
      <c r="DX26">
        <v>35.9816</v>
      </c>
      <c r="DY26">
        <v>1</v>
      </c>
      <c r="DZ26">
        <v>-5.9908500000000003E-2</v>
      </c>
      <c r="EA26">
        <v>5.4971199999999998</v>
      </c>
      <c r="EB26">
        <v>20.0733</v>
      </c>
      <c r="EC26">
        <v>5.24125</v>
      </c>
      <c r="ED26">
        <v>12.039899999999999</v>
      </c>
      <c r="EE26">
        <v>5.0174000000000003</v>
      </c>
      <c r="EF26">
        <v>3.2879999999999998</v>
      </c>
      <c r="EG26">
        <v>9999</v>
      </c>
      <c r="EH26">
        <v>9999</v>
      </c>
      <c r="EI26">
        <v>9999</v>
      </c>
      <c r="EJ26">
        <v>999.9</v>
      </c>
      <c r="EK26">
        <v>1.8689</v>
      </c>
      <c r="EL26">
        <v>1.86466</v>
      </c>
      <c r="EM26">
        <v>1.86917</v>
      </c>
      <c r="EN26">
        <v>1.8672500000000001</v>
      </c>
      <c r="EO26">
        <v>1.8633999999999999</v>
      </c>
      <c r="EP26">
        <v>1.86456</v>
      </c>
      <c r="EQ26">
        <v>1.87016</v>
      </c>
      <c r="ER26">
        <v>1.8694299999999999</v>
      </c>
      <c r="ES26">
        <v>0</v>
      </c>
      <c r="ET26">
        <v>0</v>
      </c>
      <c r="EU26">
        <v>0</v>
      </c>
      <c r="EV26">
        <v>0</v>
      </c>
      <c r="EW26" t="s">
        <v>334</v>
      </c>
      <c r="EX26" t="s">
        <v>335</v>
      </c>
      <c r="EY26" t="s">
        <v>336</v>
      </c>
      <c r="EZ26" t="s">
        <v>336</v>
      </c>
      <c r="FA26" t="s">
        <v>336</v>
      </c>
      <c r="FB26" t="s">
        <v>336</v>
      </c>
      <c r="FC26">
        <v>0</v>
      </c>
      <c r="FD26">
        <v>100</v>
      </c>
      <c r="FE26">
        <v>100</v>
      </c>
      <c r="FF26">
        <v>-0.51200000000000001</v>
      </c>
      <c r="FG26">
        <v>-3.8199999999999998E-2</v>
      </c>
      <c r="FH26">
        <v>4.0020685143421282E-2</v>
      </c>
      <c r="FI26">
        <v>-6.1462078757559423E-4</v>
      </c>
      <c r="FJ26">
        <v>-1.8861989874597051E-7</v>
      </c>
      <c r="FK26">
        <v>1.1980462299894961E-10</v>
      </c>
      <c r="FL26">
        <v>-3.1035565592992288E-2</v>
      </c>
      <c r="FM26">
        <v>-1.6848085045870601E-2</v>
      </c>
      <c r="FN26">
        <v>1.9789084769509481E-3</v>
      </c>
      <c r="FO26">
        <v>-2.7142391389806329E-5</v>
      </c>
      <c r="FP26">
        <v>3</v>
      </c>
      <c r="FQ26">
        <v>2158</v>
      </c>
      <c r="FR26">
        <v>1</v>
      </c>
      <c r="FS26">
        <v>19</v>
      </c>
      <c r="FT26">
        <v>9.8000000000000007</v>
      </c>
      <c r="FU26">
        <v>9.6999999999999993</v>
      </c>
      <c r="FV26">
        <v>1.77979</v>
      </c>
      <c r="FW26">
        <v>2.5793499999999998</v>
      </c>
      <c r="FX26">
        <v>1.5490699999999999</v>
      </c>
      <c r="FY26">
        <v>2.3290999999999999</v>
      </c>
      <c r="FZ26">
        <v>1.50146</v>
      </c>
      <c r="GA26">
        <v>2.34619</v>
      </c>
      <c r="GB26">
        <v>33.715499999999999</v>
      </c>
      <c r="GC26">
        <v>23.947399999999998</v>
      </c>
      <c r="GD26">
        <v>19</v>
      </c>
      <c r="GE26">
        <v>239.31200000000001</v>
      </c>
      <c r="GF26">
        <v>582.26099999999997</v>
      </c>
      <c r="GG26">
        <v>22.933299999999999</v>
      </c>
      <c r="GH26">
        <v>26.4709</v>
      </c>
      <c r="GI26">
        <v>29.999600000000001</v>
      </c>
      <c r="GJ26">
        <v>26.549499999999998</v>
      </c>
      <c r="GK26">
        <v>26.520299999999999</v>
      </c>
      <c r="GL26">
        <v>35.589599999999997</v>
      </c>
      <c r="GM26">
        <v>-30</v>
      </c>
      <c r="GN26">
        <v>-30</v>
      </c>
      <c r="GO26">
        <v>22.7712</v>
      </c>
      <c r="GP26">
        <v>800</v>
      </c>
      <c r="GQ26">
        <v>12.5298</v>
      </c>
      <c r="GR26">
        <v>99.652000000000001</v>
      </c>
      <c r="GS26">
        <v>99.424099999999996</v>
      </c>
    </row>
    <row r="27" spans="1:201" x14ac:dyDescent="0.25">
      <c r="A27">
        <v>11</v>
      </c>
      <c r="B27">
        <v>1690212515.5999999</v>
      </c>
      <c r="C27">
        <v>248.0999999046326</v>
      </c>
      <c r="D27" t="s">
        <v>353</v>
      </c>
      <c r="E27" t="s">
        <v>354</v>
      </c>
      <c r="F27" t="s">
        <v>330</v>
      </c>
      <c r="H27">
        <v>1690212515.5999999</v>
      </c>
      <c r="I27">
        <f t="shared" si="0"/>
        <v>2.7839931695305335E-4</v>
      </c>
      <c r="J27">
        <f t="shared" si="1"/>
        <v>0.27839931695305337</v>
      </c>
      <c r="K27">
        <f t="shared" si="2"/>
        <v>-7.8590744328335821E-2</v>
      </c>
      <c r="L27">
        <f t="shared" si="3"/>
        <v>798.36099999999999</v>
      </c>
      <c r="M27">
        <f t="shared" si="4"/>
        <v>772.02034718378695</v>
      </c>
      <c r="N27">
        <f t="shared" si="5"/>
        <v>76.583348420430468</v>
      </c>
      <c r="O27">
        <f t="shared" si="6"/>
        <v>79.196304671653991</v>
      </c>
      <c r="P27">
        <f t="shared" si="7"/>
        <v>8.5214112764680494E-3</v>
      </c>
      <c r="Q27">
        <f t="shared" si="8"/>
        <v>2.0164194559993551</v>
      </c>
      <c r="R27">
        <f t="shared" si="9"/>
        <v>8.501455437083489E-3</v>
      </c>
      <c r="S27">
        <f t="shared" si="10"/>
        <v>5.3151986723494905E-3</v>
      </c>
      <c r="T27">
        <f t="shared" si="11"/>
        <v>276.11184250125933</v>
      </c>
      <c r="U27">
        <f t="shared" si="12"/>
        <v>29.279150305408546</v>
      </c>
      <c r="V27">
        <f t="shared" si="13"/>
        <v>29.279150305408546</v>
      </c>
      <c r="W27">
        <f t="shared" si="14"/>
        <v>4.0871964793914177</v>
      </c>
      <c r="X27">
        <f t="shared" si="15"/>
        <v>25.593182411573963</v>
      </c>
      <c r="Y27">
        <f t="shared" si="16"/>
        <v>0.92071193584099997</v>
      </c>
      <c r="Z27">
        <f t="shared" si="17"/>
        <v>3.5974890540561617</v>
      </c>
      <c r="AA27">
        <f t="shared" si="18"/>
        <v>3.1664845435504176</v>
      </c>
      <c r="AB27">
        <f t="shared" si="19"/>
        <v>-12.277409877629653</v>
      </c>
      <c r="AC27">
        <f t="shared" si="20"/>
        <v>-238.30691850192449</v>
      </c>
      <c r="AD27">
        <f t="shared" si="21"/>
        <v>-25.808598473952141</v>
      </c>
      <c r="AE27">
        <f t="shared" si="22"/>
        <v>-0.28108435224694972</v>
      </c>
      <c r="AF27">
        <v>41</v>
      </c>
      <c r="AG27">
        <v>14</v>
      </c>
      <c r="AH27">
        <f t="shared" si="23"/>
        <v>1</v>
      </c>
      <c r="AI27">
        <f t="shared" si="24"/>
        <v>0</v>
      </c>
      <c r="AJ27">
        <f t="shared" si="25"/>
        <v>52595.739419511163</v>
      </c>
      <c r="AK27">
        <f t="shared" si="26"/>
        <v>1799.97</v>
      </c>
      <c r="AL27">
        <f t="shared" si="27"/>
        <v>1499.0844120433801</v>
      </c>
      <c r="AM27">
        <f t="shared" si="28"/>
        <v>0.83283855400000006</v>
      </c>
      <c r="AN27">
        <f t="shared" si="29"/>
        <v>0.15339802469000002</v>
      </c>
      <c r="AO27">
        <v>34.5</v>
      </c>
      <c r="AP27">
        <v>0.5</v>
      </c>
      <c r="AQ27" t="s">
        <v>331</v>
      </c>
      <c r="AR27">
        <v>2</v>
      </c>
      <c r="AS27">
        <v>1690212515.5999999</v>
      </c>
      <c r="AT27">
        <v>798.36099999999999</v>
      </c>
      <c r="AU27">
        <v>800.01199999999994</v>
      </c>
      <c r="AV27">
        <v>9.2814999999999994</v>
      </c>
      <c r="AW27">
        <v>6.1119899999999996</v>
      </c>
      <c r="AX27">
        <v>798.87199999999996</v>
      </c>
      <c r="AY27">
        <v>9.3196399999999997</v>
      </c>
      <c r="AZ27">
        <v>300.22399999999999</v>
      </c>
      <c r="BA27">
        <v>99.098600000000005</v>
      </c>
      <c r="BB27">
        <v>0.10001400000000001</v>
      </c>
      <c r="BC27">
        <v>27.087</v>
      </c>
      <c r="BD27">
        <v>27.113900000000001</v>
      </c>
      <c r="BE27">
        <v>29.084499999999998</v>
      </c>
      <c r="BF27">
        <v>0</v>
      </c>
      <c r="BG27">
        <v>0</v>
      </c>
      <c r="BH27">
        <v>10041.9</v>
      </c>
      <c r="BI27">
        <v>1075.05</v>
      </c>
      <c r="BJ27">
        <v>2.0324</v>
      </c>
      <c r="BK27">
        <v>-1.65076</v>
      </c>
      <c r="BL27">
        <v>805.84100000000001</v>
      </c>
      <c r="BM27">
        <v>804.93200000000002</v>
      </c>
      <c r="BN27">
        <v>3.1695099999999998</v>
      </c>
      <c r="BO27">
        <v>800.01199999999994</v>
      </c>
      <c r="BP27">
        <v>6.1119899999999996</v>
      </c>
      <c r="BQ27">
        <v>0.91978400000000005</v>
      </c>
      <c r="BR27">
        <v>0.60568999999999995</v>
      </c>
      <c r="BS27">
        <v>5.7040600000000001</v>
      </c>
      <c r="BT27">
        <v>-0.17963699999999999</v>
      </c>
      <c r="BU27">
        <v>1799.97</v>
      </c>
      <c r="BV27">
        <v>0.90997600000000001</v>
      </c>
      <c r="BW27">
        <v>3.4005399999999998E-2</v>
      </c>
      <c r="BX27">
        <v>2.20057E-2</v>
      </c>
      <c r="BY27">
        <v>3.4013300000000003E-2</v>
      </c>
      <c r="BZ27">
        <v>26</v>
      </c>
      <c r="CA27">
        <v>33527.800000000003</v>
      </c>
      <c r="CB27">
        <v>1690211922</v>
      </c>
      <c r="CC27" t="s">
        <v>332</v>
      </c>
      <c r="CD27">
        <v>1690211915</v>
      </c>
      <c r="CE27">
        <v>1690211922</v>
      </c>
      <c r="CF27">
        <v>6</v>
      </c>
      <c r="CG27">
        <v>1.0999999999999999E-2</v>
      </c>
      <c r="CH27">
        <v>8.0000000000000002E-3</v>
      </c>
      <c r="CI27">
        <v>-0.51100000000000001</v>
      </c>
      <c r="CJ27">
        <v>-6.6000000000000003E-2</v>
      </c>
      <c r="CK27">
        <v>800</v>
      </c>
      <c r="CL27">
        <v>6</v>
      </c>
      <c r="CM27">
        <v>0.21</v>
      </c>
      <c r="CN27">
        <v>0.02</v>
      </c>
      <c r="CO27">
        <v>1.0978392724999999</v>
      </c>
      <c r="CP27">
        <v>-14.40511493696061</v>
      </c>
      <c r="CQ27">
        <v>1.392740280242426</v>
      </c>
      <c r="CR27">
        <v>-1</v>
      </c>
      <c r="CS27">
        <v>3.16091525</v>
      </c>
      <c r="CT27">
        <v>7.1741651031883458E-2</v>
      </c>
      <c r="CU27">
        <v>7.2526653678147562E-3</v>
      </c>
      <c r="CV27">
        <v>-1</v>
      </c>
      <c r="CW27">
        <v>0</v>
      </c>
      <c r="CX27">
        <v>0</v>
      </c>
      <c r="CY27" t="s">
        <v>333</v>
      </c>
      <c r="CZ27">
        <v>2.36443</v>
      </c>
      <c r="DA27">
        <v>2.7138399999999998</v>
      </c>
      <c r="DB27">
        <v>0.14629200000000001</v>
      </c>
      <c r="DC27">
        <v>0.146061</v>
      </c>
      <c r="DD27">
        <v>5.6865899999999997E-2</v>
      </c>
      <c r="DE27">
        <v>4.0039600000000002E-2</v>
      </c>
      <c r="DF27">
        <v>31146.7</v>
      </c>
      <c r="DG27">
        <v>27484.1</v>
      </c>
      <c r="DH27">
        <v>31147.8</v>
      </c>
      <c r="DI27">
        <v>28045.8</v>
      </c>
      <c r="DJ27">
        <v>39899.4</v>
      </c>
      <c r="DK27">
        <v>38279.300000000003</v>
      </c>
      <c r="DL27">
        <v>44322.7</v>
      </c>
      <c r="DM27">
        <v>42499.7</v>
      </c>
      <c r="DN27">
        <v>1.3662000000000001</v>
      </c>
      <c r="DO27">
        <v>2.0326</v>
      </c>
      <c r="DP27">
        <v>7.0907200000000004E-2</v>
      </c>
      <c r="DQ27">
        <v>0.19250100000000001</v>
      </c>
      <c r="DR27">
        <v>25.953399999999998</v>
      </c>
      <c r="DS27">
        <v>25.939</v>
      </c>
      <c r="DT27">
        <v>18.2</v>
      </c>
      <c r="DU27">
        <v>29.6</v>
      </c>
      <c r="DV27">
        <v>7.6462500000000002</v>
      </c>
      <c r="DW27">
        <v>61.891199999999998</v>
      </c>
      <c r="DX27">
        <v>35.985599999999998</v>
      </c>
      <c r="DY27">
        <v>1</v>
      </c>
      <c r="DZ27">
        <v>-6.3920199999999996E-2</v>
      </c>
      <c r="EA27">
        <v>4.2780300000000002</v>
      </c>
      <c r="EB27">
        <v>20.122399999999999</v>
      </c>
      <c r="EC27">
        <v>5.2411000000000003</v>
      </c>
      <c r="ED27">
        <v>12.039899999999999</v>
      </c>
      <c r="EE27">
        <v>5.0175999999999998</v>
      </c>
      <c r="EF27">
        <v>3.2879999999999998</v>
      </c>
      <c r="EG27">
        <v>9999</v>
      </c>
      <c r="EH27">
        <v>9999</v>
      </c>
      <c r="EI27">
        <v>9999</v>
      </c>
      <c r="EJ27">
        <v>999.9</v>
      </c>
      <c r="EK27">
        <v>1.8689100000000001</v>
      </c>
      <c r="EL27">
        <v>1.86466</v>
      </c>
      <c r="EM27">
        <v>1.8691800000000001</v>
      </c>
      <c r="EN27">
        <v>1.86724</v>
      </c>
      <c r="EO27">
        <v>1.8633999999999999</v>
      </c>
      <c r="EP27">
        <v>1.8645499999999999</v>
      </c>
      <c r="EQ27">
        <v>1.87015</v>
      </c>
      <c r="ER27">
        <v>1.8694500000000001</v>
      </c>
      <c r="ES27">
        <v>0</v>
      </c>
      <c r="ET27">
        <v>0</v>
      </c>
      <c r="EU27">
        <v>0</v>
      </c>
      <c r="EV27">
        <v>0</v>
      </c>
      <c r="EW27" t="s">
        <v>334</v>
      </c>
      <c r="EX27" t="s">
        <v>335</v>
      </c>
      <c r="EY27" t="s">
        <v>336</v>
      </c>
      <c r="EZ27" t="s">
        <v>336</v>
      </c>
      <c r="FA27" t="s">
        <v>336</v>
      </c>
      <c r="FB27" t="s">
        <v>336</v>
      </c>
      <c r="FC27">
        <v>0</v>
      </c>
      <c r="FD27">
        <v>100</v>
      </c>
      <c r="FE27">
        <v>100</v>
      </c>
      <c r="FF27">
        <v>-0.51100000000000001</v>
      </c>
      <c r="FG27">
        <v>-3.8100000000000002E-2</v>
      </c>
      <c r="FH27">
        <v>4.0020685143421282E-2</v>
      </c>
      <c r="FI27">
        <v>-6.1462078757559423E-4</v>
      </c>
      <c r="FJ27">
        <v>-1.8861989874597051E-7</v>
      </c>
      <c r="FK27">
        <v>1.1980462299894961E-10</v>
      </c>
      <c r="FL27">
        <v>-3.1035565592992288E-2</v>
      </c>
      <c r="FM27">
        <v>-1.6848085045870601E-2</v>
      </c>
      <c r="FN27">
        <v>1.9789084769509481E-3</v>
      </c>
      <c r="FO27">
        <v>-2.7142391389806329E-5</v>
      </c>
      <c r="FP27">
        <v>3</v>
      </c>
      <c r="FQ27">
        <v>2158</v>
      </c>
      <c r="FR27">
        <v>1</v>
      </c>
      <c r="FS27">
        <v>19</v>
      </c>
      <c r="FT27">
        <v>10</v>
      </c>
      <c r="FU27">
        <v>9.9</v>
      </c>
      <c r="FV27">
        <v>1.77979</v>
      </c>
      <c r="FW27">
        <v>2.5817899999999998</v>
      </c>
      <c r="FX27">
        <v>1.5490699999999999</v>
      </c>
      <c r="FY27">
        <v>2.3290999999999999</v>
      </c>
      <c r="FZ27">
        <v>1.50146</v>
      </c>
      <c r="GA27">
        <v>2.33643</v>
      </c>
      <c r="GB27">
        <v>33.715499999999999</v>
      </c>
      <c r="GC27">
        <v>23.9649</v>
      </c>
      <c r="GD27">
        <v>19</v>
      </c>
      <c r="GE27">
        <v>239.43100000000001</v>
      </c>
      <c r="GF27">
        <v>582.12</v>
      </c>
      <c r="GG27">
        <v>22.183900000000001</v>
      </c>
      <c r="GH27">
        <v>26.477</v>
      </c>
      <c r="GI27">
        <v>29.998100000000001</v>
      </c>
      <c r="GJ27">
        <v>26.551200000000001</v>
      </c>
      <c r="GK27">
        <v>26.522500000000001</v>
      </c>
      <c r="GL27">
        <v>35.592599999999997</v>
      </c>
      <c r="GM27">
        <v>-30</v>
      </c>
      <c r="GN27">
        <v>-30</v>
      </c>
      <c r="GO27">
        <v>22.2151</v>
      </c>
      <c r="GP27">
        <v>800</v>
      </c>
      <c r="GQ27">
        <v>12.5298</v>
      </c>
      <c r="GR27">
        <v>99.655000000000001</v>
      </c>
      <c r="GS27">
        <v>99.429100000000005</v>
      </c>
    </row>
    <row r="28" spans="1:201" x14ac:dyDescent="0.25">
      <c r="A28">
        <v>12</v>
      </c>
      <c r="B28">
        <v>1690212525.5999999</v>
      </c>
      <c r="C28">
        <v>258.09999990463263</v>
      </c>
      <c r="D28" t="s">
        <v>355</v>
      </c>
      <c r="E28" t="s">
        <v>356</v>
      </c>
      <c r="F28" t="s">
        <v>330</v>
      </c>
      <c r="H28">
        <v>1690212525.5999999</v>
      </c>
      <c r="I28">
        <f t="shared" si="0"/>
        <v>2.7913204277238044E-4</v>
      </c>
      <c r="J28">
        <f t="shared" si="1"/>
        <v>0.27913204277238046</v>
      </c>
      <c r="K28">
        <f t="shared" si="2"/>
        <v>0.1546835519105047</v>
      </c>
      <c r="L28">
        <f t="shared" si="3"/>
        <v>795.64800000000002</v>
      </c>
      <c r="M28">
        <f t="shared" si="4"/>
        <v>727.43526155783945</v>
      </c>
      <c r="N28">
        <f t="shared" si="5"/>
        <v>72.162240640060958</v>
      </c>
      <c r="O28">
        <f t="shared" si="6"/>
        <v>78.929006435328006</v>
      </c>
      <c r="P28">
        <f t="shared" si="7"/>
        <v>8.6318839287314094E-3</v>
      </c>
      <c r="Q28">
        <f t="shared" si="8"/>
        <v>2.0142227903951406</v>
      </c>
      <c r="R28">
        <f t="shared" si="9"/>
        <v>8.6113857132239461E-3</v>
      </c>
      <c r="S28">
        <f t="shared" si="10"/>
        <v>5.3839536625177285E-3</v>
      </c>
      <c r="T28">
        <f t="shared" si="11"/>
        <v>276.10725451898952</v>
      </c>
      <c r="U28">
        <f t="shared" si="12"/>
        <v>29.148185220195469</v>
      </c>
      <c r="V28">
        <f t="shared" si="13"/>
        <v>29.148185220195469</v>
      </c>
      <c r="W28">
        <f t="shared" si="14"/>
        <v>4.0563879080187384</v>
      </c>
      <c r="X28">
        <f t="shared" si="15"/>
        <v>25.81714119840256</v>
      </c>
      <c r="Y28">
        <f t="shared" si="16"/>
        <v>0.92153777483471</v>
      </c>
      <c r="Z28">
        <f t="shared" si="17"/>
        <v>3.5694803222121676</v>
      </c>
      <c r="AA28">
        <f t="shared" si="18"/>
        <v>3.1348501331840284</v>
      </c>
      <c r="AB28">
        <f t="shared" si="19"/>
        <v>-12.309723086261977</v>
      </c>
      <c r="AC28">
        <f t="shared" si="20"/>
        <v>-238.27914157550154</v>
      </c>
      <c r="AD28">
        <f t="shared" si="21"/>
        <v>-25.799774134094765</v>
      </c>
      <c r="AE28">
        <f t="shared" si="22"/>
        <v>-0.28138427686877776</v>
      </c>
      <c r="AF28">
        <v>41</v>
      </c>
      <c r="AG28">
        <v>14</v>
      </c>
      <c r="AH28">
        <f t="shared" si="23"/>
        <v>1</v>
      </c>
      <c r="AI28">
        <f t="shared" si="24"/>
        <v>0</v>
      </c>
      <c r="AJ28">
        <f t="shared" si="25"/>
        <v>52513.379673871153</v>
      </c>
      <c r="AK28">
        <f t="shared" si="26"/>
        <v>1799.95</v>
      </c>
      <c r="AL28">
        <f t="shared" si="27"/>
        <v>1499.0711967766999</v>
      </c>
      <c r="AM28">
        <f t="shared" si="28"/>
        <v>0.83284046599999995</v>
      </c>
      <c r="AN28">
        <f t="shared" si="29"/>
        <v>0.15339718021000001</v>
      </c>
      <c r="AO28">
        <v>34.5</v>
      </c>
      <c r="AP28">
        <v>0.5</v>
      </c>
      <c r="AQ28" t="s">
        <v>331</v>
      </c>
      <c r="AR28">
        <v>2</v>
      </c>
      <c r="AS28">
        <v>1690212525.5999999</v>
      </c>
      <c r="AT28">
        <v>795.64800000000002</v>
      </c>
      <c r="AU28">
        <v>799.97900000000004</v>
      </c>
      <c r="AV28">
        <v>9.2896099999999997</v>
      </c>
      <c r="AW28">
        <v>6.1108099999999999</v>
      </c>
      <c r="AX28">
        <v>796.15599999999995</v>
      </c>
      <c r="AY28">
        <v>9.3276500000000002</v>
      </c>
      <c r="AZ28">
        <v>300.13200000000001</v>
      </c>
      <c r="BA28">
        <v>99.100999999999999</v>
      </c>
      <c r="BB28">
        <v>9.9911E-2</v>
      </c>
      <c r="BC28">
        <v>26.953900000000001</v>
      </c>
      <c r="BD28">
        <v>26.930900000000001</v>
      </c>
      <c r="BE28">
        <v>28.9009</v>
      </c>
      <c r="BF28">
        <v>0</v>
      </c>
      <c r="BG28">
        <v>0</v>
      </c>
      <c r="BH28">
        <v>10020.6</v>
      </c>
      <c r="BI28">
        <v>1074.69</v>
      </c>
      <c r="BJ28">
        <v>2.0183800000000001</v>
      </c>
      <c r="BK28">
        <v>-4.33087</v>
      </c>
      <c r="BL28">
        <v>803.10900000000004</v>
      </c>
      <c r="BM28">
        <v>804.89700000000005</v>
      </c>
      <c r="BN28">
        <v>3.1787899999999998</v>
      </c>
      <c r="BO28">
        <v>799.97900000000004</v>
      </c>
      <c r="BP28">
        <v>6.1108099999999999</v>
      </c>
      <c r="BQ28">
        <v>0.92060900000000001</v>
      </c>
      <c r="BR28">
        <v>0.60558800000000002</v>
      </c>
      <c r="BS28">
        <v>5.7169999999999996</v>
      </c>
      <c r="BT28">
        <v>-0.181954</v>
      </c>
      <c r="BU28">
        <v>1799.95</v>
      </c>
      <c r="BV28">
        <v>0.91000599999999998</v>
      </c>
      <c r="BW28">
        <v>3.3996499999999999E-2</v>
      </c>
      <c r="BX28">
        <v>2.1997300000000001E-2</v>
      </c>
      <c r="BY28">
        <v>3.4000299999999997E-2</v>
      </c>
      <c r="BZ28">
        <v>26</v>
      </c>
      <c r="CA28">
        <v>33527.599999999999</v>
      </c>
      <c r="CB28">
        <v>1690211922</v>
      </c>
      <c r="CC28" t="s">
        <v>332</v>
      </c>
      <c r="CD28">
        <v>1690211915</v>
      </c>
      <c r="CE28">
        <v>1690211922</v>
      </c>
      <c r="CF28">
        <v>6</v>
      </c>
      <c r="CG28">
        <v>1.0999999999999999E-2</v>
      </c>
      <c r="CH28">
        <v>8.0000000000000002E-3</v>
      </c>
      <c r="CI28">
        <v>-0.51100000000000001</v>
      </c>
      <c r="CJ28">
        <v>-6.6000000000000003E-2</v>
      </c>
      <c r="CK28">
        <v>800</v>
      </c>
      <c r="CL28">
        <v>6</v>
      </c>
      <c r="CM28">
        <v>0.21</v>
      </c>
      <c r="CN28">
        <v>0.02</v>
      </c>
      <c r="CO28">
        <v>-1.2375687275</v>
      </c>
      <c r="CP28">
        <v>-16.81535650243902</v>
      </c>
      <c r="CQ28">
        <v>1.618466914562084</v>
      </c>
      <c r="CR28">
        <v>-1</v>
      </c>
      <c r="CS28">
        <v>3.16900775</v>
      </c>
      <c r="CT28">
        <v>3.355440900562804E-2</v>
      </c>
      <c r="CU28">
        <v>3.3046539058576448E-3</v>
      </c>
      <c r="CV28">
        <v>-1</v>
      </c>
      <c r="CW28">
        <v>0</v>
      </c>
      <c r="CX28">
        <v>0</v>
      </c>
      <c r="CY28" t="s">
        <v>333</v>
      </c>
      <c r="CZ28">
        <v>2.3641299999999998</v>
      </c>
      <c r="DA28">
        <v>2.7137199999999999</v>
      </c>
      <c r="DB28">
        <v>0.14596200000000001</v>
      </c>
      <c r="DC28">
        <v>0.14606</v>
      </c>
      <c r="DD28">
        <v>5.6904900000000001E-2</v>
      </c>
      <c r="DE28">
        <v>4.0034E-2</v>
      </c>
      <c r="DF28">
        <v>31160.7</v>
      </c>
      <c r="DG28">
        <v>27485</v>
      </c>
      <c r="DH28">
        <v>31149.7</v>
      </c>
      <c r="DI28">
        <v>28046.799999999999</v>
      </c>
      <c r="DJ28">
        <v>39900.1</v>
      </c>
      <c r="DK28">
        <v>38280.699999999997</v>
      </c>
      <c r="DL28">
        <v>44325.4</v>
      </c>
      <c r="DM28">
        <v>42501.1</v>
      </c>
      <c r="DN28">
        <v>1.3672200000000001</v>
      </c>
      <c r="DO28">
        <v>2.0325799999999998</v>
      </c>
      <c r="DP28">
        <v>5.9835600000000003E-2</v>
      </c>
      <c r="DQ28">
        <v>0.18376100000000001</v>
      </c>
      <c r="DR28">
        <v>25.951499999999999</v>
      </c>
      <c r="DS28">
        <v>25.897600000000001</v>
      </c>
      <c r="DT28">
        <v>18.2</v>
      </c>
      <c r="DU28">
        <v>29.6</v>
      </c>
      <c r="DV28">
        <v>7.6470399999999996</v>
      </c>
      <c r="DW28">
        <v>62.031199999999998</v>
      </c>
      <c r="DX28">
        <v>36.234000000000002</v>
      </c>
      <c r="DY28">
        <v>1</v>
      </c>
      <c r="DZ28">
        <v>-6.8417199999999997E-2</v>
      </c>
      <c r="EA28">
        <v>2.9276599999999999</v>
      </c>
      <c r="EB28">
        <v>20.1599</v>
      </c>
      <c r="EC28">
        <v>5.2406499999999996</v>
      </c>
      <c r="ED28">
        <v>12.039899999999999</v>
      </c>
      <c r="EE28">
        <v>5.0172499999999998</v>
      </c>
      <c r="EF28">
        <v>3.2879999999999998</v>
      </c>
      <c r="EG28">
        <v>9999</v>
      </c>
      <c r="EH28">
        <v>9999</v>
      </c>
      <c r="EI28">
        <v>9999</v>
      </c>
      <c r="EJ28">
        <v>999.9</v>
      </c>
      <c r="EK28">
        <v>1.8689</v>
      </c>
      <c r="EL28">
        <v>1.8646499999999999</v>
      </c>
      <c r="EM28">
        <v>1.8691899999999999</v>
      </c>
      <c r="EN28">
        <v>1.8672500000000001</v>
      </c>
      <c r="EO28">
        <v>1.8633999999999999</v>
      </c>
      <c r="EP28">
        <v>1.8645499999999999</v>
      </c>
      <c r="EQ28">
        <v>1.87016</v>
      </c>
      <c r="ER28">
        <v>1.8694200000000001</v>
      </c>
      <c r="ES28">
        <v>0</v>
      </c>
      <c r="ET28">
        <v>0</v>
      </c>
      <c r="EU28">
        <v>0</v>
      </c>
      <c r="EV28">
        <v>0</v>
      </c>
      <c r="EW28" t="s">
        <v>334</v>
      </c>
      <c r="EX28" t="s">
        <v>335</v>
      </c>
      <c r="EY28" t="s">
        <v>336</v>
      </c>
      <c r="EZ28" t="s">
        <v>336</v>
      </c>
      <c r="FA28" t="s">
        <v>336</v>
      </c>
      <c r="FB28" t="s">
        <v>336</v>
      </c>
      <c r="FC28">
        <v>0</v>
      </c>
      <c r="FD28">
        <v>100</v>
      </c>
      <c r="FE28">
        <v>100</v>
      </c>
      <c r="FF28">
        <v>-0.50800000000000001</v>
      </c>
      <c r="FG28">
        <v>-3.7999999999999999E-2</v>
      </c>
      <c r="FH28">
        <v>4.0020685143421282E-2</v>
      </c>
      <c r="FI28">
        <v>-6.1462078757559423E-4</v>
      </c>
      <c r="FJ28">
        <v>-1.8861989874597051E-7</v>
      </c>
      <c r="FK28">
        <v>1.1980462299894961E-10</v>
      </c>
      <c r="FL28">
        <v>-3.1035565592992288E-2</v>
      </c>
      <c r="FM28">
        <v>-1.6848085045870601E-2</v>
      </c>
      <c r="FN28">
        <v>1.9789084769509481E-3</v>
      </c>
      <c r="FO28">
        <v>-2.7142391389806329E-5</v>
      </c>
      <c r="FP28">
        <v>3</v>
      </c>
      <c r="FQ28">
        <v>2158</v>
      </c>
      <c r="FR28">
        <v>1</v>
      </c>
      <c r="FS28">
        <v>19</v>
      </c>
      <c r="FT28">
        <v>10.199999999999999</v>
      </c>
      <c r="FU28">
        <v>10.1</v>
      </c>
      <c r="FV28">
        <v>1.77979</v>
      </c>
      <c r="FW28">
        <v>2.5830099999999998</v>
      </c>
      <c r="FX28">
        <v>1.5490699999999999</v>
      </c>
      <c r="FY28">
        <v>2.3290999999999999</v>
      </c>
      <c r="FZ28">
        <v>1.50146</v>
      </c>
      <c r="GA28">
        <v>2.3156699999999999</v>
      </c>
      <c r="GB28">
        <v>33.715499999999999</v>
      </c>
      <c r="GC28">
        <v>23.973700000000001</v>
      </c>
      <c r="GD28">
        <v>19</v>
      </c>
      <c r="GE28">
        <v>239.834</v>
      </c>
      <c r="GF28">
        <v>582.125</v>
      </c>
      <c r="GG28">
        <v>21.960999999999999</v>
      </c>
      <c r="GH28">
        <v>26.484500000000001</v>
      </c>
      <c r="GI28">
        <v>29.998000000000001</v>
      </c>
      <c r="GJ28">
        <v>26.5549</v>
      </c>
      <c r="GK28">
        <v>26.524699999999999</v>
      </c>
      <c r="GL28">
        <v>35.5944</v>
      </c>
      <c r="GM28">
        <v>-30</v>
      </c>
      <c r="GN28">
        <v>-30</v>
      </c>
      <c r="GO28">
        <v>22.097899999999999</v>
      </c>
      <c r="GP28">
        <v>800</v>
      </c>
      <c r="GQ28">
        <v>12.5298</v>
      </c>
      <c r="GR28">
        <v>99.661100000000005</v>
      </c>
      <c r="GS28">
        <v>99.432299999999998</v>
      </c>
    </row>
    <row r="29" spans="1:201" x14ac:dyDescent="0.25">
      <c r="A29">
        <v>13</v>
      </c>
      <c r="B29">
        <v>1690212535.5999999</v>
      </c>
      <c r="C29">
        <v>268.09999990463263</v>
      </c>
      <c r="D29" t="s">
        <v>357</v>
      </c>
      <c r="E29" t="s">
        <v>358</v>
      </c>
      <c r="F29" t="s">
        <v>330</v>
      </c>
      <c r="H29">
        <v>1690212535.5999999</v>
      </c>
      <c r="I29">
        <f t="shared" si="0"/>
        <v>2.8202544905575237E-4</v>
      </c>
      <c r="J29">
        <f t="shared" si="1"/>
        <v>0.28202544905575239</v>
      </c>
      <c r="K29">
        <f t="shared" si="2"/>
        <v>0.35547952274523886</v>
      </c>
      <c r="L29">
        <f t="shared" si="3"/>
        <v>793.35</v>
      </c>
      <c r="M29">
        <f t="shared" si="4"/>
        <v>689.82289896748216</v>
      </c>
      <c r="N29">
        <f t="shared" si="5"/>
        <v>68.432433443627048</v>
      </c>
      <c r="O29">
        <f t="shared" si="6"/>
        <v>78.702622301700018</v>
      </c>
      <c r="P29">
        <f t="shared" si="7"/>
        <v>8.744286259790908E-3</v>
      </c>
      <c r="Q29">
        <f t="shared" si="8"/>
        <v>2.0098629267610857</v>
      </c>
      <c r="R29">
        <f t="shared" si="9"/>
        <v>8.7232059143451061E-3</v>
      </c>
      <c r="S29">
        <f t="shared" si="10"/>
        <v>5.4538934109359784E-3</v>
      </c>
      <c r="T29">
        <f t="shared" si="11"/>
        <v>276.1111445988912</v>
      </c>
      <c r="U29">
        <f t="shared" si="12"/>
        <v>29.1275038748607</v>
      </c>
      <c r="V29">
        <f t="shared" si="13"/>
        <v>29.1275038748607</v>
      </c>
      <c r="W29">
        <f t="shared" si="14"/>
        <v>4.0515413328574095</v>
      </c>
      <c r="X29">
        <f t="shared" si="15"/>
        <v>25.942456905917162</v>
      </c>
      <c r="Y29">
        <f t="shared" si="16"/>
        <v>0.92470596258672011</v>
      </c>
      <c r="Z29">
        <f t="shared" si="17"/>
        <v>3.5644502212733982</v>
      </c>
      <c r="AA29">
        <f t="shared" si="18"/>
        <v>3.1268353702706895</v>
      </c>
      <c r="AB29">
        <f t="shared" si="19"/>
        <v>-12.437322303358679</v>
      </c>
      <c r="AC29">
        <f t="shared" si="20"/>
        <v>-238.12297234769821</v>
      </c>
      <c r="AD29">
        <f t="shared" si="21"/>
        <v>-25.833043030168479</v>
      </c>
      <c r="AE29">
        <f t="shared" si="22"/>
        <v>-0.28219308233417451</v>
      </c>
      <c r="AF29">
        <v>39</v>
      </c>
      <c r="AG29">
        <v>13</v>
      </c>
      <c r="AH29">
        <f t="shared" si="23"/>
        <v>1</v>
      </c>
      <c r="AI29">
        <f t="shared" si="24"/>
        <v>0</v>
      </c>
      <c r="AJ29">
        <f t="shared" si="25"/>
        <v>52308.195296539292</v>
      </c>
      <c r="AK29">
        <f t="shared" si="26"/>
        <v>1799.97</v>
      </c>
      <c r="AL29">
        <f t="shared" si="27"/>
        <v>1499.0889065684701</v>
      </c>
      <c r="AM29">
        <f t="shared" si="28"/>
        <v>0.83284105100000005</v>
      </c>
      <c r="AN29">
        <f t="shared" si="29"/>
        <v>0.15339763696</v>
      </c>
      <c r="AO29">
        <v>34.5</v>
      </c>
      <c r="AP29">
        <v>0.5</v>
      </c>
      <c r="AQ29" t="s">
        <v>331</v>
      </c>
      <c r="AR29">
        <v>2</v>
      </c>
      <c r="AS29">
        <v>1690212535.5999999</v>
      </c>
      <c r="AT29">
        <v>793.35</v>
      </c>
      <c r="AU29">
        <v>800.00599999999997</v>
      </c>
      <c r="AV29">
        <v>9.3213600000000003</v>
      </c>
      <c r="AW29">
        <v>6.1107500000000003</v>
      </c>
      <c r="AX29">
        <v>793.85699999999997</v>
      </c>
      <c r="AY29">
        <v>9.3589900000000004</v>
      </c>
      <c r="AZ29">
        <v>300.22899999999998</v>
      </c>
      <c r="BA29">
        <v>99.102900000000005</v>
      </c>
      <c r="BB29">
        <v>0.10000199999999999</v>
      </c>
      <c r="BC29">
        <v>26.9299</v>
      </c>
      <c r="BD29">
        <v>26.8812</v>
      </c>
      <c r="BE29">
        <v>28.788799999999998</v>
      </c>
      <c r="BF29">
        <v>0</v>
      </c>
      <c r="BG29">
        <v>0</v>
      </c>
      <c r="BH29">
        <v>9978.75</v>
      </c>
      <c r="BI29">
        <v>1074.3599999999999</v>
      </c>
      <c r="BJ29">
        <v>2.0744500000000001</v>
      </c>
      <c r="BK29">
        <v>-6.6563100000000004</v>
      </c>
      <c r="BL29">
        <v>800.81399999999996</v>
      </c>
      <c r="BM29">
        <v>804.92499999999995</v>
      </c>
      <c r="BN29">
        <v>3.21061</v>
      </c>
      <c r="BO29">
        <v>800.00599999999997</v>
      </c>
      <c r="BP29">
        <v>6.1107500000000003</v>
      </c>
      <c r="BQ29">
        <v>0.92377299999999996</v>
      </c>
      <c r="BR29">
        <v>0.60559300000000005</v>
      </c>
      <c r="BS29">
        <v>5.7665199999999999</v>
      </c>
      <c r="BT29">
        <v>-0.181838</v>
      </c>
      <c r="BU29">
        <v>1799.97</v>
      </c>
      <c r="BV29">
        <v>0.91000700000000001</v>
      </c>
      <c r="BW29">
        <v>3.40004E-2</v>
      </c>
      <c r="BX29">
        <v>2.2004300000000001E-2</v>
      </c>
      <c r="BY29">
        <v>3.3988200000000003E-2</v>
      </c>
      <c r="BZ29">
        <v>26</v>
      </c>
      <c r="CA29">
        <v>33527.800000000003</v>
      </c>
      <c r="CB29">
        <v>1690211922</v>
      </c>
      <c r="CC29" t="s">
        <v>332</v>
      </c>
      <c r="CD29">
        <v>1690211915</v>
      </c>
      <c r="CE29">
        <v>1690211922</v>
      </c>
      <c r="CF29">
        <v>6</v>
      </c>
      <c r="CG29">
        <v>1.0999999999999999E-2</v>
      </c>
      <c r="CH29">
        <v>8.0000000000000002E-3</v>
      </c>
      <c r="CI29">
        <v>-0.51100000000000001</v>
      </c>
      <c r="CJ29">
        <v>-6.6000000000000003E-2</v>
      </c>
      <c r="CK29">
        <v>800</v>
      </c>
      <c r="CL29">
        <v>6</v>
      </c>
      <c r="CM29">
        <v>0.21</v>
      </c>
      <c r="CN29">
        <v>0.02</v>
      </c>
      <c r="CO29">
        <v>-4.0033482926829276</v>
      </c>
      <c r="CP29">
        <v>-15.29566432055749</v>
      </c>
      <c r="CQ29">
        <v>1.5097315272508329</v>
      </c>
      <c r="CR29">
        <v>-1</v>
      </c>
      <c r="CS29">
        <v>3.1787700000000001</v>
      </c>
      <c r="CT29">
        <v>8.3485087108017525E-2</v>
      </c>
      <c r="CU29">
        <v>8.7278284953304624E-3</v>
      </c>
      <c r="CV29">
        <v>-1</v>
      </c>
      <c r="CW29">
        <v>0</v>
      </c>
      <c r="CX29">
        <v>0</v>
      </c>
      <c r="CY29" t="s">
        <v>333</v>
      </c>
      <c r="CZ29">
        <v>2.3643999999999998</v>
      </c>
      <c r="DA29">
        <v>2.7137799999999999</v>
      </c>
      <c r="DB29">
        <v>0.14568200000000001</v>
      </c>
      <c r="DC29">
        <v>0.146065</v>
      </c>
      <c r="DD29">
        <v>5.7054899999999999E-2</v>
      </c>
      <c r="DE29">
        <v>4.0034100000000003E-2</v>
      </c>
      <c r="DF29">
        <v>31170.3</v>
      </c>
      <c r="DG29">
        <v>27484.5</v>
      </c>
      <c r="DH29">
        <v>31149.200000000001</v>
      </c>
      <c r="DI29">
        <v>28046.400000000001</v>
      </c>
      <c r="DJ29">
        <v>39892.9</v>
      </c>
      <c r="DK29">
        <v>38280.300000000003</v>
      </c>
      <c r="DL29">
        <v>44324.6</v>
      </c>
      <c r="DM29">
        <v>42500.6</v>
      </c>
      <c r="DN29">
        <v>1.3709499999999999</v>
      </c>
      <c r="DO29">
        <v>2.0324499999999999</v>
      </c>
      <c r="DP29">
        <v>5.7682400000000002E-2</v>
      </c>
      <c r="DQ29">
        <v>0.17998400000000001</v>
      </c>
      <c r="DR29">
        <v>25.937000000000001</v>
      </c>
      <c r="DS29">
        <v>25.846900000000002</v>
      </c>
      <c r="DT29">
        <v>18.2</v>
      </c>
      <c r="DU29">
        <v>29.6</v>
      </c>
      <c r="DV29">
        <v>7.6447200000000004</v>
      </c>
      <c r="DW29">
        <v>62.261200000000002</v>
      </c>
      <c r="DX29">
        <v>36.402200000000001</v>
      </c>
      <c r="DY29">
        <v>1</v>
      </c>
      <c r="DZ29">
        <v>-6.0576699999999997E-2</v>
      </c>
      <c r="EA29">
        <v>-6.6630399999999996</v>
      </c>
      <c r="EB29">
        <v>20.006399999999999</v>
      </c>
      <c r="EC29">
        <v>5.24125</v>
      </c>
      <c r="ED29">
        <v>12.039899999999999</v>
      </c>
      <c r="EE29">
        <v>5.0172999999999996</v>
      </c>
      <c r="EF29">
        <v>3.2879999999999998</v>
      </c>
      <c r="EG29">
        <v>9999</v>
      </c>
      <c r="EH29">
        <v>9999</v>
      </c>
      <c r="EI29">
        <v>9999</v>
      </c>
      <c r="EJ29">
        <v>999.9</v>
      </c>
      <c r="EK29">
        <v>1.8689</v>
      </c>
      <c r="EL29">
        <v>1.8646400000000001</v>
      </c>
      <c r="EM29">
        <v>1.8691899999999999</v>
      </c>
      <c r="EN29">
        <v>1.86724</v>
      </c>
      <c r="EO29">
        <v>1.8633999999999999</v>
      </c>
      <c r="EP29">
        <v>1.86456</v>
      </c>
      <c r="EQ29">
        <v>1.87015</v>
      </c>
      <c r="ER29">
        <v>1.8694200000000001</v>
      </c>
      <c r="ES29">
        <v>0</v>
      </c>
      <c r="ET29">
        <v>0</v>
      </c>
      <c r="EU29">
        <v>0</v>
      </c>
      <c r="EV29">
        <v>0</v>
      </c>
      <c r="EW29" t="s">
        <v>334</v>
      </c>
      <c r="EX29" t="s">
        <v>335</v>
      </c>
      <c r="EY29" t="s">
        <v>336</v>
      </c>
      <c r="EZ29" t="s">
        <v>336</v>
      </c>
      <c r="FA29" t="s">
        <v>336</v>
      </c>
      <c r="FB29" t="s">
        <v>336</v>
      </c>
      <c r="FC29">
        <v>0</v>
      </c>
      <c r="FD29">
        <v>100</v>
      </c>
      <c r="FE29">
        <v>100</v>
      </c>
      <c r="FF29">
        <v>-0.50700000000000001</v>
      </c>
      <c r="FG29">
        <v>-3.7600000000000001E-2</v>
      </c>
      <c r="FH29">
        <v>4.0020685143421282E-2</v>
      </c>
      <c r="FI29">
        <v>-6.1462078757559423E-4</v>
      </c>
      <c r="FJ29">
        <v>-1.8861989874597051E-7</v>
      </c>
      <c r="FK29">
        <v>1.1980462299894961E-10</v>
      </c>
      <c r="FL29">
        <v>-3.1035565592992288E-2</v>
      </c>
      <c r="FM29">
        <v>-1.6848085045870601E-2</v>
      </c>
      <c r="FN29">
        <v>1.9789084769509481E-3</v>
      </c>
      <c r="FO29">
        <v>-2.7142391389806329E-5</v>
      </c>
      <c r="FP29">
        <v>3</v>
      </c>
      <c r="FQ29">
        <v>2158</v>
      </c>
      <c r="FR29">
        <v>1</v>
      </c>
      <c r="FS29">
        <v>19</v>
      </c>
      <c r="FT29">
        <v>10.3</v>
      </c>
      <c r="FU29">
        <v>10.199999999999999</v>
      </c>
      <c r="FV29">
        <v>1.77979</v>
      </c>
      <c r="FW29">
        <v>2.5830099999999998</v>
      </c>
      <c r="FX29">
        <v>1.5490699999999999</v>
      </c>
      <c r="FY29">
        <v>2.3290999999999999</v>
      </c>
      <c r="FZ29">
        <v>1.50146</v>
      </c>
      <c r="GA29">
        <v>2.2802699999999998</v>
      </c>
      <c r="GB29">
        <v>33.715499999999999</v>
      </c>
      <c r="GC29">
        <v>23.921099999999999</v>
      </c>
      <c r="GD29">
        <v>19</v>
      </c>
      <c r="GE29">
        <v>241.262</v>
      </c>
      <c r="GF29">
        <v>582.04700000000003</v>
      </c>
      <c r="GG29">
        <v>24.665600000000001</v>
      </c>
      <c r="GH29">
        <v>26.493500000000001</v>
      </c>
      <c r="GI29">
        <v>30.004300000000001</v>
      </c>
      <c r="GJ29">
        <v>26.558399999999999</v>
      </c>
      <c r="GK29">
        <v>26.526900000000001</v>
      </c>
      <c r="GL29">
        <v>35.5959</v>
      </c>
      <c r="GM29">
        <v>-30</v>
      </c>
      <c r="GN29">
        <v>-30</v>
      </c>
      <c r="GO29">
        <v>25.284199999999998</v>
      </c>
      <c r="GP29">
        <v>800</v>
      </c>
      <c r="GQ29">
        <v>12.5298</v>
      </c>
      <c r="GR29">
        <v>99.659199999999998</v>
      </c>
      <c r="GS29">
        <v>99.431200000000004</v>
      </c>
    </row>
    <row r="30" spans="1:201" x14ac:dyDescent="0.25">
      <c r="A30">
        <v>14</v>
      </c>
      <c r="B30">
        <v>1690212545.5999999</v>
      </c>
      <c r="C30">
        <v>278.09999990463263</v>
      </c>
      <c r="D30" t="s">
        <v>359</v>
      </c>
      <c r="E30" t="s">
        <v>360</v>
      </c>
      <c r="F30" t="s">
        <v>330</v>
      </c>
      <c r="H30">
        <v>1690212545.5999999</v>
      </c>
      <c r="I30">
        <f t="shared" si="0"/>
        <v>2.9062748328567928E-4</v>
      </c>
      <c r="J30">
        <f t="shared" si="1"/>
        <v>0.29062748328567928</v>
      </c>
      <c r="K30">
        <f t="shared" si="2"/>
        <v>0.53893321249600057</v>
      </c>
      <c r="L30">
        <f t="shared" si="3"/>
        <v>791.15700000000004</v>
      </c>
      <c r="M30">
        <f t="shared" si="4"/>
        <v>655.93575491710692</v>
      </c>
      <c r="N30">
        <f t="shared" si="5"/>
        <v>65.069774059007102</v>
      </c>
      <c r="O30">
        <f t="shared" si="6"/>
        <v>78.483916830707997</v>
      </c>
      <c r="P30">
        <f t="shared" si="7"/>
        <v>8.8836782247322717E-3</v>
      </c>
      <c r="Q30">
        <f t="shared" si="8"/>
        <v>2.0123350103711606</v>
      </c>
      <c r="R30">
        <f t="shared" si="9"/>
        <v>8.8619480020563843E-3</v>
      </c>
      <c r="S30">
        <f t="shared" si="10"/>
        <v>5.5406654091815725E-3</v>
      </c>
      <c r="T30">
        <f t="shared" si="11"/>
        <v>276.11288805693317</v>
      </c>
      <c r="U30">
        <f t="shared" si="12"/>
        <v>29.354427060773251</v>
      </c>
      <c r="V30">
        <f t="shared" si="13"/>
        <v>29.354427060773251</v>
      </c>
      <c r="W30">
        <f t="shared" si="14"/>
        <v>4.1049969481488056</v>
      </c>
      <c r="X30">
        <f t="shared" si="15"/>
        <v>25.856006729976315</v>
      </c>
      <c r="Y30">
        <f t="shared" si="16"/>
        <v>0.93431888016959996</v>
      </c>
      <c r="Z30">
        <f t="shared" si="17"/>
        <v>3.6135467086121689</v>
      </c>
      <c r="AA30">
        <f t="shared" si="18"/>
        <v>3.1706780679792055</v>
      </c>
      <c r="AB30">
        <f t="shared" si="19"/>
        <v>-12.816672012898456</v>
      </c>
      <c r="AC30">
        <f t="shared" si="20"/>
        <v>-237.75659042728</v>
      </c>
      <c r="AD30">
        <f t="shared" si="21"/>
        <v>-25.820691553275289</v>
      </c>
      <c r="AE30">
        <f t="shared" si="22"/>
        <v>-0.28106593652057654</v>
      </c>
      <c r="AF30">
        <v>40</v>
      </c>
      <c r="AG30">
        <v>13</v>
      </c>
      <c r="AH30">
        <f t="shared" si="23"/>
        <v>1</v>
      </c>
      <c r="AI30">
        <f t="shared" si="24"/>
        <v>0</v>
      </c>
      <c r="AJ30">
        <f t="shared" si="25"/>
        <v>52386.136065058599</v>
      </c>
      <c r="AK30">
        <f t="shared" si="26"/>
        <v>1799.98</v>
      </c>
      <c r="AL30">
        <f t="shared" si="27"/>
        <v>1499.0961153914202</v>
      </c>
      <c r="AM30">
        <f t="shared" si="28"/>
        <v>0.8328404290000001</v>
      </c>
      <c r="AN30">
        <f t="shared" si="29"/>
        <v>0.15339775334</v>
      </c>
      <c r="AO30">
        <v>34.5</v>
      </c>
      <c r="AP30">
        <v>0.5</v>
      </c>
      <c r="AQ30" t="s">
        <v>331</v>
      </c>
      <c r="AR30">
        <v>2</v>
      </c>
      <c r="AS30">
        <v>1690212545.5999999</v>
      </c>
      <c r="AT30">
        <v>791.15700000000004</v>
      </c>
      <c r="AU30">
        <v>799.99300000000005</v>
      </c>
      <c r="AV30">
        <v>9.4184000000000001</v>
      </c>
      <c r="AW30">
        <v>6.10989</v>
      </c>
      <c r="AX30">
        <v>791.66200000000003</v>
      </c>
      <c r="AY30">
        <v>9.4547699999999999</v>
      </c>
      <c r="AZ30">
        <v>300.202</v>
      </c>
      <c r="BA30">
        <v>99.101399999999998</v>
      </c>
      <c r="BB30">
        <v>0.10004399999999999</v>
      </c>
      <c r="BC30">
        <v>27.1629</v>
      </c>
      <c r="BD30">
        <v>27.163799999999998</v>
      </c>
      <c r="BE30">
        <v>28.975999999999999</v>
      </c>
      <c r="BF30">
        <v>0</v>
      </c>
      <c r="BG30">
        <v>0</v>
      </c>
      <c r="BH30">
        <v>10002.5</v>
      </c>
      <c r="BI30">
        <v>1074.78</v>
      </c>
      <c r="BJ30">
        <v>2.0183800000000001</v>
      </c>
      <c r="BK30">
        <v>-8.8361199999999993</v>
      </c>
      <c r="BL30">
        <v>798.67899999999997</v>
      </c>
      <c r="BM30">
        <v>804.91099999999994</v>
      </c>
      <c r="BN30">
        <v>3.3085100000000001</v>
      </c>
      <c r="BO30">
        <v>799.99300000000005</v>
      </c>
      <c r="BP30">
        <v>6.10989</v>
      </c>
      <c r="BQ30">
        <v>0.93337599999999998</v>
      </c>
      <c r="BR30">
        <v>0.60549799999999998</v>
      </c>
      <c r="BS30">
        <v>5.9158900000000001</v>
      </c>
      <c r="BT30">
        <v>-0.18398900000000001</v>
      </c>
      <c r="BU30">
        <v>1799.98</v>
      </c>
      <c r="BV30">
        <v>0.90999300000000005</v>
      </c>
      <c r="BW30">
        <v>3.3991599999999997E-2</v>
      </c>
      <c r="BX30">
        <v>2.2004699999999999E-2</v>
      </c>
      <c r="BY30">
        <v>3.4010800000000001E-2</v>
      </c>
      <c r="BZ30">
        <v>26</v>
      </c>
      <c r="CA30">
        <v>33528</v>
      </c>
      <c r="CB30">
        <v>1690211922</v>
      </c>
      <c r="CC30" t="s">
        <v>332</v>
      </c>
      <c r="CD30">
        <v>1690211915</v>
      </c>
      <c r="CE30">
        <v>1690211922</v>
      </c>
      <c r="CF30">
        <v>6</v>
      </c>
      <c r="CG30">
        <v>1.0999999999999999E-2</v>
      </c>
      <c r="CH30">
        <v>8.0000000000000002E-3</v>
      </c>
      <c r="CI30">
        <v>-0.51100000000000001</v>
      </c>
      <c r="CJ30">
        <v>-6.6000000000000003E-2</v>
      </c>
      <c r="CK30">
        <v>800</v>
      </c>
      <c r="CL30">
        <v>6</v>
      </c>
      <c r="CM30">
        <v>0.21</v>
      </c>
      <c r="CN30">
        <v>0.02</v>
      </c>
      <c r="CO30">
        <v>-6.4179143902439044</v>
      </c>
      <c r="CP30">
        <v>-13.50791602787457</v>
      </c>
      <c r="CQ30">
        <v>1.332708708412415</v>
      </c>
      <c r="CR30">
        <v>-1</v>
      </c>
      <c r="CS30">
        <v>3.2177856097560982</v>
      </c>
      <c r="CT30">
        <v>0.37755491289199428</v>
      </c>
      <c r="CU30">
        <v>3.8979150464955759E-2</v>
      </c>
      <c r="CV30">
        <v>-1</v>
      </c>
      <c r="CW30">
        <v>0</v>
      </c>
      <c r="CX30">
        <v>0</v>
      </c>
      <c r="CY30" t="s">
        <v>333</v>
      </c>
      <c r="CZ30">
        <v>2.3643200000000002</v>
      </c>
      <c r="DA30">
        <v>2.7138399999999998</v>
      </c>
      <c r="DB30">
        <v>0.14541100000000001</v>
      </c>
      <c r="DC30">
        <v>0.14606</v>
      </c>
      <c r="DD30">
        <v>5.7508900000000002E-2</v>
      </c>
      <c r="DE30">
        <v>4.0028599999999998E-2</v>
      </c>
      <c r="DF30">
        <v>31179.1</v>
      </c>
      <c r="DG30">
        <v>27483.7</v>
      </c>
      <c r="DH30">
        <v>31148.1</v>
      </c>
      <c r="DI30">
        <v>28045.599999999999</v>
      </c>
      <c r="DJ30">
        <v>39872.1</v>
      </c>
      <c r="DK30">
        <v>38279.4</v>
      </c>
      <c r="DL30">
        <v>44322.9</v>
      </c>
      <c r="DM30">
        <v>42499.4</v>
      </c>
      <c r="DN30">
        <v>1.3695999999999999</v>
      </c>
      <c r="DO30">
        <v>2.0323500000000001</v>
      </c>
      <c r="DP30">
        <v>7.59885E-2</v>
      </c>
      <c r="DQ30">
        <v>0.193827</v>
      </c>
      <c r="DR30">
        <v>25.920200000000001</v>
      </c>
      <c r="DS30">
        <v>25.808199999999999</v>
      </c>
      <c r="DT30">
        <v>18.2</v>
      </c>
      <c r="DU30">
        <v>29.6</v>
      </c>
      <c r="DV30">
        <v>7.6465199999999998</v>
      </c>
      <c r="DW30">
        <v>61.831200000000003</v>
      </c>
      <c r="DX30">
        <v>36.598599999999998</v>
      </c>
      <c r="DY30">
        <v>1</v>
      </c>
      <c r="DZ30">
        <v>-7.1631100000000003E-2</v>
      </c>
      <c r="EA30">
        <v>-0.75339</v>
      </c>
      <c r="EB30">
        <v>20.184999999999999</v>
      </c>
      <c r="EC30">
        <v>5.24125</v>
      </c>
      <c r="ED30">
        <v>12.039899999999999</v>
      </c>
      <c r="EE30">
        <v>5.0174000000000003</v>
      </c>
      <c r="EF30">
        <v>3.2879999999999998</v>
      </c>
      <c r="EG30">
        <v>9999</v>
      </c>
      <c r="EH30">
        <v>9999</v>
      </c>
      <c r="EI30">
        <v>9999</v>
      </c>
      <c r="EJ30">
        <v>999.9</v>
      </c>
      <c r="EK30">
        <v>1.86893</v>
      </c>
      <c r="EL30">
        <v>1.86469</v>
      </c>
      <c r="EM30">
        <v>1.8692</v>
      </c>
      <c r="EN30">
        <v>1.8673</v>
      </c>
      <c r="EO30">
        <v>1.8633999999999999</v>
      </c>
      <c r="EP30">
        <v>1.8645799999999999</v>
      </c>
      <c r="EQ30">
        <v>1.87019</v>
      </c>
      <c r="ER30">
        <v>1.86947</v>
      </c>
      <c r="ES30">
        <v>0</v>
      </c>
      <c r="ET30">
        <v>0</v>
      </c>
      <c r="EU30">
        <v>0</v>
      </c>
      <c r="EV30">
        <v>0</v>
      </c>
      <c r="EW30" t="s">
        <v>334</v>
      </c>
      <c r="EX30" t="s">
        <v>335</v>
      </c>
      <c r="EY30" t="s">
        <v>336</v>
      </c>
      <c r="EZ30" t="s">
        <v>336</v>
      </c>
      <c r="FA30" t="s">
        <v>336</v>
      </c>
      <c r="FB30" t="s">
        <v>336</v>
      </c>
      <c r="FC30">
        <v>0</v>
      </c>
      <c r="FD30">
        <v>100</v>
      </c>
      <c r="FE30">
        <v>100</v>
      </c>
      <c r="FF30">
        <v>-0.505</v>
      </c>
      <c r="FG30">
        <v>-3.6400000000000002E-2</v>
      </c>
      <c r="FH30">
        <v>4.0020685143421282E-2</v>
      </c>
      <c r="FI30">
        <v>-6.1462078757559423E-4</v>
      </c>
      <c r="FJ30">
        <v>-1.8861989874597051E-7</v>
      </c>
      <c r="FK30">
        <v>1.1980462299894961E-10</v>
      </c>
      <c r="FL30">
        <v>-3.1035565592992288E-2</v>
      </c>
      <c r="FM30">
        <v>-1.6848085045870601E-2</v>
      </c>
      <c r="FN30">
        <v>1.9789084769509481E-3</v>
      </c>
      <c r="FO30">
        <v>-2.7142391389806329E-5</v>
      </c>
      <c r="FP30">
        <v>3</v>
      </c>
      <c r="FQ30">
        <v>2158</v>
      </c>
      <c r="FR30">
        <v>1</v>
      </c>
      <c r="FS30">
        <v>19</v>
      </c>
      <c r="FT30">
        <v>10.5</v>
      </c>
      <c r="FU30">
        <v>10.4</v>
      </c>
      <c r="FV30">
        <v>1.77979</v>
      </c>
      <c r="FW30">
        <v>2.5732400000000002</v>
      </c>
      <c r="FX30">
        <v>1.5490699999999999</v>
      </c>
      <c r="FY30">
        <v>2.3290999999999999</v>
      </c>
      <c r="FZ30">
        <v>1.50146</v>
      </c>
      <c r="GA30">
        <v>2.3168899999999999</v>
      </c>
      <c r="GB30">
        <v>33.715499999999999</v>
      </c>
      <c r="GC30">
        <v>23.982399999999998</v>
      </c>
      <c r="GD30">
        <v>19</v>
      </c>
      <c r="GE30">
        <v>240.76599999999999</v>
      </c>
      <c r="GF30">
        <v>582.00199999999995</v>
      </c>
      <c r="GG30">
        <v>25.9483</v>
      </c>
      <c r="GH30">
        <v>26.501799999999999</v>
      </c>
      <c r="GI30">
        <v>29.9955</v>
      </c>
      <c r="GJ30">
        <v>26.563500000000001</v>
      </c>
      <c r="GK30">
        <v>26.5303</v>
      </c>
      <c r="GL30">
        <v>35.591999999999999</v>
      </c>
      <c r="GM30">
        <v>-30</v>
      </c>
      <c r="GN30">
        <v>-30</v>
      </c>
      <c r="GO30">
        <v>25.605899999999998</v>
      </c>
      <c r="GP30">
        <v>800</v>
      </c>
      <c r="GQ30">
        <v>12.5298</v>
      </c>
      <c r="GR30">
        <v>99.655600000000007</v>
      </c>
      <c r="GS30">
        <v>99.428200000000004</v>
      </c>
    </row>
    <row r="31" spans="1:201" x14ac:dyDescent="0.25">
      <c r="A31">
        <v>15</v>
      </c>
      <c r="B31">
        <v>1690212555.5999999</v>
      </c>
      <c r="C31">
        <v>288.09999990463263</v>
      </c>
      <c r="D31" t="s">
        <v>361</v>
      </c>
      <c r="E31" t="s">
        <v>362</v>
      </c>
      <c r="F31" t="s">
        <v>330</v>
      </c>
      <c r="H31">
        <v>1690212555.5999999</v>
      </c>
      <c r="I31">
        <f t="shared" si="0"/>
        <v>2.9972684115484201E-4</v>
      </c>
      <c r="J31">
        <f t="shared" si="1"/>
        <v>0.29972684115484199</v>
      </c>
      <c r="K31">
        <f t="shared" si="2"/>
        <v>0.74287143357492813</v>
      </c>
      <c r="L31">
        <f t="shared" si="3"/>
        <v>788.69100000000003</v>
      </c>
      <c r="M31">
        <f t="shared" si="4"/>
        <v>621.04566762115292</v>
      </c>
      <c r="N31">
        <f t="shared" si="5"/>
        <v>61.608843825004982</v>
      </c>
      <c r="O31">
        <f t="shared" si="6"/>
        <v>78.239561401832106</v>
      </c>
      <c r="P31">
        <f t="shared" si="7"/>
        <v>9.1259196176546355E-3</v>
      </c>
      <c r="Q31">
        <f t="shared" si="8"/>
        <v>2.0110955036432605</v>
      </c>
      <c r="R31">
        <f t="shared" si="9"/>
        <v>9.1029757091505535E-3</v>
      </c>
      <c r="S31">
        <f t="shared" si="10"/>
        <v>5.6914163917303265E-3</v>
      </c>
      <c r="T31">
        <f t="shared" si="11"/>
        <v>276.11083714601551</v>
      </c>
      <c r="U31">
        <f t="shared" si="12"/>
        <v>29.448782292900756</v>
      </c>
      <c r="V31">
        <f t="shared" si="13"/>
        <v>29.448782292900756</v>
      </c>
      <c r="W31">
        <f t="shared" si="14"/>
        <v>4.1274042704337353</v>
      </c>
      <c r="X31">
        <f t="shared" si="15"/>
        <v>25.991660973621546</v>
      </c>
      <c r="Y31">
        <f t="shared" si="16"/>
        <v>0.94456177721682211</v>
      </c>
      <c r="Z31">
        <f t="shared" si="17"/>
        <v>3.6340954822988816</v>
      </c>
      <c r="AA31">
        <f t="shared" si="18"/>
        <v>3.182842493216913</v>
      </c>
      <c r="AB31">
        <f t="shared" si="19"/>
        <v>-13.217953694928532</v>
      </c>
      <c r="AC31">
        <f t="shared" si="20"/>
        <v>-237.35591834844047</v>
      </c>
      <c r="AD31">
        <f t="shared" si="21"/>
        <v>-25.817608761038883</v>
      </c>
      <c r="AE31">
        <f t="shared" si="22"/>
        <v>-0.28064365839236416</v>
      </c>
      <c r="AF31">
        <v>40</v>
      </c>
      <c r="AG31">
        <v>13</v>
      </c>
      <c r="AH31">
        <f t="shared" si="23"/>
        <v>1</v>
      </c>
      <c r="AI31">
        <f t="shared" si="24"/>
        <v>0</v>
      </c>
      <c r="AJ31">
        <f t="shared" si="25"/>
        <v>52309.812511486947</v>
      </c>
      <c r="AK31">
        <f t="shared" si="26"/>
        <v>1799.97</v>
      </c>
      <c r="AL31">
        <f t="shared" si="27"/>
        <v>1499.0853138283501</v>
      </c>
      <c r="AM31">
        <f t="shared" si="28"/>
        <v>0.83283905499999999</v>
      </c>
      <c r="AN31">
        <f t="shared" si="29"/>
        <v>0.15339746614999999</v>
      </c>
      <c r="AO31">
        <v>34.5</v>
      </c>
      <c r="AP31">
        <v>0.5</v>
      </c>
      <c r="AQ31" t="s">
        <v>331</v>
      </c>
      <c r="AR31">
        <v>2</v>
      </c>
      <c r="AS31">
        <v>1690212555.5999999</v>
      </c>
      <c r="AT31">
        <v>788.69100000000003</v>
      </c>
      <c r="AU31">
        <v>799.94600000000003</v>
      </c>
      <c r="AV31">
        <v>9.5216200000000004</v>
      </c>
      <c r="AW31">
        <v>6.1095600000000001</v>
      </c>
      <c r="AX31">
        <v>789.19399999999996</v>
      </c>
      <c r="AY31">
        <v>9.5566300000000002</v>
      </c>
      <c r="AZ31">
        <v>300.17399999999998</v>
      </c>
      <c r="BA31">
        <v>99.101799999999997</v>
      </c>
      <c r="BB31">
        <v>9.9993100000000001E-2</v>
      </c>
      <c r="BC31">
        <v>27.259599999999999</v>
      </c>
      <c r="BD31">
        <v>27.299900000000001</v>
      </c>
      <c r="BE31">
        <v>29.167899999999999</v>
      </c>
      <c r="BF31">
        <v>0</v>
      </c>
      <c r="BG31">
        <v>0</v>
      </c>
      <c r="BH31">
        <v>9990.6200000000008</v>
      </c>
      <c r="BI31">
        <v>1075.32</v>
      </c>
      <c r="BJ31">
        <v>2.0183800000000001</v>
      </c>
      <c r="BK31">
        <v>-11.255599999999999</v>
      </c>
      <c r="BL31">
        <v>796.27300000000002</v>
      </c>
      <c r="BM31">
        <v>804.86400000000003</v>
      </c>
      <c r="BN31">
        <v>3.4120599999999999</v>
      </c>
      <c r="BO31">
        <v>799.94600000000003</v>
      </c>
      <c r="BP31">
        <v>6.1095600000000001</v>
      </c>
      <c r="BQ31">
        <v>0.94360999999999995</v>
      </c>
      <c r="BR31">
        <v>0.60546900000000003</v>
      </c>
      <c r="BS31">
        <v>6.0735900000000003</v>
      </c>
      <c r="BT31">
        <v>-0.18465300000000001</v>
      </c>
      <c r="BU31">
        <v>1799.97</v>
      </c>
      <c r="BV31">
        <v>0.90999200000000002</v>
      </c>
      <c r="BW31">
        <v>3.40045E-2</v>
      </c>
      <c r="BX31">
        <v>2.1999999999999999E-2</v>
      </c>
      <c r="BY31">
        <v>3.4003499999999999E-2</v>
      </c>
      <c r="BZ31">
        <v>26</v>
      </c>
      <c r="CA31">
        <v>33527.9</v>
      </c>
      <c r="CB31">
        <v>1690211922</v>
      </c>
      <c r="CC31" t="s">
        <v>332</v>
      </c>
      <c r="CD31">
        <v>1690211915</v>
      </c>
      <c r="CE31">
        <v>1690211922</v>
      </c>
      <c r="CF31">
        <v>6</v>
      </c>
      <c r="CG31">
        <v>1.0999999999999999E-2</v>
      </c>
      <c r="CH31">
        <v>8.0000000000000002E-3</v>
      </c>
      <c r="CI31">
        <v>-0.51100000000000001</v>
      </c>
      <c r="CJ31">
        <v>-6.6000000000000003E-2</v>
      </c>
      <c r="CK31">
        <v>800</v>
      </c>
      <c r="CL31">
        <v>6</v>
      </c>
      <c r="CM31">
        <v>0.21</v>
      </c>
      <c r="CN31">
        <v>0.02</v>
      </c>
      <c r="CO31">
        <v>-8.5911572499999984</v>
      </c>
      <c r="CP31">
        <v>-13.263939399624761</v>
      </c>
      <c r="CQ31">
        <v>1.2765509072849139</v>
      </c>
      <c r="CR31">
        <v>-1</v>
      </c>
      <c r="CS31">
        <v>3.2956512500000001</v>
      </c>
      <c r="CT31">
        <v>0.58657474671669441</v>
      </c>
      <c r="CU31">
        <v>5.6436104453953063E-2</v>
      </c>
      <c r="CV31">
        <v>-1</v>
      </c>
      <c r="CW31">
        <v>0</v>
      </c>
      <c r="CX31">
        <v>0</v>
      </c>
      <c r="CY31" t="s">
        <v>333</v>
      </c>
      <c r="CZ31">
        <v>2.3642300000000001</v>
      </c>
      <c r="DA31">
        <v>2.7137799999999999</v>
      </c>
      <c r="DB31">
        <v>0.14510899999999999</v>
      </c>
      <c r="DC31">
        <v>0.14605399999999999</v>
      </c>
      <c r="DD31">
        <v>5.7991300000000003E-2</v>
      </c>
      <c r="DE31">
        <v>4.0026699999999998E-2</v>
      </c>
      <c r="DF31">
        <v>31190.7</v>
      </c>
      <c r="DG31">
        <v>27484.5</v>
      </c>
      <c r="DH31">
        <v>31148.799999999999</v>
      </c>
      <c r="DI31">
        <v>28046.2</v>
      </c>
      <c r="DJ31">
        <v>39852.300000000003</v>
      </c>
      <c r="DK31">
        <v>38280.300000000003</v>
      </c>
      <c r="DL31">
        <v>44323.8</v>
      </c>
      <c r="DM31">
        <v>42500.3</v>
      </c>
      <c r="DN31">
        <v>1.36815</v>
      </c>
      <c r="DO31">
        <v>2.0322499999999999</v>
      </c>
      <c r="DP31">
        <v>8.4795099999999998E-2</v>
      </c>
      <c r="DQ31">
        <v>0.20617199999999999</v>
      </c>
      <c r="DR31">
        <v>25.912299999999998</v>
      </c>
      <c r="DS31">
        <v>25.7988</v>
      </c>
      <c r="DT31">
        <v>18.2</v>
      </c>
      <c r="DU31">
        <v>29.6</v>
      </c>
      <c r="DV31">
        <v>7.6463799999999997</v>
      </c>
      <c r="DW31">
        <v>62.061199999999999</v>
      </c>
      <c r="DX31">
        <v>36.967100000000002</v>
      </c>
      <c r="DY31">
        <v>1</v>
      </c>
      <c r="DZ31">
        <v>-7.1194099999999996E-2</v>
      </c>
      <c r="EA31">
        <v>1.7242900000000001</v>
      </c>
      <c r="EB31">
        <v>20.176300000000001</v>
      </c>
      <c r="EC31">
        <v>5.24125</v>
      </c>
      <c r="ED31">
        <v>12.039899999999999</v>
      </c>
      <c r="EE31">
        <v>5.01675</v>
      </c>
      <c r="EF31">
        <v>3.2879999999999998</v>
      </c>
      <c r="EG31">
        <v>9999</v>
      </c>
      <c r="EH31">
        <v>9999</v>
      </c>
      <c r="EI31">
        <v>9999</v>
      </c>
      <c r="EJ31">
        <v>999.9</v>
      </c>
      <c r="EK31">
        <v>1.8689100000000001</v>
      </c>
      <c r="EL31">
        <v>1.8646799999999999</v>
      </c>
      <c r="EM31">
        <v>1.8691899999999999</v>
      </c>
      <c r="EN31">
        <v>1.86727</v>
      </c>
      <c r="EO31">
        <v>1.8633999999999999</v>
      </c>
      <c r="EP31">
        <v>1.8645700000000001</v>
      </c>
      <c r="EQ31">
        <v>1.87016</v>
      </c>
      <c r="ER31">
        <v>1.8694500000000001</v>
      </c>
      <c r="ES31">
        <v>0</v>
      </c>
      <c r="ET31">
        <v>0</v>
      </c>
      <c r="EU31">
        <v>0</v>
      </c>
      <c r="EV31">
        <v>0</v>
      </c>
      <c r="EW31" t="s">
        <v>334</v>
      </c>
      <c r="EX31" t="s">
        <v>335</v>
      </c>
      <c r="EY31" t="s">
        <v>336</v>
      </c>
      <c r="EZ31" t="s">
        <v>336</v>
      </c>
      <c r="FA31" t="s">
        <v>336</v>
      </c>
      <c r="FB31" t="s">
        <v>336</v>
      </c>
      <c r="FC31">
        <v>0</v>
      </c>
      <c r="FD31">
        <v>100</v>
      </c>
      <c r="FE31">
        <v>100</v>
      </c>
      <c r="FF31">
        <v>-0.503</v>
      </c>
      <c r="FG31">
        <v>-3.5000000000000003E-2</v>
      </c>
      <c r="FH31">
        <v>4.0020685143421282E-2</v>
      </c>
      <c r="FI31">
        <v>-6.1462078757559423E-4</v>
      </c>
      <c r="FJ31">
        <v>-1.8861989874597051E-7</v>
      </c>
      <c r="FK31">
        <v>1.1980462299894961E-10</v>
      </c>
      <c r="FL31">
        <v>-3.1035565592992288E-2</v>
      </c>
      <c r="FM31">
        <v>-1.6848085045870601E-2</v>
      </c>
      <c r="FN31">
        <v>1.9789084769509481E-3</v>
      </c>
      <c r="FO31">
        <v>-2.7142391389806329E-5</v>
      </c>
      <c r="FP31">
        <v>3</v>
      </c>
      <c r="FQ31">
        <v>2158</v>
      </c>
      <c r="FR31">
        <v>1</v>
      </c>
      <c r="FS31">
        <v>19</v>
      </c>
      <c r="FT31">
        <v>10.7</v>
      </c>
      <c r="FU31">
        <v>10.6</v>
      </c>
      <c r="FV31">
        <v>1.78101</v>
      </c>
      <c r="FW31">
        <v>2.5744600000000002</v>
      </c>
      <c r="FX31">
        <v>1.5490699999999999</v>
      </c>
      <c r="FY31">
        <v>2.3290999999999999</v>
      </c>
      <c r="FZ31">
        <v>1.50146</v>
      </c>
      <c r="GA31">
        <v>2.32422</v>
      </c>
      <c r="GB31">
        <v>33.715499999999999</v>
      </c>
      <c r="GC31">
        <v>23.982399999999998</v>
      </c>
      <c r="GD31">
        <v>19</v>
      </c>
      <c r="GE31">
        <v>240.23500000000001</v>
      </c>
      <c r="GF31">
        <v>581.95600000000002</v>
      </c>
      <c r="GG31">
        <v>25.5549</v>
      </c>
      <c r="GH31">
        <v>26.51</v>
      </c>
      <c r="GI31">
        <v>30.0001</v>
      </c>
      <c r="GJ31">
        <v>26.569099999999999</v>
      </c>
      <c r="GK31">
        <v>26.5335</v>
      </c>
      <c r="GL31">
        <v>35.597900000000003</v>
      </c>
      <c r="GM31">
        <v>-30</v>
      </c>
      <c r="GN31">
        <v>-30</v>
      </c>
      <c r="GO31">
        <v>25.175799999999999</v>
      </c>
      <c r="GP31">
        <v>800</v>
      </c>
      <c r="GQ31">
        <v>12.5298</v>
      </c>
      <c r="GR31">
        <v>99.657700000000006</v>
      </c>
      <c r="GS31">
        <v>99.430499999999995</v>
      </c>
    </row>
    <row r="32" spans="1:201" x14ac:dyDescent="0.25">
      <c r="A32">
        <v>16</v>
      </c>
      <c r="B32">
        <v>1690212565.5999999</v>
      </c>
      <c r="C32">
        <v>298.09999990463263</v>
      </c>
      <c r="D32" t="s">
        <v>363</v>
      </c>
      <c r="E32" t="s">
        <v>364</v>
      </c>
      <c r="F32" t="s">
        <v>330</v>
      </c>
      <c r="H32">
        <v>1690212565.5999999</v>
      </c>
      <c r="I32">
        <f t="shared" si="0"/>
        <v>3.1196125420420166E-4</v>
      </c>
      <c r="J32">
        <f t="shared" si="1"/>
        <v>0.31196125420420168</v>
      </c>
      <c r="K32">
        <f t="shared" si="2"/>
        <v>0.9718848017186964</v>
      </c>
      <c r="L32">
        <f t="shared" si="3"/>
        <v>786.06399999999996</v>
      </c>
      <c r="M32">
        <f t="shared" si="4"/>
        <v>586.8944360130356</v>
      </c>
      <c r="N32">
        <f t="shared" si="5"/>
        <v>58.220414587980592</v>
      </c>
      <c r="O32">
        <f t="shared" si="6"/>
        <v>77.978200447056011</v>
      </c>
      <c r="P32">
        <f t="shared" si="7"/>
        <v>9.5493819282704492E-3</v>
      </c>
      <c r="Q32">
        <f t="shared" si="8"/>
        <v>2.0124646809587219</v>
      </c>
      <c r="R32">
        <f t="shared" si="9"/>
        <v>9.5242795299189508E-3</v>
      </c>
      <c r="S32">
        <f t="shared" si="10"/>
        <v>5.9549245166332539E-3</v>
      </c>
      <c r="T32">
        <f t="shared" si="11"/>
        <v>276.11158856137223</v>
      </c>
      <c r="U32">
        <f t="shared" si="12"/>
        <v>29.435369703419052</v>
      </c>
      <c r="V32">
        <f t="shared" si="13"/>
        <v>29.435369703419052</v>
      </c>
      <c r="W32">
        <f t="shared" si="14"/>
        <v>4.1242125844080899</v>
      </c>
      <c r="X32">
        <f t="shared" si="15"/>
        <v>26.378495040072846</v>
      </c>
      <c r="Y32">
        <f t="shared" si="16"/>
        <v>0.95819271141048012</v>
      </c>
      <c r="Z32">
        <f t="shared" si="17"/>
        <v>3.6324767957946169</v>
      </c>
      <c r="AA32">
        <f t="shared" si="18"/>
        <v>3.1660198729976097</v>
      </c>
      <c r="AB32">
        <f t="shared" si="19"/>
        <v>-13.757491310405294</v>
      </c>
      <c r="AC32">
        <f t="shared" si="20"/>
        <v>-236.88687034633557</v>
      </c>
      <c r="AD32">
        <f t="shared" si="21"/>
        <v>-25.746364548705536</v>
      </c>
      <c r="AE32">
        <f t="shared" si="22"/>
        <v>-0.27913764407418284</v>
      </c>
      <c r="AF32">
        <v>41</v>
      </c>
      <c r="AG32">
        <v>14</v>
      </c>
      <c r="AH32">
        <f t="shared" si="23"/>
        <v>1</v>
      </c>
      <c r="AI32">
        <f t="shared" si="24"/>
        <v>0</v>
      </c>
      <c r="AJ32">
        <f t="shared" si="25"/>
        <v>52376.801071180911</v>
      </c>
      <c r="AK32">
        <f t="shared" si="26"/>
        <v>1799.98</v>
      </c>
      <c r="AL32">
        <f t="shared" si="27"/>
        <v>1499.0969253824201</v>
      </c>
      <c r="AM32">
        <f t="shared" si="28"/>
        <v>0.83284087900000003</v>
      </c>
      <c r="AN32">
        <f t="shared" si="29"/>
        <v>0.15339703139000002</v>
      </c>
      <c r="AO32">
        <v>34.5</v>
      </c>
      <c r="AP32">
        <v>0.5</v>
      </c>
      <c r="AQ32" t="s">
        <v>331</v>
      </c>
      <c r="AR32">
        <v>2</v>
      </c>
      <c r="AS32">
        <v>1690212565.5999999</v>
      </c>
      <c r="AT32">
        <v>786.06399999999996</v>
      </c>
      <c r="AU32">
        <v>800.05</v>
      </c>
      <c r="AV32">
        <v>9.6591199999999997</v>
      </c>
      <c r="AW32">
        <v>6.1089399999999996</v>
      </c>
      <c r="AX32">
        <v>786.56600000000003</v>
      </c>
      <c r="AY32">
        <v>9.6922700000000006</v>
      </c>
      <c r="AZ32">
        <v>300.23</v>
      </c>
      <c r="BA32">
        <v>99.100800000000007</v>
      </c>
      <c r="BB32">
        <v>0.10002900000000001</v>
      </c>
      <c r="BC32">
        <v>27.251999999999999</v>
      </c>
      <c r="BD32">
        <v>27.273099999999999</v>
      </c>
      <c r="BE32">
        <v>29.220099999999999</v>
      </c>
      <c r="BF32">
        <v>0</v>
      </c>
      <c r="BG32">
        <v>0</v>
      </c>
      <c r="BH32">
        <v>10003.799999999999</v>
      </c>
      <c r="BI32">
        <v>1075.5</v>
      </c>
      <c r="BJ32">
        <v>1.76048</v>
      </c>
      <c r="BK32">
        <v>-13.9862</v>
      </c>
      <c r="BL32">
        <v>793.73099999999999</v>
      </c>
      <c r="BM32">
        <v>804.96799999999996</v>
      </c>
      <c r="BN32">
        <v>3.5501800000000001</v>
      </c>
      <c r="BO32">
        <v>800.05</v>
      </c>
      <c r="BP32">
        <v>6.1089399999999996</v>
      </c>
      <c r="BQ32">
        <v>0.95722600000000002</v>
      </c>
      <c r="BR32">
        <v>0.60540099999999997</v>
      </c>
      <c r="BS32">
        <v>6.2810899999999998</v>
      </c>
      <c r="BT32">
        <v>-0.186199</v>
      </c>
      <c r="BU32">
        <v>1799.98</v>
      </c>
      <c r="BV32">
        <v>0.91001200000000004</v>
      </c>
      <c r="BW32">
        <v>3.3996999999999999E-2</v>
      </c>
      <c r="BX32">
        <v>2.1995199999999999E-2</v>
      </c>
      <c r="BY32">
        <v>3.3996100000000001E-2</v>
      </c>
      <c r="BZ32">
        <v>26</v>
      </c>
      <c r="CA32">
        <v>33528.1</v>
      </c>
      <c r="CB32">
        <v>1690211922</v>
      </c>
      <c r="CC32" t="s">
        <v>332</v>
      </c>
      <c r="CD32">
        <v>1690211915</v>
      </c>
      <c r="CE32">
        <v>1690211922</v>
      </c>
      <c r="CF32">
        <v>6</v>
      </c>
      <c r="CG32">
        <v>1.0999999999999999E-2</v>
      </c>
      <c r="CH32">
        <v>8.0000000000000002E-3</v>
      </c>
      <c r="CI32">
        <v>-0.51100000000000001</v>
      </c>
      <c r="CJ32">
        <v>-6.6000000000000003E-2</v>
      </c>
      <c r="CK32">
        <v>800</v>
      </c>
      <c r="CL32">
        <v>6</v>
      </c>
      <c r="CM32">
        <v>0.21</v>
      </c>
      <c r="CN32">
        <v>0.02</v>
      </c>
      <c r="CO32">
        <v>-11.041158536585369</v>
      </c>
      <c r="CP32">
        <v>-15.38175721254356</v>
      </c>
      <c r="CQ32">
        <v>1.5178941386358851</v>
      </c>
      <c r="CR32">
        <v>-1</v>
      </c>
      <c r="CS32">
        <v>3.4057139024390248</v>
      </c>
      <c r="CT32">
        <v>0.70222452961672666</v>
      </c>
      <c r="CU32">
        <v>6.9448058283908237E-2</v>
      </c>
      <c r="CV32">
        <v>-1</v>
      </c>
      <c r="CW32">
        <v>0</v>
      </c>
      <c r="CX32">
        <v>0</v>
      </c>
      <c r="CY32" t="s">
        <v>333</v>
      </c>
      <c r="CZ32">
        <v>2.3643999999999998</v>
      </c>
      <c r="DA32">
        <v>2.7138200000000001</v>
      </c>
      <c r="DB32">
        <v>0.144785</v>
      </c>
      <c r="DC32">
        <v>0.146064</v>
      </c>
      <c r="DD32">
        <v>5.86302E-2</v>
      </c>
      <c r="DE32">
        <v>4.0022599999999998E-2</v>
      </c>
      <c r="DF32">
        <v>31201.7</v>
      </c>
      <c r="DG32">
        <v>27483.3</v>
      </c>
      <c r="DH32">
        <v>31148</v>
      </c>
      <c r="DI32">
        <v>28045.3</v>
      </c>
      <c r="DJ32">
        <v>39824</v>
      </c>
      <c r="DK32">
        <v>38279.199999999997</v>
      </c>
      <c r="DL32">
        <v>44322.5</v>
      </c>
      <c r="DM32">
        <v>42498.9</v>
      </c>
      <c r="DN32">
        <v>1.3681000000000001</v>
      </c>
      <c r="DO32">
        <v>2.0322300000000002</v>
      </c>
      <c r="DP32">
        <v>8.3021800000000007E-2</v>
      </c>
      <c r="DQ32">
        <v>0.20924200000000001</v>
      </c>
      <c r="DR32">
        <v>25.9145</v>
      </c>
      <c r="DS32">
        <v>25.800999999999998</v>
      </c>
      <c r="DT32">
        <v>18.2</v>
      </c>
      <c r="DU32">
        <v>29.6</v>
      </c>
      <c r="DV32">
        <v>7.6460900000000001</v>
      </c>
      <c r="DW32">
        <v>61.931199999999997</v>
      </c>
      <c r="DX32">
        <v>37.123399999999997</v>
      </c>
      <c r="DY32">
        <v>1</v>
      </c>
      <c r="DZ32">
        <v>-6.8048800000000007E-2</v>
      </c>
      <c r="EA32">
        <v>2.5249199999999998</v>
      </c>
      <c r="EB32">
        <v>20.1633</v>
      </c>
      <c r="EC32">
        <v>5.24125</v>
      </c>
      <c r="ED32">
        <v>12.039899999999999</v>
      </c>
      <c r="EE32">
        <v>5.0160999999999998</v>
      </c>
      <c r="EF32">
        <v>3.2879999999999998</v>
      </c>
      <c r="EG32">
        <v>9999</v>
      </c>
      <c r="EH32">
        <v>9999</v>
      </c>
      <c r="EI32">
        <v>9999</v>
      </c>
      <c r="EJ32">
        <v>999.9</v>
      </c>
      <c r="EK32">
        <v>1.86893</v>
      </c>
      <c r="EL32">
        <v>1.86466</v>
      </c>
      <c r="EM32">
        <v>1.8691800000000001</v>
      </c>
      <c r="EN32">
        <v>1.8672800000000001</v>
      </c>
      <c r="EO32">
        <v>1.8633999999999999</v>
      </c>
      <c r="EP32">
        <v>1.86459</v>
      </c>
      <c r="EQ32">
        <v>1.8701700000000001</v>
      </c>
      <c r="ER32">
        <v>1.8694299999999999</v>
      </c>
      <c r="ES32">
        <v>0</v>
      </c>
      <c r="ET32">
        <v>0</v>
      </c>
      <c r="EU32">
        <v>0</v>
      </c>
      <c r="EV32">
        <v>0</v>
      </c>
      <c r="EW32" t="s">
        <v>334</v>
      </c>
      <c r="EX32" t="s">
        <v>335</v>
      </c>
      <c r="EY32" t="s">
        <v>336</v>
      </c>
      <c r="EZ32" t="s">
        <v>336</v>
      </c>
      <c r="FA32" t="s">
        <v>336</v>
      </c>
      <c r="FB32" t="s">
        <v>336</v>
      </c>
      <c r="FC32">
        <v>0</v>
      </c>
      <c r="FD32">
        <v>100</v>
      </c>
      <c r="FE32">
        <v>100</v>
      </c>
      <c r="FF32">
        <v>-0.502</v>
      </c>
      <c r="FG32">
        <v>-3.32E-2</v>
      </c>
      <c r="FH32">
        <v>4.0020685143421282E-2</v>
      </c>
      <c r="FI32">
        <v>-6.1462078757559423E-4</v>
      </c>
      <c r="FJ32">
        <v>-1.8861989874597051E-7</v>
      </c>
      <c r="FK32">
        <v>1.1980462299894961E-10</v>
      </c>
      <c r="FL32">
        <v>-3.1035565592992288E-2</v>
      </c>
      <c r="FM32">
        <v>-1.6848085045870601E-2</v>
      </c>
      <c r="FN32">
        <v>1.9789084769509481E-3</v>
      </c>
      <c r="FO32">
        <v>-2.7142391389806329E-5</v>
      </c>
      <c r="FP32">
        <v>3</v>
      </c>
      <c r="FQ32">
        <v>2158</v>
      </c>
      <c r="FR32">
        <v>1</v>
      </c>
      <c r="FS32">
        <v>19</v>
      </c>
      <c r="FT32">
        <v>10.8</v>
      </c>
      <c r="FU32">
        <v>10.7</v>
      </c>
      <c r="FV32">
        <v>1.77979</v>
      </c>
      <c r="FW32">
        <v>2.5756800000000002</v>
      </c>
      <c r="FX32">
        <v>1.5490699999999999</v>
      </c>
      <c r="FY32">
        <v>2.3290999999999999</v>
      </c>
      <c r="FZ32">
        <v>1.50146</v>
      </c>
      <c r="GA32">
        <v>2.3779300000000001</v>
      </c>
      <c r="GB32">
        <v>33.715499999999999</v>
      </c>
      <c r="GC32">
        <v>23.982399999999998</v>
      </c>
      <c r="GD32">
        <v>19</v>
      </c>
      <c r="GE32">
        <v>240.233</v>
      </c>
      <c r="GF32">
        <v>581.97400000000005</v>
      </c>
      <c r="GG32">
        <v>24.799600000000002</v>
      </c>
      <c r="GH32">
        <v>26.515599999999999</v>
      </c>
      <c r="GI32">
        <v>30.001300000000001</v>
      </c>
      <c r="GJ32">
        <v>26.574000000000002</v>
      </c>
      <c r="GK32">
        <v>26.536999999999999</v>
      </c>
      <c r="GL32">
        <v>35.595700000000001</v>
      </c>
      <c r="GM32">
        <v>-30</v>
      </c>
      <c r="GN32">
        <v>-30</v>
      </c>
      <c r="GO32">
        <v>24.581</v>
      </c>
      <c r="GP32">
        <v>800</v>
      </c>
      <c r="GQ32">
        <v>12.5298</v>
      </c>
      <c r="GR32">
        <v>99.654899999999998</v>
      </c>
      <c r="GS32">
        <v>99.427199999999999</v>
      </c>
    </row>
    <row r="33" spans="1:201" x14ac:dyDescent="0.25">
      <c r="A33">
        <v>17</v>
      </c>
      <c r="B33">
        <v>1690212575.5999999</v>
      </c>
      <c r="C33">
        <v>308.09999990463263</v>
      </c>
      <c r="D33" t="s">
        <v>365</v>
      </c>
      <c r="E33" t="s">
        <v>366</v>
      </c>
      <c r="F33" t="s">
        <v>330</v>
      </c>
      <c r="H33">
        <v>1690212575.5999999</v>
      </c>
      <c r="I33">
        <f t="shared" si="0"/>
        <v>3.2803926586911798E-4</v>
      </c>
      <c r="J33">
        <f t="shared" si="1"/>
        <v>0.32803926586911797</v>
      </c>
      <c r="K33">
        <f t="shared" si="2"/>
        <v>1.2227754203317323</v>
      </c>
      <c r="L33">
        <f t="shared" si="3"/>
        <v>783</v>
      </c>
      <c r="M33">
        <f t="shared" si="4"/>
        <v>555.45717171573506</v>
      </c>
      <c r="N33">
        <f t="shared" si="5"/>
        <v>55.103840048967356</v>
      </c>
      <c r="O33">
        <f t="shared" si="6"/>
        <v>77.677108074899991</v>
      </c>
      <c r="P33">
        <f t="shared" si="7"/>
        <v>1.0166169942600018E-2</v>
      </c>
      <c r="Q33">
        <f t="shared" si="8"/>
        <v>2.0121689351624212</v>
      </c>
      <c r="R33">
        <f t="shared" si="9"/>
        <v>1.0137721175488688E-2</v>
      </c>
      <c r="S33">
        <f t="shared" si="10"/>
        <v>6.3386250632928203E-3</v>
      </c>
      <c r="T33">
        <f t="shared" si="11"/>
        <v>276.1110333575412</v>
      </c>
      <c r="U33">
        <f t="shared" si="12"/>
        <v>29.351518848637028</v>
      </c>
      <c r="V33">
        <f t="shared" si="13"/>
        <v>29.351518848637028</v>
      </c>
      <c r="W33">
        <f t="shared" si="14"/>
        <v>4.1043079989152993</v>
      </c>
      <c r="X33">
        <f t="shared" si="15"/>
        <v>27.004228626938865</v>
      </c>
      <c r="Y33">
        <f t="shared" si="16"/>
        <v>0.97642307348715907</v>
      </c>
      <c r="Z33">
        <f t="shared" si="17"/>
        <v>3.6158154597798782</v>
      </c>
      <c r="AA33">
        <f t="shared" si="18"/>
        <v>3.1278849254281402</v>
      </c>
      <c r="AB33">
        <f t="shared" si="19"/>
        <v>-14.466531624828102</v>
      </c>
      <c r="AC33">
        <f t="shared" si="20"/>
        <v>-236.2607491514884</v>
      </c>
      <c r="AD33">
        <f t="shared" si="21"/>
        <v>-25.661350179243289</v>
      </c>
      <c r="AE33">
        <f t="shared" si="22"/>
        <v>-0.27759759801858763</v>
      </c>
      <c r="AF33">
        <v>41</v>
      </c>
      <c r="AG33">
        <v>14</v>
      </c>
      <c r="AH33">
        <f t="shared" si="23"/>
        <v>1</v>
      </c>
      <c r="AI33">
        <f t="shared" si="24"/>
        <v>0</v>
      </c>
      <c r="AJ33">
        <f t="shared" si="25"/>
        <v>52376.363561126949</v>
      </c>
      <c r="AK33">
        <f t="shared" si="26"/>
        <v>1799.98</v>
      </c>
      <c r="AL33">
        <f t="shared" si="27"/>
        <v>1499.0959353934199</v>
      </c>
      <c r="AM33">
        <f t="shared" si="28"/>
        <v>0.83284032899999993</v>
      </c>
      <c r="AN33">
        <f t="shared" si="29"/>
        <v>0.15339672294000001</v>
      </c>
      <c r="AO33">
        <v>34.5</v>
      </c>
      <c r="AP33">
        <v>0.5</v>
      </c>
      <c r="AQ33" t="s">
        <v>331</v>
      </c>
      <c r="AR33">
        <v>2</v>
      </c>
      <c r="AS33">
        <v>1690212575.5999999</v>
      </c>
      <c r="AT33">
        <v>783</v>
      </c>
      <c r="AU33">
        <v>800.00900000000001</v>
      </c>
      <c r="AV33">
        <v>9.84253</v>
      </c>
      <c r="AW33">
        <v>6.1086900000000002</v>
      </c>
      <c r="AX33">
        <v>783.5</v>
      </c>
      <c r="AY33">
        <v>9.8731299999999997</v>
      </c>
      <c r="AZ33">
        <v>300.11900000000003</v>
      </c>
      <c r="BA33">
        <v>99.104500000000002</v>
      </c>
      <c r="BB33">
        <v>9.9980299999999994E-2</v>
      </c>
      <c r="BC33">
        <v>27.1736</v>
      </c>
      <c r="BD33">
        <v>27.1935</v>
      </c>
      <c r="BE33">
        <v>29.173300000000001</v>
      </c>
      <c r="BF33">
        <v>0</v>
      </c>
      <c r="BG33">
        <v>0</v>
      </c>
      <c r="BH33">
        <v>10000.6</v>
      </c>
      <c r="BI33">
        <v>1075.54</v>
      </c>
      <c r="BJ33">
        <v>2.1193</v>
      </c>
      <c r="BK33">
        <v>-17.008400000000002</v>
      </c>
      <c r="BL33">
        <v>790.78399999999999</v>
      </c>
      <c r="BM33">
        <v>804.92600000000004</v>
      </c>
      <c r="BN33">
        <v>3.7338300000000002</v>
      </c>
      <c r="BO33">
        <v>800.00900000000001</v>
      </c>
      <c r="BP33">
        <v>6.1086900000000002</v>
      </c>
      <c r="BQ33">
        <v>0.97543800000000003</v>
      </c>
      <c r="BR33">
        <v>0.60539900000000002</v>
      </c>
      <c r="BS33">
        <v>6.5545799999999996</v>
      </c>
      <c r="BT33">
        <v>-0.18623999999999999</v>
      </c>
      <c r="BU33">
        <v>1799.98</v>
      </c>
      <c r="BV33">
        <v>0.91001600000000005</v>
      </c>
      <c r="BW33">
        <v>3.4004399999999997E-2</v>
      </c>
      <c r="BX33">
        <v>2.1990699999999998E-2</v>
      </c>
      <c r="BY33">
        <v>3.3989199999999997E-2</v>
      </c>
      <c r="BZ33">
        <v>26</v>
      </c>
      <c r="CA33">
        <v>33528.199999999997</v>
      </c>
      <c r="CB33">
        <v>1690211922</v>
      </c>
      <c r="CC33" t="s">
        <v>332</v>
      </c>
      <c r="CD33">
        <v>1690211915</v>
      </c>
      <c r="CE33">
        <v>1690211922</v>
      </c>
      <c r="CF33">
        <v>6</v>
      </c>
      <c r="CG33">
        <v>1.0999999999999999E-2</v>
      </c>
      <c r="CH33">
        <v>8.0000000000000002E-3</v>
      </c>
      <c r="CI33">
        <v>-0.51100000000000001</v>
      </c>
      <c r="CJ33">
        <v>-6.6000000000000003E-2</v>
      </c>
      <c r="CK33">
        <v>800</v>
      </c>
      <c r="CL33">
        <v>6</v>
      </c>
      <c r="CM33">
        <v>0.21</v>
      </c>
      <c r="CN33">
        <v>0.02</v>
      </c>
      <c r="CO33">
        <v>-13.745431707317071</v>
      </c>
      <c r="CP33">
        <v>-17.04749059233448</v>
      </c>
      <c r="CQ33">
        <v>1.682117008551445</v>
      </c>
      <c r="CR33">
        <v>-1</v>
      </c>
      <c r="CS33">
        <v>3.542373170731707</v>
      </c>
      <c r="CT33">
        <v>0.93710947735191252</v>
      </c>
      <c r="CU33">
        <v>9.2660635192819099E-2</v>
      </c>
      <c r="CV33">
        <v>-1</v>
      </c>
      <c r="CW33">
        <v>0</v>
      </c>
      <c r="CX33">
        <v>0</v>
      </c>
      <c r="CY33" t="s">
        <v>333</v>
      </c>
      <c r="CZ33">
        <v>2.3640500000000002</v>
      </c>
      <c r="DA33">
        <v>2.7137699999999998</v>
      </c>
      <c r="DB33">
        <v>0.14441399999999999</v>
      </c>
      <c r="DC33">
        <v>0.146063</v>
      </c>
      <c r="DD33">
        <v>5.9480600000000002E-2</v>
      </c>
      <c r="DE33">
        <v>4.00224E-2</v>
      </c>
      <c r="DF33">
        <v>31214.2</v>
      </c>
      <c r="DG33">
        <v>27482.3</v>
      </c>
      <c r="DH33">
        <v>31146.9</v>
      </c>
      <c r="DI33">
        <v>28044.3</v>
      </c>
      <c r="DJ33">
        <v>39786.400000000001</v>
      </c>
      <c r="DK33">
        <v>38278</v>
      </c>
      <c r="DL33">
        <v>44320.9</v>
      </c>
      <c r="DM33">
        <v>42497.5</v>
      </c>
      <c r="DN33">
        <v>1.36765</v>
      </c>
      <c r="DO33">
        <v>2.0318800000000001</v>
      </c>
      <c r="DP33">
        <v>7.8015000000000001E-2</v>
      </c>
      <c r="DQ33">
        <v>0.206232</v>
      </c>
      <c r="DR33">
        <v>25.916699999999999</v>
      </c>
      <c r="DS33">
        <v>25.8032</v>
      </c>
      <c r="DT33">
        <v>18.2</v>
      </c>
      <c r="DU33">
        <v>29.6</v>
      </c>
      <c r="DV33">
        <v>7.6470000000000002</v>
      </c>
      <c r="DW33">
        <v>61.891199999999998</v>
      </c>
      <c r="DX33">
        <v>37.051299999999998</v>
      </c>
      <c r="DY33">
        <v>1</v>
      </c>
      <c r="DZ33">
        <v>-6.6953799999999994E-2</v>
      </c>
      <c r="EA33">
        <v>2.5409600000000001</v>
      </c>
      <c r="EB33">
        <v>20.164000000000001</v>
      </c>
      <c r="EC33">
        <v>5.24125</v>
      </c>
      <c r="ED33">
        <v>12.039899999999999</v>
      </c>
      <c r="EE33">
        <v>5.0164499999999999</v>
      </c>
      <c r="EF33">
        <v>3.2879999999999998</v>
      </c>
      <c r="EG33">
        <v>9999</v>
      </c>
      <c r="EH33">
        <v>9999</v>
      </c>
      <c r="EI33">
        <v>9999</v>
      </c>
      <c r="EJ33">
        <v>999.9</v>
      </c>
      <c r="EK33">
        <v>1.8689199999999999</v>
      </c>
      <c r="EL33">
        <v>1.86463</v>
      </c>
      <c r="EM33">
        <v>1.8692</v>
      </c>
      <c r="EN33">
        <v>1.8672899999999999</v>
      </c>
      <c r="EO33">
        <v>1.86341</v>
      </c>
      <c r="EP33">
        <v>1.8645700000000001</v>
      </c>
      <c r="EQ33">
        <v>1.87018</v>
      </c>
      <c r="ER33">
        <v>1.8694599999999999</v>
      </c>
      <c r="ES33">
        <v>0</v>
      </c>
      <c r="ET33">
        <v>0</v>
      </c>
      <c r="EU33">
        <v>0</v>
      </c>
      <c r="EV33">
        <v>0</v>
      </c>
      <c r="EW33" t="s">
        <v>334</v>
      </c>
      <c r="EX33" t="s">
        <v>335</v>
      </c>
      <c r="EY33" t="s">
        <v>336</v>
      </c>
      <c r="EZ33" t="s">
        <v>336</v>
      </c>
      <c r="FA33" t="s">
        <v>336</v>
      </c>
      <c r="FB33" t="s">
        <v>336</v>
      </c>
      <c r="FC33">
        <v>0</v>
      </c>
      <c r="FD33">
        <v>100</v>
      </c>
      <c r="FE33">
        <v>100</v>
      </c>
      <c r="FF33">
        <v>-0.5</v>
      </c>
      <c r="FG33">
        <v>-3.0599999999999999E-2</v>
      </c>
      <c r="FH33">
        <v>4.0020685143421282E-2</v>
      </c>
      <c r="FI33">
        <v>-6.1462078757559423E-4</v>
      </c>
      <c r="FJ33">
        <v>-1.8861989874597051E-7</v>
      </c>
      <c r="FK33">
        <v>1.1980462299894961E-10</v>
      </c>
      <c r="FL33">
        <v>-3.1035565592992288E-2</v>
      </c>
      <c r="FM33">
        <v>-1.6848085045870601E-2</v>
      </c>
      <c r="FN33">
        <v>1.9789084769509481E-3</v>
      </c>
      <c r="FO33">
        <v>-2.7142391389806329E-5</v>
      </c>
      <c r="FP33">
        <v>3</v>
      </c>
      <c r="FQ33">
        <v>2158</v>
      </c>
      <c r="FR33">
        <v>1</v>
      </c>
      <c r="FS33">
        <v>19</v>
      </c>
      <c r="FT33">
        <v>11</v>
      </c>
      <c r="FU33">
        <v>10.9</v>
      </c>
      <c r="FV33">
        <v>1.77979</v>
      </c>
      <c r="FW33">
        <v>2.5732400000000002</v>
      </c>
      <c r="FX33">
        <v>1.5490699999999999</v>
      </c>
      <c r="FY33">
        <v>2.3290999999999999</v>
      </c>
      <c r="FZ33">
        <v>1.50146</v>
      </c>
      <c r="GA33">
        <v>2.3828100000000001</v>
      </c>
      <c r="GB33">
        <v>33.738100000000003</v>
      </c>
      <c r="GC33">
        <v>23.982399999999998</v>
      </c>
      <c r="GD33">
        <v>19</v>
      </c>
      <c r="GE33">
        <v>240.08199999999999</v>
      </c>
      <c r="GF33">
        <v>581.72199999999998</v>
      </c>
      <c r="GG33">
        <v>24.174600000000002</v>
      </c>
      <c r="GH33">
        <v>26.5212</v>
      </c>
      <c r="GI33">
        <v>30.000499999999999</v>
      </c>
      <c r="GJ33">
        <v>26.579599999999999</v>
      </c>
      <c r="GK33">
        <v>26.540199999999999</v>
      </c>
      <c r="GL33">
        <v>35.596899999999998</v>
      </c>
      <c r="GM33">
        <v>-30</v>
      </c>
      <c r="GN33">
        <v>-30</v>
      </c>
      <c r="GO33">
        <v>24.061499999999999</v>
      </c>
      <c r="GP33">
        <v>800</v>
      </c>
      <c r="GQ33">
        <v>12.5298</v>
      </c>
      <c r="GR33">
        <v>99.651399999999995</v>
      </c>
      <c r="GS33">
        <v>99.423900000000003</v>
      </c>
    </row>
    <row r="34" spans="1:201" x14ac:dyDescent="0.25">
      <c r="A34">
        <v>18</v>
      </c>
      <c r="B34">
        <v>1690212585.5999999</v>
      </c>
      <c r="C34">
        <v>318.09999990463263</v>
      </c>
      <c r="D34" t="s">
        <v>367</v>
      </c>
      <c r="E34" t="s">
        <v>368</v>
      </c>
      <c r="F34" t="s">
        <v>330</v>
      </c>
      <c r="H34">
        <v>1690212585.5999999</v>
      </c>
      <c r="I34">
        <f t="shared" si="0"/>
        <v>3.4791394568596491E-4</v>
      </c>
      <c r="J34">
        <f t="shared" si="1"/>
        <v>0.3479139456859649</v>
      </c>
      <c r="K34">
        <f t="shared" si="2"/>
        <v>1.5028468414793397</v>
      </c>
      <c r="L34">
        <f t="shared" si="3"/>
        <v>779.56799999999998</v>
      </c>
      <c r="M34">
        <f t="shared" si="4"/>
        <v>525.58027295192574</v>
      </c>
      <c r="N34">
        <f t="shared" si="5"/>
        <v>52.139676119760416</v>
      </c>
      <c r="O34">
        <f t="shared" si="6"/>
        <v>77.336279775187194</v>
      </c>
      <c r="P34">
        <f t="shared" si="7"/>
        <v>1.0925611708406844E-2</v>
      </c>
      <c r="Q34">
        <f t="shared" si="8"/>
        <v>2.0106619121331173</v>
      </c>
      <c r="R34">
        <f t="shared" si="9"/>
        <v>1.0892736647534072E-2</v>
      </c>
      <c r="S34">
        <f t="shared" si="10"/>
        <v>6.8109058034362211E-3</v>
      </c>
      <c r="T34">
        <f t="shared" si="11"/>
        <v>276.11507658283023</v>
      </c>
      <c r="U34">
        <f t="shared" si="12"/>
        <v>29.274576009427385</v>
      </c>
      <c r="V34">
        <f t="shared" si="13"/>
        <v>29.274576009427385</v>
      </c>
      <c r="W34">
        <f t="shared" si="14"/>
        <v>4.0861169816122214</v>
      </c>
      <c r="X34">
        <f t="shared" si="15"/>
        <v>27.737400632099245</v>
      </c>
      <c r="Y34">
        <f t="shared" si="16"/>
        <v>0.99874639577904012</v>
      </c>
      <c r="Z34">
        <f t="shared" si="17"/>
        <v>3.6007209508422204</v>
      </c>
      <c r="AA34">
        <f t="shared" si="18"/>
        <v>3.087370585833181</v>
      </c>
      <c r="AB34">
        <f t="shared" si="19"/>
        <v>-15.343005004751053</v>
      </c>
      <c r="AC34">
        <f t="shared" si="20"/>
        <v>-235.47212356713081</v>
      </c>
      <c r="AD34">
        <f t="shared" si="21"/>
        <v>-25.575974683446816</v>
      </c>
      <c r="AE34">
        <f t="shared" si="22"/>
        <v>-0.27602667249846036</v>
      </c>
      <c r="AF34">
        <v>40</v>
      </c>
      <c r="AG34">
        <v>13</v>
      </c>
      <c r="AH34">
        <f t="shared" si="23"/>
        <v>1</v>
      </c>
      <c r="AI34">
        <f t="shared" si="24"/>
        <v>0</v>
      </c>
      <c r="AJ34">
        <f t="shared" si="25"/>
        <v>52316.481371787559</v>
      </c>
      <c r="AK34">
        <f t="shared" si="26"/>
        <v>1799.99</v>
      </c>
      <c r="AL34">
        <f t="shared" si="27"/>
        <v>1499.1020660089198</v>
      </c>
      <c r="AM34">
        <f t="shared" si="28"/>
        <v>0.83283910799999994</v>
      </c>
      <c r="AN34">
        <f t="shared" si="29"/>
        <v>0.15339811698</v>
      </c>
      <c r="AO34">
        <v>34.5</v>
      </c>
      <c r="AP34">
        <v>0.5</v>
      </c>
      <c r="AQ34" t="s">
        <v>331</v>
      </c>
      <c r="AR34">
        <v>2</v>
      </c>
      <c r="AS34">
        <v>1690212585.5999999</v>
      </c>
      <c r="AT34">
        <v>779.56799999999998</v>
      </c>
      <c r="AU34">
        <v>799.96299999999997</v>
      </c>
      <c r="AV34">
        <v>10.067600000000001</v>
      </c>
      <c r="AW34">
        <v>6.1081899999999996</v>
      </c>
      <c r="AX34">
        <v>780.06600000000003</v>
      </c>
      <c r="AY34">
        <v>10.095000000000001</v>
      </c>
      <c r="AZ34">
        <v>300.10000000000002</v>
      </c>
      <c r="BA34">
        <v>99.104100000000003</v>
      </c>
      <c r="BB34">
        <v>9.9920400000000006E-2</v>
      </c>
      <c r="BC34">
        <v>27.1023</v>
      </c>
      <c r="BD34">
        <v>27.099499999999999</v>
      </c>
      <c r="BE34">
        <v>29.071000000000002</v>
      </c>
      <c r="BF34">
        <v>0</v>
      </c>
      <c r="BG34">
        <v>0</v>
      </c>
      <c r="BH34">
        <v>9986.25</v>
      </c>
      <c r="BI34">
        <v>1075.51</v>
      </c>
      <c r="BJ34">
        <v>2.1305100000000001</v>
      </c>
      <c r="BK34">
        <v>-20.394500000000001</v>
      </c>
      <c r="BL34">
        <v>787.49599999999998</v>
      </c>
      <c r="BM34">
        <v>804.87900000000002</v>
      </c>
      <c r="BN34">
        <v>3.9594499999999999</v>
      </c>
      <c r="BO34">
        <v>799.96299999999997</v>
      </c>
      <c r="BP34">
        <v>6.1081899999999996</v>
      </c>
      <c r="BQ34">
        <v>0.99774399999999996</v>
      </c>
      <c r="BR34">
        <v>0.60534600000000005</v>
      </c>
      <c r="BS34">
        <v>6.8834799999999996</v>
      </c>
      <c r="BT34">
        <v>-0.18743499999999999</v>
      </c>
      <c r="BU34">
        <v>1799.99</v>
      </c>
      <c r="BV34">
        <v>0.90997899999999998</v>
      </c>
      <c r="BW34">
        <v>3.4003800000000001E-2</v>
      </c>
      <c r="BX34">
        <v>2.20074E-2</v>
      </c>
      <c r="BY34">
        <v>3.4010199999999997E-2</v>
      </c>
      <c r="BZ34">
        <v>26</v>
      </c>
      <c r="CA34">
        <v>33528</v>
      </c>
      <c r="CB34">
        <v>1690211922</v>
      </c>
      <c r="CC34" t="s">
        <v>332</v>
      </c>
      <c r="CD34">
        <v>1690211915</v>
      </c>
      <c r="CE34">
        <v>1690211922</v>
      </c>
      <c r="CF34">
        <v>6</v>
      </c>
      <c r="CG34">
        <v>1.0999999999999999E-2</v>
      </c>
      <c r="CH34">
        <v>8.0000000000000002E-3</v>
      </c>
      <c r="CI34">
        <v>-0.51100000000000001</v>
      </c>
      <c r="CJ34">
        <v>-6.6000000000000003E-2</v>
      </c>
      <c r="CK34">
        <v>800</v>
      </c>
      <c r="CL34">
        <v>6</v>
      </c>
      <c r="CM34">
        <v>0.21</v>
      </c>
      <c r="CN34">
        <v>0.02</v>
      </c>
      <c r="CO34">
        <v>-16.682300000000001</v>
      </c>
      <c r="CP34">
        <v>-19.246784240150081</v>
      </c>
      <c r="CQ34">
        <v>1.852883930795451</v>
      </c>
      <c r="CR34">
        <v>-1</v>
      </c>
      <c r="CS34">
        <v>3.715668</v>
      </c>
      <c r="CT34">
        <v>1.199644953095679</v>
      </c>
      <c r="CU34">
        <v>0.1155801958858004</v>
      </c>
      <c r="CV34">
        <v>-1</v>
      </c>
      <c r="CW34">
        <v>0</v>
      </c>
      <c r="CX34">
        <v>0</v>
      </c>
      <c r="CY34" t="s">
        <v>333</v>
      </c>
      <c r="CZ34">
        <v>2.3639700000000001</v>
      </c>
      <c r="DA34">
        <v>2.7136999999999998</v>
      </c>
      <c r="DB34">
        <v>0.14399200000000001</v>
      </c>
      <c r="DC34">
        <v>0.14605599999999999</v>
      </c>
      <c r="DD34">
        <v>6.0514100000000001E-2</v>
      </c>
      <c r="DE34">
        <v>4.0019100000000002E-2</v>
      </c>
      <c r="DF34">
        <v>31229.200000000001</v>
      </c>
      <c r="DG34">
        <v>27482.2</v>
      </c>
      <c r="DH34">
        <v>31146.5</v>
      </c>
      <c r="DI34">
        <v>28044</v>
      </c>
      <c r="DJ34">
        <v>39742</v>
      </c>
      <c r="DK34">
        <v>38277.800000000003</v>
      </c>
      <c r="DL34">
        <v>44320.5</v>
      </c>
      <c r="DM34">
        <v>42497.2</v>
      </c>
      <c r="DN34">
        <v>1.36832</v>
      </c>
      <c r="DO34">
        <v>2.0318800000000001</v>
      </c>
      <c r="DP34">
        <v>7.2210999999999997E-2</v>
      </c>
      <c r="DQ34">
        <v>0.20036799999999999</v>
      </c>
      <c r="DR34">
        <v>25.9176</v>
      </c>
      <c r="DS34">
        <v>25.796399999999998</v>
      </c>
      <c r="DT34">
        <v>18.2</v>
      </c>
      <c r="DU34">
        <v>29.6</v>
      </c>
      <c r="DV34">
        <v>7.64588</v>
      </c>
      <c r="DW34">
        <v>61.8812</v>
      </c>
      <c r="DX34">
        <v>36.790900000000001</v>
      </c>
      <c r="DY34">
        <v>1</v>
      </c>
      <c r="DZ34">
        <v>-6.7032499999999995E-2</v>
      </c>
      <c r="EA34">
        <v>2.1881300000000001</v>
      </c>
      <c r="EB34">
        <v>20.171199999999999</v>
      </c>
      <c r="EC34">
        <v>5.24125</v>
      </c>
      <c r="ED34">
        <v>12.039899999999999</v>
      </c>
      <c r="EE34">
        <v>5.0174000000000003</v>
      </c>
      <c r="EF34">
        <v>3.2879999999999998</v>
      </c>
      <c r="EG34">
        <v>9999</v>
      </c>
      <c r="EH34">
        <v>9999</v>
      </c>
      <c r="EI34">
        <v>9999</v>
      </c>
      <c r="EJ34">
        <v>999.9</v>
      </c>
      <c r="EK34">
        <v>1.8689199999999999</v>
      </c>
      <c r="EL34">
        <v>1.8646799999999999</v>
      </c>
      <c r="EM34">
        <v>1.8691899999999999</v>
      </c>
      <c r="EN34">
        <v>1.8672800000000001</v>
      </c>
      <c r="EO34">
        <v>1.8633999999999999</v>
      </c>
      <c r="EP34">
        <v>1.86456</v>
      </c>
      <c r="EQ34">
        <v>1.87015</v>
      </c>
      <c r="ER34">
        <v>1.86944</v>
      </c>
      <c r="ES34">
        <v>0</v>
      </c>
      <c r="ET34">
        <v>0</v>
      </c>
      <c r="EU34">
        <v>0</v>
      </c>
      <c r="EV34">
        <v>0</v>
      </c>
      <c r="EW34" t="s">
        <v>334</v>
      </c>
      <c r="EX34" t="s">
        <v>335</v>
      </c>
      <c r="EY34" t="s">
        <v>336</v>
      </c>
      <c r="EZ34" t="s">
        <v>336</v>
      </c>
      <c r="FA34" t="s">
        <v>336</v>
      </c>
      <c r="FB34" t="s">
        <v>336</v>
      </c>
      <c r="FC34">
        <v>0</v>
      </c>
      <c r="FD34">
        <v>100</v>
      </c>
      <c r="FE34">
        <v>100</v>
      </c>
      <c r="FF34">
        <v>-0.498</v>
      </c>
      <c r="FG34">
        <v>-2.7400000000000001E-2</v>
      </c>
      <c r="FH34">
        <v>4.0020685143421282E-2</v>
      </c>
      <c r="FI34">
        <v>-6.1462078757559423E-4</v>
      </c>
      <c r="FJ34">
        <v>-1.8861989874597051E-7</v>
      </c>
      <c r="FK34">
        <v>1.1980462299894961E-10</v>
      </c>
      <c r="FL34">
        <v>-3.1035565592992288E-2</v>
      </c>
      <c r="FM34">
        <v>-1.6848085045870601E-2</v>
      </c>
      <c r="FN34">
        <v>1.9789084769509481E-3</v>
      </c>
      <c r="FO34">
        <v>-2.7142391389806329E-5</v>
      </c>
      <c r="FP34">
        <v>3</v>
      </c>
      <c r="FQ34">
        <v>2158</v>
      </c>
      <c r="FR34">
        <v>1</v>
      </c>
      <c r="FS34">
        <v>19</v>
      </c>
      <c r="FT34">
        <v>11.2</v>
      </c>
      <c r="FU34">
        <v>11.1</v>
      </c>
      <c r="FV34">
        <v>1.77979</v>
      </c>
      <c r="FW34">
        <v>2.5720200000000002</v>
      </c>
      <c r="FX34">
        <v>1.5490699999999999</v>
      </c>
      <c r="FY34">
        <v>2.3290999999999999</v>
      </c>
      <c r="FZ34">
        <v>1.50024</v>
      </c>
      <c r="GA34">
        <v>2.4035600000000001</v>
      </c>
      <c r="GB34">
        <v>33.738100000000003</v>
      </c>
      <c r="GC34">
        <v>23.982399999999998</v>
      </c>
      <c r="GD34">
        <v>19</v>
      </c>
      <c r="GE34">
        <v>240.35400000000001</v>
      </c>
      <c r="GF34">
        <v>581.76</v>
      </c>
      <c r="GG34">
        <v>23.7546</v>
      </c>
      <c r="GH34">
        <v>26.526900000000001</v>
      </c>
      <c r="GI34">
        <v>30</v>
      </c>
      <c r="GJ34">
        <v>26.584099999999999</v>
      </c>
      <c r="GK34">
        <v>26.543700000000001</v>
      </c>
      <c r="GL34">
        <v>35.593600000000002</v>
      </c>
      <c r="GM34">
        <v>-30</v>
      </c>
      <c r="GN34">
        <v>-30</v>
      </c>
      <c r="GO34">
        <v>23.730699999999999</v>
      </c>
      <c r="GP34">
        <v>800</v>
      </c>
      <c r="GQ34">
        <v>12.5298</v>
      </c>
      <c r="GR34">
        <v>99.650400000000005</v>
      </c>
      <c r="GS34">
        <v>99.423000000000002</v>
      </c>
    </row>
    <row r="35" spans="1:201" x14ac:dyDescent="0.25">
      <c r="A35">
        <v>19</v>
      </c>
      <c r="B35">
        <v>1690212595.5999999</v>
      </c>
      <c r="C35">
        <v>328.09999990463263</v>
      </c>
      <c r="D35" t="s">
        <v>369</v>
      </c>
      <c r="E35" t="s">
        <v>370</v>
      </c>
      <c r="F35" t="s">
        <v>330</v>
      </c>
      <c r="H35">
        <v>1690212595.5999999</v>
      </c>
      <c r="I35">
        <f t="shared" si="0"/>
        <v>3.7168519102647341E-4</v>
      </c>
      <c r="J35">
        <f t="shared" si="1"/>
        <v>0.3716851910264734</v>
      </c>
      <c r="K35">
        <f t="shared" si="2"/>
        <v>1.8214365967486952</v>
      </c>
      <c r="L35">
        <f t="shared" si="3"/>
        <v>775.77</v>
      </c>
      <c r="M35">
        <f t="shared" si="4"/>
        <v>497.41741401117679</v>
      </c>
      <c r="N35">
        <f t="shared" si="5"/>
        <v>49.344917705576812</v>
      </c>
      <c r="O35">
        <f t="shared" si="6"/>
        <v>76.95811551864</v>
      </c>
      <c r="P35">
        <f t="shared" si="7"/>
        <v>1.1863013063999325E-2</v>
      </c>
      <c r="Q35">
        <f t="shared" si="8"/>
        <v>2.0145685389756389</v>
      </c>
      <c r="R35">
        <f t="shared" si="9"/>
        <v>1.1824340407980517E-2</v>
      </c>
      <c r="S35">
        <f t="shared" si="10"/>
        <v>7.3936767752032177E-3</v>
      </c>
      <c r="T35">
        <f t="shared" si="11"/>
        <v>276.11269360509385</v>
      </c>
      <c r="U35">
        <f t="shared" si="12"/>
        <v>29.178908536540206</v>
      </c>
      <c r="V35">
        <f t="shared" si="13"/>
        <v>29.178908536540206</v>
      </c>
      <c r="W35">
        <f t="shared" si="14"/>
        <v>4.0635971039201939</v>
      </c>
      <c r="X35">
        <f t="shared" si="15"/>
        <v>28.613464733167053</v>
      </c>
      <c r="Y35">
        <f t="shared" si="16"/>
        <v>1.0252649879431999</v>
      </c>
      <c r="Z35">
        <f t="shared" si="17"/>
        <v>3.5831556838860297</v>
      </c>
      <c r="AA35">
        <f t="shared" si="18"/>
        <v>3.0383321159769938</v>
      </c>
      <c r="AB35">
        <f t="shared" si="19"/>
        <v>-16.391316924267478</v>
      </c>
      <c r="AC35">
        <f t="shared" si="20"/>
        <v>-234.58641140499557</v>
      </c>
      <c r="AD35">
        <f t="shared" si="21"/>
        <v>-25.407699281543501</v>
      </c>
      <c r="AE35">
        <f t="shared" si="22"/>
        <v>-0.27273400571269235</v>
      </c>
      <c r="AF35">
        <v>40</v>
      </c>
      <c r="AG35">
        <v>13</v>
      </c>
      <c r="AH35">
        <f t="shared" si="23"/>
        <v>1</v>
      </c>
      <c r="AI35">
        <f t="shared" si="24"/>
        <v>0</v>
      </c>
      <c r="AJ35">
        <f t="shared" si="25"/>
        <v>52518.639696389881</v>
      </c>
      <c r="AK35">
        <f t="shared" si="26"/>
        <v>1799.98</v>
      </c>
      <c r="AL35">
        <f t="shared" si="27"/>
        <v>1499.0938690163803</v>
      </c>
      <c r="AM35">
        <f t="shared" si="28"/>
        <v>0.83283918100000009</v>
      </c>
      <c r="AN35">
        <f t="shared" si="29"/>
        <v>0.15339764531000002</v>
      </c>
      <c r="AO35">
        <v>34.5</v>
      </c>
      <c r="AP35">
        <v>0.5</v>
      </c>
      <c r="AQ35" t="s">
        <v>331</v>
      </c>
      <c r="AR35">
        <v>2</v>
      </c>
      <c r="AS35">
        <v>1690212595.5999999</v>
      </c>
      <c r="AT35">
        <v>775.77</v>
      </c>
      <c r="AU35">
        <v>800.01499999999999</v>
      </c>
      <c r="AV35">
        <v>10.335100000000001</v>
      </c>
      <c r="AW35">
        <v>6.1079400000000001</v>
      </c>
      <c r="AX35">
        <v>776.26400000000001</v>
      </c>
      <c r="AY35">
        <v>10.358499999999999</v>
      </c>
      <c r="AZ35">
        <v>300.21600000000001</v>
      </c>
      <c r="BA35">
        <v>99.102099999999993</v>
      </c>
      <c r="BB35">
        <v>0.100132</v>
      </c>
      <c r="BC35">
        <v>27.018999999999998</v>
      </c>
      <c r="BD35">
        <v>27.0077</v>
      </c>
      <c r="BE35">
        <v>28.9923</v>
      </c>
      <c r="BF35">
        <v>0</v>
      </c>
      <c r="BG35">
        <v>0</v>
      </c>
      <c r="BH35">
        <v>10023.799999999999</v>
      </c>
      <c r="BI35">
        <v>1075.27</v>
      </c>
      <c r="BJ35">
        <v>2.1305100000000001</v>
      </c>
      <c r="BK35">
        <v>-24.2455</v>
      </c>
      <c r="BL35">
        <v>783.87099999999998</v>
      </c>
      <c r="BM35">
        <v>804.93100000000004</v>
      </c>
      <c r="BN35">
        <v>4.2271900000000002</v>
      </c>
      <c r="BO35">
        <v>800.01499999999999</v>
      </c>
      <c r="BP35">
        <v>6.1079400000000001</v>
      </c>
      <c r="BQ35">
        <v>1.02423</v>
      </c>
      <c r="BR35">
        <v>0.60530899999999999</v>
      </c>
      <c r="BS35">
        <v>7.2657299999999996</v>
      </c>
      <c r="BT35">
        <v>-0.18826899999999999</v>
      </c>
      <c r="BU35">
        <v>1799.98</v>
      </c>
      <c r="BV35">
        <v>0.90998900000000005</v>
      </c>
      <c r="BW35">
        <v>3.3998199999999999E-2</v>
      </c>
      <c r="BX35">
        <v>2.20038E-2</v>
      </c>
      <c r="BY35">
        <v>3.4008499999999997E-2</v>
      </c>
      <c r="BZ35">
        <v>26</v>
      </c>
      <c r="CA35">
        <v>33528</v>
      </c>
      <c r="CB35">
        <v>1690211922</v>
      </c>
      <c r="CC35" t="s">
        <v>332</v>
      </c>
      <c r="CD35">
        <v>1690211915</v>
      </c>
      <c r="CE35">
        <v>1690211922</v>
      </c>
      <c r="CF35">
        <v>6</v>
      </c>
      <c r="CG35">
        <v>1.0999999999999999E-2</v>
      </c>
      <c r="CH35">
        <v>8.0000000000000002E-3</v>
      </c>
      <c r="CI35">
        <v>-0.51100000000000001</v>
      </c>
      <c r="CJ35">
        <v>-6.6000000000000003E-2</v>
      </c>
      <c r="CK35">
        <v>800</v>
      </c>
      <c r="CL35">
        <v>6</v>
      </c>
      <c r="CM35">
        <v>0.21</v>
      </c>
      <c r="CN35">
        <v>0.02</v>
      </c>
      <c r="CO35">
        <v>-20.122443902439031</v>
      </c>
      <c r="CP35">
        <v>-21.224839024390239</v>
      </c>
      <c r="CQ35">
        <v>2.0939043582473409</v>
      </c>
      <c r="CR35">
        <v>-1</v>
      </c>
      <c r="CS35">
        <v>3.9430560975609761</v>
      </c>
      <c r="CT35">
        <v>1.458057282229968</v>
      </c>
      <c r="CU35">
        <v>0.14391394057591519</v>
      </c>
      <c r="CV35">
        <v>-1</v>
      </c>
      <c r="CW35">
        <v>0</v>
      </c>
      <c r="CX35">
        <v>0</v>
      </c>
      <c r="CY35" t="s">
        <v>333</v>
      </c>
      <c r="CZ35">
        <v>2.3643399999999999</v>
      </c>
      <c r="DA35">
        <v>2.71394</v>
      </c>
      <c r="DB35">
        <v>0.14352200000000001</v>
      </c>
      <c r="DC35">
        <v>0.14605799999999999</v>
      </c>
      <c r="DD35">
        <v>6.1730300000000002E-2</v>
      </c>
      <c r="DE35">
        <v>4.0016599999999999E-2</v>
      </c>
      <c r="DF35">
        <v>31246.3</v>
      </c>
      <c r="DG35">
        <v>27482.1</v>
      </c>
      <c r="DH35">
        <v>31146.5</v>
      </c>
      <c r="DI35">
        <v>28043.9</v>
      </c>
      <c r="DJ35">
        <v>39690</v>
      </c>
      <c r="DK35">
        <v>38277.699999999997</v>
      </c>
      <c r="DL35">
        <v>44320.3</v>
      </c>
      <c r="DM35">
        <v>42497</v>
      </c>
      <c r="DN35">
        <v>1.3691</v>
      </c>
      <c r="DO35">
        <v>2.0315699999999999</v>
      </c>
      <c r="DP35">
        <v>6.7003099999999996E-2</v>
      </c>
      <c r="DQ35">
        <v>0.19642000000000001</v>
      </c>
      <c r="DR35">
        <v>25.910900000000002</v>
      </c>
      <c r="DS35">
        <v>25.782</v>
      </c>
      <c r="DT35">
        <v>18.2</v>
      </c>
      <c r="DU35">
        <v>29.6</v>
      </c>
      <c r="DV35">
        <v>7.6463000000000001</v>
      </c>
      <c r="DW35">
        <v>61.751199999999997</v>
      </c>
      <c r="DX35">
        <v>36.290100000000002</v>
      </c>
      <c r="DY35">
        <v>1</v>
      </c>
      <c r="DZ35">
        <v>-6.7665100000000006E-2</v>
      </c>
      <c r="EA35">
        <v>1.65036</v>
      </c>
      <c r="EB35">
        <v>20.179500000000001</v>
      </c>
      <c r="EC35">
        <v>5.24125</v>
      </c>
      <c r="ED35">
        <v>12.039899999999999</v>
      </c>
      <c r="EE35">
        <v>5.0175000000000001</v>
      </c>
      <c r="EF35">
        <v>3.2879999999999998</v>
      </c>
      <c r="EG35">
        <v>9999</v>
      </c>
      <c r="EH35">
        <v>9999</v>
      </c>
      <c r="EI35">
        <v>9999</v>
      </c>
      <c r="EJ35">
        <v>999.9</v>
      </c>
      <c r="EK35">
        <v>1.8689199999999999</v>
      </c>
      <c r="EL35">
        <v>1.86466</v>
      </c>
      <c r="EM35">
        <v>1.8692</v>
      </c>
      <c r="EN35">
        <v>1.8672500000000001</v>
      </c>
      <c r="EO35">
        <v>1.86341</v>
      </c>
      <c r="EP35">
        <v>1.8646</v>
      </c>
      <c r="EQ35">
        <v>1.87019</v>
      </c>
      <c r="ER35">
        <v>1.86947</v>
      </c>
      <c r="ES35">
        <v>0</v>
      </c>
      <c r="ET35">
        <v>0</v>
      </c>
      <c r="EU35">
        <v>0</v>
      </c>
      <c r="EV35">
        <v>0</v>
      </c>
      <c r="EW35" t="s">
        <v>334</v>
      </c>
      <c r="EX35" t="s">
        <v>335</v>
      </c>
      <c r="EY35" t="s">
        <v>336</v>
      </c>
      <c r="EZ35" t="s">
        <v>336</v>
      </c>
      <c r="FA35" t="s">
        <v>336</v>
      </c>
      <c r="FB35" t="s">
        <v>336</v>
      </c>
      <c r="FC35">
        <v>0</v>
      </c>
      <c r="FD35">
        <v>100</v>
      </c>
      <c r="FE35">
        <v>100</v>
      </c>
      <c r="FF35">
        <v>-0.49399999999999999</v>
      </c>
      <c r="FG35">
        <v>-2.3400000000000001E-2</v>
      </c>
      <c r="FH35">
        <v>4.0020685143421282E-2</v>
      </c>
      <c r="FI35">
        <v>-6.1462078757559423E-4</v>
      </c>
      <c r="FJ35">
        <v>-1.8861989874597051E-7</v>
      </c>
      <c r="FK35">
        <v>1.1980462299894961E-10</v>
      </c>
      <c r="FL35">
        <v>-3.1035565592992288E-2</v>
      </c>
      <c r="FM35">
        <v>-1.6848085045870601E-2</v>
      </c>
      <c r="FN35">
        <v>1.9789084769509481E-3</v>
      </c>
      <c r="FO35">
        <v>-2.7142391389806329E-5</v>
      </c>
      <c r="FP35">
        <v>3</v>
      </c>
      <c r="FQ35">
        <v>2158</v>
      </c>
      <c r="FR35">
        <v>1</v>
      </c>
      <c r="FS35">
        <v>19</v>
      </c>
      <c r="FT35">
        <v>11.3</v>
      </c>
      <c r="FU35">
        <v>11.2</v>
      </c>
      <c r="FV35">
        <v>1.77979</v>
      </c>
      <c r="FW35">
        <v>2.5744600000000002</v>
      </c>
      <c r="FX35">
        <v>1.5490699999999999</v>
      </c>
      <c r="FY35">
        <v>2.3290999999999999</v>
      </c>
      <c r="FZ35">
        <v>1.50146</v>
      </c>
      <c r="GA35">
        <v>2.4047900000000002</v>
      </c>
      <c r="GB35">
        <v>33.738100000000003</v>
      </c>
      <c r="GC35">
        <v>23.991199999999999</v>
      </c>
      <c r="GD35">
        <v>19</v>
      </c>
      <c r="GE35">
        <v>240.66900000000001</v>
      </c>
      <c r="GF35">
        <v>581.54999999999995</v>
      </c>
      <c r="GG35">
        <v>23.562200000000001</v>
      </c>
      <c r="GH35">
        <v>26.5319</v>
      </c>
      <c r="GI35">
        <v>29.9999</v>
      </c>
      <c r="GJ35">
        <v>26.589700000000001</v>
      </c>
      <c r="GK35">
        <v>26.547000000000001</v>
      </c>
      <c r="GL35">
        <v>35.594999999999999</v>
      </c>
      <c r="GM35">
        <v>-30</v>
      </c>
      <c r="GN35">
        <v>-30</v>
      </c>
      <c r="GO35">
        <v>23.608599999999999</v>
      </c>
      <c r="GP35">
        <v>800</v>
      </c>
      <c r="GQ35">
        <v>12.5298</v>
      </c>
      <c r="GR35">
        <v>99.65</v>
      </c>
      <c r="GS35">
        <v>99.422600000000003</v>
      </c>
    </row>
    <row r="36" spans="1:201" x14ac:dyDescent="0.25">
      <c r="A36">
        <v>20</v>
      </c>
      <c r="B36">
        <v>1690212605.5999999</v>
      </c>
      <c r="C36">
        <v>338.09999990463263</v>
      </c>
      <c r="D36" t="s">
        <v>371</v>
      </c>
      <c r="E36" t="s">
        <v>372</v>
      </c>
      <c r="F36" t="s">
        <v>330</v>
      </c>
      <c r="H36">
        <v>1690212605.5999999</v>
      </c>
      <c r="I36">
        <f t="shared" si="0"/>
        <v>3.9868387135095021E-4</v>
      </c>
      <c r="J36">
        <f t="shared" si="1"/>
        <v>0.39868387135095018</v>
      </c>
      <c r="K36">
        <f t="shared" si="2"/>
        <v>2.1661609675756659</v>
      </c>
      <c r="L36">
        <f t="shared" si="3"/>
        <v>771.58399999999995</v>
      </c>
      <c r="M36">
        <f t="shared" si="4"/>
        <v>471.56154129716958</v>
      </c>
      <c r="N36">
        <f t="shared" si="5"/>
        <v>46.781635520940263</v>
      </c>
      <c r="O36">
        <f t="shared" si="6"/>
        <v>76.545600734310398</v>
      </c>
      <c r="P36">
        <f t="shared" si="7"/>
        <v>1.291285448311217E-2</v>
      </c>
      <c r="Q36">
        <f t="shared" si="8"/>
        <v>2.011596467532863</v>
      </c>
      <c r="R36">
        <f t="shared" si="9"/>
        <v>1.286698097243302E-2</v>
      </c>
      <c r="S36">
        <f t="shared" si="10"/>
        <v>8.0459710134406903E-3</v>
      </c>
      <c r="T36">
        <f t="shared" si="11"/>
        <v>276.11215708505517</v>
      </c>
      <c r="U36">
        <f t="shared" si="12"/>
        <v>29.122873548415363</v>
      </c>
      <c r="V36">
        <f t="shared" si="13"/>
        <v>29.122873548415363</v>
      </c>
      <c r="W36">
        <f t="shared" si="14"/>
        <v>4.0504569298355708</v>
      </c>
      <c r="X36">
        <f t="shared" si="15"/>
        <v>29.547068908449408</v>
      </c>
      <c r="Y36">
        <f t="shared" si="16"/>
        <v>1.05566865893272</v>
      </c>
      <c r="Z36">
        <f t="shared" si="17"/>
        <v>3.5728371643348904</v>
      </c>
      <c r="AA36">
        <f t="shared" si="18"/>
        <v>2.994788270902851</v>
      </c>
      <c r="AB36">
        <f t="shared" si="19"/>
        <v>-17.581958726576904</v>
      </c>
      <c r="AC36">
        <f t="shared" si="20"/>
        <v>-233.48823474228595</v>
      </c>
      <c r="AD36">
        <f t="shared" si="21"/>
        <v>-25.312856409203167</v>
      </c>
      <c r="AE36">
        <f t="shared" si="22"/>
        <v>-0.27089279301085867</v>
      </c>
      <c r="AF36">
        <v>40</v>
      </c>
      <c r="AG36">
        <v>13</v>
      </c>
      <c r="AH36">
        <f t="shared" si="23"/>
        <v>1</v>
      </c>
      <c r="AI36">
        <f t="shared" si="24"/>
        <v>0</v>
      </c>
      <c r="AJ36">
        <f t="shared" si="25"/>
        <v>52384.466596006765</v>
      </c>
      <c r="AK36">
        <f t="shared" si="26"/>
        <v>1799.98</v>
      </c>
      <c r="AL36">
        <f t="shared" si="27"/>
        <v>1499.09655638652</v>
      </c>
      <c r="AM36">
        <f t="shared" si="28"/>
        <v>0.83284067399999995</v>
      </c>
      <c r="AN36">
        <f t="shared" si="29"/>
        <v>0.15339734723999998</v>
      </c>
      <c r="AO36">
        <v>34.5</v>
      </c>
      <c r="AP36">
        <v>0.5</v>
      </c>
      <c r="AQ36" t="s">
        <v>331</v>
      </c>
      <c r="AR36">
        <v>2</v>
      </c>
      <c r="AS36">
        <v>1690212605.5999999</v>
      </c>
      <c r="AT36">
        <v>771.58399999999995</v>
      </c>
      <c r="AU36">
        <v>800.01900000000001</v>
      </c>
      <c r="AV36">
        <v>10.6412</v>
      </c>
      <c r="AW36">
        <v>6.1072699999999998</v>
      </c>
      <c r="AX36">
        <v>772.07600000000002</v>
      </c>
      <c r="AY36">
        <v>10.6599</v>
      </c>
      <c r="AZ36">
        <v>300.142</v>
      </c>
      <c r="BA36">
        <v>99.105800000000002</v>
      </c>
      <c r="BB36">
        <v>9.9990599999999999E-2</v>
      </c>
      <c r="BC36">
        <v>26.969899999999999</v>
      </c>
      <c r="BD36">
        <v>26.953700000000001</v>
      </c>
      <c r="BE36">
        <v>28.9361</v>
      </c>
      <c r="BF36">
        <v>0</v>
      </c>
      <c r="BG36">
        <v>0</v>
      </c>
      <c r="BH36">
        <v>9995</v>
      </c>
      <c r="BI36">
        <v>1075.17</v>
      </c>
      <c r="BJ36">
        <v>2.1305100000000001</v>
      </c>
      <c r="BK36">
        <v>-28.435099999999998</v>
      </c>
      <c r="BL36">
        <v>779.88300000000004</v>
      </c>
      <c r="BM36">
        <v>804.93499999999995</v>
      </c>
      <c r="BN36">
        <v>4.5339400000000003</v>
      </c>
      <c r="BO36">
        <v>800.01900000000001</v>
      </c>
      <c r="BP36">
        <v>6.1072699999999998</v>
      </c>
      <c r="BQ36">
        <v>1.05461</v>
      </c>
      <c r="BR36">
        <v>0.60526500000000005</v>
      </c>
      <c r="BS36">
        <v>7.6934300000000002</v>
      </c>
      <c r="BT36">
        <v>-0.18926699999999999</v>
      </c>
      <c r="BU36">
        <v>1799.98</v>
      </c>
      <c r="BV36">
        <v>0.91000400000000004</v>
      </c>
      <c r="BW36">
        <v>3.3992700000000001E-2</v>
      </c>
      <c r="BX36">
        <v>2.2000200000000001E-2</v>
      </c>
      <c r="BY36">
        <v>3.4002999999999999E-2</v>
      </c>
      <c r="BZ36">
        <v>26</v>
      </c>
      <c r="CA36">
        <v>33528.1</v>
      </c>
      <c r="CB36">
        <v>1690211922</v>
      </c>
      <c r="CC36" t="s">
        <v>332</v>
      </c>
      <c r="CD36">
        <v>1690211915</v>
      </c>
      <c r="CE36">
        <v>1690211922</v>
      </c>
      <c r="CF36">
        <v>6</v>
      </c>
      <c r="CG36">
        <v>1.0999999999999999E-2</v>
      </c>
      <c r="CH36">
        <v>8.0000000000000002E-3</v>
      </c>
      <c r="CI36">
        <v>-0.51100000000000001</v>
      </c>
      <c r="CJ36">
        <v>-6.6000000000000003E-2</v>
      </c>
      <c r="CK36">
        <v>800</v>
      </c>
      <c r="CL36">
        <v>6</v>
      </c>
      <c r="CM36">
        <v>0.21</v>
      </c>
      <c r="CN36">
        <v>0.02</v>
      </c>
      <c r="CO36">
        <v>-23.884329268292682</v>
      </c>
      <c r="CP36">
        <v>-24.020285017421632</v>
      </c>
      <c r="CQ36">
        <v>2.369519275135977</v>
      </c>
      <c r="CR36">
        <v>-1</v>
      </c>
      <c r="CS36">
        <v>4.2055056097560977</v>
      </c>
      <c r="CT36">
        <v>1.694283135888518</v>
      </c>
      <c r="CU36">
        <v>0.16716408271951691</v>
      </c>
      <c r="CV36">
        <v>-1</v>
      </c>
      <c r="CW36">
        <v>0</v>
      </c>
      <c r="CX36">
        <v>0</v>
      </c>
      <c r="CY36" t="s">
        <v>333</v>
      </c>
      <c r="CZ36">
        <v>2.3641000000000001</v>
      </c>
      <c r="DA36">
        <v>2.7137799999999999</v>
      </c>
      <c r="DB36">
        <v>0.143011</v>
      </c>
      <c r="DC36">
        <v>0.146063</v>
      </c>
      <c r="DD36">
        <v>6.3111899999999999E-2</v>
      </c>
      <c r="DE36">
        <v>4.0014099999999997E-2</v>
      </c>
      <c r="DF36">
        <v>31265</v>
      </c>
      <c r="DG36">
        <v>27482</v>
      </c>
      <c r="DH36">
        <v>31146.5</v>
      </c>
      <c r="DI36">
        <v>28044</v>
      </c>
      <c r="DJ36">
        <v>39631.4</v>
      </c>
      <c r="DK36">
        <v>38277.9</v>
      </c>
      <c r="DL36">
        <v>44320.4</v>
      </c>
      <c r="DM36">
        <v>42497.1</v>
      </c>
      <c r="DN36">
        <v>1.3696999999999999</v>
      </c>
      <c r="DO36">
        <v>2.0318499999999999</v>
      </c>
      <c r="DP36">
        <v>6.4373E-2</v>
      </c>
      <c r="DQ36">
        <v>0.19442999999999999</v>
      </c>
      <c r="DR36">
        <v>25.9</v>
      </c>
      <c r="DS36">
        <v>25.758099999999999</v>
      </c>
      <c r="DT36">
        <v>18.2</v>
      </c>
      <c r="DU36">
        <v>29.6</v>
      </c>
      <c r="DV36">
        <v>7.6457300000000004</v>
      </c>
      <c r="DW36">
        <v>61.561199999999999</v>
      </c>
      <c r="DX36">
        <v>36.061700000000002</v>
      </c>
      <c r="DY36">
        <v>1</v>
      </c>
      <c r="DZ36">
        <v>-6.7723599999999995E-2</v>
      </c>
      <c r="EA36">
        <v>-1.6140399999999999</v>
      </c>
      <c r="EB36">
        <v>20.1556</v>
      </c>
      <c r="EC36">
        <v>5.24125</v>
      </c>
      <c r="ED36">
        <v>12.039899999999999</v>
      </c>
      <c r="EE36">
        <v>5.0175999999999998</v>
      </c>
      <c r="EF36">
        <v>3.2879999999999998</v>
      </c>
      <c r="EG36">
        <v>9999</v>
      </c>
      <c r="EH36">
        <v>9999</v>
      </c>
      <c r="EI36">
        <v>9999</v>
      </c>
      <c r="EJ36">
        <v>999.9</v>
      </c>
      <c r="EK36">
        <v>1.8689100000000001</v>
      </c>
      <c r="EL36">
        <v>1.86466</v>
      </c>
      <c r="EM36">
        <v>1.8691899999999999</v>
      </c>
      <c r="EN36">
        <v>1.86724</v>
      </c>
      <c r="EO36">
        <v>1.86341</v>
      </c>
      <c r="EP36">
        <v>1.8645799999999999</v>
      </c>
      <c r="EQ36">
        <v>1.87019</v>
      </c>
      <c r="ER36">
        <v>1.86947</v>
      </c>
      <c r="ES36">
        <v>0</v>
      </c>
      <c r="ET36">
        <v>0</v>
      </c>
      <c r="EU36">
        <v>0</v>
      </c>
      <c r="EV36">
        <v>0</v>
      </c>
      <c r="EW36" t="s">
        <v>334</v>
      </c>
      <c r="EX36" t="s">
        <v>335</v>
      </c>
      <c r="EY36" t="s">
        <v>336</v>
      </c>
      <c r="EZ36" t="s">
        <v>336</v>
      </c>
      <c r="FA36" t="s">
        <v>336</v>
      </c>
      <c r="FB36" t="s">
        <v>336</v>
      </c>
      <c r="FC36">
        <v>0</v>
      </c>
      <c r="FD36">
        <v>100</v>
      </c>
      <c r="FE36">
        <v>100</v>
      </c>
      <c r="FF36">
        <v>-0.49199999999999999</v>
      </c>
      <c r="FG36">
        <v>-1.8700000000000001E-2</v>
      </c>
      <c r="FH36">
        <v>4.0020685143421282E-2</v>
      </c>
      <c r="FI36">
        <v>-6.1462078757559423E-4</v>
      </c>
      <c r="FJ36">
        <v>-1.8861989874597051E-7</v>
      </c>
      <c r="FK36">
        <v>1.1980462299894961E-10</v>
      </c>
      <c r="FL36">
        <v>-3.1035565592992288E-2</v>
      </c>
      <c r="FM36">
        <v>-1.6848085045870601E-2</v>
      </c>
      <c r="FN36">
        <v>1.9789084769509481E-3</v>
      </c>
      <c r="FO36">
        <v>-2.7142391389806329E-5</v>
      </c>
      <c r="FP36">
        <v>3</v>
      </c>
      <c r="FQ36">
        <v>2158</v>
      </c>
      <c r="FR36">
        <v>1</v>
      </c>
      <c r="FS36">
        <v>19</v>
      </c>
      <c r="FT36">
        <v>11.5</v>
      </c>
      <c r="FU36">
        <v>11.4</v>
      </c>
      <c r="FV36">
        <v>1.77979</v>
      </c>
      <c r="FW36">
        <v>2.5781200000000002</v>
      </c>
      <c r="FX36">
        <v>1.5490699999999999</v>
      </c>
      <c r="FY36">
        <v>2.3290999999999999</v>
      </c>
      <c r="FZ36">
        <v>1.50146</v>
      </c>
      <c r="GA36">
        <v>2.3877000000000002</v>
      </c>
      <c r="GB36">
        <v>33.738100000000003</v>
      </c>
      <c r="GC36">
        <v>23.973700000000001</v>
      </c>
      <c r="GD36">
        <v>19</v>
      </c>
      <c r="GE36">
        <v>240.91499999999999</v>
      </c>
      <c r="GF36">
        <v>581.82000000000005</v>
      </c>
      <c r="GG36">
        <v>23.700199999999999</v>
      </c>
      <c r="GH36">
        <v>26.536899999999999</v>
      </c>
      <c r="GI36">
        <v>30.000299999999999</v>
      </c>
      <c r="GJ36">
        <v>26.5947</v>
      </c>
      <c r="GK36">
        <v>26.550799999999999</v>
      </c>
      <c r="GL36">
        <v>35.594099999999997</v>
      </c>
      <c r="GM36">
        <v>-30</v>
      </c>
      <c r="GN36">
        <v>-30</v>
      </c>
      <c r="GO36">
        <v>24.5825</v>
      </c>
      <c r="GP36">
        <v>800</v>
      </c>
      <c r="GQ36">
        <v>12.5298</v>
      </c>
      <c r="GR36">
        <v>99.650300000000001</v>
      </c>
      <c r="GS36">
        <v>99.422700000000006</v>
      </c>
    </row>
    <row r="37" spans="1:201" x14ac:dyDescent="0.25">
      <c r="A37">
        <v>21</v>
      </c>
      <c r="B37">
        <v>1690212615.5999999</v>
      </c>
      <c r="C37">
        <v>348.09999990463263</v>
      </c>
      <c r="D37" t="s">
        <v>373</v>
      </c>
      <c r="E37" t="s">
        <v>374</v>
      </c>
      <c r="F37" t="s">
        <v>330</v>
      </c>
      <c r="H37">
        <v>1690212615.5999999</v>
      </c>
      <c r="I37">
        <f t="shared" si="0"/>
        <v>4.3024204453080516E-4</v>
      </c>
      <c r="J37">
        <f t="shared" si="1"/>
        <v>0.43024204453080517</v>
      </c>
      <c r="K37">
        <f t="shared" si="2"/>
        <v>2.5313395835570258</v>
      </c>
      <c r="L37">
        <f t="shared" si="3"/>
        <v>767.15099999999995</v>
      </c>
      <c r="M37">
        <f t="shared" si="4"/>
        <v>448.31667703862172</v>
      </c>
      <c r="N37">
        <f t="shared" si="5"/>
        <v>44.476203687071731</v>
      </c>
      <c r="O37">
        <f t="shared" si="6"/>
        <v>76.106836712214005</v>
      </c>
      <c r="P37">
        <f t="shared" si="7"/>
        <v>1.4061731630965019E-2</v>
      </c>
      <c r="Q37">
        <f t="shared" si="8"/>
        <v>2.0104975952445825</v>
      </c>
      <c r="R37">
        <f t="shared" si="9"/>
        <v>1.4007321067681749E-2</v>
      </c>
      <c r="S37">
        <f t="shared" si="10"/>
        <v>8.7594466205272135E-3</v>
      </c>
      <c r="T37">
        <f t="shared" si="11"/>
        <v>276.11212023946456</v>
      </c>
      <c r="U37">
        <f t="shared" si="12"/>
        <v>29.159641940125923</v>
      </c>
      <c r="V37">
        <f t="shared" si="13"/>
        <v>29.159641940125923</v>
      </c>
      <c r="W37">
        <f t="shared" si="14"/>
        <v>4.059074911124001</v>
      </c>
      <c r="X37">
        <f t="shared" si="15"/>
        <v>30.450243502771862</v>
      </c>
      <c r="Y37">
        <f t="shared" si="16"/>
        <v>1.0909707119465999</v>
      </c>
      <c r="Z37">
        <f t="shared" si="17"/>
        <v>3.5827979892748303</v>
      </c>
      <c r="AA37">
        <f t="shared" si="18"/>
        <v>2.9681041991774011</v>
      </c>
      <c r="AB37">
        <f t="shared" si="19"/>
        <v>-18.973674163808507</v>
      </c>
      <c r="AC37">
        <f t="shared" si="20"/>
        <v>-232.20832796394259</v>
      </c>
      <c r="AD37">
        <f t="shared" si="21"/>
        <v>-25.198420357006981</v>
      </c>
      <c r="AE37">
        <f t="shared" si="22"/>
        <v>-0.26830224529351199</v>
      </c>
      <c r="AF37">
        <v>40</v>
      </c>
      <c r="AG37">
        <v>13</v>
      </c>
      <c r="AH37">
        <f t="shared" si="23"/>
        <v>1</v>
      </c>
      <c r="AI37">
        <f t="shared" si="24"/>
        <v>0</v>
      </c>
      <c r="AJ37">
        <f t="shared" si="25"/>
        <v>52323.484964403026</v>
      </c>
      <c r="AK37">
        <f t="shared" si="26"/>
        <v>1799.98</v>
      </c>
      <c r="AL37">
        <f t="shared" si="27"/>
        <v>1499.0941768129599</v>
      </c>
      <c r="AM37">
        <f t="shared" si="28"/>
        <v>0.83283935199999992</v>
      </c>
      <c r="AN37">
        <f t="shared" si="29"/>
        <v>0.15339732676999998</v>
      </c>
      <c r="AO37">
        <v>34.5</v>
      </c>
      <c r="AP37">
        <v>0.5</v>
      </c>
      <c r="AQ37" t="s">
        <v>331</v>
      </c>
      <c r="AR37">
        <v>2</v>
      </c>
      <c r="AS37">
        <v>1690212615.5999999</v>
      </c>
      <c r="AT37">
        <v>767.15099999999995</v>
      </c>
      <c r="AU37">
        <v>800.04</v>
      </c>
      <c r="AV37">
        <v>10.9969</v>
      </c>
      <c r="AW37">
        <v>6.1060699999999999</v>
      </c>
      <c r="AX37">
        <v>767.64</v>
      </c>
      <c r="AY37">
        <v>11.0098</v>
      </c>
      <c r="AZ37">
        <v>300.15600000000001</v>
      </c>
      <c r="BA37">
        <v>99.107100000000003</v>
      </c>
      <c r="BB37">
        <v>0.10001400000000001</v>
      </c>
      <c r="BC37">
        <v>27.017299999999999</v>
      </c>
      <c r="BD37">
        <v>26.9939</v>
      </c>
      <c r="BE37">
        <v>28.945900000000002</v>
      </c>
      <c r="BF37">
        <v>0</v>
      </c>
      <c r="BG37">
        <v>0</v>
      </c>
      <c r="BH37">
        <v>9984.3799999999992</v>
      </c>
      <c r="BI37">
        <v>1075.05</v>
      </c>
      <c r="BJ37">
        <v>2.1305100000000001</v>
      </c>
      <c r="BK37">
        <v>-32.889099999999999</v>
      </c>
      <c r="BL37">
        <v>775.68100000000004</v>
      </c>
      <c r="BM37">
        <v>804.95500000000004</v>
      </c>
      <c r="BN37">
        <v>4.8908800000000001</v>
      </c>
      <c r="BO37">
        <v>800.04</v>
      </c>
      <c r="BP37">
        <v>6.1060699999999999</v>
      </c>
      <c r="BQ37">
        <v>1.08988</v>
      </c>
      <c r="BR37">
        <v>0.605155</v>
      </c>
      <c r="BS37">
        <v>8.1766900000000007</v>
      </c>
      <c r="BT37">
        <v>-0.19178100000000001</v>
      </c>
      <c r="BU37">
        <v>1799.98</v>
      </c>
      <c r="BV37">
        <v>0.90999699999999994</v>
      </c>
      <c r="BW37">
        <v>3.4008099999999999E-2</v>
      </c>
      <c r="BX37">
        <v>2.1997099999999999E-2</v>
      </c>
      <c r="BY37">
        <v>3.3998300000000002E-2</v>
      </c>
      <c r="BZ37">
        <v>26</v>
      </c>
      <c r="CA37">
        <v>33528</v>
      </c>
      <c r="CB37">
        <v>1690211922</v>
      </c>
      <c r="CC37" t="s">
        <v>332</v>
      </c>
      <c r="CD37">
        <v>1690211915</v>
      </c>
      <c r="CE37">
        <v>1690211922</v>
      </c>
      <c r="CF37">
        <v>6</v>
      </c>
      <c r="CG37">
        <v>1.0999999999999999E-2</v>
      </c>
      <c r="CH37">
        <v>8.0000000000000002E-3</v>
      </c>
      <c r="CI37">
        <v>-0.51100000000000001</v>
      </c>
      <c r="CJ37">
        <v>-6.6000000000000003E-2</v>
      </c>
      <c r="CK37">
        <v>800</v>
      </c>
      <c r="CL37">
        <v>6</v>
      </c>
      <c r="CM37">
        <v>0.21</v>
      </c>
      <c r="CN37">
        <v>0.02</v>
      </c>
      <c r="CO37">
        <v>-27.925387499999999</v>
      </c>
      <c r="CP37">
        <v>-25.738386866791711</v>
      </c>
      <c r="CQ37">
        <v>2.4763512849742768</v>
      </c>
      <c r="CR37">
        <v>-1</v>
      </c>
      <c r="CS37">
        <v>4.5013882499999998</v>
      </c>
      <c r="CT37">
        <v>1.9538727579737249</v>
      </c>
      <c r="CU37">
        <v>0.1881038907610299</v>
      </c>
      <c r="CV37">
        <v>-1</v>
      </c>
      <c r="CW37">
        <v>0</v>
      </c>
      <c r="CX37">
        <v>0</v>
      </c>
      <c r="CY37" t="s">
        <v>333</v>
      </c>
      <c r="CZ37">
        <v>2.36416</v>
      </c>
      <c r="DA37">
        <v>2.7137899999999999</v>
      </c>
      <c r="DB37">
        <v>0.14246600000000001</v>
      </c>
      <c r="DC37">
        <v>0.146066</v>
      </c>
      <c r="DD37">
        <v>6.46978E-2</v>
      </c>
      <c r="DE37">
        <v>4.0007899999999999E-2</v>
      </c>
      <c r="DF37">
        <v>31284.7</v>
      </c>
      <c r="DG37">
        <v>27481.8</v>
      </c>
      <c r="DH37">
        <v>31146.400000000001</v>
      </c>
      <c r="DI37">
        <v>28044</v>
      </c>
      <c r="DJ37">
        <v>39563.599999999999</v>
      </c>
      <c r="DK37">
        <v>38278.199999999997</v>
      </c>
      <c r="DL37">
        <v>44320.1</v>
      </c>
      <c r="DM37">
        <v>42497.2</v>
      </c>
      <c r="DN37">
        <v>1.36975</v>
      </c>
      <c r="DO37">
        <v>2.03132</v>
      </c>
      <c r="DP37">
        <v>6.7658700000000002E-2</v>
      </c>
      <c r="DQ37">
        <v>0.196353</v>
      </c>
      <c r="DR37">
        <v>25.886399999999998</v>
      </c>
      <c r="DS37">
        <v>25.736499999999999</v>
      </c>
      <c r="DT37">
        <v>18.2</v>
      </c>
      <c r="DU37">
        <v>29.6</v>
      </c>
      <c r="DV37">
        <v>7.6452799999999996</v>
      </c>
      <c r="DW37">
        <v>62.001199999999997</v>
      </c>
      <c r="DX37">
        <v>35.997599999999998</v>
      </c>
      <c r="DY37">
        <v>1</v>
      </c>
      <c r="DZ37">
        <v>-6.9458800000000001E-2</v>
      </c>
      <c r="EA37">
        <v>-0.21961600000000001</v>
      </c>
      <c r="EB37">
        <v>20.1889</v>
      </c>
      <c r="EC37">
        <v>5.24125</v>
      </c>
      <c r="ED37">
        <v>12.039899999999999</v>
      </c>
      <c r="EE37">
        <v>5.0174000000000003</v>
      </c>
      <c r="EF37">
        <v>3.2879999999999998</v>
      </c>
      <c r="EG37">
        <v>9999</v>
      </c>
      <c r="EH37">
        <v>9999</v>
      </c>
      <c r="EI37">
        <v>9999</v>
      </c>
      <c r="EJ37">
        <v>999.9</v>
      </c>
      <c r="EK37">
        <v>1.8689100000000001</v>
      </c>
      <c r="EL37">
        <v>1.8646799999999999</v>
      </c>
      <c r="EM37">
        <v>1.8692</v>
      </c>
      <c r="EN37">
        <v>1.8672599999999999</v>
      </c>
      <c r="EO37">
        <v>1.8634200000000001</v>
      </c>
      <c r="EP37">
        <v>1.8645799999999999</v>
      </c>
      <c r="EQ37">
        <v>1.87019</v>
      </c>
      <c r="ER37">
        <v>1.8694500000000001</v>
      </c>
      <c r="ES37">
        <v>0</v>
      </c>
      <c r="ET37">
        <v>0</v>
      </c>
      <c r="EU37">
        <v>0</v>
      </c>
      <c r="EV37">
        <v>0</v>
      </c>
      <c r="EW37" t="s">
        <v>334</v>
      </c>
      <c r="EX37" t="s">
        <v>335</v>
      </c>
      <c r="EY37" t="s">
        <v>336</v>
      </c>
      <c r="EZ37" t="s">
        <v>336</v>
      </c>
      <c r="FA37" t="s">
        <v>336</v>
      </c>
      <c r="FB37" t="s">
        <v>336</v>
      </c>
      <c r="FC37">
        <v>0</v>
      </c>
      <c r="FD37">
        <v>100</v>
      </c>
      <c r="FE37">
        <v>100</v>
      </c>
      <c r="FF37">
        <v>-0.48899999999999999</v>
      </c>
      <c r="FG37">
        <v>-1.29E-2</v>
      </c>
      <c r="FH37">
        <v>4.0020685143421282E-2</v>
      </c>
      <c r="FI37">
        <v>-6.1462078757559423E-4</v>
      </c>
      <c r="FJ37">
        <v>-1.8861989874597051E-7</v>
      </c>
      <c r="FK37">
        <v>1.1980462299894961E-10</v>
      </c>
      <c r="FL37">
        <v>-3.1035565592992288E-2</v>
      </c>
      <c r="FM37">
        <v>-1.6848085045870601E-2</v>
      </c>
      <c r="FN37">
        <v>1.9789084769509481E-3</v>
      </c>
      <c r="FO37">
        <v>-2.7142391389806329E-5</v>
      </c>
      <c r="FP37">
        <v>3</v>
      </c>
      <c r="FQ37">
        <v>2158</v>
      </c>
      <c r="FR37">
        <v>1</v>
      </c>
      <c r="FS37">
        <v>19</v>
      </c>
      <c r="FT37">
        <v>11.7</v>
      </c>
      <c r="FU37">
        <v>11.6</v>
      </c>
      <c r="FV37">
        <v>1.77979</v>
      </c>
      <c r="FW37">
        <v>2.5793499999999998</v>
      </c>
      <c r="FX37">
        <v>1.5490699999999999</v>
      </c>
      <c r="FY37">
        <v>2.3290999999999999</v>
      </c>
      <c r="FZ37">
        <v>1.50146</v>
      </c>
      <c r="GA37">
        <v>2.36206</v>
      </c>
      <c r="GB37">
        <v>33.738100000000003</v>
      </c>
      <c r="GC37">
        <v>23.982399999999998</v>
      </c>
      <c r="GD37">
        <v>19</v>
      </c>
      <c r="GE37">
        <v>240.952</v>
      </c>
      <c r="GF37">
        <v>581.41800000000001</v>
      </c>
      <c r="GG37">
        <v>24.723299999999998</v>
      </c>
      <c r="GH37">
        <v>26.5425</v>
      </c>
      <c r="GI37">
        <v>29.999199999999998</v>
      </c>
      <c r="GJ37">
        <v>26.599599999999999</v>
      </c>
      <c r="GK37">
        <v>26.553599999999999</v>
      </c>
      <c r="GL37">
        <v>35.591200000000001</v>
      </c>
      <c r="GM37">
        <v>-30</v>
      </c>
      <c r="GN37">
        <v>-30</v>
      </c>
      <c r="GO37">
        <v>24.646799999999999</v>
      </c>
      <c r="GP37">
        <v>800</v>
      </c>
      <c r="GQ37">
        <v>12.5298</v>
      </c>
      <c r="GR37">
        <v>99.649699999999996</v>
      </c>
      <c r="GS37">
        <v>99.422899999999998</v>
      </c>
    </row>
    <row r="38" spans="1:201" x14ac:dyDescent="0.25">
      <c r="A38">
        <v>22</v>
      </c>
      <c r="B38">
        <v>1690212625.5999999</v>
      </c>
      <c r="C38">
        <v>358.09999990463263</v>
      </c>
      <c r="D38" t="s">
        <v>375</v>
      </c>
      <c r="E38" t="s">
        <v>376</v>
      </c>
      <c r="F38" t="s">
        <v>330</v>
      </c>
      <c r="H38">
        <v>1690212625.5999999</v>
      </c>
      <c r="I38">
        <f t="shared" si="0"/>
        <v>4.6362439111109326E-4</v>
      </c>
      <c r="J38">
        <f t="shared" si="1"/>
        <v>0.46362439111109327</v>
      </c>
      <c r="K38">
        <f t="shared" si="2"/>
        <v>2.9158293765369381</v>
      </c>
      <c r="L38">
        <f t="shared" si="3"/>
        <v>762.399</v>
      </c>
      <c r="M38">
        <f t="shared" si="4"/>
        <v>428.0532510429731</v>
      </c>
      <c r="N38">
        <f t="shared" si="5"/>
        <v>42.465484039901469</v>
      </c>
      <c r="O38">
        <f t="shared" si="6"/>
        <v>75.634614356162402</v>
      </c>
      <c r="P38">
        <f t="shared" si="7"/>
        <v>1.5329480427666915E-2</v>
      </c>
      <c r="Q38">
        <f t="shared" si="8"/>
        <v>2.0144123985709514</v>
      </c>
      <c r="R38">
        <f t="shared" si="9"/>
        <v>1.5264966130006496E-2</v>
      </c>
      <c r="S38">
        <f t="shared" si="10"/>
        <v>9.5463774745510217E-3</v>
      </c>
      <c r="T38">
        <f t="shared" si="11"/>
        <v>276.11138125767565</v>
      </c>
      <c r="U38">
        <f t="shared" si="12"/>
        <v>29.174567777007468</v>
      </c>
      <c r="V38">
        <f t="shared" si="13"/>
        <v>29.174567777007468</v>
      </c>
      <c r="W38">
        <f t="shared" si="14"/>
        <v>4.0625778718032644</v>
      </c>
      <c r="X38">
        <f t="shared" si="15"/>
        <v>31.435993952584134</v>
      </c>
      <c r="Y38">
        <f t="shared" si="16"/>
        <v>1.12834016479912</v>
      </c>
      <c r="Z38">
        <f t="shared" si="17"/>
        <v>3.5893255562430437</v>
      </c>
      <c r="AA38">
        <f t="shared" si="18"/>
        <v>2.9342377070041445</v>
      </c>
      <c r="AB38">
        <f t="shared" si="19"/>
        <v>-20.445835647999214</v>
      </c>
      <c r="AC38">
        <f t="shared" si="20"/>
        <v>-230.91480946983344</v>
      </c>
      <c r="AD38">
        <f t="shared" si="21"/>
        <v>-25.015072363446567</v>
      </c>
      <c r="AE38">
        <f t="shared" si="22"/>
        <v>-0.26433622360357845</v>
      </c>
      <c r="AF38">
        <v>39</v>
      </c>
      <c r="AG38">
        <v>13</v>
      </c>
      <c r="AH38">
        <f t="shared" si="23"/>
        <v>1</v>
      </c>
      <c r="AI38">
        <f t="shared" si="24"/>
        <v>0</v>
      </c>
      <c r="AJ38">
        <f t="shared" si="25"/>
        <v>52506.08878502257</v>
      </c>
      <c r="AK38">
        <f t="shared" si="26"/>
        <v>1799.98</v>
      </c>
      <c r="AL38">
        <f t="shared" si="27"/>
        <v>1499.0956347967599</v>
      </c>
      <c r="AM38">
        <f t="shared" si="28"/>
        <v>0.83284016199999999</v>
      </c>
      <c r="AN38">
        <f t="shared" si="29"/>
        <v>0.15339691622000001</v>
      </c>
      <c r="AO38">
        <v>34.5</v>
      </c>
      <c r="AP38">
        <v>0.5</v>
      </c>
      <c r="AQ38" t="s">
        <v>331</v>
      </c>
      <c r="AR38">
        <v>2</v>
      </c>
      <c r="AS38">
        <v>1690212625.5999999</v>
      </c>
      <c r="AT38">
        <v>762.399</v>
      </c>
      <c r="AU38">
        <v>799.98199999999997</v>
      </c>
      <c r="AV38">
        <v>11.373699999999999</v>
      </c>
      <c r="AW38">
        <v>6.1046100000000001</v>
      </c>
      <c r="AX38">
        <v>762.88400000000001</v>
      </c>
      <c r="AY38">
        <v>11.3802</v>
      </c>
      <c r="AZ38">
        <v>300.11099999999999</v>
      </c>
      <c r="BA38">
        <v>99.106099999999998</v>
      </c>
      <c r="BB38">
        <v>9.99776E-2</v>
      </c>
      <c r="BC38">
        <v>27.048300000000001</v>
      </c>
      <c r="BD38">
        <v>27.037400000000002</v>
      </c>
      <c r="BE38">
        <v>29.020399999999999</v>
      </c>
      <c r="BF38">
        <v>0</v>
      </c>
      <c r="BG38">
        <v>0</v>
      </c>
      <c r="BH38">
        <v>10021.9</v>
      </c>
      <c r="BI38">
        <v>1075.1099999999999</v>
      </c>
      <c r="BJ38">
        <v>2.1305100000000001</v>
      </c>
      <c r="BK38">
        <v>-37.583599999999997</v>
      </c>
      <c r="BL38">
        <v>771.17</v>
      </c>
      <c r="BM38">
        <v>804.89599999999996</v>
      </c>
      <c r="BN38">
        <v>5.26905</v>
      </c>
      <c r="BO38">
        <v>799.98199999999997</v>
      </c>
      <c r="BP38">
        <v>6.1046100000000001</v>
      </c>
      <c r="BQ38">
        <v>1.1272</v>
      </c>
      <c r="BR38">
        <v>0.60500500000000001</v>
      </c>
      <c r="BS38">
        <v>8.6732899999999997</v>
      </c>
      <c r="BT38">
        <v>-0.195192</v>
      </c>
      <c r="BU38">
        <v>1799.98</v>
      </c>
      <c r="BV38">
        <v>0.91001100000000001</v>
      </c>
      <c r="BW38">
        <v>3.4002699999999997E-2</v>
      </c>
      <c r="BX38">
        <v>2.1993599999999999E-2</v>
      </c>
      <c r="BY38">
        <v>3.3992799999999997E-2</v>
      </c>
      <c r="BZ38">
        <v>26</v>
      </c>
      <c r="CA38">
        <v>33528</v>
      </c>
      <c r="CB38">
        <v>1690211922</v>
      </c>
      <c r="CC38" t="s">
        <v>332</v>
      </c>
      <c r="CD38">
        <v>1690211915</v>
      </c>
      <c r="CE38">
        <v>1690211922</v>
      </c>
      <c r="CF38">
        <v>6</v>
      </c>
      <c r="CG38">
        <v>1.0999999999999999E-2</v>
      </c>
      <c r="CH38">
        <v>8.0000000000000002E-3</v>
      </c>
      <c r="CI38">
        <v>-0.51100000000000001</v>
      </c>
      <c r="CJ38">
        <v>-6.6000000000000003E-2</v>
      </c>
      <c r="CK38">
        <v>800</v>
      </c>
      <c r="CL38">
        <v>6</v>
      </c>
      <c r="CM38">
        <v>0.21</v>
      </c>
      <c r="CN38">
        <v>0.02</v>
      </c>
      <c r="CO38">
        <v>-32.444329268292677</v>
      </c>
      <c r="CP38">
        <v>-27.19239094076665</v>
      </c>
      <c r="CQ38">
        <v>2.6814942455465882</v>
      </c>
      <c r="CR38">
        <v>-1</v>
      </c>
      <c r="CS38">
        <v>4.8569007317073174</v>
      </c>
      <c r="CT38">
        <v>2.198581045296176</v>
      </c>
      <c r="CU38">
        <v>0.21681719014729209</v>
      </c>
      <c r="CV38">
        <v>-1</v>
      </c>
      <c r="CW38">
        <v>0</v>
      </c>
      <c r="CX38">
        <v>0</v>
      </c>
      <c r="CY38" t="s">
        <v>333</v>
      </c>
      <c r="CZ38">
        <v>2.3639999999999999</v>
      </c>
      <c r="DA38">
        <v>2.7137899999999999</v>
      </c>
      <c r="DB38">
        <v>0.141876</v>
      </c>
      <c r="DC38">
        <v>0.14605699999999999</v>
      </c>
      <c r="DD38">
        <v>6.6355200000000003E-2</v>
      </c>
      <c r="DE38">
        <v>3.9999300000000002E-2</v>
      </c>
      <c r="DF38">
        <v>31306.400000000001</v>
      </c>
      <c r="DG38">
        <v>27481.9</v>
      </c>
      <c r="DH38">
        <v>31146.5</v>
      </c>
      <c r="DI38">
        <v>28043.8</v>
      </c>
      <c r="DJ38">
        <v>39493.1</v>
      </c>
      <c r="DK38">
        <v>38278.300000000003</v>
      </c>
      <c r="DL38">
        <v>44320.2</v>
      </c>
      <c r="DM38">
        <v>42496.9</v>
      </c>
      <c r="DN38">
        <v>1.3703000000000001</v>
      </c>
      <c r="DO38">
        <v>2.0316000000000001</v>
      </c>
      <c r="DP38">
        <v>7.0951899999999998E-2</v>
      </c>
      <c r="DQ38">
        <v>0.20167199999999999</v>
      </c>
      <c r="DR38">
        <v>25.876100000000001</v>
      </c>
      <c r="DS38">
        <v>25.724299999999999</v>
      </c>
      <c r="DT38">
        <v>18.2</v>
      </c>
      <c r="DU38">
        <v>29.6</v>
      </c>
      <c r="DV38">
        <v>7.64412</v>
      </c>
      <c r="DW38">
        <v>61.421199999999999</v>
      </c>
      <c r="DX38">
        <v>35.9255</v>
      </c>
      <c r="DY38">
        <v>1</v>
      </c>
      <c r="DZ38">
        <v>-6.8457799999999999E-2</v>
      </c>
      <c r="EA38">
        <v>0.52349900000000005</v>
      </c>
      <c r="EB38">
        <v>20.188700000000001</v>
      </c>
      <c r="EC38">
        <v>5.2411000000000003</v>
      </c>
      <c r="ED38">
        <v>12.039899999999999</v>
      </c>
      <c r="EE38">
        <v>5.0173500000000004</v>
      </c>
      <c r="EF38">
        <v>3.2879999999999998</v>
      </c>
      <c r="EG38">
        <v>9999</v>
      </c>
      <c r="EH38">
        <v>9999</v>
      </c>
      <c r="EI38">
        <v>9999</v>
      </c>
      <c r="EJ38">
        <v>999.9</v>
      </c>
      <c r="EK38">
        <v>1.8689199999999999</v>
      </c>
      <c r="EL38">
        <v>1.86467</v>
      </c>
      <c r="EM38">
        <v>1.8691899999999999</v>
      </c>
      <c r="EN38">
        <v>1.8672500000000001</v>
      </c>
      <c r="EO38">
        <v>1.8634299999999999</v>
      </c>
      <c r="EP38">
        <v>1.8645799999999999</v>
      </c>
      <c r="EQ38">
        <v>1.87018</v>
      </c>
      <c r="ER38">
        <v>1.8694599999999999</v>
      </c>
      <c r="ES38">
        <v>0</v>
      </c>
      <c r="ET38">
        <v>0</v>
      </c>
      <c r="EU38">
        <v>0</v>
      </c>
      <c r="EV38">
        <v>0</v>
      </c>
      <c r="EW38" t="s">
        <v>334</v>
      </c>
      <c r="EX38" t="s">
        <v>335</v>
      </c>
      <c r="EY38" t="s">
        <v>336</v>
      </c>
      <c r="EZ38" t="s">
        <v>336</v>
      </c>
      <c r="FA38" t="s">
        <v>336</v>
      </c>
      <c r="FB38" t="s">
        <v>336</v>
      </c>
      <c r="FC38">
        <v>0</v>
      </c>
      <c r="FD38">
        <v>100</v>
      </c>
      <c r="FE38">
        <v>100</v>
      </c>
      <c r="FF38">
        <v>-0.48499999999999999</v>
      </c>
      <c r="FG38">
        <v>-6.4999999999999997E-3</v>
      </c>
      <c r="FH38">
        <v>4.0020685143421282E-2</v>
      </c>
      <c r="FI38">
        <v>-6.1462078757559423E-4</v>
      </c>
      <c r="FJ38">
        <v>-1.8861989874597051E-7</v>
      </c>
      <c r="FK38">
        <v>1.1980462299894961E-10</v>
      </c>
      <c r="FL38">
        <v>-3.1035565592992288E-2</v>
      </c>
      <c r="FM38">
        <v>-1.6848085045870601E-2</v>
      </c>
      <c r="FN38">
        <v>1.9789084769509481E-3</v>
      </c>
      <c r="FO38">
        <v>-2.7142391389806329E-5</v>
      </c>
      <c r="FP38">
        <v>3</v>
      </c>
      <c r="FQ38">
        <v>2158</v>
      </c>
      <c r="FR38">
        <v>1</v>
      </c>
      <c r="FS38">
        <v>19</v>
      </c>
      <c r="FT38">
        <v>11.8</v>
      </c>
      <c r="FU38">
        <v>11.7</v>
      </c>
      <c r="FV38">
        <v>1.78101</v>
      </c>
      <c r="FW38">
        <v>2.5781200000000002</v>
      </c>
      <c r="FX38">
        <v>1.5490699999999999</v>
      </c>
      <c r="FY38">
        <v>2.3290999999999999</v>
      </c>
      <c r="FZ38">
        <v>1.50146</v>
      </c>
      <c r="GA38">
        <v>2.34985</v>
      </c>
      <c r="GB38">
        <v>33.760599999999997</v>
      </c>
      <c r="GC38">
        <v>23.982399999999998</v>
      </c>
      <c r="GD38">
        <v>19</v>
      </c>
      <c r="GE38">
        <v>241.17599999999999</v>
      </c>
      <c r="GF38">
        <v>581.68899999999996</v>
      </c>
      <c r="GG38">
        <v>24.720099999999999</v>
      </c>
      <c r="GH38">
        <v>26.5459</v>
      </c>
      <c r="GI38">
        <v>30.000399999999999</v>
      </c>
      <c r="GJ38">
        <v>26.603999999999999</v>
      </c>
      <c r="GK38">
        <v>26.557500000000001</v>
      </c>
      <c r="GL38">
        <v>35.595500000000001</v>
      </c>
      <c r="GM38">
        <v>-30</v>
      </c>
      <c r="GN38">
        <v>-30</v>
      </c>
      <c r="GO38">
        <v>24.6601</v>
      </c>
      <c r="GP38">
        <v>800</v>
      </c>
      <c r="GQ38">
        <v>12.5298</v>
      </c>
      <c r="GR38">
        <v>99.65</v>
      </c>
      <c r="GS38">
        <v>99.422200000000004</v>
      </c>
    </row>
    <row r="39" spans="1:201" x14ac:dyDescent="0.25">
      <c r="A39">
        <v>23</v>
      </c>
      <c r="B39">
        <v>1690212635.5999999</v>
      </c>
      <c r="C39">
        <v>368.09999990463263</v>
      </c>
      <c r="D39" t="s">
        <v>377</v>
      </c>
      <c r="E39" t="s">
        <v>378</v>
      </c>
      <c r="F39" t="s">
        <v>330</v>
      </c>
      <c r="H39">
        <v>1690212635.5999999</v>
      </c>
      <c r="I39">
        <f t="shared" si="0"/>
        <v>4.9828525453499335E-4</v>
      </c>
      <c r="J39">
        <f t="shared" si="1"/>
        <v>0.49828525453499339</v>
      </c>
      <c r="K39">
        <f t="shared" si="2"/>
        <v>3.3111501742850717</v>
      </c>
      <c r="L39">
        <f t="shared" si="3"/>
        <v>757.57899999999995</v>
      </c>
      <c r="M39">
        <f t="shared" si="4"/>
        <v>411.5501711394445</v>
      </c>
      <c r="N39">
        <f t="shared" si="5"/>
        <v>40.828397975452809</v>
      </c>
      <c r="O39">
        <f t="shared" si="6"/>
        <v>75.156661517619384</v>
      </c>
      <c r="P39">
        <f t="shared" si="7"/>
        <v>1.6723033740886704E-2</v>
      </c>
      <c r="Q39">
        <f t="shared" si="8"/>
        <v>2.0136321180496828</v>
      </c>
      <c r="R39">
        <f t="shared" si="9"/>
        <v>1.6646258827848079E-2</v>
      </c>
      <c r="S39">
        <f t="shared" si="10"/>
        <v>1.0410780221579607E-2</v>
      </c>
      <c r="T39">
        <f t="shared" si="11"/>
        <v>276.11122674739244</v>
      </c>
      <c r="U39">
        <f t="shared" si="12"/>
        <v>29.156506377814654</v>
      </c>
      <c r="V39">
        <f t="shared" si="13"/>
        <v>29.156506377814654</v>
      </c>
      <c r="W39">
        <f t="shared" si="14"/>
        <v>4.0583393574622137</v>
      </c>
      <c r="X39">
        <f t="shared" si="15"/>
        <v>32.522623502270079</v>
      </c>
      <c r="Y39">
        <f t="shared" si="16"/>
        <v>1.1669248312943601</v>
      </c>
      <c r="Z39">
        <f t="shared" si="17"/>
        <v>3.5880402797545186</v>
      </c>
      <c r="AA39">
        <f t="shared" si="18"/>
        <v>2.8914145261678534</v>
      </c>
      <c r="AB39">
        <f t="shared" si="19"/>
        <v>-21.974379724993206</v>
      </c>
      <c r="AC39">
        <f t="shared" si="20"/>
        <v>-229.52684810708385</v>
      </c>
      <c r="AD39">
        <f t="shared" si="21"/>
        <v>-24.871351897499068</v>
      </c>
      <c r="AE39">
        <f t="shared" si="22"/>
        <v>-0.26135298218369485</v>
      </c>
      <c r="AF39">
        <v>39</v>
      </c>
      <c r="AG39">
        <v>13</v>
      </c>
      <c r="AH39">
        <f t="shared" si="23"/>
        <v>1</v>
      </c>
      <c r="AI39">
        <f t="shared" si="24"/>
        <v>0</v>
      </c>
      <c r="AJ39">
        <f t="shared" si="25"/>
        <v>52469.643409689408</v>
      </c>
      <c r="AK39">
        <f t="shared" si="26"/>
        <v>1799.98</v>
      </c>
      <c r="AL39">
        <f t="shared" si="27"/>
        <v>1499.09744557664</v>
      </c>
      <c r="AM39">
        <f t="shared" si="28"/>
        <v>0.83284116799999997</v>
      </c>
      <c r="AN39">
        <f t="shared" si="29"/>
        <v>0.15339683038000002</v>
      </c>
      <c r="AO39">
        <v>34.5</v>
      </c>
      <c r="AP39">
        <v>0.5</v>
      </c>
      <c r="AQ39" t="s">
        <v>331</v>
      </c>
      <c r="AR39">
        <v>2</v>
      </c>
      <c r="AS39">
        <v>1690212635.5999999</v>
      </c>
      <c r="AT39">
        <v>757.57899999999995</v>
      </c>
      <c r="AU39">
        <v>799.96699999999998</v>
      </c>
      <c r="AV39">
        <v>11.762600000000001</v>
      </c>
      <c r="AW39">
        <v>6.1039099999999999</v>
      </c>
      <c r="AX39">
        <v>758.06100000000004</v>
      </c>
      <c r="AY39">
        <v>11.7622</v>
      </c>
      <c r="AZ39">
        <v>300.22199999999998</v>
      </c>
      <c r="BA39">
        <v>99.106399999999994</v>
      </c>
      <c r="BB39">
        <v>9.9968600000000005E-2</v>
      </c>
      <c r="BC39">
        <v>27.042200000000001</v>
      </c>
      <c r="BD39">
        <v>27.0488</v>
      </c>
      <c r="BE39">
        <v>29.034500000000001</v>
      </c>
      <c r="BF39">
        <v>0</v>
      </c>
      <c r="BG39">
        <v>0</v>
      </c>
      <c r="BH39">
        <v>10014.4</v>
      </c>
      <c r="BI39">
        <v>1075.1400000000001</v>
      </c>
      <c r="BJ39">
        <v>2.1305100000000001</v>
      </c>
      <c r="BK39">
        <v>-42.387599999999999</v>
      </c>
      <c r="BL39">
        <v>766.59699999999998</v>
      </c>
      <c r="BM39">
        <v>804.88</v>
      </c>
      <c r="BN39">
        <v>5.65869</v>
      </c>
      <c r="BO39">
        <v>799.96699999999998</v>
      </c>
      <c r="BP39">
        <v>6.1039099999999999</v>
      </c>
      <c r="BQ39">
        <v>1.1657500000000001</v>
      </c>
      <c r="BR39">
        <v>0.60493600000000003</v>
      </c>
      <c r="BS39">
        <v>9.1711799999999997</v>
      </c>
      <c r="BT39">
        <v>-0.19674900000000001</v>
      </c>
      <c r="BU39">
        <v>1799.98</v>
      </c>
      <c r="BV39">
        <v>0.91002000000000005</v>
      </c>
      <c r="BW39">
        <v>3.3998300000000002E-2</v>
      </c>
      <c r="BX39">
        <v>2.19934E-2</v>
      </c>
      <c r="BY39">
        <v>3.3988400000000002E-2</v>
      </c>
      <c r="BZ39">
        <v>26</v>
      </c>
      <c r="CA39">
        <v>33528.199999999997</v>
      </c>
      <c r="CB39">
        <v>1690211922</v>
      </c>
      <c r="CC39" t="s">
        <v>332</v>
      </c>
      <c r="CD39">
        <v>1690211915</v>
      </c>
      <c r="CE39">
        <v>1690211922</v>
      </c>
      <c r="CF39">
        <v>6</v>
      </c>
      <c r="CG39">
        <v>1.0999999999999999E-2</v>
      </c>
      <c r="CH39">
        <v>8.0000000000000002E-3</v>
      </c>
      <c r="CI39">
        <v>-0.51100000000000001</v>
      </c>
      <c r="CJ39">
        <v>-6.6000000000000003E-2</v>
      </c>
      <c r="CK39">
        <v>800</v>
      </c>
      <c r="CL39">
        <v>6</v>
      </c>
      <c r="CM39">
        <v>0.21</v>
      </c>
      <c r="CN39">
        <v>0.02</v>
      </c>
      <c r="CO39">
        <v>-37.466965000000002</v>
      </c>
      <c r="CP39">
        <v>-28.842907317073131</v>
      </c>
      <c r="CQ39">
        <v>2.7747426291955439</v>
      </c>
      <c r="CR39">
        <v>-1</v>
      </c>
      <c r="CS39">
        <v>5.2611487499999994</v>
      </c>
      <c r="CT39">
        <v>2.3071394746716498</v>
      </c>
      <c r="CU39">
        <v>0.22194646132781101</v>
      </c>
      <c r="CV39">
        <v>-1</v>
      </c>
      <c r="CW39">
        <v>0</v>
      </c>
      <c r="CX39">
        <v>0</v>
      </c>
      <c r="CY39" t="s">
        <v>333</v>
      </c>
      <c r="CZ39">
        <v>2.36435</v>
      </c>
      <c r="DA39">
        <v>2.7137699999999998</v>
      </c>
      <c r="DB39">
        <v>0.14127799999999999</v>
      </c>
      <c r="DC39">
        <v>0.14605399999999999</v>
      </c>
      <c r="DD39">
        <v>6.8045900000000006E-2</v>
      </c>
      <c r="DE39">
        <v>3.99954E-2</v>
      </c>
      <c r="DF39">
        <v>31327.200000000001</v>
      </c>
      <c r="DG39">
        <v>27481.1</v>
      </c>
      <c r="DH39">
        <v>31145.599999999999</v>
      </c>
      <c r="DI39">
        <v>28042.9</v>
      </c>
      <c r="DJ39">
        <v>39419.800000000003</v>
      </c>
      <c r="DK39">
        <v>38277.300000000003</v>
      </c>
      <c r="DL39">
        <v>44318.8</v>
      </c>
      <c r="DM39">
        <v>42495.6</v>
      </c>
      <c r="DN39">
        <v>1.3706700000000001</v>
      </c>
      <c r="DO39">
        <v>2.0313699999999999</v>
      </c>
      <c r="DP39">
        <v>7.2047100000000003E-2</v>
      </c>
      <c r="DQ39">
        <v>0.20296900000000001</v>
      </c>
      <c r="DR39">
        <v>25.869499999999999</v>
      </c>
      <c r="DS39">
        <v>25.717099999999999</v>
      </c>
      <c r="DT39">
        <v>18.2</v>
      </c>
      <c r="DU39">
        <v>29.6</v>
      </c>
      <c r="DV39">
        <v>7.6456299999999997</v>
      </c>
      <c r="DW39">
        <v>61.651200000000003</v>
      </c>
      <c r="DX39">
        <v>35.9375</v>
      </c>
      <c r="DY39">
        <v>1</v>
      </c>
      <c r="DZ39">
        <v>-6.7662600000000003E-2</v>
      </c>
      <c r="EA39">
        <v>0.78855900000000001</v>
      </c>
      <c r="EB39">
        <v>20.186800000000002</v>
      </c>
      <c r="EC39">
        <v>5.2411000000000003</v>
      </c>
      <c r="ED39">
        <v>12.039899999999999</v>
      </c>
      <c r="EE39">
        <v>5.0174000000000003</v>
      </c>
      <c r="EF39">
        <v>3.2879999999999998</v>
      </c>
      <c r="EG39">
        <v>9999</v>
      </c>
      <c r="EH39">
        <v>9999</v>
      </c>
      <c r="EI39">
        <v>9999</v>
      </c>
      <c r="EJ39">
        <v>999.9</v>
      </c>
      <c r="EK39">
        <v>1.86894</v>
      </c>
      <c r="EL39">
        <v>1.86466</v>
      </c>
      <c r="EM39">
        <v>1.8692</v>
      </c>
      <c r="EN39">
        <v>1.8672500000000001</v>
      </c>
      <c r="EO39">
        <v>1.8634200000000001</v>
      </c>
      <c r="EP39">
        <v>1.86459</v>
      </c>
      <c r="EQ39">
        <v>1.8702000000000001</v>
      </c>
      <c r="ER39">
        <v>1.86948</v>
      </c>
      <c r="ES39">
        <v>0</v>
      </c>
      <c r="ET39">
        <v>0</v>
      </c>
      <c r="EU39">
        <v>0</v>
      </c>
      <c r="EV39">
        <v>0</v>
      </c>
      <c r="EW39" t="s">
        <v>334</v>
      </c>
      <c r="EX39" t="s">
        <v>335</v>
      </c>
      <c r="EY39" t="s">
        <v>336</v>
      </c>
      <c r="EZ39" t="s">
        <v>336</v>
      </c>
      <c r="FA39" t="s">
        <v>336</v>
      </c>
      <c r="FB39" t="s">
        <v>336</v>
      </c>
      <c r="FC39">
        <v>0</v>
      </c>
      <c r="FD39">
        <v>100</v>
      </c>
      <c r="FE39">
        <v>100</v>
      </c>
      <c r="FF39">
        <v>-0.48199999999999998</v>
      </c>
      <c r="FG39">
        <v>4.0000000000000002E-4</v>
      </c>
      <c r="FH39">
        <v>4.0020685143421282E-2</v>
      </c>
      <c r="FI39">
        <v>-6.1462078757559423E-4</v>
      </c>
      <c r="FJ39">
        <v>-1.8861989874597051E-7</v>
      </c>
      <c r="FK39">
        <v>1.1980462299894961E-10</v>
      </c>
      <c r="FL39">
        <v>-3.1035565592992288E-2</v>
      </c>
      <c r="FM39">
        <v>-1.6848085045870601E-2</v>
      </c>
      <c r="FN39">
        <v>1.9789084769509481E-3</v>
      </c>
      <c r="FO39">
        <v>-2.7142391389806329E-5</v>
      </c>
      <c r="FP39">
        <v>3</v>
      </c>
      <c r="FQ39">
        <v>2158</v>
      </c>
      <c r="FR39">
        <v>1</v>
      </c>
      <c r="FS39">
        <v>19</v>
      </c>
      <c r="FT39">
        <v>12</v>
      </c>
      <c r="FU39">
        <v>11.9</v>
      </c>
      <c r="FV39">
        <v>1.78101</v>
      </c>
      <c r="FW39">
        <v>2.5842299999999998</v>
      </c>
      <c r="FX39">
        <v>1.5490699999999999</v>
      </c>
      <c r="FY39">
        <v>2.3290999999999999</v>
      </c>
      <c r="FZ39">
        <v>1.50146</v>
      </c>
      <c r="GA39">
        <v>2.3059099999999999</v>
      </c>
      <c r="GB39">
        <v>33.760599999999997</v>
      </c>
      <c r="GC39">
        <v>23.982399999999998</v>
      </c>
      <c r="GD39">
        <v>19</v>
      </c>
      <c r="GE39">
        <v>241.33500000000001</v>
      </c>
      <c r="GF39">
        <v>581.53300000000002</v>
      </c>
      <c r="GG39">
        <v>24.624500000000001</v>
      </c>
      <c r="GH39">
        <v>26.549600000000002</v>
      </c>
      <c r="GI39">
        <v>30.000499999999999</v>
      </c>
      <c r="GJ39">
        <v>26.608499999999999</v>
      </c>
      <c r="GK39">
        <v>26.560199999999998</v>
      </c>
      <c r="GL39">
        <v>35.594200000000001</v>
      </c>
      <c r="GM39">
        <v>-30</v>
      </c>
      <c r="GN39">
        <v>-30</v>
      </c>
      <c r="GO39">
        <v>24.575399999999998</v>
      </c>
      <c r="GP39">
        <v>800</v>
      </c>
      <c r="GQ39">
        <v>12.5298</v>
      </c>
      <c r="GR39">
        <v>99.646799999999999</v>
      </c>
      <c r="GS39">
        <v>99.419200000000004</v>
      </c>
    </row>
    <row r="40" spans="1:201" x14ac:dyDescent="0.25">
      <c r="A40">
        <v>24</v>
      </c>
      <c r="B40">
        <v>1690212645.5999999</v>
      </c>
      <c r="C40">
        <v>378.09999990463263</v>
      </c>
      <c r="D40" t="s">
        <v>379</v>
      </c>
      <c r="E40" t="s">
        <v>380</v>
      </c>
      <c r="F40" t="s">
        <v>330</v>
      </c>
      <c r="H40">
        <v>1690212645.5999999</v>
      </c>
      <c r="I40">
        <f t="shared" si="0"/>
        <v>5.3207319070062281E-4</v>
      </c>
      <c r="J40">
        <f t="shared" si="1"/>
        <v>0.53207319070062287</v>
      </c>
      <c r="K40">
        <f t="shared" si="2"/>
        <v>3.7088610809941835</v>
      </c>
      <c r="L40">
        <f t="shared" si="3"/>
        <v>752.80399999999997</v>
      </c>
      <c r="M40">
        <f t="shared" si="4"/>
        <v>397.03020411891691</v>
      </c>
      <c r="N40">
        <f t="shared" si="5"/>
        <v>39.38792910278373</v>
      </c>
      <c r="O40">
        <f t="shared" si="6"/>
        <v>74.682959313118005</v>
      </c>
      <c r="P40">
        <f t="shared" si="7"/>
        <v>1.8132611016329844E-2</v>
      </c>
      <c r="Q40">
        <f t="shared" si="8"/>
        <v>2.0146139442407076</v>
      </c>
      <c r="R40">
        <f t="shared" si="9"/>
        <v>1.8042429413730413E-2</v>
      </c>
      <c r="S40">
        <f t="shared" si="10"/>
        <v>1.1284583362674759E-2</v>
      </c>
      <c r="T40">
        <f t="shared" si="11"/>
        <v>276.11486186202313</v>
      </c>
      <c r="U40">
        <f t="shared" si="12"/>
        <v>29.133235182861508</v>
      </c>
      <c r="V40">
        <f t="shared" si="13"/>
        <v>29.133235182861508</v>
      </c>
      <c r="W40">
        <f t="shared" si="14"/>
        <v>4.0528839317069361</v>
      </c>
      <c r="X40">
        <f t="shared" si="15"/>
        <v>33.59799451846844</v>
      </c>
      <c r="Y40">
        <f t="shared" si="16"/>
        <v>1.2048019551997999</v>
      </c>
      <c r="Z40">
        <f t="shared" si="17"/>
        <v>3.5859341382341556</v>
      </c>
      <c r="AA40">
        <f t="shared" si="18"/>
        <v>2.8480819765071361</v>
      </c>
      <c r="AB40">
        <f t="shared" si="19"/>
        <v>-23.464427709897468</v>
      </c>
      <c r="AC40">
        <f t="shared" si="20"/>
        <v>-228.19735376323598</v>
      </c>
      <c r="AD40">
        <f t="shared" si="21"/>
        <v>-24.71113795514902</v>
      </c>
      <c r="AE40">
        <f t="shared" si="22"/>
        <v>-0.25805756625933896</v>
      </c>
      <c r="AF40">
        <v>39</v>
      </c>
      <c r="AG40">
        <v>13</v>
      </c>
      <c r="AH40">
        <f t="shared" si="23"/>
        <v>1</v>
      </c>
      <c r="AI40">
        <f t="shared" si="24"/>
        <v>0</v>
      </c>
      <c r="AJ40">
        <f t="shared" si="25"/>
        <v>52518.607786505439</v>
      </c>
      <c r="AK40">
        <f t="shared" si="26"/>
        <v>1799.99</v>
      </c>
      <c r="AL40">
        <f t="shared" si="27"/>
        <v>1499.1050107925601</v>
      </c>
      <c r="AM40">
        <f t="shared" si="28"/>
        <v>0.83284074399999997</v>
      </c>
      <c r="AN40">
        <f t="shared" si="29"/>
        <v>0.15339799769000001</v>
      </c>
      <c r="AO40">
        <v>34.5</v>
      </c>
      <c r="AP40">
        <v>0.5</v>
      </c>
      <c r="AQ40" t="s">
        <v>331</v>
      </c>
      <c r="AR40">
        <v>2</v>
      </c>
      <c r="AS40">
        <v>1690212645.5999999</v>
      </c>
      <c r="AT40">
        <v>752.80399999999997</v>
      </c>
      <c r="AU40">
        <v>800.03700000000003</v>
      </c>
      <c r="AV40">
        <v>12.144399999999999</v>
      </c>
      <c r="AW40">
        <v>6.1030899999999999</v>
      </c>
      <c r="AX40">
        <v>753.28200000000004</v>
      </c>
      <c r="AY40">
        <v>12.136900000000001</v>
      </c>
      <c r="AZ40">
        <v>300.16000000000003</v>
      </c>
      <c r="BA40">
        <v>99.106399999999994</v>
      </c>
      <c r="BB40">
        <v>9.9979499999999999E-2</v>
      </c>
      <c r="BC40">
        <v>27.0322</v>
      </c>
      <c r="BD40">
        <v>27.029399999999999</v>
      </c>
      <c r="BE40">
        <v>29.014600000000002</v>
      </c>
      <c r="BF40">
        <v>0</v>
      </c>
      <c r="BG40">
        <v>0</v>
      </c>
      <c r="BH40">
        <v>10023.799999999999</v>
      </c>
      <c r="BI40">
        <v>1075.25</v>
      </c>
      <c r="BJ40">
        <v>2.1305100000000001</v>
      </c>
      <c r="BK40">
        <v>-47.233199999999997</v>
      </c>
      <c r="BL40">
        <v>762.05799999999999</v>
      </c>
      <c r="BM40">
        <v>804.95</v>
      </c>
      <c r="BN40">
        <v>6.0413100000000002</v>
      </c>
      <c r="BO40">
        <v>800.03700000000003</v>
      </c>
      <c r="BP40">
        <v>6.1030899999999999</v>
      </c>
      <c r="BQ40">
        <v>1.2035899999999999</v>
      </c>
      <c r="BR40">
        <v>0.60485500000000003</v>
      </c>
      <c r="BS40">
        <v>9.6460000000000008</v>
      </c>
      <c r="BT40">
        <v>-0.19859199999999999</v>
      </c>
      <c r="BU40">
        <v>1799.99</v>
      </c>
      <c r="BV40">
        <v>0.90999399999999997</v>
      </c>
      <c r="BW40">
        <v>3.3993700000000002E-2</v>
      </c>
      <c r="BX40">
        <v>2.2008699999999999E-2</v>
      </c>
      <c r="BY40">
        <v>3.4003499999999999E-2</v>
      </c>
      <c r="BZ40">
        <v>26</v>
      </c>
      <c r="CA40">
        <v>33528.1</v>
      </c>
      <c r="CB40">
        <v>1690211922</v>
      </c>
      <c r="CC40" t="s">
        <v>332</v>
      </c>
      <c r="CD40">
        <v>1690211915</v>
      </c>
      <c r="CE40">
        <v>1690211922</v>
      </c>
      <c r="CF40">
        <v>6</v>
      </c>
      <c r="CG40">
        <v>1.0999999999999999E-2</v>
      </c>
      <c r="CH40">
        <v>8.0000000000000002E-3</v>
      </c>
      <c r="CI40">
        <v>-0.51100000000000001</v>
      </c>
      <c r="CJ40">
        <v>-6.6000000000000003E-2</v>
      </c>
      <c r="CK40">
        <v>800</v>
      </c>
      <c r="CL40">
        <v>6</v>
      </c>
      <c r="CM40">
        <v>0.21</v>
      </c>
      <c r="CN40">
        <v>0.02</v>
      </c>
      <c r="CO40">
        <v>-41.786392499999998</v>
      </c>
      <c r="CP40">
        <v>-28.725103564727871</v>
      </c>
      <c r="CQ40">
        <v>2.7633180975403011</v>
      </c>
      <c r="CR40">
        <v>-1</v>
      </c>
      <c r="CS40">
        <v>5.6083277499999999</v>
      </c>
      <c r="CT40">
        <v>2.3241427767354672</v>
      </c>
      <c r="CU40">
        <v>0.22357352605448949</v>
      </c>
      <c r="CV40">
        <v>-1</v>
      </c>
      <c r="CW40">
        <v>0</v>
      </c>
      <c r="CX40">
        <v>0</v>
      </c>
      <c r="CY40" t="s">
        <v>333</v>
      </c>
      <c r="CZ40">
        <v>2.36416</v>
      </c>
      <c r="DA40">
        <v>2.7137899999999999</v>
      </c>
      <c r="DB40">
        <v>0.140682</v>
      </c>
      <c r="DC40">
        <v>0.146062</v>
      </c>
      <c r="DD40">
        <v>6.9684899999999994E-2</v>
      </c>
      <c r="DE40">
        <v>3.9990600000000001E-2</v>
      </c>
      <c r="DF40">
        <v>31348.799999999999</v>
      </c>
      <c r="DG40">
        <v>27480.7</v>
      </c>
      <c r="DH40">
        <v>31145.4</v>
      </c>
      <c r="DI40">
        <v>28042.7</v>
      </c>
      <c r="DJ40">
        <v>39350.1</v>
      </c>
      <c r="DK40">
        <v>38277.4</v>
      </c>
      <c r="DL40">
        <v>44318.8</v>
      </c>
      <c r="DM40">
        <v>42495.6</v>
      </c>
      <c r="DN40">
        <v>1.3705499999999999</v>
      </c>
      <c r="DO40">
        <v>2.0313500000000002</v>
      </c>
      <c r="DP40">
        <v>7.1257399999999999E-2</v>
      </c>
      <c r="DQ40">
        <v>0.202209</v>
      </c>
      <c r="DR40">
        <v>25.863</v>
      </c>
      <c r="DS40">
        <v>25.709599999999998</v>
      </c>
      <c r="DT40">
        <v>18.2</v>
      </c>
      <c r="DU40">
        <v>29.6</v>
      </c>
      <c r="DV40">
        <v>7.6468999999999996</v>
      </c>
      <c r="DW40">
        <v>61.7012</v>
      </c>
      <c r="DX40">
        <v>36.201900000000002</v>
      </c>
      <c r="DY40">
        <v>1</v>
      </c>
      <c r="DZ40">
        <v>-6.6826700000000003E-2</v>
      </c>
      <c r="EA40">
        <v>0.81640000000000001</v>
      </c>
      <c r="EB40">
        <v>20.186499999999999</v>
      </c>
      <c r="EC40">
        <v>5.2408000000000001</v>
      </c>
      <c r="ED40">
        <v>12.039899999999999</v>
      </c>
      <c r="EE40">
        <v>5.0172499999999998</v>
      </c>
      <c r="EF40">
        <v>3.2879999999999998</v>
      </c>
      <c r="EG40">
        <v>9999</v>
      </c>
      <c r="EH40">
        <v>9999</v>
      </c>
      <c r="EI40">
        <v>9999</v>
      </c>
      <c r="EJ40">
        <v>999.9</v>
      </c>
      <c r="EK40">
        <v>1.86893</v>
      </c>
      <c r="EL40">
        <v>1.86466</v>
      </c>
      <c r="EM40">
        <v>1.8692</v>
      </c>
      <c r="EN40">
        <v>1.8672599999999999</v>
      </c>
      <c r="EO40">
        <v>1.8634200000000001</v>
      </c>
      <c r="EP40">
        <v>1.8645700000000001</v>
      </c>
      <c r="EQ40">
        <v>1.8701700000000001</v>
      </c>
      <c r="ER40">
        <v>1.86947</v>
      </c>
      <c r="ES40">
        <v>0</v>
      </c>
      <c r="ET40">
        <v>0</v>
      </c>
      <c r="EU40">
        <v>0</v>
      </c>
      <c r="EV40">
        <v>0</v>
      </c>
      <c r="EW40" t="s">
        <v>334</v>
      </c>
      <c r="EX40" t="s">
        <v>335</v>
      </c>
      <c r="EY40" t="s">
        <v>336</v>
      </c>
      <c r="EZ40" t="s">
        <v>336</v>
      </c>
      <c r="FA40" t="s">
        <v>336</v>
      </c>
      <c r="FB40" t="s">
        <v>336</v>
      </c>
      <c r="FC40">
        <v>0</v>
      </c>
      <c r="FD40">
        <v>100</v>
      </c>
      <c r="FE40">
        <v>100</v>
      </c>
      <c r="FF40">
        <v>-0.47799999999999998</v>
      </c>
      <c r="FG40">
        <v>7.4999999999999997E-3</v>
      </c>
      <c r="FH40">
        <v>4.0020685143421282E-2</v>
      </c>
      <c r="FI40">
        <v>-6.1462078757559423E-4</v>
      </c>
      <c r="FJ40">
        <v>-1.8861989874597051E-7</v>
      </c>
      <c r="FK40">
        <v>1.1980462299894961E-10</v>
      </c>
      <c r="FL40">
        <v>-3.1035565592992288E-2</v>
      </c>
      <c r="FM40">
        <v>-1.6848085045870601E-2</v>
      </c>
      <c r="FN40">
        <v>1.9789084769509481E-3</v>
      </c>
      <c r="FO40">
        <v>-2.7142391389806329E-5</v>
      </c>
      <c r="FP40">
        <v>3</v>
      </c>
      <c r="FQ40">
        <v>2158</v>
      </c>
      <c r="FR40">
        <v>1</v>
      </c>
      <c r="FS40">
        <v>19</v>
      </c>
      <c r="FT40">
        <v>12.2</v>
      </c>
      <c r="FU40">
        <v>12.1</v>
      </c>
      <c r="FV40">
        <v>1.77979</v>
      </c>
      <c r="FW40">
        <v>2.5842299999999998</v>
      </c>
      <c r="FX40">
        <v>1.5490699999999999</v>
      </c>
      <c r="FY40">
        <v>2.3290999999999999</v>
      </c>
      <c r="FZ40">
        <v>1.50146</v>
      </c>
      <c r="GA40">
        <v>2.2790499999999998</v>
      </c>
      <c r="GB40">
        <v>33.760599999999997</v>
      </c>
      <c r="GC40">
        <v>23.982399999999998</v>
      </c>
      <c r="GD40">
        <v>19</v>
      </c>
      <c r="GE40">
        <v>241.303</v>
      </c>
      <c r="GF40">
        <v>581.53899999999999</v>
      </c>
      <c r="GG40">
        <v>24.509799999999998</v>
      </c>
      <c r="GH40">
        <v>26.5518</v>
      </c>
      <c r="GI40">
        <v>30.0002</v>
      </c>
      <c r="GJ40">
        <v>26.6126</v>
      </c>
      <c r="GK40">
        <v>26.5625</v>
      </c>
      <c r="GL40">
        <v>35.594999999999999</v>
      </c>
      <c r="GM40">
        <v>-30</v>
      </c>
      <c r="GN40">
        <v>-30</v>
      </c>
      <c r="GO40">
        <v>24.490100000000002</v>
      </c>
      <c r="GP40">
        <v>800</v>
      </c>
      <c r="GQ40">
        <v>12.5298</v>
      </c>
      <c r="GR40">
        <v>99.646699999999996</v>
      </c>
      <c r="GS40">
        <v>99.418899999999994</v>
      </c>
    </row>
    <row r="41" spans="1:201" x14ac:dyDescent="0.25">
      <c r="A41">
        <v>25</v>
      </c>
      <c r="B41">
        <v>1690212655.5999999</v>
      </c>
      <c r="C41">
        <v>388.09999990463263</v>
      </c>
      <c r="D41" t="s">
        <v>381</v>
      </c>
      <c r="E41" t="s">
        <v>382</v>
      </c>
      <c r="F41" t="s">
        <v>330</v>
      </c>
      <c r="H41">
        <v>1690212655.5999999</v>
      </c>
      <c r="I41">
        <f t="shared" si="0"/>
        <v>5.6457083000557796E-4</v>
      </c>
      <c r="J41">
        <f t="shared" si="1"/>
        <v>0.56457083000557795</v>
      </c>
      <c r="K41">
        <f t="shared" si="2"/>
        <v>4.0813271469953758</v>
      </c>
      <c r="L41">
        <f t="shared" si="3"/>
        <v>748.23</v>
      </c>
      <c r="M41">
        <f t="shared" si="4"/>
        <v>386.25125241762919</v>
      </c>
      <c r="N41">
        <f t="shared" si="5"/>
        <v>38.318702853189954</v>
      </c>
      <c r="O41">
        <f t="shared" si="6"/>
        <v>74.229411183479996</v>
      </c>
      <c r="P41">
        <f t="shared" si="7"/>
        <v>1.9545398724738282E-2</v>
      </c>
      <c r="Q41">
        <f t="shared" si="8"/>
        <v>2.0140218622889643</v>
      </c>
      <c r="R41">
        <f t="shared" si="9"/>
        <v>1.9440630006920794E-2</v>
      </c>
      <c r="S41">
        <f t="shared" si="10"/>
        <v>1.2159759896250153E-2</v>
      </c>
      <c r="T41">
        <f t="shared" si="11"/>
        <v>276.11458113558274</v>
      </c>
      <c r="U41">
        <f t="shared" si="12"/>
        <v>29.101311208449861</v>
      </c>
      <c r="V41">
        <f t="shared" si="13"/>
        <v>29.101311208449861</v>
      </c>
      <c r="W41">
        <f t="shared" si="14"/>
        <v>4.0454104527982775</v>
      </c>
      <c r="X41">
        <f t="shared" si="15"/>
        <v>34.653099905051519</v>
      </c>
      <c r="Y41">
        <f t="shared" si="16"/>
        <v>1.2411350407656001</v>
      </c>
      <c r="Z41">
        <f t="shared" si="17"/>
        <v>3.5815988877366638</v>
      </c>
      <c r="AA41">
        <f t="shared" si="18"/>
        <v>2.8042754120326774</v>
      </c>
      <c r="AB41">
        <f t="shared" si="19"/>
        <v>-24.897573603245988</v>
      </c>
      <c r="AC41">
        <f t="shared" si="20"/>
        <v>-226.90073150591607</v>
      </c>
      <c r="AD41">
        <f t="shared" si="21"/>
        <v>-24.571517989533028</v>
      </c>
      <c r="AE41">
        <f t="shared" si="22"/>
        <v>-0.25524196311235414</v>
      </c>
      <c r="AF41">
        <v>39</v>
      </c>
      <c r="AG41">
        <v>13</v>
      </c>
      <c r="AH41">
        <f t="shared" si="23"/>
        <v>1</v>
      </c>
      <c r="AI41">
        <f t="shared" si="24"/>
        <v>0</v>
      </c>
      <c r="AJ41">
        <f t="shared" si="25"/>
        <v>52493.741683587963</v>
      </c>
      <c r="AK41">
        <f t="shared" si="26"/>
        <v>1799.99</v>
      </c>
      <c r="AL41">
        <f t="shared" si="27"/>
        <v>1499.1029300041198</v>
      </c>
      <c r="AM41">
        <f t="shared" si="28"/>
        <v>0.83283958799999991</v>
      </c>
      <c r="AN41">
        <f t="shared" si="29"/>
        <v>0.15339784173000001</v>
      </c>
      <c r="AO41">
        <v>34.5</v>
      </c>
      <c r="AP41">
        <v>0.5</v>
      </c>
      <c r="AQ41" t="s">
        <v>331</v>
      </c>
      <c r="AR41">
        <v>2</v>
      </c>
      <c r="AS41">
        <v>1690212655.5999999</v>
      </c>
      <c r="AT41">
        <v>748.23</v>
      </c>
      <c r="AU41">
        <v>799.99800000000005</v>
      </c>
      <c r="AV41">
        <v>12.5106</v>
      </c>
      <c r="AW41">
        <v>6.1023800000000001</v>
      </c>
      <c r="AX41">
        <v>748.70600000000002</v>
      </c>
      <c r="AY41">
        <v>12.4961</v>
      </c>
      <c r="AZ41">
        <v>300.14600000000002</v>
      </c>
      <c r="BA41">
        <v>99.106700000000004</v>
      </c>
      <c r="BB41">
        <v>9.9975999999999995E-2</v>
      </c>
      <c r="BC41">
        <v>27.011600000000001</v>
      </c>
      <c r="BD41">
        <v>26.999500000000001</v>
      </c>
      <c r="BE41">
        <v>29.000399999999999</v>
      </c>
      <c r="BF41">
        <v>0</v>
      </c>
      <c r="BG41">
        <v>0</v>
      </c>
      <c r="BH41">
        <v>10018.1</v>
      </c>
      <c r="BI41">
        <v>1075.23</v>
      </c>
      <c r="BJ41">
        <v>2.1305100000000001</v>
      </c>
      <c r="BK41">
        <v>-51.767400000000002</v>
      </c>
      <c r="BL41">
        <v>757.71</v>
      </c>
      <c r="BM41">
        <v>804.90899999999999</v>
      </c>
      <c r="BN41">
        <v>6.4082299999999996</v>
      </c>
      <c r="BO41">
        <v>799.99800000000005</v>
      </c>
      <c r="BP41">
        <v>6.1023800000000001</v>
      </c>
      <c r="BQ41">
        <v>1.2398899999999999</v>
      </c>
      <c r="BR41">
        <v>0.60478699999999996</v>
      </c>
      <c r="BS41">
        <v>10.0893</v>
      </c>
      <c r="BT41">
        <v>-0.20013700000000001</v>
      </c>
      <c r="BU41">
        <v>1799.99</v>
      </c>
      <c r="BV41">
        <v>0.90998699999999999</v>
      </c>
      <c r="BW41">
        <v>3.3995999999999998E-2</v>
      </c>
      <c r="BX41">
        <v>2.2005899999999998E-2</v>
      </c>
      <c r="BY41">
        <v>3.4010899999999997E-2</v>
      </c>
      <c r="BZ41">
        <v>26</v>
      </c>
      <c r="CA41">
        <v>33528.1</v>
      </c>
      <c r="CB41">
        <v>1690211922</v>
      </c>
      <c r="CC41" t="s">
        <v>332</v>
      </c>
      <c r="CD41">
        <v>1690211915</v>
      </c>
      <c r="CE41">
        <v>1690211922</v>
      </c>
      <c r="CF41">
        <v>6</v>
      </c>
      <c r="CG41">
        <v>1.0999999999999999E-2</v>
      </c>
      <c r="CH41">
        <v>8.0000000000000002E-3</v>
      </c>
      <c r="CI41">
        <v>-0.51100000000000001</v>
      </c>
      <c r="CJ41">
        <v>-6.6000000000000003E-2</v>
      </c>
      <c r="CK41">
        <v>800</v>
      </c>
      <c r="CL41">
        <v>6</v>
      </c>
      <c r="CM41">
        <v>0.21</v>
      </c>
      <c r="CN41">
        <v>0.02</v>
      </c>
      <c r="CO41">
        <v>-46.674595121951221</v>
      </c>
      <c r="CP41">
        <v>-28.40827735191645</v>
      </c>
      <c r="CQ41">
        <v>2.801413824147112</v>
      </c>
      <c r="CR41">
        <v>-1</v>
      </c>
      <c r="CS41">
        <v>6.0012468292682923</v>
      </c>
      <c r="CT41">
        <v>2.271551080139385</v>
      </c>
      <c r="CU41">
        <v>0.22398985708132479</v>
      </c>
      <c r="CV41">
        <v>-1</v>
      </c>
      <c r="CW41">
        <v>0</v>
      </c>
      <c r="CX41">
        <v>0</v>
      </c>
      <c r="CY41" t="s">
        <v>333</v>
      </c>
      <c r="CZ41">
        <v>2.3641100000000002</v>
      </c>
      <c r="DA41">
        <v>2.7137799999999999</v>
      </c>
      <c r="DB41">
        <v>0.14011100000000001</v>
      </c>
      <c r="DC41">
        <v>0.14605699999999999</v>
      </c>
      <c r="DD41">
        <v>7.1239700000000003E-2</v>
      </c>
      <c r="DE41">
        <v>3.99867E-2</v>
      </c>
      <c r="DF41">
        <v>31369.9</v>
      </c>
      <c r="DG41">
        <v>27481.3</v>
      </c>
      <c r="DH41">
        <v>31145.599999999999</v>
      </c>
      <c r="DI41">
        <v>28043.200000000001</v>
      </c>
      <c r="DJ41">
        <v>39284</v>
      </c>
      <c r="DK41">
        <v>38278.199999999997</v>
      </c>
      <c r="DL41">
        <v>44319</v>
      </c>
      <c r="DM41">
        <v>42496.3</v>
      </c>
      <c r="DN41">
        <v>1.3707</v>
      </c>
      <c r="DO41">
        <v>2.0311300000000001</v>
      </c>
      <c r="DP41">
        <v>6.9796999999999998E-2</v>
      </c>
      <c r="DQ41">
        <v>0.20163500000000001</v>
      </c>
      <c r="DR41">
        <v>25.856999999999999</v>
      </c>
      <c r="DS41">
        <v>25.704799999999999</v>
      </c>
      <c r="DT41">
        <v>18.2</v>
      </c>
      <c r="DU41">
        <v>29.6</v>
      </c>
      <c r="DV41">
        <v>7.6468800000000003</v>
      </c>
      <c r="DW41">
        <v>61.961199999999998</v>
      </c>
      <c r="DX41">
        <v>36.714700000000001</v>
      </c>
      <c r="DY41">
        <v>1</v>
      </c>
      <c r="DZ41">
        <v>-6.70935E-2</v>
      </c>
      <c r="EA41">
        <v>0.69540000000000002</v>
      </c>
      <c r="EB41">
        <v>20.187100000000001</v>
      </c>
      <c r="EC41">
        <v>5.2406499999999996</v>
      </c>
      <c r="ED41">
        <v>12.039899999999999</v>
      </c>
      <c r="EE41">
        <v>5.0170000000000003</v>
      </c>
      <c r="EF41">
        <v>3.2879999999999998</v>
      </c>
      <c r="EG41">
        <v>9999</v>
      </c>
      <c r="EH41">
        <v>9999</v>
      </c>
      <c r="EI41">
        <v>9999</v>
      </c>
      <c r="EJ41">
        <v>999.9</v>
      </c>
      <c r="EK41">
        <v>1.8689100000000001</v>
      </c>
      <c r="EL41">
        <v>1.8646799999999999</v>
      </c>
      <c r="EM41">
        <v>1.8692</v>
      </c>
      <c r="EN41">
        <v>1.8672500000000001</v>
      </c>
      <c r="EO41">
        <v>1.86341</v>
      </c>
      <c r="EP41">
        <v>1.86459</v>
      </c>
      <c r="EQ41">
        <v>1.87016</v>
      </c>
      <c r="ER41">
        <v>1.8694500000000001</v>
      </c>
      <c r="ES41">
        <v>0</v>
      </c>
      <c r="ET41">
        <v>0</v>
      </c>
      <c r="EU41">
        <v>0</v>
      </c>
      <c r="EV41">
        <v>0</v>
      </c>
      <c r="EW41" t="s">
        <v>334</v>
      </c>
      <c r="EX41" t="s">
        <v>335</v>
      </c>
      <c r="EY41" t="s">
        <v>336</v>
      </c>
      <c r="EZ41" t="s">
        <v>336</v>
      </c>
      <c r="FA41" t="s">
        <v>336</v>
      </c>
      <c r="FB41" t="s">
        <v>336</v>
      </c>
      <c r="FC41">
        <v>0</v>
      </c>
      <c r="FD41">
        <v>100</v>
      </c>
      <c r="FE41">
        <v>100</v>
      </c>
      <c r="FF41">
        <v>-0.47599999999999998</v>
      </c>
      <c r="FG41">
        <v>1.4500000000000001E-2</v>
      </c>
      <c r="FH41">
        <v>4.0020685143421282E-2</v>
      </c>
      <c r="FI41">
        <v>-6.1462078757559423E-4</v>
      </c>
      <c r="FJ41">
        <v>-1.8861989874597051E-7</v>
      </c>
      <c r="FK41">
        <v>1.1980462299894961E-10</v>
      </c>
      <c r="FL41">
        <v>-3.1035565592992288E-2</v>
      </c>
      <c r="FM41">
        <v>-1.6848085045870601E-2</v>
      </c>
      <c r="FN41">
        <v>1.9789084769509481E-3</v>
      </c>
      <c r="FO41">
        <v>-2.7142391389806329E-5</v>
      </c>
      <c r="FP41">
        <v>3</v>
      </c>
      <c r="FQ41">
        <v>2158</v>
      </c>
      <c r="FR41">
        <v>1</v>
      </c>
      <c r="FS41">
        <v>19</v>
      </c>
      <c r="FT41">
        <v>12.3</v>
      </c>
      <c r="FU41">
        <v>12.2</v>
      </c>
      <c r="FV41">
        <v>1.77979</v>
      </c>
      <c r="FW41">
        <v>2.5732400000000002</v>
      </c>
      <c r="FX41">
        <v>1.5490699999999999</v>
      </c>
      <c r="FY41">
        <v>2.3290999999999999</v>
      </c>
      <c r="FZ41">
        <v>1.50146</v>
      </c>
      <c r="GA41">
        <v>2.3144499999999999</v>
      </c>
      <c r="GB41">
        <v>33.760599999999997</v>
      </c>
      <c r="GC41">
        <v>23.982399999999998</v>
      </c>
      <c r="GD41">
        <v>19</v>
      </c>
      <c r="GE41">
        <v>241.369</v>
      </c>
      <c r="GF41">
        <v>581.39099999999996</v>
      </c>
      <c r="GG41">
        <v>24.442599999999999</v>
      </c>
      <c r="GH41">
        <v>26.553100000000001</v>
      </c>
      <c r="GI41">
        <v>29.9999</v>
      </c>
      <c r="GJ41">
        <v>26.615200000000002</v>
      </c>
      <c r="GK41">
        <v>26.565899999999999</v>
      </c>
      <c r="GL41">
        <v>35.595399999999998</v>
      </c>
      <c r="GM41">
        <v>-30</v>
      </c>
      <c r="GN41">
        <v>-30</v>
      </c>
      <c r="GO41">
        <v>24.45</v>
      </c>
      <c r="GP41">
        <v>800</v>
      </c>
      <c r="GQ41">
        <v>12.5298</v>
      </c>
      <c r="GR41">
        <v>99.647199999999998</v>
      </c>
      <c r="GS41">
        <v>99.420599999999993</v>
      </c>
    </row>
    <row r="42" spans="1:201" x14ac:dyDescent="0.25">
      <c r="A42">
        <v>26</v>
      </c>
      <c r="B42">
        <v>1690212665.5999999</v>
      </c>
      <c r="C42">
        <v>398.09999990463263</v>
      </c>
      <c r="D42" t="s">
        <v>383</v>
      </c>
      <c r="E42" t="s">
        <v>384</v>
      </c>
      <c r="F42" t="s">
        <v>330</v>
      </c>
      <c r="H42">
        <v>1690212665.5999999</v>
      </c>
      <c r="I42">
        <f t="shared" si="0"/>
        <v>5.9489216788461319E-4</v>
      </c>
      <c r="J42">
        <f t="shared" si="1"/>
        <v>0.59489216788461319</v>
      </c>
      <c r="K42">
        <f t="shared" si="2"/>
        <v>4.4543923194750104</v>
      </c>
      <c r="L42">
        <f t="shared" si="3"/>
        <v>743.76</v>
      </c>
      <c r="M42">
        <f t="shared" si="4"/>
        <v>375.18477204579568</v>
      </c>
      <c r="N42">
        <f t="shared" si="5"/>
        <v>37.220511461577154</v>
      </c>
      <c r="O42">
        <f t="shared" si="6"/>
        <v>73.785317708159994</v>
      </c>
      <c r="P42">
        <f t="shared" si="7"/>
        <v>2.088417912791754E-2</v>
      </c>
      <c r="Q42">
        <f t="shared" si="8"/>
        <v>2.010024646072321</v>
      </c>
      <c r="R42">
        <f t="shared" si="9"/>
        <v>2.0764377487268702E-2</v>
      </c>
      <c r="S42">
        <f t="shared" si="10"/>
        <v>1.2988442241871347E-2</v>
      </c>
      <c r="T42">
        <f t="shared" si="11"/>
        <v>276.1128318795574</v>
      </c>
      <c r="U42">
        <f t="shared" si="12"/>
        <v>29.08242953474662</v>
      </c>
      <c r="V42">
        <f t="shared" si="13"/>
        <v>29.08242953474662</v>
      </c>
      <c r="W42">
        <f t="shared" si="14"/>
        <v>4.0409958653470204</v>
      </c>
      <c r="X42">
        <f t="shared" si="15"/>
        <v>35.620822908220276</v>
      </c>
      <c r="Y42">
        <f t="shared" si="16"/>
        <v>1.2749336237424</v>
      </c>
      <c r="Z42">
        <f t="shared" si="17"/>
        <v>3.5791807141215184</v>
      </c>
      <c r="AA42">
        <f t="shared" si="18"/>
        <v>2.7660622416046206</v>
      </c>
      <c r="AB42">
        <f t="shared" si="19"/>
        <v>-26.234744603711441</v>
      </c>
      <c r="AC42">
        <f t="shared" si="20"/>
        <v>-225.65049208421536</v>
      </c>
      <c r="AD42">
        <f t="shared" si="21"/>
        <v>-24.481013575015261</v>
      </c>
      <c r="AE42">
        <f t="shared" si="22"/>
        <v>-0.2534183833846555</v>
      </c>
      <c r="AF42">
        <v>39</v>
      </c>
      <c r="AG42">
        <v>13</v>
      </c>
      <c r="AH42">
        <f t="shared" si="23"/>
        <v>1</v>
      </c>
      <c r="AI42">
        <f t="shared" si="24"/>
        <v>0</v>
      </c>
      <c r="AJ42">
        <f t="shared" si="25"/>
        <v>52303.772080804622</v>
      </c>
      <c r="AK42">
        <f t="shared" si="26"/>
        <v>1799.98</v>
      </c>
      <c r="AL42">
        <f t="shared" si="27"/>
        <v>1499.0927206291399</v>
      </c>
      <c r="AM42">
        <f t="shared" si="28"/>
        <v>0.83283854299999993</v>
      </c>
      <c r="AN42">
        <f t="shared" si="29"/>
        <v>0.15339772213</v>
      </c>
      <c r="AO42">
        <v>34.5</v>
      </c>
      <c r="AP42">
        <v>0.5</v>
      </c>
      <c r="AQ42" t="s">
        <v>331</v>
      </c>
      <c r="AR42">
        <v>2</v>
      </c>
      <c r="AS42">
        <v>1690212665.5999999</v>
      </c>
      <c r="AT42">
        <v>743.76</v>
      </c>
      <c r="AU42">
        <v>800.04899999999998</v>
      </c>
      <c r="AV42">
        <v>12.8514</v>
      </c>
      <c r="AW42">
        <v>6.1010299999999997</v>
      </c>
      <c r="AX42">
        <v>744.23199999999997</v>
      </c>
      <c r="AY42">
        <v>12.8302</v>
      </c>
      <c r="AZ42">
        <v>300.13200000000001</v>
      </c>
      <c r="BA42">
        <v>99.105800000000002</v>
      </c>
      <c r="BB42">
        <v>0.10001599999999999</v>
      </c>
      <c r="BC42">
        <v>27.0001</v>
      </c>
      <c r="BD42">
        <v>26.985600000000002</v>
      </c>
      <c r="BE42">
        <v>28.9861</v>
      </c>
      <c r="BF42">
        <v>0</v>
      </c>
      <c r="BG42">
        <v>0</v>
      </c>
      <c r="BH42">
        <v>9980</v>
      </c>
      <c r="BI42">
        <v>1075.1300000000001</v>
      </c>
      <c r="BJ42">
        <v>2.1305100000000001</v>
      </c>
      <c r="BK42">
        <v>-56.289400000000001</v>
      </c>
      <c r="BL42">
        <v>753.44299999999998</v>
      </c>
      <c r="BM42">
        <v>804.96</v>
      </c>
      <c r="BN42">
        <v>6.7503900000000003</v>
      </c>
      <c r="BO42">
        <v>800.04899999999998</v>
      </c>
      <c r="BP42">
        <v>6.1010299999999997</v>
      </c>
      <c r="BQ42">
        <v>1.2736499999999999</v>
      </c>
      <c r="BR42">
        <v>0.60464700000000005</v>
      </c>
      <c r="BS42">
        <v>10.4915</v>
      </c>
      <c r="BT42">
        <v>-0.203317</v>
      </c>
      <c r="BU42">
        <v>1799.98</v>
      </c>
      <c r="BV42">
        <v>0.90998400000000002</v>
      </c>
      <c r="BW42">
        <v>3.4005500000000001E-2</v>
      </c>
      <c r="BX42">
        <v>2.2003399999999999E-2</v>
      </c>
      <c r="BY42">
        <v>3.40069E-2</v>
      </c>
      <c r="BZ42">
        <v>26</v>
      </c>
      <c r="CA42">
        <v>33528</v>
      </c>
      <c r="CB42">
        <v>1690211922</v>
      </c>
      <c r="CC42" t="s">
        <v>332</v>
      </c>
      <c r="CD42">
        <v>1690211915</v>
      </c>
      <c r="CE42">
        <v>1690211922</v>
      </c>
      <c r="CF42">
        <v>6</v>
      </c>
      <c r="CG42">
        <v>1.0999999999999999E-2</v>
      </c>
      <c r="CH42">
        <v>8.0000000000000002E-3</v>
      </c>
      <c r="CI42">
        <v>-0.51100000000000001</v>
      </c>
      <c r="CJ42">
        <v>-6.6000000000000003E-2</v>
      </c>
      <c r="CK42">
        <v>800</v>
      </c>
      <c r="CL42">
        <v>6</v>
      </c>
      <c r="CM42">
        <v>0.21</v>
      </c>
      <c r="CN42">
        <v>0.02</v>
      </c>
      <c r="CO42">
        <v>-51.315682926829282</v>
      </c>
      <c r="CP42">
        <v>-27.249970034843301</v>
      </c>
      <c r="CQ42">
        <v>2.687024974867589</v>
      </c>
      <c r="CR42">
        <v>-1</v>
      </c>
      <c r="CS42">
        <v>6.3693990243902432</v>
      </c>
      <c r="CT42">
        <v>2.144848641114983</v>
      </c>
      <c r="CU42">
        <v>0.21152006733842779</v>
      </c>
      <c r="CV42">
        <v>-1</v>
      </c>
      <c r="CW42">
        <v>0</v>
      </c>
      <c r="CX42">
        <v>0</v>
      </c>
      <c r="CY42" t="s">
        <v>333</v>
      </c>
      <c r="CZ42">
        <v>2.3640500000000002</v>
      </c>
      <c r="DA42">
        <v>2.7137899999999999</v>
      </c>
      <c r="DB42">
        <v>0.13954900000000001</v>
      </c>
      <c r="DC42">
        <v>0.146061</v>
      </c>
      <c r="DD42">
        <v>7.2669999999999998E-2</v>
      </c>
      <c r="DE42">
        <v>3.9978899999999998E-2</v>
      </c>
      <c r="DF42">
        <v>31390</v>
      </c>
      <c r="DG42">
        <v>27481.3</v>
      </c>
      <c r="DH42">
        <v>31145.3</v>
      </c>
      <c r="DI42">
        <v>28043.200000000001</v>
      </c>
      <c r="DJ42">
        <v>39222.6</v>
      </c>
      <c r="DK42">
        <v>38278.6</v>
      </c>
      <c r="DL42">
        <v>44318.5</v>
      </c>
      <c r="DM42">
        <v>42496.4</v>
      </c>
      <c r="DN42">
        <v>1.37107</v>
      </c>
      <c r="DO42">
        <v>2.03125</v>
      </c>
      <c r="DP42">
        <v>6.9342600000000004E-2</v>
      </c>
      <c r="DQ42">
        <v>0.20119500000000001</v>
      </c>
      <c r="DR42">
        <v>25.8505</v>
      </c>
      <c r="DS42">
        <v>25.697600000000001</v>
      </c>
      <c r="DT42">
        <v>18.2</v>
      </c>
      <c r="DU42">
        <v>29.6</v>
      </c>
      <c r="DV42">
        <v>7.6450699999999996</v>
      </c>
      <c r="DW42">
        <v>61.831200000000003</v>
      </c>
      <c r="DX42">
        <v>36.927100000000003</v>
      </c>
      <c r="DY42">
        <v>1</v>
      </c>
      <c r="DZ42">
        <v>-6.73425E-2</v>
      </c>
      <c r="EA42">
        <v>0.27310699999999999</v>
      </c>
      <c r="EB42">
        <v>20.188700000000001</v>
      </c>
      <c r="EC42">
        <v>5.2409499999999998</v>
      </c>
      <c r="ED42">
        <v>12.039899999999999</v>
      </c>
      <c r="EE42">
        <v>5.0173500000000004</v>
      </c>
      <c r="EF42">
        <v>3.2879999999999998</v>
      </c>
      <c r="EG42">
        <v>9999</v>
      </c>
      <c r="EH42">
        <v>9999</v>
      </c>
      <c r="EI42">
        <v>9999</v>
      </c>
      <c r="EJ42">
        <v>999.9</v>
      </c>
      <c r="EK42">
        <v>1.8689100000000001</v>
      </c>
      <c r="EL42">
        <v>1.86466</v>
      </c>
      <c r="EM42">
        <v>1.8691899999999999</v>
      </c>
      <c r="EN42">
        <v>1.8672800000000001</v>
      </c>
      <c r="EO42">
        <v>1.8633999999999999</v>
      </c>
      <c r="EP42">
        <v>1.8645499999999999</v>
      </c>
      <c r="EQ42">
        <v>1.87018</v>
      </c>
      <c r="ER42">
        <v>1.8694500000000001</v>
      </c>
      <c r="ES42">
        <v>0</v>
      </c>
      <c r="ET42">
        <v>0</v>
      </c>
      <c r="EU42">
        <v>0</v>
      </c>
      <c r="EV42">
        <v>0</v>
      </c>
      <c r="EW42" t="s">
        <v>334</v>
      </c>
      <c r="EX42" t="s">
        <v>335</v>
      </c>
      <c r="EY42" t="s">
        <v>336</v>
      </c>
      <c r="EZ42" t="s">
        <v>336</v>
      </c>
      <c r="FA42" t="s">
        <v>336</v>
      </c>
      <c r="FB42" t="s">
        <v>336</v>
      </c>
      <c r="FC42">
        <v>0</v>
      </c>
      <c r="FD42">
        <v>100</v>
      </c>
      <c r="FE42">
        <v>100</v>
      </c>
      <c r="FF42">
        <v>-0.47199999999999998</v>
      </c>
      <c r="FG42">
        <v>2.12E-2</v>
      </c>
      <c r="FH42">
        <v>4.0020685143421282E-2</v>
      </c>
      <c r="FI42">
        <v>-6.1462078757559423E-4</v>
      </c>
      <c r="FJ42">
        <v>-1.8861989874597051E-7</v>
      </c>
      <c r="FK42">
        <v>1.1980462299894961E-10</v>
      </c>
      <c r="FL42">
        <v>-3.1035565592992288E-2</v>
      </c>
      <c r="FM42">
        <v>-1.6848085045870601E-2</v>
      </c>
      <c r="FN42">
        <v>1.9789084769509481E-3</v>
      </c>
      <c r="FO42">
        <v>-2.7142391389806329E-5</v>
      </c>
      <c r="FP42">
        <v>3</v>
      </c>
      <c r="FQ42">
        <v>2158</v>
      </c>
      <c r="FR42">
        <v>1</v>
      </c>
      <c r="FS42">
        <v>19</v>
      </c>
      <c r="FT42">
        <v>12.5</v>
      </c>
      <c r="FU42">
        <v>12.4</v>
      </c>
      <c r="FV42">
        <v>1.77979</v>
      </c>
      <c r="FW42">
        <v>2.5744600000000002</v>
      </c>
      <c r="FX42">
        <v>1.5490699999999999</v>
      </c>
      <c r="FY42">
        <v>2.3290999999999999</v>
      </c>
      <c r="FZ42">
        <v>1.50146</v>
      </c>
      <c r="GA42">
        <v>2.32544</v>
      </c>
      <c r="GB42">
        <v>33.760599999999997</v>
      </c>
      <c r="GC42">
        <v>23.991199999999999</v>
      </c>
      <c r="GD42">
        <v>19</v>
      </c>
      <c r="GE42">
        <v>241.52</v>
      </c>
      <c r="GF42">
        <v>581.51900000000001</v>
      </c>
      <c r="GG42">
        <v>24.448699999999999</v>
      </c>
      <c r="GH42">
        <v>26.553999999999998</v>
      </c>
      <c r="GI42">
        <v>30.0001</v>
      </c>
      <c r="GJ42">
        <v>26.617599999999999</v>
      </c>
      <c r="GK42">
        <v>26.568100000000001</v>
      </c>
      <c r="GL42">
        <v>35.592700000000001</v>
      </c>
      <c r="GM42">
        <v>-30</v>
      </c>
      <c r="GN42">
        <v>-30</v>
      </c>
      <c r="GO42">
        <v>24.5472</v>
      </c>
      <c r="GP42">
        <v>800</v>
      </c>
      <c r="GQ42">
        <v>12.5298</v>
      </c>
      <c r="GR42">
        <v>99.646100000000004</v>
      </c>
      <c r="GS42">
        <v>99.4208</v>
      </c>
    </row>
    <row r="43" spans="1:201" x14ac:dyDescent="0.25">
      <c r="A43">
        <v>27</v>
      </c>
      <c r="B43">
        <v>1690212675.5999999</v>
      </c>
      <c r="C43">
        <v>408.09999990463263</v>
      </c>
      <c r="D43" t="s">
        <v>385</v>
      </c>
      <c r="E43" t="s">
        <v>386</v>
      </c>
      <c r="F43" t="s">
        <v>330</v>
      </c>
      <c r="H43">
        <v>1690212675.5999999</v>
      </c>
      <c r="I43">
        <f t="shared" si="0"/>
        <v>6.224999987215809E-4</v>
      </c>
      <c r="J43">
        <f t="shared" si="1"/>
        <v>0.6224999987215809</v>
      </c>
      <c r="K43">
        <f t="shared" si="2"/>
        <v>4.8124219802205976</v>
      </c>
      <c r="L43">
        <f t="shared" si="3"/>
        <v>739.38</v>
      </c>
      <c r="M43">
        <f t="shared" si="4"/>
        <v>364.71903693187522</v>
      </c>
      <c r="N43">
        <f t="shared" si="5"/>
        <v>36.182584846355766</v>
      </c>
      <c r="O43">
        <f t="shared" si="6"/>
        <v>73.351475724300002</v>
      </c>
      <c r="P43">
        <f t="shared" si="7"/>
        <v>2.2134296303331136E-2</v>
      </c>
      <c r="Q43">
        <f t="shared" si="8"/>
        <v>2.0126525132653383</v>
      </c>
      <c r="R43">
        <f t="shared" si="9"/>
        <v>2.1999947204048659E-2</v>
      </c>
      <c r="S43">
        <f t="shared" si="10"/>
        <v>1.3761969655275673E-2</v>
      </c>
      <c r="T43">
        <f t="shared" si="11"/>
        <v>276.1140078027679</v>
      </c>
      <c r="U43">
        <f t="shared" si="12"/>
        <v>29.065957626262382</v>
      </c>
      <c r="V43">
        <f t="shared" si="13"/>
        <v>29.065957626262382</v>
      </c>
      <c r="W43">
        <f t="shared" si="14"/>
        <v>4.0371481188429987</v>
      </c>
      <c r="X43">
        <f t="shared" si="15"/>
        <v>36.486818723697297</v>
      </c>
      <c r="Y43">
        <f t="shared" si="16"/>
        <v>1.3056300773145002</v>
      </c>
      <c r="Z43">
        <f t="shared" si="17"/>
        <v>3.5783609615341043</v>
      </c>
      <c r="AA43">
        <f t="shared" si="18"/>
        <v>2.7315180415284983</v>
      </c>
      <c r="AB43">
        <f t="shared" si="19"/>
        <v>-27.45224994362172</v>
      </c>
      <c r="AC43">
        <f t="shared" si="20"/>
        <v>-224.58137411656776</v>
      </c>
      <c r="AD43">
        <f t="shared" si="21"/>
        <v>-24.330737893342516</v>
      </c>
      <c r="AE43">
        <f t="shared" si="22"/>
        <v>-0.25035415076411027</v>
      </c>
      <c r="AF43">
        <v>39</v>
      </c>
      <c r="AG43">
        <v>13</v>
      </c>
      <c r="AH43">
        <f t="shared" si="23"/>
        <v>1</v>
      </c>
      <c r="AI43">
        <f t="shared" si="24"/>
        <v>0</v>
      </c>
      <c r="AJ43">
        <f t="shared" si="25"/>
        <v>52430.613367722246</v>
      </c>
      <c r="AK43">
        <f t="shared" si="26"/>
        <v>1799.99</v>
      </c>
      <c r="AL43">
        <f t="shared" si="27"/>
        <v>1499.1031694027899</v>
      </c>
      <c r="AM43">
        <f t="shared" si="28"/>
        <v>0.83283972099999992</v>
      </c>
      <c r="AN43">
        <f t="shared" si="29"/>
        <v>0.15339752321</v>
      </c>
      <c r="AO43">
        <v>34.5</v>
      </c>
      <c r="AP43">
        <v>0.5</v>
      </c>
      <c r="AQ43" t="s">
        <v>331</v>
      </c>
      <c r="AR43">
        <v>2</v>
      </c>
      <c r="AS43">
        <v>1690212675.5999999</v>
      </c>
      <c r="AT43">
        <v>739.38</v>
      </c>
      <c r="AU43">
        <v>799.98699999999997</v>
      </c>
      <c r="AV43">
        <v>13.1607</v>
      </c>
      <c r="AW43">
        <v>6.0995299999999997</v>
      </c>
      <c r="AX43">
        <v>739.84900000000005</v>
      </c>
      <c r="AY43">
        <v>13.133100000000001</v>
      </c>
      <c r="AZ43">
        <v>300.14299999999997</v>
      </c>
      <c r="BA43">
        <v>99.106700000000004</v>
      </c>
      <c r="BB43">
        <v>0.100035</v>
      </c>
      <c r="BC43">
        <v>26.996200000000002</v>
      </c>
      <c r="BD43">
        <v>26.984100000000002</v>
      </c>
      <c r="BE43">
        <v>28.955500000000001</v>
      </c>
      <c r="BF43">
        <v>0</v>
      </c>
      <c r="BG43">
        <v>0</v>
      </c>
      <c r="BH43">
        <v>10005</v>
      </c>
      <c r="BI43">
        <v>1075.19</v>
      </c>
      <c r="BJ43">
        <v>2.1305100000000001</v>
      </c>
      <c r="BK43">
        <v>-60.606999999999999</v>
      </c>
      <c r="BL43">
        <v>749.24</v>
      </c>
      <c r="BM43">
        <v>804.89599999999996</v>
      </c>
      <c r="BN43">
        <v>7.0611199999999998</v>
      </c>
      <c r="BO43">
        <v>799.98699999999997</v>
      </c>
      <c r="BP43">
        <v>6.0995299999999997</v>
      </c>
      <c r="BQ43">
        <v>1.3043100000000001</v>
      </c>
      <c r="BR43">
        <v>0.60450499999999996</v>
      </c>
      <c r="BS43">
        <v>10.848599999999999</v>
      </c>
      <c r="BT43">
        <v>-0.20655200000000001</v>
      </c>
      <c r="BU43">
        <v>1799.99</v>
      </c>
      <c r="BV43">
        <v>0.909995</v>
      </c>
      <c r="BW43">
        <v>3.4001499999999997E-2</v>
      </c>
      <c r="BX43">
        <v>2.2000800000000001E-2</v>
      </c>
      <c r="BY43">
        <v>3.4002900000000003E-2</v>
      </c>
      <c r="BZ43">
        <v>26</v>
      </c>
      <c r="CA43">
        <v>33528.199999999997</v>
      </c>
      <c r="CB43">
        <v>1690211922</v>
      </c>
      <c r="CC43" t="s">
        <v>332</v>
      </c>
      <c r="CD43">
        <v>1690211915</v>
      </c>
      <c r="CE43">
        <v>1690211922</v>
      </c>
      <c r="CF43">
        <v>6</v>
      </c>
      <c r="CG43">
        <v>1.0999999999999999E-2</v>
      </c>
      <c r="CH43">
        <v>8.0000000000000002E-3</v>
      </c>
      <c r="CI43">
        <v>-0.51100000000000001</v>
      </c>
      <c r="CJ43">
        <v>-6.6000000000000003E-2</v>
      </c>
      <c r="CK43">
        <v>800</v>
      </c>
      <c r="CL43">
        <v>6</v>
      </c>
      <c r="CM43">
        <v>0.21</v>
      </c>
      <c r="CN43">
        <v>0.02</v>
      </c>
      <c r="CO43">
        <v>-55.681914999999996</v>
      </c>
      <c r="CP43">
        <v>-26.625919699812261</v>
      </c>
      <c r="CQ43">
        <v>2.5617097321466771</v>
      </c>
      <c r="CR43">
        <v>-1</v>
      </c>
      <c r="CS43">
        <v>6.7041267500000004</v>
      </c>
      <c r="CT43">
        <v>1.976716660412744</v>
      </c>
      <c r="CU43">
        <v>0.1902140085323305</v>
      </c>
      <c r="CV43">
        <v>-1</v>
      </c>
      <c r="CW43">
        <v>0</v>
      </c>
      <c r="CX43">
        <v>0</v>
      </c>
      <c r="CY43" t="s">
        <v>333</v>
      </c>
      <c r="CZ43">
        <v>2.3641000000000001</v>
      </c>
      <c r="DA43">
        <v>2.7138300000000002</v>
      </c>
      <c r="DB43">
        <v>0.13899900000000001</v>
      </c>
      <c r="DC43">
        <v>0.14605399999999999</v>
      </c>
      <c r="DD43">
        <v>7.3956599999999997E-2</v>
      </c>
      <c r="DE43">
        <v>3.9971E-2</v>
      </c>
      <c r="DF43">
        <v>31410.3</v>
      </c>
      <c r="DG43">
        <v>27481.3</v>
      </c>
      <c r="DH43">
        <v>31145.4</v>
      </c>
      <c r="DI43">
        <v>28043</v>
      </c>
      <c r="DJ43">
        <v>39168.1</v>
      </c>
      <c r="DK43">
        <v>38278.6</v>
      </c>
      <c r="DL43">
        <v>44318.8</v>
      </c>
      <c r="DM43">
        <v>42496</v>
      </c>
      <c r="DN43">
        <v>1.3711</v>
      </c>
      <c r="DO43">
        <v>2.0314000000000001</v>
      </c>
      <c r="DP43">
        <v>6.9655499999999995E-2</v>
      </c>
      <c r="DQ43">
        <v>0.199877</v>
      </c>
      <c r="DR43">
        <v>25.843900000000001</v>
      </c>
      <c r="DS43">
        <v>25.688400000000001</v>
      </c>
      <c r="DT43">
        <v>18.2</v>
      </c>
      <c r="DU43">
        <v>29.6</v>
      </c>
      <c r="DV43">
        <v>7.6452200000000001</v>
      </c>
      <c r="DW43">
        <v>61.491199999999999</v>
      </c>
      <c r="DX43">
        <v>37.019199999999998</v>
      </c>
      <c r="DY43">
        <v>1</v>
      </c>
      <c r="DZ43">
        <v>-6.7075700000000002E-2</v>
      </c>
      <c r="EA43">
        <v>0.35683300000000001</v>
      </c>
      <c r="EB43">
        <v>20.1892</v>
      </c>
      <c r="EC43">
        <v>5.2409499999999998</v>
      </c>
      <c r="ED43">
        <v>12.039899999999999</v>
      </c>
      <c r="EE43">
        <v>5.0172999999999996</v>
      </c>
      <c r="EF43">
        <v>3.2879999999999998</v>
      </c>
      <c r="EG43">
        <v>9999</v>
      </c>
      <c r="EH43">
        <v>9999</v>
      </c>
      <c r="EI43">
        <v>9999</v>
      </c>
      <c r="EJ43">
        <v>999.9</v>
      </c>
      <c r="EK43">
        <v>1.86894</v>
      </c>
      <c r="EL43">
        <v>1.8646400000000001</v>
      </c>
      <c r="EM43">
        <v>1.8692</v>
      </c>
      <c r="EN43">
        <v>1.8672599999999999</v>
      </c>
      <c r="EO43">
        <v>1.8633999999999999</v>
      </c>
      <c r="EP43">
        <v>1.8645700000000001</v>
      </c>
      <c r="EQ43">
        <v>1.87019</v>
      </c>
      <c r="ER43">
        <v>1.8694500000000001</v>
      </c>
      <c r="ES43">
        <v>0</v>
      </c>
      <c r="ET43">
        <v>0</v>
      </c>
      <c r="EU43">
        <v>0</v>
      </c>
      <c r="EV43">
        <v>0</v>
      </c>
      <c r="EW43" t="s">
        <v>334</v>
      </c>
      <c r="EX43" t="s">
        <v>335</v>
      </c>
      <c r="EY43" t="s">
        <v>336</v>
      </c>
      <c r="EZ43" t="s">
        <v>336</v>
      </c>
      <c r="FA43" t="s">
        <v>336</v>
      </c>
      <c r="FB43" t="s">
        <v>336</v>
      </c>
      <c r="FC43">
        <v>0</v>
      </c>
      <c r="FD43">
        <v>100</v>
      </c>
      <c r="FE43">
        <v>100</v>
      </c>
      <c r="FF43">
        <v>-0.46899999999999997</v>
      </c>
      <c r="FG43">
        <v>2.76E-2</v>
      </c>
      <c r="FH43">
        <v>4.0020685143421282E-2</v>
      </c>
      <c r="FI43">
        <v>-6.1462078757559423E-4</v>
      </c>
      <c r="FJ43">
        <v>-1.8861989874597051E-7</v>
      </c>
      <c r="FK43">
        <v>1.1980462299894961E-10</v>
      </c>
      <c r="FL43">
        <v>-3.1035565592992288E-2</v>
      </c>
      <c r="FM43">
        <v>-1.6848085045870601E-2</v>
      </c>
      <c r="FN43">
        <v>1.9789084769509481E-3</v>
      </c>
      <c r="FO43">
        <v>-2.7142391389806329E-5</v>
      </c>
      <c r="FP43">
        <v>3</v>
      </c>
      <c r="FQ43">
        <v>2158</v>
      </c>
      <c r="FR43">
        <v>1</v>
      </c>
      <c r="FS43">
        <v>19</v>
      </c>
      <c r="FT43">
        <v>12.7</v>
      </c>
      <c r="FU43">
        <v>12.6</v>
      </c>
      <c r="FV43">
        <v>1.77979</v>
      </c>
      <c r="FW43">
        <v>2.5756800000000002</v>
      </c>
      <c r="FX43">
        <v>1.5490699999999999</v>
      </c>
      <c r="FY43">
        <v>2.3290999999999999</v>
      </c>
      <c r="FZ43">
        <v>1.50146</v>
      </c>
      <c r="GA43">
        <v>2.33643</v>
      </c>
      <c r="GB43">
        <v>33.760599999999997</v>
      </c>
      <c r="GC43">
        <v>23.982399999999998</v>
      </c>
      <c r="GD43">
        <v>19</v>
      </c>
      <c r="GE43">
        <v>241.53700000000001</v>
      </c>
      <c r="GF43">
        <v>581.673</v>
      </c>
      <c r="GG43">
        <v>24.566600000000001</v>
      </c>
      <c r="GH43">
        <v>26.553999999999998</v>
      </c>
      <c r="GI43">
        <v>30.000399999999999</v>
      </c>
      <c r="GJ43">
        <v>26.619700000000002</v>
      </c>
      <c r="GK43">
        <v>26.570900000000002</v>
      </c>
      <c r="GL43">
        <v>35.593000000000004</v>
      </c>
      <c r="GM43">
        <v>-30</v>
      </c>
      <c r="GN43">
        <v>-30</v>
      </c>
      <c r="GO43">
        <v>24.5657</v>
      </c>
      <c r="GP43">
        <v>800</v>
      </c>
      <c r="GQ43">
        <v>12.5298</v>
      </c>
      <c r="GR43">
        <v>99.646699999999996</v>
      </c>
      <c r="GS43">
        <v>99.419899999999998</v>
      </c>
    </row>
    <row r="44" spans="1:201" x14ac:dyDescent="0.25">
      <c r="A44">
        <v>28</v>
      </c>
      <c r="B44">
        <v>1690212685.5999999</v>
      </c>
      <c r="C44">
        <v>418.09999990463263</v>
      </c>
      <c r="D44" t="s">
        <v>387</v>
      </c>
      <c r="E44" t="s">
        <v>388</v>
      </c>
      <c r="F44" t="s">
        <v>330</v>
      </c>
      <c r="H44">
        <v>1690212685.5999999</v>
      </c>
      <c r="I44">
        <f t="shared" si="0"/>
        <v>6.4708726455251484E-4</v>
      </c>
      <c r="J44">
        <f t="shared" si="1"/>
        <v>0.64708726455251486</v>
      </c>
      <c r="K44">
        <f t="shared" si="2"/>
        <v>5.1654049250004554</v>
      </c>
      <c r="L44">
        <f t="shared" si="3"/>
        <v>735.15</v>
      </c>
      <c r="M44">
        <f t="shared" si="4"/>
        <v>353.58932467020134</v>
      </c>
      <c r="N44">
        <f t="shared" si="5"/>
        <v>35.078445260100224</v>
      </c>
      <c r="O44">
        <f t="shared" si="6"/>
        <v>72.931837116449998</v>
      </c>
      <c r="P44">
        <f t="shared" si="7"/>
        <v>2.3264437458349264E-2</v>
      </c>
      <c r="Q44">
        <f t="shared" si="8"/>
        <v>2.0119326074702562</v>
      </c>
      <c r="R44">
        <f t="shared" si="9"/>
        <v>2.3116015726894902E-2</v>
      </c>
      <c r="S44">
        <f t="shared" si="10"/>
        <v>1.4460765895062722E-2</v>
      </c>
      <c r="T44">
        <f t="shared" si="11"/>
        <v>276.11339632816504</v>
      </c>
      <c r="U44">
        <f t="shared" si="12"/>
        <v>29.057393620306328</v>
      </c>
      <c r="V44">
        <f t="shared" si="13"/>
        <v>29.057393620306328</v>
      </c>
      <c r="W44">
        <f t="shared" si="14"/>
        <v>4.0351488770459323</v>
      </c>
      <c r="X44">
        <f t="shared" si="15"/>
        <v>37.257434087626095</v>
      </c>
      <c r="Y44">
        <f t="shared" si="16"/>
        <v>1.3331898158055</v>
      </c>
      <c r="Z44">
        <f t="shared" si="17"/>
        <v>3.5783189273581182</v>
      </c>
      <c r="AA44">
        <f t="shared" si="18"/>
        <v>2.7019590612404323</v>
      </c>
      <c r="AB44">
        <f t="shared" si="19"/>
        <v>-28.536548366765906</v>
      </c>
      <c r="AC44">
        <f t="shared" si="20"/>
        <v>-223.5938223587209</v>
      </c>
      <c r="AD44">
        <f t="shared" si="21"/>
        <v>-24.231355510817799</v>
      </c>
      <c r="AE44">
        <f t="shared" si="22"/>
        <v>-0.24832990813956712</v>
      </c>
      <c r="AF44">
        <v>39</v>
      </c>
      <c r="AG44">
        <v>13</v>
      </c>
      <c r="AH44">
        <f t="shared" si="23"/>
        <v>1</v>
      </c>
      <c r="AI44">
        <f t="shared" si="24"/>
        <v>0</v>
      </c>
      <c r="AJ44">
        <f t="shared" si="25"/>
        <v>52396.068565654095</v>
      </c>
      <c r="AK44">
        <f t="shared" si="26"/>
        <v>1799.99</v>
      </c>
      <c r="AL44">
        <f t="shared" si="27"/>
        <v>1499.1041935970998</v>
      </c>
      <c r="AM44">
        <f t="shared" si="28"/>
        <v>0.83284028999999993</v>
      </c>
      <c r="AN44">
        <f t="shared" si="29"/>
        <v>0.15339718350000001</v>
      </c>
      <c r="AO44">
        <v>34.5</v>
      </c>
      <c r="AP44">
        <v>0.5</v>
      </c>
      <c r="AQ44" t="s">
        <v>331</v>
      </c>
      <c r="AR44">
        <v>2</v>
      </c>
      <c r="AS44">
        <v>1690212685.5999999</v>
      </c>
      <c r="AT44">
        <v>735.15</v>
      </c>
      <c r="AU44">
        <v>799.99900000000002</v>
      </c>
      <c r="AV44">
        <v>13.438499999999999</v>
      </c>
      <c r="AW44">
        <v>6.0996899999999998</v>
      </c>
      <c r="AX44">
        <v>735.61599999999999</v>
      </c>
      <c r="AY44">
        <v>13.405200000000001</v>
      </c>
      <c r="AZ44">
        <v>300.11</v>
      </c>
      <c r="BA44">
        <v>99.106700000000004</v>
      </c>
      <c r="BB44">
        <v>0.10004300000000001</v>
      </c>
      <c r="BC44">
        <v>26.995999999999999</v>
      </c>
      <c r="BD44">
        <v>26.989599999999999</v>
      </c>
      <c r="BE44">
        <v>28.9739</v>
      </c>
      <c r="BF44">
        <v>0</v>
      </c>
      <c r="BG44">
        <v>0</v>
      </c>
      <c r="BH44">
        <v>9998.1200000000008</v>
      </c>
      <c r="BI44">
        <v>1075.1400000000001</v>
      </c>
      <c r="BJ44">
        <v>2.1305100000000001</v>
      </c>
      <c r="BK44">
        <v>-64.849500000000006</v>
      </c>
      <c r="BL44">
        <v>745.16399999999999</v>
      </c>
      <c r="BM44">
        <v>804.90899999999999</v>
      </c>
      <c r="BN44">
        <v>7.3388</v>
      </c>
      <c r="BO44">
        <v>799.99900000000002</v>
      </c>
      <c r="BP44">
        <v>6.0996899999999998</v>
      </c>
      <c r="BQ44">
        <v>1.33185</v>
      </c>
      <c r="BR44">
        <v>0.60452099999999998</v>
      </c>
      <c r="BS44">
        <v>11.1631</v>
      </c>
      <c r="BT44">
        <v>-0.20619499999999999</v>
      </c>
      <c r="BU44">
        <v>1799.99</v>
      </c>
      <c r="BV44">
        <v>0.91000599999999998</v>
      </c>
      <c r="BW44">
        <v>3.3997199999999998E-2</v>
      </c>
      <c r="BX44">
        <v>2.1998E-2</v>
      </c>
      <c r="BY44">
        <v>3.3998599999999997E-2</v>
      </c>
      <c r="BZ44">
        <v>26</v>
      </c>
      <c r="CA44">
        <v>33528.199999999997</v>
      </c>
      <c r="CB44">
        <v>1690211922</v>
      </c>
      <c r="CC44" t="s">
        <v>332</v>
      </c>
      <c r="CD44">
        <v>1690211915</v>
      </c>
      <c r="CE44">
        <v>1690211922</v>
      </c>
      <c r="CF44">
        <v>6</v>
      </c>
      <c r="CG44">
        <v>1.0999999999999999E-2</v>
      </c>
      <c r="CH44">
        <v>8.0000000000000002E-3</v>
      </c>
      <c r="CI44">
        <v>-0.51100000000000001</v>
      </c>
      <c r="CJ44">
        <v>-6.6000000000000003E-2</v>
      </c>
      <c r="CK44">
        <v>800</v>
      </c>
      <c r="CL44">
        <v>6</v>
      </c>
      <c r="CM44">
        <v>0.21</v>
      </c>
      <c r="CN44">
        <v>0.02</v>
      </c>
      <c r="CO44">
        <v>-60.164400000000001</v>
      </c>
      <c r="CP44">
        <v>-25.781308013937139</v>
      </c>
      <c r="CQ44">
        <v>2.542306337589225</v>
      </c>
      <c r="CR44">
        <v>-1</v>
      </c>
      <c r="CS44">
        <v>7.025773170731707</v>
      </c>
      <c r="CT44">
        <v>1.7910815331010559</v>
      </c>
      <c r="CU44">
        <v>0.17667311215416781</v>
      </c>
      <c r="CV44">
        <v>-1</v>
      </c>
      <c r="CW44">
        <v>0</v>
      </c>
      <c r="CX44">
        <v>0</v>
      </c>
      <c r="CY44" t="s">
        <v>333</v>
      </c>
      <c r="CZ44">
        <v>2.3639600000000001</v>
      </c>
      <c r="DA44">
        <v>2.7138300000000002</v>
      </c>
      <c r="DB44">
        <v>0.138465</v>
      </c>
      <c r="DC44">
        <v>0.14605499999999999</v>
      </c>
      <c r="DD44">
        <v>7.5102000000000002E-2</v>
      </c>
      <c r="DE44">
        <v>3.9971600000000003E-2</v>
      </c>
      <c r="DF44">
        <v>31429.7</v>
      </c>
      <c r="DG44">
        <v>27480.799999999999</v>
      </c>
      <c r="DH44">
        <v>31145.3</v>
      </c>
      <c r="DI44">
        <v>28042.6</v>
      </c>
      <c r="DJ44">
        <v>39119.1</v>
      </c>
      <c r="DK44">
        <v>38278.300000000003</v>
      </c>
      <c r="DL44">
        <v>44318.6</v>
      </c>
      <c r="DM44">
        <v>42495.6</v>
      </c>
      <c r="DN44">
        <v>1.37137</v>
      </c>
      <c r="DO44">
        <v>2.0315300000000001</v>
      </c>
      <c r="DP44">
        <v>7.0497400000000002E-2</v>
      </c>
      <c r="DQ44">
        <v>0.20163500000000001</v>
      </c>
      <c r="DR44">
        <v>25.835599999999999</v>
      </c>
      <c r="DS44">
        <v>25.678100000000001</v>
      </c>
      <c r="DT44">
        <v>18.2</v>
      </c>
      <c r="DU44">
        <v>29.6</v>
      </c>
      <c r="DV44">
        <v>7.6454700000000004</v>
      </c>
      <c r="DW44">
        <v>61.391199999999998</v>
      </c>
      <c r="DX44">
        <v>37.263599999999997</v>
      </c>
      <c r="DY44">
        <v>1</v>
      </c>
      <c r="DZ44">
        <v>-6.6831799999999997E-2</v>
      </c>
      <c r="EA44">
        <v>0.39317299999999999</v>
      </c>
      <c r="EB44">
        <v>20.1889</v>
      </c>
      <c r="EC44">
        <v>5.2406499999999996</v>
      </c>
      <c r="ED44">
        <v>12.039899999999999</v>
      </c>
      <c r="EE44">
        <v>5.0172999999999996</v>
      </c>
      <c r="EF44">
        <v>3.2879999999999998</v>
      </c>
      <c r="EG44">
        <v>9999</v>
      </c>
      <c r="EH44">
        <v>9999</v>
      </c>
      <c r="EI44">
        <v>9999</v>
      </c>
      <c r="EJ44">
        <v>999.9</v>
      </c>
      <c r="EK44">
        <v>1.86893</v>
      </c>
      <c r="EL44">
        <v>1.8646499999999999</v>
      </c>
      <c r="EM44">
        <v>1.8692</v>
      </c>
      <c r="EN44">
        <v>1.8672500000000001</v>
      </c>
      <c r="EO44">
        <v>1.86341</v>
      </c>
      <c r="EP44">
        <v>1.8645799999999999</v>
      </c>
      <c r="EQ44">
        <v>1.8702000000000001</v>
      </c>
      <c r="ER44">
        <v>1.8694599999999999</v>
      </c>
      <c r="ES44">
        <v>0</v>
      </c>
      <c r="ET44">
        <v>0</v>
      </c>
      <c r="EU44">
        <v>0</v>
      </c>
      <c r="EV44">
        <v>0</v>
      </c>
      <c r="EW44" t="s">
        <v>334</v>
      </c>
      <c r="EX44" t="s">
        <v>335</v>
      </c>
      <c r="EY44" t="s">
        <v>336</v>
      </c>
      <c r="EZ44" t="s">
        <v>336</v>
      </c>
      <c r="FA44" t="s">
        <v>336</v>
      </c>
      <c r="FB44" t="s">
        <v>336</v>
      </c>
      <c r="FC44">
        <v>0</v>
      </c>
      <c r="FD44">
        <v>100</v>
      </c>
      <c r="FE44">
        <v>100</v>
      </c>
      <c r="FF44">
        <v>-0.46600000000000003</v>
      </c>
      <c r="FG44">
        <v>3.3300000000000003E-2</v>
      </c>
      <c r="FH44">
        <v>4.0020685143421282E-2</v>
      </c>
      <c r="FI44">
        <v>-6.1462078757559423E-4</v>
      </c>
      <c r="FJ44">
        <v>-1.8861989874597051E-7</v>
      </c>
      <c r="FK44">
        <v>1.1980462299894961E-10</v>
      </c>
      <c r="FL44">
        <v>-3.1035565592992288E-2</v>
      </c>
      <c r="FM44">
        <v>-1.6848085045870601E-2</v>
      </c>
      <c r="FN44">
        <v>1.9789084769509481E-3</v>
      </c>
      <c r="FO44">
        <v>-2.7142391389806329E-5</v>
      </c>
      <c r="FP44">
        <v>3</v>
      </c>
      <c r="FQ44">
        <v>2158</v>
      </c>
      <c r="FR44">
        <v>1</v>
      </c>
      <c r="FS44">
        <v>19</v>
      </c>
      <c r="FT44">
        <v>12.8</v>
      </c>
      <c r="FU44">
        <v>12.7</v>
      </c>
      <c r="FV44">
        <v>1.77979</v>
      </c>
      <c r="FW44">
        <v>2.5756800000000002</v>
      </c>
      <c r="FX44">
        <v>1.5490699999999999</v>
      </c>
      <c r="FY44">
        <v>2.3290999999999999</v>
      </c>
      <c r="FZ44">
        <v>1.50146</v>
      </c>
      <c r="GA44">
        <v>2.3828100000000001</v>
      </c>
      <c r="GB44">
        <v>33.760599999999997</v>
      </c>
      <c r="GC44">
        <v>23.991199999999999</v>
      </c>
      <c r="GD44">
        <v>19</v>
      </c>
      <c r="GE44">
        <v>241.65</v>
      </c>
      <c r="GF44">
        <v>581.79600000000005</v>
      </c>
      <c r="GG44">
        <v>24.5869</v>
      </c>
      <c r="GH44">
        <v>26.553999999999998</v>
      </c>
      <c r="GI44">
        <v>30.0002</v>
      </c>
      <c r="GJ44">
        <v>26.6219</v>
      </c>
      <c r="GK44">
        <v>26.572500000000002</v>
      </c>
      <c r="GL44">
        <v>35.595199999999998</v>
      </c>
      <c r="GM44">
        <v>-30</v>
      </c>
      <c r="GN44">
        <v>-30</v>
      </c>
      <c r="GO44">
        <v>24.589600000000001</v>
      </c>
      <c r="GP44">
        <v>800</v>
      </c>
      <c r="GQ44">
        <v>12.5298</v>
      </c>
      <c r="GR44">
        <v>99.646299999999997</v>
      </c>
      <c r="GS44">
        <v>99.418800000000005</v>
      </c>
    </row>
    <row r="45" spans="1:201" x14ac:dyDescent="0.25">
      <c r="A45">
        <v>29</v>
      </c>
      <c r="B45">
        <v>1690212695.5999999</v>
      </c>
      <c r="C45">
        <v>428.09999990463263</v>
      </c>
      <c r="D45" t="s">
        <v>389</v>
      </c>
      <c r="E45" t="s">
        <v>390</v>
      </c>
      <c r="F45" t="s">
        <v>330</v>
      </c>
      <c r="H45">
        <v>1690212695.5999999</v>
      </c>
      <c r="I45">
        <f t="shared" si="0"/>
        <v>6.6886343636476595E-4</v>
      </c>
      <c r="J45">
        <f t="shared" si="1"/>
        <v>0.66886343636476597</v>
      </c>
      <c r="K45">
        <f t="shared" si="2"/>
        <v>5.5041040208815364</v>
      </c>
      <c r="L45">
        <f t="shared" si="3"/>
        <v>731.14099999999996</v>
      </c>
      <c r="M45">
        <f t="shared" si="4"/>
        <v>342.92824593487245</v>
      </c>
      <c r="N45">
        <f t="shared" si="5"/>
        <v>34.020797173913309</v>
      </c>
      <c r="O45">
        <f t="shared" si="6"/>
        <v>72.5341232791192</v>
      </c>
      <c r="P45">
        <f t="shared" si="7"/>
        <v>2.4304102161001644E-2</v>
      </c>
      <c r="Q45">
        <f t="shared" si="8"/>
        <v>2.0123920342046406</v>
      </c>
      <c r="R45">
        <f t="shared" si="9"/>
        <v>2.4142204905174672E-2</v>
      </c>
      <c r="S45">
        <f t="shared" si="10"/>
        <v>1.5103333888053433E-2</v>
      </c>
      <c r="T45">
        <f t="shared" si="11"/>
        <v>276.11307686593983</v>
      </c>
      <c r="U45">
        <f t="shared" si="12"/>
        <v>29.039889701368864</v>
      </c>
      <c r="V45">
        <f t="shared" si="13"/>
        <v>29.039889701368864</v>
      </c>
      <c r="W45">
        <f t="shared" si="14"/>
        <v>4.0310653242725483</v>
      </c>
      <c r="X45">
        <f t="shared" si="15"/>
        <v>37.947813627985823</v>
      </c>
      <c r="Y45">
        <f t="shared" si="16"/>
        <v>1.3571681977662402</v>
      </c>
      <c r="Z45">
        <f t="shared" si="17"/>
        <v>3.5764068282588841</v>
      </c>
      <c r="AA45">
        <f t="shared" si="18"/>
        <v>2.6738971265063078</v>
      </c>
      <c r="AB45">
        <f t="shared" si="19"/>
        <v>-29.496877543686178</v>
      </c>
      <c r="AC45">
        <f t="shared" si="20"/>
        <v>-222.73312158162111</v>
      </c>
      <c r="AD45">
        <f t="shared" si="21"/>
        <v>-24.129367483212803</v>
      </c>
      <c r="AE45">
        <f t="shared" si="22"/>
        <v>-0.24628974258024527</v>
      </c>
      <c r="AF45">
        <v>39</v>
      </c>
      <c r="AG45">
        <v>13</v>
      </c>
      <c r="AH45">
        <f t="shared" si="23"/>
        <v>1</v>
      </c>
      <c r="AI45">
        <f t="shared" si="24"/>
        <v>0</v>
      </c>
      <c r="AJ45">
        <f t="shared" si="25"/>
        <v>52419.726783574275</v>
      </c>
      <c r="AK45">
        <f t="shared" si="26"/>
        <v>1799.99</v>
      </c>
      <c r="AL45">
        <f t="shared" si="27"/>
        <v>1499.1061591861799</v>
      </c>
      <c r="AM45">
        <f t="shared" si="28"/>
        <v>0.83284138199999991</v>
      </c>
      <c r="AN45">
        <f t="shared" si="29"/>
        <v>0.15339700602</v>
      </c>
      <c r="AO45">
        <v>34.5</v>
      </c>
      <c r="AP45">
        <v>0.5</v>
      </c>
      <c r="AQ45" t="s">
        <v>331</v>
      </c>
      <c r="AR45">
        <v>2</v>
      </c>
      <c r="AS45">
        <v>1690212695.5999999</v>
      </c>
      <c r="AT45">
        <v>731.14099999999996</v>
      </c>
      <c r="AU45">
        <v>800.01800000000003</v>
      </c>
      <c r="AV45">
        <v>13.680199999999999</v>
      </c>
      <c r="AW45">
        <v>6.0983499999999999</v>
      </c>
      <c r="AX45">
        <v>731.60500000000002</v>
      </c>
      <c r="AY45">
        <v>13.6417</v>
      </c>
      <c r="AZ45">
        <v>300.19200000000001</v>
      </c>
      <c r="BA45">
        <v>99.106800000000007</v>
      </c>
      <c r="BB45">
        <v>9.9951200000000004E-2</v>
      </c>
      <c r="BC45">
        <v>26.986899999999999</v>
      </c>
      <c r="BD45">
        <v>26.986599999999999</v>
      </c>
      <c r="BE45">
        <v>28.958500000000001</v>
      </c>
      <c r="BF45">
        <v>0</v>
      </c>
      <c r="BG45">
        <v>0</v>
      </c>
      <c r="BH45">
        <v>10002.5</v>
      </c>
      <c r="BI45">
        <v>1075.1199999999999</v>
      </c>
      <c r="BJ45">
        <v>2.1305100000000001</v>
      </c>
      <c r="BK45">
        <v>-68.876800000000003</v>
      </c>
      <c r="BL45">
        <v>741.28200000000004</v>
      </c>
      <c r="BM45">
        <v>804.92700000000002</v>
      </c>
      <c r="BN45">
        <v>7.5818199999999996</v>
      </c>
      <c r="BO45">
        <v>800.01800000000003</v>
      </c>
      <c r="BP45">
        <v>6.0983499999999999</v>
      </c>
      <c r="BQ45">
        <v>1.3557999999999999</v>
      </c>
      <c r="BR45">
        <v>0.60438700000000001</v>
      </c>
      <c r="BS45">
        <v>11.4321</v>
      </c>
      <c r="BT45">
        <v>-0.20922199999999999</v>
      </c>
      <c r="BU45">
        <v>1799.99</v>
      </c>
      <c r="BV45">
        <v>0.91001600000000005</v>
      </c>
      <c r="BW45">
        <v>3.3993599999999999E-2</v>
      </c>
      <c r="BX45">
        <v>2.1995600000000001E-2</v>
      </c>
      <c r="BY45">
        <v>3.3994999999999997E-2</v>
      </c>
      <c r="BZ45">
        <v>25.958300000000001</v>
      </c>
      <c r="CA45">
        <v>33528.300000000003</v>
      </c>
      <c r="CB45">
        <v>1690211922</v>
      </c>
      <c r="CC45" t="s">
        <v>332</v>
      </c>
      <c r="CD45">
        <v>1690211915</v>
      </c>
      <c r="CE45">
        <v>1690211922</v>
      </c>
      <c r="CF45">
        <v>6</v>
      </c>
      <c r="CG45">
        <v>1.0999999999999999E-2</v>
      </c>
      <c r="CH45">
        <v>8.0000000000000002E-3</v>
      </c>
      <c r="CI45">
        <v>-0.51100000000000001</v>
      </c>
      <c r="CJ45">
        <v>-6.6000000000000003E-2</v>
      </c>
      <c r="CK45">
        <v>800</v>
      </c>
      <c r="CL45">
        <v>6</v>
      </c>
      <c r="CM45">
        <v>0.21</v>
      </c>
      <c r="CN45">
        <v>0.02</v>
      </c>
      <c r="CO45">
        <v>-64.385897560975607</v>
      </c>
      <c r="CP45">
        <v>-24.76074355400694</v>
      </c>
      <c r="CQ45">
        <v>2.4417880841798758</v>
      </c>
      <c r="CR45">
        <v>-1</v>
      </c>
      <c r="CS45">
        <v>7.306624634146341</v>
      </c>
      <c r="CT45">
        <v>1.577798466898976</v>
      </c>
      <c r="CU45">
        <v>0.1556787960889196</v>
      </c>
      <c r="CV45">
        <v>-1</v>
      </c>
      <c r="CW45">
        <v>0</v>
      </c>
      <c r="CX45">
        <v>0</v>
      </c>
      <c r="CY45" t="s">
        <v>333</v>
      </c>
      <c r="CZ45">
        <v>2.3642400000000001</v>
      </c>
      <c r="DA45">
        <v>2.71374</v>
      </c>
      <c r="DB45">
        <v>0.137956</v>
      </c>
      <c r="DC45">
        <v>0.14605599999999999</v>
      </c>
      <c r="DD45">
        <v>7.6090599999999994E-2</v>
      </c>
      <c r="DE45">
        <v>3.9964100000000002E-2</v>
      </c>
      <c r="DF45">
        <v>31448.400000000001</v>
      </c>
      <c r="DG45">
        <v>27480.9</v>
      </c>
      <c r="DH45">
        <v>31145.5</v>
      </c>
      <c r="DI45">
        <v>28042.7</v>
      </c>
      <c r="DJ45">
        <v>39076.800000000003</v>
      </c>
      <c r="DK45">
        <v>38278.699999999997</v>
      </c>
      <c r="DL45">
        <v>44318.5</v>
      </c>
      <c r="DM45">
        <v>42495.8</v>
      </c>
      <c r="DN45">
        <v>1.3712200000000001</v>
      </c>
      <c r="DO45">
        <v>2.03145</v>
      </c>
      <c r="DP45">
        <v>7.0810300000000007E-2</v>
      </c>
      <c r="DQ45">
        <v>0.201344</v>
      </c>
      <c r="DR45">
        <v>25.827500000000001</v>
      </c>
      <c r="DS45">
        <v>25.667400000000001</v>
      </c>
      <c r="DT45">
        <v>18.2</v>
      </c>
      <c r="DU45">
        <v>29.6</v>
      </c>
      <c r="DV45">
        <v>7.64499</v>
      </c>
      <c r="DW45">
        <v>61.831200000000003</v>
      </c>
      <c r="DX45">
        <v>36.871000000000002</v>
      </c>
      <c r="DY45">
        <v>1</v>
      </c>
      <c r="DZ45">
        <v>-6.6831799999999997E-2</v>
      </c>
      <c r="EA45">
        <v>0.36041400000000001</v>
      </c>
      <c r="EB45">
        <v>20.1889</v>
      </c>
      <c r="EC45">
        <v>5.2411000000000003</v>
      </c>
      <c r="ED45">
        <v>12.039899999999999</v>
      </c>
      <c r="EE45">
        <v>5.0173500000000004</v>
      </c>
      <c r="EF45">
        <v>3.2879999999999998</v>
      </c>
      <c r="EG45">
        <v>9999</v>
      </c>
      <c r="EH45">
        <v>9999</v>
      </c>
      <c r="EI45">
        <v>9999</v>
      </c>
      <c r="EJ45">
        <v>999.9</v>
      </c>
      <c r="EK45">
        <v>1.8689199999999999</v>
      </c>
      <c r="EL45">
        <v>1.86466</v>
      </c>
      <c r="EM45">
        <v>1.8691899999999999</v>
      </c>
      <c r="EN45">
        <v>1.8672299999999999</v>
      </c>
      <c r="EO45">
        <v>1.86341</v>
      </c>
      <c r="EP45">
        <v>1.86456</v>
      </c>
      <c r="EQ45">
        <v>1.87016</v>
      </c>
      <c r="ER45">
        <v>1.86944</v>
      </c>
      <c r="ES45">
        <v>0</v>
      </c>
      <c r="ET45">
        <v>0</v>
      </c>
      <c r="EU45">
        <v>0</v>
      </c>
      <c r="EV45">
        <v>0</v>
      </c>
      <c r="EW45" t="s">
        <v>334</v>
      </c>
      <c r="EX45" t="s">
        <v>335</v>
      </c>
      <c r="EY45" t="s">
        <v>336</v>
      </c>
      <c r="EZ45" t="s">
        <v>336</v>
      </c>
      <c r="FA45" t="s">
        <v>336</v>
      </c>
      <c r="FB45" t="s">
        <v>336</v>
      </c>
      <c r="FC45">
        <v>0</v>
      </c>
      <c r="FD45">
        <v>100</v>
      </c>
      <c r="FE45">
        <v>100</v>
      </c>
      <c r="FF45">
        <v>-0.46400000000000002</v>
      </c>
      <c r="FG45">
        <v>3.85E-2</v>
      </c>
      <c r="FH45">
        <v>4.0020685143421282E-2</v>
      </c>
      <c r="FI45">
        <v>-6.1462078757559423E-4</v>
      </c>
      <c r="FJ45">
        <v>-1.8861989874597051E-7</v>
      </c>
      <c r="FK45">
        <v>1.1980462299894961E-10</v>
      </c>
      <c r="FL45">
        <v>-3.1035565592992288E-2</v>
      </c>
      <c r="FM45">
        <v>-1.6848085045870601E-2</v>
      </c>
      <c r="FN45">
        <v>1.9789084769509481E-3</v>
      </c>
      <c r="FO45">
        <v>-2.7142391389806329E-5</v>
      </c>
      <c r="FP45">
        <v>3</v>
      </c>
      <c r="FQ45">
        <v>2158</v>
      </c>
      <c r="FR45">
        <v>1</v>
      </c>
      <c r="FS45">
        <v>19</v>
      </c>
      <c r="FT45">
        <v>13</v>
      </c>
      <c r="FU45">
        <v>12.9</v>
      </c>
      <c r="FV45">
        <v>1.77979</v>
      </c>
      <c r="FW45">
        <v>2.5708000000000002</v>
      </c>
      <c r="FX45">
        <v>1.5490699999999999</v>
      </c>
      <c r="FY45">
        <v>2.3290999999999999</v>
      </c>
      <c r="FZ45">
        <v>1.50146</v>
      </c>
      <c r="GA45">
        <v>2.3938000000000001</v>
      </c>
      <c r="GB45">
        <v>33.760599999999997</v>
      </c>
      <c r="GC45">
        <v>23.991199999999999</v>
      </c>
      <c r="GD45">
        <v>19</v>
      </c>
      <c r="GE45">
        <v>241.601</v>
      </c>
      <c r="GF45">
        <v>581.75800000000004</v>
      </c>
      <c r="GG45">
        <v>24.601400000000002</v>
      </c>
      <c r="GH45">
        <v>26.553999999999998</v>
      </c>
      <c r="GI45">
        <v>30.0001</v>
      </c>
      <c r="GJ45">
        <v>26.624099999999999</v>
      </c>
      <c r="GK45">
        <v>26.5748</v>
      </c>
      <c r="GL45">
        <v>35.594099999999997</v>
      </c>
      <c r="GM45">
        <v>-30</v>
      </c>
      <c r="GN45">
        <v>-30</v>
      </c>
      <c r="GO45">
        <v>24.6126</v>
      </c>
      <c r="GP45">
        <v>800</v>
      </c>
      <c r="GQ45">
        <v>12.5298</v>
      </c>
      <c r="GR45">
        <v>99.6464</v>
      </c>
      <c r="GS45">
        <v>99.4191</v>
      </c>
    </row>
    <row r="46" spans="1:201" x14ac:dyDescent="0.25">
      <c r="A46">
        <v>30</v>
      </c>
      <c r="B46">
        <v>1690212705.5999999</v>
      </c>
      <c r="C46">
        <v>438.09999990463263</v>
      </c>
      <c r="D46" t="s">
        <v>391</v>
      </c>
      <c r="E46" t="s">
        <v>392</v>
      </c>
      <c r="F46" t="s">
        <v>330</v>
      </c>
      <c r="H46">
        <v>1690212705.5999999</v>
      </c>
      <c r="I46">
        <f t="shared" si="0"/>
        <v>6.8835747056847981E-4</v>
      </c>
      <c r="J46">
        <f t="shared" si="1"/>
        <v>0.68835747056847985</v>
      </c>
      <c r="K46">
        <f t="shared" si="2"/>
        <v>5.8249433379839228</v>
      </c>
      <c r="L46">
        <f t="shared" si="3"/>
        <v>727.29300000000001</v>
      </c>
      <c r="M46">
        <f t="shared" si="4"/>
        <v>332.50553882750393</v>
      </c>
      <c r="N46">
        <f t="shared" si="5"/>
        <v>32.988130868847094</v>
      </c>
      <c r="O46">
        <f t="shared" si="6"/>
        <v>72.155299272902994</v>
      </c>
      <c r="P46">
        <f t="shared" si="7"/>
        <v>2.5235482034278785E-2</v>
      </c>
      <c r="Q46">
        <f t="shared" si="8"/>
        <v>2.0097491488976678</v>
      </c>
      <c r="R46">
        <f t="shared" si="9"/>
        <v>2.5060758913921347E-2</v>
      </c>
      <c r="S46">
        <f t="shared" si="10"/>
        <v>1.5678571554300622E-2</v>
      </c>
      <c r="T46">
        <f t="shared" si="11"/>
        <v>276.11274629777631</v>
      </c>
      <c r="U46">
        <f t="shared" si="12"/>
        <v>29.03356303159855</v>
      </c>
      <c r="V46">
        <f t="shared" si="13"/>
        <v>29.03356303159855</v>
      </c>
      <c r="W46">
        <f t="shared" si="14"/>
        <v>4.0295902393623679</v>
      </c>
      <c r="X46">
        <f t="shared" si="15"/>
        <v>38.556049816172099</v>
      </c>
      <c r="Y46">
        <f t="shared" si="16"/>
        <v>1.3787916110496001</v>
      </c>
      <c r="Z46">
        <f t="shared" si="17"/>
        <v>3.5760707272228762</v>
      </c>
      <c r="AA46">
        <f t="shared" si="18"/>
        <v>2.650798628312768</v>
      </c>
      <c r="AB46">
        <f t="shared" si="19"/>
        <v>-30.356564452069961</v>
      </c>
      <c r="AC46">
        <f t="shared" si="20"/>
        <v>-221.92847221174861</v>
      </c>
      <c r="AD46">
        <f t="shared" si="21"/>
        <v>-24.07286141777579</v>
      </c>
      <c r="AE46">
        <f t="shared" si="22"/>
        <v>-0.24515178381804503</v>
      </c>
      <c r="AF46">
        <v>39</v>
      </c>
      <c r="AG46">
        <v>13</v>
      </c>
      <c r="AH46">
        <f t="shared" si="23"/>
        <v>1</v>
      </c>
      <c r="AI46">
        <f t="shared" si="24"/>
        <v>0</v>
      </c>
      <c r="AJ46">
        <f t="shared" si="25"/>
        <v>52293.245364158473</v>
      </c>
      <c r="AK46">
        <f t="shared" si="26"/>
        <v>1799.99</v>
      </c>
      <c r="AL46">
        <f t="shared" si="27"/>
        <v>1499.1021452084799</v>
      </c>
      <c r="AM46">
        <f t="shared" si="28"/>
        <v>0.83283915199999992</v>
      </c>
      <c r="AN46">
        <f t="shared" si="29"/>
        <v>0.15339682237000002</v>
      </c>
      <c r="AO46">
        <v>34.5</v>
      </c>
      <c r="AP46">
        <v>0.5</v>
      </c>
      <c r="AQ46" t="s">
        <v>331</v>
      </c>
      <c r="AR46">
        <v>2</v>
      </c>
      <c r="AS46">
        <v>1690212705.5999999</v>
      </c>
      <c r="AT46">
        <v>727.29300000000001</v>
      </c>
      <c r="AU46">
        <v>799.98</v>
      </c>
      <c r="AV46">
        <v>13.897600000000001</v>
      </c>
      <c r="AW46">
        <v>6.0976400000000002</v>
      </c>
      <c r="AX46">
        <v>727.75400000000002</v>
      </c>
      <c r="AY46">
        <v>13.8544</v>
      </c>
      <c r="AZ46">
        <v>300.23599999999999</v>
      </c>
      <c r="BA46">
        <v>99.110699999999994</v>
      </c>
      <c r="BB46">
        <v>0.10007099999999999</v>
      </c>
      <c r="BC46">
        <v>26.985299999999999</v>
      </c>
      <c r="BD46">
        <v>26.972999999999999</v>
      </c>
      <c r="BE46">
        <v>28.966999999999999</v>
      </c>
      <c r="BF46">
        <v>0</v>
      </c>
      <c r="BG46">
        <v>0</v>
      </c>
      <c r="BH46">
        <v>9976.8799999999992</v>
      </c>
      <c r="BI46">
        <v>1075.1400000000001</v>
      </c>
      <c r="BJ46">
        <v>2.1305100000000001</v>
      </c>
      <c r="BK46">
        <v>-72.687100000000001</v>
      </c>
      <c r="BL46">
        <v>737.54300000000001</v>
      </c>
      <c r="BM46">
        <v>804.88800000000003</v>
      </c>
      <c r="BN46">
        <v>7.7999299999999998</v>
      </c>
      <c r="BO46">
        <v>799.98</v>
      </c>
      <c r="BP46">
        <v>6.0976400000000002</v>
      </c>
      <c r="BQ46">
        <v>1.3774</v>
      </c>
      <c r="BR46">
        <v>0.60434100000000002</v>
      </c>
      <c r="BS46">
        <v>11.671099999999999</v>
      </c>
      <c r="BT46">
        <v>-0.21027299999999999</v>
      </c>
      <c r="BU46">
        <v>1799.99</v>
      </c>
      <c r="BV46">
        <v>0.91000800000000004</v>
      </c>
      <c r="BW46">
        <v>3.4007299999999997E-2</v>
      </c>
      <c r="BX46">
        <v>2.1993100000000002E-2</v>
      </c>
      <c r="BY46">
        <v>3.3991100000000003E-2</v>
      </c>
      <c r="BZ46">
        <v>26</v>
      </c>
      <c r="CA46">
        <v>33528.300000000003</v>
      </c>
      <c r="CB46">
        <v>1690211922</v>
      </c>
      <c r="CC46" t="s">
        <v>332</v>
      </c>
      <c r="CD46">
        <v>1690211915</v>
      </c>
      <c r="CE46">
        <v>1690211922</v>
      </c>
      <c r="CF46">
        <v>6</v>
      </c>
      <c r="CG46">
        <v>1.0999999999999999E-2</v>
      </c>
      <c r="CH46">
        <v>8.0000000000000002E-3</v>
      </c>
      <c r="CI46">
        <v>-0.51100000000000001</v>
      </c>
      <c r="CJ46">
        <v>-6.6000000000000003E-2</v>
      </c>
      <c r="CK46">
        <v>800</v>
      </c>
      <c r="CL46">
        <v>6</v>
      </c>
      <c r="CM46">
        <v>0.21</v>
      </c>
      <c r="CN46">
        <v>0.02</v>
      </c>
      <c r="CO46">
        <v>-68.446582926829279</v>
      </c>
      <c r="CP46">
        <v>-23.882995818815321</v>
      </c>
      <c r="CQ46">
        <v>2.3550949730631938</v>
      </c>
      <c r="CR46">
        <v>-1</v>
      </c>
      <c r="CS46">
        <v>7.5547756097560974</v>
      </c>
      <c r="CT46">
        <v>1.3977497560975769</v>
      </c>
      <c r="CU46">
        <v>0.1378928076804373</v>
      </c>
      <c r="CV46">
        <v>-1</v>
      </c>
      <c r="CW46">
        <v>0</v>
      </c>
      <c r="CX46">
        <v>0</v>
      </c>
      <c r="CY46" t="s">
        <v>333</v>
      </c>
      <c r="CZ46">
        <v>2.3644099999999999</v>
      </c>
      <c r="DA46">
        <v>2.7138399999999998</v>
      </c>
      <c r="DB46">
        <v>0.13747200000000001</v>
      </c>
      <c r="DC46">
        <v>0.14605699999999999</v>
      </c>
      <c r="DD46">
        <v>7.6977799999999999E-2</v>
      </c>
      <c r="DE46">
        <v>3.9961900000000002E-2</v>
      </c>
      <c r="DF46">
        <v>31466.2</v>
      </c>
      <c r="DG46">
        <v>27480.7</v>
      </c>
      <c r="DH46">
        <v>31145.599999999999</v>
      </c>
      <c r="DI46">
        <v>28042.6</v>
      </c>
      <c r="DJ46">
        <v>39039.300000000003</v>
      </c>
      <c r="DK46">
        <v>38278.6</v>
      </c>
      <c r="DL46">
        <v>44318.9</v>
      </c>
      <c r="DM46">
        <v>42495.6</v>
      </c>
      <c r="DN46">
        <v>1.3710500000000001</v>
      </c>
      <c r="DO46">
        <v>2.03105</v>
      </c>
      <c r="DP46">
        <v>7.0474999999999996E-2</v>
      </c>
      <c r="DQ46">
        <v>0.202261</v>
      </c>
      <c r="DR46">
        <v>25.819400000000002</v>
      </c>
      <c r="DS46">
        <v>25.660900000000002</v>
      </c>
      <c r="DT46">
        <v>18.2</v>
      </c>
      <c r="DU46">
        <v>29.6</v>
      </c>
      <c r="DV46">
        <v>7.6459799999999998</v>
      </c>
      <c r="DW46">
        <v>61.761200000000002</v>
      </c>
      <c r="DX46">
        <v>36.514400000000002</v>
      </c>
      <c r="DY46">
        <v>1</v>
      </c>
      <c r="DZ46">
        <v>-6.6712400000000005E-2</v>
      </c>
      <c r="EA46">
        <v>0.33134799999999998</v>
      </c>
      <c r="EB46">
        <v>20.189</v>
      </c>
      <c r="EC46">
        <v>5.2406499999999996</v>
      </c>
      <c r="ED46">
        <v>12.039899999999999</v>
      </c>
      <c r="EE46">
        <v>5.0173500000000004</v>
      </c>
      <c r="EF46">
        <v>3.2879999999999998</v>
      </c>
      <c r="EG46">
        <v>9999</v>
      </c>
      <c r="EH46">
        <v>9999</v>
      </c>
      <c r="EI46">
        <v>9999</v>
      </c>
      <c r="EJ46">
        <v>999.9</v>
      </c>
      <c r="EK46">
        <v>1.8689199999999999</v>
      </c>
      <c r="EL46">
        <v>1.8646400000000001</v>
      </c>
      <c r="EM46">
        <v>1.8691899999999999</v>
      </c>
      <c r="EN46">
        <v>1.8672299999999999</v>
      </c>
      <c r="EO46">
        <v>1.86341</v>
      </c>
      <c r="EP46">
        <v>1.8645499999999999</v>
      </c>
      <c r="EQ46">
        <v>1.87018</v>
      </c>
      <c r="ER46">
        <v>1.86944</v>
      </c>
      <c r="ES46">
        <v>0</v>
      </c>
      <c r="ET46">
        <v>0</v>
      </c>
      <c r="EU46">
        <v>0</v>
      </c>
      <c r="EV46">
        <v>0</v>
      </c>
      <c r="EW46" t="s">
        <v>334</v>
      </c>
      <c r="EX46" t="s">
        <v>335</v>
      </c>
      <c r="EY46" t="s">
        <v>336</v>
      </c>
      <c r="EZ46" t="s">
        <v>336</v>
      </c>
      <c r="FA46" t="s">
        <v>336</v>
      </c>
      <c r="FB46" t="s">
        <v>336</v>
      </c>
      <c r="FC46">
        <v>0</v>
      </c>
      <c r="FD46">
        <v>100</v>
      </c>
      <c r="FE46">
        <v>100</v>
      </c>
      <c r="FF46">
        <v>-0.46100000000000002</v>
      </c>
      <c r="FG46">
        <v>4.3200000000000002E-2</v>
      </c>
      <c r="FH46">
        <v>4.0020685143421282E-2</v>
      </c>
      <c r="FI46">
        <v>-6.1462078757559423E-4</v>
      </c>
      <c r="FJ46">
        <v>-1.8861989874597051E-7</v>
      </c>
      <c r="FK46">
        <v>1.1980462299894961E-10</v>
      </c>
      <c r="FL46">
        <v>-3.1035565592992288E-2</v>
      </c>
      <c r="FM46">
        <v>-1.6848085045870601E-2</v>
      </c>
      <c r="FN46">
        <v>1.9789084769509481E-3</v>
      </c>
      <c r="FO46">
        <v>-2.7142391389806329E-5</v>
      </c>
      <c r="FP46">
        <v>3</v>
      </c>
      <c r="FQ46">
        <v>2158</v>
      </c>
      <c r="FR46">
        <v>1</v>
      </c>
      <c r="FS46">
        <v>19</v>
      </c>
      <c r="FT46">
        <v>13.2</v>
      </c>
      <c r="FU46">
        <v>13.1</v>
      </c>
      <c r="FV46">
        <v>1.77979</v>
      </c>
      <c r="FW46">
        <v>2.5732400000000002</v>
      </c>
      <c r="FX46">
        <v>1.5490699999999999</v>
      </c>
      <c r="FY46">
        <v>2.3290999999999999</v>
      </c>
      <c r="FZ46">
        <v>1.50146</v>
      </c>
      <c r="GA46">
        <v>2.4084500000000002</v>
      </c>
      <c r="GB46">
        <v>33.760599999999997</v>
      </c>
      <c r="GC46">
        <v>23.991199999999999</v>
      </c>
      <c r="GD46">
        <v>19</v>
      </c>
      <c r="GE46">
        <v>241.535</v>
      </c>
      <c r="GF46">
        <v>581.44100000000003</v>
      </c>
      <c r="GG46">
        <v>24.627300000000002</v>
      </c>
      <c r="GH46">
        <v>26.553999999999998</v>
      </c>
      <c r="GI46">
        <v>30.0002</v>
      </c>
      <c r="GJ46">
        <v>26.624300000000002</v>
      </c>
      <c r="GK46">
        <v>26.575900000000001</v>
      </c>
      <c r="GL46">
        <v>35.592100000000002</v>
      </c>
      <c r="GM46">
        <v>-30</v>
      </c>
      <c r="GN46">
        <v>-30</v>
      </c>
      <c r="GO46">
        <v>24.635899999999999</v>
      </c>
      <c r="GP46">
        <v>800</v>
      </c>
      <c r="GQ46">
        <v>12.5298</v>
      </c>
      <c r="GR46">
        <v>99.647000000000006</v>
      </c>
      <c r="GS46">
        <v>99.418700000000001</v>
      </c>
    </row>
    <row r="47" spans="1:201" x14ac:dyDescent="0.25">
      <c r="A47">
        <v>31</v>
      </c>
      <c r="B47">
        <v>1690212715.5999999</v>
      </c>
      <c r="C47">
        <v>448.09999990463263</v>
      </c>
      <c r="D47" t="s">
        <v>393</v>
      </c>
      <c r="E47" t="s">
        <v>394</v>
      </c>
      <c r="F47" t="s">
        <v>330</v>
      </c>
      <c r="H47">
        <v>1690212715.5999999</v>
      </c>
      <c r="I47">
        <f t="shared" si="0"/>
        <v>7.0563826667506557E-4</v>
      </c>
      <c r="J47">
        <f t="shared" si="1"/>
        <v>0.70563826667506557</v>
      </c>
      <c r="K47">
        <f t="shared" si="2"/>
        <v>6.1348027185716445</v>
      </c>
      <c r="L47">
        <f t="shared" si="3"/>
        <v>723.54300000000001</v>
      </c>
      <c r="M47">
        <f t="shared" si="4"/>
        <v>322.26955086656426</v>
      </c>
      <c r="N47">
        <f t="shared" si="5"/>
        <v>31.973760791322601</v>
      </c>
      <c r="O47">
        <f t="shared" si="6"/>
        <v>71.785841206620006</v>
      </c>
      <c r="P47">
        <f t="shared" si="7"/>
        <v>2.6092559261335184E-2</v>
      </c>
      <c r="Q47">
        <f t="shared" si="8"/>
        <v>2.01103159184097</v>
      </c>
      <c r="R47">
        <f t="shared" si="9"/>
        <v>2.5905931852668651E-2</v>
      </c>
      <c r="S47">
        <f t="shared" si="10"/>
        <v>1.6207863765836127E-2</v>
      </c>
      <c r="T47">
        <f t="shared" si="11"/>
        <v>276.11243290151737</v>
      </c>
      <c r="U47">
        <f t="shared" si="12"/>
        <v>29.019645513438906</v>
      </c>
      <c r="V47">
        <f t="shared" si="13"/>
        <v>29.019645513438906</v>
      </c>
      <c r="W47">
        <f t="shared" si="14"/>
        <v>4.026346978332489</v>
      </c>
      <c r="X47">
        <f t="shared" si="15"/>
        <v>39.101488436369323</v>
      </c>
      <c r="Y47">
        <f t="shared" si="16"/>
        <v>1.3977713076560001</v>
      </c>
      <c r="Z47">
        <f t="shared" si="17"/>
        <v>3.5747265987856771</v>
      </c>
      <c r="AA47">
        <f t="shared" si="18"/>
        <v>2.6285756706764891</v>
      </c>
      <c r="AB47">
        <f t="shared" si="19"/>
        <v>-31.118647560370391</v>
      </c>
      <c r="AC47">
        <f t="shared" si="20"/>
        <v>-221.25504738993945</v>
      </c>
      <c r="AD47">
        <f t="shared" si="21"/>
        <v>-23.982079108352835</v>
      </c>
      <c r="AE47">
        <f t="shared" si="22"/>
        <v>-0.24334115714529503</v>
      </c>
      <c r="AF47">
        <v>39</v>
      </c>
      <c r="AG47">
        <v>13</v>
      </c>
      <c r="AH47">
        <f t="shared" si="23"/>
        <v>1</v>
      </c>
      <c r="AI47">
        <f t="shared" si="24"/>
        <v>0</v>
      </c>
      <c r="AJ47">
        <f t="shared" si="25"/>
        <v>52355.961291729334</v>
      </c>
      <c r="AK47">
        <f t="shared" si="26"/>
        <v>1799.99</v>
      </c>
      <c r="AL47">
        <f t="shared" si="27"/>
        <v>1499.10314240294</v>
      </c>
      <c r="AM47">
        <f t="shared" si="28"/>
        <v>0.83283970600000001</v>
      </c>
      <c r="AN47">
        <f t="shared" si="29"/>
        <v>0.15339664825999999</v>
      </c>
      <c r="AO47">
        <v>34.5</v>
      </c>
      <c r="AP47">
        <v>0.5</v>
      </c>
      <c r="AQ47" t="s">
        <v>331</v>
      </c>
      <c r="AR47">
        <v>2</v>
      </c>
      <c r="AS47">
        <v>1690212715.5999999</v>
      </c>
      <c r="AT47">
        <v>723.54300000000001</v>
      </c>
      <c r="AU47">
        <v>799.88400000000001</v>
      </c>
      <c r="AV47">
        <v>14.0884</v>
      </c>
      <c r="AW47">
        <v>6.09633</v>
      </c>
      <c r="AX47">
        <v>724.00199999999995</v>
      </c>
      <c r="AY47">
        <v>14.041</v>
      </c>
      <c r="AZ47">
        <v>300.31700000000001</v>
      </c>
      <c r="BA47">
        <v>99.1143</v>
      </c>
      <c r="BB47">
        <v>0.10004</v>
      </c>
      <c r="BC47">
        <v>26.978899999999999</v>
      </c>
      <c r="BD47">
        <v>26.962900000000001</v>
      </c>
      <c r="BE47">
        <v>28.971800000000002</v>
      </c>
      <c r="BF47">
        <v>0</v>
      </c>
      <c r="BG47">
        <v>0</v>
      </c>
      <c r="BH47">
        <v>9988.75</v>
      </c>
      <c r="BI47">
        <v>1075.07</v>
      </c>
      <c r="BJ47">
        <v>2.1305100000000001</v>
      </c>
      <c r="BK47">
        <v>-76.340900000000005</v>
      </c>
      <c r="BL47">
        <v>733.88199999999995</v>
      </c>
      <c r="BM47">
        <v>804.79</v>
      </c>
      <c r="BN47">
        <v>7.9920499999999999</v>
      </c>
      <c r="BO47">
        <v>799.88400000000001</v>
      </c>
      <c r="BP47">
        <v>6.09633</v>
      </c>
      <c r="BQ47">
        <v>1.39636</v>
      </c>
      <c r="BR47">
        <v>0.60423300000000002</v>
      </c>
      <c r="BS47">
        <v>11.8782</v>
      </c>
      <c r="BT47">
        <v>-0.212732</v>
      </c>
      <c r="BU47">
        <v>1799.99</v>
      </c>
      <c r="BV47">
        <v>0.91001500000000002</v>
      </c>
      <c r="BW47">
        <v>3.4006300000000003E-2</v>
      </c>
      <c r="BX47">
        <v>2.1990800000000001E-2</v>
      </c>
      <c r="BY47">
        <v>3.39876E-2</v>
      </c>
      <c r="BZ47">
        <v>25.916699999999999</v>
      </c>
      <c r="CA47">
        <v>33528.300000000003</v>
      </c>
      <c r="CB47">
        <v>1690211922</v>
      </c>
      <c r="CC47" t="s">
        <v>332</v>
      </c>
      <c r="CD47">
        <v>1690211915</v>
      </c>
      <c r="CE47">
        <v>1690211922</v>
      </c>
      <c r="CF47">
        <v>6</v>
      </c>
      <c r="CG47">
        <v>1.0999999999999999E-2</v>
      </c>
      <c r="CH47">
        <v>8.0000000000000002E-3</v>
      </c>
      <c r="CI47">
        <v>-0.51100000000000001</v>
      </c>
      <c r="CJ47">
        <v>-6.6000000000000003E-2</v>
      </c>
      <c r="CK47">
        <v>800</v>
      </c>
      <c r="CL47">
        <v>6</v>
      </c>
      <c r="CM47">
        <v>0.21</v>
      </c>
      <c r="CN47">
        <v>0.02</v>
      </c>
      <c r="CO47">
        <v>-72.249305000000007</v>
      </c>
      <c r="CP47">
        <v>-22.922539587241928</v>
      </c>
      <c r="CQ47">
        <v>2.2054101363408578</v>
      </c>
      <c r="CR47">
        <v>-1</v>
      </c>
      <c r="CS47">
        <v>7.7699459999999991</v>
      </c>
      <c r="CT47">
        <v>1.2450981613508381</v>
      </c>
      <c r="CU47">
        <v>0.11983282984641561</v>
      </c>
      <c r="CV47">
        <v>-1</v>
      </c>
      <c r="CW47">
        <v>0</v>
      </c>
      <c r="CX47">
        <v>0</v>
      </c>
      <c r="CY47" t="s">
        <v>333</v>
      </c>
      <c r="CZ47">
        <v>2.3646699999999998</v>
      </c>
      <c r="DA47">
        <v>2.7138200000000001</v>
      </c>
      <c r="DB47">
        <v>0.13699800000000001</v>
      </c>
      <c r="DC47">
        <v>0.14605000000000001</v>
      </c>
      <c r="DD47">
        <v>7.7751700000000007E-2</v>
      </c>
      <c r="DE47">
        <v>3.9956100000000001E-2</v>
      </c>
      <c r="DF47">
        <v>31483.200000000001</v>
      </c>
      <c r="DG47">
        <v>27480.9</v>
      </c>
      <c r="DH47">
        <v>31145.3</v>
      </c>
      <c r="DI47">
        <v>28042.5</v>
      </c>
      <c r="DJ47">
        <v>39005.9</v>
      </c>
      <c r="DK47">
        <v>38278.699999999997</v>
      </c>
      <c r="DL47">
        <v>44318.400000000001</v>
      </c>
      <c r="DM47">
        <v>42495.5</v>
      </c>
      <c r="DN47">
        <v>1.3715999999999999</v>
      </c>
      <c r="DO47">
        <v>2.0310999999999999</v>
      </c>
      <c r="DP47">
        <v>7.0221699999999998E-2</v>
      </c>
      <c r="DQ47">
        <v>0.20291699999999999</v>
      </c>
      <c r="DR47">
        <v>25.813400000000001</v>
      </c>
      <c r="DS47">
        <v>25.654900000000001</v>
      </c>
      <c r="DT47">
        <v>18.2</v>
      </c>
      <c r="DU47">
        <v>29.6</v>
      </c>
      <c r="DV47">
        <v>7.6462500000000002</v>
      </c>
      <c r="DW47">
        <v>61.841200000000001</v>
      </c>
      <c r="DX47">
        <v>36.3782</v>
      </c>
      <c r="DY47">
        <v>1</v>
      </c>
      <c r="DZ47">
        <v>-6.6910600000000001E-2</v>
      </c>
      <c r="EA47">
        <v>0.28606199999999998</v>
      </c>
      <c r="EB47">
        <v>20.189399999999999</v>
      </c>
      <c r="EC47">
        <v>5.2403500000000003</v>
      </c>
      <c r="ED47">
        <v>12.039899999999999</v>
      </c>
      <c r="EE47">
        <v>5.01715</v>
      </c>
      <c r="EF47">
        <v>3.2879999999999998</v>
      </c>
      <c r="EG47">
        <v>9999</v>
      </c>
      <c r="EH47">
        <v>9999</v>
      </c>
      <c r="EI47">
        <v>9999</v>
      </c>
      <c r="EJ47">
        <v>999.9</v>
      </c>
      <c r="EK47">
        <v>1.86894</v>
      </c>
      <c r="EL47">
        <v>1.8646400000000001</v>
      </c>
      <c r="EM47">
        <v>1.8692</v>
      </c>
      <c r="EN47">
        <v>1.8672500000000001</v>
      </c>
      <c r="EO47">
        <v>1.8634299999999999</v>
      </c>
      <c r="EP47">
        <v>1.8645700000000001</v>
      </c>
      <c r="EQ47">
        <v>1.87018</v>
      </c>
      <c r="ER47">
        <v>1.86947</v>
      </c>
      <c r="ES47">
        <v>0</v>
      </c>
      <c r="ET47">
        <v>0</v>
      </c>
      <c r="EU47">
        <v>0</v>
      </c>
      <c r="EV47">
        <v>0</v>
      </c>
      <c r="EW47" t="s">
        <v>334</v>
      </c>
      <c r="EX47" t="s">
        <v>335</v>
      </c>
      <c r="EY47" t="s">
        <v>336</v>
      </c>
      <c r="EZ47" t="s">
        <v>336</v>
      </c>
      <c r="FA47" t="s">
        <v>336</v>
      </c>
      <c r="FB47" t="s">
        <v>336</v>
      </c>
      <c r="FC47">
        <v>0</v>
      </c>
      <c r="FD47">
        <v>100</v>
      </c>
      <c r="FE47">
        <v>100</v>
      </c>
      <c r="FF47">
        <v>-0.45900000000000002</v>
      </c>
      <c r="FG47">
        <v>4.7399999999999998E-2</v>
      </c>
      <c r="FH47">
        <v>4.0020685143421282E-2</v>
      </c>
      <c r="FI47">
        <v>-6.1462078757559423E-4</v>
      </c>
      <c r="FJ47">
        <v>-1.8861989874597051E-7</v>
      </c>
      <c r="FK47">
        <v>1.1980462299894961E-10</v>
      </c>
      <c r="FL47">
        <v>-3.1035565592992288E-2</v>
      </c>
      <c r="FM47">
        <v>-1.6848085045870601E-2</v>
      </c>
      <c r="FN47">
        <v>1.9789084769509481E-3</v>
      </c>
      <c r="FO47">
        <v>-2.7142391389806329E-5</v>
      </c>
      <c r="FP47">
        <v>3</v>
      </c>
      <c r="FQ47">
        <v>2158</v>
      </c>
      <c r="FR47">
        <v>1</v>
      </c>
      <c r="FS47">
        <v>19</v>
      </c>
      <c r="FT47">
        <v>13.3</v>
      </c>
      <c r="FU47">
        <v>13.2</v>
      </c>
      <c r="FV47">
        <v>1.78101</v>
      </c>
      <c r="FW47">
        <v>2.5732400000000002</v>
      </c>
      <c r="FX47">
        <v>1.5490699999999999</v>
      </c>
      <c r="FY47">
        <v>2.3290999999999999</v>
      </c>
      <c r="FZ47">
        <v>1.50146</v>
      </c>
      <c r="GA47">
        <v>2.3877000000000002</v>
      </c>
      <c r="GB47">
        <v>33.783200000000001</v>
      </c>
      <c r="GC47">
        <v>23.991199999999999</v>
      </c>
      <c r="GD47">
        <v>19</v>
      </c>
      <c r="GE47">
        <v>241.75299999999999</v>
      </c>
      <c r="GF47">
        <v>581.50599999999997</v>
      </c>
      <c r="GG47">
        <v>24.6584</v>
      </c>
      <c r="GH47">
        <v>26.552099999999999</v>
      </c>
      <c r="GI47">
        <v>30</v>
      </c>
      <c r="GJ47">
        <v>26.6264</v>
      </c>
      <c r="GK47">
        <v>26.577999999999999</v>
      </c>
      <c r="GL47">
        <v>35.5974</v>
      </c>
      <c r="GM47">
        <v>-30</v>
      </c>
      <c r="GN47">
        <v>-30</v>
      </c>
      <c r="GO47">
        <v>24.6678</v>
      </c>
      <c r="GP47">
        <v>800</v>
      </c>
      <c r="GQ47">
        <v>12.5298</v>
      </c>
      <c r="GR47">
        <v>99.646000000000001</v>
      </c>
      <c r="GS47">
        <v>99.418400000000005</v>
      </c>
    </row>
    <row r="48" spans="1:201" x14ac:dyDescent="0.25">
      <c r="A48">
        <v>32</v>
      </c>
      <c r="B48">
        <v>1690212725.5999999</v>
      </c>
      <c r="C48">
        <v>458.09999990463263</v>
      </c>
      <c r="D48" t="s">
        <v>395</v>
      </c>
      <c r="E48" t="s">
        <v>396</v>
      </c>
      <c r="F48" t="s">
        <v>330</v>
      </c>
      <c r="H48">
        <v>1690212725.5999999</v>
      </c>
      <c r="I48">
        <f t="shared" si="0"/>
        <v>7.2051419321643049E-4</v>
      </c>
      <c r="J48">
        <f t="shared" si="1"/>
        <v>0.72051419321643051</v>
      </c>
      <c r="K48">
        <f t="shared" si="2"/>
        <v>6.4456238303441049</v>
      </c>
      <c r="L48">
        <f t="shared" si="3"/>
        <v>719.96299999999997</v>
      </c>
      <c r="M48">
        <f t="shared" si="4"/>
        <v>310.86295851274781</v>
      </c>
      <c r="N48">
        <f t="shared" si="5"/>
        <v>30.840028909916558</v>
      </c>
      <c r="O48">
        <f t="shared" si="6"/>
        <v>71.425942287555401</v>
      </c>
      <c r="P48">
        <f t="shared" si="7"/>
        <v>2.6830479403620478E-2</v>
      </c>
      <c r="Q48">
        <f t="shared" si="8"/>
        <v>2.0114866942406291</v>
      </c>
      <c r="R48">
        <f t="shared" si="9"/>
        <v>2.6633234109788795E-2</v>
      </c>
      <c r="S48">
        <f t="shared" si="10"/>
        <v>1.6663372050718085E-2</v>
      </c>
      <c r="T48">
        <f t="shared" si="11"/>
        <v>276.11669557800002</v>
      </c>
      <c r="U48">
        <f t="shared" si="12"/>
        <v>29.013700759326774</v>
      </c>
      <c r="V48">
        <f t="shared" si="13"/>
        <v>29.013700759326774</v>
      </c>
      <c r="W48">
        <f t="shared" si="14"/>
        <v>4.0249623398093686</v>
      </c>
      <c r="X48">
        <f t="shared" si="15"/>
        <v>39.573987969802005</v>
      </c>
      <c r="Y48">
        <f t="shared" si="16"/>
        <v>1.4146535642100999</v>
      </c>
      <c r="Z48">
        <f t="shared" si="17"/>
        <v>3.5747056002786208</v>
      </c>
      <c r="AA48">
        <f t="shared" si="18"/>
        <v>2.6103087755992687</v>
      </c>
      <c r="AB48">
        <f t="shared" si="19"/>
        <v>-31.774675920844583</v>
      </c>
      <c r="AC48">
        <f t="shared" si="20"/>
        <v>-220.67129380971105</v>
      </c>
      <c r="AD48">
        <f t="shared" si="21"/>
        <v>-23.912671828326506</v>
      </c>
      <c r="AE48">
        <f t="shared" si="22"/>
        <v>-0.24194598088209318</v>
      </c>
      <c r="AF48">
        <v>39</v>
      </c>
      <c r="AG48">
        <v>13</v>
      </c>
      <c r="AH48">
        <f t="shared" si="23"/>
        <v>1</v>
      </c>
      <c r="AI48">
        <f t="shared" si="24"/>
        <v>0</v>
      </c>
      <c r="AJ48">
        <f t="shared" si="25"/>
        <v>52377.685117458168</v>
      </c>
      <c r="AK48">
        <f t="shared" si="26"/>
        <v>1800</v>
      </c>
      <c r="AL48">
        <f t="shared" si="27"/>
        <v>1499.1124068000001</v>
      </c>
      <c r="AM48">
        <f t="shared" si="28"/>
        <v>0.83284022600000007</v>
      </c>
      <c r="AN48">
        <f t="shared" si="29"/>
        <v>0.15339816421000002</v>
      </c>
      <c r="AO48">
        <v>34.5</v>
      </c>
      <c r="AP48">
        <v>0.5</v>
      </c>
      <c r="AQ48" t="s">
        <v>331</v>
      </c>
      <c r="AR48">
        <v>2</v>
      </c>
      <c r="AS48">
        <v>1690212725.5999999</v>
      </c>
      <c r="AT48">
        <v>719.96299999999997</v>
      </c>
      <c r="AU48">
        <v>800.01400000000001</v>
      </c>
      <c r="AV48">
        <v>14.259499999999999</v>
      </c>
      <c r="AW48">
        <v>6.0957400000000002</v>
      </c>
      <c r="AX48">
        <v>720.41899999999998</v>
      </c>
      <c r="AY48">
        <v>14.2082</v>
      </c>
      <c r="AZ48">
        <v>300.14699999999999</v>
      </c>
      <c r="BA48">
        <v>99.107799999999997</v>
      </c>
      <c r="BB48">
        <v>9.9995799999999996E-2</v>
      </c>
      <c r="BC48">
        <v>26.9788</v>
      </c>
      <c r="BD48">
        <v>26.981300000000001</v>
      </c>
      <c r="BE48">
        <v>28.9849</v>
      </c>
      <c r="BF48">
        <v>0</v>
      </c>
      <c r="BG48">
        <v>0</v>
      </c>
      <c r="BH48">
        <v>9993.75</v>
      </c>
      <c r="BI48">
        <v>1075.04</v>
      </c>
      <c r="BJ48">
        <v>2.1305100000000001</v>
      </c>
      <c r="BK48">
        <v>-80.051100000000005</v>
      </c>
      <c r="BL48">
        <v>730.37800000000004</v>
      </c>
      <c r="BM48">
        <v>804.92100000000005</v>
      </c>
      <c r="BN48">
        <v>8.1637199999999996</v>
      </c>
      <c r="BO48">
        <v>800.01400000000001</v>
      </c>
      <c r="BP48">
        <v>6.0957400000000002</v>
      </c>
      <c r="BQ48">
        <v>1.4132199999999999</v>
      </c>
      <c r="BR48">
        <v>0.60413499999999998</v>
      </c>
      <c r="BS48">
        <v>12.0603</v>
      </c>
      <c r="BT48">
        <v>-0.21496299999999999</v>
      </c>
      <c r="BU48">
        <v>1800</v>
      </c>
      <c r="BV48">
        <v>0.90998900000000005</v>
      </c>
      <c r="BW48">
        <v>3.4002499999999998E-2</v>
      </c>
      <c r="BX48">
        <v>2.2009299999999999E-2</v>
      </c>
      <c r="BY48">
        <v>3.3999500000000002E-2</v>
      </c>
      <c r="BZ48">
        <v>25.708300000000001</v>
      </c>
      <c r="CA48">
        <v>33528.199999999997</v>
      </c>
      <c r="CB48">
        <v>1690211922</v>
      </c>
      <c r="CC48" t="s">
        <v>332</v>
      </c>
      <c r="CD48">
        <v>1690211915</v>
      </c>
      <c r="CE48">
        <v>1690211922</v>
      </c>
      <c r="CF48">
        <v>6</v>
      </c>
      <c r="CG48">
        <v>1.0999999999999999E-2</v>
      </c>
      <c r="CH48">
        <v>8.0000000000000002E-3</v>
      </c>
      <c r="CI48">
        <v>-0.51100000000000001</v>
      </c>
      <c r="CJ48">
        <v>-6.6000000000000003E-2</v>
      </c>
      <c r="CK48">
        <v>800</v>
      </c>
      <c r="CL48">
        <v>6</v>
      </c>
      <c r="CM48">
        <v>0.21</v>
      </c>
      <c r="CN48">
        <v>0.02</v>
      </c>
      <c r="CO48">
        <v>-76.067614634146338</v>
      </c>
      <c r="CP48">
        <v>-22.1180320557492</v>
      </c>
      <c r="CQ48">
        <v>2.1814569888998472</v>
      </c>
      <c r="CR48">
        <v>-1</v>
      </c>
      <c r="CS48">
        <v>7.9704531707317052</v>
      </c>
      <c r="CT48">
        <v>1.106591707317091</v>
      </c>
      <c r="CU48">
        <v>0.1091597986270033</v>
      </c>
      <c r="CV48">
        <v>-1</v>
      </c>
      <c r="CW48">
        <v>0</v>
      </c>
      <c r="CX48">
        <v>0</v>
      </c>
      <c r="CY48" t="s">
        <v>333</v>
      </c>
      <c r="CZ48">
        <v>2.3641000000000001</v>
      </c>
      <c r="DA48">
        <v>2.7137799999999999</v>
      </c>
      <c r="DB48">
        <v>0.13653100000000001</v>
      </c>
      <c r="DC48">
        <v>0.14605499999999999</v>
      </c>
      <c r="DD48">
        <v>7.8435099999999994E-2</v>
      </c>
      <c r="DE48">
        <v>3.9950100000000002E-2</v>
      </c>
      <c r="DF48">
        <v>31500.7</v>
      </c>
      <c r="DG48">
        <v>27481</v>
      </c>
      <c r="DH48">
        <v>31145.8</v>
      </c>
      <c r="DI48">
        <v>28042.799999999999</v>
      </c>
      <c r="DJ48">
        <v>38977.5</v>
      </c>
      <c r="DK48">
        <v>38279.4</v>
      </c>
      <c r="DL48">
        <v>44319.199999999997</v>
      </c>
      <c r="DM48">
        <v>42496</v>
      </c>
      <c r="DN48">
        <v>1.3720000000000001</v>
      </c>
      <c r="DO48">
        <v>2.0316000000000001</v>
      </c>
      <c r="DP48">
        <v>7.1741600000000003E-2</v>
      </c>
      <c r="DQ48">
        <v>0.203989</v>
      </c>
      <c r="DR48">
        <v>25.806899999999999</v>
      </c>
      <c r="DS48">
        <v>25.650600000000001</v>
      </c>
      <c r="DT48">
        <v>18.2</v>
      </c>
      <c r="DU48">
        <v>29.6</v>
      </c>
      <c r="DV48">
        <v>7.6451799999999999</v>
      </c>
      <c r="DW48">
        <v>61.891199999999998</v>
      </c>
      <c r="DX48">
        <v>35.953499999999998</v>
      </c>
      <c r="DY48">
        <v>1</v>
      </c>
      <c r="DZ48">
        <v>-6.7073199999999999E-2</v>
      </c>
      <c r="EA48">
        <v>0.217914</v>
      </c>
      <c r="EB48">
        <v>20.189399999999999</v>
      </c>
      <c r="EC48">
        <v>5.2411000000000003</v>
      </c>
      <c r="ED48">
        <v>12.039899999999999</v>
      </c>
      <c r="EE48">
        <v>5.0172499999999998</v>
      </c>
      <c r="EF48">
        <v>3.2879999999999998</v>
      </c>
      <c r="EG48">
        <v>9999</v>
      </c>
      <c r="EH48">
        <v>9999</v>
      </c>
      <c r="EI48">
        <v>9999</v>
      </c>
      <c r="EJ48">
        <v>999.9</v>
      </c>
      <c r="EK48">
        <v>1.86894</v>
      </c>
      <c r="EL48">
        <v>1.8646499999999999</v>
      </c>
      <c r="EM48">
        <v>1.8691899999999999</v>
      </c>
      <c r="EN48">
        <v>1.8672599999999999</v>
      </c>
      <c r="EO48">
        <v>1.8634200000000001</v>
      </c>
      <c r="EP48">
        <v>1.86456</v>
      </c>
      <c r="EQ48">
        <v>1.87016</v>
      </c>
      <c r="ER48">
        <v>1.8694500000000001</v>
      </c>
      <c r="ES48">
        <v>0</v>
      </c>
      <c r="ET48">
        <v>0</v>
      </c>
      <c r="EU48">
        <v>0</v>
      </c>
      <c r="EV48">
        <v>0</v>
      </c>
      <c r="EW48" t="s">
        <v>334</v>
      </c>
      <c r="EX48" t="s">
        <v>335</v>
      </c>
      <c r="EY48" t="s">
        <v>336</v>
      </c>
      <c r="EZ48" t="s">
        <v>336</v>
      </c>
      <c r="FA48" t="s">
        <v>336</v>
      </c>
      <c r="FB48" t="s">
        <v>336</v>
      </c>
      <c r="FC48">
        <v>0</v>
      </c>
      <c r="FD48">
        <v>100</v>
      </c>
      <c r="FE48">
        <v>100</v>
      </c>
      <c r="FF48">
        <v>-0.45600000000000002</v>
      </c>
      <c r="FG48">
        <v>5.1299999999999998E-2</v>
      </c>
      <c r="FH48">
        <v>4.0020685143421282E-2</v>
      </c>
      <c r="FI48">
        <v>-6.1462078757559423E-4</v>
      </c>
      <c r="FJ48">
        <v>-1.8861989874597051E-7</v>
      </c>
      <c r="FK48">
        <v>1.1980462299894961E-10</v>
      </c>
      <c r="FL48">
        <v>-3.1035565592992288E-2</v>
      </c>
      <c r="FM48">
        <v>-1.6848085045870601E-2</v>
      </c>
      <c r="FN48">
        <v>1.9789084769509481E-3</v>
      </c>
      <c r="FO48">
        <v>-2.7142391389806329E-5</v>
      </c>
      <c r="FP48">
        <v>3</v>
      </c>
      <c r="FQ48">
        <v>2158</v>
      </c>
      <c r="FR48">
        <v>1</v>
      </c>
      <c r="FS48">
        <v>19</v>
      </c>
      <c r="FT48">
        <v>13.5</v>
      </c>
      <c r="FU48">
        <v>13.4</v>
      </c>
      <c r="FV48">
        <v>1.78101</v>
      </c>
      <c r="FW48">
        <v>2.5793499999999998</v>
      </c>
      <c r="FX48">
        <v>1.5490699999999999</v>
      </c>
      <c r="FY48">
        <v>2.3290999999999999</v>
      </c>
      <c r="FZ48">
        <v>1.50146</v>
      </c>
      <c r="GA48">
        <v>2.36328</v>
      </c>
      <c r="GB48">
        <v>33.783200000000001</v>
      </c>
      <c r="GC48">
        <v>23.991199999999999</v>
      </c>
      <c r="GD48">
        <v>19</v>
      </c>
      <c r="GE48">
        <v>241.905</v>
      </c>
      <c r="GF48">
        <v>581.94399999999996</v>
      </c>
      <c r="GG48">
        <v>24.697500000000002</v>
      </c>
      <c r="GH48">
        <v>26.5518</v>
      </c>
      <c r="GI48">
        <v>29.9999</v>
      </c>
      <c r="GJ48">
        <v>26.6264</v>
      </c>
      <c r="GK48">
        <v>26.580200000000001</v>
      </c>
      <c r="GL48">
        <v>35.595300000000002</v>
      </c>
      <c r="GM48">
        <v>-30</v>
      </c>
      <c r="GN48">
        <v>-30</v>
      </c>
      <c r="GO48">
        <v>24.711500000000001</v>
      </c>
      <c r="GP48">
        <v>800</v>
      </c>
      <c r="GQ48">
        <v>12.5298</v>
      </c>
      <c r="GR48">
        <v>99.647800000000004</v>
      </c>
      <c r="GS48">
        <v>99.419600000000003</v>
      </c>
    </row>
    <row r="49" spans="1:201" x14ac:dyDescent="0.25">
      <c r="A49">
        <v>33</v>
      </c>
      <c r="B49">
        <v>1690212735.5999999</v>
      </c>
      <c r="C49">
        <v>468.09999990463263</v>
      </c>
      <c r="D49" t="s">
        <v>397</v>
      </c>
      <c r="E49" t="s">
        <v>398</v>
      </c>
      <c r="F49" t="s">
        <v>330</v>
      </c>
      <c r="H49">
        <v>1690212735.5999999</v>
      </c>
      <c r="I49">
        <f t="shared" si="0"/>
        <v>7.3428767605013116E-4</v>
      </c>
      <c r="J49">
        <f t="shared" si="1"/>
        <v>0.73428767605013112</v>
      </c>
      <c r="K49">
        <f t="shared" si="2"/>
        <v>6.7386089344219391</v>
      </c>
      <c r="L49">
        <f t="shared" si="3"/>
        <v>716.55</v>
      </c>
      <c r="M49">
        <f t="shared" si="4"/>
        <v>300.35014339967233</v>
      </c>
      <c r="N49">
        <f t="shared" si="5"/>
        <v>29.796182513638968</v>
      </c>
      <c r="O49">
        <f t="shared" si="6"/>
        <v>71.085215204099995</v>
      </c>
      <c r="P49">
        <f t="shared" si="7"/>
        <v>2.7518548454457725E-2</v>
      </c>
      <c r="Q49">
        <f t="shared" si="8"/>
        <v>2.0096207536994228</v>
      </c>
      <c r="R49">
        <f t="shared" si="9"/>
        <v>2.7310907863361968E-2</v>
      </c>
      <c r="S49">
        <f t="shared" si="10"/>
        <v>1.7087842398724018E-2</v>
      </c>
      <c r="T49">
        <f t="shared" si="11"/>
        <v>276.11489143585879</v>
      </c>
      <c r="U49">
        <f t="shared" si="12"/>
        <v>29.008333075699806</v>
      </c>
      <c r="V49">
        <f t="shared" si="13"/>
        <v>29.008333075699806</v>
      </c>
      <c r="W49">
        <f t="shared" si="14"/>
        <v>4.0237124679454368</v>
      </c>
      <c r="X49">
        <f t="shared" si="15"/>
        <v>40.001827371947265</v>
      </c>
      <c r="Y49">
        <f t="shared" si="16"/>
        <v>1.4297795765927999</v>
      </c>
      <c r="Z49">
        <f t="shared" si="17"/>
        <v>3.5742856527486664</v>
      </c>
      <c r="AA49">
        <f t="shared" si="18"/>
        <v>2.5939328913526367</v>
      </c>
      <c r="AB49">
        <f t="shared" si="19"/>
        <v>-32.382086513810783</v>
      </c>
      <c r="AC49">
        <f t="shared" si="20"/>
        <v>-220.10172588996377</v>
      </c>
      <c r="AD49">
        <f t="shared" si="21"/>
        <v>-23.872219841806128</v>
      </c>
      <c r="AE49">
        <f t="shared" si="22"/>
        <v>-0.2411408097218839</v>
      </c>
      <c r="AF49">
        <v>39</v>
      </c>
      <c r="AG49">
        <v>13</v>
      </c>
      <c r="AH49">
        <f t="shared" si="23"/>
        <v>1</v>
      </c>
      <c r="AI49">
        <f t="shared" si="24"/>
        <v>0</v>
      </c>
      <c r="AJ49">
        <f t="shared" si="25"/>
        <v>52288.44513336978</v>
      </c>
      <c r="AK49">
        <f t="shared" si="26"/>
        <v>1799.99</v>
      </c>
      <c r="AL49">
        <f t="shared" si="27"/>
        <v>1499.1024962065298</v>
      </c>
      <c r="AM49">
        <f t="shared" si="28"/>
        <v>0.83283934699999995</v>
      </c>
      <c r="AN49">
        <f t="shared" si="29"/>
        <v>0.15339801412000001</v>
      </c>
      <c r="AO49">
        <v>34.5</v>
      </c>
      <c r="AP49">
        <v>0.5</v>
      </c>
      <c r="AQ49" t="s">
        <v>331</v>
      </c>
      <c r="AR49">
        <v>2</v>
      </c>
      <c r="AS49">
        <v>1690212735.5999999</v>
      </c>
      <c r="AT49">
        <v>716.55</v>
      </c>
      <c r="AU49">
        <v>800.03800000000001</v>
      </c>
      <c r="AV49">
        <v>14.4124</v>
      </c>
      <c r="AW49">
        <v>6.0954499999999996</v>
      </c>
      <c r="AX49">
        <v>717.00300000000004</v>
      </c>
      <c r="AY49">
        <v>14.357799999999999</v>
      </c>
      <c r="AZ49">
        <v>300.20400000000001</v>
      </c>
      <c r="BA49">
        <v>99.104799999999997</v>
      </c>
      <c r="BB49">
        <v>0.100022</v>
      </c>
      <c r="BC49">
        <v>26.976800000000001</v>
      </c>
      <c r="BD49">
        <v>26.970400000000001</v>
      </c>
      <c r="BE49">
        <v>28.9757</v>
      </c>
      <c r="BF49">
        <v>0</v>
      </c>
      <c r="BG49">
        <v>0</v>
      </c>
      <c r="BH49">
        <v>9976.25</v>
      </c>
      <c r="BI49">
        <v>1075.1099999999999</v>
      </c>
      <c r="BJ49">
        <v>2.1305100000000001</v>
      </c>
      <c r="BK49">
        <v>-83.488500000000002</v>
      </c>
      <c r="BL49">
        <v>727.02800000000002</v>
      </c>
      <c r="BM49">
        <v>804.94500000000005</v>
      </c>
      <c r="BN49">
        <v>8.3170099999999998</v>
      </c>
      <c r="BO49">
        <v>800.03800000000001</v>
      </c>
      <c r="BP49">
        <v>6.0954499999999996</v>
      </c>
      <c r="BQ49">
        <v>1.4283399999999999</v>
      </c>
      <c r="BR49">
        <v>0.60408799999999996</v>
      </c>
      <c r="BS49">
        <v>12.2219</v>
      </c>
      <c r="BT49">
        <v>-0.21604000000000001</v>
      </c>
      <c r="BU49">
        <v>1799.99</v>
      </c>
      <c r="BV49">
        <v>0.90998199999999996</v>
      </c>
      <c r="BW49">
        <v>3.39992E-2</v>
      </c>
      <c r="BX49">
        <v>2.2007100000000002E-2</v>
      </c>
      <c r="BY49">
        <v>3.4011800000000002E-2</v>
      </c>
      <c r="BZ49">
        <v>25.75</v>
      </c>
      <c r="CA49">
        <v>33528.1</v>
      </c>
      <c r="CB49">
        <v>1690211922</v>
      </c>
      <c r="CC49" t="s">
        <v>332</v>
      </c>
      <c r="CD49">
        <v>1690211915</v>
      </c>
      <c r="CE49">
        <v>1690211922</v>
      </c>
      <c r="CF49">
        <v>6</v>
      </c>
      <c r="CG49">
        <v>1.0999999999999999E-2</v>
      </c>
      <c r="CH49">
        <v>8.0000000000000002E-3</v>
      </c>
      <c r="CI49">
        <v>-0.51100000000000001</v>
      </c>
      <c r="CJ49">
        <v>-6.6000000000000003E-2</v>
      </c>
      <c r="CK49">
        <v>800</v>
      </c>
      <c r="CL49">
        <v>6</v>
      </c>
      <c r="CM49">
        <v>0.21</v>
      </c>
      <c r="CN49">
        <v>0.02</v>
      </c>
      <c r="CO49">
        <v>-79.666463414634151</v>
      </c>
      <c r="CP49">
        <v>-21.446234843205531</v>
      </c>
      <c r="CQ49">
        <v>2.115322916795459</v>
      </c>
      <c r="CR49">
        <v>-1</v>
      </c>
      <c r="CS49">
        <v>8.1441280487804875</v>
      </c>
      <c r="CT49">
        <v>0.98229742160279843</v>
      </c>
      <c r="CU49">
        <v>9.6905415469994552E-2</v>
      </c>
      <c r="CV49">
        <v>-1</v>
      </c>
      <c r="CW49">
        <v>0</v>
      </c>
      <c r="CX49">
        <v>0</v>
      </c>
      <c r="CY49" t="s">
        <v>333</v>
      </c>
      <c r="CZ49">
        <v>2.3642799999999999</v>
      </c>
      <c r="DA49">
        <v>2.7137899999999999</v>
      </c>
      <c r="DB49">
        <v>0.13608899999999999</v>
      </c>
      <c r="DC49">
        <v>0.14605299999999999</v>
      </c>
      <c r="DD49">
        <v>7.9045500000000005E-2</v>
      </c>
      <c r="DE49">
        <v>3.9947200000000002E-2</v>
      </c>
      <c r="DF49">
        <v>31516.9</v>
      </c>
      <c r="DG49">
        <v>27481.7</v>
      </c>
      <c r="DH49">
        <v>31145.8</v>
      </c>
      <c r="DI49">
        <v>28043.4</v>
      </c>
      <c r="DJ49">
        <v>38951.599999999999</v>
      </c>
      <c r="DK49">
        <v>38280.199999999997</v>
      </c>
      <c r="DL49">
        <v>44319.4</v>
      </c>
      <c r="DM49">
        <v>42496.7</v>
      </c>
      <c r="DN49">
        <v>1.37185</v>
      </c>
      <c r="DO49">
        <v>2.03145</v>
      </c>
      <c r="DP49">
        <v>7.1473400000000006E-2</v>
      </c>
      <c r="DQ49">
        <v>0.203788</v>
      </c>
      <c r="DR49">
        <v>25.8003</v>
      </c>
      <c r="DS49">
        <v>25.644600000000001</v>
      </c>
      <c r="DT49">
        <v>18.100000000000001</v>
      </c>
      <c r="DU49">
        <v>29.6</v>
      </c>
      <c r="DV49">
        <v>7.60337</v>
      </c>
      <c r="DW49">
        <v>62.031199999999998</v>
      </c>
      <c r="DX49">
        <v>35.845399999999998</v>
      </c>
      <c r="DY49">
        <v>1</v>
      </c>
      <c r="DZ49">
        <v>-6.7601599999999998E-2</v>
      </c>
      <c r="EA49">
        <v>0.19592899999999999</v>
      </c>
      <c r="EB49">
        <v>20.189299999999999</v>
      </c>
      <c r="EC49">
        <v>5.2409499999999998</v>
      </c>
      <c r="ED49">
        <v>12.039899999999999</v>
      </c>
      <c r="EE49">
        <v>5.0174000000000003</v>
      </c>
      <c r="EF49">
        <v>3.2879999999999998</v>
      </c>
      <c r="EG49">
        <v>9999</v>
      </c>
      <c r="EH49">
        <v>9999</v>
      </c>
      <c r="EI49">
        <v>9999</v>
      </c>
      <c r="EJ49">
        <v>999.9</v>
      </c>
      <c r="EK49">
        <v>1.8689499999999999</v>
      </c>
      <c r="EL49">
        <v>1.8646499999999999</v>
      </c>
      <c r="EM49">
        <v>1.8692</v>
      </c>
      <c r="EN49">
        <v>1.8672800000000001</v>
      </c>
      <c r="EO49">
        <v>1.8634200000000001</v>
      </c>
      <c r="EP49">
        <v>1.8645499999999999</v>
      </c>
      <c r="EQ49">
        <v>1.87018</v>
      </c>
      <c r="ER49">
        <v>1.8694299999999999</v>
      </c>
      <c r="ES49">
        <v>0</v>
      </c>
      <c r="ET49">
        <v>0</v>
      </c>
      <c r="EU49">
        <v>0</v>
      </c>
      <c r="EV49">
        <v>0</v>
      </c>
      <c r="EW49" t="s">
        <v>334</v>
      </c>
      <c r="EX49" t="s">
        <v>335</v>
      </c>
      <c r="EY49" t="s">
        <v>336</v>
      </c>
      <c r="EZ49" t="s">
        <v>336</v>
      </c>
      <c r="FA49" t="s">
        <v>336</v>
      </c>
      <c r="FB49" t="s">
        <v>336</v>
      </c>
      <c r="FC49">
        <v>0</v>
      </c>
      <c r="FD49">
        <v>100</v>
      </c>
      <c r="FE49">
        <v>100</v>
      </c>
      <c r="FF49">
        <v>-0.45300000000000001</v>
      </c>
      <c r="FG49">
        <v>5.4600000000000003E-2</v>
      </c>
      <c r="FH49">
        <v>4.0020685143421282E-2</v>
      </c>
      <c r="FI49">
        <v>-6.1462078757559423E-4</v>
      </c>
      <c r="FJ49">
        <v>-1.8861989874597051E-7</v>
      </c>
      <c r="FK49">
        <v>1.1980462299894961E-10</v>
      </c>
      <c r="FL49">
        <v>-3.1035565592992288E-2</v>
      </c>
      <c r="FM49">
        <v>-1.6848085045870601E-2</v>
      </c>
      <c r="FN49">
        <v>1.9789084769509481E-3</v>
      </c>
      <c r="FO49">
        <v>-2.7142391389806329E-5</v>
      </c>
      <c r="FP49">
        <v>3</v>
      </c>
      <c r="FQ49">
        <v>2158</v>
      </c>
      <c r="FR49">
        <v>1</v>
      </c>
      <c r="FS49">
        <v>19</v>
      </c>
      <c r="FT49">
        <v>13.7</v>
      </c>
      <c r="FU49">
        <v>13.6</v>
      </c>
      <c r="FV49">
        <v>1.77979</v>
      </c>
      <c r="FW49">
        <v>2.5769000000000002</v>
      </c>
      <c r="FX49">
        <v>1.5490699999999999</v>
      </c>
      <c r="FY49">
        <v>2.3290999999999999</v>
      </c>
      <c r="FZ49">
        <v>1.50146</v>
      </c>
      <c r="GA49">
        <v>2.3547400000000001</v>
      </c>
      <c r="GB49">
        <v>33.783200000000001</v>
      </c>
      <c r="GC49">
        <v>23.982399999999998</v>
      </c>
      <c r="GD49">
        <v>19</v>
      </c>
      <c r="GE49">
        <v>241.84800000000001</v>
      </c>
      <c r="GF49">
        <v>581.83900000000006</v>
      </c>
      <c r="GG49">
        <v>24.732600000000001</v>
      </c>
      <c r="GH49">
        <v>26.549600000000002</v>
      </c>
      <c r="GI49">
        <v>29.9999</v>
      </c>
      <c r="GJ49">
        <v>26.6266</v>
      </c>
      <c r="GK49">
        <v>26.582000000000001</v>
      </c>
      <c r="GL49">
        <v>35.589399999999998</v>
      </c>
      <c r="GM49">
        <v>-30</v>
      </c>
      <c r="GN49">
        <v>-30</v>
      </c>
      <c r="GO49">
        <v>24.745899999999999</v>
      </c>
      <c r="GP49">
        <v>800</v>
      </c>
      <c r="GQ49">
        <v>12.5298</v>
      </c>
      <c r="GR49">
        <v>99.647999999999996</v>
      </c>
      <c r="GS49">
        <v>99.421499999999995</v>
      </c>
    </row>
    <row r="50" spans="1:201" x14ac:dyDescent="0.25">
      <c r="A50">
        <v>34</v>
      </c>
      <c r="B50">
        <v>1690212745.5999999</v>
      </c>
      <c r="C50">
        <v>478.09999990463263</v>
      </c>
      <c r="D50" t="s">
        <v>399</v>
      </c>
      <c r="E50" t="s">
        <v>400</v>
      </c>
      <c r="F50" t="s">
        <v>330</v>
      </c>
      <c r="H50">
        <v>1690212745.5999999</v>
      </c>
      <c r="I50">
        <f t="shared" si="0"/>
        <v>7.4719631815864894E-4</v>
      </c>
      <c r="J50">
        <f t="shared" si="1"/>
        <v>0.74719631815864895</v>
      </c>
      <c r="K50">
        <f t="shared" si="2"/>
        <v>7.0248217153309351</v>
      </c>
      <c r="L50">
        <f t="shared" si="3"/>
        <v>713.15700000000004</v>
      </c>
      <c r="M50">
        <f t="shared" si="4"/>
        <v>290.23015070119033</v>
      </c>
      <c r="N50">
        <f t="shared" si="5"/>
        <v>28.79267109578257</v>
      </c>
      <c r="O50">
        <f t="shared" si="6"/>
        <v>70.749696029327097</v>
      </c>
      <c r="P50">
        <f t="shared" si="7"/>
        <v>2.8180223949792187E-2</v>
      </c>
      <c r="Q50">
        <f t="shared" si="8"/>
        <v>2.0161787279239132</v>
      </c>
      <c r="R50">
        <f t="shared" si="9"/>
        <v>2.7963222853120185E-2</v>
      </c>
      <c r="S50">
        <f t="shared" si="10"/>
        <v>1.749637158280453E-2</v>
      </c>
      <c r="T50">
        <f t="shared" si="11"/>
        <v>276.11451464395208</v>
      </c>
      <c r="U50">
        <f t="shared" si="12"/>
        <v>29.001422410424279</v>
      </c>
      <c r="V50">
        <f t="shared" si="13"/>
        <v>29.001422410424279</v>
      </c>
      <c r="W50">
        <f t="shared" si="14"/>
        <v>4.0221038092202726</v>
      </c>
      <c r="X50">
        <f t="shared" si="15"/>
        <v>40.398374686333327</v>
      </c>
      <c r="Y50">
        <f t="shared" si="16"/>
        <v>1.4442756639894898</v>
      </c>
      <c r="Z50">
        <f t="shared" si="17"/>
        <v>3.5750835898803741</v>
      </c>
      <c r="AA50">
        <f t="shared" si="18"/>
        <v>2.5778281452307827</v>
      </c>
      <c r="AB50">
        <f t="shared" si="19"/>
        <v>-32.951357630796416</v>
      </c>
      <c r="AC50">
        <f t="shared" si="20"/>
        <v>-219.65577262190627</v>
      </c>
      <c r="AD50">
        <f t="shared" si="21"/>
        <v>-23.745989573018672</v>
      </c>
      <c r="AE50">
        <f t="shared" si="22"/>
        <v>-0.23860518176928736</v>
      </c>
      <c r="AF50">
        <v>39</v>
      </c>
      <c r="AG50">
        <v>13</v>
      </c>
      <c r="AH50">
        <f t="shared" si="23"/>
        <v>1</v>
      </c>
      <c r="AI50">
        <f t="shared" si="24"/>
        <v>0</v>
      </c>
      <c r="AJ50">
        <f t="shared" si="25"/>
        <v>52602.971714236963</v>
      </c>
      <c r="AK50">
        <f t="shared" si="26"/>
        <v>1799.99</v>
      </c>
      <c r="AL50">
        <f t="shared" si="27"/>
        <v>1499.1042007970598</v>
      </c>
      <c r="AM50">
        <f t="shared" si="28"/>
        <v>0.83284029399999993</v>
      </c>
      <c r="AN50">
        <f t="shared" si="29"/>
        <v>0.15339780478999998</v>
      </c>
      <c r="AO50">
        <v>34.5</v>
      </c>
      <c r="AP50">
        <v>0.5</v>
      </c>
      <c r="AQ50" t="s">
        <v>331</v>
      </c>
      <c r="AR50">
        <v>2</v>
      </c>
      <c r="AS50">
        <v>1690212745.5999999</v>
      </c>
      <c r="AT50">
        <v>713.15700000000004</v>
      </c>
      <c r="AU50">
        <v>800.02700000000004</v>
      </c>
      <c r="AV50">
        <v>14.558299999999999</v>
      </c>
      <c r="AW50">
        <v>6.0948700000000002</v>
      </c>
      <c r="AX50">
        <v>713.60799999999995</v>
      </c>
      <c r="AY50">
        <v>14.500400000000001</v>
      </c>
      <c r="AZ50">
        <v>300.14999999999998</v>
      </c>
      <c r="BA50">
        <v>99.106399999999994</v>
      </c>
      <c r="BB50">
        <v>9.9940299999999996E-2</v>
      </c>
      <c r="BC50">
        <v>26.980599999999999</v>
      </c>
      <c r="BD50">
        <v>26.963899999999999</v>
      </c>
      <c r="BE50">
        <v>28.969000000000001</v>
      </c>
      <c r="BF50">
        <v>0</v>
      </c>
      <c r="BG50">
        <v>0</v>
      </c>
      <c r="BH50">
        <v>10038.799999999999</v>
      </c>
      <c r="BI50">
        <v>1075.04</v>
      </c>
      <c r="BJ50">
        <v>2.1305100000000001</v>
      </c>
      <c r="BK50">
        <v>-86.869399999999999</v>
      </c>
      <c r="BL50">
        <v>723.69299999999998</v>
      </c>
      <c r="BM50">
        <v>804.93299999999999</v>
      </c>
      <c r="BN50">
        <v>8.4634800000000006</v>
      </c>
      <c r="BO50">
        <v>800.02700000000004</v>
      </c>
      <c r="BP50">
        <v>6.0948700000000002</v>
      </c>
      <c r="BQ50">
        <v>1.4428300000000001</v>
      </c>
      <c r="BR50">
        <v>0.60404100000000005</v>
      </c>
      <c r="BS50">
        <v>12.375400000000001</v>
      </c>
      <c r="BT50">
        <v>-0.217111</v>
      </c>
      <c r="BU50">
        <v>1799.99</v>
      </c>
      <c r="BV50">
        <v>0.90999200000000002</v>
      </c>
      <c r="BW50">
        <v>3.3995499999999998E-2</v>
      </c>
      <c r="BX50">
        <v>2.2004699999999999E-2</v>
      </c>
      <c r="BY50">
        <v>3.4008099999999999E-2</v>
      </c>
      <c r="BZ50">
        <v>25.708300000000001</v>
      </c>
      <c r="CA50">
        <v>33528.1</v>
      </c>
      <c r="CB50">
        <v>1690211922</v>
      </c>
      <c r="CC50" t="s">
        <v>332</v>
      </c>
      <c r="CD50">
        <v>1690211915</v>
      </c>
      <c r="CE50">
        <v>1690211922</v>
      </c>
      <c r="CF50">
        <v>6</v>
      </c>
      <c r="CG50">
        <v>1.0999999999999999E-2</v>
      </c>
      <c r="CH50">
        <v>8.0000000000000002E-3</v>
      </c>
      <c r="CI50">
        <v>-0.51100000000000001</v>
      </c>
      <c r="CJ50">
        <v>-6.6000000000000003E-2</v>
      </c>
      <c r="CK50">
        <v>800</v>
      </c>
      <c r="CL50">
        <v>6</v>
      </c>
      <c r="CM50">
        <v>0.21</v>
      </c>
      <c r="CN50">
        <v>0.02</v>
      </c>
      <c r="CO50">
        <v>-83.111624390243904</v>
      </c>
      <c r="CP50">
        <v>-20.120280836237072</v>
      </c>
      <c r="CQ50">
        <v>1.984522826074316</v>
      </c>
      <c r="CR50">
        <v>-1</v>
      </c>
      <c r="CS50">
        <v>8.3007190243902453</v>
      </c>
      <c r="CT50">
        <v>0.90098069686409554</v>
      </c>
      <c r="CU50">
        <v>8.8850951044359736E-2</v>
      </c>
      <c r="CV50">
        <v>-1</v>
      </c>
      <c r="CW50">
        <v>0</v>
      </c>
      <c r="CX50">
        <v>0</v>
      </c>
      <c r="CY50" t="s">
        <v>333</v>
      </c>
      <c r="CZ50">
        <v>2.3641200000000002</v>
      </c>
      <c r="DA50">
        <v>2.7137600000000002</v>
      </c>
      <c r="DB50">
        <v>0.135653</v>
      </c>
      <c r="DC50">
        <v>0.14605299999999999</v>
      </c>
      <c r="DD50">
        <v>7.9627900000000001E-2</v>
      </c>
      <c r="DE50">
        <v>3.9944399999999998E-2</v>
      </c>
      <c r="DF50">
        <v>31532.5</v>
      </c>
      <c r="DG50">
        <v>27481</v>
      </c>
      <c r="DH50">
        <v>31145.5</v>
      </c>
      <c r="DI50">
        <v>28042.7</v>
      </c>
      <c r="DJ50">
        <v>38926.300000000003</v>
      </c>
      <c r="DK50">
        <v>38279.599999999999</v>
      </c>
      <c r="DL50">
        <v>44318.8</v>
      </c>
      <c r="DM50">
        <v>42496</v>
      </c>
      <c r="DN50">
        <v>1.3717999999999999</v>
      </c>
      <c r="DO50">
        <v>2.0314199999999998</v>
      </c>
      <c r="DP50">
        <v>7.14138E-2</v>
      </c>
      <c r="DQ50">
        <v>0.20380300000000001</v>
      </c>
      <c r="DR50">
        <v>25.794799999999999</v>
      </c>
      <c r="DS50">
        <v>25.637599999999999</v>
      </c>
      <c r="DT50">
        <v>18.100000000000001</v>
      </c>
      <c r="DU50">
        <v>29.6</v>
      </c>
      <c r="DV50">
        <v>7.6039099999999999</v>
      </c>
      <c r="DW50">
        <v>61.661200000000001</v>
      </c>
      <c r="DX50">
        <v>35.881399999999999</v>
      </c>
      <c r="DY50">
        <v>1</v>
      </c>
      <c r="DZ50">
        <v>-6.7502499999999993E-2</v>
      </c>
      <c r="EA50">
        <v>0.11796</v>
      </c>
      <c r="EB50">
        <v>20.189599999999999</v>
      </c>
      <c r="EC50">
        <v>5.2406499999999996</v>
      </c>
      <c r="ED50">
        <v>12.039899999999999</v>
      </c>
      <c r="EE50">
        <v>5.0172999999999996</v>
      </c>
      <c r="EF50">
        <v>3.2879999999999998</v>
      </c>
      <c r="EG50">
        <v>9999</v>
      </c>
      <c r="EH50">
        <v>9999</v>
      </c>
      <c r="EI50">
        <v>9999</v>
      </c>
      <c r="EJ50">
        <v>999.9</v>
      </c>
      <c r="EK50">
        <v>1.86896</v>
      </c>
      <c r="EL50">
        <v>1.86467</v>
      </c>
      <c r="EM50">
        <v>1.8692</v>
      </c>
      <c r="EN50">
        <v>1.8672800000000001</v>
      </c>
      <c r="EO50">
        <v>1.86341</v>
      </c>
      <c r="EP50">
        <v>1.86459</v>
      </c>
      <c r="EQ50">
        <v>1.8702000000000001</v>
      </c>
      <c r="ER50">
        <v>1.86948</v>
      </c>
      <c r="ES50">
        <v>0</v>
      </c>
      <c r="ET50">
        <v>0</v>
      </c>
      <c r="EU50">
        <v>0</v>
      </c>
      <c r="EV50">
        <v>0</v>
      </c>
      <c r="EW50" t="s">
        <v>334</v>
      </c>
      <c r="EX50" t="s">
        <v>335</v>
      </c>
      <c r="EY50" t="s">
        <v>336</v>
      </c>
      <c r="EZ50" t="s">
        <v>336</v>
      </c>
      <c r="FA50" t="s">
        <v>336</v>
      </c>
      <c r="FB50" t="s">
        <v>336</v>
      </c>
      <c r="FC50">
        <v>0</v>
      </c>
      <c r="FD50">
        <v>100</v>
      </c>
      <c r="FE50">
        <v>100</v>
      </c>
      <c r="FF50">
        <v>-0.45100000000000001</v>
      </c>
      <c r="FG50">
        <v>5.79E-2</v>
      </c>
      <c r="FH50">
        <v>4.0020685143421282E-2</v>
      </c>
      <c r="FI50">
        <v>-6.1462078757559423E-4</v>
      </c>
      <c r="FJ50">
        <v>-1.8861989874597051E-7</v>
      </c>
      <c r="FK50">
        <v>1.1980462299894961E-10</v>
      </c>
      <c r="FL50">
        <v>-3.1035565592992288E-2</v>
      </c>
      <c r="FM50">
        <v>-1.6848085045870601E-2</v>
      </c>
      <c r="FN50">
        <v>1.9789084769509481E-3</v>
      </c>
      <c r="FO50">
        <v>-2.7142391389806329E-5</v>
      </c>
      <c r="FP50">
        <v>3</v>
      </c>
      <c r="FQ50">
        <v>2158</v>
      </c>
      <c r="FR50">
        <v>1</v>
      </c>
      <c r="FS50">
        <v>19</v>
      </c>
      <c r="FT50">
        <v>13.8</v>
      </c>
      <c r="FU50">
        <v>13.7</v>
      </c>
      <c r="FV50">
        <v>1.78101</v>
      </c>
      <c r="FW50">
        <v>2.5769000000000002</v>
      </c>
      <c r="FX50">
        <v>1.5490699999999999</v>
      </c>
      <c r="FY50">
        <v>2.3290999999999999</v>
      </c>
      <c r="FZ50">
        <v>1.50146</v>
      </c>
      <c r="GA50">
        <v>2.32178</v>
      </c>
      <c r="GB50">
        <v>33.783200000000001</v>
      </c>
      <c r="GC50">
        <v>23.982399999999998</v>
      </c>
      <c r="GD50">
        <v>19</v>
      </c>
      <c r="GE50">
        <v>241.83699999999999</v>
      </c>
      <c r="GF50">
        <v>581.82500000000005</v>
      </c>
      <c r="GG50">
        <v>24.776299999999999</v>
      </c>
      <c r="GH50">
        <v>26.548200000000001</v>
      </c>
      <c r="GI50">
        <v>30</v>
      </c>
      <c r="GJ50">
        <v>26.628599999999999</v>
      </c>
      <c r="GK50">
        <v>26.5824</v>
      </c>
      <c r="GL50">
        <v>35.593899999999998</v>
      </c>
      <c r="GM50">
        <v>-30</v>
      </c>
      <c r="GN50">
        <v>-30</v>
      </c>
      <c r="GO50">
        <v>24.799199999999999</v>
      </c>
      <c r="GP50">
        <v>800</v>
      </c>
      <c r="GQ50">
        <v>12.5298</v>
      </c>
      <c r="GR50">
        <v>99.646799999999999</v>
      </c>
      <c r="GS50">
        <v>99.419399999999996</v>
      </c>
    </row>
    <row r="51" spans="1:201" x14ac:dyDescent="0.25">
      <c r="A51">
        <v>35</v>
      </c>
      <c r="B51">
        <v>1690212755.5999999</v>
      </c>
      <c r="C51">
        <v>488.09999990463263</v>
      </c>
      <c r="D51" t="s">
        <v>401</v>
      </c>
      <c r="E51" t="s">
        <v>402</v>
      </c>
      <c r="F51" t="s">
        <v>330</v>
      </c>
      <c r="H51">
        <v>1690212755.5999999</v>
      </c>
      <c r="I51">
        <f t="shared" si="0"/>
        <v>7.5963870529270714E-4</v>
      </c>
      <c r="J51">
        <f t="shared" si="1"/>
        <v>0.75963870529270716</v>
      </c>
      <c r="K51">
        <f t="shared" si="2"/>
        <v>7.3028978842129826</v>
      </c>
      <c r="L51">
        <f t="shared" si="3"/>
        <v>709.88699999999994</v>
      </c>
      <c r="M51">
        <f t="shared" si="4"/>
        <v>280.48358078097067</v>
      </c>
      <c r="N51">
        <f t="shared" si="5"/>
        <v>27.825280791310959</v>
      </c>
      <c r="O51">
        <f t="shared" si="6"/>
        <v>70.424104862403013</v>
      </c>
      <c r="P51">
        <f t="shared" si="7"/>
        <v>2.8807855927831107E-2</v>
      </c>
      <c r="Q51">
        <f t="shared" si="8"/>
        <v>2.0106011652168441</v>
      </c>
      <c r="R51">
        <f t="shared" si="9"/>
        <v>2.8580499404655083E-2</v>
      </c>
      <c r="S51">
        <f t="shared" si="10"/>
        <v>1.788308954561045E-2</v>
      </c>
      <c r="T51">
        <f t="shared" si="11"/>
        <v>276.11406178446799</v>
      </c>
      <c r="U51">
        <f t="shared" si="12"/>
        <v>28.999714058203388</v>
      </c>
      <c r="V51">
        <f t="shared" si="13"/>
        <v>28.999714058203388</v>
      </c>
      <c r="W51">
        <f t="shared" si="14"/>
        <v>4.0217062269199202</v>
      </c>
      <c r="X51">
        <f t="shared" si="15"/>
        <v>40.781181596936129</v>
      </c>
      <c r="Y51">
        <f t="shared" si="16"/>
        <v>1.4577729290874002</v>
      </c>
      <c r="Z51">
        <f t="shared" si="17"/>
        <v>3.5746216073271455</v>
      </c>
      <c r="AA51">
        <f t="shared" si="18"/>
        <v>2.56393329783252</v>
      </c>
      <c r="AB51">
        <f t="shared" si="19"/>
        <v>-33.500066903408381</v>
      </c>
      <c r="AC51">
        <f t="shared" si="20"/>
        <v>-219.10140867415663</v>
      </c>
      <c r="AD51">
        <f t="shared" si="21"/>
        <v>-23.751304270683331</v>
      </c>
      <c r="AE51">
        <f t="shared" si="22"/>
        <v>-0.23871806378036808</v>
      </c>
      <c r="AF51">
        <v>39</v>
      </c>
      <c r="AG51">
        <v>13</v>
      </c>
      <c r="AH51">
        <f t="shared" si="23"/>
        <v>1</v>
      </c>
      <c r="AI51">
        <f t="shared" si="24"/>
        <v>0</v>
      </c>
      <c r="AJ51">
        <f t="shared" si="25"/>
        <v>52335.18566682488</v>
      </c>
      <c r="AK51">
        <f t="shared" si="26"/>
        <v>1799.99</v>
      </c>
      <c r="AL51">
        <f t="shared" si="27"/>
        <v>1499.1052285913499</v>
      </c>
      <c r="AM51">
        <f t="shared" si="28"/>
        <v>0.83284086499999999</v>
      </c>
      <c r="AN51">
        <f t="shared" si="29"/>
        <v>0.15339755319999998</v>
      </c>
      <c r="AO51">
        <v>34.5</v>
      </c>
      <c r="AP51">
        <v>0.5</v>
      </c>
      <c r="AQ51" t="s">
        <v>331</v>
      </c>
      <c r="AR51">
        <v>2</v>
      </c>
      <c r="AS51">
        <v>1690212755.5999999</v>
      </c>
      <c r="AT51">
        <v>709.88699999999994</v>
      </c>
      <c r="AU51">
        <v>800.00300000000004</v>
      </c>
      <c r="AV51">
        <v>14.694599999999999</v>
      </c>
      <c r="AW51">
        <v>6.0936899999999996</v>
      </c>
      <c r="AX51">
        <v>710.33600000000001</v>
      </c>
      <c r="AY51">
        <v>14.6335</v>
      </c>
      <c r="AZ51">
        <v>300.22899999999998</v>
      </c>
      <c r="BA51">
        <v>99.104600000000005</v>
      </c>
      <c r="BB51">
        <v>0.10006900000000001</v>
      </c>
      <c r="BC51">
        <v>26.978400000000001</v>
      </c>
      <c r="BD51">
        <v>26.977699999999999</v>
      </c>
      <c r="BE51">
        <v>28.977699999999999</v>
      </c>
      <c r="BF51">
        <v>0</v>
      </c>
      <c r="BG51">
        <v>0</v>
      </c>
      <c r="BH51">
        <v>9985.6200000000008</v>
      </c>
      <c r="BI51">
        <v>1075.06</v>
      </c>
      <c r="BJ51">
        <v>2.1305100000000001</v>
      </c>
      <c r="BK51">
        <v>-90.116500000000002</v>
      </c>
      <c r="BL51">
        <v>720.47400000000005</v>
      </c>
      <c r="BM51">
        <v>804.90800000000002</v>
      </c>
      <c r="BN51">
        <v>8.6009200000000003</v>
      </c>
      <c r="BO51">
        <v>800.00300000000004</v>
      </c>
      <c r="BP51">
        <v>6.0936899999999996</v>
      </c>
      <c r="BQ51">
        <v>1.4562999999999999</v>
      </c>
      <c r="BR51">
        <v>0.60391300000000003</v>
      </c>
      <c r="BS51">
        <v>12.5169</v>
      </c>
      <c r="BT51">
        <v>-0.220022</v>
      </c>
      <c r="BU51">
        <v>1799.99</v>
      </c>
      <c r="BV51">
        <v>0.91000099999999995</v>
      </c>
      <c r="BW51">
        <v>3.3992000000000001E-2</v>
      </c>
      <c r="BX51">
        <v>2.2002500000000001E-2</v>
      </c>
      <c r="BY51">
        <v>3.4004600000000003E-2</v>
      </c>
      <c r="BZ51">
        <v>25.708300000000001</v>
      </c>
      <c r="CA51">
        <v>33528.199999999997</v>
      </c>
      <c r="CB51">
        <v>1690211922</v>
      </c>
      <c r="CC51" t="s">
        <v>332</v>
      </c>
      <c r="CD51">
        <v>1690211915</v>
      </c>
      <c r="CE51">
        <v>1690211922</v>
      </c>
      <c r="CF51">
        <v>6</v>
      </c>
      <c r="CG51">
        <v>1.0999999999999999E-2</v>
      </c>
      <c r="CH51">
        <v>8.0000000000000002E-3</v>
      </c>
      <c r="CI51">
        <v>-0.51100000000000001</v>
      </c>
      <c r="CJ51">
        <v>-6.6000000000000003E-2</v>
      </c>
      <c r="CK51">
        <v>800</v>
      </c>
      <c r="CL51">
        <v>6</v>
      </c>
      <c r="CM51">
        <v>0.21</v>
      </c>
      <c r="CN51">
        <v>0.02</v>
      </c>
      <c r="CO51">
        <v>-86.482697560975623</v>
      </c>
      <c r="CP51">
        <v>-20.231370731707351</v>
      </c>
      <c r="CQ51">
        <v>1.995361733143044</v>
      </c>
      <c r="CR51">
        <v>-1</v>
      </c>
      <c r="CS51">
        <v>8.4466326829268272</v>
      </c>
      <c r="CT51">
        <v>0.85015191637630316</v>
      </c>
      <c r="CU51">
        <v>8.3840711602837542E-2</v>
      </c>
      <c r="CV51">
        <v>-1</v>
      </c>
      <c r="CW51">
        <v>0</v>
      </c>
      <c r="CX51">
        <v>0</v>
      </c>
      <c r="CY51" t="s">
        <v>333</v>
      </c>
      <c r="CZ51">
        <v>2.3643700000000001</v>
      </c>
      <c r="DA51">
        <v>2.7138499999999999</v>
      </c>
      <c r="DB51">
        <v>0.13522899999999999</v>
      </c>
      <c r="DC51">
        <v>0.14604800000000001</v>
      </c>
      <c r="DD51">
        <v>8.0168400000000001E-2</v>
      </c>
      <c r="DE51">
        <v>3.9937399999999998E-2</v>
      </c>
      <c r="DF51">
        <v>31547.8</v>
      </c>
      <c r="DG51">
        <v>27481.8</v>
      </c>
      <c r="DH51">
        <v>31145.4</v>
      </c>
      <c r="DI51">
        <v>28043.4</v>
      </c>
      <c r="DJ51">
        <v>38902.9</v>
      </c>
      <c r="DK51">
        <v>38280.6</v>
      </c>
      <c r="DL51">
        <v>44318.5</v>
      </c>
      <c r="DM51">
        <v>42496.7</v>
      </c>
      <c r="DN51">
        <v>1.37215</v>
      </c>
      <c r="DO51">
        <v>2.0312800000000002</v>
      </c>
      <c r="DP51">
        <v>7.2650599999999996E-2</v>
      </c>
      <c r="DQ51">
        <v>0.20469699999999999</v>
      </c>
      <c r="DR51">
        <v>25.788399999999999</v>
      </c>
      <c r="DS51">
        <v>25.631699999999999</v>
      </c>
      <c r="DT51">
        <v>18.100000000000001</v>
      </c>
      <c r="DU51">
        <v>29.6</v>
      </c>
      <c r="DV51">
        <v>7.6046199999999997</v>
      </c>
      <c r="DW51">
        <v>61.801200000000001</v>
      </c>
      <c r="DX51">
        <v>35.933500000000002</v>
      </c>
      <c r="DY51">
        <v>1</v>
      </c>
      <c r="DZ51">
        <v>-6.8247000000000002E-2</v>
      </c>
      <c r="EA51">
        <v>9.1759300000000002E-2</v>
      </c>
      <c r="EB51">
        <v>20.189699999999998</v>
      </c>
      <c r="EC51">
        <v>5.2408000000000001</v>
      </c>
      <c r="ED51">
        <v>12.039899999999999</v>
      </c>
      <c r="EE51">
        <v>5.0163000000000002</v>
      </c>
      <c r="EF51">
        <v>3.2879999999999998</v>
      </c>
      <c r="EG51">
        <v>9999</v>
      </c>
      <c r="EH51">
        <v>9999</v>
      </c>
      <c r="EI51">
        <v>9999</v>
      </c>
      <c r="EJ51">
        <v>999.9</v>
      </c>
      <c r="EK51">
        <v>1.8689800000000001</v>
      </c>
      <c r="EL51">
        <v>1.86469</v>
      </c>
      <c r="EM51">
        <v>1.8691899999999999</v>
      </c>
      <c r="EN51">
        <v>1.8672500000000001</v>
      </c>
      <c r="EO51">
        <v>1.8634200000000001</v>
      </c>
      <c r="EP51">
        <v>1.86456</v>
      </c>
      <c r="EQ51">
        <v>1.87018</v>
      </c>
      <c r="ER51">
        <v>1.8694500000000001</v>
      </c>
      <c r="ES51">
        <v>0</v>
      </c>
      <c r="ET51">
        <v>0</v>
      </c>
      <c r="EU51">
        <v>0</v>
      </c>
      <c r="EV51">
        <v>0</v>
      </c>
      <c r="EW51" t="s">
        <v>334</v>
      </c>
      <c r="EX51" t="s">
        <v>335</v>
      </c>
      <c r="EY51" t="s">
        <v>336</v>
      </c>
      <c r="EZ51" t="s">
        <v>336</v>
      </c>
      <c r="FA51" t="s">
        <v>336</v>
      </c>
      <c r="FB51" t="s">
        <v>336</v>
      </c>
      <c r="FC51">
        <v>0</v>
      </c>
      <c r="FD51">
        <v>100</v>
      </c>
      <c r="FE51">
        <v>100</v>
      </c>
      <c r="FF51">
        <v>-0.44900000000000001</v>
      </c>
      <c r="FG51">
        <v>6.1100000000000002E-2</v>
      </c>
      <c r="FH51">
        <v>4.0020685143421282E-2</v>
      </c>
      <c r="FI51">
        <v>-6.1462078757559423E-4</v>
      </c>
      <c r="FJ51">
        <v>-1.8861989874597051E-7</v>
      </c>
      <c r="FK51">
        <v>1.1980462299894961E-10</v>
      </c>
      <c r="FL51">
        <v>-3.1035565592992288E-2</v>
      </c>
      <c r="FM51">
        <v>-1.6848085045870601E-2</v>
      </c>
      <c r="FN51">
        <v>1.9789084769509481E-3</v>
      </c>
      <c r="FO51">
        <v>-2.7142391389806329E-5</v>
      </c>
      <c r="FP51">
        <v>3</v>
      </c>
      <c r="FQ51">
        <v>2158</v>
      </c>
      <c r="FR51">
        <v>1</v>
      </c>
      <c r="FS51">
        <v>19</v>
      </c>
      <c r="FT51">
        <v>14</v>
      </c>
      <c r="FU51">
        <v>13.9</v>
      </c>
      <c r="FV51">
        <v>1.77979</v>
      </c>
      <c r="FW51">
        <v>2.5817899999999998</v>
      </c>
      <c r="FX51">
        <v>1.5490699999999999</v>
      </c>
      <c r="FY51">
        <v>2.3290999999999999</v>
      </c>
      <c r="FZ51">
        <v>1.50146</v>
      </c>
      <c r="GA51">
        <v>2.2875999999999999</v>
      </c>
      <c r="GB51">
        <v>33.783200000000001</v>
      </c>
      <c r="GC51">
        <v>23.982399999999998</v>
      </c>
      <c r="GD51">
        <v>19</v>
      </c>
      <c r="GE51">
        <v>241.97</v>
      </c>
      <c r="GF51">
        <v>581.72500000000002</v>
      </c>
      <c r="GG51">
        <v>24.832699999999999</v>
      </c>
      <c r="GH51">
        <v>26.546500000000002</v>
      </c>
      <c r="GI51">
        <v>29.9999</v>
      </c>
      <c r="GJ51">
        <v>26.628599999999999</v>
      </c>
      <c r="GK51">
        <v>26.584599999999998</v>
      </c>
      <c r="GL51">
        <v>35.590899999999998</v>
      </c>
      <c r="GM51">
        <v>-30</v>
      </c>
      <c r="GN51">
        <v>-30</v>
      </c>
      <c r="GO51">
        <v>24.844200000000001</v>
      </c>
      <c r="GP51">
        <v>800</v>
      </c>
      <c r="GQ51">
        <v>12.5298</v>
      </c>
      <c r="GR51">
        <v>99.646199999999993</v>
      </c>
      <c r="GS51">
        <v>99.421300000000002</v>
      </c>
    </row>
    <row r="52" spans="1:201" x14ac:dyDescent="0.25">
      <c r="A52">
        <v>36</v>
      </c>
      <c r="B52">
        <v>1690212765.5999999</v>
      </c>
      <c r="C52">
        <v>498.09999990463263</v>
      </c>
      <c r="D52" t="s">
        <v>403</v>
      </c>
      <c r="E52" t="s">
        <v>404</v>
      </c>
      <c r="F52" t="s">
        <v>330</v>
      </c>
      <c r="H52">
        <v>1690212765.5999999</v>
      </c>
      <c r="I52">
        <f t="shared" si="0"/>
        <v>7.7174256578704705E-4</v>
      </c>
      <c r="J52">
        <f t="shared" si="1"/>
        <v>0.77174256578704703</v>
      </c>
      <c r="K52">
        <f t="shared" si="2"/>
        <v>7.5835038560445938</v>
      </c>
      <c r="L52">
        <f t="shared" si="3"/>
        <v>706.60400000000004</v>
      </c>
      <c r="M52">
        <f t="shared" si="4"/>
        <v>270.79952401277495</v>
      </c>
      <c r="N52">
        <f t="shared" si="5"/>
        <v>26.864915373650387</v>
      </c>
      <c r="O52">
        <f t="shared" si="6"/>
        <v>70.099298482472022</v>
      </c>
      <c r="P52">
        <f t="shared" si="7"/>
        <v>2.9429816715949804E-2</v>
      </c>
      <c r="Q52">
        <f t="shared" si="8"/>
        <v>2.0115326026601879</v>
      </c>
      <c r="R52">
        <f t="shared" si="9"/>
        <v>2.9192689490620493E-2</v>
      </c>
      <c r="S52">
        <f t="shared" si="10"/>
        <v>1.8266576518579419E-2</v>
      </c>
      <c r="T52">
        <f t="shared" si="11"/>
        <v>276.1139425891302</v>
      </c>
      <c r="U52">
        <f t="shared" si="12"/>
        <v>28.998115265532444</v>
      </c>
      <c r="V52">
        <f t="shared" si="13"/>
        <v>28.998115265532444</v>
      </c>
      <c r="W52">
        <f t="shared" si="14"/>
        <v>4.0213341732960943</v>
      </c>
      <c r="X52">
        <f t="shared" si="15"/>
        <v>41.151021484120974</v>
      </c>
      <c r="Y52">
        <f t="shared" si="16"/>
        <v>1.4713130492662001</v>
      </c>
      <c r="Z52">
        <f t="shared" si="17"/>
        <v>3.5753986078667293</v>
      </c>
      <c r="AA52">
        <f t="shared" si="18"/>
        <v>2.550021124029894</v>
      </c>
      <c r="AB52">
        <f t="shared" si="19"/>
        <v>-34.033847151208775</v>
      </c>
      <c r="AC52">
        <f t="shared" si="20"/>
        <v>-218.6282787620751</v>
      </c>
      <c r="AD52">
        <f t="shared" si="21"/>
        <v>-23.689287852276518</v>
      </c>
      <c r="AE52">
        <f t="shared" si="22"/>
        <v>-0.23747117643020488</v>
      </c>
      <c r="AF52">
        <v>38</v>
      </c>
      <c r="AG52">
        <v>13</v>
      </c>
      <c r="AH52">
        <f t="shared" si="23"/>
        <v>1</v>
      </c>
      <c r="AI52">
        <f t="shared" si="24"/>
        <v>0</v>
      </c>
      <c r="AJ52">
        <f t="shared" si="25"/>
        <v>52379.272078981143</v>
      </c>
      <c r="AK52">
        <f t="shared" si="26"/>
        <v>1799.99</v>
      </c>
      <c r="AL52">
        <f t="shared" si="27"/>
        <v>1499.1011480140198</v>
      </c>
      <c r="AM52">
        <f t="shared" si="28"/>
        <v>0.83283859799999993</v>
      </c>
      <c r="AN52">
        <f t="shared" si="29"/>
        <v>0.15339748698</v>
      </c>
      <c r="AO52">
        <v>34.5</v>
      </c>
      <c r="AP52">
        <v>0.5</v>
      </c>
      <c r="AQ52" t="s">
        <v>331</v>
      </c>
      <c r="AR52">
        <v>2</v>
      </c>
      <c r="AS52">
        <v>1690212765.5999999</v>
      </c>
      <c r="AT52">
        <v>706.60400000000004</v>
      </c>
      <c r="AU52">
        <v>800.03</v>
      </c>
      <c r="AV52">
        <v>14.8309</v>
      </c>
      <c r="AW52">
        <v>6.09267</v>
      </c>
      <c r="AX52">
        <v>707.05100000000004</v>
      </c>
      <c r="AY52">
        <v>14.7666</v>
      </c>
      <c r="AZ52">
        <v>300.178</v>
      </c>
      <c r="BA52">
        <v>99.105900000000005</v>
      </c>
      <c r="BB52">
        <v>0.100018</v>
      </c>
      <c r="BC52">
        <v>26.982099999999999</v>
      </c>
      <c r="BD52">
        <v>26.978400000000001</v>
      </c>
      <c r="BE52">
        <v>28.974799999999998</v>
      </c>
      <c r="BF52">
        <v>0</v>
      </c>
      <c r="BG52">
        <v>0</v>
      </c>
      <c r="BH52">
        <v>9994.3799999999992</v>
      </c>
      <c r="BI52">
        <v>1075.0899999999999</v>
      </c>
      <c r="BJ52">
        <v>2.1305100000000001</v>
      </c>
      <c r="BK52">
        <v>-93.425799999999995</v>
      </c>
      <c r="BL52">
        <v>717.24199999999996</v>
      </c>
      <c r="BM52">
        <v>804.93399999999997</v>
      </c>
      <c r="BN52">
        <v>8.73827</v>
      </c>
      <c r="BO52">
        <v>800.03</v>
      </c>
      <c r="BP52">
        <v>6.09267</v>
      </c>
      <c r="BQ52">
        <v>1.46983</v>
      </c>
      <c r="BR52">
        <v>0.60381899999999999</v>
      </c>
      <c r="BS52">
        <v>12.6579</v>
      </c>
      <c r="BT52">
        <v>-0.22214999999999999</v>
      </c>
      <c r="BU52">
        <v>1799.99</v>
      </c>
      <c r="BV52">
        <v>0.90998999999999997</v>
      </c>
      <c r="BW52">
        <v>3.4007999999999997E-2</v>
      </c>
      <c r="BX52">
        <v>2.20004E-2</v>
      </c>
      <c r="BY52">
        <v>3.4001400000000001E-2</v>
      </c>
      <c r="BZ52">
        <v>25.75</v>
      </c>
      <c r="CA52">
        <v>33528.199999999997</v>
      </c>
      <c r="CB52">
        <v>1690211922</v>
      </c>
      <c r="CC52" t="s">
        <v>332</v>
      </c>
      <c r="CD52">
        <v>1690211915</v>
      </c>
      <c r="CE52">
        <v>1690211922</v>
      </c>
      <c r="CF52">
        <v>6</v>
      </c>
      <c r="CG52">
        <v>1.0999999999999999E-2</v>
      </c>
      <c r="CH52">
        <v>8.0000000000000002E-3</v>
      </c>
      <c r="CI52">
        <v>-0.51100000000000001</v>
      </c>
      <c r="CJ52">
        <v>-6.6000000000000003E-2</v>
      </c>
      <c r="CK52">
        <v>800</v>
      </c>
      <c r="CL52">
        <v>6</v>
      </c>
      <c r="CM52">
        <v>0.21</v>
      </c>
      <c r="CN52">
        <v>0.02</v>
      </c>
      <c r="CO52">
        <v>-89.705380000000005</v>
      </c>
      <c r="CP52">
        <v>-19.2617470919322</v>
      </c>
      <c r="CQ52">
        <v>1.853075625979685</v>
      </c>
      <c r="CR52">
        <v>-1</v>
      </c>
      <c r="CS52">
        <v>8.5834270000000004</v>
      </c>
      <c r="CT52">
        <v>0.82807677298310123</v>
      </c>
      <c r="CU52">
        <v>7.9659590263821939E-2</v>
      </c>
      <c r="CV52">
        <v>-1</v>
      </c>
      <c r="CW52">
        <v>0</v>
      </c>
      <c r="CX52">
        <v>0</v>
      </c>
      <c r="CY52" t="s">
        <v>333</v>
      </c>
      <c r="CZ52">
        <v>2.3642300000000001</v>
      </c>
      <c r="DA52">
        <v>2.7138</v>
      </c>
      <c r="DB52">
        <v>0.13480600000000001</v>
      </c>
      <c r="DC52">
        <v>0.14605299999999999</v>
      </c>
      <c r="DD52">
        <v>8.0709299999999998E-2</v>
      </c>
      <c r="DE52">
        <v>3.9932500000000003E-2</v>
      </c>
      <c r="DF52">
        <v>31563.599999999999</v>
      </c>
      <c r="DG52">
        <v>27481.599999999999</v>
      </c>
      <c r="DH52">
        <v>31145.7</v>
      </c>
      <c r="DI52">
        <v>28043.3</v>
      </c>
      <c r="DJ52">
        <v>38880.199999999997</v>
      </c>
      <c r="DK52">
        <v>38280.699999999997</v>
      </c>
      <c r="DL52">
        <v>44318.9</v>
      </c>
      <c r="DM52">
        <v>42496.6</v>
      </c>
      <c r="DN52">
        <v>1.3727</v>
      </c>
      <c r="DO52">
        <v>2.0316700000000001</v>
      </c>
      <c r="DP52">
        <v>7.2985900000000006E-2</v>
      </c>
      <c r="DQ52">
        <v>0.204787</v>
      </c>
      <c r="DR52">
        <v>25.7836</v>
      </c>
      <c r="DS52">
        <v>25.627400000000002</v>
      </c>
      <c r="DT52">
        <v>18.100000000000001</v>
      </c>
      <c r="DU52">
        <v>29.6</v>
      </c>
      <c r="DV52">
        <v>7.60412</v>
      </c>
      <c r="DW52">
        <v>61.971200000000003</v>
      </c>
      <c r="DX52">
        <v>36.406199999999998</v>
      </c>
      <c r="DY52">
        <v>1</v>
      </c>
      <c r="DZ52">
        <v>-6.8185999999999997E-2</v>
      </c>
      <c r="EA52">
        <v>9.5574599999999996E-2</v>
      </c>
      <c r="EB52">
        <v>20.189800000000002</v>
      </c>
      <c r="EC52">
        <v>5.2406499999999996</v>
      </c>
      <c r="ED52">
        <v>12.039899999999999</v>
      </c>
      <c r="EE52">
        <v>5.0173500000000004</v>
      </c>
      <c r="EF52">
        <v>3.2879999999999998</v>
      </c>
      <c r="EG52">
        <v>9999</v>
      </c>
      <c r="EH52">
        <v>9999</v>
      </c>
      <c r="EI52">
        <v>9999</v>
      </c>
      <c r="EJ52">
        <v>999.9</v>
      </c>
      <c r="EK52">
        <v>1.86896</v>
      </c>
      <c r="EL52">
        <v>1.86469</v>
      </c>
      <c r="EM52">
        <v>1.8691800000000001</v>
      </c>
      <c r="EN52">
        <v>1.8672500000000001</v>
      </c>
      <c r="EO52">
        <v>1.8634200000000001</v>
      </c>
      <c r="EP52">
        <v>1.8645700000000001</v>
      </c>
      <c r="EQ52">
        <v>1.8701399999999999</v>
      </c>
      <c r="ER52">
        <v>1.8694599999999999</v>
      </c>
      <c r="ES52">
        <v>0</v>
      </c>
      <c r="ET52">
        <v>0</v>
      </c>
      <c r="EU52">
        <v>0</v>
      </c>
      <c r="EV52">
        <v>0</v>
      </c>
      <c r="EW52" t="s">
        <v>334</v>
      </c>
      <c r="EX52" t="s">
        <v>335</v>
      </c>
      <c r="EY52" t="s">
        <v>336</v>
      </c>
      <c r="EZ52" t="s">
        <v>336</v>
      </c>
      <c r="FA52" t="s">
        <v>336</v>
      </c>
      <c r="FB52" t="s">
        <v>336</v>
      </c>
      <c r="FC52">
        <v>0</v>
      </c>
      <c r="FD52">
        <v>100</v>
      </c>
      <c r="FE52">
        <v>100</v>
      </c>
      <c r="FF52">
        <v>-0.44700000000000001</v>
      </c>
      <c r="FG52">
        <v>6.4299999999999996E-2</v>
      </c>
      <c r="FH52">
        <v>4.0020685143421282E-2</v>
      </c>
      <c r="FI52">
        <v>-6.1462078757559423E-4</v>
      </c>
      <c r="FJ52">
        <v>-1.8861989874597051E-7</v>
      </c>
      <c r="FK52">
        <v>1.1980462299894961E-10</v>
      </c>
      <c r="FL52">
        <v>-3.1035565592992288E-2</v>
      </c>
      <c r="FM52">
        <v>-1.6848085045870601E-2</v>
      </c>
      <c r="FN52">
        <v>1.9789084769509481E-3</v>
      </c>
      <c r="FO52">
        <v>-2.7142391389806329E-5</v>
      </c>
      <c r="FP52">
        <v>3</v>
      </c>
      <c r="FQ52">
        <v>2158</v>
      </c>
      <c r="FR52">
        <v>1</v>
      </c>
      <c r="FS52">
        <v>19</v>
      </c>
      <c r="FT52">
        <v>14.2</v>
      </c>
      <c r="FU52">
        <v>14.1</v>
      </c>
      <c r="FV52">
        <v>1.77979</v>
      </c>
      <c r="FW52">
        <v>2.5805699999999998</v>
      </c>
      <c r="FX52">
        <v>1.5490699999999999</v>
      </c>
      <c r="FY52">
        <v>2.3290999999999999</v>
      </c>
      <c r="FZ52">
        <v>1.50146</v>
      </c>
      <c r="GA52">
        <v>2.2802699999999998</v>
      </c>
      <c r="GB52">
        <v>33.783200000000001</v>
      </c>
      <c r="GC52">
        <v>23.982399999999998</v>
      </c>
      <c r="GD52">
        <v>19</v>
      </c>
      <c r="GE52">
        <v>242.179</v>
      </c>
      <c r="GF52">
        <v>582.05499999999995</v>
      </c>
      <c r="GG52">
        <v>24.868099999999998</v>
      </c>
      <c r="GH52">
        <v>26.544899999999998</v>
      </c>
      <c r="GI52">
        <v>30</v>
      </c>
      <c r="GJ52">
        <v>26.628599999999999</v>
      </c>
      <c r="GK52">
        <v>26.584599999999998</v>
      </c>
      <c r="GL52">
        <v>35.5944</v>
      </c>
      <c r="GM52">
        <v>-30</v>
      </c>
      <c r="GN52">
        <v>-30</v>
      </c>
      <c r="GO52">
        <v>24.8767</v>
      </c>
      <c r="GP52">
        <v>800</v>
      </c>
      <c r="GQ52">
        <v>12.5298</v>
      </c>
      <c r="GR52">
        <v>99.647199999999998</v>
      </c>
      <c r="GS52">
        <v>99.421099999999996</v>
      </c>
    </row>
    <row r="53" spans="1:201" x14ac:dyDescent="0.25">
      <c r="A53">
        <v>37</v>
      </c>
      <c r="B53">
        <v>1690212775.5999999</v>
      </c>
      <c r="C53">
        <v>508.09999990463263</v>
      </c>
      <c r="D53" t="s">
        <v>405</v>
      </c>
      <c r="E53" t="s">
        <v>406</v>
      </c>
      <c r="F53" t="s">
        <v>330</v>
      </c>
      <c r="H53">
        <v>1690212775.5999999</v>
      </c>
      <c r="I53">
        <f t="shared" si="0"/>
        <v>7.8354070223207706E-4</v>
      </c>
      <c r="J53">
        <f t="shared" si="1"/>
        <v>0.78354070223207706</v>
      </c>
      <c r="K53">
        <f t="shared" si="2"/>
        <v>7.8526139800476482</v>
      </c>
      <c r="L53">
        <f t="shared" si="3"/>
        <v>703.40700000000004</v>
      </c>
      <c r="M53">
        <f t="shared" si="4"/>
        <v>261.73461032592434</v>
      </c>
      <c r="N53">
        <f t="shared" si="5"/>
        <v>25.965576747933405</v>
      </c>
      <c r="O53">
        <f t="shared" si="6"/>
        <v>69.782014769808001</v>
      </c>
      <c r="P53">
        <f t="shared" si="7"/>
        <v>3.002807924420927E-2</v>
      </c>
      <c r="Q53">
        <f t="shared" si="8"/>
        <v>2.0127047120500006</v>
      </c>
      <c r="R53">
        <f t="shared" si="9"/>
        <v>2.9781399258238375E-2</v>
      </c>
      <c r="S53">
        <f t="shared" si="10"/>
        <v>1.8635368748486755E-2</v>
      </c>
      <c r="T53">
        <f t="shared" si="11"/>
        <v>276.1137098324233</v>
      </c>
      <c r="U53">
        <f t="shared" si="12"/>
        <v>29.001505132736916</v>
      </c>
      <c r="V53">
        <f t="shared" si="13"/>
        <v>29.001505132736916</v>
      </c>
      <c r="W53">
        <f t="shared" si="14"/>
        <v>4.0221230619323833</v>
      </c>
      <c r="X53">
        <f t="shared" si="15"/>
        <v>41.497970586820223</v>
      </c>
      <c r="Y53">
        <f t="shared" si="16"/>
        <v>1.4844849914928</v>
      </c>
      <c r="Z53">
        <f t="shared" si="17"/>
        <v>3.5772472014915189</v>
      </c>
      <c r="AA53">
        <f t="shared" si="18"/>
        <v>2.5376380704395833</v>
      </c>
      <c r="AB53">
        <f t="shared" si="19"/>
        <v>-34.554144968434599</v>
      </c>
      <c r="AC53">
        <f t="shared" si="20"/>
        <v>-218.1686245461251</v>
      </c>
      <c r="AD53">
        <f t="shared" si="21"/>
        <v>-23.627149650187736</v>
      </c>
      <c r="AE53">
        <f t="shared" si="22"/>
        <v>-0.23620933232413677</v>
      </c>
      <c r="AF53">
        <v>38</v>
      </c>
      <c r="AG53">
        <v>13</v>
      </c>
      <c r="AH53">
        <f t="shared" si="23"/>
        <v>1</v>
      </c>
      <c r="AI53">
        <f t="shared" si="24"/>
        <v>0</v>
      </c>
      <c r="AJ53">
        <f t="shared" si="25"/>
        <v>52434.025996712808</v>
      </c>
      <c r="AK53">
        <f t="shared" si="26"/>
        <v>1799.99</v>
      </c>
      <c r="AL53">
        <f t="shared" si="27"/>
        <v>1499.1031532028796</v>
      </c>
      <c r="AM53">
        <f t="shared" si="28"/>
        <v>0.83283971199999984</v>
      </c>
      <c r="AN53">
        <f t="shared" si="29"/>
        <v>0.15339735767000001</v>
      </c>
      <c r="AO53">
        <v>34.5</v>
      </c>
      <c r="AP53">
        <v>0.5</v>
      </c>
      <c r="AQ53" t="s">
        <v>331</v>
      </c>
      <c r="AR53">
        <v>2</v>
      </c>
      <c r="AS53">
        <v>1690212775.5999999</v>
      </c>
      <c r="AT53">
        <v>703.40700000000004</v>
      </c>
      <c r="AU53">
        <v>800.00099999999998</v>
      </c>
      <c r="AV53">
        <v>14.963699999999999</v>
      </c>
      <c r="AW53">
        <v>6.0923400000000001</v>
      </c>
      <c r="AX53">
        <v>703.851</v>
      </c>
      <c r="AY53">
        <v>14.8963</v>
      </c>
      <c r="AZ53">
        <v>300.15300000000002</v>
      </c>
      <c r="BA53">
        <v>99.105699999999999</v>
      </c>
      <c r="BB53">
        <v>0.10004399999999999</v>
      </c>
      <c r="BC53">
        <v>26.9909</v>
      </c>
      <c r="BD53">
        <v>26.9818</v>
      </c>
      <c r="BE53">
        <v>28.965599999999998</v>
      </c>
      <c r="BF53">
        <v>0</v>
      </c>
      <c r="BG53">
        <v>0</v>
      </c>
      <c r="BH53">
        <v>10005.6</v>
      </c>
      <c r="BI53">
        <v>1075.04</v>
      </c>
      <c r="BJ53">
        <v>2.1305100000000001</v>
      </c>
      <c r="BK53">
        <v>-96.593900000000005</v>
      </c>
      <c r="BL53">
        <v>714.09299999999996</v>
      </c>
      <c r="BM53">
        <v>804.90499999999997</v>
      </c>
      <c r="BN53">
        <v>8.8713800000000003</v>
      </c>
      <c r="BO53">
        <v>800.00099999999998</v>
      </c>
      <c r="BP53">
        <v>6.0923400000000001</v>
      </c>
      <c r="BQ53">
        <v>1.48299</v>
      </c>
      <c r="BR53">
        <v>0.60378600000000004</v>
      </c>
      <c r="BS53">
        <v>12.793900000000001</v>
      </c>
      <c r="BT53">
        <v>-0.22290399999999999</v>
      </c>
      <c r="BU53">
        <v>1799.99</v>
      </c>
      <c r="BV53">
        <v>0.909999</v>
      </c>
      <c r="BW53">
        <v>3.4005399999999998E-2</v>
      </c>
      <c r="BX53">
        <v>2.19981E-2</v>
      </c>
      <c r="BY53">
        <v>3.3997899999999998E-2</v>
      </c>
      <c r="BZ53">
        <v>25.875</v>
      </c>
      <c r="CA53">
        <v>33528.199999999997</v>
      </c>
      <c r="CB53">
        <v>1690211922</v>
      </c>
      <c r="CC53" t="s">
        <v>332</v>
      </c>
      <c r="CD53">
        <v>1690211915</v>
      </c>
      <c r="CE53">
        <v>1690211922</v>
      </c>
      <c r="CF53">
        <v>6</v>
      </c>
      <c r="CG53">
        <v>1.0999999999999999E-2</v>
      </c>
      <c r="CH53">
        <v>8.0000000000000002E-3</v>
      </c>
      <c r="CI53">
        <v>-0.51100000000000001</v>
      </c>
      <c r="CJ53">
        <v>-6.6000000000000003E-2</v>
      </c>
      <c r="CK53">
        <v>800</v>
      </c>
      <c r="CL53">
        <v>6</v>
      </c>
      <c r="CM53">
        <v>0.21</v>
      </c>
      <c r="CN53">
        <v>0.02</v>
      </c>
      <c r="CO53">
        <v>-93.04157560975608</v>
      </c>
      <c r="CP53">
        <v>-19.66881324041805</v>
      </c>
      <c r="CQ53">
        <v>1.9397306355340951</v>
      </c>
      <c r="CR53">
        <v>-1</v>
      </c>
      <c r="CS53">
        <v>8.7236312195121943</v>
      </c>
      <c r="CT53">
        <v>0.81082494773518166</v>
      </c>
      <c r="CU53">
        <v>7.995432892062157E-2</v>
      </c>
      <c r="CV53">
        <v>-1</v>
      </c>
      <c r="CW53">
        <v>0</v>
      </c>
      <c r="CX53">
        <v>0</v>
      </c>
      <c r="CY53" t="s">
        <v>333</v>
      </c>
      <c r="CZ53">
        <v>2.3641399999999999</v>
      </c>
      <c r="DA53">
        <v>2.7138399999999998</v>
      </c>
      <c r="DB53">
        <v>0.13439200000000001</v>
      </c>
      <c r="DC53">
        <v>0.14604900000000001</v>
      </c>
      <c r="DD53">
        <v>8.1233100000000003E-2</v>
      </c>
      <c r="DE53">
        <v>3.9930500000000001E-2</v>
      </c>
      <c r="DF53">
        <v>31578.799999999999</v>
      </c>
      <c r="DG53">
        <v>27481.4</v>
      </c>
      <c r="DH53">
        <v>31145.8</v>
      </c>
      <c r="DI53">
        <v>28042.9</v>
      </c>
      <c r="DJ53">
        <v>38858</v>
      </c>
      <c r="DK53">
        <v>38280.400000000001</v>
      </c>
      <c r="DL53">
        <v>44319.1</v>
      </c>
      <c r="DM53">
        <v>42496.2</v>
      </c>
      <c r="DN53">
        <v>1.3725799999999999</v>
      </c>
      <c r="DO53">
        <v>2.0314000000000001</v>
      </c>
      <c r="DP53">
        <v>7.3499999999999996E-2</v>
      </c>
      <c r="DQ53">
        <v>0.20447399999999999</v>
      </c>
      <c r="DR53">
        <v>25.778600000000001</v>
      </c>
      <c r="DS53">
        <v>25.623200000000001</v>
      </c>
      <c r="DT53">
        <v>18.100000000000001</v>
      </c>
      <c r="DU53">
        <v>29.6</v>
      </c>
      <c r="DV53">
        <v>7.60379</v>
      </c>
      <c r="DW53">
        <v>61.6312</v>
      </c>
      <c r="DX53">
        <v>36.694699999999997</v>
      </c>
      <c r="DY53">
        <v>1</v>
      </c>
      <c r="DZ53">
        <v>-6.8203799999999995E-2</v>
      </c>
      <c r="EA53">
        <v>0.109611</v>
      </c>
      <c r="EB53">
        <v>20.190000000000001</v>
      </c>
      <c r="EC53">
        <v>5.2406499999999996</v>
      </c>
      <c r="ED53">
        <v>12.039899999999999</v>
      </c>
      <c r="EE53">
        <v>5.0170500000000002</v>
      </c>
      <c r="EF53">
        <v>3.2879999999999998</v>
      </c>
      <c r="EG53">
        <v>9999</v>
      </c>
      <c r="EH53">
        <v>9999</v>
      </c>
      <c r="EI53">
        <v>9999</v>
      </c>
      <c r="EJ53">
        <v>999.9</v>
      </c>
      <c r="EK53">
        <v>1.86896</v>
      </c>
      <c r="EL53">
        <v>1.8647</v>
      </c>
      <c r="EM53">
        <v>1.8692</v>
      </c>
      <c r="EN53">
        <v>1.8672899999999999</v>
      </c>
      <c r="EO53">
        <v>1.86341</v>
      </c>
      <c r="EP53">
        <v>1.8645700000000001</v>
      </c>
      <c r="EQ53">
        <v>1.87016</v>
      </c>
      <c r="ER53">
        <v>1.86948</v>
      </c>
      <c r="ES53">
        <v>0</v>
      </c>
      <c r="ET53">
        <v>0</v>
      </c>
      <c r="EU53">
        <v>0</v>
      </c>
      <c r="EV53">
        <v>0</v>
      </c>
      <c r="EW53" t="s">
        <v>334</v>
      </c>
      <c r="EX53" t="s">
        <v>335</v>
      </c>
      <c r="EY53" t="s">
        <v>336</v>
      </c>
      <c r="EZ53" t="s">
        <v>336</v>
      </c>
      <c r="FA53" t="s">
        <v>336</v>
      </c>
      <c r="FB53" t="s">
        <v>336</v>
      </c>
      <c r="FC53">
        <v>0</v>
      </c>
      <c r="FD53">
        <v>100</v>
      </c>
      <c r="FE53">
        <v>100</v>
      </c>
      <c r="FF53">
        <v>-0.44400000000000001</v>
      </c>
      <c r="FG53">
        <v>6.7400000000000002E-2</v>
      </c>
      <c r="FH53">
        <v>4.0020685143421282E-2</v>
      </c>
      <c r="FI53">
        <v>-6.1462078757559423E-4</v>
      </c>
      <c r="FJ53">
        <v>-1.8861989874597051E-7</v>
      </c>
      <c r="FK53">
        <v>1.1980462299894961E-10</v>
      </c>
      <c r="FL53">
        <v>-3.1035565592992288E-2</v>
      </c>
      <c r="FM53">
        <v>-1.6848085045870601E-2</v>
      </c>
      <c r="FN53">
        <v>1.9789084769509481E-3</v>
      </c>
      <c r="FO53">
        <v>-2.7142391389806329E-5</v>
      </c>
      <c r="FP53">
        <v>3</v>
      </c>
      <c r="FQ53">
        <v>2158</v>
      </c>
      <c r="FR53">
        <v>1</v>
      </c>
      <c r="FS53">
        <v>19</v>
      </c>
      <c r="FT53">
        <v>14.3</v>
      </c>
      <c r="FU53">
        <v>14.2</v>
      </c>
      <c r="FV53">
        <v>1.77979</v>
      </c>
      <c r="FW53">
        <v>2.5756800000000002</v>
      </c>
      <c r="FX53">
        <v>1.5490699999999999</v>
      </c>
      <c r="FY53">
        <v>2.3290999999999999</v>
      </c>
      <c r="FZ53">
        <v>1.50146</v>
      </c>
      <c r="GA53">
        <v>2.34619</v>
      </c>
      <c r="GB53">
        <v>33.783200000000001</v>
      </c>
      <c r="GC53">
        <v>23.982399999999998</v>
      </c>
      <c r="GD53">
        <v>19</v>
      </c>
      <c r="GE53">
        <v>242.13200000000001</v>
      </c>
      <c r="GF53">
        <v>581.84799999999996</v>
      </c>
      <c r="GG53">
        <v>24.897300000000001</v>
      </c>
      <c r="GH53">
        <v>26.5428</v>
      </c>
      <c r="GI53">
        <v>30</v>
      </c>
      <c r="GJ53">
        <v>26.628599999999999</v>
      </c>
      <c r="GK53">
        <v>26.586400000000001</v>
      </c>
      <c r="GL53">
        <v>35.590800000000002</v>
      </c>
      <c r="GM53">
        <v>-30</v>
      </c>
      <c r="GN53">
        <v>-30</v>
      </c>
      <c r="GO53">
        <v>24.898900000000001</v>
      </c>
      <c r="GP53">
        <v>800</v>
      </c>
      <c r="GQ53">
        <v>12.5298</v>
      </c>
      <c r="GR53">
        <v>99.647499999999994</v>
      </c>
      <c r="GS53">
        <v>99.420100000000005</v>
      </c>
    </row>
    <row r="54" spans="1:201" x14ac:dyDescent="0.25">
      <c r="A54">
        <v>38</v>
      </c>
      <c r="B54">
        <v>1690212785.5999999</v>
      </c>
      <c r="C54">
        <v>518.09999990463257</v>
      </c>
      <c r="D54" t="s">
        <v>407</v>
      </c>
      <c r="E54" t="s">
        <v>408</v>
      </c>
      <c r="F54" t="s">
        <v>330</v>
      </c>
      <c r="H54">
        <v>1690212785.5999999</v>
      </c>
      <c r="I54">
        <f t="shared" si="0"/>
        <v>7.96239905918261E-4</v>
      </c>
      <c r="J54">
        <f t="shared" si="1"/>
        <v>0.79623990591826099</v>
      </c>
      <c r="K54">
        <f t="shared" si="2"/>
        <v>8.1352795822548778</v>
      </c>
      <c r="L54">
        <f t="shared" si="3"/>
        <v>700.16</v>
      </c>
      <c r="M54">
        <f t="shared" si="4"/>
        <v>253.11979184695488</v>
      </c>
      <c r="N54">
        <f t="shared" si="5"/>
        <v>25.110252329145556</v>
      </c>
      <c r="O54">
        <f t="shared" si="6"/>
        <v>69.457999086079994</v>
      </c>
      <c r="P54">
        <f t="shared" si="7"/>
        <v>3.0696447050893288E-2</v>
      </c>
      <c r="Q54">
        <f t="shared" si="8"/>
        <v>2.0109782720577138</v>
      </c>
      <c r="R54">
        <f t="shared" si="9"/>
        <v>3.043849519376704E-2</v>
      </c>
      <c r="S54">
        <f t="shared" si="10"/>
        <v>1.9047054678416799E-2</v>
      </c>
      <c r="T54">
        <f t="shared" si="11"/>
        <v>276.11339361018014</v>
      </c>
      <c r="U54">
        <f t="shared" si="12"/>
        <v>28.996999039490298</v>
      </c>
      <c r="V54">
        <f t="shared" si="13"/>
        <v>28.996999039490298</v>
      </c>
      <c r="W54">
        <f t="shared" si="14"/>
        <v>4.0210744351162369</v>
      </c>
      <c r="X54">
        <f t="shared" si="15"/>
        <v>41.885198377696263</v>
      </c>
      <c r="Y54">
        <f t="shared" si="16"/>
        <v>1.4982138813949999</v>
      </c>
      <c r="Z54">
        <f t="shared" si="17"/>
        <v>3.5769530512544834</v>
      </c>
      <c r="AA54">
        <f t="shared" si="18"/>
        <v>2.522860553721237</v>
      </c>
      <c r="AB54">
        <f t="shared" si="19"/>
        <v>-35.114179850995313</v>
      </c>
      <c r="AC54">
        <f t="shared" si="20"/>
        <v>-217.64473602638884</v>
      </c>
      <c r="AD54">
        <f t="shared" si="21"/>
        <v>-23.589953993976152</v>
      </c>
      <c r="AE54">
        <f t="shared" si="22"/>
        <v>-0.23547626118016751</v>
      </c>
      <c r="AF54">
        <v>38</v>
      </c>
      <c r="AG54">
        <v>13</v>
      </c>
      <c r="AH54">
        <f t="shared" si="23"/>
        <v>1</v>
      </c>
      <c r="AI54">
        <f t="shared" si="24"/>
        <v>0</v>
      </c>
      <c r="AJ54">
        <f t="shared" si="25"/>
        <v>52351.310001234371</v>
      </c>
      <c r="AK54">
        <f t="shared" si="26"/>
        <v>1799.99</v>
      </c>
      <c r="AL54">
        <f t="shared" si="27"/>
        <v>1499.10444379571</v>
      </c>
      <c r="AM54">
        <f t="shared" si="28"/>
        <v>0.83284042899999999</v>
      </c>
      <c r="AN54">
        <f t="shared" si="29"/>
        <v>0.15339718199000002</v>
      </c>
      <c r="AO54">
        <v>34.5</v>
      </c>
      <c r="AP54">
        <v>0.5</v>
      </c>
      <c r="AQ54" t="s">
        <v>331</v>
      </c>
      <c r="AR54">
        <v>2</v>
      </c>
      <c r="AS54">
        <v>1690212785.5999999</v>
      </c>
      <c r="AT54">
        <v>700.16</v>
      </c>
      <c r="AU54">
        <v>800.048</v>
      </c>
      <c r="AV54">
        <v>15.102499999999999</v>
      </c>
      <c r="AW54">
        <v>6.0911499999999998</v>
      </c>
      <c r="AX54">
        <v>700.60199999999998</v>
      </c>
      <c r="AY54">
        <v>15.0318</v>
      </c>
      <c r="AZ54">
        <v>300.23700000000002</v>
      </c>
      <c r="BA54">
        <v>99.102999999999994</v>
      </c>
      <c r="BB54">
        <v>0.100038</v>
      </c>
      <c r="BC54">
        <v>26.9895</v>
      </c>
      <c r="BD54">
        <v>26.982399999999998</v>
      </c>
      <c r="BE54">
        <v>28.9861</v>
      </c>
      <c r="BF54">
        <v>0</v>
      </c>
      <c r="BG54">
        <v>0</v>
      </c>
      <c r="BH54">
        <v>9989.3799999999992</v>
      </c>
      <c r="BI54">
        <v>1075.04</v>
      </c>
      <c r="BJ54">
        <v>2.1024799999999999</v>
      </c>
      <c r="BK54">
        <v>-99.887900000000002</v>
      </c>
      <c r="BL54">
        <v>710.89700000000005</v>
      </c>
      <c r="BM54">
        <v>804.95100000000002</v>
      </c>
      <c r="BN54">
        <v>9.0113599999999998</v>
      </c>
      <c r="BO54">
        <v>800.048</v>
      </c>
      <c r="BP54">
        <v>6.0911499999999998</v>
      </c>
      <c r="BQ54">
        <v>1.4966999999999999</v>
      </c>
      <c r="BR54">
        <v>0.60365100000000005</v>
      </c>
      <c r="BS54">
        <v>12.9345</v>
      </c>
      <c r="BT54">
        <v>-0.22597600000000001</v>
      </c>
      <c r="BU54">
        <v>1799.99</v>
      </c>
      <c r="BV54">
        <v>0.91000700000000001</v>
      </c>
      <c r="BW54">
        <v>3.4002400000000002E-2</v>
      </c>
      <c r="BX54">
        <v>2.19962E-2</v>
      </c>
      <c r="BY54">
        <v>3.3994900000000002E-2</v>
      </c>
      <c r="BZ54">
        <v>25.875</v>
      </c>
      <c r="CA54">
        <v>33528.199999999997</v>
      </c>
      <c r="CB54">
        <v>1690211922</v>
      </c>
      <c r="CC54" t="s">
        <v>332</v>
      </c>
      <c r="CD54">
        <v>1690211915</v>
      </c>
      <c r="CE54">
        <v>1690211922</v>
      </c>
      <c r="CF54">
        <v>6</v>
      </c>
      <c r="CG54">
        <v>1.0999999999999999E-2</v>
      </c>
      <c r="CH54">
        <v>8.0000000000000002E-3</v>
      </c>
      <c r="CI54">
        <v>-0.51100000000000001</v>
      </c>
      <c r="CJ54">
        <v>-6.6000000000000003E-2</v>
      </c>
      <c r="CK54">
        <v>800</v>
      </c>
      <c r="CL54">
        <v>6</v>
      </c>
      <c r="CM54">
        <v>0.21</v>
      </c>
      <c r="CN54">
        <v>0.02</v>
      </c>
      <c r="CO54">
        <v>-96.223635000000002</v>
      </c>
      <c r="CP54">
        <v>-19.332243151969681</v>
      </c>
      <c r="CQ54">
        <v>1.859873673337789</v>
      </c>
      <c r="CR54">
        <v>-1</v>
      </c>
      <c r="CS54">
        <v>8.8556990000000013</v>
      </c>
      <c r="CT54">
        <v>0.81190986866787163</v>
      </c>
      <c r="CU54">
        <v>7.810707659360952E-2</v>
      </c>
      <c r="CV54">
        <v>-1</v>
      </c>
      <c r="CW54">
        <v>0</v>
      </c>
      <c r="CX54">
        <v>0</v>
      </c>
      <c r="CY54" t="s">
        <v>333</v>
      </c>
      <c r="CZ54">
        <v>2.3643900000000002</v>
      </c>
      <c r="DA54">
        <v>2.7138200000000001</v>
      </c>
      <c r="DB54">
        <v>0.133966</v>
      </c>
      <c r="DC54">
        <v>0.14605099999999999</v>
      </c>
      <c r="DD54">
        <v>8.1776699999999994E-2</v>
      </c>
      <c r="DE54">
        <v>3.9923100000000003E-2</v>
      </c>
      <c r="DF54">
        <v>31594.1</v>
      </c>
      <c r="DG54">
        <v>27481.9</v>
      </c>
      <c r="DH54">
        <v>31145.5</v>
      </c>
      <c r="DI54">
        <v>28043.5</v>
      </c>
      <c r="DJ54">
        <v>38834.6</v>
      </c>
      <c r="DK54">
        <v>38281.599999999999</v>
      </c>
      <c r="DL54">
        <v>44318.9</v>
      </c>
      <c r="DM54">
        <v>42497.2</v>
      </c>
      <c r="DN54">
        <v>1.3726499999999999</v>
      </c>
      <c r="DO54">
        <v>2.0312800000000002</v>
      </c>
      <c r="DP54">
        <v>7.3768200000000006E-2</v>
      </c>
      <c r="DQ54">
        <v>0.20586699999999999</v>
      </c>
      <c r="DR54">
        <v>25.774799999999999</v>
      </c>
      <c r="DS54">
        <v>25.620999999999999</v>
      </c>
      <c r="DT54">
        <v>18.100000000000001</v>
      </c>
      <c r="DU54">
        <v>29.6</v>
      </c>
      <c r="DV54">
        <v>7.6045400000000001</v>
      </c>
      <c r="DW54">
        <v>61.681199999999997</v>
      </c>
      <c r="DX54">
        <v>36.822899999999997</v>
      </c>
      <c r="DY54">
        <v>1</v>
      </c>
      <c r="DZ54">
        <v>-6.8597599999999995E-2</v>
      </c>
      <c r="EA54">
        <v>8.1356200000000004E-2</v>
      </c>
      <c r="EB54">
        <v>20.190000000000001</v>
      </c>
      <c r="EC54">
        <v>5.2411000000000003</v>
      </c>
      <c r="ED54">
        <v>12.039899999999999</v>
      </c>
      <c r="EE54">
        <v>5.0170500000000002</v>
      </c>
      <c r="EF54">
        <v>3.2879999999999998</v>
      </c>
      <c r="EG54">
        <v>9999</v>
      </c>
      <c r="EH54">
        <v>9999</v>
      </c>
      <c r="EI54">
        <v>9999</v>
      </c>
      <c r="EJ54">
        <v>999.9</v>
      </c>
      <c r="EK54">
        <v>1.86893</v>
      </c>
      <c r="EL54">
        <v>1.86467</v>
      </c>
      <c r="EM54">
        <v>1.8691899999999999</v>
      </c>
      <c r="EN54">
        <v>1.8672500000000001</v>
      </c>
      <c r="EO54">
        <v>1.86341</v>
      </c>
      <c r="EP54">
        <v>1.8645799999999999</v>
      </c>
      <c r="EQ54">
        <v>1.87019</v>
      </c>
      <c r="ER54">
        <v>1.86944</v>
      </c>
      <c r="ES54">
        <v>0</v>
      </c>
      <c r="ET54">
        <v>0</v>
      </c>
      <c r="EU54">
        <v>0</v>
      </c>
      <c r="EV54">
        <v>0</v>
      </c>
      <c r="EW54" t="s">
        <v>334</v>
      </c>
      <c r="EX54" t="s">
        <v>335</v>
      </c>
      <c r="EY54" t="s">
        <v>336</v>
      </c>
      <c r="EZ54" t="s">
        <v>336</v>
      </c>
      <c r="FA54" t="s">
        <v>336</v>
      </c>
      <c r="FB54" t="s">
        <v>336</v>
      </c>
      <c r="FC54">
        <v>0</v>
      </c>
      <c r="FD54">
        <v>100</v>
      </c>
      <c r="FE54">
        <v>100</v>
      </c>
      <c r="FF54">
        <v>-0.442</v>
      </c>
      <c r="FG54">
        <v>7.0699999999999999E-2</v>
      </c>
      <c r="FH54">
        <v>4.0020685143421282E-2</v>
      </c>
      <c r="FI54">
        <v>-6.1462078757559423E-4</v>
      </c>
      <c r="FJ54">
        <v>-1.8861989874597051E-7</v>
      </c>
      <c r="FK54">
        <v>1.1980462299894961E-10</v>
      </c>
      <c r="FL54">
        <v>-3.1035565592992288E-2</v>
      </c>
      <c r="FM54">
        <v>-1.6848085045870601E-2</v>
      </c>
      <c r="FN54">
        <v>1.9789084769509481E-3</v>
      </c>
      <c r="FO54">
        <v>-2.7142391389806329E-5</v>
      </c>
      <c r="FP54">
        <v>3</v>
      </c>
      <c r="FQ54">
        <v>2158</v>
      </c>
      <c r="FR54">
        <v>1</v>
      </c>
      <c r="FS54">
        <v>19</v>
      </c>
      <c r="FT54">
        <v>14.5</v>
      </c>
      <c r="FU54">
        <v>14.4</v>
      </c>
      <c r="FV54">
        <v>1.77979</v>
      </c>
      <c r="FW54">
        <v>2.5744600000000002</v>
      </c>
      <c r="FX54">
        <v>1.5490699999999999</v>
      </c>
      <c r="FY54">
        <v>2.3290999999999999</v>
      </c>
      <c r="FZ54">
        <v>1.50146</v>
      </c>
      <c r="GA54">
        <v>2.34375</v>
      </c>
      <c r="GB54">
        <v>33.783200000000001</v>
      </c>
      <c r="GC54">
        <v>23.991199999999999</v>
      </c>
      <c r="GD54">
        <v>19</v>
      </c>
      <c r="GE54">
        <v>242.161</v>
      </c>
      <c r="GF54">
        <v>581.75099999999998</v>
      </c>
      <c r="GG54">
        <v>24.916399999999999</v>
      </c>
      <c r="GH54">
        <v>26.540600000000001</v>
      </c>
      <c r="GI54">
        <v>30</v>
      </c>
      <c r="GJ54">
        <v>26.628599999999999</v>
      </c>
      <c r="GK54">
        <v>26.5869</v>
      </c>
      <c r="GL54">
        <v>35.589799999999997</v>
      </c>
      <c r="GM54">
        <v>-30</v>
      </c>
      <c r="GN54">
        <v>-30</v>
      </c>
      <c r="GO54">
        <v>24.924299999999999</v>
      </c>
      <c r="GP54">
        <v>800</v>
      </c>
      <c r="GQ54">
        <v>12.5298</v>
      </c>
      <c r="GR54">
        <v>99.646900000000002</v>
      </c>
      <c r="GS54">
        <v>99.422300000000007</v>
      </c>
    </row>
    <row r="55" spans="1:201" x14ac:dyDescent="0.25">
      <c r="A55">
        <v>39</v>
      </c>
      <c r="B55">
        <v>1690212795.5999999</v>
      </c>
      <c r="C55">
        <v>528.09999990463257</v>
      </c>
      <c r="D55" t="s">
        <v>409</v>
      </c>
      <c r="E55" t="s">
        <v>410</v>
      </c>
      <c r="F55" t="s">
        <v>330</v>
      </c>
      <c r="H55">
        <v>1690212795.5999999</v>
      </c>
      <c r="I55">
        <f t="shared" si="0"/>
        <v>8.0797646424214339E-4</v>
      </c>
      <c r="J55">
        <f t="shared" si="1"/>
        <v>0.80797646424214342</v>
      </c>
      <c r="K55">
        <f t="shared" si="2"/>
        <v>8.3995229272935017</v>
      </c>
      <c r="L55">
        <f t="shared" si="3"/>
        <v>696.952</v>
      </c>
      <c r="M55">
        <f t="shared" si="4"/>
        <v>244.81715555189399</v>
      </c>
      <c r="N55">
        <f t="shared" si="5"/>
        <v>24.288209994495357</v>
      </c>
      <c r="O55">
        <f t="shared" si="6"/>
        <v>69.144323215108003</v>
      </c>
      <c r="P55">
        <f t="shared" si="7"/>
        <v>3.1300352346057082E-2</v>
      </c>
      <c r="Q55">
        <f t="shared" si="8"/>
        <v>2.0099997539881658</v>
      </c>
      <c r="R55">
        <f t="shared" si="9"/>
        <v>3.1032069537803773E-2</v>
      </c>
      <c r="S55">
        <f t="shared" si="10"/>
        <v>1.9418955852049564E-2</v>
      </c>
      <c r="T55">
        <f t="shared" si="11"/>
        <v>276.11121069157088</v>
      </c>
      <c r="U55">
        <f t="shared" si="12"/>
        <v>29.00303163822986</v>
      </c>
      <c r="V55">
        <f t="shared" si="13"/>
        <v>29.00303163822986</v>
      </c>
      <c r="W55">
        <f t="shared" si="14"/>
        <v>4.0224783537881645</v>
      </c>
      <c r="X55">
        <f t="shared" si="15"/>
        <v>42.230784449232843</v>
      </c>
      <c r="Y55">
        <f t="shared" si="16"/>
        <v>1.5114184426659001</v>
      </c>
      <c r="Z55">
        <f t="shared" si="17"/>
        <v>3.5789494852572084</v>
      </c>
      <c r="AA55">
        <f t="shared" si="18"/>
        <v>2.5110599111222642</v>
      </c>
      <c r="AB55">
        <f t="shared" si="19"/>
        <v>-35.631762073078526</v>
      </c>
      <c r="AC55">
        <f t="shared" si="20"/>
        <v>-217.16309431784748</v>
      </c>
      <c r="AD55">
        <f t="shared" si="21"/>
        <v>-23.551030847056019</v>
      </c>
      <c r="AE55">
        <f t="shared" si="22"/>
        <v>-0.23467654641115132</v>
      </c>
      <c r="AF55">
        <v>38</v>
      </c>
      <c r="AG55">
        <v>13</v>
      </c>
      <c r="AH55">
        <f t="shared" si="23"/>
        <v>1</v>
      </c>
      <c r="AI55">
        <f t="shared" si="24"/>
        <v>0</v>
      </c>
      <c r="AJ55">
        <f t="shared" si="25"/>
        <v>52302.851096258128</v>
      </c>
      <c r="AK55">
        <f t="shared" si="26"/>
        <v>1799.98</v>
      </c>
      <c r="AL55">
        <f t="shared" si="27"/>
        <v>1499.0963079892801</v>
      </c>
      <c r="AM55">
        <f t="shared" si="28"/>
        <v>0.83284053600000008</v>
      </c>
      <c r="AN55">
        <f t="shared" si="29"/>
        <v>0.15339682146000003</v>
      </c>
      <c r="AO55">
        <v>34.5</v>
      </c>
      <c r="AP55">
        <v>0.5</v>
      </c>
      <c r="AQ55" t="s">
        <v>331</v>
      </c>
      <c r="AR55">
        <v>2</v>
      </c>
      <c r="AS55">
        <v>1690212795.5999999</v>
      </c>
      <c r="AT55">
        <v>696.952</v>
      </c>
      <c r="AU55">
        <v>799.96299999999997</v>
      </c>
      <c r="AV55">
        <v>15.2346</v>
      </c>
      <c r="AW55">
        <v>6.0896999999999997</v>
      </c>
      <c r="AX55">
        <v>697.39099999999996</v>
      </c>
      <c r="AY55">
        <v>15.1608</v>
      </c>
      <c r="AZ55">
        <v>300.173</v>
      </c>
      <c r="BA55">
        <v>99.1096</v>
      </c>
      <c r="BB55">
        <v>9.9991499999999997E-2</v>
      </c>
      <c r="BC55">
        <v>26.998999999999999</v>
      </c>
      <c r="BD55">
        <v>26.9895</v>
      </c>
      <c r="BE55">
        <v>28.974900000000002</v>
      </c>
      <c r="BF55">
        <v>0</v>
      </c>
      <c r="BG55">
        <v>0</v>
      </c>
      <c r="BH55">
        <v>9979.3799999999992</v>
      </c>
      <c r="BI55">
        <v>1075.0999999999999</v>
      </c>
      <c r="BJ55">
        <v>2.08846</v>
      </c>
      <c r="BK55">
        <v>-103.011</v>
      </c>
      <c r="BL55">
        <v>707.73400000000004</v>
      </c>
      <c r="BM55">
        <v>804.86400000000003</v>
      </c>
      <c r="BN55">
        <v>9.1448800000000006</v>
      </c>
      <c r="BO55">
        <v>799.96299999999997</v>
      </c>
      <c r="BP55">
        <v>6.0896999999999997</v>
      </c>
      <c r="BQ55">
        <v>1.50989</v>
      </c>
      <c r="BR55">
        <v>0.60354799999999997</v>
      </c>
      <c r="BS55">
        <v>13.0687</v>
      </c>
      <c r="BT55">
        <v>-0.22833500000000001</v>
      </c>
      <c r="BU55">
        <v>1799.98</v>
      </c>
      <c r="BV55">
        <v>0.91001600000000005</v>
      </c>
      <c r="BW55">
        <v>3.39987E-2</v>
      </c>
      <c r="BX55">
        <v>2.1993800000000001E-2</v>
      </c>
      <c r="BY55">
        <v>3.3991199999999999E-2</v>
      </c>
      <c r="BZ55">
        <v>25.958300000000001</v>
      </c>
      <c r="CA55">
        <v>33528.199999999997</v>
      </c>
      <c r="CB55">
        <v>1690211922</v>
      </c>
      <c r="CC55" t="s">
        <v>332</v>
      </c>
      <c r="CD55">
        <v>1690211915</v>
      </c>
      <c r="CE55">
        <v>1690211922</v>
      </c>
      <c r="CF55">
        <v>6</v>
      </c>
      <c r="CG55">
        <v>1.0999999999999999E-2</v>
      </c>
      <c r="CH55">
        <v>8.0000000000000002E-3</v>
      </c>
      <c r="CI55">
        <v>-0.51100000000000001</v>
      </c>
      <c r="CJ55">
        <v>-6.6000000000000003E-2</v>
      </c>
      <c r="CK55">
        <v>800</v>
      </c>
      <c r="CL55">
        <v>6</v>
      </c>
      <c r="CM55">
        <v>0.21</v>
      </c>
      <c r="CN55">
        <v>0.02</v>
      </c>
      <c r="CO55">
        <v>-99.440430000000006</v>
      </c>
      <c r="CP55">
        <v>-19.32887054408986</v>
      </c>
      <c r="CQ55">
        <v>1.859623890763936</v>
      </c>
      <c r="CR55">
        <v>-1</v>
      </c>
      <c r="CS55">
        <v>8.9917894999999994</v>
      </c>
      <c r="CT55">
        <v>0.81657613508441118</v>
      </c>
      <c r="CU55">
        <v>7.8558919447444031E-2</v>
      </c>
      <c r="CV55">
        <v>-1</v>
      </c>
      <c r="CW55">
        <v>0</v>
      </c>
      <c r="CX55">
        <v>0</v>
      </c>
      <c r="CY55" t="s">
        <v>333</v>
      </c>
      <c r="CZ55">
        <v>2.3641999999999999</v>
      </c>
      <c r="DA55">
        <v>2.7137600000000002</v>
      </c>
      <c r="DB55">
        <v>0.13355700000000001</v>
      </c>
      <c r="DC55">
        <v>0.14604900000000001</v>
      </c>
      <c r="DD55">
        <v>8.2299200000000003E-2</v>
      </c>
      <c r="DE55">
        <v>3.9917800000000003E-2</v>
      </c>
      <c r="DF55">
        <v>31609.5</v>
      </c>
      <c r="DG55">
        <v>27482.1</v>
      </c>
      <c r="DH55">
        <v>31146</v>
      </c>
      <c r="DI55">
        <v>28043.7</v>
      </c>
      <c r="DJ55">
        <v>38813</v>
      </c>
      <c r="DK55">
        <v>38281.9</v>
      </c>
      <c r="DL55">
        <v>44319.7</v>
      </c>
      <c r="DM55">
        <v>42497.3</v>
      </c>
      <c r="DN55">
        <v>1.3725799999999999</v>
      </c>
      <c r="DO55">
        <v>2.0312999999999999</v>
      </c>
      <c r="DP55">
        <v>7.4327000000000004E-2</v>
      </c>
      <c r="DQ55">
        <v>0.20530799999999999</v>
      </c>
      <c r="DR55">
        <v>25.7727</v>
      </c>
      <c r="DS55">
        <v>25.6188</v>
      </c>
      <c r="DT55">
        <v>18.100000000000001</v>
      </c>
      <c r="DU55">
        <v>29.6</v>
      </c>
      <c r="DV55">
        <v>7.60412</v>
      </c>
      <c r="DW55">
        <v>61.671199999999999</v>
      </c>
      <c r="DX55">
        <v>37.079300000000003</v>
      </c>
      <c r="DY55">
        <v>1</v>
      </c>
      <c r="DZ55">
        <v>-6.8666199999999997E-2</v>
      </c>
      <c r="EA55">
        <v>6.1546799999999999E-2</v>
      </c>
      <c r="EB55">
        <v>20.189900000000002</v>
      </c>
      <c r="EC55">
        <v>5.2409499999999998</v>
      </c>
      <c r="ED55">
        <v>12.039899999999999</v>
      </c>
      <c r="EE55">
        <v>5.0171999999999999</v>
      </c>
      <c r="EF55">
        <v>3.2879999999999998</v>
      </c>
      <c r="EG55">
        <v>9999</v>
      </c>
      <c r="EH55">
        <v>9999</v>
      </c>
      <c r="EI55">
        <v>9999</v>
      </c>
      <c r="EJ55">
        <v>999.9</v>
      </c>
      <c r="EK55">
        <v>1.86893</v>
      </c>
      <c r="EL55">
        <v>1.86466</v>
      </c>
      <c r="EM55">
        <v>1.8692</v>
      </c>
      <c r="EN55">
        <v>1.8672500000000001</v>
      </c>
      <c r="EO55">
        <v>1.86341</v>
      </c>
      <c r="EP55">
        <v>1.8645499999999999</v>
      </c>
      <c r="EQ55">
        <v>1.8701700000000001</v>
      </c>
      <c r="ER55">
        <v>1.86947</v>
      </c>
      <c r="ES55">
        <v>0</v>
      </c>
      <c r="ET55">
        <v>0</v>
      </c>
      <c r="EU55">
        <v>0</v>
      </c>
      <c r="EV55">
        <v>0</v>
      </c>
      <c r="EW55" t="s">
        <v>334</v>
      </c>
      <c r="EX55" t="s">
        <v>335</v>
      </c>
      <c r="EY55" t="s">
        <v>336</v>
      </c>
      <c r="EZ55" t="s">
        <v>336</v>
      </c>
      <c r="FA55" t="s">
        <v>336</v>
      </c>
      <c r="FB55" t="s">
        <v>336</v>
      </c>
      <c r="FC55">
        <v>0</v>
      </c>
      <c r="FD55">
        <v>100</v>
      </c>
      <c r="FE55">
        <v>100</v>
      </c>
      <c r="FF55">
        <v>-0.439</v>
      </c>
      <c r="FG55">
        <v>7.3800000000000004E-2</v>
      </c>
      <c r="FH55">
        <v>4.0020685143421282E-2</v>
      </c>
      <c r="FI55">
        <v>-6.1462078757559423E-4</v>
      </c>
      <c r="FJ55">
        <v>-1.8861989874597051E-7</v>
      </c>
      <c r="FK55">
        <v>1.1980462299894961E-10</v>
      </c>
      <c r="FL55">
        <v>-3.1035565592992288E-2</v>
      </c>
      <c r="FM55">
        <v>-1.6848085045870601E-2</v>
      </c>
      <c r="FN55">
        <v>1.9789084769509481E-3</v>
      </c>
      <c r="FO55">
        <v>-2.7142391389806329E-5</v>
      </c>
      <c r="FP55">
        <v>3</v>
      </c>
      <c r="FQ55">
        <v>2158</v>
      </c>
      <c r="FR55">
        <v>1</v>
      </c>
      <c r="FS55">
        <v>19</v>
      </c>
      <c r="FT55">
        <v>14.7</v>
      </c>
      <c r="FU55">
        <v>14.6</v>
      </c>
      <c r="FV55">
        <v>1.77979</v>
      </c>
      <c r="FW55">
        <v>2.5756800000000002</v>
      </c>
      <c r="FX55">
        <v>1.5490699999999999</v>
      </c>
      <c r="FY55">
        <v>2.3290999999999999</v>
      </c>
      <c r="FZ55">
        <v>1.50146</v>
      </c>
      <c r="GA55">
        <v>2.4035600000000001</v>
      </c>
      <c r="GB55">
        <v>33.805700000000002</v>
      </c>
      <c r="GC55">
        <v>23.991199999999999</v>
      </c>
      <c r="GD55">
        <v>19</v>
      </c>
      <c r="GE55">
        <v>242.13200000000001</v>
      </c>
      <c r="GF55">
        <v>581.77099999999996</v>
      </c>
      <c r="GG55">
        <v>24.940999999999999</v>
      </c>
      <c r="GH55">
        <v>26.537600000000001</v>
      </c>
      <c r="GI55">
        <v>30.0001</v>
      </c>
      <c r="GJ55">
        <v>26.628599999999999</v>
      </c>
      <c r="GK55">
        <v>26.5869</v>
      </c>
      <c r="GL55">
        <v>35.590899999999998</v>
      </c>
      <c r="GM55">
        <v>-30</v>
      </c>
      <c r="GN55">
        <v>-30</v>
      </c>
      <c r="GO55">
        <v>24.948899999999998</v>
      </c>
      <c r="GP55">
        <v>800</v>
      </c>
      <c r="GQ55">
        <v>12.5298</v>
      </c>
      <c r="GR55">
        <v>99.648600000000002</v>
      </c>
      <c r="GS55">
        <v>99.422700000000006</v>
      </c>
    </row>
    <row r="56" spans="1:201" x14ac:dyDescent="0.25">
      <c r="A56">
        <v>40</v>
      </c>
      <c r="B56">
        <v>1690212805.5999999</v>
      </c>
      <c r="C56">
        <v>538.09999990463257</v>
      </c>
      <c r="D56" t="s">
        <v>411</v>
      </c>
      <c r="E56" t="s">
        <v>412</v>
      </c>
      <c r="F56" t="s">
        <v>330</v>
      </c>
      <c r="H56">
        <v>1690212805.5999999</v>
      </c>
      <c r="I56">
        <f t="shared" si="0"/>
        <v>8.203568204963415E-4</v>
      </c>
      <c r="J56">
        <f t="shared" si="1"/>
        <v>0.82035682049634151</v>
      </c>
      <c r="K56">
        <f t="shared" si="2"/>
        <v>8.6730413907461035</v>
      </c>
      <c r="L56">
        <f t="shared" si="3"/>
        <v>693.69100000000003</v>
      </c>
      <c r="M56">
        <f t="shared" si="4"/>
        <v>237.28783980314623</v>
      </c>
      <c r="N56">
        <f t="shared" si="5"/>
        <v>23.539918686930232</v>
      </c>
      <c r="O56">
        <f t="shared" si="6"/>
        <v>68.816968233189712</v>
      </c>
      <c r="P56">
        <f t="shared" si="7"/>
        <v>3.1983395060590045E-2</v>
      </c>
      <c r="Q56">
        <f t="shared" si="8"/>
        <v>2.0123635226856127</v>
      </c>
      <c r="R56">
        <f t="shared" si="9"/>
        <v>3.1703657835107972E-2</v>
      </c>
      <c r="S56">
        <f t="shared" si="10"/>
        <v>1.9839715411535976E-2</v>
      </c>
      <c r="T56">
        <f t="shared" si="11"/>
        <v>276.11235874192943</v>
      </c>
      <c r="U56">
        <f t="shared" si="12"/>
        <v>28.994174427769916</v>
      </c>
      <c r="V56">
        <f t="shared" si="13"/>
        <v>28.994174427769916</v>
      </c>
      <c r="W56">
        <f t="shared" si="14"/>
        <v>4.0204172325966896</v>
      </c>
      <c r="X56">
        <f t="shared" si="15"/>
        <v>42.620893518771254</v>
      </c>
      <c r="Y56">
        <f t="shared" si="16"/>
        <v>1.5251831622591401</v>
      </c>
      <c r="Z56">
        <f t="shared" si="17"/>
        <v>3.5784870666482234</v>
      </c>
      <c r="AA56">
        <f t="shared" si="18"/>
        <v>2.4952340703375495</v>
      </c>
      <c r="AB56">
        <f t="shared" si="19"/>
        <v>-36.177735783888657</v>
      </c>
      <c r="AC56">
        <f t="shared" si="20"/>
        <v>-216.69623471513447</v>
      </c>
      <c r="AD56">
        <f t="shared" si="21"/>
        <v>-23.471501374456157</v>
      </c>
      <c r="AE56">
        <f t="shared" si="22"/>
        <v>-0.23311313154985669</v>
      </c>
      <c r="AF56">
        <v>38</v>
      </c>
      <c r="AG56">
        <v>13</v>
      </c>
      <c r="AH56">
        <f t="shared" si="23"/>
        <v>1</v>
      </c>
      <c r="AI56">
        <f t="shared" si="24"/>
        <v>0</v>
      </c>
      <c r="AJ56">
        <f t="shared" si="25"/>
        <v>52416.568872957971</v>
      </c>
      <c r="AK56">
        <f t="shared" si="26"/>
        <v>1799.99</v>
      </c>
      <c r="AL56">
        <f t="shared" si="27"/>
        <v>1499.10564438904</v>
      </c>
      <c r="AM56">
        <f t="shared" si="28"/>
        <v>0.832841096</v>
      </c>
      <c r="AN56">
        <f t="shared" si="29"/>
        <v>0.15339660706000002</v>
      </c>
      <c r="AO56">
        <v>34.5</v>
      </c>
      <c r="AP56">
        <v>0.5</v>
      </c>
      <c r="AQ56" t="s">
        <v>331</v>
      </c>
      <c r="AR56">
        <v>2</v>
      </c>
      <c r="AS56">
        <v>1690212805.5999999</v>
      </c>
      <c r="AT56">
        <v>693.69100000000003</v>
      </c>
      <c r="AU56">
        <v>799.93</v>
      </c>
      <c r="AV56">
        <v>15.3742</v>
      </c>
      <c r="AW56">
        <v>6.0891000000000002</v>
      </c>
      <c r="AX56">
        <v>694.12900000000002</v>
      </c>
      <c r="AY56">
        <v>15.2971</v>
      </c>
      <c r="AZ56">
        <v>300.12799999999999</v>
      </c>
      <c r="BA56">
        <v>99.104100000000003</v>
      </c>
      <c r="BB56">
        <v>9.9966700000000006E-2</v>
      </c>
      <c r="BC56">
        <v>26.9968</v>
      </c>
      <c r="BD56">
        <v>27.006699999999999</v>
      </c>
      <c r="BE56">
        <v>28.973299999999998</v>
      </c>
      <c r="BF56">
        <v>0</v>
      </c>
      <c r="BG56">
        <v>0</v>
      </c>
      <c r="BH56">
        <v>10002.5</v>
      </c>
      <c r="BI56">
        <v>1075.1199999999999</v>
      </c>
      <c r="BJ56">
        <v>2.0912700000000002</v>
      </c>
      <c r="BK56">
        <v>-106.239</v>
      </c>
      <c r="BL56">
        <v>704.52300000000002</v>
      </c>
      <c r="BM56">
        <v>804.83100000000002</v>
      </c>
      <c r="BN56">
        <v>9.2851300000000005</v>
      </c>
      <c r="BO56">
        <v>799.93</v>
      </c>
      <c r="BP56">
        <v>6.0891000000000002</v>
      </c>
      <c r="BQ56">
        <v>1.5236499999999999</v>
      </c>
      <c r="BR56">
        <v>0.60345499999999996</v>
      </c>
      <c r="BS56">
        <v>13.207599999999999</v>
      </c>
      <c r="BT56">
        <v>-0.23044100000000001</v>
      </c>
      <c r="BU56">
        <v>1799.99</v>
      </c>
      <c r="BV56">
        <v>0.91002400000000006</v>
      </c>
      <c r="BW56">
        <v>3.3995600000000001E-2</v>
      </c>
      <c r="BX56">
        <v>2.1991799999999999E-2</v>
      </c>
      <c r="BY56">
        <v>3.3988200000000003E-2</v>
      </c>
      <c r="BZ56">
        <v>25.916699999999999</v>
      </c>
      <c r="CA56">
        <v>33528.5</v>
      </c>
      <c r="CB56">
        <v>1690211922</v>
      </c>
      <c r="CC56" t="s">
        <v>332</v>
      </c>
      <c r="CD56">
        <v>1690211915</v>
      </c>
      <c r="CE56">
        <v>1690211922</v>
      </c>
      <c r="CF56">
        <v>6</v>
      </c>
      <c r="CG56">
        <v>1.0999999999999999E-2</v>
      </c>
      <c r="CH56">
        <v>8.0000000000000002E-3</v>
      </c>
      <c r="CI56">
        <v>-0.51100000000000001</v>
      </c>
      <c r="CJ56">
        <v>-6.6000000000000003E-2</v>
      </c>
      <c r="CK56">
        <v>800</v>
      </c>
      <c r="CL56">
        <v>6</v>
      </c>
      <c r="CM56">
        <v>0.21</v>
      </c>
      <c r="CN56">
        <v>0.02</v>
      </c>
      <c r="CO56">
        <v>-102.75189756097561</v>
      </c>
      <c r="CP56">
        <v>-19.42027735191628</v>
      </c>
      <c r="CQ56">
        <v>1.915681524461929</v>
      </c>
      <c r="CR56">
        <v>-1</v>
      </c>
      <c r="CS56">
        <v>9.1327107317073182</v>
      </c>
      <c r="CT56">
        <v>0.82775602787457048</v>
      </c>
      <c r="CU56">
        <v>8.1633643990525764E-2</v>
      </c>
      <c r="CV56">
        <v>-1</v>
      </c>
      <c r="CW56">
        <v>0</v>
      </c>
      <c r="CX56">
        <v>0</v>
      </c>
      <c r="CY56" t="s">
        <v>333</v>
      </c>
      <c r="CZ56">
        <v>2.3640500000000002</v>
      </c>
      <c r="DA56">
        <v>2.7137600000000002</v>
      </c>
      <c r="DB56">
        <v>0.13312499999999999</v>
      </c>
      <c r="DC56">
        <v>0.146038</v>
      </c>
      <c r="DD56">
        <v>8.2840499999999997E-2</v>
      </c>
      <c r="DE56">
        <v>3.9912499999999997E-2</v>
      </c>
      <c r="DF56">
        <v>31625</v>
      </c>
      <c r="DG56">
        <v>27482.1</v>
      </c>
      <c r="DH56">
        <v>31145.8</v>
      </c>
      <c r="DI56">
        <v>28043.3</v>
      </c>
      <c r="DJ56">
        <v>38789.599999999999</v>
      </c>
      <c r="DK56">
        <v>38281.699999999997</v>
      </c>
      <c r="DL56">
        <v>44319.3</v>
      </c>
      <c r="DM56">
        <v>42496.800000000003</v>
      </c>
      <c r="DN56">
        <v>1.3727499999999999</v>
      </c>
      <c r="DO56">
        <v>2.0316999999999998</v>
      </c>
      <c r="DP56">
        <v>7.5586100000000003E-2</v>
      </c>
      <c r="DQ56">
        <v>0.205345</v>
      </c>
      <c r="DR56">
        <v>25.769300000000001</v>
      </c>
      <c r="DS56">
        <v>25.616700000000002</v>
      </c>
      <c r="DT56">
        <v>18.100000000000001</v>
      </c>
      <c r="DU56">
        <v>29.6</v>
      </c>
      <c r="DV56">
        <v>7.6039599999999998</v>
      </c>
      <c r="DW56">
        <v>61.541200000000003</v>
      </c>
      <c r="DX56">
        <v>37.119399999999999</v>
      </c>
      <c r="DY56">
        <v>1</v>
      </c>
      <c r="DZ56">
        <v>-6.8612800000000002E-2</v>
      </c>
      <c r="EA56">
        <v>6.8927000000000002E-2</v>
      </c>
      <c r="EB56">
        <v>20.189800000000002</v>
      </c>
      <c r="EC56">
        <v>5.2409499999999998</v>
      </c>
      <c r="ED56">
        <v>12.039899999999999</v>
      </c>
      <c r="EE56">
        <v>5.0171000000000001</v>
      </c>
      <c r="EF56">
        <v>3.2879999999999998</v>
      </c>
      <c r="EG56">
        <v>9999</v>
      </c>
      <c r="EH56">
        <v>9999</v>
      </c>
      <c r="EI56">
        <v>9999</v>
      </c>
      <c r="EJ56">
        <v>999.9</v>
      </c>
      <c r="EK56">
        <v>1.86893</v>
      </c>
      <c r="EL56">
        <v>1.86466</v>
      </c>
      <c r="EM56">
        <v>1.8691899999999999</v>
      </c>
      <c r="EN56">
        <v>1.8672599999999999</v>
      </c>
      <c r="EO56">
        <v>1.86341</v>
      </c>
      <c r="EP56">
        <v>1.8645799999999999</v>
      </c>
      <c r="EQ56">
        <v>1.8702000000000001</v>
      </c>
      <c r="ER56">
        <v>1.8694599999999999</v>
      </c>
      <c r="ES56">
        <v>0</v>
      </c>
      <c r="ET56">
        <v>0</v>
      </c>
      <c r="EU56">
        <v>0</v>
      </c>
      <c r="EV56">
        <v>0</v>
      </c>
      <c r="EW56" t="s">
        <v>334</v>
      </c>
      <c r="EX56" t="s">
        <v>335</v>
      </c>
      <c r="EY56" t="s">
        <v>336</v>
      </c>
      <c r="EZ56" t="s">
        <v>336</v>
      </c>
      <c r="FA56" t="s">
        <v>336</v>
      </c>
      <c r="FB56" t="s">
        <v>336</v>
      </c>
      <c r="FC56">
        <v>0</v>
      </c>
      <c r="FD56">
        <v>100</v>
      </c>
      <c r="FE56">
        <v>100</v>
      </c>
      <c r="FF56">
        <v>-0.438</v>
      </c>
      <c r="FG56">
        <v>7.7100000000000002E-2</v>
      </c>
      <c r="FH56">
        <v>4.0020685143421282E-2</v>
      </c>
      <c r="FI56">
        <v>-6.1462078757559423E-4</v>
      </c>
      <c r="FJ56">
        <v>-1.8861989874597051E-7</v>
      </c>
      <c r="FK56">
        <v>1.1980462299894961E-10</v>
      </c>
      <c r="FL56">
        <v>-3.1035565592992288E-2</v>
      </c>
      <c r="FM56">
        <v>-1.6848085045870601E-2</v>
      </c>
      <c r="FN56">
        <v>1.9789084769509481E-3</v>
      </c>
      <c r="FO56">
        <v>-2.7142391389806329E-5</v>
      </c>
      <c r="FP56">
        <v>3</v>
      </c>
      <c r="FQ56">
        <v>2158</v>
      </c>
      <c r="FR56">
        <v>1</v>
      </c>
      <c r="FS56">
        <v>19</v>
      </c>
      <c r="FT56">
        <v>14.8</v>
      </c>
      <c r="FU56">
        <v>14.7</v>
      </c>
      <c r="FV56">
        <v>1.77979</v>
      </c>
      <c r="FW56">
        <v>2.5732400000000002</v>
      </c>
      <c r="FX56">
        <v>1.5490699999999999</v>
      </c>
      <c r="FY56">
        <v>2.3290999999999999</v>
      </c>
      <c r="FZ56">
        <v>1.50146</v>
      </c>
      <c r="GA56">
        <v>2.36816</v>
      </c>
      <c r="GB56">
        <v>33.805700000000002</v>
      </c>
      <c r="GC56">
        <v>23.991199999999999</v>
      </c>
      <c r="GD56">
        <v>19</v>
      </c>
      <c r="GE56">
        <v>242.19900000000001</v>
      </c>
      <c r="GF56">
        <v>582.12699999999995</v>
      </c>
      <c r="GG56">
        <v>24.960699999999999</v>
      </c>
      <c r="GH56">
        <v>26.535399999999999</v>
      </c>
      <c r="GI56">
        <v>30.0001</v>
      </c>
      <c r="GJ56">
        <v>26.628599999999999</v>
      </c>
      <c r="GK56">
        <v>26.589099999999998</v>
      </c>
      <c r="GL56">
        <v>35.589100000000002</v>
      </c>
      <c r="GM56">
        <v>-30</v>
      </c>
      <c r="GN56">
        <v>-30</v>
      </c>
      <c r="GO56">
        <v>24.962599999999998</v>
      </c>
      <c r="GP56">
        <v>800</v>
      </c>
      <c r="GQ56">
        <v>12.5298</v>
      </c>
      <c r="GR56">
        <v>99.647800000000004</v>
      </c>
      <c r="GS56">
        <v>99.421400000000006</v>
      </c>
    </row>
    <row r="57" spans="1:201" x14ac:dyDescent="0.25">
      <c r="A57">
        <v>41</v>
      </c>
      <c r="B57">
        <v>1690212815.5999999</v>
      </c>
      <c r="C57">
        <v>548.09999990463257</v>
      </c>
      <c r="D57" t="s">
        <v>413</v>
      </c>
      <c r="E57" t="s">
        <v>414</v>
      </c>
      <c r="F57" t="s">
        <v>330</v>
      </c>
      <c r="H57">
        <v>1690212815.5999999</v>
      </c>
      <c r="I57">
        <f t="shared" si="0"/>
        <v>8.3310468636055009E-4</v>
      </c>
      <c r="J57">
        <f t="shared" si="1"/>
        <v>0.83310468636055013</v>
      </c>
      <c r="K57">
        <f t="shared" si="2"/>
        <v>8.9639957243044961</v>
      </c>
      <c r="L57">
        <f t="shared" si="3"/>
        <v>690.41800000000001</v>
      </c>
      <c r="M57">
        <f t="shared" si="4"/>
        <v>229.16040924808792</v>
      </c>
      <c r="N57">
        <f t="shared" si="5"/>
        <v>22.733490161594943</v>
      </c>
      <c r="O57">
        <f t="shared" si="6"/>
        <v>68.491808257315796</v>
      </c>
      <c r="P57">
        <f t="shared" si="7"/>
        <v>3.2673596784545511E-2</v>
      </c>
      <c r="Q57">
        <f t="shared" si="8"/>
        <v>2.0083599486687946</v>
      </c>
      <c r="R57">
        <f t="shared" si="9"/>
        <v>3.2381139036235518E-2</v>
      </c>
      <c r="S57">
        <f t="shared" si="10"/>
        <v>2.0264269798092274E-2</v>
      </c>
      <c r="T57">
        <f t="shared" si="11"/>
        <v>276.11503641000002</v>
      </c>
      <c r="U57">
        <f t="shared" si="12"/>
        <v>28.991506811836892</v>
      </c>
      <c r="V57">
        <f t="shared" si="13"/>
        <v>28.991506811836892</v>
      </c>
      <c r="W57">
        <f t="shared" si="14"/>
        <v>4.0197966442926676</v>
      </c>
      <c r="X57">
        <f t="shared" si="15"/>
        <v>43.010815559330865</v>
      </c>
      <c r="Y57">
        <f t="shared" si="16"/>
        <v>1.5389918388568502</v>
      </c>
      <c r="Z57">
        <f t="shared" si="17"/>
        <v>3.5781507949643561</v>
      </c>
      <c r="AA57">
        <f t="shared" si="18"/>
        <v>2.4808048054358176</v>
      </c>
      <c r="AB57">
        <f t="shared" si="19"/>
        <v>-36.739916668500257</v>
      </c>
      <c r="AC57">
        <f t="shared" si="20"/>
        <v>-216.14952425912585</v>
      </c>
      <c r="AD57">
        <f t="shared" si="21"/>
        <v>-23.458456447831601</v>
      </c>
      <c r="AE57">
        <f t="shared" si="22"/>
        <v>-0.23286096545768942</v>
      </c>
      <c r="AF57">
        <v>38</v>
      </c>
      <c r="AG57">
        <v>13</v>
      </c>
      <c r="AH57">
        <f t="shared" si="23"/>
        <v>1</v>
      </c>
      <c r="AI57">
        <f t="shared" si="24"/>
        <v>0</v>
      </c>
      <c r="AJ57">
        <f t="shared" si="25"/>
        <v>52224.786698272364</v>
      </c>
      <c r="AK57">
        <f t="shared" si="26"/>
        <v>1800</v>
      </c>
      <c r="AL57">
        <f t="shared" si="27"/>
        <v>1499.1134400000001</v>
      </c>
      <c r="AM57">
        <f t="shared" si="28"/>
        <v>0.83284080000000005</v>
      </c>
      <c r="AN57">
        <f t="shared" si="29"/>
        <v>0.15339724245</v>
      </c>
      <c r="AO57">
        <v>34.5</v>
      </c>
      <c r="AP57">
        <v>0.5</v>
      </c>
      <c r="AQ57" t="s">
        <v>331</v>
      </c>
      <c r="AR57">
        <v>2</v>
      </c>
      <c r="AS57">
        <v>1690212815.5999999</v>
      </c>
      <c r="AT57">
        <v>690.41800000000001</v>
      </c>
      <c r="AU57">
        <v>800.04300000000001</v>
      </c>
      <c r="AV57">
        <v>15.513500000000001</v>
      </c>
      <c r="AW57">
        <v>6.0879300000000001</v>
      </c>
      <c r="AX57">
        <v>690.85299999999995</v>
      </c>
      <c r="AY57">
        <v>15.433</v>
      </c>
      <c r="AZ57">
        <v>300.20699999999999</v>
      </c>
      <c r="BA57">
        <v>99.103399999999993</v>
      </c>
      <c r="BB57">
        <v>9.9993100000000001E-2</v>
      </c>
      <c r="BC57">
        <v>26.995200000000001</v>
      </c>
      <c r="BD57">
        <v>26.986599999999999</v>
      </c>
      <c r="BE57">
        <v>28.987400000000001</v>
      </c>
      <c r="BF57">
        <v>0</v>
      </c>
      <c r="BG57">
        <v>0</v>
      </c>
      <c r="BH57">
        <v>9964.3799999999992</v>
      </c>
      <c r="BI57">
        <v>1075.3</v>
      </c>
      <c r="BJ57">
        <v>2.08846</v>
      </c>
      <c r="BK57">
        <v>-109.625</v>
      </c>
      <c r="BL57">
        <v>701.29700000000003</v>
      </c>
      <c r="BM57">
        <v>804.94299999999998</v>
      </c>
      <c r="BN57">
        <v>9.4255700000000004</v>
      </c>
      <c r="BO57">
        <v>800.04300000000001</v>
      </c>
      <c r="BP57">
        <v>6.0879300000000001</v>
      </c>
      <c r="BQ57">
        <v>1.5374399999999999</v>
      </c>
      <c r="BR57">
        <v>0.60333400000000004</v>
      </c>
      <c r="BS57">
        <v>13.345700000000001</v>
      </c>
      <c r="BT57">
        <v>-0.23319599999999999</v>
      </c>
      <c r="BU57">
        <v>1800</v>
      </c>
      <c r="BV57">
        <v>0.91000800000000004</v>
      </c>
      <c r="BW57">
        <v>3.3992700000000001E-2</v>
      </c>
      <c r="BX57">
        <v>2.1999500000000002E-2</v>
      </c>
      <c r="BY57">
        <v>3.3999500000000002E-2</v>
      </c>
      <c r="BZ57">
        <v>25.958300000000001</v>
      </c>
      <c r="CA57">
        <v>33528.400000000001</v>
      </c>
      <c r="CB57">
        <v>1690211922</v>
      </c>
      <c r="CC57" t="s">
        <v>332</v>
      </c>
      <c r="CD57">
        <v>1690211915</v>
      </c>
      <c r="CE57">
        <v>1690211922</v>
      </c>
      <c r="CF57">
        <v>6</v>
      </c>
      <c r="CG57">
        <v>1.0999999999999999E-2</v>
      </c>
      <c r="CH57">
        <v>8.0000000000000002E-3</v>
      </c>
      <c r="CI57">
        <v>-0.51100000000000001</v>
      </c>
      <c r="CJ57">
        <v>-6.6000000000000003E-2</v>
      </c>
      <c r="CK57">
        <v>800</v>
      </c>
      <c r="CL57">
        <v>6</v>
      </c>
      <c r="CM57">
        <v>0.21</v>
      </c>
      <c r="CN57">
        <v>0.02</v>
      </c>
      <c r="CO57">
        <v>-105.9893658536585</v>
      </c>
      <c r="CP57">
        <v>-19.583665505226431</v>
      </c>
      <c r="CQ57">
        <v>1.931818854257122</v>
      </c>
      <c r="CR57">
        <v>-1</v>
      </c>
      <c r="CS57">
        <v>9.2718578048780493</v>
      </c>
      <c r="CT57">
        <v>0.84368989547039774</v>
      </c>
      <c r="CU57">
        <v>8.3193762738537486E-2</v>
      </c>
      <c r="CV57">
        <v>-1</v>
      </c>
      <c r="CW57">
        <v>0</v>
      </c>
      <c r="CX57">
        <v>0</v>
      </c>
      <c r="CY57" t="s">
        <v>333</v>
      </c>
      <c r="CZ57">
        <v>2.3643200000000002</v>
      </c>
      <c r="DA57">
        <v>2.7137500000000001</v>
      </c>
      <c r="DB57">
        <v>0.13269600000000001</v>
      </c>
      <c r="DC57">
        <v>0.14605099999999999</v>
      </c>
      <c r="DD57">
        <v>8.3381999999999998E-2</v>
      </c>
      <c r="DE57">
        <v>3.99061E-2</v>
      </c>
      <c r="DF57">
        <v>31640.5</v>
      </c>
      <c r="DG57">
        <v>27481.8</v>
      </c>
      <c r="DH57">
        <v>31145.5</v>
      </c>
      <c r="DI57">
        <v>28043.3</v>
      </c>
      <c r="DJ57">
        <v>38766.300000000003</v>
      </c>
      <c r="DK57">
        <v>38282.1</v>
      </c>
      <c r="DL57">
        <v>44319.199999999997</v>
      </c>
      <c r="DM57">
        <v>42496.9</v>
      </c>
      <c r="DN57">
        <v>1.3725799999999999</v>
      </c>
      <c r="DO57">
        <v>2.0315500000000002</v>
      </c>
      <c r="DP57">
        <v>7.4550500000000006E-2</v>
      </c>
      <c r="DQ57">
        <v>0.20621</v>
      </c>
      <c r="DR57">
        <v>25.766200000000001</v>
      </c>
      <c r="DS57">
        <v>25.616700000000002</v>
      </c>
      <c r="DT57">
        <v>18.100000000000001</v>
      </c>
      <c r="DU57">
        <v>29.6</v>
      </c>
      <c r="DV57">
        <v>7.6043099999999999</v>
      </c>
      <c r="DW57">
        <v>61.831200000000003</v>
      </c>
      <c r="DX57">
        <v>36.822899999999997</v>
      </c>
      <c r="DY57">
        <v>1</v>
      </c>
      <c r="DZ57">
        <v>-6.7172300000000004E-2</v>
      </c>
      <c r="EA57">
        <v>0.49579200000000001</v>
      </c>
      <c r="EB57">
        <v>20.188099999999999</v>
      </c>
      <c r="EC57">
        <v>5.2411000000000003</v>
      </c>
      <c r="ED57">
        <v>12.039899999999999</v>
      </c>
      <c r="EE57">
        <v>5.0173500000000004</v>
      </c>
      <c r="EF57">
        <v>3.2879999999999998</v>
      </c>
      <c r="EG57">
        <v>9999</v>
      </c>
      <c r="EH57">
        <v>9999</v>
      </c>
      <c r="EI57">
        <v>9999</v>
      </c>
      <c r="EJ57">
        <v>999.9</v>
      </c>
      <c r="EK57">
        <v>1.86894</v>
      </c>
      <c r="EL57">
        <v>1.8646799999999999</v>
      </c>
      <c r="EM57">
        <v>1.8691899999999999</v>
      </c>
      <c r="EN57">
        <v>1.8672500000000001</v>
      </c>
      <c r="EO57">
        <v>1.86341</v>
      </c>
      <c r="EP57">
        <v>1.8645400000000001</v>
      </c>
      <c r="EQ57">
        <v>1.8702000000000001</v>
      </c>
      <c r="ER57">
        <v>1.8694599999999999</v>
      </c>
      <c r="ES57">
        <v>0</v>
      </c>
      <c r="ET57">
        <v>0</v>
      </c>
      <c r="EU57">
        <v>0</v>
      </c>
      <c r="EV57">
        <v>0</v>
      </c>
      <c r="EW57" t="s">
        <v>334</v>
      </c>
      <c r="EX57" t="s">
        <v>335</v>
      </c>
      <c r="EY57" t="s">
        <v>336</v>
      </c>
      <c r="EZ57" t="s">
        <v>336</v>
      </c>
      <c r="FA57" t="s">
        <v>336</v>
      </c>
      <c r="FB57" t="s">
        <v>336</v>
      </c>
      <c r="FC57">
        <v>0</v>
      </c>
      <c r="FD57">
        <v>100</v>
      </c>
      <c r="FE57">
        <v>100</v>
      </c>
      <c r="FF57">
        <v>-0.435</v>
      </c>
      <c r="FG57">
        <v>8.0500000000000002E-2</v>
      </c>
      <c r="FH57">
        <v>4.0020685143421282E-2</v>
      </c>
      <c r="FI57">
        <v>-6.1462078757559423E-4</v>
      </c>
      <c r="FJ57">
        <v>-1.8861989874597051E-7</v>
      </c>
      <c r="FK57">
        <v>1.1980462299894961E-10</v>
      </c>
      <c r="FL57">
        <v>-3.1035565592992288E-2</v>
      </c>
      <c r="FM57">
        <v>-1.6848085045870601E-2</v>
      </c>
      <c r="FN57">
        <v>1.9789084769509481E-3</v>
      </c>
      <c r="FO57">
        <v>-2.7142391389806329E-5</v>
      </c>
      <c r="FP57">
        <v>3</v>
      </c>
      <c r="FQ57">
        <v>2158</v>
      </c>
      <c r="FR57">
        <v>1</v>
      </c>
      <c r="FS57">
        <v>19</v>
      </c>
      <c r="FT57">
        <v>15</v>
      </c>
      <c r="FU57">
        <v>14.9</v>
      </c>
      <c r="FV57">
        <v>1.77979</v>
      </c>
      <c r="FW57">
        <v>2.5744600000000002</v>
      </c>
      <c r="FX57">
        <v>1.5490699999999999</v>
      </c>
      <c r="FY57">
        <v>2.3290999999999999</v>
      </c>
      <c r="FZ57">
        <v>1.50146</v>
      </c>
      <c r="GA57">
        <v>2.4206500000000002</v>
      </c>
      <c r="GB57">
        <v>33.783200000000001</v>
      </c>
      <c r="GC57">
        <v>23.991199999999999</v>
      </c>
      <c r="GD57">
        <v>19</v>
      </c>
      <c r="GE57">
        <v>242.13300000000001</v>
      </c>
      <c r="GF57">
        <v>582.00300000000004</v>
      </c>
      <c r="GG57">
        <v>24.770800000000001</v>
      </c>
      <c r="GH57">
        <v>26.533100000000001</v>
      </c>
      <c r="GI57">
        <v>30.000499999999999</v>
      </c>
      <c r="GJ57">
        <v>26.628599999999999</v>
      </c>
      <c r="GK57">
        <v>26.589099999999998</v>
      </c>
      <c r="GL57">
        <v>35.588799999999999</v>
      </c>
      <c r="GM57">
        <v>-30</v>
      </c>
      <c r="GN57">
        <v>-30</v>
      </c>
      <c r="GO57">
        <v>24.797599999999999</v>
      </c>
      <c r="GP57">
        <v>800</v>
      </c>
      <c r="GQ57">
        <v>12.5298</v>
      </c>
      <c r="GR57">
        <v>99.647300000000001</v>
      </c>
      <c r="GS57">
        <v>99.421700000000001</v>
      </c>
    </row>
    <row r="58" spans="1:201" x14ac:dyDescent="0.25">
      <c r="A58">
        <v>42</v>
      </c>
      <c r="B58">
        <v>1690212825.5999999</v>
      </c>
      <c r="C58">
        <v>558.09999990463257</v>
      </c>
      <c r="D58" t="s">
        <v>415</v>
      </c>
      <c r="E58" t="s">
        <v>416</v>
      </c>
      <c r="F58" t="s">
        <v>330</v>
      </c>
      <c r="H58">
        <v>1690212825.5999999</v>
      </c>
      <c r="I58">
        <f t="shared" si="0"/>
        <v>8.4571150031786393E-4</v>
      </c>
      <c r="J58">
        <f t="shared" si="1"/>
        <v>0.84571150031786391</v>
      </c>
      <c r="K58">
        <f t="shared" si="2"/>
        <v>9.2339997551195143</v>
      </c>
      <c r="L58">
        <f t="shared" si="3"/>
        <v>687.14099999999996</v>
      </c>
      <c r="M58">
        <f t="shared" si="4"/>
        <v>222.77926997215232</v>
      </c>
      <c r="N58">
        <f t="shared" si="5"/>
        <v>22.100446639214578</v>
      </c>
      <c r="O58">
        <f t="shared" si="6"/>
        <v>68.166679090091392</v>
      </c>
      <c r="P58">
        <f t="shared" si="7"/>
        <v>3.3403980631626168E-2</v>
      </c>
      <c r="Q58">
        <f t="shared" si="8"/>
        <v>2.0113742536703838</v>
      </c>
      <c r="R58">
        <f t="shared" si="9"/>
        <v>3.3098821036630456E-2</v>
      </c>
      <c r="S58">
        <f t="shared" si="10"/>
        <v>2.0713948095779925E-2</v>
      </c>
      <c r="T58">
        <f t="shared" si="11"/>
        <v>276.11518087425077</v>
      </c>
      <c r="U58">
        <f t="shared" si="12"/>
        <v>28.978087682866612</v>
      </c>
      <c r="V58">
        <f t="shared" si="13"/>
        <v>28.978087682866612</v>
      </c>
      <c r="W58">
        <f t="shared" si="14"/>
        <v>4.0166761144181233</v>
      </c>
      <c r="X58">
        <f t="shared" si="15"/>
        <v>43.420036128079623</v>
      </c>
      <c r="Y58">
        <f t="shared" si="16"/>
        <v>1.5530778173547</v>
      </c>
      <c r="Z58">
        <f t="shared" si="17"/>
        <v>3.5768690122077738</v>
      </c>
      <c r="AA58">
        <f t="shared" si="18"/>
        <v>2.4635982970634234</v>
      </c>
      <c r="AB58">
        <f t="shared" si="19"/>
        <v>-37.295877164017796</v>
      </c>
      <c r="AC58">
        <f t="shared" si="20"/>
        <v>-215.68027259578815</v>
      </c>
      <c r="AD58">
        <f t="shared" si="21"/>
        <v>-23.370174582461097</v>
      </c>
      <c r="AE58">
        <f t="shared" si="22"/>
        <v>-0.23114346801628471</v>
      </c>
      <c r="AF58">
        <v>38</v>
      </c>
      <c r="AG58">
        <v>13</v>
      </c>
      <c r="AH58">
        <f t="shared" si="23"/>
        <v>1</v>
      </c>
      <c r="AI58">
        <f t="shared" si="24"/>
        <v>0</v>
      </c>
      <c r="AJ58">
        <f t="shared" si="25"/>
        <v>52370.39428763157</v>
      </c>
      <c r="AK58">
        <f t="shared" si="26"/>
        <v>1799.99</v>
      </c>
      <c r="AL58">
        <f t="shared" si="27"/>
        <v>1499.1029552039799</v>
      </c>
      <c r="AM58">
        <f t="shared" si="28"/>
        <v>0.83283960199999996</v>
      </c>
      <c r="AN58">
        <f t="shared" si="29"/>
        <v>0.15339817491999999</v>
      </c>
      <c r="AO58">
        <v>34.5</v>
      </c>
      <c r="AP58">
        <v>0.5</v>
      </c>
      <c r="AQ58" t="s">
        <v>331</v>
      </c>
      <c r="AR58">
        <v>2</v>
      </c>
      <c r="AS58">
        <v>1690212825.5999999</v>
      </c>
      <c r="AT58">
        <v>687.14099999999996</v>
      </c>
      <c r="AU58">
        <v>799.95699999999999</v>
      </c>
      <c r="AV58">
        <v>15.6555</v>
      </c>
      <c r="AW58">
        <v>6.0869900000000001</v>
      </c>
      <c r="AX58">
        <v>687.57399999999996</v>
      </c>
      <c r="AY58">
        <v>15.5715</v>
      </c>
      <c r="AZ58">
        <v>300.154</v>
      </c>
      <c r="BA58">
        <v>99.103399999999993</v>
      </c>
      <c r="BB58">
        <v>9.9935399999999994E-2</v>
      </c>
      <c r="BC58">
        <v>26.989100000000001</v>
      </c>
      <c r="BD58">
        <v>26.975300000000001</v>
      </c>
      <c r="BE58">
        <v>28.981000000000002</v>
      </c>
      <c r="BF58">
        <v>0</v>
      </c>
      <c r="BG58">
        <v>0</v>
      </c>
      <c r="BH58">
        <v>9993.1200000000008</v>
      </c>
      <c r="BI58">
        <v>1075.29</v>
      </c>
      <c r="BJ58">
        <v>2.0744500000000001</v>
      </c>
      <c r="BK58">
        <v>-112.816</v>
      </c>
      <c r="BL58">
        <v>698.06899999999996</v>
      </c>
      <c r="BM58">
        <v>804.85599999999999</v>
      </c>
      <c r="BN58">
        <v>9.5684699999999996</v>
      </c>
      <c r="BO58">
        <v>799.95699999999999</v>
      </c>
      <c r="BP58">
        <v>6.0869900000000001</v>
      </c>
      <c r="BQ58">
        <v>1.5515099999999999</v>
      </c>
      <c r="BR58">
        <v>0.60324100000000003</v>
      </c>
      <c r="BS58">
        <v>13.4854</v>
      </c>
      <c r="BT58">
        <v>-0.23530799999999999</v>
      </c>
      <c r="BU58">
        <v>1799.99</v>
      </c>
      <c r="BV58">
        <v>0.90998000000000001</v>
      </c>
      <c r="BW58">
        <v>3.3998599999999997E-2</v>
      </c>
      <c r="BX58">
        <v>2.20086E-2</v>
      </c>
      <c r="BY58">
        <v>3.40132E-2</v>
      </c>
      <c r="BZ58">
        <v>25.916699999999999</v>
      </c>
      <c r="CA58">
        <v>33528.1</v>
      </c>
      <c r="CB58">
        <v>1690211922</v>
      </c>
      <c r="CC58" t="s">
        <v>332</v>
      </c>
      <c r="CD58">
        <v>1690211915</v>
      </c>
      <c r="CE58">
        <v>1690211922</v>
      </c>
      <c r="CF58">
        <v>6</v>
      </c>
      <c r="CG58">
        <v>1.0999999999999999E-2</v>
      </c>
      <c r="CH58">
        <v>8.0000000000000002E-3</v>
      </c>
      <c r="CI58">
        <v>-0.51100000000000001</v>
      </c>
      <c r="CJ58">
        <v>-6.6000000000000003E-2</v>
      </c>
      <c r="CK58">
        <v>800</v>
      </c>
      <c r="CL58">
        <v>6</v>
      </c>
      <c r="CM58">
        <v>0.21</v>
      </c>
      <c r="CN58">
        <v>0.02</v>
      </c>
      <c r="CO58">
        <v>-109.18304999999999</v>
      </c>
      <c r="CP58">
        <v>-19.88618386491547</v>
      </c>
      <c r="CQ58">
        <v>1.913661881707424</v>
      </c>
      <c r="CR58">
        <v>-1</v>
      </c>
      <c r="CS58">
        <v>9.4085010000000011</v>
      </c>
      <c r="CT58">
        <v>0.84666191369606947</v>
      </c>
      <c r="CU58">
        <v>8.1451399306580421E-2</v>
      </c>
      <c r="CV58">
        <v>-1</v>
      </c>
      <c r="CW58">
        <v>0</v>
      </c>
      <c r="CX58">
        <v>0</v>
      </c>
      <c r="CY58" t="s">
        <v>333</v>
      </c>
      <c r="CZ58">
        <v>2.36415</v>
      </c>
      <c r="DA58">
        <v>2.7137199999999999</v>
      </c>
      <c r="DB58">
        <v>0.13226499999999999</v>
      </c>
      <c r="DC58">
        <v>0.146039</v>
      </c>
      <c r="DD58">
        <v>8.3931800000000001E-2</v>
      </c>
      <c r="DE58">
        <v>3.99008E-2</v>
      </c>
      <c r="DF58">
        <v>31656.2</v>
      </c>
      <c r="DG58">
        <v>27482.3</v>
      </c>
      <c r="DH58">
        <v>31145.5</v>
      </c>
      <c r="DI58">
        <v>28043.5</v>
      </c>
      <c r="DJ58">
        <v>38742.6</v>
      </c>
      <c r="DK58">
        <v>38282.5</v>
      </c>
      <c r="DL58">
        <v>44318.9</v>
      </c>
      <c r="DM58">
        <v>42497.1</v>
      </c>
      <c r="DN58">
        <v>1.3729</v>
      </c>
      <c r="DO58">
        <v>2.03165</v>
      </c>
      <c r="DP58">
        <v>7.3991699999999994E-2</v>
      </c>
      <c r="DQ58">
        <v>0.205815</v>
      </c>
      <c r="DR58">
        <v>25.763999999999999</v>
      </c>
      <c r="DS58">
        <v>25.616700000000002</v>
      </c>
      <c r="DT58">
        <v>18.100000000000001</v>
      </c>
      <c r="DU58">
        <v>29.6</v>
      </c>
      <c r="DV58">
        <v>7.60412</v>
      </c>
      <c r="DW58">
        <v>61.671199999999999</v>
      </c>
      <c r="DX58">
        <v>36.382199999999997</v>
      </c>
      <c r="DY58">
        <v>1</v>
      </c>
      <c r="DZ58">
        <v>-6.8307900000000005E-2</v>
      </c>
      <c r="EA58">
        <v>0.138709</v>
      </c>
      <c r="EB58">
        <v>20.189699999999998</v>
      </c>
      <c r="EC58">
        <v>5.2406499999999996</v>
      </c>
      <c r="ED58">
        <v>12.039899999999999</v>
      </c>
      <c r="EE58">
        <v>5.0173500000000004</v>
      </c>
      <c r="EF58">
        <v>3.2879999999999998</v>
      </c>
      <c r="EG58">
        <v>9999</v>
      </c>
      <c r="EH58">
        <v>9999</v>
      </c>
      <c r="EI58">
        <v>9999</v>
      </c>
      <c r="EJ58">
        <v>999.9</v>
      </c>
      <c r="EK58">
        <v>1.86893</v>
      </c>
      <c r="EL58">
        <v>1.8647</v>
      </c>
      <c r="EM58">
        <v>1.8692</v>
      </c>
      <c r="EN58">
        <v>1.86727</v>
      </c>
      <c r="EO58">
        <v>1.86341</v>
      </c>
      <c r="EP58">
        <v>1.86456</v>
      </c>
      <c r="EQ58">
        <v>1.87018</v>
      </c>
      <c r="ER58">
        <v>1.8694599999999999</v>
      </c>
      <c r="ES58">
        <v>0</v>
      </c>
      <c r="ET58">
        <v>0</v>
      </c>
      <c r="EU58">
        <v>0</v>
      </c>
      <c r="EV58">
        <v>0</v>
      </c>
      <c r="EW58" t="s">
        <v>334</v>
      </c>
      <c r="EX58" t="s">
        <v>335</v>
      </c>
      <c r="EY58" t="s">
        <v>336</v>
      </c>
      <c r="EZ58" t="s">
        <v>336</v>
      </c>
      <c r="FA58" t="s">
        <v>336</v>
      </c>
      <c r="FB58" t="s">
        <v>336</v>
      </c>
      <c r="FC58">
        <v>0</v>
      </c>
      <c r="FD58">
        <v>100</v>
      </c>
      <c r="FE58">
        <v>100</v>
      </c>
      <c r="FF58">
        <v>-0.433</v>
      </c>
      <c r="FG58">
        <v>8.4000000000000005E-2</v>
      </c>
      <c r="FH58">
        <v>4.0020685143421282E-2</v>
      </c>
      <c r="FI58">
        <v>-6.1462078757559423E-4</v>
      </c>
      <c r="FJ58">
        <v>-1.8861989874597051E-7</v>
      </c>
      <c r="FK58">
        <v>1.1980462299894961E-10</v>
      </c>
      <c r="FL58">
        <v>-3.1035565592992288E-2</v>
      </c>
      <c r="FM58">
        <v>-1.6848085045870601E-2</v>
      </c>
      <c r="FN58">
        <v>1.9789084769509481E-3</v>
      </c>
      <c r="FO58">
        <v>-2.7142391389806329E-5</v>
      </c>
      <c r="FP58">
        <v>3</v>
      </c>
      <c r="FQ58">
        <v>2158</v>
      </c>
      <c r="FR58">
        <v>1</v>
      </c>
      <c r="FS58">
        <v>19</v>
      </c>
      <c r="FT58">
        <v>15.2</v>
      </c>
      <c r="FU58">
        <v>15.1</v>
      </c>
      <c r="FV58">
        <v>1.77979</v>
      </c>
      <c r="FW58">
        <v>2.5744600000000002</v>
      </c>
      <c r="FX58">
        <v>1.5490699999999999</v>
      </c>
      <c r="FY58">
        <v>2.3290999999999999</v>
      </c>
      <c r="FZ58">
        <v>1.50146</v>
      </c>
      <c r="GA58">
        <v>2.4011200000000001</v>
      </c>
      <c r="GB58">
        <v>33.783200000000001</v>
      </c>
      <c r="GC58">
        <v>23.991199999999999</v>
      </c>
      <c r="GD58">
        <v>19</v>
      </c>
      <c r="GE58">
        <v>242.251</v>
      </c>
      <c r="GF58">
        <v>582.08500000000004</v>
      </c>
      <c r="GG58">
        <v>24.789300000000001</v>
      </c>
      <c r="GH58">
        <v>26.5303</v>
      </c>
      <c r="GI58">
        <v>29.9999</v>
      </c>
      <c r="GJ58">
        <v>26.627300000000002</v>
      </c>
      <c r="GK58">
        <v>26.589099999999998</v>
      </c>
      <c r="GL58">
        <v>35.589799999999997</v>
      </c>
      <c r="GM58">
        <v>-30</v>
      </c>
      <c r="GN58">
        <v>-30</v>
      </c>
      <c r="GO58">
        <v>24.822500000000002</v>
      </c>
      <c r="GP58">
        <v>800</v>
      </c>
      <c r="GQ58">
        <v>12.5298</v>
      </c>
      <c r="GR58">
        <v>99.647000000000006</v>
      </c>
      <c r="GS58">
        <v>99.422200000000004</v>
      </c>
    </row>
    <row r="59" spans="1:201" x14ac:dyDescent="0.25">
      <c r="A59">
        <v>43</v>
      </c>
      <c r="B59">
        <v>1690212835.5999999</v>
      </c>
      <c r="C59">
        <v>568.09999990463257</v>
      </c>
      <c r="D59" t="s">
        <v>417</v>
      </c>
      <c r="E59" t="s">
        <v>418</v>
      </c>
      <c r="F59" t="s">
        <v>330</v>
      </c>
      <c r="H59">
        <v>1690212835.5999999</v>
      </c>
      <c r="I59">
        <f t="shared" si="0"/>
        <v>8.5918921624543942E-4</v>
      </c>
      <c r="J59">
        <f t="shared" si="1"/>
        <v>0.85918921624543942</v>
      </c>
      <c r="K59">
        <f t="shared" si="2"/>
        <v>9.5320632882416643</v>
      </c>
      <c r="L59">
        <f t="shared" si="3"/>
        <v>683.73900000000003</v>
      </c>
      <c r="M59">
        <f t="shared" si="4"/>
        <v>216.47689005009408</v>
      </c>
      <c r="N59">
        <f t="shared" si="5"/>
        <v>21.475691513319465</v>
      </c>
      <c r="O59">
        <f t="shared" si="6"/>
        <v>67.830648510460506</v>
      </c>
      <c r="P59">
        <f t="shared" si="7"/>
        <v>3.4238199877128964E-2</v>
      </c>
      <c r="Q59">
        <f t="shared" si="8"/>
        <v>2.015710471543759</v>
      </c>
      <c r="R59">
        <f t="shared" si="9"/>
        <v>3.3918369499879211E-2</v>
      </c>
      <c r="S59">
        <f t="shared" si="10"/>
        <v>2.1227467345505395E-2</v>
      </c>
      <c r="T59">
        <f t="shared" si="11"/>
        <v>276.1151476104356</v>
      </c>
      <c r="U59">
        <f t="shared" si="12"/>
        <v>28.949819250050677</v>
      </c>
      <c r="V59">
        <f t="shared" si="13"/>
        <v>28.949819250050677</v>
      </c>
      <c r="W59">
        <f t="shared" si="14"/>
        <v>4.0101093879773018</v>
      </c>
      <c r="X59">
        <f t="shared" si="15"/>
        <v>43.881132956506335</v>
      </c>
      <c r="Y59">
        <f t="shared" si="16"/>
        <v>1.5677737961493501</v>
      </c>
      <c r="Z59">
        <f t="shared" si="17"/>
        <v>3.5727741982033154</v>
      </c>
      <c r="AA59">
        <f t="shared" si="18"/>
        <v>2.4423355918279519</v>
      </c>
      <c r="AB59">
        <f t="shared" si="19"/>
        <v>-37.890244436423878</v>
      </c>
      <c r="AC59">
        <f t="shared" si="20"/>
        <v>-215.19237234341406</v>
      </c>
      <c r="AD59">
        <f t="shared" si="21"/>
        <v>-23.261606625528106</v>
      </c>
      <c r="AE59">
        <f t="shared" si="22"/>
        <v>-0.22907579493045205</v>
      </c>
      <c r="AF59">
        <v>38</v>
      </c>
      <c r="AG59">
        <v>13</v>
      </c>
      <c r="AH59">
        <f t="shared" si="23"/>
        <v>1</v>
      </c>
      <c r="AI59">
        <f t="shared" si="24"/>
        <v>0</v>
      </c>
      <c r="AJ59">
        <f t="shared" si="25"/>
        <v>52582.328937867758</v>
      </c>
      <c r="AK59">
        <f t="shared" si="26"/>
        <v>1799.99</v>
      </c>
      <c r="AL59">
        <f t="shared" si="27"/>
        <v>1499.1011948137598</v>
      </c>
      <c r="AM59">
        <f t="shared" si="28"/>
        <v>0.83283862399999986</v>
      </c>
      <c r="AN59">
        <f t="shared" si="29"/>
        <v>0.15339815643999999</v>
      </c>
      <c r="AO59">
        <v>34.5</v>
      </c>
      <c r="AP59">
        <v>0.5</v>
      </c>
      <c r="AQ59" t="s">
        <v>331</v>
      </c>
      <c r="AR59">
        <v>2</v>
      </c>
      <c r="AS59">
        <v>1690212835.5999999</v>
      </c>
      <c r="AT59">
        <v>683.73900000000003</v>
      </c>
      <c r="AU59">
        <v>800.03599999999994</v>
      </c>
      <c r="AV59">
        <v>15.8033</v>
      </c>
      <c r="AW59">
        <v>6.0852500000000003</v>
      </c>
      <c r="AX59">
        <v>684.16899999999998</v>
      </c>
      <c r="AY59">
        <v>15.7157</v>
      </c>
      <c r="AZ59">
        <v>300.2</v>
      </c>
      <c r="BA59">
        <v>99.105500000000006</v>
      </c>
      <c r="BB59">
        <v>9.9969500000000003E-2</v>
      </c>
      <c r="BC59">
        <v>26.9696</v>
      </c>
      <c r="BD59">
        <v>26.9695</v>
      </c>
      <c r="BE59">
        <v>28.9924</v>
      </c>
      <c r="BF59">
        <v>0</v>
      </c>
      <c r="BG59">
        <v>0</v>
      </c>
      <c r="BH59">
        <v>10034.4</v>
      </c>
      <c r="BI59">
        <v>1075.33</v>
      </c>
      <c r="BJ59">
        <v>2.0744500000000001</v>
      </c>
      <c r="BK59">
        <v>-116.297</v>
      </c>
      <c r="BL59">
        <v>694.71799999999996</v>
      </c>
      <c r="BM59">
        <v>804.93399999999997</v>
      </c>
      <c r="BN59">
        <v>9.7180800000000005</v>
      </c>
      <c r="BO59">
        <v>800.03599999999994</v>
      </c>
      <c r="BP59">
        <v>6.0852500000000003</v>
      </c>
      <c r="BQ59">
        <v>1.5662</v>
      </c>
      <c r="BR59">
        <v>0.60308099999999998</v>
      </c>
      <c r="BS59">
        <v>13.6302</v>
      </c>
      <c r="BT59">
        <v>-0.238952</v>
      </c>
      <c r="BU59">
        <v>1799.99</v>
      </c>
      <c r="BV59">
        <v>0.90997499999999998</v>
      </c>
      <c r="BW59">
        <v>3.4007299999999997E-2</v>
      </c>
      <c r="BX59">
        <v>2.2007200000000001E-2</v>
      </c>
      <c r="BY59">
        <v>3.4011E-2</v>
      </c>
      <c r="BZ59">
        <v>25.875</v>
      </c>
      <c r="CA59">
        <v>33528</v>
      </c>
      <c r="CB59">
        <v>1690211922</v>
      </c>
      <c r="CC59" t="s">
        <v>332</v>
      </c>
      <c r="CD59">
        <v>1690211915</v>
      </c>
      <c r="CE59">
        <v>1690211922</v>
      </c>
      <c r="CF59">
        <v>6</v>
      </c>
      <c r="CG59">
        <v>1.0999999999999999E-2</v>
      </c>
      <c r="CH59">
        <v>8.0000000000000002E-3</v>
      </c>
      <c r="CI59">
        <v>-0.51100000000000001</v>
      </c>
      <c r="CJ59">
        <v>-6.6000000000000003E-2</v>
      </c>
      <c r="CK59">
        <v>800</v>
      </c>
      <c r="CL59">
        <v>6</v>
      </c>
      <c r="CM59">
        <v>0.21</v>
      </c>
      <c r="CN59">
        <v>0.02</v>
      </c>
      <c r="CO59">
        <v>-112.55946341463419</v>
      </c>
      <c r="CP59">
        <v>-19.565414634146379</v>
      </c>
      <c r="CQ59">
        <v>1.929900542079837</v>
      </c>
      <c r="CR59">
        <v>-1</v>
      </c>
      <c r="CS59">
        <v>9.5559636585365855</v>
      </c>
      <c r="CT59">
        <v>0.88293344947736707</v>
      </c>
      <c r="CU59">
        <v>8.7069247679609219E-2</v>
      </c>
      <c r="CV59">
        <v>-1</v>
      </c>
      <c r="CW59">
        <v>0</v>
      </c>
      <c r="CX59">
        <v>0</v>
      </c>
      <c r="CY59" t="s">
        <v>333</v>
      </c>
      <c r="CZ59">
        <v>2.36429</v>
      </c>
      <c r="DA59">
        <v>2.7137899999999999</v>
      </c>
      <c r="DB59">
        <v>0.13182099999999999</v>
      </c>
      <c r="DC59">
        <v>0.14605299999999999</v>
      </c>
      <c r="DD59">
        <v>8.45051E-2</v>
      </c>
      <c r="DE59">
        <v>3.9892400000000001E-2</v>
      </c>
      <c r="DF59">
        <v>31672.5</v>
      </c>
      <c r="DG59">
        <v>27482.5</v>
      </c>
      <c r="DH59">
        <v>31145.599999999999</v>
      </c>
      <c r="DI59">
        <v>28044.1</v>
      </c>
      <c r="DJ59">
        <v>38718.300000000003</v>
      </c>
      <c r="DK59">
        <v>38283.800000000003</v>
      </c>
      <c r="DL59">
        <v>44319.1</v>
      </c>
      <c r="DM59">
        <v>42498.2</v>
      </c>
      <c r="DN59">
        <v>1.3732200000000001</v>
      </c>
      <c r="DO59">
        <v>2.0315500000000002</v>
      </c>
      <c r="DP59">
        <v>7.3634099999999994E-2</v>
      </c>
      <c r="DQ59">
        <v>0.20672399999999999</v>
      </c>
      <c r="DR59">
        <v>25.763999999999999</v>
      </c>
      <c r="DS59">
        <v>25.613299999999999</v>
      </c>
      <c r="DT59">
        <v>18.100000000000001</v>
      </c>
      <c r="DU59">
        <v>29.6</v>
      </c>
      <c r="DV59">
        <v>7.60412</v>
      </c>
      <c r="DW59">
        <v>61.4512</v>
      </c>
      <c r="DX59">
        <v>36.129800000000003</v>
      </c>
      <c r="DY59">
        <v>1</v>
      </c>
      <c r="DZ59">
        <v>-6.8973599999999996E-2</v>
      </c>
      <c r="EA59">
        <v>6.9515300000000002E-2</v>
      </c>
      <c r="EB59">
        <v>20.189800000000002</v>
      </c>
      <c r="EC59">
        <v>5.2409499999999998</v>
      </c>
      <c r="ED59">
        <v>12.039899999999999</v>
      </c>
      <c r="EE59">
        <v>5.0172999999999996</v>
      </c>
      <c r="EF59">
        <v>3.2879999999999998</v>
      </c>
      <c r="EG59">
        <v>9999</v>
      </c>
      <c r="EH59">
        <v>9999</v>
      </c>
      <c r="EI59">
        <v>9999</v>
      </c>
      <c r="EJ59">
        <v>999.9</v>
      </c>
      <c r="EK59">
        <v>1.8689100000000001</v>
      </c>
      <c r="EL59">
        <v>1.8646499999999999</v>
      </c>
      <c r="EM59">
        <v>1.8692</v>
      </c>
      <c r="EN59">
        <v>1.8672599999999999</v>
      </c>
      <c r="EO59">
        <v>1.86341</v>
      </c>
      <c r="EP59">
        <v>1.8646</v>
      </c>
      <c r="EQ59">
        <v>1.8701700000000001</v>
      </c>
      <c r="ER59">
        <v>1.8694599999999999</v>
      </c>
      <c r="ES59">
        <v>0</v>
      </c>
      <c r="ET59">
        <v>0</v>
      </c>
      <c r="EU59">
        <v>0</v>
      </c>
      <c r="EV59">
        <v>0</v>
      </c>
      <c r="EW59" t="s">
        <v>334</v>
      </c>
      <c r="EX59" t="s">
        <v>335</v>
      </c>
      <c r="EY59" t="s">
        <v>336</v>
      </c>
      <c r="EZ59" t="s">
        <v>336</v>
      </c>
      <c r="FA59" t="s">
        <v>336</v>
      </c>
      <c r="FB59" t="s">
        <v>336</v>
      </c>
      <c r="FC59">
        <v>0</v>
      </c>
      <c r="FD59">
        <v>100</v>
      </c>
      <c r="FE59">
        <v>100</v>
      </c>
      <c r="FF59">
        <v>-0.43</v>
      </c>
      <c r="FG59">
        <v>8.7599999999999997E-2</v>
      </c>
      <c r="FH59">
        <v>4.0020685143421282E-2</v>
      </c>
      <c r="FI59">
        <v>-6.1462078757559423E-4</v>
      </c>
      <c r="FJ59">
        <v>-1.8861989874597051E-7</v>
      </c>
      <c r="FK59">
        <v>1.1980462299894961E-10</v>
      </c>
      <c r="FL59">
        <v>-3.1035565592992288E-2</v>
      </c>
      <c r="FM59">
        <v>-1.6848085045870601E-2</v>
      </c>
      <c r="FN59">
        <v>1.9789084769509481E-3</v>
      </c>
      <c r="FO59">
        <v>-2.7142391389806329E-5</v>
      </c>
      <c r="FP59">
        <v>3</v>
      </c>
      <c r="FQ59">
        <v>2158</v>
      </c>
      <c r="FR59">
        <v>1</v>
      </c>
      <c r="FS59">
        <v>19</v>
      </c>
      <c r="FT59">
        <v>15.3</v>
      </c>
      <c r="FU59">
        <v>15.2</v>
      </c>
      <c r="FV59">
        <v>1.77979</v>
      </c>
      <c r="FW59">
        <v>2.5781200000000002</v>
      </c>
      <c r="FX59">
        <v>1.5490699999999999</v>
      </c>
      <c r="FY59">
        <v>2.3290999999999999</v>
      </c>
      <c r="FZ59">
        <v>1.50146</v>
      </c>
      <c r="GA59">
        <v>2.3767100000000001</v>
      </c>
      <c r="GB59">
        <v>33.805700000000002</v>
      </c>
      <c r="GC59">
        <v>23.991199999999999</v>
      </c>
      <c r="GD59">
        <v>19</v>
      </c>
      <c r="GE59">
        <v>242.37299999999999</v>
      </c>
      <c r="GF59">
        <v>582.00199999999995</v>
      </c>
      <c r="GG59">
        <v>24.840399999999999</v>
      </c>
      <c r="GH59">
        <v>26.5275</v>
      </c>
      <c r="GI59">
        <v>29.9998</v>
      </c>
      <c r="GJ59">
        <v>26.6264</v>
      </c>
      <c r="GK59">
        <v>26.589099999999998</v>
      </c>
      <c r="GL59">
        <v>35.589199999999998</v>
      </c>
      <c r="GM59">
        <v>-30</v>
      </c>
      <c r="GN59">
        <v>-30</v>
      </c>
      <c r="GO59">
        <v>24.8535</v>
      </c>
      <c r="GP59">
        <v>800</v>
      </c>
      <c r="GQ59">
        <v>12.5298</v>
      </c>
      <c r="GR59">
        <v>99.647300000000001</v>
      </c>
      <c r="GS59">
        <v>99.424599999999998</v>
      </c>
    </row>
    <row r="60" spans="1:201" x14ac:dyDescent="0.25">
      <c r="A60">
        <v>44</v>
      </c>
      <c r="B60">
        <v>1690212845.5999999</v>
      </c>
      <c r="C60">
        <v>578.09999990463257</v>
      </c>
      <c r="D60" t="s">
        <v>419</v>
      </c>
      <c r="E60" t="s">
        <v>420</v>
      </c>
      <c r="F60" t="s">
        <v>330</v>
      </c>
      <c r="H60">
        <v>1690212845.5999999</v>
      </c>
      <c r="I60">
        <f t="shared" si="0"/>
        <v>8.7211283341776023E-4</v>
      </c>
      <c r="J60">
        <f t="shared" si="1"/>
        <v>0.87211283341776025</v>
      </c>
      <c r="K60">
        <f t="shared" si="2"/>
        <v>9.8016997931055556</v>
      </c>
      <c r="L60">
        <f t="shared" si="3"/>
        <v>680.48599999999999</v>
      </c>
      <c r="M60">
        <f t="shared" si="4"/>
        <v>209.74088572050104</v>
      </c>
      <c r="N60">
        <f t="shared" si="5"/>
        <v>20.807302430958362</v>
      </c>
      <c r="O60">
        <f t="shared" si="6"/>
        <v>67.507476920362606</v>
      </c>
      <c r="P60">
        <f t="shared" si="7"/>
        <v>3.4919898052713942E-2</v>
      </c>
      <c r="Q60">
        <f t="shared" si="8"/>
        <v>2.011520986625404</v>
      </c>
      <c r="R60">
        <f t="shared" si="9"/>
        <v>3.4586586054652008E-2</v>
      </c>
      <c r="S60">
        <f t="shared" si="10"/>
        <v>2.164629781563835E-2</v>
      </c>
      <c r="T60">
        <f t="shared" si="11"/>
        <v>276.11450827198752</v>
      </c>
      <c r="U60">
        <f t="shared" si="12"/>
        <v>28.962565847166704</v>
      </c>
      <c r="V60">
        <f t="shared" si="13"/>
        <v>28.962565847166704</v>
      </c>
      <c r="W60">
        <f t="shared" si="14"/>
        <v>4.0130692489039967</v>
      </c>
      <c r="X60">
        <f t="shared" si="15"/>
        <v>44.247017468728629</v>
      </c>
      <c r="Y60">
        <f t="shared" si="16"/>
        <v>1.58212805652671</v>
      </c>
      <c r="Z60">
        <f t="shared" si="17"/>
        <v>3.5756716430545215</v>
      </c>
      <c r="AA60">
        <f t="shared" si="18"/>
        <v>2.4309411923772868</v>
      </c>
      <c r="AB60">
        <f t="shared" si="19"/>
        <v>-38.46017595372323</v>
      </c>
      <c r="AC60">
        <f t="shared" si="20"/>
        <v>-214.63087666964822</v>
      </c>
      <c r="AD60">
        <f t="shared" si="21"/>
        <v>-23.252308262524746</v>
      </c>
      <c r="AE60">
        <f t="shared" si="22"/>
        <v>-0.22885261390865708</v>
      </c>
      <c r="AF60">
        <v>38</v>
      </c>
      <c r="AG60">
        <v>13</v>
      </c>
      <c r="AH60">
        <f t="shared" si="23"/>
        <v>1</v>
      </c>
      <c r="AI60">
        <f t="shared" si="24"/>
        <v>0</v>
      </c>
      <c r="AJ60">
        <f t="shared" si="25"/>
        <v>52378.463722072549</v>
      </c>
      <c r="AK60">
        <f t="shared" si="26"/>
        <v>1799.99</v>
      </c>
      <c r="AL60">
        <f t="shared" si="27"/>
        <v>1499.1011066142498</v>
      </c>
      <c r="AM60">
        <f t="shared" si="28"/>
        <v>0.83283857499999991</v>
      </c>
      <c r="AN60">
        <f t="shared" si="29"/>
        <v>0.15339780125000002</v>
      </c>
      <c r="AO60">
        <v>34.5</v>
      </c>
      <c r="AP60">
        <v>0.5</v>
      </c>
      <c r="AQ60" t="s">
        <v>331</v>
      </c>
      <c r="AR60">
        <v>2</v>
      </c>
      <c r="AS60">
        <v>1690212845.5999999</v>
      </c>
      <c r="AT60">
        <v>680.48599999999999</v>
      </c>
      <c r="AU60">
        <v>799.971</v>
      </c>
      <c r="AV60">
        <v>15.9481</v>
      </c>
      <c r="AW60">
        <v>6.0836499999999996</v>
      </c>
      <c r="AX60">
        <v>680.91399999999999</v>
      </c>
      <c r="AY60">
        <v>15.856999999999999</v>
      </c>
      <c r="AZ60">
        <v>300.149</v>
      </c>
      <c r="BA60">
        <v>99.104799999999997</v>
      </c>
      <c r="BB60">
        <v>9.9999099999999994E-2</v>
      </c>
      <c r="BC60">
        <v>26.9834</v>
      </c>
      <c r="BD60">
        <v>26.9679</v>
      </c>
      <c r="BE60">
        <v>28.964500000000001</v>
      </c>
      <c r="BF60">
        <v>0</v>
      </c>
      <c r="BG60">
        <v>0</v>
      </c>
      <c r="BH60">
        <v>9994.3799999999992</v>
      </c>
      <c r="BI60">
        <v>1075.29</v>
      </c>
      <c r="BJ60">
        <v>2.0744500000000001</v>
      </c>
      <c r="BK60">
        <v>-119.485</v>
      </c>
      <c r="BL60">
        <v>691.51499999999999</v>
      </c>
      <c r="BM60">
        <v>804.86800000000005</v>
      </c>
      <c r="BN60">
        <v>9.86449</v>
      </c>
      <c r="BO60">
        <v>799.971</v>
      </c>
      <c r="BP60">
        <v>6.0836499999999996</v>
      </c>
      <c r="BQ60">
        <v>1.5805400000000001</v>
      </c>
      <c r="BR60">
        <v>0.60291899999999998</v>
      </c>
      <c r="BS60">
        <v>13.7704</v>
      </c>
      <c r="BT60">
        <v>-0.242643</v>
      </c>
      <c r="BU60">
        <v>1799.99</v>
      </c>
      <c r="BV60">
        <v>0.90998299999999999</v>
      </c>
      <c r="BW60">
        <v>3.4003899999999997E-2</v>
      </c>
      <c r="BX60">
        <v>2.2005E-2</v>
      </c>
      <c r="BY60">
        <v>3.4007700000000002E-2</v>
      </c>
      <c r="BZ60">
        <v>26</v>
      </c>
      <c r="CA60">
        <v>33528</v>
      </c>
      <c r="CB60">
        <v>1690211922</v>
      </c>
      <c r="CC60" t="s">
        <v>332</v>
      </c>
      <c r="CD60">
        <v>1690211915</v>
      </c>
      <c r="CE60">
        <v>1690211922</v>
      </c>
      <c r="CF60">
        <v>6</v>
      </c>
      <c r="CG60">
        <v>1.0999999999999999E-2</v>
      </c>
      <c r="CH60">
        <v>8.0000000000000002E-3</v>
      </c>
      <c r="CI60">
        <v>-0.51100000000000001</v>
      </c>
      <c r="CJ60">
        <v>-6.6000000000000003E-2</v>
      </c>
      <c r="CK60">
        <v>800</v>
      </c>
      <c r="CL60">
        <v>6</v>
      </c>
      <c r="CM60">
        <v>0.21</v>
      </c>
      <c r="CN60">
        <v>0.02</v>
      </c>
      <c r="CO60">
        <v>-116.147525</v>
      </c>
      <c r="CP60">
        <v>-20.15159099437118</v>
      </c>
      <c r="CQ60">
        <v>1.9392078277933491</v>
      </c>
      <c r="CR60">
        <v>-1</v>
      </c>
      <c r="CS60">
        <v>9.7143447500000004</v>
      </c>
      <c r="CT60">
        <v>0.88320011257033704</v>
      </c>
      <c r="CU60">
        <v>8.4966740198371193E-2</v>
      </c>
      <c r="CV60">
        <v>-1</v>
      </c>
      <c r="CW60">
        <v>0</v>
      </c>
      <c r="CX60">
        <v>0</v>
      </c>
      <c r="CY60" t="s">
        <v>333</v>
      </c>
      <c r="CZ60">
        <v>2.3641399999999999</v>
      </c>
      <c r="DA60">
        <v>2.7137799999999999</v>
      </c>
      <c r="DB60">
        <v>0.13139000000000001</v>
      </c>
      <c r="DC60">
        <v>0.14604200000000001</v>
      </c>
      <c r="DD60">
        <v>8.5060499999999997E-2</v>
      </c>
      <c r="DE60">
        <v>3.9883099999999998E-2</v>
      </c>
      <c r="DF60">
        <v>31688.6</v>
      </c>
      <c r="DG60">
        <v>27482.5</v>
      </c>
      <c r="DH60">
        <v>31146</v>
      </c>
      <c r="DI60">
        <v>28043.8</v>
      </c>
      <c r="DJ60">
        <v>38695.199999999997</v>
      </c>
      <c r="DK60">
        <v>38283.599999999999</v>
      </c>
      <c r="DL60">
        <v>44319.8</v>
      </c>
      <c r="DM60">
        <v>42497.599999999999</v>
      </c>
      <c r="DN60">
        <v>1.3736299999999999</v>
      </c>
      <c r="DO60">
        <v>2.0315500000000002</v>
      </c>
      <c r="DP60">
        <v>7.3641499999999999E-2</v>
      </c>
      <c r="DQ60">
        <v>0.205174</v>
      </c>
      <c r="DR60">
        <v>25.7624</v>
      </c>
      <c r="DS60">
        <v>25.610600000000002</v>
      </c>
      <c r="DT60">
        <v>18.100000000000001</v>
      </c>
      <c r="DU60">
        <v>29.6</v>
      </c>
      <c r="DV60">
        <v>7.6042500000000004</v>
      </c>
      <c r="DW60">
        <v>61.891199999999998</v>
      </c>
      <c r="DX60">
        <v>35.917499999999997</v>
      </c>
      <c r="DY60">
        <v>1</v>
      </c>
      <c r="DZ60">
        <v>-6.95046E-2</v>
      </c>
      <c r="EA60">
        <v>3.00436E-2</v>
      </c>
      <c r="EB60">
        <v>20.189900000000002</v>
      </c>
      <c r="EC60">
        <v>5.2409499999999998</v>
      </c>
      <c r="ED60">
        <v>12.039899999999999</v>
      </c>
      <c r="EE60">
        <v>5.0174000000000003</v>
      </c>
      <c r="EF60">
        <v>3.2879999999999998</v>
      </c>
      <c r="EG60">
        <v>9999</v>
      </c>
      <c r="EH60">
        <v>9999</v>
      </c>
      <c r="EI60">
        <v>9999</v>
      </c>
      <c r="EJ60">
        <v>999.9</v>
      </c>
      <c r="EK60">
        <v>1.86893</v>
      </c>
      <c r="EL60">
        <v>1.86466</v>
      </c>
      <c r="EM60">
        <v>1.8691800000000001</v>
      </c>
      <c r="EN60">
        <v>1.8672500000000001</v>
      </c>
      <c r="EO60">
        <v>1.86341</v>
      </c>
      <c r="EP60">
        <v>1.86459</v>
      </c>
      <c r="EQ60">
        <v>1.8701700000000001</v>
      </c>
      <c r="ER60">
        <v>1.8694299999999999</v>
      </c>
      <c r="ES60">
        <v>0</v>
      </c>
      <c r="ET60">
        <v>0</v>
      </c>
      <c r="EU60">
        <v>0</v>
      </c>
      <c r="EV60">
        <v>0</v>
      </c>
      <c r="EW60" t="s">
        <v>334</v>
      </c>
      <c r="EX60" t="s">
        <v>335</v>
      </c>
      <c r="EY60" t="s">
        <v>336</v>
      </c>
      <c r="EZ60" t="s">
        <v>336</v>
      </c>
      <c r="FA60" t="s">
        <v>336</v>
      </c>
      <c r="FB60" t="s">
        <v>336</v>
      </c>
      <c r="FC60">
        <v>0</v>
      </c>
      <c r="FD60">
        <v>100</v>
      </c>
      <c r="FE60">
        <v>100</v>
      </c>
      <c r="FF60">
        <v>-0.42799999999999999</v>
      </c>
      <c r="FG60">
        <v>9.11E-2</v>
      </c>
      <c r="FH60">
        <v>4.0020685143421282E-2</v>
      </c>
      <c r="FI60">
        <v>-6.1462078757559423E-4</v>
      </c>
      <c r="FJ60">
        <v>-1.8861989874597051E-7</v>
      </c>
      <c r="FK60">
        <v>1.1980462299894961E-10</v>
      </c>
      <c r="FL60">
        <v>-3.1035565592992288E-2</v>
      </c>
      <c r="FM60">
        <v>-1.6848085045870601E-2</v>
      </c>
      <c r="FN60">
        <v>1.9789084769509481E-3</v>
      </c>
      <c r="FO60">
        <v>-2.7142391389806329E-5</v>
      </c>
      <c r="FP60">
        <v>3</v>
      </c>
      <c r="FQ60">
        <v>2158</v>
      </c>
      <c r="FR60">
        <v>1</v>
      </c>
      <c r="FS60">
        <v>19</v>
      </c>
      <c r="FT60">
        <v>15.5</v>
      </c>
      <c r="FU60">
        <v>15.4</v>
      </c>
      <c r="FV60">
        <v>1.77979</v>
      </c>
      <c r="FW60">
        <v>2.5769000000000002</v>
      </c>
      <c r="FX60">
        <v>1.5490699999999999</v>
      </c>
      <c r="FY60">
        <v>2.3290999999999999</v>
      </c>
      <c r="FZ60">
        <v>1.50146</v>
      </c>
      <c r="GA60">
        <v>2.3791500000000001</v>
      </c>
      <c r="GB60">
        <v>33.783200000000001</v>
      </c>
      <c r="GC60">
        <v>23.982399999999998</v>
      </c>
      <c r="GD60">
        <v>19</v>
      </c>
      <c r="GE60">
        <v>242.52500000000001</v>
      </c>
      <c r="GF60">
        <v>582.00300000000004</v>
      </c>
      <c r="GG60">
        <v>24.881499999999999</v>
      </c>
      <c r="GH60">
        <v>26.524899999999999</v>
      </c>
      <c r="GI60">
        <v>29.9999</v>
      </c>
      <c r="GJ60">
        <v>26.6264</v>
      </c>
      <c r="GK60">
        <v>26.589099999999998</v>
      </c>
      <c r="GL60">
        <v>35.5899</v>
      </c>
      <c r="GM60">
        <v>-30</v>
      </c>
      <c r="GN60">
        <v>-30</v>
      </c>
      <c r="GO60">
        <v>24.895</v>
      </c>
      <c r="GP60">
        <v>800</v>
      </c>
      <c r="GQ60">
        <v>12.5298</v>
      </c>
      <c r="GR60">
        <v>99.648799999999994</v>
      </c>
      <c r="GS60">
        <v>99.423299999999998</v>
      </c>
    </row>
    <row r="61" spans="1:201" x14ac:dyDescent="0.25">
      <c r="A61">
        <v>45</v>
      </c>
      <c r="B61">
        <v>1690212855.5999999</v>
      </c>
      <c r="C61">
        <v>588.09999990463257</v>
      </c>
      <c r="D61" t="s">
        <v>421</v>
      </c>
      <c r="E61" t="s">
        <v>422</v>
      </c>
      <c r="F61" t="s">
        <v>330</v>
      </c>
      <c r="H61">
        <v>1690212855.5999999</v>
      </c>
      <c r="I61">
        <f t="shared" si="0"/>
        <v>8.8569052345908582E-4</v>
      </c>
      <c r="J61">
        <f t="shared" si="1"/>
        <v>0.88569052345908583</v>
      </c>
      <c r="K61">
        <f t="shared" si="2"/>
        <v>10.086158782478943</v>
      </c>
      <c r="L61">
        <f t="shared" si="3"/>
        <v>677.16499999999996</v>
      </c>
      <c r="M61">
        <f t="shared" si="4"/>
        <v>204.01207721866669</v>
      </c>
      <c r="N61">
        <f t="shared" si="5"/>
        <v>20.238557461207471</v>
      </c>
      <c r="O61">
        <f t="shared" si="6"/>
        <v>67.176624786429997</v>
      </c>
      <c r="P61">
        <f t="shared" si="7"/>
        <v>3.5726201639358364E-2</v>
      </c>
      <c r="Q61">
        <f t="shared" si="8"/>
        <v>2.0084176761829329</v>
      </c>
      <c r="R61">
        <f t="shared" si="9"/>
        <v>3.5376869203369889E-2</v>
      </c>
      <c r="S61">
        <f t="shared" si="10"/>
        <v>2.2141644638453511E-2</v>
      </c>
      <c r="T61">
        <f t="shared" si="11"/>
        <v>276.11268705316661</v>
      </c>
      <c r="U61">
        <f t="shared" si="12"/>
        <v>28.951236031145243</v>
      </c>
      <c r="V61">
        <f t="shared" si="13"/>
        <v>28.951236031145243</v>
      </c>
      <c r="W61">
        <f t="shared" si="14"/>
        <v>4.0104382817194431</v>
      </c>
      <c r="X61">
        <f t="shared" si="15"/>
        <v>44.68697041063092</v>
      </c>
      <c r="Y61">
        <f t="shared" si="16"/>
        <v>1.5970054218128003</v>
      </c>
      <c r="Z61">
        <f t="shared" si="17"/>
        <v>3.5737607788978161</v>
      </c>
      <c r="AA61">
        <f t="shared" si="18"/>
        <v>2.413432859906643</v>
      </c>
      <c r="AB61">
        <f t="shared" si="19"/>
        <v>-39.058952084545687</v>
      </c>
      <c r="AC61">
        <f t="shared" si="20"/>
        <v>-214.05831139256424</v>
      </c>
      <c r="AD61">
        <f t="shared" si="21"/>
        <v>-23.223745856636853</v>
      </c>
      <c r="AE61">
        <f t="shared" si="22"/>
        <v>-0.228322280580187</v>
      </c>
      <c r="AF61">
        <v>38</v>
      </c>
      <c r="AG61">
        <v>13</v>
      </c>
      <c r="AH61">
        <f t="shared" si="23"/>
        <v>1</v>
      </c>
      <c r="AI61">
        <f t="shared" si="24"/>
        <v>0</v>
      </c>
      <c r="AJ61">
        <f t="shared" si="25"/>
        <v>52231.176085441584</v>
      </c>
      <c r="AK61">
        <f t="shared" si="26"/>
        <v>1799.98</v>
      </c>
      <c r="AL61">
        <f t="shared" si="27"/>
        <v>1499.09419481276</v>
      </c>
      <c r="AM61">
        <f t="shared" si="28"/>
        <v>0.83283936199999997</v>
      </c>
      <c r="AN61">
        <f t="shared" si="29"/>
        <v>0.15339764167</v>
      </c>
      <c r="AO61">
        <v>34.5</v>
      </c>
      <c r="AP61">
        <v>0.5</v>
      </c>
      <c r="AQ61" t="s">
        <v>331</v>
      </c>
      <c r="AR61">
        <v>2</v>
      </c>
      <c r="AS61">
        <v>1690212855.5999999</v>
      </c>
      <c r="AT61">
        <v>677.16499999999996</v>
      </c>
      <c r="AU61">
        <v>799.99</v>
      </c>
      <c r="AV61">
        <v>16.098400000000002</v>
      </c>
      <c r="AW61">
        <v>6.0820699999999999</v>
      </c>
      <c r="AX61">
        <v>677.59100000000001</v>
      </c>
      <c r="AY61">
        <v>16.003499999999999</v>
      </c>
      <c r="AZ61">
        <v>300.154</v>
      </c>
      <c r="BA61">
        <v>99.102699999999999</v>
      </c>
      <c r="BB61">
        <v>0.10004200000000001</v>
      </c>
      <c r="BC61">
        <v>26.974299999999999</v>
      </c>
      <c r="BD61">
        <v>26.975999999999999</v>
      </c>
      <c r="BE61">
        <v>28.957599999999999</v>
      </c>
      <c r="BF61">
        <v>0</v>
      </c>
      <c r="BG61">
        <v>0</v>
      </c>
      <c r="BH61">
        <v>9965</v>
      </c>
      <c r="BI61">
        <v>1075.24</v>
      </c>
      <c r="BJ61">
        <v>2.0744500000000001</v>
      </c>
      <c r="BK61">
        <v>-122.824</v>
      </c>
      <c r="BL61">
        <v>688.245</v>
      </c>
      <c r="BM61">
        <v>804.88499999999999</v>
      </c>
      <c r="BN61">
        <v>10.016299999999999</v>
      </c>
      <c r="BO61">
        <v>799.99</v>
      </c>
      <c r="BP61">
        <v>6.0820699999999999</v>
      </c>
      <c r="BQ61">
        <v>1.5953999999999999</v>
      </c>
      <c r="BR61">
        <v>0.60275000000000001</v>
      </c>
      <c r="BS61">
        <v>13.914400000000001</v>
      </c>
      <c r="BT61">
        <v>-0.24651300000000001</v>
      </c>
      <c r="BU61">
        <v>1799.98</v>
      </c>
      <c r="BV61">
        <v>0.90999099999999999</v>
      </c>
      <c r="BW61">
        <v>3.4001000000000003E-2</v>
      </c>
      <c r="BX61">
        <v>2.2003100000000001E-2</v>
      </c>
      <c r="BY61">
        <v>3.4004699999999999E-2</v>
      </c>
      <c r="BZ61">
        <v>25.916699999999999</v>
      </c>
      <c r="CA61">
        <v>33528</v>
      </c>
      <c r="CB61">
        <v>1690211922</v>
      </c>
      <c r="CC61" t="s">
        <v>332</v>
      </c>
      <c r="CD61">
        <v>1690211915</v>
      </c>
      <c r="CE61">
        <v>1690211922</v>
      </c>
      <c r="CF61">
        <v>6</v>
      </c>
      <c r="CG61">
        <v>1.0999999999999999E-2</v>
      </c>
      <c r="CH61">
        <v>8.0000000000000002E-3</v>
      </c>
      <c r="CI61">
        <v>-0.51100000000000001</v>
      </c>
      <c r="CJ61">
        <v>-6.6000000000000003E-2</v>
      </c>
      <c r="CK61">
        <v>800</v>
      </c>
      <c r="CL61">
        <v>6</v>
      </c>
      <c r="CM61">
        <v>0.21</v>
      </c>
      <c r="CN61">
        <v>0.02</v>
      </c>
      <c r="CO61">
        <v>-119.46622499999999</v>
      </c>
      <c r="CP61">
        <v>-19.469819887429541</v>
      </c>
      <c r="CQ61">
        <v>1.873204253244958</v>
      </c>
      <c r="CR61">
        <v>-1</v>
      </c>
      <c r="CS61">
        <v>9.8623384999999999</v>
      </c>
      <c r="CT61">
        <v>0.89182874296432402</v>
      </c>
      <c r="CU61">
        <v>8.5797096732639994E-2</v>
      </c>
      <c r="CV61">
        <v>-1</v>
      </c>
      <c r="CW61">
        <v>0</v>
      </c>
      <c r="CX61">
        <v>0</v>
      </c>
      <c r="CY61" t="s">
        <v>333</v>
      </c>
      <c r="CZ61">
        <v>2.3641399999999999</v>
      </c>
      <c r="DA61">
        <v>2.7138</v>
      </c>
      <c r="DB61">
        <v>0.13094800000000001</v>
      </c>
      <c r="DC61">
        <v>0.146041</v>
      </c>
      <c r="DD61">
        <v>8.5634799999999997E-2</v>
      </c>
      <c r="DE61">
        <v>3.9873800000000001E-2</v>
      </c>
      <c r="DF61">
        <v>31704.6</v>
      </c>
      <c r="DG61">
        <v>27482.799999999999</v>
      </c>
      <c r="DH61">
        <v>31145.8</v>
      </c>
      <c r="DI61">
        <v>28044</v>
      </c>
      <c r="DJ61">
        <v>38670.6</v>
      </c>
      <c r="DK61">
        <v>38284.5</v>
      </c>
      <c r="DL61">
        <v>44319.7</v>
      </c>
      <c r="DM61">
        <v>42498.2</v>
      </c>
      <c r="DN61">
        <v>1.3736299999999999</v>
      </c>
      <c r="DO61">
        <v>2.0314700000000001</v>
      </c>
      <c r="DP61">
        <v>7.4304599999999998E-2</v>
      </c>
      <c r="DQ61">
        <v>0.20495099999999999</v>
      </c>
      <c r="DR61">
        <v>25.759599999999999</v>
      </c>
      <c r="DS61">
        <v>25.607399999999998</v>
      </c>
      <c r="DT61">
        <v>18.100000000000001</v>
      </c>
      <c r="DU61">
        <v>29.6</v>
      </c>
      <c r="DV61">
        <v>7.6045199999999999</v>
      </c>
      <c r="DW61">
        <v>62.181199999999997</v>
      </c>
      <c r="DX61">
        <v>35.973599999999998</v>
      </c>
      <c r="DY61">
        <v>1</v>
      </c>
      <c r="DZ61">
        <v>-6.9781499999999996E-2</v>
      </c>
      <c r="EA61">
        <v>-4.1013100000000004E-3</v>
      </c>
      <c r="EB61">
        <v>20.189699999999998</v>
      </c>
      <c r="EC61">
        <v>5.2409499999999998</v>
      </c>
      <c r="ED61">
        <v>12.039899999999999</v>
      </c>
      <c r="EE61">
        <v>5.0171999999999999</v>
      </c>
      <c r="EF61">
        <v>3.2879999999999998</v>
      </c>
      <c r="EG61">
        <v>9999</v>
      </c>
      <c r="EH61">
        <v>9999</v>
      </c>
      <c r="EI61">
        <v>9999</v>
      </c>
      <c r="EJ61">
        <v>999.9</v>
      </c>
      <c r="EK61">
        <v>1.86893</v>
      </c>
      <c r="EL61">
        <v>1.8646499999999999</v>
      </c>
      <c r="EM61">
        <v>1.8692</v>
      </c>
      <c r="EN61">
        <v>1.8672599999999999</v>
      </c>
      <c r="EO61">
        <v>1.8633999999999999</v>
      </c>
      <c r="EP61">
        <v>1.8646</v>
      </c>
      <c r="EQ61">
        <v>1.8702000000000001</v>
      </c>
      <c r="ER61">
        <v>1.86948</v>
      </c>
      <c r="ES61">
        <v>0</v>
      </c>
      <c r="ET61">
        <v>0</v>
      </c>
      <c r="EU61">
        <v>0</v>
      </c>
      <c r="EV61">
        <v>0</v>
      </c>
      <c r="EW61" t="s">
        <v>334</v>
      </c>
      <c r="EX61" t="s">
        <v>335</v>
      </c>
      <c r="EY61" t="s">
        <v>336</v>
      </c>
      <c r="EZ61" t="s">
        <v>336</v>
      </c>
      <c r="FA61" t="s">
        <v>336</v>
      </c>
      <c r="FB61" t="s">
        <v>336</v>
      </c>
      <c r="FC61">
        <v>0</v>
      </c>
      <c r="FD61">
        <v>100</v>
      </c>
      <c r="FE61">
        <v>100</v>
      </c>
      <c r="FF61">
        <v>-0.42599999999999999</v>
      </c>
      <c r="FG61">
        <v>9.4899999999999998E-2</v>
      </c>
      <c r="FH61">
        <v>4.0020685143421282E-2</v>
      </c>
      <c r="FI61">
        <v>-6.1462078757559423E-4</v>
      </c>
      <c r="FJ61">
        <v>-1.8861989874597051E-7</v>
      </c>
      <c r="FK61">
        <v>1.1980462299894961E-10</v>
      </c>
      <c r="FL61">
        <v>-3.1035565592992288E-2</v>
      </c>
      <c r="FM61">
        <v>-1.6848085045870601E-2</v>
      </c>
      <c r="FN61">
        <v>1.9789084769509481E-3</v>
      </c>
      <c r="FO61">
        <v>-2.7142391389806329E-5</v>
      </c>
      <c r="FP61">
        <v>3</v>
      </c>
      <c r="FQ61">
        <v>2158</v>
      </c>
      <c r="FR61">
        <v>1</v>
      </c>
      <c r="FS61">
        <v>19</v>
      </c>
      <c r="FT61">
        <v>15.7</v>
      </c>
      <c r="FU61">
        <v>15.6</v>
      </c>
      <c r="FV61">
        <v>1.77979</v>
      </c>
      <c r="FW61">
        <v>2.5817899999999998</v>
      </c>
      <c r="FX61">
        <v>1.5490699999999999</v>
      </c>
      <c r="FY61">
        <v>2.3290999999999999</v>
      </c>
      <c r="FZ61">
        <v>1.50146</v>
      </c>
      <c r="GA61">
        <v>2.32666</v>
      </c>
      <c r="GB61">
        <v>33.805700000000002</v>
      </c>
      <c r="GC61">
        <v>23.982399999999998</v>
      </c>
      <c r="GD61">
        <v>19</v>
      </c>
      <c r="GE61">
        <v>242.52600000000001</v>
      </c>
      <c r="GF61">
        <v>581.94100000000003</v>
      </c>
      <c r="GG61">
        <v>24.926300000000001</v>
      </c>
      <c r="GH61">
        <v>26.5227</v>
      </c>
      <c r="GI61">
        <v>29.9999</v>
      </c>
      <c r="GJ61">
        <v>26.6264</v>
      </c>
      <c r="GK61">
        <v>26.589099999999998</v>
      </c>
      <c r="GL61">
        <v>35.5871</v>
      </c>
      <c r="GM61">
        <v>-30</v>
      </c>
      <c r="GN61">
        <v>-30</v>
      </c>
      <c r="GO61">
        <v>24.9391</v>
      </c>
      <c r="GP61">
        <v>800</v>
      </c>
      <c r="GQ61">
        <v>12.5298</v>
      </c>
      <c r="GR61">
        <v>99.648399999999995</v>
      </c>
      <c r="GS61">
        <v>99.424400000000006</v>
      </c>
    </row>
    <row r="62" spans="1:201" x14ac:dyDescent="0.25">
      <c r="A62">
        <v>46</v>
      </c>
      <c r="B62">
        <v>1690212865.5999999</v>
      </c>
      <c r="C62">
        <v>598.09999990463257</v>
      </c>
      <c r="D62" t="s">
        <v>423</v>
      </c>
      <c r="E62" t="s">
        <v>424</v>
      </c>
      <c r="F62" t="s">
        <v>330</v>
      </c>
      <c r="H62">
        <v>1690212865.5999999</v>
      </c>
      <c r="I62">
        <f t="shared" si="0"/>
        <v>8.994405183083196E-4</v>
      </c>
      <c r="J62">
        <f t="shared" si="1"/>
        <v>0.89944051830831961</v>
      </c>
      <c r="K62">
        <f t="shared" si="2"/>
        <v>10.365767666191765</v>
      </c>
      <c r="L62">
        <f t="shared" si="3"/>
        <v>673.87699999999995</v>
      </c>
      <c r="M62">
        <f t="shared" si="4"/>
        <v>198.527054776699</v>
      </c>
      <c r="N62">
        <f t="shared" si="5"/>
        <v>19.694053356100618</v>
      </c>
      <c r="O62">
        <f t="shared" si="6"/>
        <v>66.849173823570297</v>
      </c>
      <c r="P62">
        <f t="shared" si="7"/>
        <v>3.6522984588377619E-2</v>
      </c>
      <c r="Q62">
        <f t="shared" si="8"/>
        <v>2.0161206536637351</v>
      </c>
      <c r="R62">
        <f t="shared" si="9"/>
        <v>3.6159361891299535E-2</v>
      </c>
      <c r="S62">
        <f t="shared" si="10"/>
        <v>2.2631969461444541E-2</v>
      </c>
      <c r="T62">
        <f t="shared" si="11"/>
        <v>276.11400285279541</v>
      </c>
      <c r="U62">
        <f t="shared" si="12"/>
        <v>28.947768442409618</v>
      </c>
      <c r="V62">
        <f t="shared" si="13"/>
        <v>28.947768442409618</v>
      </c>
      <c r="W62">
        <f t="shared" si="14"/>
        <v>4.0096333520008294</v>
      </c>
      <c r="X62">
        <f t="shared" si="15"/>
        <v>45.084126280526334</v>
      </c>
      <c r="Y62">
        <f t="shared" si="16"/>
        <v>1.6119940357042202</v>
      </c>
      <c r="Z62">
        <f t="shared" si="17"/>
        <v>3.5755246218456849</v>
      </c>
      <c r="AA62">
        <f t="shared" si="18"/>
        <v>2.3976393162966092</v>
      </c>
      <c r="AB62">
        <f t="shared" si="19"/>
        <v>-39.665326857396892</v>
      </c>
      <c r="AC62">
        <f t="shared" si="20"/>
        <v>-213.58937419427292</v>
      </c>
      <c r="AD62">
        <f t="shared" si="21"/>
        <v>-23.084897725776088</v>
      </c>
      <c r="AE62">
        <f t="shared" si="22"/>
        <v>-0.22559592465051992</v>
      </c>
      <c r="AF62">
        <v>38</v>
      </c>
      <c r="AG62">
        <v>13</v>
      </c>
      <c r="AH62">
        <f t="shared" si="23"/>
        <v>1</v>
      </c>
      <c r="AI62">
        <f t="shared" si="24"/>
        <v>0</v>
      </c>
      <c r="AJ62">
        <f t="shared" si="25"/>
        <v>52599.684242774558</v>
      </c>
      <c r="AK62">
        <f t="shared" si="26"/>
        <v>1799.99</v>
      </c>
      <c r="AL62">
        <f t="shared" si="27"/>
        <v>1499.1042313968901</v>
      </c>
      <c r="AM62">
        <f t="shared" si="28"/>
        <v>0.832840311</v>
      </c>
      <c r="AN62">
        <f t="shared" si="29"/>
        <v>0.15339752046000002</v>
      </c>
      <c r="AO62">
        <v>34.5</v>
      </c>
      <c r="AP62">
        <v>0.5</v>
      </c>
      <c r="AQ62" t="s">
        <v>331</v>
      </c>
      <c r="AR62">
        <v>2</v>
      </c>
      <c r="AS62">
        <v>1690212865.5999999</v>
      </c>
      <c r="AT62">
        <v>673.87699999999995</v>
      </c>
      <c r="AU62">
        <v>799.98299999999995</v>
      </c>
      <c r="AV62">
        <v>16.2498</v>
      </c>
      <c r="AW62">
        <v>6.0800099999999997</v>
      </c>
      <c r="AX62">
        <v>674.3</v>
      </c>
      <c r="AY62">
        <v>16.1511</v>
      </c>
      <c r="AZ62">
        <v>300.16800000000001</v>
      </c>
      <c r="BA62">
        <v>99.100899999999996</v>
      </c>
      <c r="BB62">
        <v>9.9953899999999998E-2</v>
      </c>
      <c r="BC62">
        <v>26.982700000000001</v>
      </c>
      <c r="BD62">
        <v>26.982099999999999</v>
      </c>
      <c r="BE62">
        <v>28.966799999999999</v>
      </c>
      <c r="BF62">
        <v>0</v>
      </c>
      <c r="BG62">
        <v>0</v>
      </c>
      <c r="BH62">
        <v>10038.799999999999</v>
      </c>
      <c r="BI62">
        <v>1075.31</v>
      </c>
      <c r="BJ62">
        <v>2.0744500000000001</v>
      </c>
      <c r="BK62">
        <v>-126.10599999999999</v>
      </c>
      <c r="BL62">
        <v>685.00800000000004</v>
      </c>
      <c r="BM62">
        <v>804.87699999999995</v>
      </c>
      <c r="BN62">
        <v>10.1698</v>
      </c>
      <c r="BO62">
        <v>799.98299999999995</v>
      </c>
      <c r="BP62">
        <v>6.0800099999999997</v>
      </c>
      <c r="BQ62">
        <v>1.6103700000000001</v>
      </c>
      <c r="BR62">
        <v>0.60253500000000004</v>
      </c>
      <c r="BS62">
        <v>14.058400000000001</v>
      </c>
      <c r="BT62">
        <v>-0.25141000000000002</v>
      </c>
      <c r="BU62">
        <v>1799.99</v>
      </c>
      <c r="BV62">
        <v>0.909999</v>
      </c>
      <c r="BW62">
        <v>3.3998100000000003E-2</v>
      </c>
      <c r="BX62">
        <v>2.2001300000000001E-2</v>
      </c>
      <c r="BY62">
        <v>3.4001799999999999E-2</v>
      </c>
      <c r="BZ62">
        <v>26</v>
      </c>
      <c r="CA62">
        <v>33528.199999999997</v>
      </c>
      <c r="CB62">
        <v>1690211922</v>
      </c>
      <c r="CC62" t="s">
        <v>332</v>
      </c>
      <c r="CD62">
        <v>1690211915</v>
      </c>
      <c r="CE62">
        <v>1690211922</v>
      </c>
      <c r="CF62">
        <v>6</v>
      </c>
      <c r="CG62">
        <v>1.0999999999999999E-2</v>
      </c>
      <c r="CH62">
        <v>8.0000000000000002E-3</v>
      </c>
      <c r="CI62">
        <v>-0.51100000000000001</v>
      </c>
      <c r="CJ62">
        <v>-6.6000000000000003E-2</v>
      </c>
      <c r="CK62">
        <v>800</v>
      </c>
      <c r="CL62">
        <v>6</v>
      </c>
      <c r="CM62">
        <v>0.21</v>
      </c>
      <c r="CN62">
        <v>0.02</v>
      </c>
      <c r="CO62">
        <v>-122.7419</v>
      </c>
      <c r="CP62">
        <v>-19.841403377110499</v>
      </c>
      <c r="CQ62">
        <v>1.908788304134327</v>
      </c>
      <c r="CR62">
        <v>-1</v>
      </c>
      <c r="CS62">
        <v>10.013339999999999</v>
      </c>
      <c r="CT62">
        <v>0.91878979362096669</v>
      </c>
      <c r="CU62">
        <v>8.8384429030231471E-2</v>
      </c>
      <c r="CV62">
        <v>-1</v>
      </c>
      <c r="CW62">
        <v>0</v>
      </c>
      <c r="CX62">
        <v>0</v>
      </c>
      <c r="CY62" t="s">
        <v>333</v>
      </c>
      <c r="CZ62">
        <v>2.3641999999999999</v>
      </c>
      <c r="DA62">
        <v>2.7137799999999999</v>
      </c>
      <c r="DB62">
        <v>0.13051199999999999</v>
      </c>
      <c r="DC62">
        <v>0.146038</v>
      </c>
      <c r="DD62">
        <v>8.6212499999999997E-2</v>
      </c>
      <c r="DE62">
        <v>3.9862300000000003E-2</v>
      </c>
      <c r="DF62">
        <v>31720.9</v>
      </c>
      <c r="DG62">
        <v>27482.6</v>
      </c>
      <c r="DH62">
        <v>31146.2</v>
      </c>
      <c r="DI62">
        <v>28043.8</v>
      </c>
      <c r="DJ62">
        <v>38646.300000000003</v>
      </c>
      <c r="DK62">
        <v>38284.400000000001</v>
      </c>
      <c r="DL62">
        <v>44320.1</v>
      </c>
      <c r="DM62">
        <v>42497.599999999999</v>
      </c>
      <c r="DN62">
        <v>1.37382</v>
      </c>
      <c r="DO62">
        <v>2.03165</v>
      </c>
      <c r="DP62">
        <v>7.4945399999999995E-2</v>
      </c>
      <c r="DQ62">
        <v>0.20577799999999999</v>
      </c>
      <c r="DR62">
        <v>25.755199999999999</v>
      </c>
      <c r="DS62">
        <v>25.603100000000001</v>
      </c>
      <c r="DT62">
        <v>18.100000000000001</v>
      </c>
      <c r="DU62">
        <v>29.6</v>
      </c>
      <c r="DV62">
        <v>7.6038699999999997</v>
      </c>
      <c r="DW62">
        <v>61.151200000000003</v>
      </c>
      <c r="DX62">
        <v>35.933500000000002</v>
      </c>
      <c r="DY62">
        <v>1</v>
      </c>
      <c r="DZ62">
        <v>-7.0007600000000003E-2</v>
      </c>
      <c r="EA62">
        <v>8.5430300000000001E-3</v>
      </c>
      <c r="EB62">
        <v>20.189800000000002</v>
      </c>
      <c r="EC62">
        <v>5.2408000000000001</v>
      </c>
      <c r="ED62">
        <v>12.039899999999999</v>
      </c>
      <c r="EE62">
        <v>5.01715</v>
      </c>
      <c r="EF62">
        <v>3.2879999999999998</v>
      </c>
      <c r="EG62">
        <v>9999</v>
      </c>
      <c r="EH62">
        <v>9999</v>
      </c>
      <c r="EI62">
        <v>9999</v>
      </c>
      <c r="EJ62">
        <v>999.9</v>
      </c>
      <c r="EK62">
        <v>1.86893</v>
      </c>
      <c r="EL62">
        <v>1.86466</v>
      </c>
      <c r="EM62">
        <v>1.8691899999999999</v>
      </c>
      <c r="EN62">
        <v>1.8672500000000001</v>
      </c>
      <c r="EO62">
        <v>1.8633999999999999</v>
      </c>
      <c r="EP62">
        <v>1.86459</v>
      </c>
      <c r="EQ62">
        <v>1.87015</v>
      </c>
      <c r="ER62">
        <v>1.86947</v>
      </c>
      <c r="ES62">
        <v>0</v>
      </c>
      <c r="ET62">
        <v>0</v>
      </c>
      <c r="EU62">
        <v>0</v>
      </c>
      <c r="EV62">
        <v>0</v>
      </c>
      <c r="EW62" t="s">
        <v>334</v>
      </c>
      <c r="EX62" t="s">
        <v>335</v>
      </c>
      <c r="EY62" t="s">
        <v>336</v>
      </c>
      <c r="EZ62" t="s">
        <v>336</v>
      </c>
      <c r="FA62" t="s">
        <v>336</v>
      </c>
      <c r="FB62" t="s">
        <v>336</v>
      </c>
      <c r="FC62">
        <v>0</v>
      </c>
      <c r="FD62">
        <v>100</v>
      </c>
      <c r="FE62">
        <v>100</v>
      </c>
      <c r="FF62">
        <v>-0.42299999999999999</v>
      </c>
      <c r="FG62">
        <v>9.8699999999999996E-2</v>
      </c>
      <c r="FH62">
        <v>4.0020685143421282E-2</v>
      </c>
      <c r="FI62">
        <v>-6.1462078757559423E-4</v>
      </c>
      <c r="FJ62">
        <v>-1.8861989874597051E-7</v>
      </c>
      <c r="FK62">
        <v>1.1980462299894961E-10</v>
      </c>
      <c r="FL62">
        <v>-3.1035565592992288E-2</v>
      </c>
      <c r="FM62">
        <v>-1.6848085045870601E-2</v>
      </c>
      <c r="FN62">
        <v>1.9789084769509481E-3</v>
      </c>
      <c r="FO62">
        <v>-2.7142391389806329E-5</v>
      </c>
      <c r="FP62">
        <v>3</v>
      </c>
      <c r="FQ62">
        <v>2158</v>
      </c>
      <c r="FR62">
        <v>1</v>
      </c>
      <c r="FS62">
        <v>19</v>
      </c>
      <c r="FT62">
        <v>15.8</v>
      </c>
      <c r="FU62">
        <v>15.7</v>
      </c>
      <c r="FV62">
        <v>1.77979</v>
      </c>
      <c r="FW62">
        <v>2.5817899999999998</v>
      </c>
      <c r="FX62">
        <v>1.5490699999999999</v>
      </c>
      <c r="FY62">
        <v>2.3290999999999999</v>
      </c>
      <c r="FZ62">
        <v>1.50146</v>
      </c>
      <c r="GA62">
        <v>2.3022499999999999</v>
      </c>
      <c r="GB62">
        <v>33.805700000000002</v>
      </c>
      <c r="GC62">
        <v>23.982399999999998</v>
      </c>
      <c r="GD62">
        <v>19</v>
      </c>
      <c r="GE62">
        <v>242.59299999999999</v>
      </c>
      <c r="GF62">
        <v>582.08500000000004</v>
      </c>
      <c r="GG62">
        <v>24.962</v>
      </c>
      <c r="GH62">
        <v>26.520399999999999</v>
      </c>
      <c r="GI62">
        <v>30</v>
      </c>
      <c r="GJ62">
        <v>26.624099999999999</v>
      </c>
      <c r="GK62">
        <v>26.589099999999998</v>
      </c>
      <c r="GL62">
        <v>35.5871</v>
      </c>
      <c r="GM62">
        <v>-30</v>
      </c>
      <c r="GN62">
        <v>-30</v>
      </c>
      <c r="GO62">
        <v>24.9663</v>
      </c>
      <c r="GP62">
        <v>800</v>
      </c>
      <c r="GQ62">
        <v>12.5298</v>
      </c>
      <c r="GR62">
        <v>99.649500000000003</v>
      </c>
      <c r="GS62">
        <v>99.423199999999994</v>
      </c>
    </row>
    <row r="63" spans="1:201" x14ac:dyDescent="0.25">
      <c r="A63">
        <v>47</v>
      </c>
      <c r="B63">
        <v>1690212875.5999999</v>
      </c>
      <c r="C63">
        <v>608.09999990463257</v>
      </c>
      <c r="D63" t="s">
        <v>425</v>
      </c>
      <c r="E63" t="s">
        <v>426</v>
      </c>
      <c r="F63" t="s">
        <v>330</v>
      </c>
      <c r="H63">
        <v>1690212875.5999999</v>
      </c>
      <c r="I63">
        <f t="shared" si="0"/>
        <v>9.1389280195512234E-4</v>
      </c>
      <c r="J63">
        <f t="shared" si="1"/>
        <v>0.91389280195512235</v>
      </c>
      <c r="K63">
        <f t="shared" si="2"/>
        <v>10.668186509156881</v>
      </c>
      <c r="L63">
        <f t="shared" si="3"/>
        <v>670.47699999999998</v>
      </c>
      <c r="M63">
        <f t="shared" si="4"/>
        <v>192.63162498288023</v>
      </c>
      <c r="N63">
        <f t="shared" si="5"/>
        <v>19.108509469539243</v>
      </c>
      <c r="O63">
        <f t="shared" si="6"/>
        <v>66.509411965698192</v>
      </c>
      <c r="P63">
        <f t="shared" si="7"/>
        <v>3.7368355336003529E-2</v>
      </c>
      <c r="Q63">
        <f t="shared" si="8"/>
        <v>2.0133363972305327</v>
      </c>
      <c r="R63">
        <f t="shared" si="9"/>
        <v>3.6987278939692489E-2</v>
      </c>
      <c r="S63">
        <f t="shared" si="10"/>
        <v>2.3150963611605867E-2</v>
      </c>
      <c r="T63">
        <f t="shared" si="11"/>
        <v>276.11361693493939</v>
      </c>
      <c r="U63">
        <f t="shared" si="12"/>
        <v>28.945515103660338</v>
      </c>
      <c r="V63">
        <f t="shared" si="13"/>
        <v>28.945515103660338</v>
      </c>
      <c r="W63">
        <f t="shared" si="14"/>
        <v>4.0091103610730041</v>
      </c>
      <c r="X63">
        <f t="shared" si="15"/>
        <v>45.523348498393048</v>
      </c>
      <c r="Y63">
        <f t="shared" si="16"/>
        <v>1.6277559017963801</v>
      </c>
      <c r="Z63">
        <f t="shared" si="17"/>
        <v>3.575650639701601</v>
      </c>
      <c r="AA63">
        <f t="shared" si="18"/>
        <v>2.3813544592766238</v>
      </c>
      <c r="AB63">
        <f t="shared" si="19"/>
        <v>-40.302672566220892</v>
      </c>
      <c r="AC63">
        <f t="shared" si="20"/>
        <v>-212.98469799963067</v>
      </c>
      <c r="AD63">
        <f t="shared" si="21"/>
        <v>-23.051187098223309</v>
      </c>
      <c r="AE63">
        <f t="shared" si="22"/>
        <v>-0.2249407291354828</v>
      </c>
      <c r="AF63">
        <v>38</v>
      </c>
      <c r="AG63">
        <v>13</v>
      </c>
      <c r="AH63">
        <f t="shared" si="23"/>
        <v>1</v>
      </c>
      <c r="AI63">
        <f t="shared" si="24"/>
        <v>0</v>
      </c>
      <c r="AJ63">
        <f t="shared" si="25"/>
        <v>52465.528017344899</v>
      </c>
      <c r="AK63">
        <f t="shared" si="26"/>
        <v>1799.99</v>
      </c>
      <c r="AL63">
        <f t="shared" si="27"/>
        <v>1499.1052393912898</v>
      </c>
      <c r="AM63">
        <f t="shared" si="28"/>
        <v>0.83284087099999993</v>
      </c>
      <c r="AN63">
        <f t="shared" si="29"/>
        <v>0.15339730605999999</v>
      </c>
      <c r="AO63">
        <v>34.5</v>
      </c>
      <c r="AP63">
        <v>0.5</v>
      </c>
      <c r="AQ63" t="s">
        <v>331</v>
      </c>
      <c r="AR63">
        <v>2</v>
      </c>
      <c r="AS63">
        <v>1690212875.5999999</v>
      </c>
      <c r="AT63">
        <v>670.47699999999998</v>
      </c>
      <c r="AU63">
        <v>800.12300000000005</v>
      </c>
      <c r="AV63">
        <v>16.409300000000002</v>
      </c>
      <c r="AW63">
        <v>6.0787399999999998</v>
      </c>
      <c r="AX63">
        <v>670.89800000000002</v>
      </c>
      <c r="AY63">
        <v>16.3065</v>
      </c>
      <c r="AZ63">
        <v>300.19600000000003</v>
      </c>
      <c r="BA63">
        <v>99.097200000000001</v>
      </c>
      <c r="BB63">
        <v>9.9956600000000007E-2</v>
      </c>
      <c r="BC63">
        <v>26.9833</v>
      </c>
      <c r="BD63">
        <v>26.9709</v>
      </c>
      <c r="BE63">
        <v>28.982500000000002</v>
      </c>
      <c r="BF63">
        <v>0</v>
      </c>
      <c r="BG63">
        <v>0</v>
      </c>
      <c r="BH63">
        <v>10012.5</v>
      </c>
      <c r="BI63">
        <v>1075.33</v>
      </c>
      <c r="BJ63">
        <v>2.0744500000000001</v>
      </c>
      <c r="BK63">
        <v>-129.64699999999999</v>
      </c>
      <c r="BL63">
        <v>681.66200000000003</v>
      </c>
      <c r="BM63">
        <v>805.01700000000005</v>
      </c>
      <c r="BN63">
        <v>10.330500000000001</v>
      </c>
      <c r="BO63">
        <v>800.12300000000005</v>
      </c>
      <c r="BP63">
        <v>6.0787399999999998</v>
      </c>
      <c r="BQ63">
        <v>1.6261099999999999</v>
      </c>
      <c r="BR63">
        <v>0.60238700000000001</v>
      </c>
      <c r="BS63">
        <v>14.208500000000001</v>
      </c>
      <c r="BT63">
        <v>-0.25479099999999999</v>
      </c>
      <c r="BU63">
        <v>1799.99</v>
      </c>
      <c r="BV63">
        <v>0.91000700000000001</v>
      </c>
      <c r="BW63">
        <v>3.3994999999999997E-2</v>
      </c>
      <c r="BX63">
        <v>2.1999299999999999E-2</v>
      </c>
      <c r="BY63">
        <v>3.3998800000000003E-2</v>
      </c>
      <c r="BZ63">
        <v>25.958300000000001</v>
      </c>
      <c r="CA63">
        <v>33528.199999999997</v>
      </c>
      <c r="CB63">
        <v>1690211922</v>
      </c>
      <c r="CC63" t="s">
        <v>332</v>
      </c>
      <c r="CD63">
        <v>1690211915</v>
      </c>
      <c r="CE63">
        <v>1690211922</v>
      </c>
      <c r="CF63">
        <v>6</v>
      </c>
      <c r="CG63">
        <v>1.0999999999999999E-2</v>
      </c>
      <c r="CH63">
        <v>8.0000000000000002E-3</v>
      </c>
      <c r="CI63">
        <v>-0.51100000000000001</v>
      </c>
      <c r="CJ63">
        <v>-6.6000000000000003E-2</v>
      </c>
      <c r="CK63">
        <v>800</v>
      </c>
      <c r="CL63">
        <v>6</v>
      </c>
      <c r="CM63">
        <v>0.21</v>
      </c>
      <c r="CN63">
        <v>0.02</v>
      </c>
      <c r="CO63">
        <v>-126.1003</v>
      </c>
      <c r="CP63">
        <v>-20.42519324577842</v>
      </c>
      <c r="CQ63">
        <v>1.9653153716388629</v>
      </c>
      <c r="CR63">
        <v>-1</v>
      </c>
      <c r="CS63">
        <v>10.168537499999999</v>
      </c>
      <c r="CT63">
        <v>0.94331594746713487</v>
      </c>
      <c r="CU63">
        <v>9.0750825581644295E-2</v>
      </c>
      <c r="CV63">
        <v>-1</v>
      </c>
      <c r="CW63">
        <v>0</v>
      </c>
      <c r="CX63">
        <v>0</v>
      </c>
      <c r="CY63" t="s">
        <v>333</v>
      </c>
      <c r="CZ63">
        <v>2.3643100000000001</v>
      </c>
      <c r="DA63">
        <v>2.7137600000000002</v>
      </c>
      <c r="DB63">
        <v>0.130056</v>
      </c>
      <c r="DC63">
        <v>0.14605099999999999</v>
      </c>
      <c r="DD63">
        <v>8.6816699999999997E-2</v>
      </c>
      <c r="DE63">
        <v>3.9854399999999998E-2</v>
      </c>
      <c r="DF63">
        <v>31737.7</v>
      </c>
      <c r="DG63">
        <v>27482.6</v>
      </c>
      <c r="DH63">
        <v>31146.400000000001</v>
      </c>
      <c r="DI63">
        <v>28044.1</v>
      </c>
      <c r="DJ63">
        <v>38620.699999999997</v>
      </c>
      <c r="DK63">
        <v>38285.300000000003</v>
      </c>
      <c r="DL63">
        <v>44320.4</v>
      </c>
      <c r="DM63">
        <v>42498.2</v>
      </c>
      <c r="DN63">
        <v>1.3735299999999999</v>
      </c>
      <c r="DO63">
        <v>2.0317500000000002</v>
      </c>
      <c r="DP63">
        <v>7.4416399999999994E-2</v>
      </c>
      <c r="DQ63">
        <v>0.20683599999999999</v>
      </c>
      <c r="DR63">
        <v>25.752600000000001</v>
      </c>
      <c r="DS63">
        <v>25.601500000000001</v>
      </c>
      <c r="DT63">
        <v>18.100000000000001</v>
      </c>
      <c r="DU63">
        <v>29.6</v>
      </c>
      <c r="DV63">
        <v>7.6043500000000002</v>
      </c>
      <c r="DW63">
        <v>61.651200000000003</v>
      </c>
      <c r="DX63">
        <v>36.041699999999999</v>
      </c>
      <c r="DY63">
        <v>1</v>
      </c>
      <c r="DZ63">
        <v>-7.0055900000000004E-2</v>
      </c>
      <c r="EA63">
        <v>-7.31754E-3</v>
      </c>
      <c r="EB63">
        <v>20.189900000000002</v>
      </c>
      <c r="EC63">
        <v>5.2411000000000003</v>
      </c>
      <c r="ED63">
        <v>12.039899999999999</v>
      </c>
      <c r="EE63">
        <v>5.0171999999999999</v>
      </c>
      <c r="EF63">
        <v>3.2879999999999998</v>
      </c>
      <c r="EG63">
        <v>9999</v>
      </c>
      <c r="EH63">
        <v>9999</v>
      </c>
      <c r="EI63">
        <v>9999</v>
      </c>
      <c r="EJ63">
        <v>999.9</v>
      </c>
      <c r="EK63">
        <v>1.8689199999999999</v>
      </c>
      <c r="EL63">
        <v>1.86466</v>
      </c>
      <c r="EM63">
        <v>1.8692</v>
      </c>
      <c r="EN63">
        <v>1.8672500000000001</v>
      </c>
      <c r="EO63">
        <v>1.8633999999999999</v>
      </c>
      <c r="EP63">
        <v>1.8645799999999999</v>
      </c>
      <c r="EQ63">
        <v>1.87018</v>
      </c>
      <c r="ER63">
        <v>1.8694900000000001</v>
      </c>
      <c r="ES63">
        <v>0</v>
      </c>
      <c r="ET63">
        <v>0</v>
      </c>
      <c r="EU63">
        <v>0</v>
      </c>
      <c r="EV63">
        <v>0</v>
      </c>
      <c r="EW63" t="s">
        <v>334</v>
      </c>
      <c r="EX63" t="s">
        <v>335</v>
      </c>
      <c r="EY63" t="s">
        <v>336</v>
      </c>
      <c r="EZ63" t="s">
        <v>336</v>
      </c>
      <c r="FA63" t="s">
        <v>336</v>
      </c>
      <c r="FB63" t="s">
        <v>336</v>
      </c>
      <c r="FC63">
        <v>0</v>
      </c>
      <c r="FD63">
        <v>100</v>
      </c>
      <c r="FE63">
        <v>100</v>
      </c>
      <c r="FF63">
        <v>-0.42099999999999999</v>
      </c>
      <c r="FG63">
        <v>0.1028</v>
      </c>
      <c r="FH63">
        <v>4.0020685143421282E-2</v>
      </c>
      <c r="FI63">
        <v>-6.1462078757559423E-4</v>
      </c>
      <c r="FJ63">
        <v>-1.8861989874597051E-7</v>
      </c>
      <c r="FK63">
        <v>1.1980462299894961E-10</v>
      </c>
      <c r="FL63">
        <v>-3.1035565592992288E-2</v>
      </c>
      <c r="FM63">
        <v>-1.6848085045870601E-2</v>
      </c>
      <c r="FN63">
        <v>1.9789084769509481E-3</v>
      </c>
      <c r="FO63">
        <v>-2.7142391389806329E-5</v>
      </c>
      <c r="FP63">
        <v>3</v>
      </c>
      <c r="FQ63">
        <v>2158</v>
      </c>
      <c r="FR63">
        <v>1</v>
      </c>
      <c r="FS63">
        <v>19</v>
      </c>
      <c r="FT63">
        <v>16</v>
      </c>
      <c r="FU63">
        <v>15.9</v>
      </c>
      <c r="FV63">
        <v>1.77979</v>
      </c>
      <c r="FW63">
        <v>2.5793499999999998</v>
      </c>
      <c r="FX63">
        <v>1.5490699999999999</v>
      </c>
      <c r="FY63">
        <v>2.3290999999999999</v>
      </c>
      <c r="FZ63">
        <v>1.50146</v>
      </c>
      <c r="GA63">
        <v>2.2997999999999998</v>
      </c>
      <c r="GB63">
        <v>33.805700000000002</v>
      </c>
      <c r="GC63">
        <v>23.982399999999998</v>
      </c>
      <c r="GD63">
        <v>19</v>
      </c>
      <c r="GE63">
        <v>242.47900000000001</v>
      </c>
      <c r="GF63">
        <v>582.16800000000001</v>
      </c>
      <c r="GG63">
        <v>24.9862</v>
      </c>
      <c r="GH63">
        <v>26.5182</v>
      </c>
      <c r="GI63">
        <v>29.9999</v>
      </c>
      <c r="GJ63">
        <v>26.624099999999999</v>
      </c>
      <c r="GK63">
        <v>26.589099999999998</v>
      </c>
      <c r="GL63">
        <v>35.584600000000002</v>
      </c>
      <c r="GM63">
        <v>-30</v>
      </c>
      <c r="GN63">
        <v>-30</v>
      </c>
      <c r="GO63">
        <v>24.995699999999999</v>
      </c>
      <c r="GP63">
        <v>800</v>
      </c>
      <c r="GQ63">
        <v>12.5298</v>
      </c>
      <c r="GR63">
        <v>99.650099999999995</v>
      </c>
      <c r="GS63">
        <v>99.424499999999995</v>
      </c>
    </row>
    <row r="64" spans="1:201" x14ac:dyDescent="0.25">
      <c r="A64">
        <v>48</v>
      </c>
      <c r="B64">
        <v>1690212885.5999999</v>
      </c>
      <c r="C64">
        <v>618.09999990463257</v>
      </c>
      <c r="D64" t="s">
        <v>427</v>
      </c>
      <c r="E64" t="s">
        <v>428</v>
      </c>
      <c r="F64" t="s">
        <v>330</v>
      </c>
      <c r="H64">
        <v>1690212885.5999999</v>
      </c>
      <c r="I64">
        <f t="shared" si="0"/>
        <v>9.2838083414660067E-4</v>
      </c>
      <c r="J64">
        <f t="shared" si="1"/>
        <v>0.92838083414660066</v>
      </c>
      <c r="K64">
        <f t="shared" si="2"/>
        <v>10.953183939850538</v>
      </c>
      <c r="L64">
        <f t="shared" si="3"/>
        <v>667.02300000000002</v>
      </c>
      <c r="M64">
        <f t="shared" si="4"/>
        <v>188.02271574619161</v>
      </c>
      <c r="N64">
        <f t="shared" si="5"/>
        <v>18.651682997034928</v>
      </c>
      <c r="O64">
        <f t="shared" si="6"/>
        <v>66.168077077055102</v>
      </c>
      <c r="P64">
        <f t="shared" si="7"/>
        <v>3.8255284423521926E-2</v>
      </c>
      <c r="Q64">
        <f t="shared" si="8"/>
        <v>2.0117874496318091</v>
      </c>
      <c r="R64">
        <f t="shared" si="9"/>
        <v>3.7855704140944024E-2</v>
      </c>
      <c r="S64">
        <f t="shared" si="10"/>
        <v>2.3695367915993588E-2</v>
      </c>
      <c r="T64">
        <f t="shared" si="11"/>
        <v>276.11344759188017</v>
      </c>
      <c r="U64">
        <f t="shared" si="12"/>
        <v>28.938264134050169</v>
      </c>
      <c r="V64">
        <f t="shared" si="13"/>
        <v>28.938264134050169</v>
      </c>
      <c r="W64">
        <f t="shared" si="14"/>
        <v>4.0074278436294417</v>
      </c>
      <c r="X64">
        <f t="shared" si="15"/>
        <v>45.985083164549323</v>
      </c>
      <c r="Y64">
        <f t="shared" si="16"/>
        <v>1.64394722061514</v>
      </c>
      <c r="Z64">
        <f t="shared" si="17"/>
        <v>3.5749575894699843</v>
      </c>
      <c r="AA64">
        <f t="shared" si="18"/>
        <v>2.3634806230143015</v>
      </c>
      <c r="AB64">
        <f t="shared" si="19"/>
        <v>-40.941594785865092</v>
      </c>
      <c r="AC64">
        <f t="shared" si="20"/>
        <v>-212.39231944279717</v>
      </c>
      <c r="AD64">
        <f t="shared" si="21"/>
        <v>-23.003562273410584</v>
      </c>
      <c r="AE64">
        <f t="shared" si="22"/>
        <v>-0.22402891019268623</v>
      </c>
      <c r="AF64">
        <v>38</v>
      </c>
      <c r="AG64">
        <v>13</v>
      </c>
      <c r="AH64">
        <f t="shared" si="23"/>
        <v>1</v>
      </c>
      <c r="AI64">
        <f t="shared" si="24"/>
        <v>0</v>
      </c>
      <c r="AJ64">
        <f t="shared" si="25"/>
        <v>52391.728533373309</v>
      </c>
      <c r="AK64">
        <f t="shared" si="26"/>
        <v>1799.99</v>
      </c>
      <c r="AL64">
        <f t="shared" si="27"/>
        <v>1499.10650298427</v>
      </c>
      <c r="AM64">
        <f t="shared" si="28"/>
        <v>0.83284157300000006</v>
      </c>
      <c r="AN64">
        <f t="shared" si="29"/>
        <v>0.15339721197999998</v>
      </c>
      <c r="AO64">
        <v>34.5</v>
      </c>
      <c r="AP64">
        <v>0.5</v>
      </c>
      <c r="AQ64" t="s">
        <v>331</v>
      </c>
      <c r="AR64">
        <v>2</v>
      </c>
      <c r="AS64">
        <v>1690212885.5999999</v>
      </c>
      <c r="AT64">
        <v>667.02300000000002</v>
      </c>
      <c r="AU64">
        <v>800.05899999999997</v>
      </c>
      <c r="AV64">
        <v>16.572199999999999</v>
      </c>
      <c r="AW64">
        <v>6.07646</v>
      </c>
      <c r="AX64">
        <v>667.44200000000001</v>
      </c>
      <c r="AY64">
        <v>16.465399999999999</v>
      </c>
      <c r="AZ64">
        <v>300.10599999999999</v>
      </c>
      <c r="BA64">
        <v>99.099100000000007</v>
      </c>
      <c r="BB64">
        <v>9.9993700000000005E-2</v>
      </c>
      <c r="BC64">
        <v>26.98</v>
      </c>
      <c r="BD64">
        <v>26.974699999999999</v>
      </c>
      <c r="BE64">
        <v>28.956199999999999</v>
      </c>
      <c r="BF64">
        <v>0</v>
      </c>
      <c r="BG64">
        <v>0</v>
      </c>
      <c r="BH64">
        <v>9997.5</v>
      </c>
      <c r="BI64">
        <v>1075.3</v>
      </c>
      <c r="BJ64">
        <v>2.0744500000000001</v>
      </c>
      <c r="BK64">
        <v>-133.035</v>
      </c>
      <c r="BL64">
        <v>678.26400000000001</v>
      </c>
      <c r="BM64">
        <v>804.95</v>
      </c>
      <c r="BN64">
        <v>10.495799999999999</v>
      </c>
      <c r="BO64">
        <v>800.05899999999997</v>
      </c>
      <c r="BP64">
        <v>6.07646</v>
      </c>
      <c r="BQ64">
        <v>1.64229</v>
      </c>
      <c r="BR64">
        <v>0.60217200000000004</v>
      </c>
      <c r="BS64">
        <v>14.361499999999999</v>
      </c>
      <c r="BT64">
        <v>-0.25968000000000002</v>
      </c>
      <c r="BU64">
        <v>1799.99</v>
      </c>
      <c r="BV64">
        <v>0.91001299999999996</v>
      </c>
      <c r="BW64">
        <v>3.39929E-2</v>
      </c>
      <c r="BX64">
        <v>2.1997900000000001E-2</v>
      </c>
      <c r="BY64">
        <v>3.3996600000000002E-2</v>
      </c>
      <c r="BZ64">
        <v>26</v>
      </c>
      <c r="CA64">
        <v>33528.300000000003</v>
      </c>
      <c r="CB64">
        <v>1690211922</v>
      </c>
      <c r="CC64" t="s">
        <v>332</v>
      </c>
      <c r="CD64">
        <v>1690211915</v>
      </c>
      <c r="CE64">
        <v>1690211922</v>
      </c>
      <c r="CF64">
        <v>6</v>
      </c>
      <c r="CG64">
        <v>1.0999999999999999E-2</v>
      </c>
      <c r="CH64">
        <v>8.0000000000000002E-3</v>
      </c>
      <c r="CI64">
        <v>-0.51100000000000001</v>
      </c>
      <c r="CJ64">
        <v>-6.6000000000000003E-2</v>
      </c>
      <c r="CK64">
        <v>800</v>
      </c>
      <c r="CL64">
        <v>6</v>
      </c>
      <c r="CM64">
        <v>0.21</v>
      </c>
      <c r="CN64">
        <v>0.02</v>
      </c>
      <c r="CO64">
        <v>-129.4795</v>
      </c>
      <c r="CP64">
        <v>-20.325478424015031</v>
      </c>
      <c r="CQ64">
        <v>1.9566191376964499</v>
      </c>
      <c r="CR64">
        <v>-1</v>
      </c>
      <c r="CS64">
        <v>10.327995</v>
      </c>
      <c r="CT64">
        <v>0.97494709193241946</v>
      </c>
      <c r="CU64">
        <v>9.3797862315726607E-2</v>
      </c>
      <c r="CV64">
        <v>-1</v>
      </c>
      <c r="CW64">
        <v>0</v>
      </c>
      <c r="CX64">
        <v>0</v>
      </c>
      <c r="CY64" t="s">
        <v>333</v>
      </c>
      <c r="CZ64">
        <v>2.36402</v>
      </c>
      <c r="DA64">
        <v>2.7137799999999999</v>
      </c>
      <c r="DB64">
        <v>0.12959899999999999</v>
      </c>
      <c r="DC64">
        <v>0.14604500000000001</v>
      </c>
      <c r="DD64">
        <v>8.7435600000000002E-2</v>
      </c>
      <c r="DE64">
        <v>3.9842799999999998E-2</v>
      </c>
      <c r="DF64">
        <v>31754.1</v>
      </c>
      <c r="DG64">
        <v>27482.7</v>
      </c>
      <c r="DH64">
        <v>31146.1</v>
      </c>
      <c r="DI64">
        <v>28044</v>
      </c>
      <c r="DJ64">
        <v>38593.800000000003</v>
      </c>
      <c r="DK64">
        <v>38285.699999999997</v>
      </c>
      <c r="DL64">
        <v>44319.8</v>
      </c>
      <c r="DM64">
        <v>42498.1</v>
      </c>
      <c r="DN64">
        <v>1.3743000000000001</v>
      </c>
      <c r="DO64">
        <v>2.0316700000000001</v>
      </c>
      <c r="DP64">
        <v>7.4751700000000004E-2</v>
      </c>
      <c r="DQ64">
        <v>0.20521900000000001</v>
      </c>
      <c r="DR64">
        <v>25.751000000000001</v>
      </c>
      <c r="DS64">
        <v>25.601500000000001</v>
      </c>
      <c r="DT64">
        <v>18.100000000000001</v>
      </c>
      <c r="DU64">
        <v>29.6</v>
      </c>
      <c r="DV64">
        <v>7.6045199999999999</v>
      </c>
      <c r="DW64">
        <v>61.731200000000001</v>
      </c>
      <c r="DX64">
        <v>36.362200000000001</v>
      </c>
      <c r="DY64">
        <v>1</v>
      </c>
      <c r="DZ64">
        <v>-7.0096500000000006E-2</v>
      </c>
      <c r="EA64">
        <v>-3.4697699999999998E-2</v>
      </c>
      <c r="EB64">
        <v>20.189699999999998</v>
      </c>
      <c r="EC64">
        <v>5.2409499999999998</v>
      </c>
      <c r="ED64">
        <v>12.039899999999999</v>
      </c>
      <c r="EE64">
        <v>5.0171000000000001</v>
      </c>
      <c r="EF64">
        <v>3.2879999999999998</v>
      </c>
      <c r="EG64">
        <v>9999</v>
      </c>
      <c r="EH64">
        <v>9999</v>
      </c>
      <c r="EI64">
        <v>9999</v>
      </c>
      <c r="EJ64">
        <v>999.9</v>
      </c>
      <c r="EK64">
        <v>1.86893</v>
      </c>
      <c r="EL64">
        <v>1.8646400000000001</v>
      </c>
      <c r="EM64">
        <v>1.8692</v>
      </c>
      <c r="EN64">
        <v>1.8672500000000001</v>
      </c>
      <c r="EO64">
        <v>1.8633999999999999</v>
      </c>
      <c r="EP64">
        <v>1.86456</v>
      </c>
      <c r="EQ64">
        <v>1.8701700000000001</v>
      </c>
      <c r="ER64">
        <v>1.8694500000000001</v>
      </c>
      <c r="ES64">
        <v>0</v>
      </c>
      <c r="ET64">
        <v>0</v>
      </c>
      <c r="EU64">
        <v>0</v>
      </c>
      <c r="EV64">
        <v>0</v>
      </c>
      <c r="EW64" t="s">
        <v>334</v>
      </c>
      <c r="EX64" t="s">
        <v>335</v>
      </c>
      <c r="EY64" t="s">
        <v>336</v>
      </c>
      <c r="EZ64" t="s">
        <v>336</v>
      </c>
      <c r="FA64" t="s">
        <v>336</v>
      </c>
      <c r="FB64" t="s">
        <v>336</v>
      </c>
      <c r="FC64">
        <v>0</v>
      </c>
      <c r="FD64">
        <v>100</v>
      </c>
      <c r="FE64">
        <v>100</v>
      </c>
      <c r="FF64">
        <v>-0.41899999999999998</v>
      </c>
      <c r="FG64">
        <v>0.10680000000000001</v>
      </c>
      <c r="FH64">
        <v>4.0020685143421282E-2</v>
      </c>
      <c r="FI64">
        <v>-6.1462078757559423E-4</v>
      </c>
      <c r="FJ64">
        <v>-1.8861989874597051E-7</v>
      </c>
      <c r="FK64">
        <v>1.1980462299894961E-10</v>
      </c>
      <c r="FL64">
        <v>-3.1035565592992288E-2</v>
      </c>
      <c r="FM64">
        <v>-1.6848085045870601E-2</v>
      </c>
      <c r="FN64">
        <v>1.9789084769509481E-3</v>
      </c>
      <c r="FO64">
        <v>-2.7142391389806329E-5</v>
      </c>
      <c r="FP64">
        <v>3</v>
      </c>
      <c r="FQ64">
        <v>2158</v>
      </c>
      <c r="FR64">
        <v>1</v>
      </c>
      <c r="FS64">
        <v>19</v>
      </c>
      <c r="FT64">
        <v>16.2</v>
      </c>
      <c r="FU64">
        <v>16.100000000000001</v>
      </c>
      <c r="FV64">
        <v>1.77979</v>
      </c>
      <c r="FW64">
        <v>2.5793499999999998</v>
      </c>
      <c r="FX64">
        <v>1.5490699999999999</v>
      </c>
      <c r="FY64">
        <v>2.3290999999999999</v>
      </c>
      <c r="FZ64">
        <v>1.50146</v>
      </c>
      <c r="GA64">
        <v>2.32544</v>
      </c>
      <c r="GB64">
        <v>33.805700000000002</v>
      </c>
      <c r="GC64">
        <v>23.982399999999998</v>
      </c>
      <c r="GD64">
        <v>19</v>
      </c>
      <c r="GE64">
        <v>242.77500000000001</v>
      </c>
      <c r="GF64">
        <v>582.10599999999999</v>
      </c>
      <c r="GG64">
        <v>25.0213</v>
      </c>
      <c r="GH64">
        <v>26.515699999999999</v>
      </c>
      <c r="GI64">
        <v>30</v>
      </c>
      <c r="GJ64">
        <v>26.624099999999999</v>
      </c>
      <c r="GK64">
        <v>26.589099999999998</v>
      </c>
      <c r="GL64">
        <v>35.587699999999998</v>
      </c>
      <c r="GM64">
        <v>-30</v>
      </c>
      <c r="GN64">
        <v>-30</v>
      </c>
      <c r="GO64">
        <v>25.028600000000001</v>
      </c>
      <c r="GP64">
        <v>800</v>
      </c>
      <c r="GQ64">
        <v>12.5298</v>
      </c>
      <c r="GR64">
        <v>99.648799999999994</v>
      </c>
      <c r="GS64">
        <v>99.424300000000002</v>
      </c>
    </row>
    <row r="65" spans="1:201" x14ac:dyDescent="0.25">
      <c r="A65">
        <v>49</v>
      </c>
      <c r="B65">
        <v>1690212895.5999999</v>
      </c>
      <c r="C65">
        <v>628.09999990463257</v>
      </c>
      <c r="D65" t="s">
        <v>429</v>
      </c>
      <c r="E65" t="s">
        <v>430</v>
      </c>
      <c r="F65" t="s">
        <v>330</v>
      </c>
      <c r="H65">
        <v>1690212895.5999999</v>
      </c>
      <c r="I65">
        <f t="shared" si="0"/>
        <v>9.4344063664429645E-4</v>
      </c>
      <c r="J65">
        <f t="shared" si="1"/>
        <v>0.94344063664429645</v>
      </c>
      <c r="K65">
        <f t="shared" si="2"/>
        <v>11.242294326984393</v>
      </c>
      <c r="L65">
        <f t="shared" si="3"/>
        <v>663.58799999999997</v>
      </c>
      <c r="M65">
        <f t="shared" si="4"/>
        <v>183.16041773091786</v>
      </c>
      <c r="N65">
        <f t="shared" si="5"/>
        <v>18.169052936984791</v>
      </c>
      <c r="O65">
        <f t="shared" si="6"/>
        <v>65.826261207050393</v>
      </c>
      <c r="P65">
        <f t="shared" si="7"/>
        <v>3.9129412227806172E-2</v>
      </c>
      <c r="Q65">
        <f t="shared" si="8"/>
        <v>2.0132036796165287</v>
      </c>
      <c r="R65">
        <f t="shared" si="9"/>
        <v>3.8711760845889995E-2</v>
      </c>
      <c r="S65">
        <f t="shared" si="10"/>
        <v>2.4232003302455684E-2</v>
      </c>
      <c r="T65">
        <f t="shared" si="11"/>
        <v>276.11308971786843</v>
      </c>
      <c r="U65">
        <f t="shared" si="12"/>
        <v>28.944465642423211</v>
      </c>
      <c r="V65">
        <f t="shared" si="13"/>
        <v>28.944465642423211</v>
      </c>
      <c r="W65">
        <f t="shared" si="14"/>
        <v>4.0088668056135415</v>
      </c>
      <c r="X65">
        <f t="shared" si="15"/>
        <v>46.410332583151408</v>
      </c>
      <c r="Y65">
        <f t="shared" si="16"/>
        <v>1.6604171160632997</v>
      </c>
      <c r="Z65">
        <f t="shared" si="17"/>
        <v>3.5776884664388073</v>
      </c>
      <c r="AA65">
        <f t="shared" si="18"/>
        <v>2.3484496895502418</v>
      </c>
      <c r="AB65">
        <f t="shared" si="19"/>
        <v>-41.605732076013474</v>
      </c>
      <c r="AC65">
        <f t="shared" si="20"/>
        <v>-211.80395643901528</v>
      </c>
      <c r="AD65">
        <f t="shared" si="21"/>
        <v>-22.925893177285598</v>
      </c>
      <c r="AE65">
        <f t="shared" si="22"/>
        <v>-0.22249197444591573</v>
      </c>
      <c r="AF65">
        <v>38</v>
      </c>
      <c r="AG65">
        <v>13</v>
      </c>
      <c r="AH65">
        <f t="shared" si="23"/>
        <v>1</v>
      </c>
      <c r="AI65">
        <f t="shared" si="24"/>
        <v>0</v>
      </c>
      <c r="AJ65">
        <f t="shared" si="25"/>
        <v>52457.458955382339</v>
      </c>
      <c r="AK65">
        <f t="shared" si="26"/>
        <v>1799.99</v>
      </c>
      <c r="AL65">
        <f t="shared" si="27"/>
        <v>1499.10466339449</v>
      </c>
      <c r="AM65">
        <f t="shared" si="28"/>
        <v>0.83284055099999998</v>
      </c>
      <c r="AN65">
        <f t="shared" si="29"/>
        <v>0.15339701316000001</v>
      </c>
      <c r="AO65">
        <v>34.5</v>
      </c>
      <c r="AP65">
        <v>0.5</v>
      </c>
      <c r="AQ65" t="s">
        <v>331</v>
      </c>
      <c r="AR65">
        <v>2</v>
      </c>
      <c r="AS65">
        <v>1690212895.5999999</v>
      </c>
      <c r="AT65">
        <v>663.58799999999997</v>
      </c>
      <c r="AU65">
        <v>800.01400000000001</v>
      </c>
      <c r="AV65">
        <v>16.738499999999998</v>
      </c>
      <c r="AW65">
        <v>6.0752300000000004</v>
      </c>
      <c r="AX65">
        <v>664.00400000000002</v>
      </c>
      <c r="AY65">
        <v>16.627300000000002</v>
      </c>
      <c r="AZ65">
        <v>300.13200000000001</v>
      </c>
      <c r="BA65">
        <v>99.097499999999997</v>
      </c>
      <c r="BB65">
        <v>9.99858E-2</v>
      </c>
      <c r="BC65">
        <v>26.992999999999999</v>
      </c>
      <c r="BD65">
        <v>26.969799999999999</v>
      </c>
      <c r="BE65">
        <v>28.956299999999999</v>
      </c>
      <c r="BF65">
        <v>0</v>
      </c>
      <c r="BG65">
        <v>0</v>
      </c>
      <c r="BH65">
        <v>10011.200000000001</v>
      </c>
      <c r="BI65">
        <v>1075.42</v>
      </c>
      <c r="BJ65">
        <v>2.0744500000000001</v>
      </c>
      <c r="BK65">
        <v>-136.42699999999999</v>
      </c>
      <c r="BL65">
        <v>674.88400000000001</v>
      </c>
      <c r="BM65">
        <v>804.904</v>
      </c>
      <c r="BN65">
        <v>10.6633</v>
      </c>
      <c r="BO65">
        <v>800.01400000000001</v>
      </c>
      <c r="BP65">
        <v>6.0752300000000004</v>
      </c>
      <c r="BQ65">
        <v>1.6587400000000001</v>
      </c>
      <c r="BR65">
        <v>0.60204000000000002</v>
      </c>
      <c r="BS65">
        <v>14.515599999999999</v>
      </c>
      <c r="BT65">
        <v>-0.26269999999999999</v>
      </c>
      <c r="BU65">
        <v>1799.99</v>
      </c>
      <c r="BV65">
        <v>0.91001200000000004</v>
      </c>
      <c r="BW65">
        <v>3.3997199999999998E-2</v>
      </c>
      <c r="BX65">
        <v>2.19963E-2</v>
      </c>
      <c r="BY65">
        <v>3.3994200000000002E-2</v>
      </c>
      <c r="BZ65">
        <v>25.958300000000001</v>
      </c>
      <c r="CA65">
        <v>33528.400000000001</v>
      </c>
      <c r="CB65">
        <v>1690211922</v>
      </c>
      <c r="CC65" t="s">
        <v>332</v>
      </c>
      <c r="CD65">
        <v>1690211915</v>
      </c>
      <c r="CE65">
        <v>1690211922</v>
      </c>
      <c r="CF65">
        <v>6</v>
      </c>
      <c r="CG65">
        <v>1.0999999999999999E-2</v>
      </c>
      <c r="CH65">
        <v>8.0000000000000002E-3</v>
      </c>
      <c r="CI65">
        <v>-0.51100000000000001</v>
      </c>
      <c r="CJ65">
        <v>-6.6000000000000003E-2</v>
      </c>
      <c r="CK65">
        <v>800</v>
      </c>
      <c r="CL65">
        <v>6</v>
      </c>
      <c r="CM65">
        <v>0.21</v>
      </c>
      <c r="CN65">
        <v>0.02</v>
      </c>
      <c r="CO65">
        <v>-132.538025</v>
      </c>
      <c r="CP65">
        <v>-20.55234146341456</v>
      </c>
      <c r="CQ65">
        <v>1.978441817283239</v>
      </c>
      <c r="CR65">
        <v>-1</v>
      </c>
      <c r="CS65">
        <v>10.475232500000001</v>
      </c>
      <c r="CT65">
        <v>0.99730919324579603</v>
      </c>
      <c r="CU65">
        <v>9.59438804392964E-2</v>
      </c>
      <c r="CV65">
        <v>-1</v>
      </c>
      <c r="CW65">
        <v>0</v>
      </c>
      <c r="CX65">
        <v>0</v>
      </c>
      <c r="CY65" t="s">
        <v>333</v>
      </c>
      <c r="CZ65">
        <v>2.3641100000000002</v>
      </c>
      <c r="DA65">
        <v>2.7137899999999999</v>
      </c>
      <c r="DB65">
        <v>0.129138</v>
      </c>
      <c r="DC65">
        <v>0.146038</v>
      </c>
      <c r="DD65">
        <v>8.8062100000000004E-2</v>
      </c>
      <c r="DE65">
        <v>3.9835599999999999E-2</v>
      </c>
      <c r="DF65">
        <v>31771</v>
      </c>
      <c r="DG65">
        <v>27483.3</v>
      </c>
      <c r="DH65">
        <v>31146.2</v>
      </c>
      <c r="DI65">
        <v>28044.400000000001</v>
      </c>
      <c r="DJ65">
        <v>38567.199999999997</v>
      </c>
      <c r="DK65">
        <v>38286.5</v>
      </c>
      <c r="DL65">
        <v>44320</v>
      </c>
      <c r="DM65">
        <v>42498.7</v>
      </c>
      <c r="DN65">
        <v>1.3741000000000001</v>
      </c>
      <c r="DO65">
        <v>2.0318999999999998</v>
      </c>
      <c r="DP65">
        <v>7.4654799999999993E-2</v>
      </c>
      <c r="DQ65">
        <v>0.205263</v>
      </c>
      <c r="DR65">
        <v>25.747699999999998</v>
      </c>
      <c r="DS65">
        <v>25.600899999999999</v>
      </c>
      <c r="DT65">
        <v>18.100000000000001</v>
      </c>
      <c r="DU65">
        <v>29.6</v>
      </c>
      <c r="DV65">
        <v>7.6042899999999998</v>
      </c>
      <c r="DW65">
        <v>61.661200000000001</v>
      </c>
      <c r="DX65">
        <v>36.782899999999998</v>
      </c>
      <c r="DY65">
        <v>1</v>
      </c>
      <c r="DZ65">
        <v>-7.03989E-2</v>
      </c>
      <c r="EA65">
        <v>-5.8578400000000003E-2</v>
      </c>
      <c r="EB65">
        <v>20.189499999999999</v>
      </c>
      <c r="EC65">
        <v>5.2404999999999999</v>
      </c>
      <c r="ED65">
        <v>12.039899999999999</v>
      </c>
      <c r="EE65">
        <v>5.0171000000000001</v>
      </c>
      <c r="EF65">
        <v>3.2879999999999998</v>
      </c>
      <c r="EG65">
        <v>9999</v>
      </c>
      <c r="EH65">
        <v>9999</v>
      </c>
      <c r="EI65">
        <v>9999</v>
      </c>
      <c r="EJ65">
        <v>999.9</v>
      </c>
      <c r="EK65">
        <v>1.86893</v>
      </c>
      <c r="EL65">
        <v>1.8646799999999999</v>
      </c>
      <c r="EM65">
        <v>1.8692</v>
      </c>
      <c r="EN65">
        <v>1.86727</v>
      </c>
      <c r="EO65">
        <v>1.8633999999999999</v>
      </c>
      <c r="EP65">
        <v>1.8645700000000001</v>
      </c>
      <c r="EQ65">
        <v>1.87018</v>
      </c>
      <c r="ER65">
        <v>1.86948</v>
      </c>
      <c r="ES65">
        <v>0</v>
      </c>
      <c r="ET65">
        <v>0</v>
      </c>
      <c r="EU65">
        <v>0</v>
      </c>
      <c r="EV65">
        <v>0</v>
      </c>
      <c r="EW65" t="s">
        <v>334</v>
      </c>
      <c r="EX65" t="s">
        <v>335</v>
      </c>
      <c r="EY65" t="s">
        <v>336</v>
      </c>
      <c r="EZ65" t="s">
        <v>336</v>
      </c>
      <c r="FA65" t="s">
        <v>336</v>
      </c>
      <c r="FB65" t="s">
        <v>336</v>
      </c>
      <c r="FC65">
        <v>0</v>
      </c>
      <c r="FD65">
        <v>100</v>
      </c>
      <c r="FE65">
        <v>100</v>
      </c>
      <c r="FF65">
        <v>-0.41599999999999998</v>
      </c>
      <c r="FG65">
        <v>0.11119999999999999</v>
      </c>
      <c r="FH65">
        <v>4.0020685143421282E-2</v>
      </c>
      <c r="FI65">
        <v>-6.1462078757559423E-4</v>
      </c>
      <c r="FJ65">
        <v>-1.8861989874597051E-7</v>
      </c>
      <c r="FK65">
        <v>1.1980462299894961E-10</v>
      </c>
      <c r="FL65">
        <v>-3.1035565592992288E-2</v>
      </c>
      <c r="FM65">
        <v>-1.6848085045870601E-2</v>
      </c>
      <c r="FN65">
        <v>1.9789084769509481E-3</v>
      </c>
      <c r="FO65">
        <v>-2.7142391389806329E-5</v>
      </c>
      <c r="FP65">
        <v>3</v>
      </c>
      <c r="FQ65">
        <v>2158</v>
      </c>
      <c r="FR65">
        <v>1</v>
      </c>
      <c r="FS65">
        <v>19</v>
      </c>
      <c r="FT65">
        <v>16.3</v>
      </c>
      <c r="FU65">
        <v>16.2</v>
      </c>
      <c r="FV65">
        <v>1.77979</v>
      </c>
      <c r="FW65">
        <v>2.5756800000000002</v>
      </c>
      <c r="FX65">
        <v>1.5490699999999999</v>
      </c>
      <c r="FY65">
        <v>2.3290999999999999</v>
      </c>
      <c r="FZ65">
        <v>1.50146</v>
      </c>
      <c r="GA65">
        <v>2.33643</v>
      </c>
      <c r="GB65">
        <v>33.805700000000002</v>
      </c>
      <c r="GC65">
        <v>23.991199999999999</v>
      </c>
      <c r="GD65">
        <v>19</v>
      </c>
      <c r="GE65">
        <v>242.69499999999999</v>
      </c>
      <c r="GF65">
        <v>582.29100000000005</v>
      </c>
      <c r="GG65">
        <v>25.049600000000002</v>
      </c>
      <c r="GH65">
        <v>26.513000000000002</v>
      </c>
      <c r="GI65">
        <v>30.0001</v>
      </c>
      <c r="GJ65">
        <v>26.622800000000002</v>
      </c>
      <c r="GK65">
        <v>26.589099999999998</v>
      </c>
      <c r="GL65">
        <v>35.585799999999999</v>
      </c>
      <c r="GM65">
        <v>-30</v>
      </c>
      <c r="GN65">
        <v>-30</v>
      </c>
      <c r="GO65">
        <v>25.059899999999999</v>
      </c>
      <c r="GP65">
        <v>800</v>
      </c>
      <c r="GQ65">
        <v>12.5298</v>
      </c>
      <c r="GR65">
        <v>99.649299999999997</v>
      </c>
      <c r="GS65">
        <v>99.425799999999995</v>
      </c>
    </row>
    <row r="66" spans="1:201" x14ac:dyDescent="0.25">
      <c r="A66">
        <v>50</v>
      </c>
      <c r="B66">
        <v>1690212905.5999999</v>
      </c>
      <c r="C66">
        <v>638.09999990463257</v>
      </c>
      <c r="D66" t="s">
        <v>431</v>
      </c>
      <c r="E66" t="s">
        <v>432</v>
      </c>
      <c r="F66" t="s">
        <v>330</v>
      </c>
      <c r="H66">
        <v>1690212905.5999999</v>
      </c>
      <c r="I66">
        <f t="shared" si="0"/>
        <v>9.5880771707429198E-4</v>
      </c>
      <c r="J66">
        <f t="shared" si="1"/>
        <v>0.95880771707429202</v>
      </c>
      <c r="K66">
        <f t="shared" si="2"/>
        <v>11.541058703476105</v>
      </c>
      <c r="L66">
        <f t="shared" si="3"/>
        <v>660.09500000000003</v>
      </c>
      <c r="M66">
        <f t="shared" si="4"/>
        <v>179.29726681672784</v>
      </c>
      <c r="N66">
        <f t="shared" si="5"/>
        <v>17.785729066292948</v>
      </c>
      <c r="O66">
        <f t="shared" si="6"/>
        <v>65.479363051391005</v>
      </c>
      <c r="P66">
        <f t="shared" si="7"/>
        <v>4.0121955173244621E-2</v>
      </c>
      <c r="Q66">
        <f t="shared" si="8"/>
        <v>2.0135317988069934</v>
      </c>
      <c r="R66">
        <f t="shared" si="9"/>
        <v>3.9683045972097174E-2</v>
      </c>
      <c r="S66">
        <f t="shared" si="10"/>
        <v>2.4840937822104156E-2</v>
      </c>
      <c r="T66">
        <f t="shared" si="11"/>
        <v>276.11310960775785</v>
      </c>
      <c r="U66">
        <f t="shared" si="12"/>
        <v>28.929556945456962</v>
      </c>
      <c r="V66">
        <f t="shared" si="13"/>
        <v>28.929556945456962</v>
      </c>
      <c r="W66">
        <f t="shared" si="14"/>
        <v>4.0054082382994025</v>
      </c>
      <c r="X66">
        <f t="shared" si="15"/>
        <v>46.907021153872023</v>
      </c>
      <c r="Y66">
        <f t="shared" si="16"/>
        <v>1.6773001673446402</v>
      </c>
      <c r="Z66">
        <f t="shared" si="17"/>
        <v>3.5757976654336843</v>
      </c>
      <c r="AA66">
        <f t="shared" si="18"/>
        <v>2.3281080709547624</v>
      </c>
      <c r="AB66">
        <f t="shared" si="19"/>
        <v>-42.283420322976276</v>
      </c>
      <c r="AC66">
        <f t="shared" si="20"/>
        <v>-211.19706711934532</v>
      </c>
      <c r="AD66">
        <f t="shared" si="21"/>
        <v>-22.853752705250844</v>
      </c>
      <c r="AE66">
        <f t="shared" si="22"/>
        <v>-0.22113053981459529</v>
      </c>
      <c r="AF66">
        <v>38</v>
      </c>
      <c r="AG66">
        <v>13</v>
      </c>
      <c r="AH66">
        <f t="shared" si="23"/>
        <v>1</v>
      </c>
      <c r="AI66">
        <f t="shared" si="24"/>
        <v>0</v>
      </c>
      <c r="AJ66">
        <f t="shared" si="25"/>
        <v>52474.792527364494</v>
      </c>
      <c r="AK66">
        <f t="shared" si="26"/>
        <v>1799.99</v>
      </c>
      <c r="AL66">
        <f t="shared" si="27"/>
        <v>1499.1024854065899</v>
      </c>
      <c r="AM66">
        <f t="shared" si="28"/>
        <v>0.83283934100000001</v>
      </c>
      <c r="AN66">
        <f t="shared" si="29"/>
        <v>0.15339702420999998</v>
      </c>
      <c r="AO66">
        <v>34.5</v>
      </c>
      <c r="AP66">
        <v>0.5</v>
      </c>
      <c r="AQ66" t="s">
        <v>331</v>
      </c>
      <c r="AR66">
        <v>2</v>
      </c>
      <c r="AS66">
        <v>1690212905.5999999</v>
      </c>
      <c r="AT66">
        <v>660.09500000000003</v>
      </c>
      <c r="AU66">
        <v>800.03399999999999</v>
      </c>
      <c r="AV66">
        <v>16.908799999999999</v>
      </c>
      <c r="AW66">
        <v>6.0737199999999998</v>
      </c>
      <c r="AX66">
        <v>660.50800000000004</v>
      </c>
      <c r="AY66">
        <v>16.793199999999999</v>
      </c>
      <c r="AZ66">
        <v>300.13200000000001</v>
      </c>
      <c r="BA66">
        <v>99.096900000000005</v>
      </c>
      <c r="BB66">
        <v>9.9977800000000006E-2</v>
      </c>
      <c r="BC66">
        <v>26.984000000000002</v>
      </c>
      <c r="BD66">
        <v>26.982299999999999</v>
      </c>
      <c r="BE66">
        <v>28.956</v>
      </c>
      <c r="BF66">
        <v>0</v>
      </c>
      <c r="BG66">
        <v>0</v>
      </c>
      <c r="BH66">
        <v>10014.4</v>
      </c>
      <c r="BI66">
        <v>1075.46</v>
      </c>
      <c r="BJ66">
        <v>2.0744500000000001</v>
      </c>
      <c r="BK66">
        <v>-139.93899999999999</v>
      </c>
      <c r="BL66">
        <v>671.44799999999998</v>
      </c>
      <c r="BM66">
        <v>804.923</v>
      </c>
      <c r="BN66">
        <v>10.835000000000001</v>
      </c>
      <c r="BO66">
        <v>800.03399999999999</v>
      </c>
      <c r="BP66">
        <v>6.0737199999999998</v>
      </c>
      <c r="BQ66">
        <v>1.67561</v>
      </c>
      <c r="BR66">
        <v>0.60188699999999995</v>
      </c>
      <c r="BS66">
        <v>14.6723</v>
      </c>
      <c r="BT66">
        <v>-0.26618700000000001</v>
      </c>
      <c r="BU66">
        <v>1799.99</v>
      </c>
      <c r="BV66">
        <v>0.91000499999999995</v>
      </c>
      <c r="BW66">
        <v>3.4008200000000002E-2</v>
      </c>
      <c r="BX66">
        <v>2.1994799999999998E-2</v>
      </c>
      <c r="BY66">
        <v>3.3991899999999999E-2</v>
      </c>
      <c r="BZ66">
        <v>26</v>
      </c>
      <c r="CA66">
        <v>33528.300000000003</v>
      </c>
      <c r="CB66">
        <v>1690211922</v>
      </c>
      <c r="CC66" t="s">
        <v>332</v>
      </c>
      <c r="CD66">
        <v>1690211915</v>
      </c>
      <c r="CE66">
        <v>1690211922</v>
      </c>
      <c r="CF66">
        <v>6</v>
      </c>
      <c r="CG66">
        <v>1.0999999999999999E-2</v>
      </c>
      <c r="CH66">
        <v>8.0000000000000002E-3</v>
      </c>
      <c r="CI66">
        <v>-0.51100000000000001</v>
      </c>
      <c r="CJ66">
        <v>-6.6000000000000003E-2</v>
      </c>
      <c r="CK66">
        <v>800</v>
      </c>
      <c r="CL66">
        <v>6</v>
      </c>
      <c r="CM66">
        <v>0.21</v>
      </c>
      <c r="CN66">
        <v>0.02</v>
      </c>
      <c r="CO66">
        <v>-136.07917073170731</v>
      </c>
      <c r="CP66">
        <v>-20.67980487804876</v>
      </c>
      <c r="CQ66">
        <v>2.039543216464486</v>
      </c>
      <c r="CR66">
        <v>-1</v>
      </c>
      <c r="CS66">
        <v>10.646856097560979</v>
      </c>
      <c r="CT66">
        <v>1.0141358885017391</v>
      </c>
      <c r="CU66">
        <v>9.9999112310158761E-2</v>
      </c>
      <c r="CV66">
        <v>-1</v>
      </c>
      <c r="CW66">
        <v>0</v>
      </c>
      <c r="CX66">
        <v>0</v>
      </c>
      <c r="CY66" t="s">
        <v>333</v>
      </c>
      <c r="CZ66">
        <v>2.3641100000000002</v>
      </c>
      <c r="DA66">
        <v>2.7137799999999999</v>
      </c>
      <c r="DB66">
        <v>0.12867000000000001</v>
      </c>
      <c r="DC66">
        <v>0.146039</v>
      </c>
      <c r="DD66">
        <v>8.8701699999999994E-2</v>
      </c>
      <c r="DE66">
        <v>3.98272E-2</v>
      </c>
      <c r="DF66">
        <v>31788</v>
      </c>
      <c r="DG66">
        <v>27483.5</v>
      </c>
      <c r="DH66">
        <v>31146.1</v>
      </c>
      <c r="DI66">
        <v>28044.7</v>
      </c>
      <c r="DJ66">
        <v>38539.800000000003</v>
      </c>
      <c r="DK66">
        <v>38287.300000000003</v>
      </c>
      <c r="DL66">
        <v>44319.9</v>
      </c>
      <c r="DM66">
        <v>42499.199999999997</v>
      </c>
      <c r="DN66">
        <v>1.3743700000000001</v>
      </c>
      <c r="DO66">
        <v>2.0315300000000001</v>
      </c>
      <c r="DP66">
        <v>7.5683E-2</v>
      </c>
      <c r="DQ66">
        <v>0.20544200000000001</v>
      </c>
      <c r="DR66">
        <v>25.743300000000001</v>
      </c>
      <c r="DS66">
        <v>25.5977</v>
      </c>
      <c r="DT66">
        <v>18.100000000000001</v>
      </c>
      <c r="DU66">
        <v>29.6</v>
      </c>
      <c r="DV66">
        <v>7.6046199999999997</v>
      </c>
      <c r="DW66">
        <v>61.321199999999997</v>
      </c>
      <c r="DX66">
        <v>37.011200000000002</v>
      </c>
      <c r="DY66">
        <v>1</v>
      </c>
      <c r="DZ66">
        <v>-7.0027900000000004E-2</v>
      </c>
      <c r="EA66">
        <v>-7.67211E-2</v>
      </c>
      <c r="EB66">
        <v>20.189399999999999</v>
      </c>
      <c r="EC66">
        <v>5.2403500000000003</v>
      </c>
      <c r="ED66">
        <v>12.039899999999999</v>
      </c>
      <c r="EE66">
        <v>5.01675</v>
      </c>
      <c r="EF66">
        <v>3.2879999999999998</v>
      </c>
      <c r="EG66">
        <v>9999</v>
      </c>
      <c r="EH66">
        <v>9999</v>
      </c>
      <c r="EI66">
        <v>9999</v>
      </c>
      <c r="EJ66">
        <v>999.9</v>
      </c>
      <c r="EK66">
        <v>1.8689100000000001</v>
      </c>
      <c r="EL66">
        <v>1.8646400000000001</v>
      </c>
      <c r="EM66">
        <v>1.8692</v>
      </c>
      <c r="EN66">
        <v>1.8672599999999999</v>
      </c>
      <c r="EO66">
        <v>1.86341</v>
      </c>
      <c r="EP66">
        <v>1.8645799999999999</v>
      </c>
      <c r="EQ66">
        <v>1.8701700000000001</v>
      </c>
      <c r="ER66">
        <v>1.8694900000000001</v>
      </c>
      <c r="ES66">
        <v>0</v>
      </c>
      <c r="ET66">
        <v>0</v>
      </c>
      <c r="EU66">
        <v>0</v>
      </c>
      <c r="EV66">
        <v>0</v>
      </c>
      <c r="EW66" t="s">
        <v>334</v>
      </c>
      <c r="EX66" t="s">
        <v>335</v>
      </c>
      <c r="EY66" t="s">
        <v>336</v>
      </c>
      <c r="EZ66" t="s">
        <v>336</v>
      </c>
      <c r="FA66" t="s">
        <v>336</v>
      </c>
      <c r="FB66" t="s">
        <v>336</v>
      </c>
      <c r="FC66">
        <v>0</v>
      </c>
      <c r="FD66">
        <v>100</v>
      </c>
      <c r="FE66">
        <v>100</v>
      </c>
      <c r="FF66">
        <v>-0.41299999999999998</v>
      </c>
      <c r="FG66">
        <v>0.11559999999999999</v>
      </c>
      <c r="FH66">
        <v>4.0020685143421282E-2</v>
      </c>
      <c r="FI66">
        <v>-6.1462078757559423E-4</v>
      </c>
      <c r="FJ66">
        <v>-1.8861989874597051E-7</v>
      </c>
      <c r="FK66">
        <v>1.1980462299894961E-10</v>
      </c>
      <c r="FL66">
        <v>-3.1035565592992288E-2</v>
      </c>
      <c r="FM66">
        <v>-1.6848085045870601E-2</v>
      </c>
      <c r="FN66">
        <v>1.9789084769509481E-3</v>
      </c>
      <c r="FO66">
        <v>-2.7142391389806329E-5</v>
      </c>
      <c r="FP66">
        <v>3</v>
      </c>
      <c r="FQ66">
        <v>2158</v>
      </c>
      <c r="FR66">
        <v>1</v>
      </c>
      <c r="FS66">
        <v>19</v>
      </c>
      <c r="FT66">
        <v>16.5</v>
      </c>
      <c r="FU66">
        <v>16.399999999999999</v>
      </c>
      <c r="FV66">
        <v>1.77979</v>
      </c>
      <c r="FW66">
        <v>2.5732400000000002</v>
      </c>
      <c r="FX66">
        <v>1.5490699999999999</v>
      </c>
      <c r="FY66">
        <v>2.3290999999999999</v>
      </c>
      <c r="FZ66">
        <v>1.50146</v>
      </c>
      <c r="GA66">
        <v>2.3815900000000001</v>
      </c>
      <c r="GB66">
        <v>33.805700000000002</v>
      </c>
      <c r="GC66">
        <v>23.991199999999999</v>
      </c>
      <c r="GD66">
        <v>19</v>
      </c>
      <c r="GE66">
        <v>242.797</v>
      </c>
      <c r="GF66">
        <v>581.98199999999997</v>
      </c>
      <c r="GG66">
        <v>25.084900000000001</v>
      </c>
      <c r="GH66">
        <v>26.510200000000001</v>
      </c>
      <c r="GI66">
        <v>30.0002</v>
      </c>
      <c r="GJ66">
        <v>26.6219</v>
      </c>
      <c r="GK66">
        <v>26.589099999999998</v>
      </c>
      <c r="GL66">
        <v>35.584899999999998</v>
      </c>
      <c r="GM66">
        <v>-30</v>
      </c>
      <c r="GN66">
        <v>-30</v>
      </c>
      <c r="GO66">
        <v>25.0916</v>
      </c>
      <c r="GP66">
        <v>800</v>
      </c>
      <c r="GQ66">
        <v>12.5298</v>
      </c>
      <c r="GR66">
        <v>99.649000000000001</v>
      </c>
      <c r="GS66">
        <v>99.4268</v>
      </c>
    </row>
    <row r="67" spans="1:201" x14ac:dyDescent="0.25">
      <c r="A67">
        <v>51</v>
      </c>
      <c r="B67">
        <v>1690212915.5999999</v>
      </c>
      <c r="C67">
        <v>648.09999990463257</v>
      </c>
      <c r="D67" t="s">
        <v>433</v>
      </c>
      <c r="E67" t="s">
        <v>434</v>
      </c>
      <c r="F67" t="s">
        <v>330</v>
      </c>
      <c r="H67">
        <v>1690212915.5999999</v>
      </c>
      <c r="I67">
        <f t="shared" si="0"/>
        <v>9.746961050771636E-4</v>
      </c>
      <c r="J67">
        <f t="shared" si="1"/>
        <v>0.97469610507716364</v>
      </c>
      <c r="K67">
        <f t="shared" si="2"/>
        <v>11.842544390681693</v>
      </c>
      <c r="L67">
        <f t="shared" si="3"/>
        <v>656.47199999999998</v>
      </c>
      <c r="M67">
        <f t="shared" si="4"/>
        <v>174.82520746829479</v>
      </c>
      <c r="N67">
        <f t="shared" si="5"/>
        <v>17.342610930495923</v>
      </c>
      <c r="O67">
        <f t="shared" si="6"/>
        <v>65.121835961952002</v>
      </c>
      <c r="P67">
        <f t="shared" si="7"/>
        <v>4.1081164902253976E-2</v>
      </c>
      <c r="Q67">
        <f t="shared" si="8"/>
        <v>2.0104844351377649</v>
      </c>
      <c r="R67">
        <f t="shared" si="9"/>
        <v>4.0620459474818106E-2</v>
      </c>
      <c r="S67">
        <f t="shared" si="10"/>
        <v>2.5428749149234514E-2</v>
      </c>
      <c r="T67">
        <f t="shared" si="11"/>
        <v>276.11281323940437</v>
      </c>
      <c r="U67">
        <f t="shared" si="12"/>
        <v>28.935462569170578</v>
      </c>
      <c r="V67">
        <f t="shared" si="13"/>
        <v>28.935462569170578</v>
      </c>
      <c r="W67">
        <f t="shared" si="14"/>
        <v>4.0067779324942183</v>
      </c>
      <c r="X67">
        <f t="shared" si="15"/>
        <v>47.372958511781796</v>
      </c>
      <c r="Y67">
        <f t="shared" si="16"/>
        <v>1.6948668277463999</v>
      </c>
      <c r="Z67">
        <f t="shared" si="17"/>
        <v>3.5777094802404652</v>
      </c>
      <c r="AA67">
        <f t="shared" si="18"/>
        <v>2.3119111047478187</v>
      </c>
      <c r="AB67">
        <f t="shared" si="19"/>
        <v>-42.984098233902913</v>
      </c>
      <c r="AC67">
        <f t="shared" si="20"/>
        <v>-210.53119659171057</v>
      </c>
      <c r="AD67">
        <f t="shared" si="21"/>
        <v>-22.817935189182258</v>
      </c>
      <c r="AE67">
        <f t="shared" si="22"/>
        <v>-0.22041677539135662</v>
      </c>
      <c r="AF67">
        <v>37</v>
      </c>
      <c r="AG67">
        <v>12</v>
      </c>
      <c r="AH67">
        <f t="shared" si="23"/>
        <v>1</v>
      </c>
      <c r="AI67">
        <f t="shared" si="24"/>
        <v>0</v>
      </c>
      <c r="AJ67">
        <f t="shared" si="25"/>
        <v>52326.916229555238</v>
      </c>
      <c r="AK67">
        <f t="shared" si="26"/>
        <v>1799.99</v>
      </c>
      <c r="AL67">
        <f t="shared" si="27"/>
        <v>1499.10320540259</v>
      </c>
      <c r="AM67">
        <f t="shared" si="28"/>
        <v>0.83283974100000002</v>
      </c>
      <c r="AN67">
        <f t="shared" si="29"/>
        <v>0.15339685955999999</v>
      </c>
      <c r="AO67">
        <v>34.5</v>
      </c>
      <c r="AP67">
        <v>0.5</v>
      </c>
      <c r="AQ67" t="s">
        <v>331</v>
      </c>
      <c r="AR67">
        <v>2</v>
      </c>
      <c r="AS67">
        <v>1690212915.5999999</v>
      </c>
      <c r="AT67">
        <v>656.47199999999998</v>
      </c>
      <c r="AU67">
        <v>799.96799999999996</v>
      </c>
      <c r="AV67">
        <v>17.0854</v>
      </c>
      <c r="AW67">
        <v>6.0718699999999997</v>
      </c>
      <c r="AX67">
        <v>656.88300000000004</v>
      </c>
      <c r="AY67">
        <v>16.965199999999999</v>
      </c>
      <c r="AZ67">
        <v>300.108</v>
      </c>
      <c r="BA67">
        <v>99.099699999999999</v>
      </c>
      <c r="BB67">
        <v>0.10001599999999999</v>
      </c>
      <c r="BC67">
        <v>26.993099999999998</v>
      </c>
      <c r="BD67">
        <v>27.001999999999999</v>
      </c>
      <c r="BE67">
        <v>28.955400000000001</v>
      </c>
      <c r="BF67">
        <v>0</v>
      </c>
      <c r="BG67">
        <v>0</v>
      </c>
      <c r="BH67">
        <v>9985</v>
      </c>
      <c r="BI67">
        <v>1075.44</v>
      </c>
      <c r="BJ67">
        <v>2.0744500000000001</v>
      </c>
      <c r="BK67">
        <v>-143.49600000000001</v>
      </c>
      <c r="BL67">
        <v>667.88300000000004</v>
      </c>
      <c r="BM67">
        <v>804.85500000000002</v>
      </c>
      <c r="BN67">
        <v>11.013500000000001</v>
      </c>
      <c r="BO67">
        <v>799.96799999999996</v>
      </c>
      <c r="BP67">
        <v>6.0718699999999997</v>
      </c>
      <c r="BQ67">
        <v>1.69316</v>
      </c>
      <c r="BR67">
        <v>0.60172000000000003</v>
      </c>
      <c r="BS67">
        <v>14.8339</v>
      </c>
      <c r="BT67">
        <v>-0.26999099999999998</v>
      </c>
      <c r="BU67">
        <v>1799.99</v>
      </c>
      <c r="BV67">
        <v>0.91001100000000001</v>
      </c>
      <c r="BW67">
        <v>3.4005899999999999E-2</v>
      </c>
      <c r="BX67">
        <v>2.19933E-2</v>
      </c>
      <c r="BY67">
        <v>3.3989600000000002E-2</v>
      </c>
      <c r="BZ67">
        <v>26</v>
      </c>
      <c r="CA67">
        <v>33528.400000000001</v>
      </c>
      <c r="CB67">
        <v>1690211922</v>
      </c>
      <c r="CC67" t="s">
        <v>332</v>
      </c>
      <c r="CD67">
        <v>1690211915</v>
      </c>
      <c r="CE67">
        <v>1690211922</v>
      </c>
      <c r="CF67">
        <v>6</v>
      </c>
      <c r="CG67">
        <v>1.0999999999999999E-2</v>
      </c>
      <c r="CH67">
        <v>8.0000000000000002E-3</v>
      </c>
      <c r="CI67">
        <v>-0.51100000000000001</v>
      </c>
      <c r="CJ67">
        <v>-6.6000000000000003E-2</v>
      </c>
      <c r="CK67">
        <v>800</v>
      </c>
      <c r="CL67">
        <v>6</v>
      </c>
      <c r="CM67">
        <v>0.21</v>
      </c>
      <c r="CN67">
        <v>0.02</v>
      </c>
      <c r="CO67">
        <v>-139.50777500000001</v>
      </c>
      <c r="CP67">
        <v>-21.43572607879933</v>
      </c>
      <c r="CQ67">
        <v>2.062385226958098</v>
      </c>
      <c r="CR67">
        <v>-1</v>
      </c>
      <c r="CS67">
        <v>10.8147</v>
      </c>
      <c r="CT67">
        <v>1.0490116322701559</v>
      </c>
      <c r="CU67">
        <v>0.1009196536854938</v>
      </c>
      <c r="CV67">
        <v>-1</v>
      </c>
      <c r="CW67">
        <v>0</v>
      </c>
      <c r="CX67">
        <v>0</v>
      </c>
      <c r="CY67" t="s">
        <v>333</v>
      </c>
      <c r="CZ67">
        <v>2.36402</v>
      </c>
      <c r="DA67">
        <v>2.7137899999999999</v>
      </c>
      <c r="DB67">
        <v>0.128188</v>
      </c>
      <c r="DC67">
        <v>0.146035</v>
      </c>
      <c r="DD67">
        <v>8.93655E-2</v>
      </c>
      <c r="DE67">
        <v>3.9818399999999997E-2</v>
      </c>
      <c r="DF67">
        <v>31805.599999999999</v>
      </c>
      <c r="DG67">
        <v>27483.5</v>
      </c>
      <c r="DH67">
        <v>31146</v>
      </c>
      <c r="DI67">
        <v>28044.5</v>
      </c>
      <c r="DJ67">
        <v>38511.4</v>
      </c>
      <c r="DK67">
        <v>38287.4</v>
      </c>
      <c r="DL67">
        <v>44319.8</v>
      </c>
      <c r="DM67">
        <v>42499</v>
      </c>
      <c r="DN67">
        <v>1.375</v>
      </c>
      <c r="DO67">
        <v>2.0319500000000001</v>
      </c>
      <c r="DP67">
        <v>7.7117199999999997E-2</v>
      </c>
      <c r="DQ67">
        <v>0.20543500000000001</v>
      </c>
      <c r="DR67">
        <v>25.7395</v>
      </c>
      <c r="DS67">
        <v>25.597200000000001</v>
      </c>
      <c r="DT67">
        <v>18.100000000000001</v>
      </c>
      <c r="DU67">
        <v>29.6</v>
      </c>
      <c r="DV67">
        <v>7.6048299999999998</v>
      </c>
      <c r="DW67">
        <v>61.8812</v>
      </c>
      <c r="DX67">
        <v>37.1434</v>
      </c>
      <c r="DY67">
        <v>1</v>
      </c>
      <c r="DZ67">
        <v>-7.0264199999999999E-2</v>
      </c>
      <c r="EA67">
        <v>-7.5653600000000001E-2</v>
      </c>
      <c r="EB67">
        <v>20.189599999999999</v>
      </c>
      <c r="EC67">
        <v>5.2401999999999997</v>
      </c>
      <c r="ED67">
        <v>12.039899999999999</v>
      </c>
      <c r="EE67">
        <v>5.01715</v>
      </c>
      <c r="EF67">
        <v>3.2879999999999998</v>
      </c>
      <c r="EG67">
        <v>9999</v>
      </c>
      <c r="EH67">
        <v>9999</v>
      </c>
      <c r="EI67">
        <v>9999</v>
      </c>
      <c r="EJ67">
        <v>999.9</v>
      </c>
      <c r="EK67">
        <v>1.86893</v>
      </c>
      <c r="EL67">
        <v>1.86466</v>
      </c>
      <c r="EM67">
        <v>1.8691899999999999</v>
      </c>
      <c r="EN67">
        <v>1.8672500000000001</v>
      </c>
      <c r="EO67">
        <v>1.8634200000000001</v>
      </c>
      <c r="EP67">
        <v>1.86459</v>
      </c>
      <c r="EQ67">
        <v>1.8702099999999999</v>
      </c>
      <c r="ER67">
        <v>1.8694900000000001</v>
      </c>
      <c r="ES67">
        <v>0</v>
      </c>
      <c r="ET67">
        <v>0</v>
      </c>
      <c r="EU67">
        <v>0</v>
      </c>
      <c r="EV67">
        <v>0</v>
      </c>
      <c r="EW67" t="s">
        <v>334</v>
      </c>
      <c r="EX67" t="s">
        <v>335</v>
      </c>
      <c r="EY67" t="s">
        <v>336</v>
      </c>
      <c r="EZ67" t="s">
        <v>336</v>
      </c>
      <c r="FA67" t="s">
        <v>336</v>
      </c>
      <c r="FB67" t="s">
        <v>336</v>
      </c>
      <c r="FC67">
        <v>0</v>
      </c>
      <c r="FD67">
        <v>100</v>
      </c>
      <c r="FE67">
        <v>100</v>
      </c>
      <c r="FF67">
        <v>-0.41099999999999998</v>
      </c>
      <c r="FG67">
        <v>0.1202</v>
      </c>
      <c r="FH67">
        <v>4.0020685143421282E-2</v>
      </c>
      <c r="FI67">
        <v>-6.1462078757559423E-4</v>
      </c>
      <c r="FJ67">
        <v>-1.8861989874597051E-7</v>
      </c>
      <c r="FK67">
        <v>1.1980462299894961E-10</v>
      </c>
      <c r="FL67">
        <v>-3.1035565592992288E-2</v>
      </c>
      <c r="FM67">
        <v>-1.6848085045870601E-2</v>
      </c>
      <c r="FN67">
        <v>1.9789084769509481E-3</v>
      </c>
      <c r="FO67">
        <v>-2.7142391389806329E-5</v>
      </c>
      <c r="FP67">
        <v>3</v>
      </c>
      <c r="FQ67">
        <v>2158</v>
      </c>
      <c r="FR67">
        <v>1</v>
      </c>
      <c r="FS67">
        <v>19</v>
      </c>
      <c r="FT67">
        <v>16.7</v>
      </c>
      <c r="FU67">
        <v>16.600000000000001</v>
      </c>
      <c r="FV67">
        <v>1.77979</v>
      </c>
      <c r="FW67">
        <v>2.5744600000000002</v>
      </c>
      <c r="FX67">
        <v>1.5490699999999999</v>
      </c>
      <c r="FY67">
        <v>2.3290999999999999</v>
      </c>
      <c r="FZ67">
        <v>1.50146</v>
      </c>
      <c r="GA67">
        <v>2.3938000000000001</v>
      </c>
      <c r="GB67">
        <v>33.805700000000002</v>
      </c>
      <c r="GC67">
        <v>23.991199999999999</v>
      </c>
      <c r="GD67">
        <v>19</v>
      </c>
      <c r="GE67">
        <v>243.035</v>
      </c>
      <c r="GF67">
        <v>582.33299999999997</v>
      </c>
      <c r="GG67">
        <v>25.111799999999999</v>
      </c>
      <c r="GH67">
        <v>26.507000000000001</v>
      </c>
      <c r="GI67">
        <v>30</v>
      </c>
      <c r="GJ67">
        <v>26.6219</v>
      </c>
      <c r="GK67">
        <v>26.589099999999998</v>
      </c>
      <c r="GL67">
        <v>35.587200000000003</v>
      </c>
      <c r="GM67">
        <v>-30</v>
      </c>
      <c r="GN67">
        <v>-30</v>
      </c>
      <c r="GO67">
        <v>25.116800000000001</v>
      </c>
      <c r="GP67">
        <v>800</v>
      </c>
      <c r="GQ67">
        <v>12.5298</v>
      </c>
      <c r="GR67">
        <v>99.648799999999994</v>
      </c>
      <c r="GS67">
        <v>99.426199999999994</v>
      </c>
    </row>
    <row r="68" spans="1:201" x14ac:dyDescent="0.25">
      <c r="A68">
        <v>52</v>
      </c>
      <c r="B68">
        <v>1690212925.5999999</v>
      </c>
      <c r="C68">
        <v>658.09999990463257</v>
      </c>
      <c r="D68" t="s">
        <v>435</v>
      </c>
      <c r="E68" t="s">
        <v>436</v>
      </c>
      <c r="F68" t="s">
        <v>330</v>
      </c>
      <c r="H68">
        <v>1690212925.5999999</v>
      </c>
      <c r="I68">
        <f t="shared" si="0"/>
        <v>9.9105373204918384E-4</v>
      </c>
      <c r="J68">
        <f t="shared" si="1"/>
        <v>0.9910537320491839</v>
      </c>
      <c r="K68">
        <f t="shared" si="2"/>
        <v>12.148859656451576</v>
      </c>
      <c r="L68">
        <f t="shared" si="3"/>
        <v>652.86699999999996</v>
      </c>
      <c r="M68">
        <f t="shared" si="4"/>
        <v>171.63756248494309</v>
      </c>
      <c r="N68">
        <f t="shared" si="5"/>
        <v>17.026217199670487</v>
      </c>
      <c r="O68">
        <f t="shared" si="6"/>
        <v>64.763535344848592</v>
      </c>
      <c r="P68">
        <f t="shared" si="7"/>
        <v>4.2167108385250222E-2</v>
      </c>
      <c r="Q68">
        <f t="shared" si="8"/>
        <v>2.0117183209940306</v>
      </c>
      <c r="R68">
        <f t="shared" si="9"/>
        <v>4.1682173457065305E-2</v>
      </c>
      <c r="S68">
        <f t="shared" si="10"/>
        <v>2.6094463138344098E-2</v>
      </c>
      <c r="T68">
        <f t="shared" si="11"/>
        <v>276.11255434684273</v>
      </c>
      <c r="U68">
        <f t="shared" si="12"/>
        <v>28.919893485192731</v>
      </c>
      <c r="V68">
        <f t="shared" si="13"/>
        <v>28.919893485192731</v>
      </c>
      <c r="W68">
        <f t="shared" si="14"/>
        <v>4.0031678678850628</v>
      </c>
      <c r="X68">
        <f t="shared" si="15"/>
        <v>47.890453895438682</v>
      </c>
      <c r="Y68">
        <f t="shared" si="16"/>
        <v>1.71252608690488</v>
      </c>
      <c r="Z68">
        <f t="shared" si="17"/>
        <v>3.5759236916900243</v>
      </c>
      <c r="AA68">
        <f t="shared" si="18"/>
        <v>2.2906417809801827</v>
      </c>
      <c r="AB68">
        <f t="shared" si="19"/>
        <v>-43.705469583369009</v>
      </c>
      <c r="AC68">
        <f t="shared" si="20"/>
        <v>-209.89372212404237</v>
      </c>
      <c r="AD68">
        <f t="shared" si="21"/>
        <v>-22.732162146901594</v>
      </c>
      <c r="AE68">
        <f t="shared" si="22"/>
        <v>-0.21879950747023713</v>
      </c>
      <c r="AF68">
        <v>38</v>
      </c>
      <c r="AG68">
        <v>13</v>
      </c>
      <c r="AH68">
        <f t="shared" si="23"/>
        <v>1</v>
      </c>
      <c r="AI68">
        <f t="shared" si="24"/>
        <v>0</v>
      </c>
      <c r="AJ68">
        <f t="shared" si="25"/>
        <v>52387.597220112308</v>
      </c>
      <c r="AK68">
        <f t="shared" si="26"/>
        <v>1799.99</v>
      </c>
      <c r="AL68">
        <f t="shared" si="27"/>
        <v>1499.1047569939701</v>
      </c>
      <c r="AM68">
        <f t="shared" si="28"/>
        <v>0.83284060300000007</v>
      </c>
      <c r="AN68">
        <f t="shared" si="29"/>
        <v>0.15339671573000002</v>
      </c>
      <c r="AO68">
        <v>34.5</v>
      </c>
      <c r="AP68">
        <v>0.5</v>
      </c>
      <c r="AQ68" t="s">
        <v>331</v>
      </c>
      <c r="AR68">
        <v>2</v>
      </c>
      <c r="AS68">
        <v>1690212925.5999999</v>
      </c>
      <c r="AT68">
        <v>652.86699999999996</v>
      </c>
      <c r="AU68">
        <v>799.92899999999997</v>
      </c>
      <c r="AV68">
        <v>17.2636</v>
      </c>
      <c r="AW68">
        <v>6.0701400000000003</v>
      </c>
      <c r="AX68">
        <v>653.27599999999995</v>
      </c>
      <c r="AY68">
        <v>17.1388</v>
      </c>
      <c r="AZ68">
        <v>300.185</v>
      </c>
      <c r="BA68">
        <v>99.098699999999994</v>
      </c>
      <c r="BB68">
        <v>9.9965799999999994E-2</v>
      </c>
      <c r="BC68">
        <v>26.9846</v>
      </c>
      <c r="BD68">
        <v>27.0062</v>
      </c>
      <c r="BE68">
        <v>28.979700000000001</v>
      </c>
      <c r="BF68">
        <v>0</v>
      </c>
      <c r="BG68">
        <v>0</v>
      </c>
      <c r="BH68">
        <v>9996.8799999999992</v>
      </c>
      <c r="BI68">
        <v>1075.6400000000001</v>
      </c>
      <c r="BJ68">
        <v>1.73665</v>
      </c>
      <c r="BK68">
        <v>-147.06200000000001</v>
      </c>
      <c r="BL68">
        <v>664.33600000000001</v>
      </c>
      <c r="BM68">
        <v>804.81399999999996</v>
      </c>
      <c r="BN68">
        <v>11.1935</v>
      </c>
      <c r="BO68">
        <v>799.92899999999997</v>
      </c>
      <c r="BP68">
        <v>6.0701400000000003</v>
      </c>
      <c r="BQ68">
        <v>1.7108000000000001</v>
      </c>
      <c r="BR68">
        <v>0.60154300000000005</v>
      </c>
      <c r="BS68">
        <v>14.9948</v>
      </c>
      <c r="BT68">
        <v>-0.27404499999999998</v>
      </c>
      <c r="BU68">
        <v>1799.99</v>
      </c>
      <c r="BV68">
        <v>0.91001900000000002</v>
      </c>
      <c r="BW68">
        <v>3.4002999999999999E-2</v>
      </c>
      <c r="BX68">
        <v>2.1991400000000001E-2</v>
      </c>
      <c r="BY68">
        <v>3.3986700000000002E-2</v>
      </c>
      <c r="BZ68">
        <v>26</v>
      </c>
      <c r="CA68">
        <v>33528.400000000001</v>
      </c>
      <c r="CB68">
        <v>1690211922</v>
      </c>
      <c r="CC68" t="s">
        <v>332</v>
      </c>
      <c r="CD68">
        <v>1690211915</v>
      </c>
      <c r="CE68">
        <v>1690211922</v>
      </c>
      <c r="CF68">
        <v>6</v>
      </c>
      <c r="CG68">
        <v>1.0999999999999999E-2</v>
      </c>
      <c r="CH68">
        <v>8.0000000000000002E-3</v>
      </c>
      <c r="CI68">
        <v>-0.51100000000000001</v>
      </c>
      <c r="CJ68">
        <v>-6.6000000000000003E-2</v>
      </c>
      <c r="CK68">
        <v>800</v>
      </c>
      <c r="CL68">
        <v>6</v>
      </c>
      <c r="CM68">
        <v>0.21</v>
      </c>
      <c r="CN68">
        <v>0.02</v>
      </c>
      <c r="CO68">
        <v>-143.09334999999999</v>
      </c>
      <c r="CP68">
        <v>-21.666911819887321</v>
      </c>
      <c r="CQ68">
        <v>2.0846175494560142</v>
      </c>
      <c r="CR68">
        <v>-1</v>
      </c>
      <c r="CS68">
        <v>10.991759999999999</v>
      </c>
      <c r="CT68">
        <v>1.0746911819886871</v>
      </c>
      <c r="CU68">
        <v>0.1033819249192042</v>
      </c>
      <c r="CV68">
        <v>-1</v>
      </c>
      <c r="CW68">
        <v>0</v>
      </c>
      <c r="CX68">
        <v>0</v>
      </c>
      <c r="CY68" t="s">
        <v>333</v>
      </c>
      <c r="CZ68">
        <v>2.3642699999999999</v>
      </c>
      <c r="DA68">
        <v>2.7137500000000001</v>
      </c>
      <c r="DB68">
        <v>0.12770200000000001</v>
      </c>
      <c r="DC68">
        <v>0.14602899999999999</v>
      </c>
      <c r="DD68">
        <v>9.0029600000000001E-2</v>
      </c>
      <c r="DE68">
        <v>3.9808799999999998E-2</v>
      </c>
      <c r="DF68">
        <v>31823.7</v>
      </c>
      <c r="DG68">
        <v>27484.1</v>
      </c>
      <c r="DH68">
        <v>31146.400000000001</v>
      </c>
      <c r="DI68">
        <v>28044.9</v>
      </c>
      <c r="DJ68">
        <v>38483.300000000003</v>
      </c>
      <c r="DK68">
        <v>38288.300000000003</v>
      </c>
      <c r="DL68">
        <v>44320.2</v>
      </c>
      <c r="DM68">
        <v>42499.5</v>
      </c>
      <c r="DN68">
        <v>1.3748</v>
      </c>
      <c r="DO68">
        <v>2.0318800000000001</v>
      </c>
      <c r="DP68">
        <v>7.7471100000000001E-2</v>
      </c>
      <c r="DQ68">
        <v>0.206925</v>
      </c>
      <c r="DR68">
        <v>25.7379</v>
      </c>
      <c r="DS68">
        <v>25.597200000000001</v>
      </c>
      <c r="DT68">
        <v>18.100000000000001</v>
      </c>
      <c r="DU68">
        <v>29.6</v>
      </c>
      <c r="DV68">
        <v>7.6044799999999997</v>
      </c>
      <c r="DW68">
        <v>61.571199999999997</v>
      </c>
      <c r="DX68">
        <v>37.063299999999998</v>
      </c>
      <c r="DY68">
        <v>1</v>
      </c>
      <c r="DZ68">
        <v>-7.0632600000000004E-2</v>
      </c>
      <c r="EA68">
        <v>-3.6816500000000002E-2</v>
      </c>
      <c r="EB68">
        <v>20.189399999999999</v>
      </c>
      <c r="EC68">
        <v>5.2403500000000003</v>
      </c>
      <c r="ED68">
        <v>12.039899999999999</v>
      </c>
      <c r="EE68">
        <v>5.0172499999999998</v>
      </c>
      <c r="EF68">
        <v>3.2879999999999998</v>
      </c>
      <c r="EG68">
        <v>9999</v>
      </c>
      <c r="EH68">
        <v>9999</v>
      </c>
      <c r="EI68">
        <v>9999</v>
      </c>
      <c r="EJ68">
        <v>999.9</v>
      </c>
      <c r="EK68">
        <v>1.86893</v>
      </c>
      <c r="EL68">
        <v>1.8646400000000001</v>
      </c>
      <c r="EM68">
        <v>1.8691899999999999</v>
      </c>
      <c r="EN68">
        <v>1.86724</v>
      </c>
      <c r="EO68">
        <v>1.8633999999999999</v>
      </c>
      <c r="EP68">
        <v>1.8645700000000001</v>
      </c>
      <c r="EQ68">
        <v>1.8702000000000001</v>
      </c>
      <c r="ER68">
        <v>1.86947</v>
      </c>
      <c r="ES68">
        <v>0</v>
      </c>
      <c r="ET68">
        <v>0</v>
      </c>
      <c r="EU68">
        <v>0</v>
      </c>
      <c r="EV68">
        <v>0</v>
      </c>
      <c r="EW68" t="s">
        <v>334</v>
      </c>
      <c r="EX68" t="s">
        <v>335</v>
      </c>
      <c r="EY68" t="s">
        <v>336</v>
      </c>
      <c r="EZ68" t="s">
        <v>336</v>
      </c>
      <c r="FA68" t="s">
        <v>336</v>
      </c>
      <c r="FB68" t="s">
        <v>336</v>
      </c>
      <c r="FC68">
        <v>0</v>
      </c>
      <c r="FD68">
        <v>100</v>
      </c>
      <c r="FE68">
        <v>100</v>
      </c>
      <c r="FF68">
        <v>-0.40899999999999997</v>
      </c>
      <c r="FG68">
        <v>0.12479999999999999</v>
      </c>
      <c r="FH68">
        <v>4.0020685143421282E-2</v>
      </c>
      <c r="FI68">
        <v>-6.1462078757559423E-4</v>
      </c>
      <c r="FJ68">
        <v>-1.8861989874597051E-7</v>
      </c>
      <c r="FK68">
        <v>1.1980462299894961E-10</v>
      </c>
      <c r="FL68">
        <v>-3.1035565592992288E-2</v>
      </c>
      <c r="FM68">
        <v>-1.6848085045870601E-2</v>
      </c>
      <c r="FN68">
        <v>1.9789084769509481E-3</v>
      </c>
      <c r="FO68">
        <v>-2.7142391389806329E-5</v>
      </c>
      <c r="FP68">
        <v>3</v>
      </c>
      <c r="FQ68">
        <v>2158</v>
      </c>
      <c r="FR68">
        <v>1</v>
      </c>
      <c r="FS68">
        <v>19</v>
      </c>
      <c r="FT68">
        <v>16.8</v>
      </c>
      <c r="FU68">
        <v>16.7</v>
      </c>
      <c r="FV68">
        <v>1.77979</v>
      </c>
      <c r="FW68">
        <v>2.5781200000000002</v>
      </c>
      <c r="FX68">
        <v>1.5490699999999999</v>
      </c>
      <c r="FY68">
        <v>2.3290999999999999</v>
      </c>
      <c r="FZ68">
        <v>1.50146</v>
      </c>
      <c r="GA68">
        <v>2.3864700000000001</v>
      </c>
      <c r="GB68">
        <v>33.805700000000002</v>
      </c>
      <c r="GC68">
        <v>23.991199999999999</v>
      </c>
      <c r="GD68">
        <v>19</v>
      </c>
      <c r="GE68">
        <v>242.95099999999999</v>
      </c>
      <c r="GF68">
        <v>582.26499999999999</v>
      </c>
      <c r="GG68">
        <v>25.121099999999998</v>
      </c>
      <c r="GH68">
        <v>26.504799999999999</v>
      </c>
      <c r="GI68">
        <v>29.9999</v>
      </c>
      <c r="GJ68">
        <v>26.619700000000002</v>
      </c>
      <c r="GK68">
        <v>26.5885</v>
      </c>
      <c r="GL68">
        <v>35.585000000000001</v>
      </c>
      <c r="GM68">
        <v>-30</v>
      </c>
      <c r="GN68">
        <v>-30</v>
      </c>
      <c r="GO68">
        <v>25.119900000000001</v>
      </c>
      <c r="GP68">
        <v>800</v>
      </c>
      <c r="GQ68">
        <v>12.5298</v>
      </c>
      <c r="GR68">
        <v>99.649699999999996</v>
      </c>
      <c r="GS68">
        <v>99.427400000000006</v>
      </c>
    </row>
    <row r="69" spans="1:201" x14ac:dyDescent="0.25">
      <c r="A69">
        <v>53</v>
      </c>
      <c r="B69">
        <v>1690212935.5999999</v>
      </c>
      <c r="C69">
        <v>668.09999990463257</v>
      </c>
      <c r="D69" t="s">
        <v>437</v>
      </c>
      <c r="E69" t="s">
        <v>438</v>
      </c>
      <c r="F69" t="s">
        <v>330</v>
      </c>
      <c r="H69">
        <v>1690212935.5999999</v>
      </c>
      <c r="I69">
        <f t="shared" si="0"/>
        <v>1.0076327841373896E-3</v>
      </c>
      <c r="J69">
        <f t="shared" si="1"/>
        <v>1.0076327841373895</v>
      </c>
      <c r="K69">
        <f t="shared" si="2"/>
        <v>12.472545048801937</v>
      </c>
      <c r="L69">
        <f t="shared" si="3"/>
        <v>649.1</v>
      </c>
      <c r="M69">
        <f t="shared" si="4"/>
        <v>166.78430254022436</v>
      </c>
      <c r="N69">
        <f t="shared" si="5"/>
        <v>16.54488339442964</v>
      </c>
      <c r="O69">
        <f t="shared" si="6"/>
        <v>64.390255244400009</v>
      </c>
      <c r="P69">
        <f t="shared" si="7"/>
        <v>4.3175457285787609E-2</v>
      </c>
      <c r="Q69">
        <f t="shared" si="8"/>
        <v>2.0102181397762835</v>
      </c>
      <c r="R69">
        <f t="shared" si="9"/>
        <v>4.2666828687517512E-2</v>
      </c>
      <c r="S69">
        <f t="shared" si="10"/>
        <v>2.6711966876275483E-2</v>
      </c>
      <c r="T69">
        <f t="shared" si="11"/>
        <v>276.11364866876312</v>
      </c>
      <c r="U69">
        <f t="shared" si="12"/>
        <v>28.931583590321342</v>
      </c>
      <c r="V69">
        <f t="shared" si="13"/>
        <v>28.931583590321342</v>
      </c>
      <c r="W69">
        <f t="shared" si="14"/>
        <v>4.0058782330106064</v>
      </c>
      <c r="X69">
        <f t="shared" si="15"/>
        <v>48.357348467664899</v>
      </c>
      <c r="Y69">
        <f t="shared" si="16"/>
        <v>1.7308985467308</v>
      </c>
      <c r="Z69">
        <f t="shared" si="17"/>
        <v>3.5793909334962808</v>
      </c>
      <c r="AA69">
        <f t="shared" si="18"/>
        <v>2.2749796862798064</v>
      </c>
      <c r="AB69">
        <f t="shared" si="19"/>
        <v>-44.436605780458883</v>
      </c>
      <c r="AC69">
        <f t="shared" si="20"/>
        <v>-209.21592812183917</v>
      </c>
      <c r="AD69">
        <f t="shared" si="21"/>
        <v>-22.678849609866333</v>
      </c>
      <c r="AE69">
        <f t="shared" si="22"/>
        <v>-0.21773484340127425</v>
      </c>
      <c r="AF69">
        <v>38</v>
      </c>
      <c r="AG69">
        <v>13</v>
      </c>
      <c r="AH69">
        <f t="shared" si="23"/>
        <v>1</v>
      </c>
      <c r="AI69">
        <f t="shared" si="24"/>
        <v>0</v>
      </c>
      <c r="AJ69">
        <f t="shared" si="25"/>
        <v>52312.738945656878</v>
      </c>
      <c r="AK69">
        <f t="shared" si="26"/>
        <v>1799.99</v>
      </c>
      <c r="AL69">
        <f t="shared" si="27"/>
        <v>1499.1035078009099</v>
      </c>
      <c r="AM69">
        <f t="shared" si="28"/>
        <v>0.83283990899999993</v>
      </c>
      <c r="AN69">
        <f t="shared" si="29"/>
        <v>0.15339732369</v>
      </c>
      <c r="AO69">
        <v>34.5</v>
      </c>
      <c r="AP69">
        <v>0.5</v>
      </c>
      <c r="AQ69" t="s">
        <v>331</v>
      </c>
      <c r="AR69">
        <v>2</v>
      </c>
      <c r="AS69">
        <v>1690212935.5999999</v>
      </c>
      <c r="AT69">
        <v>649.1</v>
      </c>
      <c r="AU69">
        <v>799.98900000000003</v>
      </c>
      <c r="AV69">
        <v>17.448699999999999</v>
      </c>
      <c r="AW69">
        <v>6.0681599999999998</v>
      </c>
      <c r="AX69">
        <v>649.50599999999997</v>
      </c>
      <c r="AY69">
        <v>17.318999999999999</v>
      </c>
      <c r="AZ69">
        <v>300.13299999999998</v>
      </c>
      <c r="BA69">
        <v>99.099299999999999</v>
      </c>
      <c r="BB69">
        <v>9.9984000000000003E-2</v>
      </c>
      <c r="BC69">
        <v>27.001100000000001</v>
      </c>
      <c r="BD69">
        <v>26.9846</v>
      </c>
      <c r="BE69">
        <v>28.9756</v>
      </c>
      <c r="BF69">
        <v>0</v>
      </c>
      <c r="BG69">
        <v>0</v>
      </c>
      <c r="BH69">
        <v>9982.5</v>
      </c>
      <c r="BI69">
        <v>1075.6300000000001</v>
      </c>
      <c r="BJ69">
        <v>1.7380500000000001</v>
      </c>
      <c r="BK69">
        <v>-150.88900000000001</v>
      </c>
      <c r="BL69">
        <v>660.62699999999995</v>
      </c>
      <c r="BM69">
        <v>804.87300000000005</v>
      </c>
      <c r="BN69">
        <v>11.380599999999999</v>
      </c>
      <c r="BO69">
        <v>799.98900000000003</v>
      </c>
      <c r="BP69">
        <v>6.0681599999999998</v>
      </c>
      <c r="BQ69">
        <v>1.72916</v>
      </c>
      <c r="BR69">
        <v>0.60135099999999997</v>
      </c>
      <c r="BS69">
        <v>15.1607</v>
      </c>
      <c r="BT69">
        <v>-0.27843800000000002</v>
      </c>
      <c r="BU69">
        <v>1799.99</v>
      </c>
      <c r="BV69">
        <v>0.91000099999999995</v>
      </c>
      <c r="BW69">
        <v>3.4000200000000001E-2</v>
      </c>
      <c r="BX69">
        <v>2.19992E-2</v>
      </c>
      <c r="BY69">
        <v>3.3999500000000002E-2</v>
      </c>
      <c r="BZ69">
        <v>26</v>
      </c>
      <c r="CA69">
        <v>33528.300000000003</v>
      </c>
      <c r="CB69">
        <v>1690211922</v>
      </c>
      <c r="CC69" t="s">
        <v>332</v>
      </c>
      <c r="CD69">
        <v>1690211915</v>
      </c>
      <c r="CE69">
        <v>1690211922</v>
      </c>
      <c r="CF69">
        <v>6</v>
      </c>
      <c r="CG69">
        <v>1.0999999999999999E-2</v>
      </c>
      <c r="CH69">
        <v>8.0000000000000002E-3</v>
      </c>
      <c r="CI69">
        <v>-0.51100000000000001</v>
      </c>
      <c r="CJ69">
        <v>-6.6000000000000003E-2</v>
      </c>
      <c r="CK69">
        <v>800</v>
      </c>
      <c r="CL69">
        <v>6</v>
      </c>
      <c r="CM69">
        <v>0.21</v>
      </c>
      <c r="CN69">
        <v>0.02</v>
      </c>
      <c r="CO69">
        <v>-146.68835000000001</v>
      </c>
      <c r="CP69">
        <v>-21.673530956847689</v>
      </c>
      <c r="CQ69">
        <v>2.0854103858713291</v>
      </c>
      <c r="CR69">
        <v>-1</v>
      </c>
      <c r="CS69">
        <v>11.172572499999999</v>
      </c>
      <c r="CT69">
        <v>1.0970622889305439</v>
      </c>
      <c r="CU69">
        <v>0.1055363065193681</v>
      </c>
      <c r="CV69">
        <v>-1</v>
      </c>
      <c r="CW69">
        <v>0</v>
      </c>
      <c r="CX69">
        <v>0</v>
      </c>
      <c r="CY69" t="s">
        <v>333</v>
      </c>
      <c r="CZ69">
        <v>2.3641100000000002</v>
      </c>
      <c r="DA69">
        <v>2.7137600000000002</v>
      </c>
      <c r="DB69">
        <v>0.127194</v>
      </c>
      <c r="DC69">
        <v>0.146037</v>
      </c>
      <c r="DD69">
        <v>9.0717400000000004E-2</v>
      </c>
      <c r="DE69">
        <v>3.9798600000000003E-2</v>
      </c>
      <c r="DF69">
        <v>31842.400000000001</v>
      </c>
      <c r="DG69">
        <v>27484.2</v>
      </c>
      <c r="DH69">
        <v>31146.5</v>
      </c>
      <c r="DI69">
        <v>28045.3</v>
      </c>
      <c r="DJ69">
        <v>38454.300000000003</v>
      </c>
      <c r="DK69">
        <v>38289.199999999997</v>
      </c>
      <c r="DL69">
        <v>44320.5</v>
      </c>
      <c r="DM69">
        <v>42500.1</v>
      </c>
      <c r="DN69">
        <v>1.3748499999999999</v>
      </c>
      <c r="DO69">
        <v>2.0320200000000002</v>
      </c>
      <c r="DP69">
        <v>7.61487E-2</v>
      </c>
      <c r="DQ69">
        <v>0.20660500000000001</v>
      </c>
      <c r="DR69">
        <v>25.7379</v>
      </c>
      <c r="DS69">
        <v>25.598400000000002</v>
      </c>
      <c r="DT69">
        <v>18.100000000000001</v>
      </c>
      <c r="DU69">
        <v>29.6</v>
      </c>
      <c r="DV69">
        <v>7.6052299999999997</v>
      </c>
      <c r="DW69">
        <v>61.921199999999999</v>
      </c>
      <c r="DX69">
        <v>36.902999999999999</v>
      </c>
      <c r="DY69">
        <v>1</v>
      </c>
      <c r="DZ69">
        <v>-6.9611300000000001E-2</v>
      </c>
      <c r="EA69">
        <v>0.37095600000000001</v>
      </c>
      <c r="EB69">
        <v>20.1889</v>
      </c>
      <c r="EC69">
        <v>5.2401999999999997</v>
      </c>
      <c r="ED69">
        <v>12.039899999999999</v>
      </c>
      <c r="EE69">
        <v>5.0167000000000002</v>
      </c>
      <c r="EF69">
        <v>3.2879999999999998</v>
      </c>
      <c r="EG69">
        <v>9999</v>
      </c>
      <c r="EH69">
        <v>9999</v>
      </c>
      <c r="EI69">
        <v>9999</v>
      </c>
      <c r="EJ69">
        <v>999.9</v>
      </c>
      <c r="EK69">
        <v>1.86894</v>
      </c>
      <c r="EL69">
        <v>1.8646499999999999</v>
      </c>
      <c r="EM69">
        <v>1.8692</v>
      </c>
      <c r="EN69">
        <v>1.8672500000000001</v>
      </c>
      <c r="EO69">
        <v>1.86341</v>
      </c>
      <c r="EP69">
        <v>1.8645799999999999</v>
      </c>
      <c r="EQ69">
        <v>1.8701700000000001</v>
      </c>
      <c r="ER69">
        <v>1.86948</v>
      </c>
      <c r="ES69">
        <v>0</v>
      </c>
      <c r="ET69">
        <v>0</v>
      </c>
      <c r="EU69">
        <v>0</v>
      </c>
      <c r="EV69">
        <v>0</v>
      </c>
      <c r="EW69" t="s">
        <v>334</v>
      </c>
      <c r="EX69" t="s">
        <v>335</v>
      </c>
      <c r="EY69" t="s">
        <v>336</v>
      </c>
      <c r="EZ69" t="s">
        <v>336</v>
      </c>
      <c r="FA69" t="s">
        <v>336</v>
      </c>
      <c r="FB69" t="s">
        <v>336</v>
      </c>
      <c r="FC69">
        <v>0</v>
      </c>
      <c r="FD69">
        <v>100</v>
      </c>
      <c r="FE69">
        <v>100</v>
      </c>
      <c r="FF69">
        <v>-0.40600000000000003</v>
      </c>
      <c r="FG69">
        <v>0.12970000000000001</v>
      </c>
      <c r="FH69">
        <v>4.0020685143421282E-2</v>
      </c>
      <c r="FI69">
        <v>-6.1462078757559423E-4</v>
      </c>
      <c r="FJ69">
        <v>-1.8861989874597051E-7</v>
      </c>
      <c r="FK69">
        <v>1.1980462299894961E-10</v>
      </c>
      <c r="FL69">
        <v>-3.1035565592992288E-2</v>
      </c>
      <c r="FM69">
        <v>-1.6848085045870601E-2</v>
      </c>
      <c r="FN69">
        <v>1.9789084769509481E-3</v>
      </c>
      <c r="FO69">
        <v>-2.7142391389806329E-5</v>
      </c>
      <c r="FP69">
        <v>3</v>
      </c>
      <c r="FQ69">
        <v>2158</v>
      </c>
      <c r="FR69">
        <v>1</v>
      </c>
      <c r="FS69">
        <v>19</v>
      </c>
      <c r="FT69">
        <v>17</v>
      </c>
      <c r="FU69">
        <v>16.899999999999999</v>
      </c>
      <c r="FV69">
        <v>1.77979</v>
      </c>
      <c r="FW69">
        <v>2.5769000000000002</v>
      </c>
      <c r="FX69">
        <v>1.5490699999999999</v>
      </c>
      <c r="FY69">
        <v>2.3290999999999999</v>
      </c>
      <c r="FZ69">
        <v>1.50146</v>
      </c>
      <c r="GA69">
        <v>2.3974600000000001</v>
      </c>
      <c r="GB69">
        <v>33.805700000000002</v>
      </c>
      <c r="GC69">
        <v>23.991199999999999</v>
      </c>
      <c r="GD69">
        <v>19</v>
      </c>
      <c r="GE69">
        <v>242.97</v>
      </c>
      <c r="GF69">
        <v>582.37</v>
      </c>
      <c r="GG69">
        <v>24.9648</v>
      </c>
      <c r="GH69">
        <v>26.502500000000001</v>
      </c>
      <c r="GI69">
        <v>30.000399999999999</v>
      </c>
      <c r="GJ69">
        <v>26.619700000000002</v>
      </c>
      <c r="GK69">
        <v>26.5869</v>
      </c>
      <c r="GL69">
        <v>35.586399999999998</v>
      </c>
      <c r="GM69">
        <v>-30</v>
      </c>
      <c r="GN69">
        <v>-30</v>
      </c>
      <c r="GO69">
        <v>24.9575</v>
      </c>
      <c r="GP69">
        <v>800</v>
      </c>
      <c r="GQ69">
        <v>12.5298</v>
      </c>
      <c r="GR69">
        <v>99.650499999999994</v>
      </c>
      <c r="GS69">
        <v>99.428899999999999</v>
      </c>
    </row>
    <row r="70" spans="1:201" x14ac:dyDescent="0.25">
      <c r="A70">
        <v>54</v>
      </c>
      <c r="B70">
        <v>1690212945.5999999</v>
      </c>
      <c r="C70">
        <v>678.09999990463257</v>
      </c>
      <c r="D70" t="s">
        <v>439</v>
      </c>
      <c r="E70" t="s">
        <v>440</v>
      </c>
      <c r="F70" t="s">
        <v>330</v>
      </c>
      <c r="H70">
        <v>1690212945.5999999</v>
      </c>
      <c r="I70">
        <f t="shared" si="0"/>
        <v>1.0237616704241545E-3</v>
      </c>
      <c r="J70">
        <f t="shared" si="1"/>
        <v>1.0237616704241546</v>
      </c>
      <c r="K70">
        <f t="shared" si="2"/>
        <v>12.790370778803794</v>
      </c>
      <c r="L70">
        <f t="shared" si="3"/>
        <v>645.44899999999996</v>
      </c>
      <c r="M70">
        <f t="shared" si="4"/>
        <v>164.04267660751646</v>
      </c>
      <c r="N70">
        <f t="shared" si="5"/>
        <v>16.272214618424009</v>
      </c>
      <c r="O70">
        <f t="shared" si="6"/>
        <v>64.02531871859199</v>
      </c>
      <c r="P70">
        <f t="shared" si="7"/>
        <v>4.4346996379191414E-2</v>
      </c>
      <c r="Q70">
        <f t="shared" si="8"/>
        <v>2.0118749932862139</v>
      </c>
      <c r="R70">
        <f t="shared" si="9"/>
        <v>4.3811011607139724E-2</v>
      </c>
      <c r="S70">
        <f t="shared" si="10"/>
        <v>2.7429498560111863E-2</v>
      </c>
      <c r="T70">
        <f t="shared" si="11"/>
        <v>276.11495778349024</v>
      </c>
      <c r="U70">
        <f t="shared" si="12"/>
        <v>28.902576640771752</v>
      </c>
      <c r="V70">
        <f t="shared" si="13"/>
        <v>28.902576640771752</v>
      </c>
      <c r="W70">
        <f t="shared" si="14"/>
        <v>3.9991558753149357</v>
      </c>
      <c r="X70">
        <f t="shared" si="15"/>
        <v>48.907246356946139</v>
      </c>
      <c r="Y70">
        <f t="shared" si="16"/>
        <v>1.7483516940032</v>
      </c>
      <c r="Z70">
        <f t="shared" si="17"/>
        <v>3.5748315929360994</v>
      </c>
      <c r="AA70">
        <f t="shared" si="18"/>
        <v>2.2508041813117359</v>
      </c>
      <c r="AB70">
        <f t="shared" si="19"/>
        <v>-45.147889665705215</v>
      </c>
      <c r="AC70">
        <f t="shared" si="20"/>
        <v>-208.59582471977808</v>
      </c>
      <c r="AD70">
        <f t="shared" si="21"/>
        <v>-22.587298394933075</v>
      </c>
      <c r="AE70">
        <f t="shared" si="22"/>
        <v>-0.21605499692611829</v>
      </c>
      <c r="AF70">
        <v>37</v>
      </c>
      <c r="AG70">
        <v>12</v>
      </c>
      <c r="AH70">
        <f t="shared" si="23"/>
        <v>1</v>
      </c>
      <c r="AI70">
        <f t="shared" si="24"/>
        <v>0</v>
      </c>
      <c r="AJ70">
        <f t="shared" si="25"/>
        <v>52395.948626100078</v>
      </c>
      <c r="AK70">
        <f t="shared" si="26"/>
        <v>1799.99</v>
      </c>
      <c r="AL70">
        <f t="shared" si="27"/>
        <v>1499.1018770099699</v>
      </c>
      <c r="AM70">
        <f t="shared" si="28"/>
        <v>0.83283900299999991</v>
      </c>
      <c r="AN70">
        <f t="shared" si="29"/>
        <v>0.15339805098000001</v>
      </c>
      <c r="AO70">
        <v>34.5</v>
      </c>
      <c r="AP70">
        <v>0.5</v>
      </c>
      <c r="AQ70" t="s">
        <v>331</v>
      </c>
      <c r="AR70">
        <v>2</v>
      </c>
      <c r="AS70">
        <v>1690212945.5999999</v>
      </c>
      <c r="AT70">
        <v>645.44899999999996</v>
      </c>
      <c r="AU70">
        <v>800.04300000000001</v>
      </c>
      <c r="AV70">
        <v>17.625399999999999</v>
      </c>
      <c r="AW70">
        <v>6.0667</v>
      </c>
      <c r="AX70">
        <v>645.85299999999995</v>
      </c>
      <c r="AY70">
        <v>17.4909</v>
      </c>
      <c r="AZ70">
        <v>300.18299999999999</v>
      </c>
      <c r="BA70">
        <v>99.094999999999999</v>
      </c>
      <c r="BB70">
        <v>0.100008</v>
      </c>
      <c r="BC70">
        <v>26.979399999999998</v>
      </c>
      <c r="BD70">
        <v>26.9726</v>
      </c>
      <c r="BE70">
        <v>28.9603</v>
      </c>
      <c r="BF70">
        <v>0</v>
      </c>
      <c r="BG70">
        <v>0</v>
      </c>
      <c r="BH70">
        <v>9998.75</v>
      </c>
      <c r="BI70">
        <v>1075.5899999999999</v>
      </c>
      <c r="BJ70">
        <v>2.0183800000000001</v>
      </c>
      <c r="BK70">
        <v>-154.59399999999999</v>
      </c>
      <c r="BL70">
        <v>657.03</v>
      </c>
      <c r="BM70">
        <v>804.92600000000004</v>
      </c>
      <c r="BN70">
        <v>11.5587</v>
      </c>
      <c r="BO70">
        <v>800.04300000000001</v>
      </c>
      <c r="BP70">
        <v>6.0667</v>
      </c>
      <c r="BQ70">
        <v>1.7465900000000001</v>
      </c>
      <c r="BR70">
        <v>0.60118000000000005</v>
      </c>
      <c r="BS70">
        <v>15.316800000000001</v>
      </c>
      <c r="BT70">
        <v>-0.28234500000000001</v>
      </c>
      <c r="BU70">
        <v>1799.99</v>
      </c>
      <c r="BV70">
        <v>0.90998000000000001</v>
      </c>
      <c r="BW70">
        <v>3.3997800000000002E-2</v>
      </c>
      <c r="BX70">
        <v>2.2008900000000001E-2</v>
      </c>
      <c r="BY70">
        <v>3.4012800000000003E-2</v>
      </c>
      <c r="BZ70">
        <v>26</v>
      </c>
      <c r="CA70">
        <v>33528.1</v>
      </c>
      <c r="CB70">
        <v>1690211922</v>
      </c>
      <c r="CC70" t="s">
        <v>332</v>
      </c>
      <c r="CD70">
        <v>1690211915</v>
      </c>
      <c r="CE70">
        <v>1690211922</v>
      </c>
      <c r="CF70">
        <v>6</v>
      </c>
      <c r="CG70">
        <v>1.0999999999999999E-2</v>
      </c>
      <c r="CH70">
        <v>8.0000000000000002E-3</v>
      </c>
      <c r="CI70">
        <v>-0.51100000000000001</v>
      </c>
      <c r="CJ70">
        <v>-6.6000000000000003E-2</v>
      </c>
      <c r="CK70">
        <v>800</v>
      </c>
      <c r="CL70">
        <v>6</v>
      </c>
      <c r="CM70">
        <v>0.21</v>
      </c>
      <c r="CN70">
        <v>0.02</v>
      </c>
      <c r="CO70">
        <v>-150.35980000000001</v>
      </c>
      <c r="CP70">
        <v>-22.373470919324038</v>
      </c>
      <c r="CQ70">
        <v>2.1525665634307338</v>
      </c>
      <c r="CR70">
        <v>-1</v>
      </c>
      <c r="CS70">
        <v>11.35553</v>
      </c>
      <c r="CT70">
        <v>1.0956945590994061</v>
      </c>
      <c r="CU70">
        <v>0.1054180065263995</v>
      </c>
      <c r="CV70">
        <v>-1</v>
      </c>
      <c r="CW70">
        <v>0</v>
      </c>
      <c r="CX70">
        <v>0</v>
      </c>
      <c r="CY70" t="s">
        <v>333</v>
      </c>
      <c r="CZ70">
        <v>2.3642699999999999</v>
      </c>
      <c r="DA70">
        <v>2.7138</v>
      </c>
      <c r="DB70">
        <v>0.126695</v>
      </c>
      <c r="DC70">
        <v>0.146038</v>
      </c>
      <c r="DD70">
        <v>9.1367299999999999E-2</v>
      </c>
      <c r="DE70">
        <v>3.9789100000000001E-2</v>
      </c>
      <c r="DF70">
        <v>31860.7</v>
      </c>
      <c r="DG70">
        <v>27484.400000000001</v>
      </c>
      <c r="DH70">
        <v>31146.6</v>
      </c>
      <c r="DI70">
        <v>28045.5</v>
      </c>
      <c r="DJ70">
        <v>38426.5</v>
      </c>
      <c r="DK70">
        <v>38289.699999999997</v>
      </c>
      <c r="DL70">
        <v>44320.6</v>
      </c>
      <c r="DM70">
        <v>42500.2</v>
      </c>
      <c r="DN70">
        <v>1.3751500000000001</v>
      </c>
      <c r="DO70">
        <v>2.03172</v>
      </c>
      <c r="DP70">
        <v>7.5552599999999998E-2</v>
      </c>
      <c r="DQ70">
        <v>0.20560200000000001</v>
      </c>
      <c r="DR70">
        <v>25.735700000000001</v>
      </c>
      <c r="DS70">
        <v>25.599399999999999</v>
      </c>
      <c r="DT70">
        <v>18.100000000000001</v>
      </c>
      <c r="DU70">
        <v>29.6</v>
      </c>
      <c r="DV70">
        <v>7.6056100000000004</v>
      </c>
      <c r="DW70">
        <v>61.821199999999997</v>
      </c>
      <c r="DX70">
        <v>36.466299999999997</v>
      </c>
      <c r="DY70">
        <v>1</v>
      </c>
      <c r="DZ70">
        <v>-7.0261699999999996E-2</v>
      </c>
      <c r="EA70">
        <v>8.6631299999999994E-2</v>
      </c>
      <c r="EB70">
        <v>20.189800000000002</v>
      </c>
      <c r="EC70">
        <v>5.2401999999999997</v>
      </c>
      <c r="ED70">
        <v>12.039899999999999</v>
      </c>
      <c r="EE70">
        <v>5.0163000000000002</v>
      </c>
      <c r="EF70">
        <v>3.2879999999999998</v>
      </c>
      <c r="EG70">
        <v>9999</v>
      </c>
      <c r="EH70">
        <v>9999</v>
      </c>
      <c r="EI70">
        <v>9999</v>
      </c>
      <c r="EJ70">
        <v>999.9</v>
      </c>
      <c r="EK70">
        <v>1.86894</v>
      </c>
      <c r="EL70">
        <v>1.86466</v>
      </c>
      <c r="EM70">
        <v>1.8692</v>
      </c>
      <c r="EN70">
        <v>1.8672599999999999</v>
      </c>
      <c r="EO70">
        <v>1.8633999999999999</v>
      </c>
      <c r="EP70">
        <v>1.8646</v>
      </c>
      <c r="EQ70">
        <v>1.87016</v>
      </c>
      <c r="ER70">
        <v>1.8694500000000001</v>
      </c>
      <c r="ES70">
        <v>0</v>
      </c>
      <c r="ET70">
        <v>0</v>
      </c>
      <c r="EU70">
        <v>0</v>
      </c>
      <c r="EV70">
        <v>0</v>
      </c>
      <c r="EW70" t="s">
        <v>334</v>
      </c>
      <c r="EX70" t="s">
        <v>335</v>
      </c>
      <c r="EY70" t="s">
        <v>336</v>
      </c>
      <c r="EZ70" t="s">
        <v>336</v>
      </c>
      <c r="FA70" t="s">
        <v>336</v>
      </c>
      <c r="FB70" t="s">
        <v>336</v>
      </c>
      <c r="FC70">
        <v>0</v>
      </c>
      <c r="FD70">
        <v>100</v>
      </c>
      <c r="FE70">
        <v>100</v>
      </c>
      <c r="FF70">
        <v>-0.40400000000000003</v>
      </c>
      <c r="FG70">
        <v>0.13450000000000001</v>
      </c>
      <c r="FH70">
        <v>4.0020685143421282E-2</v>
      </c>
      <c r="FI70">
        <v>-6.1462078757559423E-4</v>
      </c>
      <c r="FJ70">
        <v>-1.8861989874597051E-7</v>
      </c>
      <c r="FK70">
        <v>1.1980462299894961E-10</v>
      </c>
      <c r="FL70">
        <v>-3.1035565592992288E-2</v>
      </c>
      <c r="FM70">
        <v>-1.6848085045870601E-2</v>
      </c>
      <c r="FN70">
        <v>1.9789084769509481E-3</v>
      </c>
      <c r="FO70">
        <v>-2.7142391389806329E-5</v>
      </c>
      <c r="FP70">
        <v>3</v>
      </c>
      <c r="FQ70">
        <v>2158</v>
      </c>
      <c r="FR70">
        <v>1</v>
      </c>
      <c r="FS70">
        <v>19</v>
      </c>
      <c r="FT70">
        <v>17.2</v>
      </c>
      <c r="FU70">
        <v>17.100000000000001</v>
      </c>
      <c r="FV70">
        <v>1.77979</v>
      </c>
      <c r="FW70">
        <v>2.5769000000000002</v>
      </c>
      <c r="FX70">
        <v>1.5490699999999999</v>
      </c>
      <c r="FY70">
        <v>2.3290999999999999</v>
      </c>
      <c r="FZ70">
        <v>1.50146</v>
      </c>
      <c r="GA70">
        <v>2.3950200000000001</v>
      </c>
      <c r="GB70">
        <v>33.805700000000002</v>
      </c>
      <c r="GC70">
        <v>23.991199999999999</v>
      </c>
      <c r="GD70">
        <v>19</v>
      </c>
      <c r="GE70">
        <v>243.077</v>
      </c>
      <c r="GF70">
        <v>582.12199999999996</v>
      </c>
      <c r="GG70">
        <v>24.934999999999999</v>
      </c>
      <c r="GH70">
        <v>26.5001</v>
      </c>
      <c r="GI70">
        <v>29.9998</v>
      </c>
      <c r="GJ70">
        <v>26.6174</v>
      </c>
      <c r="GK70">
        <v>26.5869</v>
      </c>
      <c r="GL70">
        <v>35.584299999999999</v>
      </c>
      <c r="GM70">
        <v>-30</v>
      </c>
      <c r="GN70">
        <v>-30</v>
      </c>
      <c r="GO70">
        <v>24.963100000000001</v>
      </c>
      <c r="GP70">
        <v>800</v>
      </c>
      <c r="GQ70">
        <v>12.5298</v>
      </c>
      <c r="GR70">
        <v>99.650599999999997</v>
      </c>
      <c r="GS70">
        <v>99.429299999999998</v>
      </c>
    </row>
    <row r="71" spans="1:201" x14ac:dyDescent="0.25">
      <c r="A71">
        <v>55</v>
      </c>
      <c r="B71">
        <v>1690212955.5999999</v>
      </c>
      <c r="C71">
        <v>688.09999990463257</v>
      </c>
      <c r="D71" t="s">
        <v>441</v>
      </c>
      <c r="E71" t="s">
        <v>442</v>
      </c>
      <c r="F71" t="s">
        <v>330</v>
      </c>
      <c r="H71">
        <v>1690212955.5999999</v>
      </c>
      <c r="I71">
        <f t="shared" si="0"/>
        <v>1.0405523371031992E-3</v>
      </c>
      <c r="J71">
        <f t="shared" si="1"/>
        <v>1.0405523371031993</v>
      </c>
      <c r="K71">
        <f t="shared" si="2"/>
        <v>13.112683853087841</v>
      </c>
      <c r="L71">
        <f t="shared" si="3"/>
        <v>641.60400000000004</v>
      </c>
      <c r="M71">
        <f t="shared" si="4"/>
        <v>160.92680220687649</v>
      </c>
      <c r="N71">
        <f t="shared" si="5"/>
        <v>15.963252908891139</v>
      </c>
      <c r="O71">
        <f t="shared" si="6"/>
        <v>63.644382283752002</v>
      </c>
      <c r="P71">
        <f t="shared" si="7"/>
        <v>4.5521577752954449E-2</v>
      </c>
      <c r="Q71">
        <f t="shared" si="8"/>
        <v>2.0116866384134906</v>
      </c>
      <c r="R71">
        <f t="shared" si="9"/>
        <v>4.4956967402833288E-2</v>
      </c>
      <c r="S71">
        <f t="shared" si="10"/>
        <v>2.8148249107975962E-2</v>
      </c>
      <c r="T71">
        <f t="shared" si="11"/>
        <v>276.11474984864537</v>
      </c>
      <c r="U71">
        <f t="shared" si="12"/>
        <v>28.889284966241629</v>
      </c>
      <c r="V71">
        <f t="shared" si="13"/>
        <v>28.889284966241629</v>
      </c>
      <c r="W71">
        <f t="shared" si="14"/>
        <v>3.9960788190738903</v>
      </c>
      <c r="X71">
        <f t="shared" si="15"/>
        <v>49.445479761858543</v>
      </c>
      <c r="Y71">
        <f t="shared" si="16"/>
        <v>1.7668348069607995</v>
      </c>
      <c r="Z71">
        <f t="shared" si="17"/>
        <v>3.5732989455665223</v>
      </c>
      <c r="AA71">
        <f t="shared" si="18"/>
        <v>2.2292440121130905</v>
      </c>
      <c r="AB71">
        <f t="shared" si="19"/>
        <v>-45.888358066251087</v>
      </c>
      <c r="AC71">
        <f t="shared" si="20"/>
        <v>-207.92647428416103</v>
      </c>
      <c r="AD71">
        <f t="shared" si="21"/>
        <v>-22.514615066175569</v>
      </c>
      <c r="AE71">
        <f t="shared" si="22"/>
        <v>-0.21469756794232353</v>
      </c>
      <c r="AF71">
        <v>37</v>
      </c>
      <c r="AG71">
        <v>12</v>
      </c>
      <c r="AH71">
        <f t="shared" si="23"/>
        <v>1</v>
      </c>
      <c r="AI71">
        <f t="shared" si="24"/>
        <v>0</v>
      </c>
      <c r="AJ71">
        <f t="shared" si="25"/>
        <v>52388.194251767687</v>
      </c>
      <c r="AK71">
        <f t="shared" si="26"/>
        <v>1799.99</v>
      </c>
      <c r="AL71">
        <f t="shared" si="27"/>
        <v>1499.10329540209</v>
      </c>
      <c r="AM71">
        <f t="shared" si="28"/>
        <v>0.83283979099999994</v>
      </c>
      <c r="AN71">
        <f t="shared" si="29"/>
        <v>0.15339793546</v>
      </c>
      <c r="AO71">
        <v>34.5</v>
      </c>
      <c r="AP71">
        <v>0.5</v>
      </c>
      <c r="AQ71" t="s">
        <v>331</v>
      </c>
      <c r="AR71">
        <v>2</v>
      </c>
      <c r="AS71">
        <v>1690212955.5999999</v>
      </c>
      <c r="AT71">
        <v>641.60400000000004</v>
      </c>
      <c r="AU71">
        <v>799.97299999999996</v>
      </c>
      <c r="AV71">
        <v>17.811599999999999</v>
      </c>
      <c r="AW71">
        <v>6.0661399999999999</v>
      </c>
      <c r="AX71">
        <v>642.005</v>
      </c>
      <c r="AY71">
        <v>17.6721</v>
      </c>
      <c r="AZ71">
        <v>300.19799999999998</v>
      </c>
      <c r="BA71">
        <v>99.095699999999994</v>
      </c>
      <c r="BB71">
        <v>0.100038</v>
      </c>
      <c r="BC71">
        <v>26.972100000000001</v>
      </c>
      <c r="BD71">
        <v>26.968599999999999</v>
      </c>
      <c r="BE71">
        <v>28.946100000000001</v>
      </c>
      <c r="BF71">
        <v>0</v>
      </c>
      <c r="BG71">
        <v>0</v>
      </c>
      <c r="BH71">
        <v>9996.8799999999992</v>
      </c>
      <c r="BI71">
        <v>1075.43</v>
      </c>
      <c r="BJ71">
        <v>2.0744500000000001</v>
      </c>
      <c r="BK71">
        <v>-158.369</v>
      </c>
      <c r="BL71">
        <v>653.23900000000003</v>
      </c>
      <c r="BM71">
        <v>804.85599999999999</v>
      </c>
      <c r="BN71">
        <v>11.7454</v>
      </c>
      <c r="BO71">
        <v>799.97299999999996</v>
      </c>
      <c r="BP71">
        <v>6.0661399999999999</v>
      </c>
      <c r="BQ71">
        <v>1.76505</v>
      </c>
      <c r="BR71">
        <v>0.60112900000000002</v>
      </c>
      <c r="BS71">
        <v>15.480700000000001</v>
      </c>
      <c r="BT71">
        <v>-0.283499</v>
      </c>
      <c r="BU71">
        <v>1799.99</v>
      </c>
      <c r="BV71">
        <v>0.90998699999999999</v>
      </c>
      <c r="BW71">
        <v>3.3995299999999999E-2</v>
      </c>
      <c r="BX71">
        <v>2.20073E-2</v>
      </c>
      <c r="BY71">
        <v>3.4010199999999997E-2</v>
      </c>
      <c r="BZ71">
        <v>26</v>
      </c>
      <c r="CA71">
        <v>33528.1</v>
      </c>
      <c r="CB71">
        <v>1690211922</v>
      </c>
      <c r="CC71" t="s">
        <v>332</v>
      </c>
      <c r="CD71">
        <v>1690211915</v>
      </c>
      <c r="CE71">
        <v>1690211922</v>
      </c>
      <c r="CF71">
        <v>6</v>
      </c>
      <c r="CG71">
        <v>1.0999999999999999E-2</v>
      </c>
      <c r="CH71">
        <v>8.0000000000000002E-3</v>
      </c>
      <c r="CI71">
        <v>-0.51100000000000001</v>
      </c>
      <c r="CJ71">
        <v>-6.6000000000000003E-2</v>
      </c>
      <c r="CK71">
        <v>800</v>
      </c>
      <c r="CL71">
        <v>6</v>
      </c>
      <c r="CM71">
        <v>0.21</v>
      </c>
      <c r="CN71">
        <v>0.02</v>
      </c>
      <c r="CO71">
        <v>-154.11927499999999</v>
      </c>
      <c r="CP71">
        <v>-22.488236397748359</v>
      </c>
      <c r="CQ71">
        <v>2.1635560079126659</v>
      </c>
      <c r="CR71">
        <v>-1</v>
      </c>
      <c r="CS71">
        <v>11.5379775</v>
      </c>
      <c r="CT71">
        <v>1.089893808630396</v>
      </c>
      <c r="CU71">
        <v>0.1048647855276022</v>
      </c>
      <c r="CV71">
        <v>-1</v>
      </c>
      <c r="CW71">
        <v>0</v>
      </c>
      <c r="CX71">
        <v>0</v>
      </c>
      <c r="CY71" t="s">
        <v>333</v>
      </c>
      <c r="CZ71">
        <v>2.3643399999999999</v>
      </c>
      <c r="DA71">
        <v>2.7138300000000002</v>
      </c>
      <c r="DB71">
        <v>0.12617400000000001</v>
      </c>
      <c r="DC71">
        <v>0.14602999999999999</v>
      </c>
      <c r="DD71">
        <v>9.2053499999999996E-2</v>
      </c>
      <c r="DE71">
        <v>3.9786500000000002E-2</v>
      </c>
      <c r="DF71">
        <v>31879.9</v>
      </c>
      <c r="DG71">
        <v>27484.799999999999</v>
      </c>
      <c r="DH71">
        <v>31146.9</v>
      </c>
      <c r="DI71">
        <v>28045.7</v>
      </c>
      <c r="DJ71">
        <v>38397.699999999997</v>
      </c>
      <c r="DK71">
        <v>38290.199999999997</v>
      </c>
      <c r="DL71">
        <v>44321.1</v>
      </c>
      <c r="DM71">
        <v>42500.6</v>
      </c>
      <c r="DN71">
        <v>1.37548</v>
      </c>
      <c r="DO71">
        <v>2.0318499999999999</v>
      </c>
      <c r="DP71">
        <v>7.5437100000000007E-2</v>
      </c>
      <c r="DQ71">
        <v>0.20499200000000001</v>
      </c>
      <c r="DR71">
        <v>25.733599999999999</v>
      </c>
      <c r="DS71">
        <v>25.595099999999999</v>
      </c>
      <c r="DT71">
        <v>18.100000000000001</v>
      </c>
      <c r="DU71">
        <v>29.6</v>
      </c>
      <c r="DV71">
        <v>7.6057100000000002</v>
      </c>
      <c r="DW71">
        <v>61.871200000000002</v>
      </c>
      <c r="DX71">
        <v>36.005600000000001</v>
      </c>
      <c r="DY71">
        <v>1</v>
      </c>
      <c r="DZ71">
        <v>-7.1300799999999998E-2</v>
      </c>
      <c r="EA71">
        <v>-6.8153599999999995E-2</v>
      </c>
      <c r="EB71">
        <v>20.189699999999998</v>
      </c>
      <c r="EC71">
        <v>5.2401999999999997</v>
      </c>
      <c r="ED71">
        <v>12.039899999999999</v>
      </c>
      <c r="EE71">
        <v>5.0159500000000001</v>
      </c>
      <c r="EF71">
        <v>3.2879999999999998</v>
      </c>
      <c r="EG71">
        <v>9999</v>
      </c>
      <c r="EH71">
        <v>9999</v>
      </c>
      <c r="EI71">
        <v>9999</v>
      </c>
      <c r="EJ71">
        <v>999.9</v>
      </c>
      <c r="EK71">
        <v>1.8689199999999999</v>
      </c>
      <c r="EL71">
        <v>1.86466</v>
      </c>
      <c r="EM71">
        <v>1.8692</v>
      </c>
      <c r="EN71">
        <v>1.8672599999999999</v>
      </c>
      <c r="EO71">
        <v>1.8633999999999999</v>
      </c>
      <c r="EP71">
        <v>1.8645700000000001</v>
      </c>
      <c r="EQ71">
        <v>1.87016</v>
      </c>
      <c r="ER71">
        <v>1.8694900000000001</v>
      </c>
      <c r="ES71">
        <v>0</v>
      </c>
      <c r="ET71">
        <v>0</v>
      </c>
      <c r="EU71">
        <v>0</v>
      </c>
      <c r="EV71">
        <v>0</v>
      </c>
      <c r="EW71" t="s">
        <v>334</v>
      </c>
      <c r="EX71" t="s">
        <v>335</v>
      </c>
      <c r="EY71" t="s">
        <v>336</v>
      </c>
      <c r="EZ71" t="s">
        <v>336</v>
      </c>
      <c r="FA71" t="s">
        <v>336</v>
      </c>
      <c r="FB71" t="s">
        <v>336</v>
      </c>
      <c r="FC71">
        <v>0</v>
      </c>
      <c r="FD71">
        <v>100</v>
      </c>
      <c r="FE71">
        <v>100</v>
      </c>
      <c r="FF71">
        <v>-0.40100000000000002</v>
      </c>
      <c r="FG71">
        <v>0.13950000000000001</v>
      </c>
      <c r="FH71">
        <v>4.0020685143421282E-2</v>
      </c>
      <c r="FI71">
        <v>-6.1462078757559423E-4</v>
      </c>
      <c r="FJ71">
        <v>-1.8861989874597051E-7</v>
      </c>
      <c r="FK71">
        <v>1.1980462299894961E-10</v>
      </c>
      <c r="FL71">
        <v>-3.1035565592992288E-2</v>
      </c>
      <c r="FM71">
        <v>-1.6848085045870601E-2</v>
      </c>
      <c r="FN71">
        <v>1.9789084769509481E-3</v>
      </c>
      <c r="FO71">
        <v>-2.7142391389806329E-5</v>
      </c>
      <c r="FP71">
        <v>3</v>
      </c>
      <c r="FQ71">
        <v>2158</v>
      </c>
      <c r="FR71">
        <v>1</v>
      </c>
      <c r="FS71">
        <v>19</v>
      </c>
      <c r="FT71">
        <v>17.3</v>
      </c>
      <c r="FU71">
        <v>17.2</v>
      </c>
      <c r="FV71">
        <v>1.77979</v>
      </c>
      <c r="FW71">
        <v>2.5769000000000002</v>
      </c>
      <c r="FX71">
        <v>1.5490699999999999</v>
      </c>
      <c r="FY71">
        <v>2.3290999999999999</v>
      </c>
      <c r="FZ71">
        <v>1.50146</v>
      </c>
      <c r="GA71">
        <v>2.3645</v>
      </c>
      <c r="GB71">
        <v>33.805700000000002</v>
      </c>
      <c r="GC71">
        <v>23.982399999999998</v>
      </c>
      <c r="GD71">
        <v>19</v>
      </c>
      <c r="GE71">
        <v>243.202</v>
      </c>
      <c r="GF71">
        <v>582.21900000000005</v>
      </c>
      <c r="GG71">
        <v>24.980499999999999</v>
      </c>
      <c r="GH71">
        <v>26.497900000000001</v>
      </c>
      <c r="GI71">
        <v>29.999700000000001</v>
      </c>
      <c r="GJ71">
        <v>26.6174</v>
      </c>
      <c r="GK71">
        <v>26.586300000000001</v>
      </c>
      <c r="GL71">
        <v>35.587600000000002</v>
      </c>
      <c r="GM71">
        <v>-30</v>
      </c>
      <c r="GN71">
        <v>-30</v>
      </c>
      <c r="GO71">
        <v>25.007100000000001</v>
      </c>
      <c r="GP71">
        <v>800</v>
      </c>
      <c r="GQ71">
        <v>12.5298</v>
      </c>
      <c r="GR71">
        <v>99.651600000000002</v>
      </c>
      <c r="GS71">
        <v>99.430199999999999</v>
      </c>
    </row>
    <row r="72" spans="1:201" x14ac:dyDescent="0.25">
      <c r="A72">
        <v>56</v>
      </c>
      <c r="B72">
        <v>1690212965.5999999</v>
      </c>
      <c r="C72">
        <v>698.09999990463257</v>
      </c>
      <c r="D72" t="s">
        <v>443</v>
      </c>
      <c r="E72" t="s">
        <v>444</v>
      </c>
      <c r="F72" t="s">
        <v>330</v>
      </c>
      <c r="H72">
        <v>1690212965.5999999</v>
      </c>
      <c r="I72">
        <f t="shared" si="0"/>
        <v>1.0578469406090135E-3</v>
      </c>
      <c r="J72">
        <f t="shared" si="1"/>
        <v>1.0578469406090134</v>
      </c>
      <c r="K72">
        <f t="shared" si="2"/>
        <v>13.448739048862745</v>
      </c>
      <c r="L72">
        <f t="shared" si="3"/>
        <v>637.76300000000003</v>
      </c>
      <c r="M72">
        <f t="shared" si="4"/>
        <v>157.5147295067143</v>
      </c>
      <c r="N72">
        <f t="shared" si="5"/>
        <v>15.624705883938075</v>
      </c>
      <c r="O72">
        <f t="shared" si="6"/>
        <v>63.263031526415006</v>
      </c>
      <c r="P72">
        <f t="shared" si="7"/>
        <v>4.6717142982478872E-2</v>
      </c>
      <c r="Q72">
        <f t="shared" si="8"/>
        <v>2.0125927729385098</v>
      </c>
      <c r="R72">
        <f t="shared" si="9"/>
        <v>4.6122958479084972E-2</v>
      </c>
      <c r="S72">
        <f t="shared" si="10"/>
        <v>2.8879604482830161E-2</v>
      </c>
      <c r="T72">
        <f t="shared" si="11"/>
        <v>276.11457026364315</v>
      </c>
      <c r="U72">
        <f t="shared" si="12"/>
        <v>28.881057249979612</v>
      </c>
      <c r="V72">
        <f t="shared" si="13"/>
        <v>28.881057249979612</v>
      </c>
      <c r="W72">
        <f t="shared" si="14"/>
        <v>3.9941751166970874</v>
      </c>
      <c r="X72">
        <f t="shared" si="15"/>
        <v>49.967557082860878</v>
      </c>
      <c r="Y72">
        <f t="shared" si="16"/>
        <v>1.7853748167129999</v>
      </c>
      <c r="Z72">
        <f t="shared" si="17"/>
        <v>3.5730680484385582</v>
      </c>
      <c r="AA72">
        <f t="shared" si="18"/>
        <v>2.2088002999840874</v>
      </c>
      <c r="AB72">
        <f t="shared" si="19"/>
        <v>-46.651050080857495</v>
      </c>
      <c r="AC72">
        <f t="shared" si="20"/>
        <v>-207.24675379650543</v>
      </c>
      <c r="AD72">
        <f t="shared" si="21"/>
        <v>-22.429865583512989</v>
      </c>
      <c r="AE72">
        <f t="shared" si="22"/>
        <v>-0.21309919723276494</v>
      </c>
      <c r="AF72">
        <v>37</v>
      </c>
      <c r="AG72">
        <v>12</v>
      </c>
      <c r="AH72">
        <f t="shared" si="23"/>
        <v>1</v>
      </c>
      <c r="AI72">
        <f t="shared" si="24"/>
        <v>0</v>
      </c>
      <c r="AJ72">
        <f t="shared" si="25"/>
        <v>52431.895924109114</v>
      </c>
      <c r="AK72">
        <f t="shared" si="26"/>
        <v>1799.99</v>
      </c>
      <c r="AL72">
        <f t="shared" si="27"/>
        <v>1499.10484879346</v>
      </c>
      <c r="AM72">
        <f t="shared" si="28"/>
        <v>0.83284065399999996</v>
      </c>
      <c r="AN72">
        <f t="shared" si="29"/>
        <v>0.15339783569000001</v>
      </c>
      <c r="AO72">
        <v>34.5</v>
      </c>
      <c r="AP72">
        <v>0.5</v>
      </c>
      <c r="AQ72" t="s">
        <v>331</v>
      </c>
      <c r="AR72">
        <v>2</v>
      </c>
      <c r="AS72">
        <v>1690212965.5999999</v>
      </c>
      <c r="AT72">
        <v>637.76300000000003</v>
      </c>
      <c r="AU72">
        <v>800.01599999999996</v>
      </c>
      <c r="AV72">
        <v>17.9986</v>
      </c>
      <c r="AW72">
        <v>6.0645300000000004</v>
      </c>
      <c r="AX72">
        <v>638.16</v>
      </c>
      <c r="AY72">
        <v>17.854199999999999</v>
      </c>
      <c r="AZ72">
        <v>300.30700000000002</v>
      </c>
      <c r="BA72">
        <v>99.095100000000002</v>
      </c>
      <c r="BB72">
        <v>0.100105</v>
      </c>
      <c r="BC72">
        <v>26.971</v>
      </c>
      <c r="BD72">
        <v>26.9682</v>
      </c>
      <c r="BE72">
        <v>28.933199999999999</v>
      </c>
      <c r="BF72">
        <v>0</v>
      </c>
      <c r="BG72">
        <v>0</v>
      </c>
      <c r="BH72">
        <v>10005.6</v>
      </c>
      <c r="BI72">
        <v>1075.45</v>
      </c>
      <c r="BJ72">
        <v>2.0744500000000001</v>
      </c>
      <c r="BK72">
        <v>-162.25399999999999</v>
      </c>
      <c r="BL72">
        <v>649.452</v>
      </c>
      <c r="BM72">
        <v>804.89800000000002</v>
      </c>
      <c r="BN72">
        <v>11.934100000000001</v>
      </c>
      <c r="BO72">
        <v>800.01599999999996</v>
      </c>
      <c r="BP72">
        <v>6.0645300000000004</v>
      </c>
      <c r="BQ72">
        <v>1.7835799999999999</v>
      </c>
      <c r="BR72">
        <v>0.60096499999999997</v>
      </c>
      <c r="BS72">
        <v>15.643599999999999</v>
      </c>
      <c r="BT72">
        <v>-0.287248</v>
      </c>
      <c r="BU72">
        <v>1799.99</v>
      </c>
      <c r="BV72">
        <v>0.90999399999999997</v>
      </c>
      <c r="BW72">
        <v>3.3992799999999997E-2</v>
      </c>
      <c r="BX72">
        <v>2.20057E-2</v>
      </c>
      <c r="BY72">
        <v>3.4007700000000002E-2</v>
      </c>
      <c r="BZ72">
        <v>26</v>
      </c>
      <c r="CA72">
        <v>33528.1</v>
      </c>
      <c r="CB72">
        <v>1690211922</v>
      </c>
      <c r="CC72" t="s">
        <v>332</v>
      </c>
      <c r="CD72">
        <v>1690211915</v>
      </c>
      <c r="CE72">
        <v>1690211922</v>
      </c>
      <c r="CF72">
        <v>6</v>
      </c>
      <c r="CG72">
        <v>1.0999999999999999E-2</v>
      </c>
      <c r="CH72">
        <v>8.0000000000000002E-3</v>
      </c>
      <c r="CI72">
        <v>-0.51100000000000001</v>
      </c>
      <c r="CJ72">
        <v>-6.6000000000000003E-2</v>
      </c>
      <c r="CK72">
        <v>800</v>
      </c>
      <c r="CL72">
        <v>6</v>
      </c>
      <c r="CM72">
        <v>0.21</v>
      </c>
      <c r="CN72">
        <v>0.02</v>
      </c>
      <c r="CO72">
        <v>-157.89670000000001</v>
      </c>
      <c r="CP72">
        <v>-22.743894934333511</v>
      </c>
      <c r="CQ72">
        <v>2.1880714704963369</v>
      </c>
      <c r="CR72">
        <v>-1</v>
      </c>
      <c r="CS72">
        <v>11.721615</v>
      </c>
      <c r="CT72">
        <v>1.1158401500938</v>
      </c>
      <c r="CU72">
        <v>0.1073418197861391</v>
      </c>
      <c r="CV72">
        <v>-1</v>
      </c>
      <c r="CW72">
        <v>0</v>
      </c>
      <c r="CX72">
        <v>0</v>
      </c>
      <c r="CY72" t="s">
        <v>333</v>
      </c>
      <c r="CZ72">
        <v>2.3646600000000002</v>
      </c>
      <c r="DA72">
        <v>2.7139000000000002</v>
      </c>
      <c r="DB72">
        <v>0.12565100000000001</v>
      </c>
      <c r="DC72">
        <v>0.146035</v>
      </c>
      <c r="DD72">
        <v>9.27394E-2</v>
      </c>
      <c r="DE72">
        <v>3.9777800000000002E-2</v>
      </c>
      <c r="DF72">
        <v>31899.8</v>
      </c>
      <c r="DG72">
        <v>27485</v>
      </c>
      <c r="DH72">
        <v>31147.599999999999</v>
      </c>
      <c r="DI72">
        <v>28046</v>
      </c>
      <c r="DJ72">
        <v>38369.199999999997</v>
      </c>
      <c r="DK72">
        <v>38291.199999999997</v>
      </c>
      <c r="DL72">
        <v>44322</v>
      </c>
      <c r="DM72">
        <v>42501.4</v>
      </c>
      <c r="DN72">
        <v>1.3765700000000001</v>
      </c>
      <c r="DO72">
        <v>2.0319799999999999</v>
      </c>
      <c r="DP72">
        <v>7.56159E-2</v>
      </c>
      <c r="DQ72">
        <v>0.20433599999999999</v>
      </c>
      <c r="DR72">
        <v>25.7303</v>
      </c>
      <c r="DS72">
        <v>25.5929</v>
      </c>
      <c r="DT72">
        <v>18.100000000000001</v>
      </c>
      <c r="DU72">
        <v>29.6</v>
      </c>
      <c r="DV72">
        <v>7.6055900000000003</v>
      </c>
      <c r="DW72">
        <v>61.471200000000003</v>
      </c>
      <c r="DX72">
        <v>35.725200000000001</v>
      </c>
      <c r="DY72">
        <v>1</v>
      </c>
      <c r="DZ72">
        <v>-7.1275400000000003E-2</v>
      </c>
      <c r="EA72">
        <v>-9.3243500000000007E-2</v>
      </c>
      <c r="EB72">
        <v>20.189699999999998</v>
      </c>
      <c r="EC72">
        <v>5.2401999999999997</v>
      </c>
      <c r="ED72">
        <v>12.039899999999999</v>
      </c>
      <c r="EE72">
        <v>5.016</v>
      </c>
      <c r="EF72">
        <v>3.2879999999999998</v>
      </c>
      <c r="EG72">
        <v>9999</v>
      </c>
      <c r="EH72">
        <v>9999</v>
      </c>
      <c r="EI72">
        <v>9999</v>
      </c>
      <c r="EJ72">
        <v>999.9</v>
      </c>
      <c r="EK72">
        <v>1.8689100000000001</v>
      </c>
      <c r="EL72">
        <v>1.86466</v>
      </c>
      <c r="EM72">
        <v>1.8692</v>
      </c>
      <c r="EN72">
        <v>1.86724</v>
      </c>
      <c r="EO72">
        <v>1.8633999999999999</v>
      </c>
      <c r="EP72">
        <v>1.8645799999999999</v>
      </c>
      <c r="EQ72">
        <v>1.8701700000000001</v>
      </c>
      <c r="ER72">
        <v>1.8694500000000001</v>
      </c>
      <c r="ES72">
        <v>0</v>
      </c>
      <c r="ET72">
        <v>0</v>
      </c>
      <c r="EU72">
        <v>0</v>
      </c>
      <c r="EV72">
        <v>0</v>
      </c>
      <c r="EW72" t="s">
        <v>334</v>
      </c>
      <c r="EX72" t="s">
        <v>335</v>
      </c>
      <c r="EY72" t="s">
        <v>336</v>
      </c>
      <c r="EZ72" t="s">
        <v>336</v>
      </c>
      <c r="FA72" t="s">
        <v>336</v>
      </c>
      <c r="FB72" t="s">
        <v>336</v>
      </c>
      <c r="FC72">
        <v>0</v>
      </c>
      <c r="FD72">
        <v>100</v>
      </c>
      <c r="FE72">
        <v>100</v>
      </c>
      <c r="FF72">
        <v>-0.39700000000000002</v>
      </c>
      <c r="FG72">
        <v>0.1444</v>
      </c>
      <c r="FH72">
        <v>4.0020685143421282E-2</v>
      </c>
      <c r="FI72">
        <v>-6.1462078757559423E-4</v>
      </c>
      <c r="FJ72">
        <v>-1.8861989874597051E-7</v>
      </c>
      <c r="FK72">
        <v>1.1980462299894961E-10</v>
      </c>
      <c r="FL72">
        <v>-3.1035565592992288E-2</v>
      </c>
      <c r="FM72">
        <v>-1.6848085045870601E-2</v>
      </c>
      <c r="FN72">
        <v>1.9789084769509481E-3</v>
      </c>
      <c r="FO72">
        <v>-2.7142391389806329E-5</v>
      </c>
      <c r="FP72">
        <v>3</v>
      </c>
      <c r="FQ72">
        <v>2158</v>
      </c>
      <c r="FR72">
        <v>1</v>
      </c>
      <c r="FS72">
        <v>19</v>
      </c>
      <c r="FT72">
        <v>17.5</v>
      </c>
      <c r="FU72">
        <v>17.399999999999999</v>
      </c>
      <c r="FV72">
        <v>1.77979</v>
      </c>
      <c r="FW72">
        <v>2.5805699999999998</v>
      </c>
      <c r="FX72">
        <v>1.5490699999999999</v>
      </c>
      <c r="FY72">
        <v>2.3290999999999999</v>
      </c>
      <c r="FZ72">
        <v>1.50146</v>
      </c>
      <c r="GA72">
        <v>2.3303199999999999</v>
      </c>
      <c r="GB72">
        <v>33.805700000000002</v>
      </c>
      <c r="GC72">
        <v>23.982399999999998</v>
      </c>
      <c r="GD72">
        <v>19</v>
      </c>
      <c r="GE72">
        <v>243.61600000000001</v>
      </c>
      <c r="GF72">
        <v>582.303</v>
      </c>
      <c r="GG72">
        <v>25.038</v>
      </c>
      <c r="GH72">
        <v>26.495799999999999</v>
      </c>
      <c r="GI72">
        <v>30</v>
      </c>
      <c r="GJ72">
        <v>26.615200000000002</v>
      </c>
      <c r="GK72">
        <v>26.584599999999998</v>
      </c>
      <c r="GL72">
        <v>35.586300000000001</v>
      </c>
      <c r="GM72">
        <v>-30</v>
      </c>
      <c r="GN72">
        <v>-30</v>
      </c>
      <c r="GO72">
        <v>25.051400000000001</v>
      </c>
      <c r="GP72">
        <v>800</v>
      </c>
      <c r="GQ72">
        <v>12.5298</v>
      </c>
      <c r="GR72">
        <v>99.653800000000004</v>
      </c>
      <c r="GS72">
        <v>99.431700000000006</v>
      </c>
    </row>
    <row r="73" spans="1:201" x14ac:dyDescent="0.25">
      <c r="A73">
        <v>57</v>
      </c>
      <c r="B73">
        <v>1690212975.5999999</v>
      </c>
      <c r="C73">
        <v>708.09999990463257</v>
      </c>
      <c r="D73" t="s">
        <v>445</v>
      </c>
      <c r="E73" t="s">
        <v>446</v>
      </c>
      <c r="F73" t="s">
        <v>330</v>
      </c>
      <c r="H73">
        <v>1690212975.5999999</v>
      </c>
      <c r="I73">
        <f t="shared" si="0"/>
        <v>1.0750503815467626E-3</v>
      </c>
      <c r="J73">
        <f t="shared" si="1"/>
        <v>1.0750503815467627</v>
      </c>
      <c r="K73">
        <f t="shared" si="2"/>
        <v>13.773599949947812</v>
      </c>
      <c r="L73">
        <f t="shared" si="3"/>
        <v>633.85400000000004</v>
      </c>
      <c r="M73">
        <f t="shared" si="4"/>
        <v>154.52208202262253</v>
      </c>
      <c r="N73">
        <f t="shared" si="5"/>
        <v>15.327653051172524</v>
      </c>
      <c r="O73">
        <f t="shared" si="6"/>
        <v>62.874471207782008</v>
      </c>
      <c r="P73">
        <f t="shared" si="7"/>
        <v>4.7926363606823244E-2</v>
      </c>
      <c r="Q73">
        <f t="shared" si="8"/>
        <v>2.0145445844214982</v>
      </c>
      <c r="R73">
        <f t="shared" si="9"/>
        <v>4.7301840518532312E-2</v>
      </c>
      <c r="S73">
        <f t="shared" si="10"/>
        <v>2.9619083189257277E-2</v>
      </c>
      <c r="T73">
        <f t="shared" si="11"/>
        <v>276.1143815526915</v>
      </c>
      <c r="U73">
        <f t="shared" si="12"/>
        <v>28.877366540301249</v>
      </c>
      <c r="V73">
        <f t="shared" si="13"/>
        <v>28.877366540301249</v>
      </c>
      <c r="W73">
        <f t="shared" si="14"/>
        <v>3.9933214292039581</v>
      </c>
      <c r="X73">
        <f t="shared" si="15"/>
        <v>50.498007823210308</v>
      </c>
      <c r="Y73">
        <f t="shared" si="16"/>
        <v>1.8047840139685001</v>
      </c>
      <c r="Z73">
        <f t="shared" si="17"/>
        <v>3.5739707203636861</v>
      </c>
      <c r="AA73">
        <f t="shared" si="18"/>
        <v>2.1885374152354578</v>
      </c>
      <c r="AB73">
        <f t="shared" si="19"/>
        <v>-47.409721826212234</v>
      </c>
      <c r="AC73">
        <f t="shared" si="20"/>
        <v>-206.57988557993201</v>
      </c>
      <c r="AD73">
        <f t="shared" si="21"/>
        <v>-22.336096372468965</v>
      </c>
      <c r="AE73">
        <f t="shared" si="22"/>
        <v>-0.21132222592171956</v>
      </c>
      <c r="AF73">
        <v>37</v>
      </c>
      <c r="AG73">
        <v>12</v>
      </c>
      <c r="AH73">
        <f t="shared" si="23"/>
        <v>1</v>
      </c>
      <c r="AI73">
        <f t="shared" si="24"/>
        <v>0</v>
      </c>
      <c r="AJ73">
        <f t="shared" si="25"/>
        <v>52524.957873231935</v>
      </c>
      <c r="AK73">
        <f t="shared" si="26"/>
        <v>1799.99</v>
      </c>
      <c r="AL73">
        <f t="shared" si="27"/>
        <v>1499.1057055887002</v>
      </c>
      <c r="AM73">
        <f t="shared" si="28"/>
        <v>0.83284113000000004</v>
      </c>
      <c r="AN73">
        <f t="shared" si="29"/>
        <v>0.15339773085</v>
      </c>
      <c r="AO73">
        <v>34.5</v>
      </c>
      <c r="AP73">
        <v>0.5</v>
      </c>
      <c r="AQ73" t="s">
        <v>331</v>
      </c>
      <c r="AR73">
        <v>2</v>
      </c>
      <c r="AS73">
        <v>1690212975.5999999</v>
      </c>
      <c r="AT73">
        <v>633.85400000000004</v>
      </c>
      <c r="AU73">
        <v>799.98599999999999</v>
      </c>
      <c r="AV73">
        <v>18.194500000000001</v>
      </c>
      <c r="AW73">
        <v>6.06372</v>
      </c>
      <c r="AX73">
        <v>634.24900000000002</v>
      </c>
      <c r="AY73">
        <v>18.044699999999999</v>
      </c>
      <c r="AZ73">
        <v>300.18200000000002</v>
      </c>
      <c r="BA73">
        <v>99.093900000000005</v>
      </c>
      <c r="BB73">
        <v>0.100033</v>
      </c>
      <c r="BC73">
        <v>26.975300000000001</v>
      </c>
      <c r="BD73">
        <v>26.9682</v>
      </c>
      <c r="BE73">
        <v>28.925999999999998</v>
      </c>
      <c r="BF73">
        <v>0</v>
      </c>
      <c r="BG73">
        <v>0</v>
      </c>
      <c r="BH73">
        <v>10024.4</v>
      </c>
      <c r="BI73">
        <v>1075.48</v>
      </c>
      <c r="BJ73">
        <v>2.0744500000000001</v>
      </c>
      <c r="BK73">
        <v>-166.13200000000001</v>
      </c>
      <c r="BL73">
        <v>645.6</v>
      </c>
      <c r="BM73">
        <v>804.86699999999996</v>
      </c>
      <c r="BN73">
        <v>12.130800000000001</v>
      </c>
      <c r="BO73">
        <v>799.98599999999999</v>
      </c>
      <c r="BP73">
        <v>6.06372</v>
      </c>
      <c r="BQ73">
        <v>1.80297</v>
      </c>
      <c r="BR73">
        <v>0.60087699999999999</v>
      </c>
      <c r="BS73">
        <v>15.8125</v>
      </c>
      <c r="BT73">
        <v>-0.28925400000000001</v>
      </c>
      <c r="BU73">
        <v>1799.99</v>
      </c>
      <c r="BV73">
        <v>0.909999</v>
      </c>
      <c r="BW73">
        <v>3.3990899999999998E-2</v>
      </c>
      <c r="BX73">
        <v>2.20045E-2</v>
      </c>
      <c r="BY73">
        <v>3.4005899999999999E-2</v>
      </c>
      <c r="BZ73">
        <v>26</v>
      </c>
      <c r="CA73">
        <v>33528.199999999997</v>
      </c>
      <c r="CB73">
        <v>1690211922</v>
      </c>
      <c r="CC73" t="s">
        <v>332</v>
      </c>
      <c r="CD73">
        <v>1690211915</v>
      </c>
      <c r="CE73">
        <v>1690211922</v>
      </c>
      <c r="CF73">
        <v>6</v>
      </c>
      <c r="CG73">
        <v>1.0999999999999999E-2</v>
      </c>
      <c r="CH73">
        <v>8.0000000000000002E-3</v>
      </c>
      <c r="CI73">
        <v>-0.51100000000000001</v>
      </c>
      <c r="CJ73">
        <v>-6.6000000000000003E-2</v>
      </c>
      <c r="CK73">
        <v>800</v>
      </c>
      <c r="CL73">
        <v>6</v>
      </c>
      <c r="CM73">
        <v>0.21</v>
      </c>
      <c r="CN73">
        <v>0.02</v>
      </c>
      <c r="CO73">
        <v>-161.76499999999999</v>
      </c>
      <c r="CP73">
        <v>-23.626694183864249</v>
      </c>
      <c r="CQ73">
        <v>2.2729478436602961</v>
      </c>
      <c r="CR73">
        <v>-1</v>
      </c>
      <c r="CS73">
        <v>11.911194999999999</v>
      </c>
      <c r="CT73">
        <v>1.1583602251406711</v>
      </c>
      <c r="CU73">
        <v>0.1114461954263133</v>
      </c>
      <c r="CV73">
        <v>-1</v>
      </c>
      <c r="CW73">
        <v>0</v>
      </c>
      <c r="CX73">
        <v>0</v>
      </c>
      <c r="CY73" t="s">
        <v>333</v>
      </c>
      <c r="CZ73">
        <v>2.3642699999999999</v>
      </c>
      <c r="DA73">
        <v>2.7138499999999999</v>
      </c>
      <c r="DB73">
        <v>0.125116</v>
      </c>
      <c r="DC73">
        <v>0.14602999999999999</v>
      </c>
      <c r="DD73">
        <v>9.3453499999999995E-2</v>
      </c>
      <c r="DE73">
        <v>3.9773000000000003E-2</v>
      </c>
      <c r="DF73">
        <v>31919.1</v>
      </c>
      <c r="DG73">
        <v>27485.200000000001</v>
      </c>
      <c r="DH73">
        <v>31147.4</v>
      </c>
      <c r="DI73">
        <v>28046</v>
      </c>
      <c r="DJ73">
        <v>38338.5</v>
      </c>
      <c r="DK73">
        <v>38291.199999999997</v>
      </c>
      <c r="DL73">
        <v>44321.9</v>
      </c>
      <c r="DM73">
        <v>42501.1</v>
      </c>
      <c r="DN73">
        <v>1.37612</v>
      </c>
      <c r="DO73">
        <v>2.0318299999999998</v>
      </c>
      <c r="DP73">
        <v>7.5750100000000001E-2</v>
      </c>
      <c r="DQ73">
        <v>0.20402699999999999</v>
      </c>
      <c r="DR73">
        <v>25.728100000000001</v>
      </c>
      <c r="DS73">
        <v>25.590800000000002</v>
      </c>
      <c r="DT73">
        <v>18.100000000000001</v>
      </c>
      <c r="DU73">
        <v>29.6</v>
      </c>
      <c r="DV73">
        <v>7.6034499999999996</v>
      </c>
      <c r="DW73">
        <v>61.461199999999998</v>
      </c>
      <c r="DX73">
        <v>35.997599999999998</v>
      </c>
      <c r="DY73">
        <v>1</v>
      </c>
      <c r="DZ73">
        <v>-7.1770799999999996E-2</v>
      </c>
      <c r="EA73">
        <v>-0.10545499999999999</v>
      </c>
      <c r="EB73">
        <v>20.189699999999998</v>
      </c>
      <c r="EC73">
        <v>5.2400500000000001</v>
      </c>
      <c r="ED73">
        <v>12.039899999999999</v>
      </c>
      <c r="EE73">
        <v>5.0161499999999997</v>
      </c>
      <c r="EF73">
        <v>3.2879999999999998</v>
      </c>
      <c r="EG73">
        <v>9999</v>
      </c>
      <c r="EH73">
        <v>9999</v>
      </c>
      <c r="EI73">
        <v>9999</v>
      </c>
      <c r="EJ73">
        <v>999.9</v>
      </c>
      <c r="EK73">
        <v>1.8689199999999999</v>
      </c>
      <c r="EL73">
        <v>1.86466</v>
      </c>
      <c r="EM73">
        <v>1.8692</v>
      </c>
      <c r="EN73">
        <v>1.86724</v>
      </c>
      <c r="EO73">
        <v>1.8633999999999999</v>
      </c>
      <c r="EP73">
        <v>1.86456</v>
      </c>
      <c r="EQ73">
        <v>1.8701700000000001</v>
      </c>
      <c r="ER73">
        <v>1.86947</v>
      </c>
      <c r="ES73">
        <v>0</v>
      </c>
      <c r="ET73">
        <v>0</v>
      </c>
      <c r="EU73">
        <v>0</v>
      </c>
      <c r="EV73">
        <v>0</v>
      </c>
      <c r="EW73" t="s">
        <v>334</v>
      </c>
      <c r="EX73" t="s">
        <v>335</v>
      </c>
      <c r="EY73" t="s">
        <v>336</v>
      </c>
      <c r="EZ73" t="s">
        <v>336</v>
      </c>
      <c r="FA73" t="s">
        <v>336</v>
      </c>
      <c r="FB73" t="s">
        <v>336</v>
      </c>
      <c r="FC73">
        <v>0</v>
      </c>
      <c r="FD73">
        <v>100</v>
      </c>
      <c r="FE73">
        <v>100</v>
      </c>
      <c r="FF73">
        <v>-0.39500000000000002</v>
      </c>
      <c r="FG73">
        <v>0.14979999999999999</v>
      </c>
      <c r="FH73">
        <v>4.0020685143421282E-2</v>
      </c>
      <c r="FI73">
        <v>-6.1462078757559423E-4</v>
      </c>
      <c r="FJ73">
        <v>-1.8861989874597051E-7</v>
      </c>
      <c r="FK73">
        <v>1.1980462299894961E-10</v>
      </c>
      <c r="FL73">
        <v>-3.1035565592992288E-2</v>
      </c>
      <c r="FM73">
        <v>-1.6848085045870601E-2</v>
      </c>
      <c r="FN73">
        <v>1.9789084769509481E-3</v>
      </c>
      <c r="FO73">
        <v>-2.7142391389806329E-5</v>
      </c>
      <c r="FP73">
        <v>3</v>
      </c>
      <c r="FQ73">
        <v>2158</v>
      </c>
      <c r="FR73">
        <v>1</v>
      </c>
      <c r="FS73">
        <v>19</v>
      </c>
      <c r="FT73">
        <v>17.7</v>
      </c>
      <c r="FU73">
        <v>17.600000000000001</v>
      </c>
      <c r="FV73">
        <v>1.77979</v>
      </c>
      <c r="FW73">
        <v>2.5830099999999998</v>
      </c>
      <c r="FX73">
        <v>1.5490699999999999</v>
      </c>
      <c r="FY73">
        <v>2.3290999999999999</v>
      </c>
      <c r="FZ73">
        <v>1.50024</v>
      </c>
      <c r="GA73">
        <v>2.2973599999999998</v>
      </c>
      <c r="GB73">
        <v>33.805700000000002</v>
      </c>
      <c r="GC73">
        <v>23.982399999999998</v>
      </c>
      <c r="GD73">
        <v>19</v>
      </c>
      <c r="GE73">
        <v>243.44200000000001</v>
      </c>
      <c r="GF73">
        <v>582.17899999999997</v>
      </c>
      <c r="GG73">
        <v>25.082799999999999</v>
      </c>
      <c r="GH73">
        <v>26.493400000000001</v>
      </c>
      <c r="GI73">
        <v>29.9999</v>
      </c>
      <c r="GJ73">
        <v>26.615200000000002</v>
      </c>
      <c r="GK73">
        <v>26.584599999999998</v>
      </c>
      <c r="GL73">
        <v>35.5852</v>
      </c>
      <c r="GM73">
        <v>-30</v>
      </c>
      <c r="GN73">
        <v>-30</v>
      </c>
      <c r="GO73">
        <v>25.0932</v>
      </c>
      <c r="GP73">
        <v>800</v>
      </c>
      <c r="GQ73">
        <v>12.5298</v>
      </c>
      <c r="GR73">
        <v>99.653400000000005</v>
      </c>
      <c r="GS73">
        <v>99.431399999999996</v>
      </c>
    </row>
    <row r="74" spans="1:201" x14ac:dyDescent="0.25">
      <c r="A74">
        <v>58</v>
      </c>
      <c r="B74">
        <v>1690212985.5999999</v>
      </c>
      <c r="C74">
        <v>718.09999990463257</v>
      </c>
      <c r="D74" t="s">
        <v>447</v>
      </c>
      <c r="E74" t="s">
        <v>448</v>
      </c>
      <c r="F74" t="s">
        <v>330</v>
      </c>
      <c r="H74">
        <v>1690212985.5999999</v>
      </c>
      <c r="I74">
        <f t="shared" si="0"/>
        <v>1.0928348128122611E-3</v>
      </c>
      <c r="J74">
        <f t="shared" si="1"/>
        <v>1.0928348128122611</v>
      </c>
      <c r="K74">
        <f t="shared" si="2"/>
        <v>14.114971001600015</v>
      </c>
      <c r="L74">
        <f t="shared" si="3"/>
        <v>629.928</v>
      </c>
      <c r="M74">
        <f t="shared" si="4"/>
        <v>150.77536844640261</v>
      </c>
      <c r="N74">
        <f t="shared" si="5"/>
        <v>14.956911227512633</v>
      </c>
      <c r="O74">
        <f t="shared" si="6"/>
        <v>62.488835363541597</v>
      </c>
      <c r="P74">
        <f t="shared" si="7"/>
        <v>4.9121577766672496E-2</v>
      </c>
      <c r="Q74">
        <f t="shared" si="8"/>
        <v>2.0099633945057742</v>
      </c>
      <c r="R74">
        <f t="shared" si="9"/>
        <v>4.8464273491030614E-2</v>
      </c>
      <c r="S74">
        <f t="shared" si="10"/>
        <v>3.0348494307982168E-2</v>
      </c>
      <c r="T74">
        <f t="shared" si="11"/>
        <v>276.11444215835479</v>
      </c>
      <c r="U74">
        <f t="shared" si="12"/>
        <v>28.887123069384426</v>
      </c>
      <c r="V74">
        <f t="shared" si="13"/>
        <v>28.887123069384426</v>
      </c>
      <c r="W74">
        <f t="shared" si="14"/>
        <v>3.9955785297507824</v>
      </c>
      <c r="X74">
        <f t="shared" si="15"/>
        <v>51.007101693213166</v>
      </c>
      <c r="Y74">
        <f t="shared" si="16"/>
        <v>1.8243071908259398</v>
      </c>
      <c r="Z74">
        <f t="shared" si="17"/>
        <v>3.5765748891172069</v>
      </c>
      <c r="AA74">
        <f t="shared" si="18"/>
        <v>2.1712713389248428</v>
      </c>
      <c r="AB74">
        <f t="shared" si="19"/>
        <v>-48.194015245020715</v>
      </c>
      <c r="AC74">
        <f t="shared" si="20"/>
        <v>-205.82366153376233</v>
      </c>
      <c r="AD74">
        <f t="shared" si="21"/>
        <v>-22.30751677611898</v>
      </c>
      <c r="AE74">
        <f t="shared" si="22"/>
        <v>-0.21075139654723785</v>
      </c>
      <c r="AF74">
        <v>37</v>
      </c>
      <c r="AG74">
        <v>12</v>
      </c>
      <c r="AH74">
        <f t="shared" si="23"/>
        <v>1</v>
      </c>
      <c r="AI74">
        <f t="shared" si="24"/>
        <v>0</v>
      </c>
      <c r="AJ74">
        <f t="shared" si="25"/>
        <v>52302.872942010945</v>
      </c>
      <c r="AK74">
        <f t="shared" si="26"/>
        <v>1799.99</v>
      </c>
      <c r="AL74">
        <f t="shared" si="27"/>
        <v>1499.10206420893</v>
      </c>
      <c r="AM74">
        <f t="shared" si="28"/>
        <v>0.83283910699999997</v>
      </c>
      <c r="AN74">
        <f t="shared" si="29"/>
        <v>0.15339776452000001</v>
      </c>
      <c r="AO74">
        <v>34.5</v>
      </c>
      <c r="AP74">
        <v>0.5</v>
      </c>
      <c r="AQ74" t="s">
        <v>331</v>
      </c>
      <c r="AR74">
        <v>2</v>
      </c>
      <c r="AS74">
        <v>1690212985.5999999</v>
      </c>
      <c r="AT74">
        <v>629.928</v>
      </c>
      <c r="AU74">
        <v>800.03700000000003</v>
      </c>
      <c r="AV74">
        <v>18.3902</v>
      </c>
      <c r="AW74">
        <v>6.0631300000000001</v>
      </c>
      <c r="AX74">
        <v>630.32100000000003</v>
      </c>
      <c r="AY74">
        <v>18.234999999999999</v>
      </c>
      <c r="AZ74">
        <v>300.22899999999998</v>
      </c>
      <c r="BA74">
        <v>99.1</v>
      </c>
      <c r="BB74">
        <v>9.9964700000000004E-2</v>
      </c>
      <c r="BC74">
        <v>26.9877</v>
      </c>
      <c r="BD74">
        <v>26.977799999999998</v>
      </c>
      <c r="BE74">
        <v>28.917400000000001</v>
      </c>
      <c r="BF74">
        <v>0</v>
      </c>
      <c r="BG74">
        <v>0</v>
      </c>
      <c r="BH74">
        <v>9980</v>
      </c>
      <c r="BI74">
        <v>1075.57</v>
      </c>
      <c r="BJ74">
        <v>2.0744500000000001</v>
      </c>
      <c r="BK74">
        <v>-170.108</v>
      </c>
      <c r="BL74">
        <v>641.73</v>
      </c>
      <c r="BM74">
        <v>804.91700000000003</v>
      </c>
      <c r="BN74">
        <v>12.327</v>
      </c>
      <c r="BO74">
        <v>800.03700000000003</v>
      </c>
      <c r="BP74">
        <v>6.0631300000000001</v>
      </c>
      <c r="BQ74">
        <v>1.82247</v>
      </c>
      <c r="BR74">
        <v>0.60085699999999997</v>
      </c>
      <c r="BS74">
        <v>15.9808</v>
      </c>
      <c r="BT74">
        <v>-0.28972199999999998</v>
      </c>
      <c r="BU74">
        <v>1799.99</v>
      </c>
      <c r="BV74">
        <v>0.90998699999999999</v>
      </c>
      <c r="BW74">
        <v>3.4006399999999999E-2</v>
      </c>
      <c r="BX74">
        <v>2.2003100000000001E-2</v>
      </c>
      <c r="BY74">
        <v>3.4003800000000001E-2</v>
      </c>
      <c r="BZ74">
        <v>26</v>
      </c>
      <c r="CA74">
        <v>33528.1</v>
      </c>
      <c r="CB74">
        <v>1690211922</v>
      </c>
      <c r="CC74" t="s">
        <v>332</v>
      </c>
      <c r="CD74">
        <v>1690211915</v>
      </c>
      <c r="CE74">
        <v>1690211922</v>
      </c>
      <c r="CF74">
        <v>6</v>
      </c>
      <c r="CG74">
        <v>1.0999999999999999E-2</v>
      </c>
      <c r="CH74">
        <v>8.0000000000000002E-3</v>
      </c>
      <c r="CI74">
        <v>-0.51100000000000001</v>
      </c>
      <c r="CJ74">
        <v>-6.6000000000000003E-2</v>
      </c>
      <c r="CK74">
        <v>800</v>
      </c>
      <c r="CL74">
        <v>6</v>
      </c>
      <c r="CM74">
        <v>0.21</v>
      </c>
      <c r="CN74">
        <v>0.02</v>
      </c>
      <c r="CO74">
        <v>-165.7630731707317</v>
      </c>
      <c r="CP74">
        <v>-23.260013937282149</v>
      </c>
      <c r="CQ74">
        <v>2.293867438173864</v>
      </c>
      <c r="CR74">
        <v>-1</v>
      </c>
      <c r="CS74">
        <v>12.11030731707317</v>
      </c>
      <c r="CT74">
        <v>1.17355609756098</v>
      </c>
      <c r="CU74">
        <v>0.1157223093154026</v>
      </c>
      <c r="CV74">
        <v>-1</v>
      </c>
      <c r="CW74">
        <v>0</v>
      </c>
      <c r="CX74">
        <v>0</v>
      </c>
      <c r="CY74" t="s">
        <v>333</v>
      </c>
      <c r="CZ74">
        <v>2.3644400000000001</v>
      </c>
      <c r="DA74">
        <v>2.71374</v>
      </c>
      <c r="DB74">
        <v>0.124586</v>
      </c>
      <c r="DC74">
        <v>0.14604500000000001</v>
      </c>
      <c r="DD74">
        <v>9.4170900000000002E-2</v>
      </c>
      <c r="DE74">
        <v>3.9772399999999999E-2</v>
      </c>
      <c r="DF74">
        <v>31937.9</v>
      </c>
      <c r="DG74">
        <v>27484.5</v>
      </c>
      <c r="DH74">
        <v>31146.799999999999</v>
      </c>
      <c r="DI74">
        <v>28045.8</v>
      </c>
      <c r="DJ74">
        <v>38307.1</v>
      </c>
      <c r="DK74">
        <v>38291.1</v>
      </c>
      <c r="DL74">
        <v>44321</v>
      </c>
      <c r="DM74">
        <v>42501</v>
      </c>
      <c r="DN74">
        <v>1.37618</v>
      </c>
      <c r="DO74">
        <v>2.0317699999999999</v>
      </c>
      <c r="DP74">
        <v>7.65324E-2</v>
      </c>
      <c r="DQ74">
        <v>0.20363200000000001</v>
      </c>
      <c r="DR74">
        <v>25.724900000000002</v>
      </c>
      <c r="DS74">
        <v>25.5886</v>
      </c>
      <c r="DT74">
        <v>18.100000000000001</v>
      </c>
      <c r="DU74">
        <v>29.6</v>
      </c>
      <c r="DV74">
        <v>7.6051900000000003</v>
      </c>
      <c r="DW74">
        <v>61.691200000000002</v>
      </c>
      <c r="DX74">
        <v>36.013599999999997</v>
      </c>
      <c r="DY74">
        <v>1</v>
      </c>
      <c r="DZ74">
        <v>-7.1163599999999994E-2</v>
      </c>
      <c r="EA74">
        <v>-0.102718</v>
      </c>
      <c r="EB74">
        <v>20.189699999999998</v>
      </c>
      <c r="EC74">
        <v>5.2396000000000003</v>
      </c>
      <c r="ED74">
        <v>12.039899999999999</v>
      </c>
      <c r="EE74">
        <v>5.0165499999999996</v>
      </c>
      <c r="EF74">
        <v>3.2879999999999998</v>
      </c>
      <c r="EG74">
        <v>9999</v>
      </c>
      <c r="EH74">
        <v>9999</v>
      </c>
      <c r="EI74">
        <v>9999</v>
      </c>
      <c r="EJ74">
        <v>999.9</v>
      </c>
      <c r="EK74">
        <v>1.8689100000000001</v>
      </c>
      <c r="EL74">
        <v>1.8646499999999999</v>
      </c>
      <c r="EM74">
        <v>1.8692</v>
      </c>
      <c r="EN74">
        <v>1.86724</v>
      </c>
      <c r="EO74">
        <v>1.86341</v>
      </c>
      <c r="EP74">
        <v>1.8646</v>
      </c>
      <c r="EQ74">
        <v>1.87018</v>
      </c>
      <c r="ER74">
        <v>1.8694900000000001</v>
      </c>
      <c r="ES74">
        <v>0</v>
      </c>
      <c r="ET74">
        <v>0</v>
      </c>
      <c r="EU74">
        <v>0</v>
      </c>
      <c r="EV74">
        <v>0</v>
      </c>
      <c r="EW74" t="s">
        <v>334</v>
      </c>
      <c r="EX74" t="s">
        <v>335</v>
      </c>
      <c r="EY74" t="s">
        <v>336</v>
      </c>
      <c r="EZ74" t="s">
        <v>336</v>
      </c>
      <c r="FA74" t="s">
        <v>336</v>
      </c>
      <c r="FB74" t="s">
        <v>336</v>
      </c>
      <c r="FC74">
        <v>0</v>
      </c>
      <c r="FD74">
        <v>100</v>
      </c>
      <c r="FE74">
        <v>100</v>
      </c>
      <c r="FF74">
        <v>-0.39300000000000002</v>
      </c>
      <c r="FG74">
        <v>0.1552</v>
      </c>
      <c r="FH74">
        <v>4.0020685143421282E-2</v>
      </c>
      <c r="FI74">
        <v>-6.1462078757559423E-4</v>
      </c>
      <c r="FJ74">
        <v>-1.8861989874597051E-7</v>
      </c>
      <c r="FK74">
        <v>1.1980462299894961E-10</v>
      </c>
      <c r="FL74">
        <v>-3.1035565592992288E-2</v>
      </c>
      <c r="FM74">
        <v>-1.6848085045870601E-2</v>
      </c>
      <c r="FN74">
        <v>1.9789084769509481E-3</v>
      </c>
      <c r="FO74">
        <v>-2.7142391389806329E-5</v>
      </c>
      <c r="FP74">
        <v>3</v>
      </c>
      <c r="FQ74">
        <v>2158</v>
      </c>
      <c r="FR74">
        <v>1</v>
      </c>
      <c r="FS74">
        <v>19</v>
      </c>
      <c r="FT74">
        <v>17.8</v>
      </c>
      <c r="FU74">
        <v>17.7</v>
      </c>
      <c r="FV74">
        <v>1.77979</v>
      </c>
      <c r="FW74">
        <v>2.5830099999999998</v>
      </c>
      <c r="FX74">
        <v>1.5490699999999999</v>
      </c>
      <c r="FY74">
        <v>2.3290999999999999</v>
      </c>
      <c r="FZ74">
        <v>1.50024</v>
      </c>
      <c r="GA74">
        <v>2.2778299999999998</v>
      </c>
      <c r="GB74">
        <v>33.828299999999999</v>
      </c>
      <c r="GC74">
        <v>23.982399999999998</v>
      </c>
      <c r="GD74">
        <v>19</v>
      </c>
      <c r="GE74">
        <v>243.45400000000001</v>
      </c>
      <c r="GF74">
        <v>582.12</v>
      </c>
      <c r="GG74">
        <v>25.123200000000001</v>
      </c>
      <c r="GH74">
        <v>26.491199999999999</v>
      </c>
      <c r="GI74">
        <v>30.0002</v>
      </c>
      <c r="GJ74">
        <v>26.6129</v>
      </c>
      <c r="GK74">
        <v>26.582899999999999</v>
      </c>
      <c r="GL74">
        <v>35.586100000000002</v>
      </c>
      <c r="GM74">
        <v>-30</v>
      </c>
      <c r="GN74">
        <v>-30</v>
      </c>
      <c r="GO74">
        <v>25.127300000000002</v>
      </c>
      <c r="GP74">
        <v>800</v>
      </c>
      <c r="GQ74">
        <v>12.5298</v>
      </c>
      <c r="GR74">
        <v>99.651399999999995</v>
      </c>
      <c r="GS74">
        <v>99.430899999999994</v>
      </c>
    </row>
    <row r="75" spans="1:201" x14ac:dyDescent="0.25">
      <c r="A75">
        <v>59</v>
      </c>
      <c r="B75">
        <v>1690212995.5999999</v>
      </c>
      <c r="C75">
        <v>728.09999990463257</v>
      </c>
      <c r="D75" t="s">
        <v>449</v>
      </c>
      <c r="E75" t="s">
        <v>450</v>
      </c>
      <c r="F75" t="s">
        <v>330</v>
      </c>
      <c r="H75">
        <v>1690212995.5999999</v>
      </c>
      <c r="I75">
        <f t="shared" si="0"/>
        <v>1.1102816356254846E-3</v>
      </c>
      <c r="J75">
        <f t="shared" si="1"/>
        <v>1.1102816356254845</v>
      </c>
      <c r="K75">
        <f t="shared" si="2"/>
        <v>14.44095051127473</v>
      </c>
      <c r="L75">
        <f t="shared" si="3"/>
        <v>625.995</v>
      </c>
      <c r="M75">
        <f t="shared" si="4"/>
        <v>148.56249075518599</v>
      </c>
      <c r="N75">
        <f t="shared" si="5"/>
        <v>14.737359119604436</v>
      </c>
      <c r="O75">
        <f t="shared" si="6"/>
        <v>62.098535607344999</v>
      </c>
      <c r="P75">
        <f t="shared" si="7"/>
        <v>5.0429875769784527E-2</v>
      </c>
      <c r="Q75">
        <f t="shared" si="8"/>
        <v>2.0124530645668695</v>
      </c>
      <c r="R75">
        <f t="shared" si="9"/>
        <v>4.9738202336362898E-2</v>
      </c>
      <c r="S75">
        <f t="shared" si="10"/>
        <v>3.1147730207266112E-2</v>
      </c>
      <c r="T75">
        <f t="shared" si="11"/>
        <v>276.11418083580656</v>
      </c>
      <c r="U75">
        <f t="shared" si="12"/>
        <v>28.875798911340567</v>
      </c>
      <c r="V75">
        <f t="shared" si="13"/>
        <v>28.875798911340567</v>
      </c>
      <c r="W75">
        <f t="shared" si="14"/>
        <v>3.9929588735826846</v>
      </c>
      <c r="X75">
        <f t="shared" si="15"/>
        <v>51.558253199294057</v>
      </c>
      <c r="Y75">
        <f t="shared" si="16"/>
        <v>1.8437162803928997</v>
      </c>
      <c r="Z75">
        <f t="shared" si="17"/>
        <v>3.5759867062721669</v>
      </c>
      <c r="AA75">
        <f t="shared" si="18"/>
        <v>2.1492425931897849</v>
      </c>
      <c r="AB75">
        <f t="shared" si="19"/>
        <v>-48.963420131083872</v>
      </c>
      <c r="AC75">
        <f t="shared" si="20"/>
        <v>-205.15377629414368</v>
      </c>
      <c r="AD75">
        <f t="shared" si="21"/>
        <v>-22.205840604529477</v>
      </c>
      <c r="AE75">
        <f t="shared" si="22"/>
        <v>-0.20885619395045296</v>
      </c>
      <c r="AF75">
        <v>37</v>
      </c>
      <c r="AG75">
        <v>12</v>
      </c>
      <c r="AH75">
        <f t="shared" si="23"/>
        <v>1</v>
      </c>
      <c r="AI75">
        <f t="shared" si="24"/>
        <v>0</v>
      </c>
      <c r="AJ75">
        <f t="shared" si="25"/>
        <v>52422.854340216159</v>
      </c>
      <c r="AK75">
        <f t="shared" si="26"/>
        <v>1799.99</v>
      </c>
      <c r="AL75">
        <f t="shared" si="27"/>
        <v>1499.1019418096098</v>
      </c>
      <c r="AM75">
        <f t="shared" si="28"/>
        <v>0.83283903899999989</v>
      </c>
      <c r="AN75">
        <f t="shared" si="29"/>
        <v>0.15339761933999999</v>
      </c>
      <c r="AO75">
        <v>34.5</v>
      </c>
      <c r="AP75">
        <v>0.5</v>
      </c>
      <c r="AQ75" t="s">
        <v>331</v>
      </c>
      <c r="AR75">
        <v>2</v>
      </c>
      <c r="AS75">
        <v>1690212995.5999999</v>
      </c>
      <c r="AT75">
        <v>625.995</v>
      </c>
      <c r="AU75">
        <v>799.96600000000001</v>
      </c>
      <c r="AV75">
        <v>18.585899999999999</v>
      </c>
      <c r="AW75">
        <v>6.0616500000000002</v>
      </c>
      <c r="AX75">
        <v>626.38499999999999</v>
      </c>
      <c r="AY75">
        <v>18.4253</v>
      </c>
      <c r="AZ75">
        <v>300.16000000000003</v>
      </c>
      <c r="BA75">
        <v>99.099699999999999</v>
      </c>
      <c r="BB75">
        <v>0.10003099999999999</v>
      </c>
      <c r="BC75">
        <v>26.9849</v>
      </c>
      <c r="BD75">
        <v>26.979600000000001</v>
      </c>
      <c r="BE75">
        <v>28.922000000000001</v>
      </c>
      <c r="BF75">
        <v>0</v>
      </c>
      <c r="BG75">
        <v>0</v>
      </c>
      <c r="BH75">
        <v>10003.799999999999</v>
      </c>
      <c r="BI75">
        <v>1075.52</v>
      </c>
      <c r="BJ75">
        <v>2.0744500000000001</v>
      </c>
      <c r="BK75">
        <v>-173.971</v>
      </c>
      <c r="BL75">
        <v>637.85</v>
      </c>
      <c r="BM75">
        <v>804.84400000000005</v>
      </c>
      <c r="BN75">
        <v>12.5242</v>
      </c>
      <c r="BO75">
        <v>799.96600000000001</v>
      </c>
      <c r="BP75">
        <v>6.0616500000000002</v>
      </c>
      <c r="BQ75">
        <v>1.8418600000000001</v>
      </c>
      <c r="BR75">
        <v>0.60070800000000002</v>
      </c>
      <c r="BS75">
        <v>16.146599999999999</v>
      </c>
      <c r="BT75">
        <v>-0.293124</v>
      </c>
      <c r="BU75">
        <v>1799.99</v>
      </c>
      <c r="BV75">
        <v>0.90998999999999997</v>
      </c>
      <c r="BW75">
        <v>3.4006799999999997E-2</v>
      </c>
      <c r="BX75">
        <v>2.2001699999999999E-2</v>
      </c>
      <c r="BY75">
        <v>3.40016E-2</v>
      </c>
      <c r="BZ75">
        <v>26</v>
      </c>
      <c r="CA75">
        <v>33528.1</v>
      </c>
      <c r="CB75">
        <v>1690211922</v>
      </c>
      <c r="CC75" t="s">
        <v>332</v>
      </c>
      <c r="CD75">
        <v>1690211915</v>
      </c>
      <c r="CE75">
        <v>1690211922</v>
      </c>
      <c r="CF75">
        <v>6</v>
      </c>
      <c r="CG75">
        <v>1.0999999999999999E-2</v>
      </c>
      <c r="CH75">
        <v>8.0000000000000002E-3</v>
      </c>
      <c r="CI75">
        <v>-0.51100000000000001</v>
      </c>
      <c r="CJ75">
        <v>-6.6000000000000003E-2</v>
      </c>
      <c r="CK75">
        <v>800</v>
      </c>
      <c r="CL75">
        <v>6</v>
      </c>
      <c r="CM75">
        <v>0.21</v>
      </c>
      <c r="CN75">
        <v>0.02</v>
      </c>
      <c r="CO75">
        <v>-169.6789024390244</v>
      </c>
      <c r="CP75">
        <v>-23.834655052264878</v>
      </c>
      <c r="CQ75">
        <v>2.3504308354923089</v>
      </c>
      <c r="CR75">
        <v>-1</v>
      </c>
      <c r="CS75">
        <v>12.3076756097561</v>
      </c>
      <c r="CT75">
        <v>1.19467735191638</v>
      </c>
      <c r="CU75">
        <v>0.1178060886672129</v>
      </c>
      <c r="CV75">
        <v>-1</v>
      </c>
      <c r="CW75">
        <v>0</v>
      </c>
      <c r="CX75">
        <v>0</v>
      </c>
      <c r="CY75" t="s">
        <v>333</v>
      </c>
      <c r="CZ75">
        <v>2.3641899999999998</v>
      </c>
      <c r="DA75">
        <v>2.7138300000000002</v>
      </c>
      <c r="DB75">
        <v>0.124045</v>
      </c>
      <c r="DC75">
        <v>0.146036</v>
      </c>
      <c r="DD75">
        <v>9.4879000000000005E-2</v>
      </c>
      <c r="DE75">
        <v>3.9764399999999998E-2</v>
      </c>
      <c r="DF75">
        <v>31958.6</v>
      </c>
      <c r="DG75">
        <v>27485.200000000001</v>
      </c>
      <c r="DH75">
        <v>31147.7</v>
      </c>
      <c r="DI75">
        <v>28046.2</v>
      </c>
      <c r="DJ75">
        <v>38277.800000000003</v>
      </c>
      <c r="DK75">
        <v>38292</v>
      </c>
      <c r="DL75">
        <v>44322.1</v>
      </c>
      <c r="DM75">
        <v>42501.599999999999</v>
      </c>
      <c r="DN75">
        <v>1.37643</v>
      </c>
      <c r="DO75">
        <v>2.0319199999999999</v>
      </c>
      <c r="DP75">
        <v>7.6904899999999998E-2</v>
      </c>
      <c r="DQ75">
        <v>0.204042</v>
      </c>
      <c r="DR75">
        <v>25.720600000000001</v>
      </c>
      <c r="DS75">
        <v>25.586500000000001</v>
      </c>
      <c r="DT75">
        <v>18</v>
      </c>
      <c r="DU75">
        <v>29.6</v>
      </c>
      <c r="DV75">
        <v>7.5620700000000003</v>
      </c>
      <c r="DW75">
        <v>61.531199999999998</v>
      </c>
      <c r="DX75">
        <v>36.225999999999999</v>
      </c>
      <c r="DY75">
        <v>1</v>
      </c>
      <c r="DZ75">
        <v>-7.1758100000000005E-2</v>
      </c>
      <c r="EA75">
        <v>-0.119265</v>
      </c>
      <c r="EB75">
        <v>20.190100000000001</v>
      </c>
      <c r="EC75">
        <v>5.2408000000000001</v>
      </c>
      <c r="ED75">
        <v>12.039899999999999</v>
      </c>
      <c r="EE75">
        <v>5.0164499999999999</v>
      </c>
      <c r="EF75">
        <v>3.2879999999999998</v>
      </c>
      <c r="EG75">
        <v>9999</v>
      </c>
      <c r="EH75">
        <v>9999</v>
      </c>
      <c r="EI75">
        <v>9999</v>
      </c>
      <c r="EJ75">
        <v>999.9</v>
      </c>
      <c r="EK75">
        <v>1.8689100000000001</v>
      </c>
      <c r="EL75">
        <v>1.86467</v>
      </c>
      <c r="EM75">
        <v>1.8692</v>
      </c>
      <c r="EN75">
        <v>1.8672299999999999</v>
      </c>
      <c r="EO75">
        <v>1.86341</v>
      </c>
      <c r="EP75">
        <v>1.8645499999999999</v>
      </c>
      <c r="EQ75">
        <v>1.87015</v>
      </c>
      <c r="ER75">
        <v>1.86948</v>
      </c>
      <c r="ES75">
        <v>0</v>
      </c>
      <c r="ET75">
        <v>0</v>
      </c>
      <c r="EU75">
        <v>0</v>
      </c>
      <c r="EV75">
        <v>0</v>
      </c>
      <c r="EW75" t="s">
        <v>334</v>
      </c>
      <c r="EX75" t="s">
        <v>335</v>
      </c>
      <c r="EY75" t="s">
        <v>336</v>
      </c>
      <c r="EZ75" t="s">
        <v>336</v>
      </c>
      <c r="FA75" t="s">
        <v>336</v>
      </c>
      <c r="FB75" t="s">
        <v>336</v>
      </c>
      <c r="FC75">
        <v>0</v>
      </c>
      <c r="FD75">
        <v>100</v>
      </c>
      <c r="FE75">
        <v>100</v>
      </c>
      <c r="FF75">
        <v>-0.39</v>
      </c>
      <c r="FG75">
        <v>0.16059999999999999</v>
      </c>
      <c r="FH75">
        <v>4.0020685143421282E-2</v>
      </c>
      <c r="FI75">
        <v>-6.1462078757559423E-4</v>
      </c>
      <c r="FJ75">
        <v>-1.8861989874597051E-7</v>
      </c>
      <c r="FK75">
        <v>1.1980462299894961E-10</v>
      </c>
      <c r="FL75">
        <v>-3.1035565592992288E-2</v>
      </c>
      <c r="FM75">
        <v>-1.6848085045870601E-2</v>
      </c>
      <c r="FN75">
        <v>1.9789084769509481E-3</v>
      </c>
      <c r="FO75">
        <v>-2.7142391389806329E-5</v>
      </c>
      <c r="FP75">
        <v>3</v>
      </c>
      <c r="FQ75">
        <v>2158</v>
      </c>
      <c r="FR75">
        <v>1</v>
      </c>
      <c r="FS75">
        <v>19</v>
      </c>
      <c r="FT75">
        <v>18</v>
      </c>
      <c r="FU75">
        <v>17.899999999999999</v>
      </c>
      <c r="FV75">
        <v>1.77979</v>
      </c>
      <c r="FW75">
        <v>2.5805699999999998</v>
      </c>
      <c r="FX75">
        <v>1.5490699999999999</v>
      </c>
      <c r="FY75">
        <v>2.3290999999999999</v>
      </c>
      <c r="FZ75">
        <v>1.50146</v>
      </c>
      <c r="GA75">
        <v>2.35229</v>
      </c>
      <c r="GB75">
        <v>33.828299999999999</v>
      </c>
      <c r="GC75">
        <v>23.982399999999998</v>
      </c>
      <c r="GD75">
        <v>19</v>
      </c>
      <c r="GE75">
        <v>243.55</v>
      </c>
      <c r="GF75">
        <v>582.23699999999997</v>
      </c>
      <c r="GG75">
        <v>25.151199999999999</v>
      </c>
      <c r="GH75">
        <v>26.488399999999999</v>
      </c>
      <c r="GI75">
        <v>30.0001</v>
      </c>
      <c r="GJ75">
        <v>26.6129</v>
      </c>
      <c r="GK75">
        <v>26.5824</v>
      </c>
      <c r="GL75">
        <v>35.585900000000002</v>
      </c>
      <c r="GM75">
        <v>-30</v>
      </c>
      <c r="GN75">
        <v>-30</v>
      </c>
      <c r="GO75">
        <v>25.159500000000001</v>
      </c>
      <c r="GP75">
        <v>800</v>
      </c>
      <c r="GQ75">
        <v>12.5298</v>
      </c>
      <c r="GR75">
        <v>99.6541</v>
      </c>
      <c r="GS75">
        <v>99.432299999999998</v>
      </c>
    </row>
    <row r="76" spans="1:201" x14ac:dyDescent="0.25">
      <c r="A76">
        <v>60</v>
      </c>
      <c r="B76">
        <v>1690213005.5999999</v>
      </c>
      <c r="C76">
        <v>738.09999990463257</v>
      </c>
      <c r="D76" t="s">
        <v>451</v>
      </c>
      <c r="E76" t="s">
        <v>452</v>
      </c>
      <c r="F76" t="s">
        <v>330</v>
      </c>
      <c r="H76">
        <v>1690213005.5999999</v>
      </c>
      <c r="I76">
        <f t="shared" si="0"/>
        <v>1.1276930289321218E-3</v>
      </c>
      <c r="J76">
        <f t="shared" si="1"/>
        <v>1.1276930289321219</v>
      </c>
      <c r="K76">
        <f t="shared" si="2"/>
        <v>14.781002813495464</v>
      </c>
      <c r="L76">
        <f t="shared" si="3"/>
        <v>622.01599999999996</v>
      </c>
      <c r="M76">
        <f t="shared" si="4"/>
        <v>145.80306223714985</v>
      </c>
      <c r="N76">
        <f t="shared" si="5"/>
        <v>14.463851684911875</v>
      </c>
      <c r="O76">
        <f t="shared" si="6"/>
        <v>61.704788854220794</v>
      </c>
      <c r="P76">
        <f t="shared" si="7"/>
        <v>5.1740233844320346E-2</v>
      </c>
      <c r="Q76">
        <f t="shared" si="8"/>
        <v>2.0148116749414942</v>
      </c>
      <c r="R76">
        <f t="shared" si="9"/>
        <v>5.1013267659760796E-2</v>
      </c>
      <c r="S76">
        <f t="shared" si="10"/>
        <v>3.1947756369136882E-2</v>
      </c>
      <c r="T76">
        <f t="shared" si="11"/>
        <v>276.11393479517352</v>
      </c>
      <c r="U76">
        <f t="shared" si="12"/>
        <v>28.86930889619515</v>
      </c>
      <c r="V76">
        <f t="shared" si="13"/>
        <v>28.86930889619515</v>
      </c>
      <c r="W76">
        <f t="shared" si="14"/>
        <v>3.9914581914775296</v>
      </c>
      <c r="X76">
        <f t="shared" si="15"/>
        <v>52.09835794967789</v>
      </c>
      <c r="Y76">
        <f t="shared" si="16"/>
        <v>1.86323828675712</v>
      </c>
      <c r="Z76">
        <f t="shared" si="17"/>
        <v>3.5763858211363071</v>
      </c>
      <c r="AA76">
        <f t="shared" si="18"/>
        <v>2.1282199047204093</v>
      </c>
      <c r="AB76">
        <f t="shared" si="19"/>
        <v>-49.73126257590657</v>
      </c>
      <c r="AC76">
        <f t="shared" si="20"/>
        <v>-204.482873441305</v>
      </c>
      <c r="AD76">
        <f t="shared" si="21"/>
        <v>-22.106804433590952</v>
      </c>
      <c r="AE76">
        <f t="shared" si="22"/>
        <v>-0.20700565562901829</v>
      </c>
      <c r="AF76">
        <v>37</v>
      </c>
      <c r="AG76">
        <v>12</v>
      </c>
      <c r="AH76">
        <f t="shared" si="23"/>
        <v>1</v>
      </c>
      <c r="AI76">
        <f t="shared" si="24"/>
        <v>0</v>
      </c>
      <c r="AJ76">
        <f t="shared" si="25"/>
        <v>52535.960125213554</v>
      </c>
      <c r="AK76">
        <f t="shared" si="26"/>
        <v>1799.99</v>
      </c>
      <c r="AL76">
        <f t="shared" si="27"/>
        <v>1499.1025376062998</v>
      </c>
      <c r="AM76">
        <f t="shared" si="28"/>
        <v>0.83283936999999997</v>
      </c>
      <c r="AN76">
        <f t="shared" si="29"/>
        <v>0.15339748265</v>
      </c>
      <c r="AO76">
        <v>34.5</v>
      </c>
      <c r="AP76">
        <v>0.5</v>
      </c>
      <c r="AQ76" t="s">
        <v>331</v>
      </c>
      <c r="AR76">
        <v>2</v>
      </c>
      <c r="AS76">
        <v>1690213005.5999999</v>
      </c>
      <c r="AT76">
        <v>622.01599999999996</v>
      </c>
      <c r="AU76">
        <v>800.02200000000005</v>
      </c>
      <c r="AV76">
        <v>18.782399999999999</v>
      </c>
      <c r="AW76">
        <v>6.0605200000000004</v>
      </c>
      <c r="AX76">
        <v>622.40300000000002</v>
      </c>
      <c r="AY76">
        <v>18.616299999999999</v>
      </c>
      <c r="AZ76">
        <v>300.07100000000003</v>
      </c>
      <c r="BA76">
        <v>99.101399999999998</v>
      </c>
      <c r="BB76">
        <v>9.98888E-2</v>
      </c>
      <c r="BC76">
        <v>26.986799999999999</v>
      </c>
      <c r="BD76">
        <v>26.991499999999998</v>
      </c>
      <c r="BE76">
        <v>28.928899999999999</v>
      </c>
      <c r="BF76">
        <v>0</v>
      </c>
      <c r="BG76">
        <v>0</v>
      </c>
      <c r="BH76">
        <v>10026.200000000001</v>
      </c>
      <c r="BI76">
        <v>1075.6400000000001</v>
      </c>
      <c r="BJ76">
        <v>2.0744500000000001</v>
      </c>
      <c r="BK76">
        <v>-178.006</v>
      </c>
      <c r="BL76">
        <v>633.923</v>
      </c>
      <c r="BM76">
        <v>804.9</v>
      </c>
      <c r="BN76">
        <v>12.7218</v>
      </c>
      <c r="BO76">
        <v>800.02200000000005</v>
      </c>
      <c r="BP76">
        <v>6.0605200000000004</v>
      </c>
      <c r="BQ76">
        <v>1.8613599999999999</v>
      </c>
      <c r="BR76">
        <v>0.60060599999999997</v>
      </c>
      <c r="BS76">
        <v>16.311800000000002</v>
      </c>
      <c r="BT76">
        <v>-0.29544599999999999</v>
      </c>
      <c r="BU76">
        <v>1799.99</v>
      </c>
      <c r="BV76">
        <v>0.909995</v>
      </c>
      <c r="BW76">
        <v>3.4004800000000002E-2</v>
      </c>
      <c r="BX76">
        <v>2.2000499999999999E-2</v>
      </c>
      <c r="BY76">
        <v>3.3999700000000001E-2</v>
      </c>
      <c r="BZ76">
        <v>26</v>
      </c>
      <c r="CA76">
        <v>33528.199999999997</v>
      </c>
      <c r="CB76">
        <v>1690211922</v>
      </c>
      <c r="CC76" t="s">
        <v>332</v>
      </c>
      <c r="CD76">
        <v>1690211915</v>
      </c>
      <c r="CE76">
        <v>1690211922</v>
      </c>
      <c r="CF76">
        <v>6</v>
      </c>
      <c r="CG76">
        <v>1.0999999999999999E-2</v>
      </c>
      <c r="CH76">
        <v>8.0000000000000002E-3</v>
      </c>
      <c r="CI76">
        <v>-0.51100000000000001</v>
      </c>
      <c r="CJ76">
        <v>-6.6000000000000003E-2</v>
      </c>
      <c r="CK76">
        <v>800</v>
      </c>
      <c r="CL76">
        <v>6</v>
      </c>
      <c r="CM76">
        <v>0.21</v>
      </c>
      <c r="CN76">
        <v>0.02</v>
      </c>
      <c r="CO76">
        <v>-173.56180000000001</v>
      </c>
      <c r="CP76">
        <v>-23.909560975609679</v>
      </c>
      <c r="CQ76">
        <v>2.3003453132084348</v>
      </c>
      <c r="CR76">
        <v>-1</v>
      </c>
      <c r="CS76">
        <v>12.5012325</v>
      </c>
      <c r="CT76">
        <v>1.1855245778611221</v>
      </c>
      <c r="CU76">
        <v>0.11404674345964461</v>
      </c>
      <c r="CV76">
        <v>-1</v>
      </c>
      <c r="CW76">
        <v>0</v>
      </c>
      <c r="CX76">
        <v>0</v>
      </c>
      <c r="CY76" t="s">
        <v>333</v>
      </c>
      <c r="CZ76">
        <v>2.3639199999999998</v>
      </c>
      <c r="DA76">
        <v>2.7136999999999998</v>
      </c>
      <c r="DB76">
        <v>0.123499</v>
      </c>
      <c r="DC76">
        <v>0.14604600000000001</v>
      </c>
      <c r="DD76">
        <v>9.5589400000000005E-2</v>
      </c>
      <c r="DE76">
        <v>3.9759200000000001E-2</v>
      </c>
      <c r="DF76">
        <v>31978.3</v>
      </c>
      <c r="DG76">
        <v>27485</v>
      </c>
      <c r="DH76">
        <v>31147.5</v>
      </c>
      <c r="DI76">
        <v>28046.3</v>
      </c>
      <c r="DJ76">
        <v>38247.199999999997</v>
      </c>
      <c r="DK76">
        <v>38292.199999999997</v>
      </c>
      <c r="DL76">
        <v>44321.8</v>
      </c>
      <c r="DM76">
        <v>42501.7</v>
      </c>
      <c r="DN76">
        <v>1.37612</v>
      </c>
      <c r="DO76">
        <v>2.0318800000000001</v>
      </c>
      <c r="DP76">
        <v>7.7765399999999998E-2</v>
      </c>
      <c r="DQ76">
        <v>0.20463400000000001</v>
      </c>
      <c r="DR76">
        <v>25.718399999999999</v>
      </c>
      <c r="DS76">
        <v>25.5837</v>
      </c>
      <c r="DT76">
        <v>18</v>
      </c>
      <c r="DU76">
        <v>29.6</v>
      </c>
      <c r="DV76">
        <v>7.5629999999999997</v>
      </c>
      <c r="DW76">
        <v>61.5212</v>
      </c>
      <c r="DX76">
        <v>36.8429</v>
      </c>
      <c r="DY76">
        <v>1</v>
      </c>
      <c r="DZ76">
        <v>-7.1641300000000005E-2</v>
      </c>
      <c r="EA76">
        <v>0.23778299999999999</v>
      </c>
      <c r="EB76">
        <v>20.189299999999999</v>
      </c>
      <c r="EC76">
        <v>5.2401999999999997</v>
      </c>
      <c r="ED76">
        <v>12.039899999999999</v>
      </c>
      <c r="EE76">
        <v>5.0163500000000001</v>
      </c>
      <c r="EF76">
        <v>3.2879999999999998</v>
      </c>
      <c r="EG76">
        <v>9999</v>
      </c>
      <c r="EH76">
        <v>9999</v>
      </c>
      <c r="EI76">
        <v>9999</v>
      </c>
      <c r="EJ76">
        <v>999.9</v>
      </c>
      <c r="EK76">
        <v>1.8689100000000001</v>
      </c>
      <c r="EL76">
        <v>1.8646799999999999</v>
      </c>
      <c r="EM76">
        <v>1.8691899999999999</v>
      </c>
      <c r="EN76">
        <v>1.8672299999999999</v>
      </c>
      <c r="EO76">
        <v>1.8634200000000001</v>
      </c>
      <c r="EP76">
        <v>1.8645400000000001</v>
      </c>
      <c r="EQ76">
        <v>1.87015</v>
      </c>
      <c r="ER76">
        <v>1.8694500000000001</v>
      </c>
      <c r="ES76">
        <v>0</v>
      </c>
      <c r="ET76">
        <v>0</v>
      </c>
      <c r="EU76">
        <v>0</v>
      </c>
      <c r="EV76">
        <v>0</v>
      </c>
      <c r="EW76" t="s">
        <v>334</v>
      </c>
      <c r="EX76" t="s">
        <v>335</v>
      </c>
      <c r="EY76" t="s">
        <v>336</v>
      </c>
      <c r="EZ76" t="s">
        <v>336</v>
      </c>
      <c r="FA76" t="s">
        <v>336</v>
      </c>
      <c r="FB76" t="s">
        <v>336</v>
      </c>
      <c r="FC76">
        <v>0</v>
      </c>
      <c r="FD76">
        <v>100</v>
      </c>
      <c r="FE76">
        <v>100</v>
      </c>
      <c r="FF76">
        <v>-0.38700000000000001</v>
      </c>
      <c r="FG76">
        <v>0.1661</v>
      </c>
      <c r="FH76">
        <v>4.0020685143421282E-2</v>
      </c>
      <c r="FI76">
        <v>-6.1462078757559423E-4</v>
      </c>
      <c r="FJ76">
        <v>-1.8861989874597051E-7</v>
      </c>
      <c r="FK76">
        <v>1.1980462299894961E-10</v>
      </c>
      <c r="FL76">
        <v>-3.1035565592992288E-2</v>
      </c>
      <c r="FM76">
        <v>-1.6848085045870601E-2</v>
      </c>
      <c r="FN76">
        <v>1.9789084769509481E-3</v>
      </c>
      <c r="FO76">
        <v>-2.7142391389806329E-5</v>
      </c>
      <c r="FP76">
        <v>3</v>
      </c>
      <c r="FQ76">
        <v>2158</v>
      </c>
      <c r="FR76">
        <v>1</v>
      </c>
      <c r="FS76">
        <v>19</v>
      </c>
      <c r="FT76">
        <v>18.2</v>
      </c>
      <c r="FU76">
        <v>18.100000000000001</v>
      </c>
      <c r="FV76">
        <v>1.77979</v>
      </c>
      <c r="FW76">
        <v>2.5756800000000002</v>
      </c>
      <c r="FX76">
        <v>1.5490699999999999</v>
      </c>
      <c r="FY76">
        <v>2.3290999999999999</v>
      </c>
      <c r="FZ76">
        <v>1.50146</v>
      </c>
      <c r="GA76">
        <v>2.32178</v>
      </c>
      <c r="GB76">
        <v>33.828299999999999</v>
      </c>
      <c r="GC76">
        <v>23.982399999999998</v>
      </c>
      <c r="GD76">
        <v>19</v>
      </c>
      <c r="GE76">
        <v>243.42599999999999</v>
      </c>
      <c r="GF76">
        <v>582.18299999999999</v>
      </c>
      <c r="GG76">
        <v>25.161999999999999</v>
      </c>
      <c r="GH76">
        <v>26.4861</v>
      </c>
      <c r="GI76">
        <v>30.0001</v>
      </c>
      <c r="GJ76">
        <v>26.610700000000001</v>
      </c>
      <c r="GK76">
        <v>26.581299999999999</v>
      </c>
      <c r="GL76">
        <v>35.584000000000003</v>
      </c>
      <c r="GM76">
        <v>-30</v>
      </c>
      <c r="GN76">
        <v>-30</v>
      </c>
      <c r="GO76">
        <v>25.0624</v>
      </c>
      <c r="GP76">
        <v>800</v>
      </c>
      <c r="GQ76">
        <v>12.5298</v>
      </c>
      <c r="GR76">
        <v>99.653499999999994</v>
      </c>
      <c r="GS76">
        <v>99.432500000000005</v>
      </c>
    </row>
    <row r="77" spans="1:201" x14ac:dyDescent="0.25">
      <c r="A77">
        <v>61</v>
      </c>
      <c r="B77">
        <v>1690213015.5999999</v>
      </c>
      <c r="C77">
        <v>748.09999990463257</v>
      </c>
      <c r="D77" t="s">
        <v>453</v>
      </c>
      <c r="E77" t="s">
        <v>454</v>
      </c>
      <c r="F77" t="s">
        <v>330</v>
      </c>
      <c r="H77">
        <v>1690213015.5999999</v>
      </c>
      <c r="I77">
        <f t="shared" si="0"/>
        <v>1.1445418461023741E-3</v>
      </c>
      <c r="J77">
        <f t="shared" si="1"/>
        <v>1.1445418461023742</v>
      </c>
      <c r="K77">
        <f t="shared" si="2"/>
        <v>15.114715542376516</v>
      </c>
      <c r="L77">
        <f t="shared" si="3"/>
        <v>618.02200000000005</v>
      </c>
      <c r="M77">
        <f t="shared" si="4"/>
        <v>143.47021458901375</v>
      </c>
      <c r="N77">
        <f t="shared" si="5"/>
        <v>14.231763585984682</v>
      </c>
      <c r="O77">
        <f t="shared" si="6"/>
        <v>61.305707391135002</v>
      </c>
      <c r="P77">
        <f t="shared" si="7"/>
        <v>5.3087284650281917E-2</v>
      </c>
      <c r="Q77">
        <f t="shared" si="8"/>
        <v>2.0126724249391188</v>
      </c>
      <c r="R77">
        <f t="shared" si="9"/>
        <v>5.2321474056002307E-2</v>
      </c>
      <c r="S77">
        <f t="shared" si="10"/>
        <v>3.2768806003855053E-2</v>
      </c>
      <c r="T77">
        <f t="shared" si="11"/>
        <v>276.11374671421839</v>
      </c>
      <c r="U77">
        <f t="shared" si="12"/>
        <v>28.852053243598494</v>
      </c>
      <c r="V77">
        <f t="shared" si="13"/>
        <v>28.852053243598494</v>
      </c>
      <c r="W77">
        <f t="shared" si="14"/>
        <v>3.987470569849231</v>
      </c>
      <c r="X77">
        <f t="shared" si="15"/>
        <v>52.655030996750781</v>
      </c>
      <c r="Y77">
        <f t="shared" si="16"/>
        <v>1.8817206295679998</v>
      </c>
      <c r="Z77">
        <f t="shared" si="17"/>
        <v>3.5736768053258126</v>
      </c>
      <c r="AA77">
        <f t="shared" si="18"/>
        <v>2.105749940281231</v>
      </c>
      <c r="AB77">
        <f t="shared" si="19"/>
        <v>-50.474295413114703</v>
      </c>
      <c r="AC77">
        <f t="shared" si="20"/>
        <v>-203.79314169543352</v>
      </c>
      <c r="AD77">
        <f t="shared" si="21"/>
        <v>-22.052338775468247</v>
      </c>
      <c r="AE77">
        <f t="shared" si="22"/>
        <v>-0.20602916979808583</v>
      </c>
      <c r="AF77">
        <v>37</v>
      </c>
      <c r="AG77">
        <v>12</v>
      </c>
      <c r="AH77">
        <f t="shared" si="23"/>
        <v>1</v>
      </c>
      <c r="AI77">
        <f t="shared" si="24"/>
        <v>0</v>
      </c>
      <c r="AJ77">
        <f t="shared" si="25"/>
        <v>52435.250813398088</v>
      </c>
      <c r="AK77">
        <f t="shared" si="26"/>
        <v>1799.99</v>
      </c>
      <c r="AL77">
        <f t="shared" si="27"/>
        <v>1499.10338540159</v>
      </c>
      <c r="AM77">
        <f t="shared" si="28"/>
        <v>0.83283984099999997</v>
      </c>
      <c r="AN77">
        <f t="shared" si="29"/>
        <v>0.15339737815999999</v>
      </c>
      <c r="AO77">
        <v>34.5</v>
      </c>
      <c r="AP77">
        <v>0.5</v>
      </c>
      <c r="AQ77" t="s">
        <v>331</v>
      </c>
      <c r="AR77">
        <v>2</v>
      </c>
      <c r="AS77">
        <v>1690213015.5999999</v>
      </c>
      <c r="AT77">
        <v>618.02200000000005</v>
      </c>
      <c r="AU77">
        <v>799.94</v>
      </c>
      <c r="AV77">
        <v>18.9696</v>
      </c>
      <c r="AW77">
        <v>6.05959</v>
      </c>
      <c r="AX77">
        <v>618.40499999999997</v>
      </c>
      <c r="AY77">
        <v>18.798300000000001</v>
      </c>
      <c r="AZ77">
        <v>300.05900000000003</v>
      </c>
      <c r="BA77">
        <v>99.096699999999998</v>
      </c>
      <c r="BB77">
        <v>9.9942500000000004E-2</v>
      </c>
      <c r="BC77">
        <v>26.9739</v>
      </c>
      <c r="BD77">
        <v>26.973600000000001</v>
      </c>
      <c r="BE77">
        <v>28.9053</v>
      </c>
      <c r="BF77">
        <v>0</v>
      </c>
      <c r="BG77">
        <v>0</v>
      </c>
      <c r="BH77">
        <v>10006.200000000001</v>
      </c>
      <c r="BI77">
        <v>1075.52</v>
      </c>
      <c r="BJ77">
        <v>2.0744500000000001</v>
      </c>
      <c r="BK77">
        <v>-181.91800000000001</v>
      </c>
      <c r="BL77">
        <v>629.97199999999998</v>
      </c>
      <c r="BM77">
        <v>804.81600000000003</v>
      </c>
      <c r="BN77">
        <v>12.91</v>
      </c>
      <c r="BO77">
        <v>799.94</v>
      </c>
      <c r="BP77">
        <v>6.05959</v>
      </c>
      <c r="BQ77">
        <v>1.87982</v>
      </c>
      <c r="BR77">
        <v>0.60048599999999996</v>
      </c>
      <c r="BS77">
        <v>16.466799999999999</v>
      </c>
      <c r="BT77">
        <v>-0.29820099999999999</v>
      </c>
      <c r="BU77">
        <v>1799.99</v>
      </c>
      <c r="BV77">
        <v>0.91</v>
      </c>
      <c r="BW77">
        <v>3.4002999999999999E-2</v>
      </c>
      <c r="BX77">
        <v>2.1999299999999999E-2</v>
      </c>
      <c r="BY77">
        <v>3.3997800000000002E-2</v>
      </c>
      <c r="BZ77">
        <v>26</v>
      </c>
      <c r="CA77">
        <v>33528.199999999997</v>
      </c>
      <c r="CB77">
        <v>1690211922</v>
      </c>
      <c r="CC77" t="s">
        <v>332</v>
      </c>
      <c r="CD77">
        <v>1690211915</v>
      </c>
      <c r="CE77">
        <v>1690211922</v>
      </c>
      <c r="CF77">
        <v>6</v>
      </c>
      <c r="CG77">
        <v>1.0999999999999999E-2</v>
      </c>
      <c r="CH77">
        <v>8.0000000000000002E-3</v>
      </c>
      <c r="CI77">
        <v>-0.51100000000000001</v>
      </c>
      <c r="CJ77">
        <v>-6.6000000000000003E-2</v>
      </c>
      <c r="CK77">
        <v>800</v>
      </c>
      <c r="CL77">
        <v>6</v>
      </c>
      <c r="CM77">
        <v>0.21</v>
      </c>
      <c r="CN77">
        <v>0.02</v>
      </c>
      <c r="CO77">
        <v>-177.62036585365851</v>
      </c>
      <c r="CP77">
        <v>-23.736355400697121</v>
      </c>
      <c r="CQ77">
        <v>2.340921735869907</v>
      </c>
      <c r="CR77">
        <v>-1</v>
      </c>
      <c r="CS77">
        <v>12.70142926829268</v>
      </c>
      <c r="CT77">
        <v>1.1608013937282351</v>
      </c>
      <c r="CU77">
        <v>0.11448313379644549</v>
      </c>
      <c r="CV77">
        <v>-1</v>
      </c>
      <c r="CW77">
        <v>0</v>
      </c>
      <c r="CX77">
        <v>0</v>
      </c>
      <c r="CY77" t="s">
        <v>333</v>
      </c>
      <c r="CZ77">
        <v>2.36389</v>
      </c>
      <c r="DA77">
        <v>2.71374</v>
      </c>
      <c r="DB77">
        <v>0.12293999999999999</v>
      </c>
      <c r="DC77">
        <v>0.14602999999999999</v>
      </c>
      <c r="DD77">
        <v>9.6257099999999998E-2</v>
      </c>
      <c r="DE77">
        <v>3.9752500000000003E-2</v>
      </c>
      <c r="DF77">
        <v>31998.6</v>
      </c>
      <c r="DG77">
        <v>27485.7</v>
      </c>
      <c r="DH77">
        <v>31147.4</v>
      </c>
      <c r="DI77">
        <v>28046.5</v>
      </c>
      <c r="DJ77">
        <v>38218.5</v>
      </c>
      <c r="DK77">
        <v>38292.699999999997</v>
      </c>
      <c r="DL77">
        <v>44321.7</v>
      </c>
      <c r="DM77">
        <v>42501.9</v>
      </c>
      <c r="DN77">
        <v>1.3764799999999999</v>
      </c>
      <c r="DO77">
        <v>2.0321199999999999</v>
      </c>
      <c r="DP77">
        <v>7.6934699999999995E-2</v>
      </c>
      <c r="DQ77">
        <v>0.20338600000000001</v>
      </c>
      <c r="DR77">
        <v>25.714099999999998</v>
      </c>
      <c r="DS77">
        <v>25.580400000000001</v>
      </c>
      <c r="DT77">
        <v>18</v>
      </c>
      <c r="DU77">
        <v>29.6</v>
      </c>
      <c r="DV77">
        <v>7.5632700000000002</v>
      </c>
      <c r="DW77">
        <v>61.6312</v>
      </c>
      <c r="DX77">
        <v>37.063299999999998</v>
      </c>
      <c r="DY77">
        <v>1</v>
      </c>
      <c r="DZ77">
        <v>-7.20224E-2</v>
      </c>
      <c r="EA77">
        <v>1.61765E-3</v>
      </c>
      <c r="EB77">
        <v>20.189800000000002</v>
      </c>
      <c r="EC77">
        <v>5.2403500000000003</v>
      </c>
      <c r="ED77">
        <v>12.039899999999999</v>
      </c>
      <c r="EE77">
        <v>5.0163500000000001</v>
      </c>
      <c r="EF77">
        <v>3.2879999999999998</v>
      </c>
      <c r="EG77">
        <v>9999</v>
      </c>
      <c r="EH77">
        <v>9999</v>
      </c>
      <c r="EI77">
        <v>9999</v>
      </c>
      <c r="EJ77">
        <v>999.9</v>
      </c>
      <c r="EK77">
        <v>1.8689100000000001</v>
      </c>
      <c r="EL77">
        <v>1.86466</v>
      </c>
      <c r="EM77">
        <v>1.8692</v>
      </c>
      <c r="EN77">
        <v>1.8672299999999999</v>
      </c>
      <c r="EO77">
        <v>1.86341</v>
      </c>
      <c r="EP77">
        <v>1.86456</v>
      </c>
      <c r="EQ77">
        <v>1.87015</v>
      </c>
      <c r="ER77">
        <v>1.86944</v>
      </c>
      <c r="ES77">
        <v>0</v>
      </c>
      <c r="ET77">
        <v>0</v>
      </c>
      <c r="EU77">
        <v>0</v>
      </c>
      <c r="EV77">
        <v>0</v>
      </c>
      <c r="EW77" t="s">
        <v>334</v>
      </c>
      <c r="EX77" t="s">
        <v>335</v>
      </c>
      <c r="EY77" t="s">
        <v>336</v>
      </c>
      <c r="EZ77" t="s">
        <v>336</v>
      </c>
      <c r="FA77" t="s">
        <v>336</v>
      </c>
      <c r="FB77" t="s">
        <v>336</v>
      </c>
      <c r="FC77">
        <v>0</v>
      </c>
      <c r="FD77">
        <v>100</v>
      </c>
      <c r="FE77">
        <v>100</v>
      </c>
      <c r="FF77">
        <v>-0.38300000000000001</v>
      </c>
      <c r="FG77">
        <v>0.17130000000000001</v>
      </c>
      <c r="FH77">
        <v>4.0020685143421282E-2</v>
      </c>
      <c r="FI77">
        <v>-6.1462078757559423E-4</v>
      </c>
      <c r="FJ77">
        <v>-1.8861989874597051E-7</v>
      </c>
      <c r="FK77">
        <v>1.1980462299894961E-10</v>
      </c>
      <c r="FL77">
        <v>-3.1035565592992288E-2</v>
      </c>
      <c r="FM77">
        <v>-1.6848085045870601E-2</v>
      </c>
      <c r="FN77">
        <v>1.9789084769509481E-3</v>
      </c>
      <c r="FO77">
        <v>-2.7142391389806329E-5</v>
      </c>
      <c r="FP77">
        <v>3</v>
      </c>
      <c r="FQ77">
        <v>2158</v>
      </c>
      <c r="FR77">
        <v>1</v>
      </c>
      <c r="FS77">
        <v>19</v>
      </c>
      <c r="FT77">
        <v>18.3</v>
      </c>
      <c r="FU77">
        <v>18.2</v>
      </c>
      <c r="FV77">
        <v>1.77979</v>
      </c>
      <c r="FW77">
        <v>2.5756800000000002</v>
      </c>
      <c r="FX77">
        <v>1.5490699999999999</v>
      </c>
      <c r="FY77">
        <v>2.3290999999999999</v>
      </c>
      <c r="FZ77">
        <v>1.50146</v>
      </c>
      <c r="GA77">
        <v>2.3730500000000001</v>
      </c>
      <c r="GB77">
        <v>33.805700000000002</v>
      </c>
      <c r="GC77">
        <v>23.991199999999999</v>
      </c>
      <c r="GD77">
        <v>19</v>
      </c>
      <c r="GE77">
        <v>243.56</v>
      </c>
      <c r="GF77">
        <v>582.37699999999995</v>
      </c>
      <c r="GG77">
        <v>25.0746</v>
      </c>
      <c r="GH77">
        <v>26.4834</v>
      </c>
      <c r="GI77">
        <v>29.999600000000001</v>
      </c>
      <c r="GJ77">
        <v>26.610499999999998</v>
      </c>
      <c r="GK77">
        <v>26.580200000000001</v>
      </c>
      <c r="GL77">
        <v>35.585099999999997</v>
      </c>
      <c r="GM77">
        <v>-30</v>
      </c>
      <c r="GN77">
        <v>-30</v>
      </c>
      <c r="GO77">
        <v>25.096</v>
      </c>
      <c r="GP77">
        <v>800</v>
      </c>
      <c r="GQ77">
        <v>12.5298</v>
      </c>
      <c r="GR77">
        <v>99.653099999999995</v>
      </c>
      <c r="GS77">
        <v>99.433099999999996</v>
      </c>
    </row>
    <row r="78" spans="1:201" x14ac:dyDescent="0.25">
      <c r="A78">
        <v>62</v>
      </c>
      <c r="B78">
        <v>1690213025.5999999</v>
      </c>
      <c r="C78">
        <v>758.09999990463257</v>
      </c>
      <c r="D78" t="s">
        <v>455</v>
      </c>
      <c r="E78" t="s">
        <v>456</v>
      </c>
      <c r="F78" t="s">
        <v>330</v>
      </c>
      <c r="H78">
        <v>1690213025.5999999</v>
      </c>
      <c r="I78">
        <f t="shared" si="0"/>
        <v>1.1623429072866779E-3</v>
      </c>
      <c r="J78">
        <f t="shared" si="1"/>
        <v>1.1623429072866778</v>
      </c>
      <c r="K78">
        <f t="shared" si="2"/>
        <v>15.466085280435333</v>
      </c>
      <c r="L78">
        <f t="shared" si="3"/>
        <v>614.024</v>
      </c>
      <c r="M78">
        <f t="shared" si="4"/>
        <v>140.78461635761539</v>
      </c>
      <c r="N78">
        <f t="shared" si="5"/>
        <v>13.964944338763143</v>
      </c>
      <c r="O78">
        <f t="shared" si="6"/>
        <v>60.907300843746391</v>
      </c>
      <c r="P78">
        <f t="shared" si="7"/>
        <v>5.4464046583458436E-2</v>
      </c>
      <c r="Q78">
        <f t="shared" si="8"/>
        <v>2.0146677364572088</v>
      </c>
      <c r="R78">
        <f t="shared" si="9"/>
        <v>5.3659110270918381E-2</v>
      </c>
      <c r="S78">
        <f t="shared" si="10"/>
        <v>3.3608273214313117E-2</v>
      </c>
      <c r="T78">
        <f t="shared" si="11"/>
        <v>276.11353926537095</v>
      </c>
      <c r="U78">
        <f t="shared" si="12"/>
        <v>28.8459390690535</v>
      </c>
      <c r="V78">
        <f t="shared" si="13"/>
        <v>28.8459390690535</v>
      </c>
      <c r="W78">
        <f t="shared" si="14"/>
        <v>3.9860584744898602</v>
      </c>
      <c r="X78">
        <f t="shared" si="15"/>
        <v>53.191484454526574</v>
      </c>
      <c r="Y78">
        <f t="shared" si="16"/>
        <v>1.90112625322638</v>
      </c>
      <c r="Z78">
        <f t="shared" si="17"/>
        <v>3.574117685795466</v>
      </c>
      <c r="AA78">
        <f t="shared" si="18"/>
        <v>2.0849322212634802</v>
      </c>
      <c r="AB78">
        <f t="shared" si="19"/>
        <v>-51.259322211342493</v>
      </c>
      <c r="AC78">
        <f t="shared" si="20"/>
        <v>-203.10299630418001</v>
      </c>
      <c r="AD78">
        <f t="shared" si="21"/>
        <v>-21.955450836868771</v>
      </c>
      <c r="AE78">
        <f t="shared" si="22"/>
        <v>-0.20423008702033485</v>
      </c>
      <c r="AF78">
        <v>37</v>
      </c>
      <c r="AG78">
        <v>12</v>
      </c>
      <c r="AH78">
        <f t="shared" si="23"/>
        <v>1</v>
      </c>
      <c r="AI78">
        <f t="shared" si="24"/>
        <v>0</v>
      </c>
      <c r="AJ78">
        <f t="shared" si="25"/>
        <v>52530.75613428346</v>
      </c>
      <c r="AK78">
        <f t="shared" si="26"/>
        <v>1799.99</v>
      </c>
      <c r="AL78">
        <f t="shared" si="27"/>
        <v>1499.10382639914</v>
      </c>
      <c r="AM78">
        <f t="shared" si="28"/>
        <v>0.83284008599999992</v>
      </c>
      <c r="AN78">
        <f t="shared" si="29"/>
        <v>0.15339726291000003</v>
      </c>
      <c r="AO78">
        <v>34.5</v>
      </c>
      <c r="AP78">
        <v>0.5</v>
      </c>
      <c r="AQ78" t="s">
        <v>331</v>
      </c>
      <c r="AR78">
        <v>2</v>
      </c>
      <c r="AS78">
        <v>1690213025.5999999</v>
      </c>
      <c r="AT78">
        <v>614.024</v>
      </c>
      <c r="AU78">
        <v>800.04200000000003</v>
      </c>
      <c r="AV78">
        <v>19.165800000000001</v>
      </c>
      <c r="AW78">
        <v>6.0585399999999998</v>
      </c>
      <c r="AX78">
        <v>614.40499999999997</v>
      </c>
      <c r="AY78">
        <v>18.989100000000001</v>
      </c>
      <c r="AZ78">
        <v>300.08</v>
      </c>
      <c r="BA78">
        <v>99.093699999999998</v>
      </c>
      <c r="BB78">
        <v>9.9981100000000003E-2</v>
      </c>
      <c r="BC78">
        <v>26.975999999999999</v>
      </c>
      <c r="BD78">
        <v>26.970300000000002</v>
      </c>
      <c r="BE78">
        <v>28.887499999999999</v>
      </c>
      <c r="BF78">
        <v>0</v>
      </c>
      <c r="BG78">
        <v>0</v>
      </c>
      <c r="BH78">
        <v>10025.6</v>
      </c>
      <c r="BI78">
        <v>1075.67</v>
      </c>
      <c r="BJ78">
        <v>2.0744500000000001</v>
      </c>
      <c r="BK78">
        <v>-186.018</v>
      </c>
      <c r="BL78">
        <v>626.02200000000005</v>
      </c>
      <c r="BM78">
        <v>804.91800000000001</v>
      </c>
      <c r="BN78">
        <v>13.1073</v>
      </c>
      <c r="BO78">
        <v>800.04200000000003</v>
      </c>
      <c r="BP78">
        <v>6.0585399999999998</v>
      </c>
      <c r="BQ78">
        <v>1.8992100000000001</v>
      </c>
      <c r="BR78">
        <v>0.60036299999999998</v>
      </c>
      <c r="BS78">
        <v>16.6282</v>
      </c>
      <c r="BT78">
        <v>-0.30101099999999997</v>
      </c>
      <c r="BU78">
        <v>1799.99</v>
      </c>
      <c r="BV78">
        <v>0.91000400000000004</v>
      </c>
      <c r="BW78">
        <v>3.4001400000000001E-2</v>
      </c>
      <c r="BX78">
        <v>2.1998299999999998E-2</v>
      </c>
      <c r="BY78">
        <v>3.39963E-2</v>
      </c>
      <c r="BZ78">
        <v>26</v>
      </c>
      <c r="CA78">
        <v>33528.199999999997</v>
      </c>
      <c r="CB78">
        <v>1690211922</v>
      </c>
      <c r="CC78" t="s">
        <v>332</v>
      </c>
      <c r="CD78">
        <v>1690211915</v>
      </c>
      <c r="CE78">
        <v>1690211922</v>
      </c>
      <c r="CF78">
        <v>6</v>
      </c>
      <c r="CG78">
        <v>1.0999999999999999E-2</v>
      </c>
      <c r="CH78">
        <v>8.0000000000000002E-3</v>
      </c>
      <c r="CI78">
        <v>-0.51100000000000001</v>
      </c>
      <c r="CJ78">
        <v>-6.6000000000000003E-2</v>
      </c>
      <c r="CK78">
        <v>800</v>
      </c>
      <c r="CL78">
        <v>6</v>
      </c>
      <c r="CM78">
        <v>0.21</v>
      </c>
      <c r="CN78">
        <v>0.02</v>
      </c>
      <c r="CO78">
        <v>-181.490725</v>
      </c>
      <c r="CP78">
        <v>-23.941632270168629</v>
      </c>
      <c r="CQ78">
        <v>2.3034500318815239</v>
      </c>
      <c r="CR78">
        <v>-1</v>
      </c>
      <c r="CS78">
        <v>12.888904999999999</v>
      </c>
      <c r="CT78">
        <v>1.146306191369594</v>
      </c>
      <c r="CU78">
        <v>0.11028916299890951</v>
      </c>
      <c r="CV78">
        <v>-1</v>
      </c>
      <c r="CW78">
        <v>0</v>
      </c>
      <c r="CX78">
        <v>0</v>
      </c>
      <c r="CY78" t="s">
        <v>333</v>
      </c>
      <c r="CZ78">
        <v>2.36395</v>
      </c>
      <c r="DA78">
        <v>2.7137899999999999</v>
      </c>
      <c r="DB78">
        <v>0.122382</v>
      </c>
      <c r="DC78">
        <v>0.146038</v>
      </c>
      <c r="DD78">
        <v>9.6956200000000006E-2</v>
      </c>
      <c r="DE78">
        <v>3.9745700000000002E-2</v>
      </c>
      <c r="DF78">
        <v>32019.5</v>
      </c>
      <c r="DG78">
        <v>27485.9</v>
      </c>
      <c r="DH78">
        <v>31148</v>
      </c>
      <c r="DI78">
        <v>28047</v>
      </c>
      <c r="DJ78">
        <v>38189.5</v>
      </c>
      <c r="DK78">
        <v>38293.699999999997</v>
      </c>
      <c r="DL78">
        <v>44322.7</v>
      </c>
      <c r="DM78">
        <v>42502.6</v>
      </c>
      <c r="DN78">
        <v>1.3761000000000001</v>
      </c>
      <c r="DO78">
        <v>2.03227</v>
      </c>
      <c r="DP78">
        <v>7.6867599999999994E-2</v>
      </c>
      <c r="DQ78">
        <v>0.20255500000000001</v>
      </c>
      <c r="DR78">
        <v>25.7119</v>
      </c>
      <c r="DS78">
        <v>25.5761</v>
      </c>
      <c r="DT78">
        <v>18</v>
      </c>
      <c r="DU78">
        <v>29.6</v>
      </c>
      <c r="DV78">
        <v>7.5619899999999998</v>
      </c>
      <c r="DW78">
        <v>61.561199999999999</v>
      </c>
      <c r="DX78">
        <v>37.303699999999999</v>
      </c>
      <c r="DY78">
        <v>1</v>
      </c>
      <c r="DZ78">
        <v>-7.2459300000000004E-2</v>
      </c>
      <c r="EA78">
        <v>-0.12055299999999999</v>
      </c>
      <c r="EB78">
        <v>20.189800000000002</v>
      </c>
      <c r="EC78">
        <v>5.2409499999999998</v>
      </c>
      <c r="ED78">
        <v>12.039899999999999</v>
      </c>
      <c r="EE78">
        <v>5.0164999999999997</v>
      </c>
      <c r="EF78">
        <v>3.2879999999999998</v>
      </c>
      <c r="EG78">
        <v>9999</v>
      </c>
      <c r="EH78">
        <v>9999</v>
      </c>
      <c r="EI78">
        <v>9999</v>
      </c>
      <c r="EJ78">
        <v>999.9</v>
      </c>
      <c r="EK78">
        <v>1.8689199999999999</v>
      </c>
      <c r="EL78">
        <v>1.8646400000000001</v>
      </c>
      <c r="EM78">
        <v>1.8692</v>
      </c>
      <c r="EN78">
        <v>1.8672299999999999</v>
      </c>
      <c r="EO78">
        <v>1.86341</v>
      </c>
      <c r="EP78">
        <v>1.86456</v>
      </c>
      <c r="EQ78">
        <v>1.87015</v>
      </c>
      <c r="ER78">
        <v>1.8694599999999999</v>
      </c>
      <c r="ES78">
        <v>0</v>
      </c>
      <c r="ET78">
        <v>0</v>
      </c>
      <c r="EU78">
        <v>0</v>
      </c>
      <c r="EV78">
        <v>0</v>
      </c>
      <c r="EW78" t="s">
        <v>334</v>
      </c>
      <c r="EX78" t="s">
        <v>335</v>
      </c>
      <c r="EY78" t="s">
        <v>336</v>
      </c>
      <c r="EZ78" t="s">
        <v>336</v>
      </c>
      <c r="FA78" t="s">
        <v>336</v>
      </c>
      <c r="FB78" t="s">
        <v>336</v>
      </c>
      <c r="FC78">
        <v>0</v>
      </c>
      <c r="FD78">
        <v>100</v>
      </c>
      <c r="FE78">
        <v>100</v>
      </c>
      <c r="FF78">
        <v>-0.38100000000000001</v>
      </c>
      <c r="FG78">
        <v>0.1767</v>
      </c>
      <c r="FH78">
        <v>4.0020685143421282E-2</v>
      </c>
      <c r="FI78">
        <v>-6.1462078757559423E-4</v>
      </c>
      <c r="FJ78">
        <v>-1.8861989874597051E-7</v>
      </c>
      <c r="FK78">
        <v>1.1980462299894961E-10</v>
      </c>
      <c r="FL78">
        <v>-3.1035565592992288E-2</v>
      </c>
      <c r="FM78">
        <v>-1.6848085045870601E-2</v>
      </c>
      <c r="FN78">
        <v>1.9789084769509481E-3</v>
      </c>
      <c r="FO78">
        <v>-2.7142391389806329E-5</v>
      </c>
      <c r="FP78">
        <v>3</v>
      </c>
      <c r="FQ78">
        <v>2158</v>
      </c>
      <c r="FR78">
        <v>1</v>
      </c>
      <c r="FS78">
        <v>19</v>
      </c>
      <c r="FT78">
        <v>18.5</v>
      </c>
      <c r="FU78">
        <v>18.399999999999999</v>
      </c>
      <c r="FV78">
        <v>1.77979</v>
      </c>
      <c r="FW78">
        <v>2.5744600000000002</v>
      </c>
      <c r="FX78">
        <v>1.5490699999999999</v>
      </c>
      <c r="FY78">
        <v>2.3290999999999999</v>
      </c>
      <c r="FZ78">
        <v>1.50146</v>
      </c>
      <c r="GA78">
        <v>2.3864700000000001</v>
      </c>
      <c r="GB78">
        <v>33.805700000000002</v>
      </c>
      <c r="GC78">
        <v>23.991199999999999</v>
      </c>
      <c r="GD78">
        <v>19</v>
      </c>
      <c r="GE78">
        <v>243.40899999999999</v>
      </c>
      <c r="GF78">
        <v>582.495</v>
      </c>
      <c r="GG78">
        <v>25.113900000000001</v>
      </c>
      <c r="GH78">
        <v>26.4802</v>
      </c>
      <c r="GI78">
        <v>30</v>
      </c>
      <c r="GJ78">
        <v>26.608499999999999</v>
      </c>
      <c r="GK78">
        <v>26.579599999999999</v>
      </c>
      <c r="GL78">
        <v>35.5837</v>
      </c>
      <c r="GM78">
        <v>-30</v>
      </c>
      <c r="GN78">
        <v>-30</v>
      </c>
      <c r="GO78">
        <v>25.131599999999999</v>
      </c>
      <c r="GP78">
        <v>800</v>
      </c>
      <c r="GQ78">
        <v>12.5298</v>
      </c>
      <c r="GR78">
        <v>99.655100000000004</v>
      </c>
      <c r="GS78">
        <v>99.434799999999996</v>
      </c>
    </row>
    <row r="79" spans="1:201" x14ac:dyDescent="0.25">
      <c r="A79">
        <v>63</v>
      </c>
      <c r="B79">
        <v>1690213035.5999999</v>
      </c>
      <c r="C79">
        <v>768.09999990463257</v>
      </c>
      <c r="D79" t="s">
        <v>457</v>
      </c>
      <c r="E79" t="s">
        <v>458</v>
      </c>
      <c r="F79" t="s">
        <v>330</v>
      </c>
      <c r="H79">
        <v>1690213035.5999999</v>
      </c>
      <c r="I79">
        <f t="shared" si="0"/>
        <v>1.1803971824875903E-3</v>
      </c>
      <c r="J79">
        <f t="shared" si="1"/>
        <v>1.1803971824875903</v>
      </c>
      <c r="K79">
        <f t="shared" si="2"/>
        <v>15.807898711790301</v>
      </c>
      <c r="L79">
        <f t="shared" si="3"/>
        <v>609.99400000000003</v>
      </c>
      <c r="M79">
        <f t="shared" si="4"/>
        <v>138.47320653299127</v>
      </c>
      <c r="N79">
        <f t="shared" si="5"/>
        <v>13.735852629977405</v>
      </c>
      <c r="O79">
        <f t="shared" si="6"/>
        <v>60.508367639874002</v>
      </c>
      <c r="P79">
        <f t="shared" si="7"/>
        <v>5.5866876395008848E-2</v>
      </c>
      <c r="Q79">
        <f t="shared" si="8"/>
        <v>2.0125289582241543</v>
      </c>
      <c r="R79">
        <f t="shared" si="9"/>
        <v>5.5019403114268124E-2</v>
      </c>
      <c r="S79">
        <f t="shared" si="10"/>
        <v>3.4462198121099838E-2</v>
      </c>
      <c r="T79">
        <f t="shared" si="11"/>
        <v>276.11330022669893</v>
      </c>
      <c r="U79">
        <f t="shared" si="12"/>
        <v>28.843000788271571</v>
      </c>
      <c r="V79">
        <f t="shared" si="13"/>
        <v>28.843000788271571</v>
      </c>
      <c r="W79">
        <f t="shared" si="14"/>
        <v>3.9853800208433783</v>
      </c>
      <c r="X79">
        <f t="shared" si="15"/>
        <v>53.729900936064787</v>
      </c>
      <c r="Y79">
        <f t="shared" si="16"/>
        <v>1.9205842380956999</v>
      </c>
      <c r="Z79">
        <f t="shared" si="17"/>
        <v>3.5745166185604447</v>
      </c>
      <c r="AA79">
        <f t="shared" si="18"/>
        <v>2.0647957827476784</v>
      </c>
      <c r="AB79">
        <f t="shared" si="19"/>
        <v>-52.055515747702728</v>
      </c>
      <c r="AC79">
        <f t="shared" si="20"/>
        <v>-202.36243060329093</v>
      </c>
      <c r="AD79">
        <f t="shared" si="21"/>
        <v>-21.898528866055575</v>
      </c>
      <c r="AE79">
        <f t="shared" si="22"/>
        <v>-0.20317499035030551</v>
      </c>
      <c r="AF79">
        <v>37</v>
      </c>
      <c r="AG79">
        <v>12</v>
      </c>
      <c r="AH79">
        <f t="shared" si="23"/>
        <v>1</v>
      </c>
      <c r="AI79">
        <f t="shared" si="24"/>
        <v>0</v>
      </c>
      <c r="AJ79">
        <f t="shared" si="25"/>
        <v>52427.621819039829</v>
      </c>
      <c r="AK79">
        <f t="shared" si="26"/>
        <v>1799.99</v>
      </c>
      <c r="AL79">
        <f t="shared" si="27"/>
        <v>1499.10480739369</v>
      </c>
      <c r="AM79">
        <f t="shared" si="28"/>
        <v>0.83284063099999994</v>
      </c>
      <c r="AN79">
        <f t="shared" si="29"/>
        <v>0.15339713011</v>
      </c>
      <c r="AO79">
        <v>34.5</v>
      </c>
      <c r="AP79">
        <v>0.5</v>
      </c>
      <c r="AQ79" t="s">
        <v>331</v>
      </c>
      <c r="AR79">
        <v>2</v>
      </c>
      <c r="AS79">
        <v>1690213035.5999999</v>
      </c>
      <c r="AT79">
        <v>609.99400000000003</v>
      </c>
      <c r="AU79">
        <v>799.95</v>
      </c>
      <c r="AV79">
        <v>19.361699999999999</v>
      </c>
      <c r="AW79">
        <v>6.0580299999999996</v>
      </c>
      <c r="AX79">
        <v>610.37199999999996</v>
      </c>
      <c r="AY79">
        <v>19.179400000000001</v>
      </c>
      <c r="AZ79">
        <v>300.18200000000002</v>
      </c>
      <c r="BA79">
        <v>99.094999999999999</v>
      </c>
      <c r="BB79">
        <v>0.100021</v>
      </c>
      <c r="BC79">
        <v>26.977900000000002</v>
      </c>
      <c r="BD79">
        <v>26.982199999999999</v>
      </c>
      <c r="BE79">
        <v>28.868600000000001</v>
      </c>
      <c r="BF79">
        <v>0</v>
      </c>
      <c r="BG79">
        <v>0</v>
      </c>
      <c r="BH79">
        <v>10005</v>
      </c>
      <c r="BI79">
        <v>1075.7</v>
      </c>
      <c r="BJ79">
        <v>2.0744500000000001</v>
      </c>
      <c r="BK79">
        <v>-189.95599999999999</v>
      </c>
      <c r="BL79">
        <v>622.03800000000001</v>
      </c>
      <c r="BM79">
        <v>804.82500000000005</v>
      </c>
      <c r="BN79">
        <v>13.303699999999999</v>
      </c>
      <c r="BO79">
        <v>799.95</v>
      </c>
      <c r="BP79">
        <v>6.0580299999999996</v>
      </c>
      <c r="BQ79">
        <v>1.91865</v>
      </c>
      <c r="BR79">
        <v>0.60031999999999996</v>
      </c>
      <c r="BS79">
        <v>16.788499999999999</v>
      </c>
      <c r="BT79">
        <v>-0.30198599999999998</v>
      </c>
      <c r="BU79">
        <v>1799.99</v>
      </c>
      <c r="BV79">
        <v>0.91000999999999999</v>
      </c>
      <c r="BW79">
        <v>3.39992E-2</v>
      </c>
      <c r="BX79">
        <v>2.19968E-2</v>
      </c>
      <c r="BY79">
        <v>3.3994099999999999E-2</v>
      </c>
      <c r="BZ79">
        <v>26</v>
      </c>
      <c r="CA79">
        <v>33528.300000000003</v>
      </c>
      <c r="CB79">
        <v>1690211922</v>
      </c>
      <c r="CC79" t="s">
        <v>332</v>
      </c>
      <c r="CD79">
        <v>1690211915</v>
      </c>
      <c r="CE79">
        <v>1690211922</v>
      </c>
      <c r="CF79">
        <v>6</v>
      </c>
      <c r="CG79">
        <v>1.0999999999999999E-2</v>
      </c>
      <c r="CH79">
        <v>8.0000000000000002E-3</v>
      </c>
      <c r="CI79">
        <v>-0.51100000000000001</v>
      </c>
      <c r="CJ79">
        <v>-6.6000000000000003E-2</v>
      </c>
      <c r="CK79">
        <v>800</v>
      </c>
      <c r="CL79">
        <v>6</v>
      </c>
      <c r="CM79">
        <v>0.21</v>
      </c>
      <c r="CN79">
        <v>0.02</v>
      </c>
      <c r="CO79">
        <v>-185.504975</v>
      </c>
      <c r="CP79">
        <v>-24.30327579737288</v>
      </c>
      <c r="CQ79">
        <v>2.3380296136651042</v>
      </c>
      <c r="CR79">
        <v>-1</v>
      </c>
      <c r="CS79">
        <v>13.083045</v>
      </c>
      <c r="CT79">
        <v>1.1867617260787651</v>
      </c>
      <c r="CU79">
        <v>0.1141619353155858</v>
      </c>
      <c r="CV79">
        <v>-1</v>
      </c>
      <c r="CW79">
        <v>0</v>
      </c>
      <c r="CX79">
        <v>0</v>
      </c>
      <c r="CY79" t="s">
        <v>333</v>
      </c>
      <c r="CZ79">
        <v>2.3643000000000001</v>
      </c>
      <c r="DA79">
        <v>2.7138200000000001</v>
      </c>
      <c r="DB79">
        <v>0.121823</v>
      </c>
      <c r="DC79">
        <v>0.14602899999999999</v>
      </c>
      <c r="DD79">
        <v>9.7655199999999998E-2</v>
      </c>
      <c r="DE79">
        <v>3.97437E-2</v>
      </c>
      <c r="DF79">
        <v>32040.3</v>
      </c>
      <c r="DG79">
        <v>27486.1</v>
      </c>
      <c r="DH79">
        <v>31148.3</v>
      </c>
      <c r="DI79">
        <v>28046.9</v>
      </c>
      <c r="DJ79">
        <v>38159.9</v>
      </c>
      <c r="DK79">
        <v>38293.699999999997</v>
      </c>
      <c r="DL79">
        <v>44323</v>
      </c>
      <c r="DM79">
        <v>42502.6</v>
      </c>
      <c r="DN79">
        <v>1.37717</v>
      </c>
      <c r="DO79">
        <v>2.0320999999999998</v>
      </c>
      <c r="DP79">
        <v>7.7862299999999995E-2</v>
      </c>
      <c r="DQ79">
        <v>0.20169100000000001</v>
      </c>
      <c r="DR79">
        <v>25.707599999999999</v>
      </c>
      <c r="DS79">
        <v>25.571300000000001</v>
      </c>
      <c r="DT79">
        <v>18</v>
      </c>
      <c r="DU79">
        <v>29.6</v>
      </c>
      <c r="DV79">
        <v>7.5632099999999998</v>
      </c>
      <c r="DW79">
        <v>61.731200000000001</v>
      </c>
      <c r="DX79">
        <v>37.007199999999997</v>
      </c>
      <c r="DY79">
        <v>1</v>
      </c>
      <c r="DZ79">
        <v>-7.2383100000000006E-2</v>
      </c>
      <c r="EA79">
        <v>-0.148706</v>
      </c>
      <c r="EB79">
        <v>20.189699999999998</v>
      </c>
      <c r="EC79">
        <v>5.2404999999999999</v>
      </c>
      <c r="ED79">
        <v>12.039899999999999</v>
      </c>
      <c r="EE79">
        <v>5.0163000000000002</v>
      </c>
      <c r="EF79">
        <v>3.2879999999999998</v>
      </c>
      <c r="EG79">
        <v>9999</v>
      </c>
      <c r="EH79">
        <v>9999</v>
      </c>
      <c r="EI79">
        <v>9999</v>
      </c>
      <c r="EJ79">
        <v>999.9</v>
      </c>
      <c r="EK79">
        <v>1.8689100000000001</v>
      </c>
      <c r="EL79">
        <v>1.8646400000000001</v>
      </c>
      <c r="EM79">
        <v>1.8691899999999999</v>
      </c>
      <c r="EN79">
        <v>1.8672299999999999</v>
      </c>
      <c r="EO79">
        <v>1.8633999999999999</v>
      </c>
      <c r="EP79">
        <v>1.8645400000000001</v>
      </c>
      <c r="EQ79">
        <v>1.87015</v>
      </c>
      <c r="ER79">
        <v>1.8694500000000001</v>
      </c>
      <c r="ES79">
        <v>0</v>
      </c>
      <c r="ET79">
        <v>0</v>
      </c>
      <c r="EU79">
        <v>0</v>
      </c>
      <c r="EV79">
        <v>0</v>
      </c>
      <c r="EW79" t="s">
        <v>334</v>
      </c>
      <c r="EX79" t="s">
        <v>335</v>
      </c>
      <c r="EY79" t="s">
        <v>336</v>
      </c>
      <c r="EZ79" t="s">
        <v>336</v>
      </c>
      <c r="FA79" t="s">
        <v>336</v>
      </c>
      <c r="FB79" t="s">
        <v>336</v>
      </c>
      <c r="FC79">
        <v>0</v>
      </c>
      <c r="FD79">
        <v>100</v>
      </c>
      <c r="FE79">
        <v>100</v>
      </c>
      <c r="FF79">
        <v>-0.378</v>
      </c>
      <c r="FG79">
        <v>0.18229999999999999</v>
      </c>
      <c r="FH79">
        <v>4.0020685143421282E-2</v>
      </c>
      <c r="FI79">
        <v>-6.1462078757559423E-4</v>
      </c>
      <c r="FJ79">
        <v>-1.8861989874597051E-7</v>
      </c>
      <c r="FK79">
        <v>1.1980462299894961E-10</v>
      </c>
      <c r="FL79">
        <v>-3.1035565592992288E-2</v>
      </c>
      <c r="FM79">
        <v>-1.6848085045870601E-2</v>
      </c>
      <c r="FN79">
        <v>1.9789084769509481E-3</v>
      </c>
      <c r="FO79">
        <v>-2.7142391389806329E-5</v>
      </c>
      <c r="FP79">
        <v>3</v>
      </c>
      <c r="FQ79">
        <v>2158</v>
      </c>
      <c r="FR79">
        <v>1</v>
      </c>
      <c r="FS79">
        <v>19</v>
      </c>
      <c r="FT79">
        <v>18.7</v>
      </c>
      <c r="FU79">
        <v>18.600000000000001</v>
      </c>
      <c r="FV79">
        <v>1.77979</v>
      </c>
      <c r="FW79">
        <v>2.5769000000000002</v>
      </c>
      <c r="FX79">
        <v>1.5490699999999999</v>
      </c>
      <c r="FY79">
        <v>2.3290999999999999</v>
      </c>
      <c r="FZ79">
        <v>1.50146</v>
      </c>
      <c r="GA79">
        <v>2.4060100000000002</v>
      </c>
      <c r="GB79">
        <v>33.805700000000002</v>
      </c>
      <c r="GC79">
        <v>23.991199999999999</v>
      </c>
      <c r="GD79">
        <v>19</v>
      </c>
      <c r="GE79">
        <v>243.81700000000001</v>
      </c>
      <c r="GF79">
        <v>582.33100000000002</v>
      </c>
      <c r="GG79">
        <v>25.1585</v>
      </c>
      <c r="GH79">
        <v>26.477900000000002</v>
      </c>
      <c r="GI79">
        <v>30</v>
      </c>
      <c r="GJ79">
        <v>26.607199999999999</v>
      </c>
      <c r="GK79">
        <v>26.577999999999999</v>
      </c>
      <c r="GL79">
        <v>35.586500000000001</v>
      </c>
      <c r="GM79">
        <v>-30</v>
      </c>
      <c r="GN79">
        <v>-30</v>
      </c>
      <c r="GO79">
        <v>25.1691</v>
      </c>
      <c r="GP79">
        <v>800</v>
      </c>
      <c r="GQ79">
        <v>12.5298</v>
      </c>
      <c r="GR79">
        <v>99.656000000000006</v>
      </c>
      <c r="GS79">
        <v>99.434600000000003</v>
      </c>
    </row>
    <row r="80" spans="1:201" x14ac:dyDescent="0.25">
      <c r="A80">
        <v>64</v>
      </c>
      <c r="B80">
        <v>1690213045.5999999</v>
      </c>
      <c r="C80">
        <v>778.09999990463257</v>
      </c>
      <c r="D80" t="s">
        <v>459</v>
      </c>
      <c r="E80" t="s">
        <v>460</v>
      </c>
      <c r="F80" t="s">
        <v>330</v>
      </c>
      <c r="H80">
        <v>1690213045.5999999</v>
      </c>
      <c r="I80">
        <f t="shared" si="0"/>
        <v>1.1972000899088239E-3</v>
      </c>
      <c r="J80">
        <f t="shared" si="1"/>
        <v>1.197200089908824</v>
      </c>
      <c r="K80">
        <f t="shared" si="2"/>
        <v>16.141280706981366</v>
      </c>
      <c r="L80">
        <f t="shared" si="3"/>
        <v>606.13499999999999</v>
      </c>
      <c r="M80">
        <f t="shared" si="4"/>
        <v>136.3118595816249</v>
      </c>
      <c r="N80">
        <f t="shared" si="5"/>
        <v>13.52142719899823</v>
      </c>
      <c r="O80">
        <f t="shared" si="6"/>
        <v>60.125438097754511</v>
      </c>
      <c r="P80">
        <f t="shared" si="7"/>
        <v>5.7246387599916265E-2</v>
      </c>
      <c r="Q80">
        <f t="shared" si="8"/>
        <v>2.0133737622516152</v>
      </c>
      <c r="R80">
        <f t="shared" si="9"/>
        <v>5.6357270779819751E-2</v>
      </c>
      <c r="S80">
        <f t="shared" si="10"/>
        <v>3.5302027515574694E-2</v>
      </c>
      <c r="T80">
        <f t="shared" si="11"/>
        <v>276.11450035199999</v>
      </c>
      <c r="U80">
        <f t="shared" si="12"/>
        <v>28.83414157212297</v>
      </c>
      <c r="V80">
        <f t="shared" si="13"/>
        <v>28.83414157212297</v>
      </c>
      <c r="W80">
        <f t="shared" si="14"/>
        <v>3.9833350234311138</v>
      </c>
      <c r="X80">
        <f t="shared" si="15"/>
        <v>54.252590651356726</v>
      </c>
      <c r="Y80">
        <f t="shared" si="16"/>
        <v>1.9390400469322602</v>
      </c>
      <c r="Z80">
        <f t="shared" si="17"/>
        <v>3.5740966904108005</v>
      </c>
      <c r="AA80">
        <f t="shared" si="18"/>
        <v>2.0442949764988536</v>
      </c>
      <c r="AB80">
        <f t="shared" si="19"/>
        <v>-52.796523964979137</v>
      </c>
      <c r="AC80">
        <f t="shared" si="20"/>
        <v>-201.70284309820855</v>
      </c>
      <c r="AD80">
        <f t="shared" si="21"/>
        <v>-21.816810853062993</v>
      </c>
      <c r="AE80">
        <f t="shared" si="22"/>
        <v>-0.20167756425070138</v>
      </c>
      <c r="AF80">
        <v>37</v>
      </c>
      <c r="AG80">
        <v>12</v>
      </c>
      <c r="AH80">
        <f t="shared" si="23"/>
        <v>1</v>
      </c>
      <c r="AI80">
        <f t="shared" si="24"/>
        <v>0</v>
      </c>
      <c r="AJ80">
        <f t="shared" si="25"/>
        <v>52468.566122816752</v>
      </c>
      <c r="AK80">
        <f t="shared" si="26"/>
        <v>1800</v>
      </c>
      <c r="AL80">
        <f t="shared" si="27"/>
        <v>1499.1130242000002</v>
      </c>
      <c r="AM80">
        <f t="shared" si="28"/>
        <v>0.83284056900000003</v>
      </c>
      <c r="AN80">
        <f t="shared" si="29"/>
        <v>0.15339694464</v>
      </c>
      <c r="AO80">
        <v>34.5</v>
      </c>
      <c r="AP80">
        <v>0.5</v>
      </c>
      <c r="AQ80" t="s">
        <v>331</v>
      </c>
      <c r="AR80">
        <v>2</v>
      </c>
      <c r="AS80">
        <v>1690213045.5999999</v>
      </c>
      <c r="AT80">
        <v>606.13499999999999</v>
      </c>
      <c r="AU80">
        <v>800.00599999999997</v>
      </c>
      <c r="AV80">
        <v>19.547799999999999</v>
      </c>
      <c r="AW80">
        <v>6.0560099999999997</v>
      </c>
      <c r="AX80">
        <v>606.51</v>
      </c>
      <c r="AY80">
        <v>19.360199999999999</v>
      </c>
      <c r="AZ80">
        <v>300.15300000000002</v>
      </c>
      <c r="BA80">
        <v>99.094800000000006</v>
      </c>
      <c r="BB80">
        <v>9.9996699999999994E-2</v>
      </c>
      <c r="BC80">
        <v>26.975899999999999</v>
      </c>
      <c r="BD80">
        <v>26.972200000000001</v>
      </c>
      <c r="BE80">
        <v>28.883199999999999</v>
      </c>
      <c r="BF80">
        <v>0</v>
      </c>
      <c r="BG80">
        <v>0</v>
      </c>
      <c r="BH80">
        <v>10013.1</v>
      </c>
      <c r="BI80">
        <v>1075.73</v>
      </c>
      <c r="BJ80">
        <v>2.0744500000000001</v>
      </c>
      <c r="BK80">
        <v>-193.87200000000001</v>
      </c>
      <c r="BL80">
        <v>618.21900000000005</v>
      </c>
      <c r="BM80">
        <v>804.88099999999997</v>
      </c>
      <c r="BN80">
        <v>13.4918</v>
      </c>
      <c r="BO80">
        <v>800.00599999999997</v>
      </c>
      <c r="BP80">
        <v>6.0560099999999997</v>
      </c>
      <c r="BQ80">
        <v>1.9370799999999999</v>
      </c>
      <c r="BR80">
        <v>0.60011999999999999</v>
      </c>
      <c r="BS80">
        <v>16.9392</v>
      </c>
      <c r="BT80">
        <v>-0.30657800000000002</v>
      </c>
      <c r="BU80">
        <v>1800</v>
      </c>
      <c r="BV80">
        <v>0.91001399999999999</v>
      </c>
      <c r="BW80">
        <v>3.39975E-2</v>
      </c>
      <c r="BX80">
        <v>2.19957E-2</v>
      </c>
      <c r="BY80">
        <v>3.3992399999999999E-2</v>
      </c>
      <c r="BZ80">
        <v>26</v>
      </c>
      <c r="CA80">
        <v>33528.400000000001</v>
      </c>
      <c r="CB80">
        <v>1690211922</v>
      </c>
      <c r="CC80" t="s">
        <v>332</v>
      </c>
      <c r="CD80">
        <v>1690211915</v>
      </c>
      <c r="CE80">
        <v>1690211922</v>
      </c>
      <c r="CF80">
        <v>6</v>
      </c>
      <c r="CG80">
        <v>1.0999999999999999E-2</v>
      </c>
      <c r="CH80">
        <v>8.0000000000000002E-3</v>
      </c>
      <c r="CI80">
        <v>-0.51100000000000001</v>
      </c>
      <c r="CJ80">
        <v>-6.6000000000000003E-2</v>
      </c>
      <c r="CK80">
        <v>800</v>
      </c>
      <c r="CL80">
        <v>6</v>
      </c>
      <c r="CM80">
        <v>0.21</v>
      </c>
      <c r="CN80">
        <v>0.02</v>
      </c>
      <c r="CO80">
        <v>-189.57426829268289</v>
      </c>
      <c r="CP80">
        <v>-23.480989547038199</v>
      </c>
      <c r="CQ80">
        <v>2.3154513548765232</v>
      </c>
      <c r="CR80">
        <v>-1</v>
      </c>
      <c r="CS80">
        <v>13.28280731707317</v>
      </c>
      <c r="CT80">
        <v>1.1523491289198771</v>
      </c>
      <c r="CU80">
        <v>0.1136330752911273</v>
      </c>
      <c r="CV80">
        <v>-1</v>
      </c>
      <c r="CW80">
        <v>0</v>
      </c>
      <c r="CX80">
        <v>0</v>
      </c>
      <c r="CY80" t="s">
        <v>333</v>
      </c>
      <c r="CZ80">
        <v>2.3642099999999999</v>
      </c>
      <c r="DA80">
        <v>2.7138</v>
      </c>
      <c r="DB80">
        <v>0.121284</v>
      </c>
      <c r="DC80">
        <v>0.146036</v>
      </c>
      <c r="DD80">
        <v>9.8315100000000002E-2</v>
      </c>
      <c r="DE80">
        <v>3.9732999999999997E-2</v>
      </c>
      <c r="DF80">
        <v>32059.9</v>
      </c>
      <c r="DG80">
        <v>27486.2</v>
      </c>
      <c r="DH80">
        <v>31148.2</v>
      </c>
      <c r="DI80">
        <v>28047.200000000001</v>
      </c>
      <c r="DJ80">
        <v>38131.5</v>
      </c>
      <c r="DK80">
        <v>38294.5</v>
      </c>
      <c r="DL80">
        <v>44322.8</v>
      </c>
      <c r="DM80">
        <v>42503</v>
      </c>
      <c r="DN80">
        <v>1.3771500000000001</v>
      </c>
      <c r="DO80">
        <v>2.03233</v>
      </c>
      <c r="DP80">
        <v>7.7415300000000006E-2</v>
      </c>
      <c r="DQ80">
        <v>0.20278199999999999</v>
      </c>
      <c r="DR80">
        <v>25.704799999999999</v>
      </c>
      <c r="DS80">
        <v>25.568100000000001</v>
      </c>
      <c r="DT80">
        <v>18</v>
      </c>
      <c r="DU80">
        <v>29.6</v>
      </c>
      <c r="DV80">
        <v>7.5628099999999998</v>
      </c>
      <c r="DW80">
        <v>61.871200000000002</v>
      </c>
      <c r="DX80">
        <v>36.871000000000002</v>
      </c>
      <c r="DY80">
        <v>1</v>
      </c>
      <c r="DZ80">
        <v>-7.2561E-2</v>
      </c>
      <c r="EA80">
        <v>-0.16579199999999999</v>
      </c>
      <c r="EB80">
        <v>20.189800000000002</v>
      </c>
      <c r="EC80">
        <v>5.2403500000000003</v>
      </c>
      <c r="ED80">
        <v>12.039899999999999</v>
      </c>
      <c r="EE80">
        <v>5.0160999999999998</v>
      </c>
      <c r="EF80">
        <v>3.2879999999999998</v>
      </c>
      <c r="EG80">
        <v>9999</v>
      </c>
      <c r="EH80">
        <v>9999</v>
      </c>
      <c r="EI80">
        <v>9999</v>
      </c>
      <c r="EJ80">
        <v>999.9</v>
      </c>
      <c r="EK80">
        <v>1.8689100000000001</v>
      </c>
      <c r="EL80">
        <v>1.8646499999999999</v>
      </c>
      <c r="EM80">
        <v>1.8691899999999999</v>
      </c>
      <c r="EN80">
        <v>1.8672299999999999</v>
      </c>
      <c r="EO80">
        <v>1.8633999999999999</v>
      </c>
      <c r="EP80">
        <v>1.86456</v>
      </c>
      <c r="EQ80">
        <v>1.87018</v>
      </c>
      <c r="ER80">
        <v>1.8694500000000001</v>
      </c>
      <c r="ES80">
        <v>0</v>
      </c>
      <c r="ET80">
        <v>0</v>
      </c>
      <c r="EU80">
        <v>0</v>
      </c>
      <c r="EV80">
        <v>0</v>
      </c>
      <c r="EW80" t="s">
        <v>334</v>
      </c>
      <c r="EX80" t="s">
        <v>335</v>
      </c>
      <c r="EY80" t="s">
        <v>336</v>
      </c>
      <c r="EZ80" t="s">
        <v>336</v>
      </c>
      <c r="FA80" t="s">
        <v>336</v>
      </c>
      <c r="FB80" t="s">
        <v>336</v>
      </c>
      <c r="FC80">
        <v>0</v>
      </c>
      <c r="FD80">
        <v>100</v>
      </c>
      <c r="FE80">
        <v>100</v>
      </c>
      <c r="FF80">
        <v>-0.375</v>
      </c>
      <c r="FG80">
        <v>0.18759999999999999</v>
      </c>
      <c r="FH80">
        <v>4.0020685143421282E-2</v>
      </c>
      <c r="FI80">
        <v>-6.1462078757559423E-4</v>
      </c>
      <c r="FJ80">
        <v>-1.8861989874597051E-7</v>
      </c>
      <c r="FK80">
        <v>1.1980462299894961E-10</v>
      </c>
      <c r="FL80">
        <v>-3.1035565592992288E-2</v>
      </c>
      <c r="FM80">
        <v>-1.6848085045870601E-2</v>
      </c>
      <c r="FN80">
        <v>1.9789084769509481E-3</v>
      </c>
      <c r="FO80">
        <v>-2.7142391389806329E-5</v>
      </c>
      <c r="FP80">
        <v>3</v>
      </c>
      <c r="FQ80">
        <v>2158</v>
      </c>
      <c r="FR80">
        <v>1</v>
      </c>
      <c r="FS80">
        <v>19</v>
      </c>
      <c r="FT80">
        <v>18.8</v>
      </c>
      <c r="FU80">
        <v>18.7</v>
      </c>
      <c r="FV80">
        <v>1.77979</v>
      </c>
      <c r="FW80">
        <v>2.5732400000000002</v>
      </c>
      <c r="FX80">
        <v>1.5490699999999999</v>
      </c>
      <c r="FY80">
        <v>2.3290999999999999</v>
      </c>
      <c r="FZ80">
        <v>1.50146</v>
      </c>
      <c r="GA80">
        <v>2.3950200000000001</v>
      </c>
      <c r="GB80">
        <v>33.828299999999999</v>
      </c>
      <c r="GC80">
        <v>23.991199999999999</v>
      </c>
      <c r="GD80">
        <v>19</v>
      </c>
      <c r="GE80">
        <v>243.804</v>
      </c>
      <c r="GF80">
        <v>582.49900000000002</v>
      </c>
      <c r="GG80">
        <v>25.193300000000001</v>
      </c>
      <c r="GH80">
        <v>26.4757</v>
      </c>
      <c r="GI80">
        <v>29.9999</v>
      </c>
      <c r="GJ80">
        <v>26.606300000000001</v>
      </c>
      <c r="GK80">
        <v>26.5763</v>
      </c>
      <c r="GL80">
        <v>35.584600000000002</v>
      </c>
      <c r="GM80">
        <v>-30</v>
      </c>
      <c r="GN80">
        <v>-30</v>
      </c>
      <c r="GO80">
        <v>25.204999999999998</v>
      </c>
      <c r="GP80">
        <v>800</v>
      </c>
      <c r="GQ80">
        <v>12.5298</v>
      </c>
      <c r="GR80">
        <v>99.655600000000007</v>
      </c>
      <c r="GS80">
        <v>99.435699999999997</v>
      </c>
    </row>
    <row r="81" spans="1:201" x14ac:dyDescent="0.25">
      <c r="A81">
        <v>65</v>
      </c>
      <c r="B81">
        <v>1690213055.5999999</v>
      </c>
      <c r="C81">
        <v>788.09999990463257</v>
      </c>
      <c r="D81" t="s">
        <v>461</v>
      </c>
      <c r="E81" t="s">
        <v>462</v>
      </c>
      <c r="F81" t="s">
        <v>330</v>
      </c>
      <c r="H81">
        <v>1690213055.5999999</v>
      </c>
      <c r="I81">
        <f t="shared" ref="I81:I144" si="30">(J81)/1000</f>
        <v>1.2146827383047304E-3</v>
      </c>
      <c r="J81">
        <f t="shared" ref="J81:J144" si="31">1000*AZ81*AH81*(AV81-AW81)/(100*AO81*(1000-AH81*AV81))</f>
        <v>1.2146827383047305</v>
      </c>
      <c r="K81">
        <f t="shared" ref="K81:K144" si="32">AZ81*AH81*(AU81-AT81*(1000-AH81*AW81)/(1000-AH81*AV81))/(100*AO81)</f>
        <v>16.486315843266716</v>
      </c>
      <c r="L81">
        <f t="shared" ref="L81:L144" si="33">AT81 - IF(AH81&gt;1, K81*AO81*100/(AJ81*BH81), 0)</f>
        <v>602.1</v>
      </c>
      <c r="M81">
        <f t="shared" ref="M81:M144" si="34">((S81-I81/2)*L81-K81)/(S81+I81/2)</f>
        <v>133.78893928927405</v>
      </c>
      <c r="N81">
        <f t="shared" ref="N81:N144" si="35">M81*(BA81+BB81)/1000</f>
        <v>13.271350513026341</v>
      </c>
      <c r="O81">
        <f t="shared" ref="O81:O144" si="36">(AT81 - IF(AH81&gt;1, K81*AO81*100/(AJ81*BH81), 0))*(BA81+BB81)/1000</f>
        <v>59.72601461931</v>
      </c>
      <c r="P81">
        <f t="shared" ref="P81:P144" si="37">2/((1/R81-1/Q81)+SIGN(R81)*SQRT((1/R81-1/Q81)*(1/R81-1/Q81) + 4*AP81/((AP81+1)*(AP81+1))*(2*1/R81*1/Q81-1/Q81*1/Q81)))</f>
        <v>5.8653582284911354E-2</v>
      </c>
      <c r="Q81">
        <f t="shared" ref="Q81:Q144" si="38">IF(LEFT(AQ81,1)&lt;&gt;"0",IF(LEFT(AQ81,1)="1",3,AR81),$D$5+$E$5*(BH81*BA81/($K$5*1000))+$F$5*(BH81*BA81/($K$5*1000))*MAX(MIN(AO81,$J$5),$I$5)*MAX(MIN(AO81,$J$5),$I$5)+$G$5*MAX(MIN(AO81,$J$5),$I$5)*(BH81*BA81/($K$5*1000))+$H$5*(BH81*BA81/($K$5*1000))*(BH81*BA81/($K$5*1000)))</f>
        <v>2.014046773722761</v>
      </c>
      <c r="R81">
        <f t="shared" ref="R81:R144" si="39">I81*(1000-(1000*0.61365*EXP(17.502*V81/(240.97+V81))/(BA81+BB81)+AV81)/2)/(1000*0.61365*EXP(17.502*V81/(240.97+V81))/(BA81+BB81)-AV81)</f>
        <v>5.7720907267246518E-2</v>
      </c>
      <c r="S81">
        <f t="shared" ref="S81:S144" si="40">1/((AP81+1)/(P81/1.6)+1/(Q81/1.37)) + AP81/((AP81+1)/(P81/1.6) + AP81/(Q81/1.37))</f>
        <v>3.6158128773427271E-2</v>
      </c>
      <c r="T81">
        <f t="shared" ref="T81:T144" si="41">(AK81*AN81)</f>
        <v>276.1128473672149</v>
      </c>
      <c r="U81">
        <f t="shared" ref="U81:U144" si="42">(BC81+(T81+2*0.95*0.0000000567*(((BC81+$B$7)+273)^4-(BC81+273)^4)-44100*I81)/(1.84*29.3*Q81+8*0.95*0.0000000567*(BC81+273)^3))</f>
        <v>28.83274345362797</v>
      </c>
      <c r="V81">
        <f t="shared" ref="V81:V144" si="43">($C$7*BD81+$D$7*BE81+$E$7*U81)</f>
        <v>28.83274345362797</v>
      </c>
      <c r="W81">
        <f t="shared" ref="W81:W144" si="44">0.61365*EXP(17.502*V81/(240.97+V81))</f>
        <v>3.983012375481144</v>
      </c>
      <c r="X81">
        <f t="shared" ref="X81:X144" si="45">(Y81/Z81*100)</f>
        <v>54.765984069777559</v>
      </c>
      <c r="Y81">
        <f t="shared" ref="Y81:Y144" si="46">AV81*(BA81+BB81)/1000</f>
        <v>1.9580332213429001</v>
      </c>
      <c r="Z81">
        <f t="shared" ref="Z81:Z144" si="47">0.61365*EXP(17.502*BC81/(240.97+BC81))</f>
        <v>3.5752725977646311</v>
      </c>
      <c r="AA81">
        <f t="shared" ref="AA81:AA144" si="48">(W81-AV81*(BA81+BB81)/1000)</f>
        <v>2.0249791541382436</v>
      </c>
      <c r="AB81">
        <f t="shared" ref="AB81:AB144" si="49">(-I81*44100)</f>
        <v>-53.567508759238613</v>
      </c>
      <c r="AC81">
        <f t="shared" ref="AC81:AC144" si="50">2*29.3*Q81*0.92*(BC81-V81)</f>
        <v>-201.01040167870519</v>
      </c>
      <c r="AD81">
        <f t="shared" ref="AD81:AD144" si="51">2*0.95*0.0000000567*(((BC81+$B$7)+273)^4-(V81+273)^4)</f>
        <v>-21.735102670710408</v>
      </c>
      <c r="AE81">
        <f t="shared" ref="AE81:AE144" si="52">T81+AD81+AB81+AC81</f>
        <v>-0.20016574143932075</v>
      </c>
      <c r="AF81">
        <v>37</v>
      </c>
      <c r="AG81">
        <v>12</v>
      </c>
      <c r="AH81">
        <f t="shared" ref="AH81:AH144" si="53">IF(AF81*$H$13&gt;=AJ81,1,(AJ81/(AJ81-AF81*$H$13)))</f>
        <v>1</v>
      </c>
      <c r="AI81">
        <f t="shared" ref="AI81:AI144" si="54">(AH81-1)*100</f>
        <v>0</v>
      </c>
      <c r="AJ81">
        <f t="shared" ref="AJ81:AJ144" si="55">MAX(0,($B$13+$C$13*BH81)/(1+$D$13*BH81)*BA81/(BC81+273)*$E$13)</f>
        <v>52499.97711034547</v>
      </c>
      <c r="AK81">
        <f t="shared" ref="AK81:AK144" si="56">$B$11*BI81+$C$11*BJ81+$D$11*BU81</f>
        <v>1799.99</v>
      </c>
      <c r="AL81">
        <f t="shared" ref="AL81:AL144" si="57">AK81*AM81</f>
        <v>1499.1058351879801</v>
      </c>
      <c r="AM81">
        <f t="shared" ref="AM81:AM144" si="58">($B$11*$D$9+$C$11*$D$9+$D$11*(BV81*$E$9+BW81*$F$9+BX81*$G$9+BY81*$H$9))/($B$11+$C$11+$D$11)</f>
        <v>0.832841202</v>
      </c>
      <c r="AN81">
        <f t="shared" ref="AN81:AN144" si="59">($B$11*$K$9+$C$11*$K$9+$D$11*(BV81*$L$9+BW81*$M$9+BX81*$N$9+BY81*$O$9))/($B$11+$C$11+$D$11)</f>
        <v>0.15339687852000006</v>
      </c>
      <c r="AO81">
        <v>34.5</v>
      </c>
      <c r="AP81">
        <v>0.5</v>
      </c>
      <c r="AQ81" t="s">
        <v>331</v>
      </c>
      <c r="AR81">
        <v>2</v>
      </c>
      <c r="AS81">
        <v>1690213055.5999999</v>
      </c>
      <c r="AT81">
        <v>602.1</v>
      </c>
      <c r="AU81">
        <v>799.97400000000005</v>
      </c>
      <c r="AV81">
        <v>19.739000000000001</v>
      </c>
      <c r="AW81">
        <v>6.0548200000000003</v>
      </c>
      <c r="AX81">
        <v>602.47199999999998</v>
      </c>
      <c r="AY81">
        <v>19.545999999999999</v>
      </c>
      <c r="AZ81">
        <v>300.19600000000003</v>
      </c>
      <c r="BA81">
        <v>99.096199999999996</v>
      </c>
      <c r="BB81">
        <v>9.9971099999999993E-2</v>
      </c>
      <c r="BC81">
        <v>26.9815</v>
      </c>
      <c r="BD81">
        <v>26.9894</v>
      </c>
      <c r="BE81">
        <v>28.88</v>
      </c>
      <c r="BF81">
        <v>0</v>
      </c>
      <c r="BG81">
        <v>0</v>
      </c>
      <c r="BH81">
        <v>10019.4</v>
      </c>
      <c r="BI81">
        <v>1075.6300000000001</v>
      </c>
      <c r="BJ81">
        <v>2.0744500000000001</v>
      </c>
      <c r="BK81">
        <v>-197.875</v>
      </c>
      <c r="BL81">
        <v>614.22400000000005</v>
      </c>
      <c r="BM81">
        <v>804.84799999999996</v>
      </c>
      <c r="BN81">
        <v>13.684200000000001</v>
      </c>
      <c r="BO81">
        <v>799.97400000000005</v>
      </c>
      <c r="BP81">
        <v>6.0548200000000003</v>
      </c>
      <c r="BQ81">
        <v>1.9560599999999999</v>
      </c>
      <c r="BR81">
        <v>0.60001000000000004</v>
      </c>
      <c r="BS81">
        <v>17.0931</v>
      </c>
      <c r="BT81">
        <v>-0.30909999999999999</v>
      </c>
      <c r="BU81">
        <v>1799.99</v>
      </c>
      <c r="BV81">
        <v>0.91001900000000002</v>
      </c>
      <c r="BW81">
        <v>3.3995699999999997E-2</v>
      </c>
      <c r="BX81">
        <v>2.19946E-2</v>
      </c>
      <c r="BY81">
        <v>3.3990600000000003E-2</v>
      </c>
      <c r="BZ81">
        <v>26</v>
      </c>
      <c r="CA81">
        <v>33528.300000000003</v>
      </c>
      <c r="CB81">
        <v>1690211922</v>
      </c>
      <c r="CC81" t="s">
        <v>332</v>
      </c>
      <c r="CD81">
        <v>1690211915</v>
      </c>
      <c r="CE81">
        <v>1690211922</v>
      </c>
      <c r="CF81">
        <v>6</v>
      </c>
      <c r="CG81">
        <v>1.0999999999999999E-2</v>
      </c>
      <c r="CH81">
        <v>8.0000000000000002E-3</v>
      </c>
      <c r="CI81">
        <v>-0.51100000000000001</v>
      </c>
      <c r="CJ81">
        <v>-6.6000000000000003E-2</v>
      </c>
      <c r="CK81">
        <v>800</v>
      </c>
      <c r="CL81">
        <v>6</v>
      </c>
      <c r="CM81">
        <v>0.21</v>
      </c>
      <c r="CN81">
        <v>0.02</v>
      </c>
      <c r="CO81">
        <v>-193.49685365853659</v>
      </c>
      <c r="CP81">
        <v>-23.691156794425371</v>
      </c>
      <c r="CQ81">
        <v>2.3361181013515169</v>
      </c>
      <c r="CR81">
        <v>-1</v>
      </c>
      <c r="CS81">
        <v>13.47293902439025</v>
      </c>
      <c r="CT81">
        <v>1.131165156794451</v>
      </c>
      <c r="CU81">
        <v>0.11153865977067511</v>
      </c>
      <c r="CV81">
        <v>-1</v>
      </c>
      <c r="CW81">
        <v>0</v>
      </c>
      <c r="CX81">
        <v>0</v>
      </c>
      <c r="CY81" t="s">
        <v>333</v>
      </c>
      <c r="CZ81">
        <v>2.3643299999999998</v>
      </c>
      <c r="DA81">
        <v>2.7137799999999999</v>
      </c>
      <c r="DB81">
        <v>0.12071999999999999</v>
      </c>
      <c r="DC81">
        <v>0.146035</v>
      </c>
      <c r="DD81">
        <v>9.8992499999999997E-2</v>
      </c>
      <c r="DE81">
        <v>3.9727199999999997E-2</v>
      </c>
      <c r="DF81">
        <v>32080.6</v>
      </c>
      <c r="DG81">
        <v>27486.1</v>
      </c>
      <c r="DH81">
        <v>31148.3</v>
      </c>
      <c r="DI81">
        <v>28047</v>
      </c>
      <c r="DJ81">
        <v>38102.9</v>
      </c>
      <c r="DK81">
        <v>38294.699999999997</v>
      </c>
      <c r="DL81">
        <v>44323.199999999997</v>
      </c>
      <c r="DM81">
        <v>42503</v>
      </c>
      <c r="DN81">
        <v>1.37738</v>
      </c>
      <c r="DO81">
        <v>2.0318999999999998</v>
      </c>
      <c r="DP81">
        <v>7.85999E-2</v>
      </c>
      <c r="DQ81">
        <v>0.20264799999999999</v>
      </c>
      <c r="DR81">
        <v>25.7026</v>
      </c>
      <c r="DS81">
        <v>25.567</v>
      </c>
      <c r="DT81">
        <v>18</v>
      </c>
      <c r="DU81">
        <v>29.6</v>
      </c>
      <c r="DV81">
        <v>7.5631500000000003</v>
      </c>
      <c r="DW81">
        <v>61.921199999999999</v>
      </c>
      <c r="DX81">
        <v>36.526400000000002</v>
      </c>
      <c r="DY81">
        <v>1</v>
      </c>
      <c r="DZ81">
        <v>-7.2576199999999993E-2</v>
      </c>
      <c r="EA81">
        <v>-0.163633</v>
      </c>
      <c r="EB81">
        <v>20.189800000000002</v>
      </c>
      <c r="EC81">
        <v>5.2400500000000001</v>
      </c>
      <c r="ED81">
        <v>12.039899999999999</v>
      </c>
      <c r="EE81">
        <v>5.0160499999999999</v>
      </c>
      <c r="EF81">
        <v>3.2879999999999998</v>
      </c>
      <c r="EG81">
        <v>9999</v>
      </c>
      <c r="EH81">
        <v>9999</v>
      </c>
      <c r="EI81">
        <v>9999</v>
      </c>
      <c r="EJ81">
        <v>999.9</v>
      </c>
      <c r="EK81">
        <v>1.8689199999999999</v>
      </c>
      <c r="EL81">
        <v>1.86466</v>
      </c>
      <c r="EM81">
        <v>1.8691899999999999</v>
      </c>
      <c r="EN81">
        <v>1.8672500000000001</v>
      </c>
      <c r="EO81">
        <v>1.8633999999999999</v>
      </c>
      <c r="EP81">
        <v>1.86456</v>
      </c>
      <c r="EQ81">
        <v>1.87016</v>
      </c>
      <c r="ER81">
        <v>1.8694200000000001</v>
      </c>
      <c r="ES81">
        <v>0</v>
      </c>
      <c r="ET81">
        <v>0</v>
      </c>
      <c r="EU81">
        <v>0</v>
      </c>
      <c r="EV81">
        <v>0</v>
      </c>
      <c r="EW81" t="s">
        <v>334</v>
      </c>
      <c r="EX81" t="s">
        <v>335</v>
      </c>
      <c r="EY81" t="s">
        <v>336</v>
      </c>
      <c r="EZ81" t="s">
        <v>336</v>
      </c>
      <c r="FA81" t="s">
        <v>336</v>
      </c>
      <c r="FB81" t="s">
        <v>336</v>
      </c>
      <c r="FC81">
        <v>0</v>
      </c>
      <c r="FD81">
        <v>100</v>
      </c>
      <c r="FE81">
        <v>100</v>
      </c>
      <c r="FF81">
        <v>-0.372</v>
      </c>
      <c r="FG81">
        <v>0.193</v>
      </c>
      <c r="FH81">
        <v>4.0020685143421282E-2</v>
      </c>
      <c r="FI81">
        <v>-6.1462078757559423E-4</v>
      </c>
      <c r="FJ81">
        <v>-1.8861989874597051E-7</v>
      </c>
      <c r="FK81">
        <v>1.1980462299894961E-10</v>
      </c>
      <c r="FL81">
        <v>-3.1035565592992288E-2</v>
      </c>
      <c r="FM81">
        <v>-1.6848085045870601E-2</v>
      </c>
      <c r="FN81">
        <v>1.9789084769509481E-3</v>
      </c>
      <c r="FO81">
        <v>-2.7142391389806329E-5</v>
      </c>
      <c r="FP81">
        <v>3</v>
      </c>
      <c r="FQ81">
        <v>2158</v>
      </c>
      <c r="FR81">
        <v>1</v>
      </c>
      <c r="FS81">
        <v>19</v>
      </c>
      <c r="FT81">
        <v>19</v>
      </c>
      <c r="FU81">
        <v>18.899999999999999</v>
      </c>
      <c r="FV81">
        <v>1.77979</v>
      </c>
      <c r="FW81">
        <v>2.5756800000000002</v>
      </c>
      <c r="FX81">
        <v>1.5490699999999999</v>
      </c>
      <c r="FY81">
        <v>2.3290999999999999</v>
      </c>
      <c r="FZ81">
        <v>1.50146</v>
      </c>
      <c r="GA81">
        <v>2.3852500000000001</v>
      </c>
      <c r="GB81">
        <v>33.828299999999999</v>
      </c>
      <c r="GC81">
        <v>23.991199999999999</v>
      </c>
      <c r="GD81">
        <v>19</v>
      </c>
      <c r="GE81">
        <v>243.88200000000001</v>
      </c>
      <c r="GF81">
        <v>582.14200000000005</v>
      </c>
      <c r="GG81">
        <v>25.228999999999999</v>
      </c>
      <c r="GH81">
        <v>26.473400000000002</v>
      </c>
      <c r="GI81">
        <v>29.9999</v>
      </c>
      <c r="GJ81">
        <v>26.603999999999999</v>
      </c>
      <c r="GK81">
        <v>26.575800000000001</v>
      </c>
      <c r="GL81">
        <v>35.584499999999998</v>
      </c>
      <c r="GM81">
        <v>-30</v>
      </c>
      <c r="GN81">
        <v>-30</v>
      </c>
      <c r="GO81">
        <v>25.232199999999999</v>
      </c>
      <c r="GP81">
        <v>800</v>
      </c>
      <c r="GQ81">
        <v>12.5298</v>
      </c>
      <c r="GR81">
        <v>99.656400000000005</v>
      </c>
      <c r="GS81">
        <v>99.435500000000005</v>
      </c>
    </row>
    <row r="82" spans="1:201" x14ac:dyDescent="0.25">
      <c r="A82">
        <v>66</v>
      </c>
      <c r="B82">
        <v>1690213065.5999999</v>
      </c>
      <c r="C82">
        <v>798.09999990463257</v>
      </c>
      <c r="D82" t="s">
        <v>463</v>
      </c>
      <c r="E82" t="s">
        <v>464</v>
      </c>
      <c r="F82" t="s">
        <v>330</v>
      </c>
      <c r="H82">
        <v>1690213065.5999999</v>
      </c>
      <c r="I82">
        <f t="shared" si="30"/>
        <v>1.2315763106910379E-3</v>
      </c>
      <c r="J82">
        <f t="shared" si="31"/>
        <v>1.2315763106910378</v>
      </c>
      <c r="K82">
        <f t="shared" si="32"/>
        <v>16.810986365916875</v>
      </c>
      <c r="L82">
        <f t="shared" si="33"/>
        <v>598.24300000000005</v>
      </c>
      <c r="M82">
        <f t="shared" si="34"/>
        <v>131.66245806642036</v>
      </c>
      <c r="N82">
        <f t="shared" si="35"/>
        <v>13.060496495259958</v>
      </c>
      <c r="O82">
        <f t="shared" si="36"/>
        <v>59.343800196045002</v>
      </c>
      <c r="P82">
        <f t="shared" si="37"/>
        <v>6.0029159720929016E-2</v>
      </c>
      <c r="Q82">
        <f t="shared" si="38"/>
        <v>2.0109777496710661</v>
      </c>
      <c r="R82">
        <f t="shared" si="39"/>
        <v>5.9051152934546595E-2</v>
      </c>
      <c r="S82">
        <f t="shared" si="40"/>
        <v>3.6993513338525255E-2</v>
      </c>
      <c r="T82">
        <f t="shared" si="41"/>
        <v>276.11267802415557</v>
      </c>
      <c r="U82">
        <f t="shared" si="42"/>
        <v>28.83387905200264</v>
      </c>
      <c r="V82">
        <f t="shared" si="43"/>
        <v>28.83387905200264</v>
      </c>
      <c r="W82">
        <f t="shared" si="44"/>
        <v>3.9832744391466974</v>
      </c>
      <c r="X82">
        <f t="shared" si="45"/>
        <v>55.268758083916701</v>
      </c>
      <c r="Y82">
        <f t="shared" si="46"/>
        <v>1.9765659766454999</v>
      </c>
      <c r="Z82">
        <f t="shared" si="47"/>
        <v>3.576280787139098</v>
      </c>
      <c r="AA82">
        <f t="shared" si="48"/>
        <v>2.0067084625011975</v>
      </c>
      <c r="AB82">
        <f t="shared" si="49"/>
        <v>-54.312515301474768</v>
      </c>
      <c r="AC82">
        <f t="shared" si="50"/>
        <v>-200.3068209220647</v>
      </c>
      <c r="AD82">
        <f t="shared" si="51"/>
        <v>-21.692720644639802</v>
      </c>
      <c r="AE82">
        <f t="shared" si="52"/>
        <v>-0.19937884402369832</v>
      </c>
      <c r="AF82">
        <v>37</v>
      </c>
      <c r="AG82">
        <v>12</v>
      </c>
      <c r="AH82">
        <f t="shared" si="53"/>
        <v>1</v>
      </c>
      <c r="AI82">
        <f t="shared" si="54"/>
        <v>0</v>
      </c>
      <c r="AJ82">
        <f t="shared" si="55"/>
        <v>52351.710314744872</v>
      </c>
      <c r="AK82">
        <f t="shared" si="56"/>
        <v>1799.99</v>
      </c>
      <c r="AL82">
        <f t="shared" si="57"/>
        <v>1499.1070987809599</v>
      </c>
      <c r="AM82">
        <f t="shared" si="58"/>
        <v>0.83284190399999991</v>
      </c>
      <c r="AN82">
        <f t="shared" si="59"/>
        <v>0.15339678443999999</v>
      </c>
      <c r="AO82">
        <v>34.5</v>
      </c>
      <c r="AP82">
        <v>0.5</v>
      </c>
      <c r="AQ82" t="s">
        <v>331</v>
      </c>
      <c r="AR82">
        <v>2</v>
      </c>
      <c r="AS82">
        <v>1690213065.5999999</v>
      </c>
      <c r="AT82">
        <v>598.24300000000005</v>
      </c>
      <c r="AU82">
        <v>799.92200000000003</v>
      </c>
      <c r="AV82">
        <v>19.925699999999999</v>
      </c>
      <c r="AW82">
        <v>6.0530600000000003</v>
      </c>
      <c r="AX82">
        <v>598.61300000000006</v>
      </c>
      <c r="AY82">
        <v>19.727399999999999</v>
      </c>
      <c r="AZ82">
        <v>300.17899999999997</v>
      </c>
      <c r="BA82">
        <v>99.096800000000002</v>
      </c>
      <c r="BB82">
        <v>0.10001500000000001</v>
      </c>
      <c r="BC82">
        <v>26.9863</v>
      </c>
      <c r="BD82">
        <v>26.990500000000001</v>
      </c>
      <c r="BE82">
        <v>28.8977</v>
      </c>
      <c r="BF82">
        <v>0</v>
      </c>
      <c r="BG82">
        <v>0</v>
      </c>
      <c r="BH82">
        <v>9990</v>
      </c>
      <c r="BI82">
        <v>1075.72</v>
      </c>
      <c r="BJ82">
        <v>2.0744500000000001</v>
      </c>
      <c r="BK82">
        <v>-201.679</v>
      </c>
      <c r="BL82">
        <v>610.40599999999995</v>
      </c>
      <c r="BM82">
        <v>804.79300000000001</v>
      </c>
      <c r="BN82">
        <v>13.8727</v>
      </c>
      <c r="BO82">
        <v>799.92200000000003</v>
      </c>
      <c r="BP82">
        <v>6.0530600000000003</v>
      </c>
      <c r="BQ82">
        <v>1.9745699999999999</v>
      </c>
      <c r="BR82">
        <v>0.59983900000000001</v>
      </c>
      <c r="BS82">
        <v>17.241900000000001</v>
      </c>
      <c r="BT82">
        <v>-0.31301000000000001</v>
      </c>
      <c r="BU82">
        <v>1799.99</v>
      </c>
      <c r="BV82">
        <v>0.91002499999999997</v>
      </c>
      <c r="BW82">
        <v>3.3993599999999999E-2</v>
      </c>
      <c r="BX82">
        <v>2.1993200000000001E-2</v>
      </c>
      <c r="BY82">
        <v>3.3988400000000002E-2</v>
      </c>
      <c r="BZ82">
        <v>26</v>
      </c>
      <c r="CA82">
        <v>33528.5</v>
      </c>
      <c r="CB82">
        <v>1690211922</v>
      </c>
      <c r="CC82" t="s">
        <v>332</v>
      </c>
      <c r="CD82">
        <v>1690211915</v>
      </c>
      <c r="CE82">
        <v>1690211922</v>
      </c>
      <c r="CF82">
        <v>6</v>
      </c>
      <c r="CG82">
        <v>1.0999999999999999E-2</v>
      </c>
      <c r="CH82">
        <v>8.0000000000000002E-3</v>
      </c>
      <c r="CI82">
        <v>-0.51100000000000001</v>
      </c>
      <c r="CJ82">
        <v>-6.6000000000000003E-2</v>
      </c>
      <c r="CK82">
        <v>800</v>
      </c>
      <c r="CL82">
        <v>6</v>
      </c>
      <c r="CM82">
        <v>0.21</v>
      </c>
      <c r="CN82">
        <v>0.02</v>
      </c>
      <c r="CO82">
        <v>-197.37615</v>
      </c>
      <c r="CP82">
        <v>-24.07157223264517</v>
      </c>
      <c r="CQ82">
        <v>2.3157876905061912</v>
      </c>
      <c r="CR82">
        <v>-1</v>
      </c>
      <c r="CS82">
        <v>13.659084999999999</v>
      </c>
      <c r="CT82">
        <v>1.157513696060019</v>
      </c>
      <c r="CU82">
        <v>0.11135306585361709</v>
      </c>
      <c r="CV82">
        <v>-1</v>
      </c>
      <c r="CW82">
        <v>0</v>
      </c>
      <c r="CX82">
        <v>0</v>
      </c>
      <c r="CY82" t="s">
        <v>333</v>
      </c>
      <c r="CZ82">
        <v>2.36429</v>
      </c>
      <c r="DA82">
        <v>2.7138</v>
      </c>
      <c r="DB82">
        <v>0.12017899999999999</v>
      </c>
      <c r="DC82">
        <v>0.14602999999999999</v>
      </c>
      <c r="DD82">
        <v>9.96504E-2</v>
      </c>
      <c r="DE82">
        <v>3.9718299999999998E-2</v>
      </c>
      <c r="DF82">
        <v>32100.6</v>
      </c>
      <c r="DG82">
        <v>27486.9</v>
      </c>
      <c r="DH82">
        <v>31148.6</v>
      </c>
      <c r="DI82">
        <v>28047.7</v>
      </c>
      <c r="DJ82">
        <v>38075.199999999997</v>
      </c>
      <c r="DK82">
        <v>38295.800000000003</v>
      </c>
      <c r="DL82">
        <v>44323.7</v>
      </c>
      <c r="DM82">
        <v>42503.8</v>
      </c>
      <c r="DN82">
        <v>1.3771</v>
      </c>
      <c r="DO82">
        <v>2.0323699999999998</v>
      </c>
      <c r="DP82">
        <v>7.87601E-2</v>
      </c>
      <c r="DQ82">
        <v>0.203736</v>
      </c>
      <c r="DR82">
        <v>25.7011</v>
      </c>
      <c r="DS82">
        <v>25.567</v>
      </c>
      <c r="DT82">
        <v>18</v>
      </c>
      <c r="DU82">
        <v>29.6</v>
      </c>
      <c r="DV82">
        <v>7.5618999999999996</v>
      </c>
      <c r="DW82">
        <v>61.8812</v>
      </c>
      <c r="DX82">
        <v>36.137799999999999</v>
      </c>
      <c r="DY82">
        <v>1</v>
      </c>
      <c r="DZ82">
        <v>-7.2543200000000002E-2</v>
      </c>
      <c r="EA82">
        <v>-0.15982299999999999</v>
      </c>
      <c r="EB82">
        <v>20.189699999999998</v>
      </c>
      <c r="EC82">
        <v>5.2398999999999996</v>
      </c>
      <c r="ED82">
        <v>12.039899999999999</v>
      </c>
      <c r="EE82">
        <v>5.0166000000000004</v>
      </c>
      <c r="EF82">
        <v>3.2879999999999998</v>
      </c>
      <c r="EG82">
        <v>9999</v>
      </c>
      <c r="EH82">
        <v>9999</v>
      </c>
      <c r="EI82">
        <v>9999</v>
      </c>
      <c r="EJ82">
        <v>999.9</v>
      </c>
      <c r="EK82">
        <v>1.8689100000000001</v>
      </c>
      <c r="EL82">
        <v>1.86466</v>
      </c>
      <c r="EM82">
        <v>1.8692</v>
      </c>
      <c r="EN82">
        <v>1.86724</v>
      </c>
      <c r="EO82">
        <v>1.8634299999999999</v>
      </c>
      <c r="EP82">
        <v>1.86456</v>
      </c>
      <c r="EQ82">
        <v>1.8701700000000001</v>
      </c>
      <c r="ER82">
        <v>1.8694599999999999</v>
      </c>
      <c r="ES82">
        <v>0</v>
      </c>
      <c r="ET82">
        <v>0</v>
      </c>
      <c r="EU82">
        <v>0</v>
      </c>
      <c r="EV82">
        <v>0</v>
      </c>
      <c r="EW82" t="s">
        <v>334</v>
      </c>
      <c r="EX82" t="s">
        <v>335</v>
      </c>
      <c r="EY82" t="s">
        <v>336</v>
      </c>
      <c r="EZ82" t="s">
        <v>336</v>
      </c>
      <c r="FA82" t="s">
        <v>336</v>
      </c>
      <c r="FB82" t="s">
        <v>336</v>
      </c>
      <c r="FC82">
        <v>0</v>
      </c>
      <c r="FD82">
        <v>100</v>
      </c>
      <c r="FE82">
        <v>100</v>
      </c>
      <c r="FF82">
        <v>-0.37</v>
      </c>
      <c r="FG82">
        <v>0.1983</v>
      </c>
      <c r="FH82">
        <v>4.0020685143421282E-2</v>
      </c>
      <c r="FI82">
        <v>-6.1462078757559423E-4</v>
      </c>
      <c r="FJ82">
        <v>-1.8861989874597051E-7</v>
      </c>
      <c r="FK82">
        <v>1.1980462299894961E-10</v>
      </c>
      <c r="FL82">
        <v>-3.1035565592992288E-2</v>
      </c>
      <c r="FM82">
        <v>-1.6848085045870601E-2</v>
      </c>
      <c r="FN82">
        <v>1.9789084769509481E-3</v>
      </c>
      <c r="FO82">
        <v>-2.7142391389806329E-5</v>
      </c>
      <c r="FP82">
        <v>3</v>
      </c>
      <c r="FQ82">
        <v>2158</v>
      </c>
      <c r="FR82">
        <v>1</v>
      </c>
      <c r="FS82">
        <v>19</v>
      </c>
      <c r="FT82">
        <v>19.2</v>
      </c>
      <c r="FU82">
        <v>19.100000000000001</v>
      </c>
      <c r="FV82">
        <v>1.77979</v>
      </c>
      <c r="FW82">
        <v>2.5781200000000002</v>
      </c>
      <c r="FX82">
        <v>1.5490699999999999</v>
      </c>
      <c r="FY82">
        <v>2.3290999999999999</v>
      </c>
      <c r="FZ82">
        <v>1.50146</v>
      </c>
      <c r="GA82">
        <v>2.3596200000000001</v>
      </c>
      <c r="GB82">
        <v>33.828299999999999</v>
      </c>
      <c r="GC82">
        <v>23.982399999999998</v>
      </c>
      <c r="GD82">
        <v>19</v>
      </c>
      <c r="GE82">
        <v>243.77099999999999</v>
      </c>
      <c r="GF82">
        <v>582.50900000000001</v>
      </c>
      <c r="GG82">
        <v>25.246700000000001</v>
      </c>
      <c r="GH82">
        <v>26.4712</v>
      </c>
      <c r="GI82">
        <v>30.0002</v>
      </c>
      <c r="GJ82">
        <v>26.6022</v>
      </c>
      <c r="GK82">
        <v>26.573499999999999</v>
      </c>
      <c r="GL82">
        <v>35.5854</v>
      </c>
      <c r="GM82">
        <v>-30</v>
      </c>
      <c r="GN82">
        <v>-30</v>
      </c>
      <c r="GO82">
        <v>25.253799999999998</v>
      </c>
      <c r="GP82">
        <v>800</v>
      </c>
      <c r="GQ82">
        <v>12.5298</v>
      </c>
      <c r="GR82">
        <v>99.657300000000006</v>
      </c>
      <c r="GS82">
        <v>99.4375</v>
      </c>
    </row>
    <row r="83" spans="1:201" x14ac:dyDescent="0.25">
      <c r="A83">
        <v>67</v>
      </c>
      <c r="B83">
        <v>1690213075.5999999</v>
      </c>
      <c r="C83">
        <v>808.09999990463257</v>
      </c>
      <c r="D83" t="s">
        <v>465</v>
      </c>
      <c r="E83" t="s">
        <v>466</v>
      </c>
      <c r="F83" t="s">
        <v>330</v>
      </c>
      <c r="H83">
        <v>1690213075.5999999</v>
      </c>
      <c r="I83">
        <f t="shared" si="30"/>
        <v>1.2481935791774606E-3</v>
      </c>
      <c r="J83">
        <f t="shared" si="31"/>
        <v>1.2481935791774605</v>
      </c>
      <c r="K83">
        <f t="shared" si="32"/>
        <v>17.156397203353421</v>
      </c>
      <c r="L83">
        <f t="shared" si="33"/>
        <v>594.30100000000004</v>
      </c>
      <c r="M83">
        <f t="shared" si="34"/>
        <v>128.95638216122708</v>
      </c>
      <c r="N83">
        <f t="shared" si="35"/>
        <v>12.791931944935987</v>
      </c>
      <c r="O83">
        <f t="shared" si="36"/>
        <v>58.952165215853498</v>
      </c>
      <c r="P83">
        <f t="shared" si="37"/>
        <v>6.1419040816312831E-2</v>
      </c>
      <c r="Q83">
        <f t="shared" si="38"/>
        <v>2.0122769272701402</v>
      </c>
      <c r="R83">
        <f t="shared" si="39"/>
        <v>6.0396286383765242E-2</v>
      </c>
      <c r="S83">
        <f t="shared" si="40"/>
        <v>3.7838150778198375E-2</v>
      </c>
      <c r="T83">
        <f t="shared" si="41"/>
        <v>276.11414117999999</v>
      </c>
      <c r="U83">
        <f t="shared" si="42"/>
        <v>28.834000110112168</v>
      </c>
      <c r="V83">
        <f t="shared" si="43"/>
        <v>28.834000110112168</v>
      </c>
      <c r="W83">
        <f t="shared" si="44"/>
        <v>3.9833023767871336</v>
      </c>
      <c r="X83">
        <f t="shared" si="45"/>
        <v>55.761023150563425</v>
      </c>
      <c r="Y83">
        <f t="shared" si="46"/>
        <v>1.9950259999919997</v>
      </c>
      <c r="Z83">
        <f t="shared" si="47"/>
        <v>3.5778145508648929</v>
      </c>
      <c r="AA83">
        <f t="shared" si="48"/>
        <v>1.9882763767951339</v>
      </c>
      <c r="AB83">
        <f t="shared" si="49"/>
        <v>-55.045336841726012</v>
      </c>
      <c r="AC83">
        <f t="shared" si="50"/>
        <v>-199.65741390859341</v>
      </c>
      <c r="AD83">
        <f t="shared" si="51"/>
        <v>-21.609229329093772</v>
      </c>
      <c r="AE83">
        <f t="shared" si="52"/>
        <v>-0.19783889941322741</v>
      </c>
      <c r="AF83">
        <v>37</v>
      </c>
      <c r="AG83">
        <v>12</v>
      </c>
      <c r="AH83">
        <f t="shared" si="53"/>
        <v>1</v>
      </c>
      <c r="AI83">
        <f t="shared" si="54"/>
        <v>0</v>
      </c>
      <c r="AJ83">
        <f t="shared" si="55"/>
        <v>52412.790934735785</v>
      </c>
      <c r="AK83">
        <f t="shared" si="56"/>
        <v>1800</v>
      </c>
      <c r="AL83">
        <f t="shared" si="57"/>
        <v>1499.1161309999998</v>
      </c>
      <c r="AM83">
        <f t="shared" si="58"/>
        <v>0.83284229499999984</v>
      </c>
      <c r="AN83">
        <f t="shared" si="59"/>
        <v>0.15339674510000001</v>
      </c>
      <c r="AO83">
        <v>34.5</v>
      </c>
      <c r="AP83">
        <v>0.5</v>
      </c>
      <c r="AQ83" t="s">
        <v>331</v>
      </c>
      <c r="AR83">
        <v>2</v>
      </c>
      <c r="AS83">
        <v>1690213075.5999999</v>
      </c>
      <c r="AT83">
        <v>594.30100000000004</v>
      </c>
      <c r="AU83">
        <v>800.048</v>
      </c>
      <c r="AV83">
        <v>20.111999999999998</v>
      </c>
      <c r="AW83">
        <v>6.0520899999999997</v>
      </c>
      <c r="AX83">
        <v>594.66800000000001</v>
      </c>
      <c r="AY83">
        <v>19.908300000000001</v>
      </c>
      <c r="AZ83">
        <v>300.12</v>
      </c>
      <c r="BA83">
        <v>99.0959</v>
      </c>
      <c r="BB83">
        <v>9.9903500000000006E-2</v>
      </c>
      <c r="BC83">
        <v>26.993600000000001</v>
      </c>
      <c r="BD83">
        <v>26.992699999999999</v>
      </c>
      <c r="BE83">
        <v>28.889500000000002</v>
      </c>
      <c r="BF83">
        <v>0</v>
      </c>
      <c r="BG83">
        <v>0</v>
      </c>
      <c r="BH83">
        <v>10002.5</v>
      </c>
      <c r="BI83">
        <v>1075.72</v>
      </c>
      <c r="BJ83">
        <v>2.0744500000000001</v>
      </c>
      <c r="BK83">
        <v>-205.74799999999999</v>
      </c>
      <c r="BL83">
        <v>606.49900000000002</v>
      </c>
      <c r="BM83">
        <v>804.92</v>
      </c>
      <c r="BN83">
        <v>14.059900000000001</v>
      </c>
      <c r="BO83">
        <v>800.048</v>
      </c>
      <c r="BP83">
        <v>6.0520899999999997</v>
      </c>
      <c r="BQ83">
        <v>1.99302</v>
      </c>
      <c r="BR83">
        <v>0.59973699999999996</v>
      </c>
      <c r="BS83">
        <v>17.388999999999999</v>
      </c>
      <c r="BT83">
        <v>-0.31532900000000003</v>
      </c>
      <c r="BU83">
        <v>1800</v>
      </c>
      <c r="BV83">
        <v>0.91002799999999995</v>
      </c>
      <c r="BW83">
        <v>3.3992500000000002E-2</v>
      </c>
      <c r="BX83">
        <v>2.1992500000000002E-2</v>
      </c>
      <c r="BY83">
        <v>3.3987400000000001E-2</v>
      </c>
      <c r="BZ83">
        <v>26</v>
      </c>
      <c r="CA83">
        <v>33528.5</v>
      </c>
      <c r="CB83">
        <v>1690211922</v>
      </c>
      <c r="CC83" t="s">
        <v>332</v>
      </c>
      <c r="CD83">
        <v>1690211915</v>
      </c>
      <c r="CE83">
        <v>1690211922</v>
      </c>
      <c r="CF83">
        <v>6</v>
      </c>
      <c r="CG83">
        <v>1.0999999999999999E-2</v>
      </c>
      <c r="CH83">
        <v>8.0000000000000002E-3</v>
      </c>
      <c r="CI83">
        <v>-0.51100000000000001</v>
      </c>
      <c r="CJ83">
        <v>-6.6000000000000003E-2</v>
      </c>
      <c r="CK83">
        <v>800</v>
      </c>
      <c r="CL83">
        <v>6</v>
      </c>
      <c r="CM83">
        <v>0.21</v>
      </c>
      <c r="CN83">
        <v>0.02</v>
      </c>
      <c r="CO83">
        <v>-201.4193902439024</v>
      </c>
      <c r="CP83">
        <v>-23.498236933798331</v>
      </c>
      <c r="CQ83">
        <v>2.317650912054861</v>
      </c>
      <c r="CR83">
        <v>-1</v>
      </c>
      <c r="CS83">
        <v>13.854402439024391</v>
      </c>
      <c r="CT83">
        <v>1.129904529616711</v>
      </c>
      <c r="CU83">
        <v>0.1114193780225378</v>
      </c>
      <c r="CV83">
        <v>-1</v>
      </c>
      <c r="CW83">
        <v>0</v>
      </c>
      <c r="CX83">
        <v>0</v>
      </c>
      <c r="CY83" t="s">
        <v>333</v>
      </c>
      <c r="CZ83">
        <v>2.3641000000000001</v>
      </c>
      <c r="DA83">
        <v>2.7136999999999998</v>
      </c>
      <c r="DB83">
        <v>0.11962100000000001</v>
      </c>
      <c r="DC83">
        <v>0.14604400000000001</v>
      </c>
      <c r="DD83">
        <v>0.100303</v>
      </c>
      <c r="DE83">
        <v>3.9712699999999997E-2</v>
      </c>
      <c r="DF83">
        <v>32120.5</v>
      </c>
      <c r="DG83">
        <v>27486.3</v>
      </c>
      <c r="DH83">
        <v>31148.2</v>
      </c>
      <c r="DI83">
        <v>28047.599999999999</v>
      </c>
      <c r="DJ83">
        <v>38046.6</v>
      </c>
      <c r="DK83">
        <v>38295.9</v>
      </c>
      <c r="DL83">
        <v>44322.9</v>
      </c>
      <c r="DM83">
        <v>42503.6</v>
      </c>
      <c r="DN83">
        <v>1.3773</v>
      </c>
      <c r="DO83">
        <v>2.0325799999999998</v>
      </c>
      <c r="DP83">
        <v>7.8897900000000007E-2</v>
      </c>
      <c r="DQ83">
        <v>0.20322899999999999</v>
      </c>
      <c r="DR83">
        <v>25.7011</v>
      </c>
      <c r="DS83">
        <v>25.5671</v>
      </c>
      <c r="DT83">
        <v>18</v>
      </c>
      <c r="DU83">
        <v>29.6</v>
      </c>
      <c r="DV83">
        <v>7.5641100000000003</v>
      </c>
      <c r="DW83">
        <v>61.481200000000001</v>
      </c>
      <c r="DX83">
        <v>36.117800000000003</v>
      </c>
      <c r="DY83">
        <v>1</v>
      </c>
      <c r="DZ83">
        <v>-7.2962399999999997E-2</v>
      </c>
      <c r="EA83">
        <v>-0.143625</v>
      </c>
      <c r="EB83">
        <v>20.189699999999998</v>
      </c>
      <c r="EC83">
        <v>5.2401999999999997</v>
      </c>
      <c r="ED83">
        <v>12.039899999999999</v>
      </c>
      <c r="EE83">
        <v>5.0167999999999999</v>
      </c>
      <c r="EF83">
        <v>3.2879999999999998</v>
      </c>
      <c r="EG83">
        <v>9999</v>
      </c>
      <c r="EH83">
        <v>9999</v>
      </c>
      <c r="EI83">
        <v>9999</v>
      </c>
      <c r="EJ83">
        <v>999.9</v>
      </c>
      <c r="EK83">
        <v>1.8689</v>
      </c>
      <c r="EL83">
        <v>1.8646400000000001</v>
      </c>
      <c r="EM83">
        <v>1.8692</v>
      </c>
      <c r="EN83">
        <v>1.8672500000000001</v>
      </c>
      <c r="EO83">
        <v>1.86341</v>
      </c>
      <c r="EP83">
        <v>1.86456</v>
      </c>
      <c r="EQ83">
        <v>1.87015</v>
      </c>
      <c r="ER83">
        <v>1.8694200000000001</v>
      </c>
      <c r="ES83">
        <v>0</v>
      </c>
      <c r="ET83">
        <v>0</v>
      </c>
      <c r="EU83">
        <v>0</v>
      </c>
      <c r="EV83">
        <v>0</v>
      </c>
      <c r="EW83" t="s">
        <v>334</v>
      </c>
      <c r="EX83" t="s">
        <v>335</v>
      </c>
      <c r="EY83" t="s">
        <v>336</v>
      </c>
      <c r="EZ83" t="s">
        <v>336</v>
      </c>
      <c r="FA83" t="s">
        <v>336</v>
      </c>
      <c r="FB83" t="s">
        <v>336</v>
      </c>
      <c r="FC83">
        <v>0</v>
      </c>
      <c r="FD83">
        <v>100</v>
      </c>
      <c r="FE83">
        <v>100</v>
      </c>
      <c r="FF83">
        <v>-0.36699999999999999</v>
      </c>
      <c r="FG83">
        <v>0.20369999999999999</v>
      </c>
      <c r="FH83">
        <v>4.0020685143421282E-2</v>
      </c>
      <c r="FI83">
        <v>-6.1462078757559423E-4</v>
      </c>
      <c r="FJ83">
        <v>-1.8861989874597051E-7</v>
      </c>
      <c r="FK83">
        <v>1.1980462299894961E-10</v>
      </c>
      <c r="FL83">
        <v>-3.1035565592992288E-2</v>
      </c>
      <c r="FM83">
        <v>-1.6848085045870601E-2</v>
      </c>
      <c r="FN83">
        <v>1.9789084769509481E-3</v>
      </c>
      <c r="FO83">
        <v>-2.7142391389806329E-5</v>
      </c>
      <c r="FP83">
        <v>3</v>
      </c>
      <c r="FQ83">
        <v>2158</v>
      </c>
      <c r="FR83">
        <v>1</v>
      </c>
      <c r="FS83">
        <v>19</v>
      </c>
      <c r="FT83">
        <v>19.3</v>
      </c>
      <c r="FU83">
        <v>19.2</v>
      </c>
      <c r="FV83">
        <v>1.77979</v>
      </c>
      <c r="FW83">
        <v>2.5805699999999998</v>
      </c>
      <c r="FX83">
        <v>1.5490699999999999</v>
      </c>
      <c r="FY83">
        <v>2.3290999999999999</v>
      </c>
      <c r="FZ83">
        <v>1.50146</v>
      </c>
      <c r="GA83">
        <v>2.34009</v>
      </c>
      <c r="GB83">
        <v>33.828299999999999</v>
      </c>
      <c r="GC83">
        <v>23.982399999999998</v>
      </c>
      <c r="GD83">
        <v>19</v>
      </c>
      <c r="GE83">
        <v>243.845</v>
      </c>
      <c r="GF83">
        <v>582.67399999999998</v>
      </c>
      <c r="GG83">
        <v>25.264500000000002</v>
      </c>
      <c r="GH83">
        <v>26.469000000000001</v>
      </c>
      <c r="GI83">
        <v>30</v>
      </c>
      <c r="GJ83">
        <v>26.601800000000001</v>
      </c>
      <c r="GK83">
        <v>26.573499999999999</v>
      </c>
      <c r="GL83">
        <v>35.5824</v>
      </c>
      <c r="GM83">
        <v>-30</v>
      </c>
      <c r="GN83">
        <v>-30</v>
      </c>
      <c r="GO83">
        <v>25.263200000000001</v>
      </c>
      <c r="GP83">
        <v>800</v>
      </c>
      <c r="GQ83">
        <v>12.5298</v>
      </c>
      <c r="GR83">
        <v>99.655799999999999</v>
      </c>
      <c r="GS83">
        <v>99.436999999999998</v>
      </c>
    </row>
    <row r="84" spans="1:201" x14ac:dyDescent="0.25">
      <c r="A84">
        <v>68</v>
      </c>
      <c r="B84">
        <v>1690213085.5999999</v>
      </c>
      <c r="C84">
        <v>818.09999990463257</v>
      </c>
      <c r="D84" t="s">
        <v>467</v>
      </c>
      <c r="E84" t="s">
        <v>468</v>
      </c>
      <c r="F84" t="s">
        <v>330</v>
      </c>
      <c r="H84">
        <v>1690213085.5999999</v>
      </c>
      <c r="I84">
        <f t="shared" si="30"/>
        <v>1.2649931479976628E-3</v>
      </c>
      <c r="J84">
        <f t="shared" si="31"/>
        <v>1.2649931479976628</v>
      </c>
      <c r="K84">
        <f t="shared" si="32"/>
        <v>17.485739173843751</v>
      </c>
      <c r="L84">
        <f t="shared" si="33"/>
        <v>590.36</v>
      </c>
      <c r="M84">
        <f t="shared" si="34"/>
        <v>127.01347545969227</v>
      </c>
      <c r="N84">
        <f t="shared" si="35"/>
        <v>12.599605725798842</v>
      </c>
      <c r="O84">
        <f t="shared" si="36"/>
        <v>58.563102925588005</v>
      </c>
      <c r="P84">
        <f t="shared" si="37"/>
        <v>6.2866707584867954E-2</v>
      </c>
      <c r="Q84">
        <f t="shared" si="38"/>
        <v>2.0130313408831446</v>
      </c>
      <c r="R84">
        <f t="shared" si="39"/>
        <v>6.1796018886038181E-2</v>
      </c>
      <c r="S84">
        <f t="shared" si="40"/>
        <v>3.8717190027803994E-2</v>
      </c>
      <c r="T84">
        <f t="shared" si="41"/>
        <v>276.11421627600004</v>
      </c>
      <c r="U84">
        <f t="shared" si="42"/>
        <v>28.831005462599965</v>
      </c>
      <c r="V84">
        <f t="shared" si="43"/>
        <v>28.831005462599965</v>
      </c>
      <c r="W84">
        <f t="shared" si="44"/>
        <v>3.982611325913568</v>
      </c>
      <c r="X84">
        <f t="shared" si="45"/>
        <v>56.260127650118761</v>
      </c>
      <c r="Y84">
        <f t="shared" si="46"/>
        <v>2.0133323407199701</v>
      </c>
      <c r="Z84">
        <f t="shared" si="47"/>
        <v>3.5786131756416664</v>
      </c>
      <c r="AA84">
        <f t="shared" si="48"/>
        <v>1.9692789851935979</v>
      </c>
      <c r="AB84">
        <f t="shared" si="49"/>
        <v>-55.786197826696927</v>
      </c>
      <c r="AC84">
        <f t="shared" si="50"/>
        <v>-198.99486694037998</v>
      </c>
      <c r="AD84">
        <f t="shared" si="51"/>
        <v>-21.529534288827488</v>
      </c>
      <c r="AE84">
        <f t="shared" si="52"/>
        <v>-0.19638277990435427</v>
      </c>
      <c r="AF84">
        <v>36</v>
      </c>
      <c r="AG84">
        <v>12</v>
      </c>
      <c r="AH84">
        <f t="shared" si="53"/>
        <v>1</v>
      </c>
      <c r="AI84">
        <f t="shared" si="54"/>
        <v>0</v>
      </c>
      <c r="AJ84">
        <f t="shared" si="55"/>
        <v>52448.439612366281</v>
      </c>
      <c r="AK84">
        <f t="shared" si="56"/>
        <v>1800</v>
      </c>
      <c r="AL84">
        <f t="shared" si="57"/>
        <v>1499.1117425999998</v>
      </c>
      <c r="AM84">
        <f t="shared" si="58"/>
        <v>0.83283985699999996</v>
      </c>
      <c r="AN84">
        <f t="shared" si="59"/>
        <v>0.15339678682000002</v>
      </c>
      <c r="AO84">
        <v>34.5</v>
      </c>
      <c r="AP84">
        <v>0.5</v>
      </c>
      <c r="AQ84" t="s">
        <v>331</v>
      </c>
      <c r="AR84">
        <v>2</v>
      </c>
      <c r="AS84">
        <v>1690213085.5999999</v>
      </c>
      <c r="AT84">
        <v>590.36</v>
      </c>
      <c r="AU84">
        <v>799.94200000000001</v>
      </c>
      <c r="AV84">
        <v>20.2959</v>
      </c>
      <c r="AW84">
        <v>6.05</v>
      </c>
      <c r="AX84">
        <v>590.72400000000005</v>
      </c>
      <c r="AY84">
        <v>20.0869</v>
      </c>
      <c r="AZ84">
        <v>300.13200000000001</v>
      </c>
      <c r="BA84">
        <v>99.099000000000004</v>
      </c>
      <c r="BB84">
        <v>9.9968299999999996E-2</v>
      </c>
      <c r="BC84">
        <v>26.997399999999999</v>
      </c>
      <c r="BD84">
        <v>26.991900000000001</v>
      </c>
      <c r="BE84">
        <v>28.869800000000001</v>
      </c>
      <c r="BF84">
        <v>0</v>
      </c>
      <c r="BG84">
        <v>0</v>
      </c>
      <c r="BH84">
        <v>10009.4</v>
      </c>
      <c r="BI84">
        <v>1075.74</v>
      </c>
      <c r="BJ84">
        <v>1.8697999999999999</v>
      </c>
      <c r="BK84">
        <v>-209.58199999999999</v>
      </c>
      <c r="BL84">
        <v>602.59</v>
      </c>
      <c r="BM84">
        <v>804.81100000000004</v>
      </c>
      <c r="BN84">
        <v>14.245900000000001</v>
      </c>
      <c r="BO84">
        <v>799.94200000000001</v>
      </c>
      <c r="BP84">
        <v>6.05</v>
      </c>
      <c r="BQ84">
        <v>2.0112999999999999</v>
      </c>
      <c r="BR84">
        <v>0.599549</v>
      </c>
      <c r="BS84">
        <v>17.5336</v>
      </c>
      <c r="BT84">
        <v>-0.319635</v>
      </c>
      <c r="BU84">
        <v>1800</v>
      </c>
      <c r="BV84">
        <v>0.91000800000000004</v>
      </c>
      <c r="BW84">
        <v>3.40004E-2</v>
      </c>
      <c r="BX84">
        <v>2.19911E-2</v>
      </c>
      <c r="BY84">
        <v>3.4000799999999998E-2</v>
      </c>
      <c r="BZ84">
        <v>26</v>
      </c>
      <c r="CA84">
        <v>33528.5</v>
      </c>
      <c r="CB84">
        <v>1690211922</v>
      </c>
      <c r="CC84" t="s">
        <v>332</v>
      </c>
      <c r="CD84">
        <v>1690211915</v>
      </c>
      <c r="CE84">
        <v>1690211922</v>
      </c>
      <c r="CF84">
        <v>6</v>
      </c>
      <c r="CG84">
        <v>1.0999999999999999E-2</v>
      </c>
      <c r="CH84">
        <v>8.0000000000000002E-3</v>
      </c>
      <c r="CI84">
        <v>-0.51100000000000001</v>
      </c>
      <c r="CJ84">
        <v>-6.6000000000000003E-2</v>
      </c>
      <c r="CK84">
        <v>800</v>
      </c>
      <c r="CL84">
        <v>6</v>
      </c>
      <c r="CM84">
        <v>0.21</v>
      </c>
      <c r="CN84">
        <v>0.02</v>
      </c>
      <c r="CO84">
        <v>-205.3128536585366</v>
      </c>
      <c r="CP84">
        <v>-23.535804878049309</v>
      </c>
      <c r="CQ84">
        <v>2.3211633601359982</v>
      </c>
      <c r="CR84">
        <v>-1</v>
      </c>
      <c r="CS84">
        <v>14.041197560975609</v>
      </c>
      <c r="CT84">
        <v>1.120731010452982</v>
      </c>
      <c r="CU84">
        <v>0.11051645167852681</v>
      </c>
      <c r="CV84">
        <v>-1</v>
      </c>
      <c r="CW84">
        <v>0</v>
      </c>
      <c r="CX84">
        <v>0</v>
      </c>
      <c r="CY84" t="s">
        <v>333</v>
      </c>
      <c r="CZ84">
        <v>2.3641700000000001</v>
      </c>
      <c r="DA84">
        <v>2.7137699999999998</v>
      </c>
      <c r="DB84">
        <v>0.11906700000000001</v>
      </c>
      <c r="DC84">
        <v>0.146036</v>
      </c>
      <c r="DD84">
        <v>0.100948</v>
      </c>
      <c r="DE84">
        <v>3.9703000000000002E-2</v>
      </c>
      <c r="DF84">
        <v>32140.9</v>
      </c>
      <c r="DG84">
        <v>27486.799999999999</v>
      </c>
      <c r="DH84">
        <v>31148.3</v>
      </c>
      <c r="DI84">
        <v>28047.8</v>
      </c>
      <c r="DJ84">
        <v>38019.199999999997</v>
      </c>
      <c r="DK84">
        <v>38296.5</v>
      </c>
      <c r="DL84">
        <v>44323.1</v>
      </c>
      <c r="DM84">
        <v>42503.8</v>
      </c>
      <c r="DN84">
        <v>1.37767</v>
      </c>
      <c r="DO84">
        <v>2.0327999999999999</v>
      </c>
      <c r="DP84">
        <v>7.8845799999999994E-2</v>
      </c>
      <c r="DQ84">
        <v>0.20185500000000001</v>
      </c>
      <c r="DR84">
        <v>25.7011</v>
      </c>
      <c r="DS84">
        <v>25.569800000000001</v>
      </c>
      <c r="DT84">
        <v>18</v>
      </c>
      <c r="DU84">
        <v>29.7</v>
      </c>
      <c r="DV84">
        <v>7.6059900000000003</v>
      </c>
      <c r="DW84">
        <v>61.441200000000002</v>
      </c>
      <c r="DX84">
        <v>35.9495</v>
      </c>
      <c r="DY84">
        <v>1</v>
      </c>
      <c r="DZ84">
        <v>-7.2957300000000003E-2</v>
      </c>
      <c r="EA84">
        <v>-0.145123</v>
      </c>
      <c r="EB84">
        <v>20.189699999999998</v>
      </c>
      <c r="EC84">
        <v>5.2404999999999999</v>
      </c>
      <c r="ED84">
        <v>12.039899999999999</v>
      </c>
      <c r="EE84">
        <v>5.0167000000000002</v>
      </c>
      <c r="EF84">
        <v>3.2879999999999998</v>
      </c>
      <c r="EG84">
        <v>9999</v>
      </c>
      <c r="EH84">
        <v>9999</v>
      </c>
      <c r="EI84">
        <v>9999</v>
      </c>
      <c r="EJ84">
        <v>999.9</v>
      </c>
      <c r="EK84">
        <v>1.8689</v>
      </c>
      <c r="EL84">
        <v>1.86463</v>
      </c>
      <c r="EM84">
        <v>1.8692</v>
      </c>
      <c r="EN84">
        <v>1.8672299999999999</v>
      </c>
      <c r="EO84">
        <v>1.8633999999999999</v>
      </c>
      <c r="EP84">
        <v>1.8645400000000001</v>
      </c>
      <c r="EQ84">
        <v>1.8701399999999999</v>
      </c>
      <c r="ER84">
        <v>1.8694299999999999</v>
      </c>
      <c r="ES84">
        <v>0</v>
      </c>
      <c r="ET84">
        <v>0</v>
      </c>
      <c r="EU84">
        <v>0</v>
      </c>
      <c r="EV84">
        <v>0</v>
      </c>
      <c r="EW84" t="s">
        <v>334</v>
      </c>
      <c r="EX84" t="s">
        <v>335</v>
      </c>
      <c r="EY84" t="s">
        <v>336</v>
      </c>
      <c r="EZ84" t="s">
        <v>336</v>
      </c>
      <c r="FA84" t="s">
        <v>336</v>
      </c>
      <c r="FB84" t="s">
        <v>336</v>
      </c>
      <c r="FC84">
        <v>0</v>
      </c>
      <c r="FD84">
        <v>100</v>
      </c>
      <c r="FE84">
        <v>100</v>
      </c>
      <c r="FF84">
        <v>-0.36399999999999999</v>
      </c>
      <c r="FG84">
        <v>0.20899999999999999</v>
      </c>
      <c r="FH84">
        <v>4.0020685143421282E-2</v>
      </c>
      <c r="FI84">
        <v>-6.1462078757559423E-4</v>
      </c>
      <c r="FJ84">
        <v>-1.8861989874597051E-7</v>
      </c>
      <c r="FK84">
        <v>1.1980462299894961E-10</v>
      </c>
      <c r="FL84">
        <v>-3.1035565592992288E-2</v>
      </c>
      <c r="FM84">
        <v>-1.6848085045870601E-2</v>
      </c>
      <c r="FN84">
        <v>1.9789084769509481E-3</v>
      </c>
      <c r="FO84">
        <v>-2.7142391389806329E-5</v>
      </c>
      <c r="FP84">
        <v>3</v>
      </c>
      <c r="FQ84">
        <v>2158</v>
      </c>
      <c r="FR84">
        <v>1</v>
      </c>
      <c r="FS84">
        <v>19</v>
      </c>
      <c r="FT84">
        <v>19.5</v>
      </c>
      <c r="FU84">
        <v>19.399999999999999</v>
      </c>
      <c r="FV84">
        <v>1.77979</v>
      </c>
      <c r="FW84">
        <v>2.5830099999999998</v>
      </c>
      <c r="FX84">
        <v>1.5490699999999999</v>
      </c>
      <c r="FY84">
        <v>2.3290999999999999</v>
      </c>
      <c r="FZ84">
        <v>1.50146</v>
      </c>
      <c r="GA84">
        <v>2.3315399999999999</v>
      </c>
      <c r="GB84">
        <v>33.828299999999999</v>
      </c>
      <c r="GC84">
        <v>23.982399999999998</v>
      </c>
      <c r="GD84">
        <v>19</v>
      </c>
      <c r="GE84">
        <v>243.98099999999999</v>
      </c>
      <c r="GF84">
        <v>582.83500000000004</v>
      </c>
      <c r="GG84">
        <v>25.271799999999999</v>
      </c>
      <c r="GH84">
        <v>26.4666</v>
      </c>
      <c r="GI84">
        <v>30.0001</v>
      </c>
      <c r="GJ84">
        <v>26.599599999999999</v>
      </c>
      <c r="GK84">
        <v>26.571300000000001</v>
      </c>
      <c r="GL84">
        <v>35.582999999999998</v>
      </c>
      <c r="GM84">
        <v>-30</v>
      </c>
      <c r="GN84">
        <v>-30</v>
      </c>
      <c r="GO84">
        <v>25.2742</v>
      </c>
      <c r="GP84">
        <v>800</v>
      </c>
      <c r="GQ84">
        <v>12.5298</v>
      </c>
      <c r="GR84">
        <v>99.656199999999998</v>
      </c>
      <c r="GS84">
        <v>99.437600000000003</v>
      </c>
    </row>
    <row r="85" spans="1:201" x14ac:dyDescent="0.25">
      <c r="A85">
        <v>69</v>
      </c>
      <c r="B85">
        <v>1690213095.5999999</v>
      </c>
      <c r="C85">
        <v>828.09999990463257</v>
      </c>
      <c r="D85" t="s">
        <v>469</v>
      </c>
      <c r="E85" t="s">
        <v>470</v>
      </c>
      <c r="F85" t="s">
        <v>330</v>
      </c>
      <c r="H85">
        <v>1690213095.5999999</v>
      </c>
      <c r="I85">
        <f t="shared" si="30"/>
        <v>1.2819956936582625E-3</v>
      </c>
      <c r="J85">
        <f t="shared" si="31"/>
        <v>1.2819956936582626</v>
      </c>
      <c r="K85">
        <f t="shared" si="32"/>
        <v>17.823531497138418</v>
      </c>
      <c r="L85">
        <f t="shared" si="33"/>
        <v>586.44399999999996</v>
      </c>
      <c r="M85">
        <f t="shared" si="34"/>
        <v>125.09049043257838</v>
      </c>
      <c r="N85">
        <f t="shared" si="35"/>
        <v>12.408585605529634</v>
      </c>
      <c r="O85">
        <f t="shared" si="36"/>
        <v>58.173411517411594</v>
      </c>
      <c r="P85">
        <f t="shared" si="37"/>
        <v>6.4359075369727875E-2</v>
      </c>
      <c r="Q85">
        <f t="shared" si="38"/>
        <v>2.0102577930562813</v>
      </c>
      <c r="R85">
        <f t="shared" si="39"/>
        <v>6.3235920450500929E-2</v>
      </c>
      <c r="S85">
        <f t="shared" si="40"/>
        <v>3.9621728662235317E-2</v>
      </c>
      <c r="T85">
        <f t="shared" si="41"/>
        <v>276.1125946306189</v>
      </c>
      <c r="U85">
        <f t="shared" si="42"/>
        <v>28.827927087096477</v>
      </c>
      <c r="V85">
        <f t="shared" si="43"/>
        <v>28.827927087096477</v>
      </c>
      <c r="W85">
        <f t="shared" si="44"/>
        <v>3.981901062777617</v>
      </c>
      <c r="X85">
        <f t="shared" si="45"/>
        <v>56.773736361051022</v>
      </c>
      <c r="Y85">
        <f t="shared" si="46"/>
        <v>2.0318198090315303</v>
      </c>
      <c r="Z85">
        <f t="shared" si="47"/>
        <v>3.5788023464057885</v>
      </c>
      <c r="AA85">
        <f t="shared" si="48"/>
        <v>1.9500812537460868</v>
      </c>
      <c r="AB85">
        <f t="shared" si="49"/>
        <v>-56.536010090329377</v>
      </c>
      <c r="AC85">
        <f t="shared" si="50"/>
        <v>-198.28952800631839</v>
      </c>
      <c r="AD85">
        <f t="shared" si="51"/>
        <v>-21.482587498463257</v>
      </c>
      <c r="AE85">
        <f t="shared" si="52"/>
        <v>-0.19553096449212148</v>
      </c>
      <c r="AF85">
        <v>36</v>
      </c>
      <c r="AG85">
        <v>12</v>
      </c>
      <c r="AH85">
        <f t="shared" si="53"/>
        <v>1</v>
      </c>
      <c r="AI85">
        <f t="shared" si="54"/>
        <v>0</v>
      </c>
      <c r="AJ85">
        <f t="shared" si="55"/>
        <v>52315.07784499033</v>
      </c>
      <c r="AK85">
        <f t="shared" si="56"/>
        <v>1799.99</v>
      </c>
      <c r="AL85">
        <f t="shared" si="57"/>
        <v>1499.0988494267897</v>
      </c>
      <c r="AM85">
        <f t="shared" si="58"/>
        <v>0.83283732099999985</v>
      </c>
      <c r="AN85">
        <f t="shared" si="59"/>
        <v>0.15339673810999999</v>
      </c>
      <c r="AO85">
        <v>34.5</v>
      </c>
      <c r="AP85">
        <v>0.5</v>
      </c>
      <c r="AQ85" t="s">
        <v>331</v>
      </c>
      <c r="AR85">
        <v>2</v>
      </c>
      <c r="AS85">
        <v>1690213095.5999999</v>
      </c>
      <c r="AT85">
        <v>586.44399999999996</v>
      </c>
      <c r="AU85">
        <v>799.96799999999996</v>
      </c>
      <c r="AV85">
        <v>20.482700000000001</v>
      </c>
      <c r="AW85">
        <v>6.0479799999999999</v>
      </c>
      <c r="AX85">
        <v>586.80499999999995</v>
      </c>
      <c r="AY85">
        <v>20.2683</v>
      </c>
      <c r="AZ85">
        <v>300.13</v>
      </c>
      <c r="BA85">
        <v>99.096900000000005</v>
      </c>
      <c r="BB85">
        <v>9.9973900000000004E-2</v>
      </c>
      <c r="BC85">
        <v>26.9983</v>
      </c>
      <c r="BD85">
        <v>26.988600000000002</v>
      </c>
      <c r="BE85">
        <v>28.8565</v>
      </c>
      <c r="BF85">
        <v>0</v>
      </c>
      <c r="BG85">
        <v>0</v>
      </c>
      <c r="BH85">
        <v>9983.1200000000008</v>
      </c>
      <c r="BI85">
        <v>1075.8599999999999</v>
      </c>
      <c r="BJ85">
        <v>2.0744500000000001</v>
      </c>
      <c r="BK85">
        <v>-213.52500000000001</v>
      </c>
      <c r="BL85">
        <v>598.70699999999999</v>
      </c>
      <c r="BM85">
        <v>804.83600000000001</v>
      </c>
      <c r="BN85">
        <v>14.434699999999999</v>
      </c>
      <c r="BO85">
        <v>799.96799999999996</v>
      </c>
      <c r="BP85">
        <v>6.0479799999999999</v>
      </c>
      <c r="BQ85">
        <v>2.0297700000000001</v>
      </c>
      <c r="BR85">
        <v>0.59933700000000001</v>
      </c>
      <c r="BS85">
        <v>17.6785</v>
      </c>
      <c r="BT85">
        <v>-0.32450699999999999</v>
      </c>
      <c r="BU85">
        <v>1799.99</v>
      </c>
      <c r="BV85">
        <v>0.90999099999999999</v>
      </c>
      <c r="BW85">
        <v>3.4008400000000001E-2</v>
      </c>
      <c r="BX85">
        <v>2.19898E-2</v>
      </c>
      <c r="BY85">
        <v>3.4010499999999999E-2</v>
      </c>
      <c r="BZ85">
        <v>26</v>
      </c>
      <c r="CA85">
        <v>33528.300000000003</v>
      </c>
      <c r="CB85">
        <v>1690211922</v>
      </c>
      <c r="CC85" t="s">
        <v>332</v>
      </c>
      <c r="CD85">
        <v>1690211915</v>
      </c>
      <c r="CE85">
        <v>1690211922</v>
      </c>
      <c r="CF85">
        <v>6</v>
      </c>
      <c r="CG85">
        <v>1.0999999999999999E-2</v>
      </c>
      <c r="CH85">
        <v>8.0000000000000002E-3</v>
      </c>
      <c r="CI85">
        <v>-0.51100000000000001</v>
      </c>
      <c r="CJ85">
        <v>-6.6000000000000003E-2</v>
      </c>
      <c r="CK85">
        <v>800</v>
      </c>
      <c r="CL85">
        <v>6</v>
      </c>
      <c r="CM85">
        <v>0.21</v>
      </c>
      <c r="CN85">
        <v>0.02</v>
      </c>
      <c r="CO85">
        <v>-209.159775</v>
      </c>
      <c r="CP85">
        <v>-23.743238273920699</v>
      </c>
      <c r="CQ85">
        <v>2.284497543087975</v>
      </c>
      <c r="CR85">
        <v>-1</v>
      </c>
      <c r="CS85">
        <v>14.224534999999999</v>
      </c>
      <c r="CT85">
        <v>1.137899437148193</v>
      </c>
      <c r="CU85">
        <v>0.1094697390834562</v>
      </c>
      <c r="CV85">
        <v>-1</v>
      </c>
      <c r="CW85">
        <v>0</v>
      </c>
      <c r="CX85">
        <v>0</v>
      </c>
      <c r="CY85" t="s">
        <v>333</v>
      </c>
      <c r="CZ85">
        <v>2.36415</v>
      </c>
      <c r="DA85">
        <v>2.7137500000000001</v>
      </c>
      <c r="DB85">
        <v>0.118509</v>
      </c>
      <c r="DC85">
        <v>0.146037</v>
      </c>
      <c r="DD85">
        <v>0.10159700000000001</v>
      </c>
      <c r="DE85">
        <v>3.96916E-2</v>
      </c>
      <c r="DF85">
        <v>32161.599999999999</v>
      </c>
      <c r="DG85">
        <v>27486.7</v>
      </c>
      <c r="DH85">
        <v>31148.6</v>
      </c>
      <c r="DI85">
        <v>28047.7</v>
      </c>
      <c r="DJ85">
        <v>37992</v>
      </c>
      <c r="DK85">
        <v>38296.9</v>
      </c>
      <c r="DL85">
        <v>44323.7</v>
      </c>
      <c r="DM85">
        <v>42503.9</v>
      </c>
      <c r="DN85">
        <v>1.3777699999999999</v>
      </c>
      <c r="DO85">
        <v>2.0321799999999999</v>
      </c>
      <c r="DP85">
        <v>7.8648300000000004E-2</v>
      </c>
      <c r="DQ85">
        <v>0.20094600000000001</v>
      </c>
      <c r="DR85">
        <v>25.7011</v>
      </c>
      <c r="DS85">
        <v>25.571400000000001</v>
      </c>
      <c r="DT85">
        <v>18</v>
      </c>
      <c r="DU85">
        <v>29.7</v>
      </c>
      <c r="DV85">
        <v>7.6054700000000004</v>
      </c>
      <c r="DW85">
        <v>62.121200000000002</v>
      </c>
      <c r="DX85">
        <v>36.057699999999997</v>
      </c>
      <c r="DY85">
        <v>1</v>
      </c>
      <c r="DZ85">
        <v>-7.3173299999999997E-2</v>
      </c>
      <c r="EA85">
        <v>-0.17427799999999999</v>
      </c>
      <c r="EB85">
        <v>20.189699999999998</v>
      </c>
      <c r="EC85">
        <v>5.2403500000000003</v>
      </c>
      <c r="ED85">
        <v>12.039899999999999</v>
      </c>
      <c r="EE85">
        <v>5.0167000000000002</v>
      </c>
      <c r="EF85">
        <v>3.2879999999999998</v>
      </c>
      <c r="EG85">
        <v>9999</v>
      </c>
      <c r="EH85">
        <v>9999</v>
      </c>
      <c r="EI85">
        <v>9999</v>
      </c>
      <c r="EJ85">
        <v>999.9</v>
      </c>
      <c r="EK85">
        <v>1.8689100000000001</v>
      </c>
      <c r="EL85">
        <v>1.8646799999999999</v>
      </c>
      <c r="EM85">
        <v>1.8691899999999999</v>
      </c>
      <c r="EN85">
        <v>1.8672500000000001</v>
      </c>
      <c r="EO85">
        <v>1.86341</v>
      </c>
      <c r="EP85">
        <v>1.86453</v>
      </c>
      <c r="EQ85">
        <v>1.8701700000000001</v>
      </c>
      <c r="ER85">
        <v>1.8694599999999999</v>
      </c>
      <c r="ES85">
        <v>0</v>
      </c>
      <c r="ET85">
        <v>0</v>
      </c>
      <c r="EU85">
        <v>0</v>
      </c>
      <c r="EV85">
        <v>0</v>
      </c>
      <c r="EW85" t="s">
        <v>334</v>
      </c>
      <c r="EX85" t="s">
        <v>335</v>
      </c>
      <c r="EY85" t="s">
        <v>336</v>
      </c>
      <c r="EZ85" t="s">
        <v>336</v>
      </c>
      <c r="FA85" t="s">
        <v>336</v>
      </c>
      <c r="FB85" t="s">
        <v>336</v>
      </c>
      <c r="FC85">
        <v>0</v>
      </c>
      <c r="FD85">
        <v>100</v>
      </c>
      <c r="FE85">
        <v>100</v>
      </c>
      <c r="FF85">
        <v>-0.36099999999999999</v>
      </c>
      <c r="FG85">
        <v>0.21440000000000001</v>
      </c>
      <c r="FH85">
        <v>4.0020685143421282E-2</v>
      </c>
      <c r="FI85">
        <v>-6.1462078757559423E-4</v>
      </c>
      <c r="FJ85">
        <v>-1.8861989874597051E-7</v>
      </c>
      <c r="FK85">
        <v>1.1980462299894961E-10</v>
      </c>
      <c r="FL85">
        <v>-3.1035565592992288E-2</v>
      </c>
      <c r="FM85">
        <v>-1.6848085045870601E-2</v>
      </c>
      <c r="FN85">
        <v>1.9789084769509481E-3</v>
      </c>
      <c r="FO85">
        <v>-2.7142391389806329E-5</v>
      </c>
      <c r="FP85">
        <v>3</v>
      </c>
      <c r="FQ85">
        <v>2158</v>
      </c>
      <c r="FR85">
        <v>1</v>
      </c>
      <c r="FS85">
        <v>19</v>
      </c>
      <c r="FT85">
        <v>19.7</v>
      </c>
      <c r="FU85">
        <v>19.600000000000001</v>
      </c>
      <c r="FV85">
        <v>1.77979</v>
      </c>
      <c r="FW85">
        <v>2.5854499999999998</v>
      </c>
      <c r="FX85">
        <v>1.5490699999999999</v>
      </c>
      <c r="FY85">
        <v>2.3290999999999999</v>
      </c>
      <c r="FZ85">
        <v>1.50146</v>
      </c>
      <c r="GA85">
        <v>2.2827099999999998</v>
      </c>
      <c r="GB85">
        <v>33.828299999999999</v>
      </c>
      <c r="GC85">
        <v>23.982399999999998</v>
      </c>
      <c r="GD85">
        <v>19</v>
      </c>
      <c r="GE85">
        <v>244.01300000000001</v>
      </c>
      <c r="GF85">
        <v>582.29300000000001</v>
      </c>
      <c r="GG85">
        <v>25.282800000000002</v>
      </c>
      <c r="GH85">
        <v>26.463799999999999</v>
      </c>
      <c r="GI85">
        <v>30</v>
      </c>
      <c r="GJ85">
        <v>26.5977</v>
      </c>
      <c r="GK85">
        <v>26.569099999999999</v>
      </c>
      <c r="GL85">
        <v>35.584099999999999</v>
      </c>
      <c r="GM85">
        <v>-30</v>
      </c>
      <c r="GN85">
        <v>-30</v>
      </c>
      <c r="GO85">
        <v>25.292000000000002</v>
      </c>
      <c r="GP85">
        <v>800</v>
      </c>
      <c r="GQ85">
        <v>12.5298</v>
      </c>
      <c r="GR85">
        <v>99.657399999999996</v>
      </c>
      <c r="GS85">
        <v>99.437700000000007</v>
      </c>
    </row>
    <row r="86" spans="1:201" x14ac:dyDescent="0.25">
      <c r="A86">
        <v>70</v>
      </c>
      <c r="B86">
        <v>1690213105.5999999</v>
      </c>
      <c r="C86">
        <v>838.09999990463257</v>
      </c>
      <c r="D86" t="s">
        <v>471</v>
      </c>
      <c r="E86" t="s">
        <v>472</v>
      </c>
      <c r="F86" t="s">
        <v>330</v>
      </c>
      <c r="H86">
        <v>1690213105.5999999</v>
      </c>
      <c r="I86">
        <f t="shared" si="30"/>
        <v>1.2983421224270044E-3</v>
      </c>
      <c r="J86">
        <f t="shared" si="31"/>
        <v>1.2983421224270044</v>
      </c>
      <c r="K86">
        <f t="shared" si="32"/>
        <v>18.160607074957429</v>
      </c>
      <c r="L86">
        <f t="shared" si="33"/>
        <v>582.54499999999996</v>
      </c>
      <c r="M86">
        <f t="shared" si="34"/>
        <v>123.06717256776159</v>
      </c>
      <c r="N86">
        <f t="shared" si="35"/>
        <v>12.207690677953799</v>
      </c>
      <c r="O86">
        <f t="shared" si="36"/>
        <v>57.785752427788495</v>
      </c>
      <c r="P86">
        <f t="shared" si="37"/>
        <v>6.5841386750500427E-2</v>
      </c>
      <c r="Q86">
        <f t="shared" si="38"/>
        <v>2.0136413506087192</v>
      </c>
      <c r="R86">
        <f t="shared" si="39"/>
        <v>6.4668344774676673E-2</v>
      </c>
      <c r="S86">
        <f t="shared" si="40"/>
        <v>4.0521367879441807E-2</v>
      </c>
      <c r="T86">
        <f t="shared" si="41"/>
        <v>276.116109408</v>
      </c>
      <c r="U86">
        <f t="shared" si="42"/>
        <v>28.822575962809406</v>
      </c>
      <c r="V86">
        <f t="shared" si="43"/>
        <v>28.822575962809406</v>
      </c>
      <c r="W86">
        <f t="shared" si="44"/>
        <v>3.9806666789220881</v>
      </c>
      <c r="X86">
        <f t="shared" si="45"/>
        <v>57.260894700265673</v>
      </c>
      <c r="Y86">
        <f t="shared" si="46"/>
        <v>2.0496635003993702</v>
      </c>
      <c r="Z86">
        <f t="shared" si="47"/>
        <v>3.5795170702945032</v>
      </c>
      <c r="AA86">
        <f t="shared" si="48"/>
        <v>1.931003178522718</v>
      </c>
      <c r="AB86">
        <f t="shared" si="49"/>
        <v>-57.25688759903089</v>
      </c>
      <c r="AC86">
        <f t="shared" si="50"/>
        <v>-197.67326116458648</v>
      </c>
      <c r="AD86">
        <f t="shared" si="51"/>
        <v>-21.379626247514835</v>
      </c>
      <c r="AE86">
        <f t="shared" si="52"/>
        <v>-0.19366560313218883</v>
      </c>
      <c r="AF86">
        <v>36</v>
      </c>
      <c r="AG86">
        <v>12</v>
      </c>
      <c r="AH86">
        <f t="shared" si="53"/>
        <v>1</v>
      </c>
      <c r="AI86">
        <f t="shared" si="54"/>
        <v>0</v>
      </c>
      <c r="AJ86">
        <f t="shared" si="55"/>
        <v>52476.930469185063</v>
      </c>
      <c r="AK86">
        <f t="shared" si="56"/>
        <v>1800</v>
      </c>
      <c r="AL86">
        <f t="shared" si="57"/>
        <v>1499.1081678</v>
      </c>
      <c r="AM86">
        <f t="shared" si="58"/>
        <v>0.83283787100000006</v>
      </c>
      <c r="AN86">
        <f t="shared" si="59"/>
        <v>0.15339783856</v>
      </c>
      <c r="AO86">
        <v>34.5</v>
      </c>
      <c r="AP86">
        <v>0.5</v>
      </c>
      <c r="AQ86" t="s">
        <v>331</v>
      </c>
      <c r="AR86">
        <v>2</v>
      </c>
      <c r="AS86">
        <v>1690213105.5999999</v>
      </c>
      <c r="AT86">
        <v>582.54499999999996</v>
      </c>
      <c r="AU86">
        <v>799.98699999999997</v>
      </c>
      <c r="AV86">
        <v>20.6629</v>
      </c>
      <c r="AW86">
        <v>6.0473999999999997</v>
      </c>
      <c r="AX86">
        <v>582.904</v>
      </c>
      <c r="AY86">
        <v>20.443300000000001</v>
      </c>
      <c r="AZ86">
        <v>300.142</v>
      </c>
      <c r="BA86">
        <v>99.095399999999998</v>
      </c>
      <c r="BB86">
        <v>9.9945300000000001E-2</v>
      </c>
      <c r="BC86">
        <v>27.0017</v>
      </c>
      <c r="BD86">
        <v>26.999300000000002</v>
      </c>
      <c r="BE86">
        <v>28.874500000000001</v>
      </c>
      <c r="BF86">
        <v>0</v>
      </c>
      <c r="BG86">
        <v>0</v>
      </c>
      <c r="BH86">
        <v>10015.6</v>
      </c>
      <c r="BI86">
        <v>1075.82</v>
      </c>
      <c r="BJ86">
        <v>2.0744500000000001</v>
      </c>
      <c r="BK86">
        <v>-217.44200000000001</v>
      </c>
      <c r="BL86">
        <v>594.83600000000001</v>
      </c>
      <c r="BM86">
        <v>804.85500000000002</v>
      </c>
      <c r="BN86">
        <v>14.615500000000001</v>
      </c>
      <c r="BO86">
        <v>799.98699999999997</v>
      </c>
      <c r="BP86">
        <v>6.0473999999999997</v>
      </c>
      <c r="BQ86">
        <v>2.0476000000000001</v>
      </c>
      <c r="BR86">
        <v>0.59926900000000005</v>
      </c>
      <c r="BS86">
        <v>17.817299999999999</v>
      </c>
      <c r="BT86">
        <v>-0.32605200000000001</v>
      </c>
      <c r="BU86">
        <v>1800</v>
      </c>
      <c r="BV86">
        <v>0.90997600000000001</v>
      </c>
      <c r="BW86">
        <v>3.4006700000000001E-2</v>
      </c>
      <c r="BX86">
        <v>2.2004300000000001E-2</v>
      </c>
      <c r="BY86">
        <v>3.4012800000000003E-2</v>
      </c>
      <c r="BZ86">
        <v>26</v>
      </c>
      <c r="CA86">
        <v>33528.199999999997</v>
      </c>
      <c r="CB86">
        <v>1690211922</v>
      </c>
      <c r="CC86" t="s">
        <v>332</v>
      </c>
      <c r="CD86">
        <v>1690211915</v>
      </c>
      <c r="CE86">
        <v>1690211922</v>
      </c>
      <c r="CF86">
        <v>6</v>
      </c>
      <c r="CG86">
        <v>1.0999999999999999E-2</v>
      </c>
      <c r="CH86">
        <v>8.0000000000000002E-3</v>
      </c>
      <c r="CI86">
        <v>-0.51100000000000001</v>
      </c>
      <c r="CJ86">
        <v>-6.6000000000000003E-2</v>
      </c>
      <c r="CK86">
        <v>800</v>
      </c>
      <c r="CL86">
        <v>6</v>
      </c>
      <c r="CM86">
        <v>0.21</v>
      </c>
      <c r="CN86">
        <v>0.02</v>
      </c>
      <c r="CO86">
        <v>-213.46972500000001</v>
      </c>
      <c r="CP86">
        <v>-23.245272045027871</v>
      </c>
      <c r="CQ86">
        <v>2.2365980638851952</v>
      </c>
      <c r="CR86">
        <v>-1</v>
      </c>
      <c r="CS86">
        <v>14.429377499999999</v>
      </c>
      <c r="CT86">
        <v>1.0985684803001361</v>
      </c>
      <c r="CU86">
        <v>0.10569677499219179</v>
      </c>
      <c r="CV86">
        <v>-1</v>
      </c>
      <c r="CW86">
        <v>0</v>
      </c>
      <c r="CX86">
        <v>0</v>
      </c>
      <c r="CY86" t="s">
        <v>333</v>
      </c>
      <c r="CZ86">
        <v>2.3641700000000001</v>
      </c>
      <c r="DA86">
        <v>2.7137500000000001</v>
      </c>
      <c r="DB86">
        <v>0.117951</v>
      </c>
      <c r="DC86">
        <v>0.146037</v>
      </c>
      <c r="DD86">
        <v>0.10222000000000001</v>
      </c>
      <c r="DE86">
        <v>3.9688000000000001E-2</v>
      </c>
      <c r="DF86">
        <v>32182.3</v>
      </c>
      <c r="DG86">
        <v>27487.3</v>
      </c>
      <c r="DH86">
        <v>31148.9</v>
      </c>
      <c r="DI86">
        <v>28048.3</v>
      </c>
      <c r="DJ86">
        <v>37965.599999999999</v>
      </c>
      <c r="DK86">
        <v>38298.1</v>
      </c>
      <c r="DL86">
        <v>44324.1</v>
      </c>
      <c r="DM86">
        <v>42504.9</v>
      </c>
      <c r="DN86">
        <v>1.37788</v>
      </c>
      <c r="DO86">
        <v>2.0325799999999998</v>
      </c>
      <c r="DP86">
        <v>7.9173599999999997E-2</v>
      </c>
      <c r="DQ86">
        <v>0.20188500000000001</v>
      </c>
      <c r="DR86">
        <v>25.703199999999999</v>
      </c>
      <c r="DS86">
        <v>25.574100000000001</v>
      </c>
      <c r="DT86">
        <v>18</v>
      </c>
      <c r="DU86">
        <v>29.6</v>
      </c>
      <c r="DV86">
        <v>7.5631700000000004</v>
      </c>
      <c r="DW86">
        <v>61.691200000000002</v>
      </c>
      <c r="DX86">
        <v>36.386200000000002</v>
      </c>
      <c r="DY86">
        <v>1</v>
      </c>
      <c r="DZ86">
        <v>-7.2995400000000002E-2</v>
      </c>
      <c r="EA86">
        <v>0.162051</v>
      </c>
      <c r="EB86">
        <v>20.1892</v>
      </c>
      <c r="EC86">
        <v>5.2404999999999999</v>
      </c>
      <c r="ED86">
        <v>12.039899999999999</v>
      </c>
      <c r="EE86">
        <v>5.0167999999999999</v>
      </c>
      <c r="EF86">
        <v>3.2879999999999998</v>
      </c>
      <c r="EG86">
        <v>9999</v>
      </c>
      <c r="EH86">
        <v>9999</v>
      </c>
      <c r="EI86">
        <v>9999</v>
      </c>
      <c r="EJ86">
        <v>999.9</v>
      </c>
      <c r="EK86">
        <v>1.86893</v>
      </c>
      <c r="EL86">
        <v>1.8646400000000001</v>
      </c>
      <c r="EM86">
        <v>1.8691899999999999</v>
      </c>
      <c r="EN86">
        <v>1.86724</v>
      </c>
      <c r="EO86">
        <v>1.8633999999999999</v>
      </c>
      <c r="EP86">
        <v>1.8645499999999999</v>
      </c>
      <c r="EQ86">
        <v>1.8701700000000001</v>
      </c>
      <c r="ER86">
        <v>1.8694299999999999</v>
      </c>
      <c r="ES86">
        <v>0</v>
      </c>
      <c r="ET86">
        <v>0</v>
      </c>
      <c r="EU86">
        <v>0</v>
      </c>
      <c r="EV86">
        <v>0</v>
      </c>
      <c r="EW86" t="s">
        <v>334</v>
      </c>
      <c r="EX86" t="s">
        <v>335</v>
      </c>
      <c r="EY86" t="s">
        <v>336</v>
      </c>
      <c r="EZ86" t="s">
        <v>336</v>
      </c>
      <c r="FA86" t="s">
        <v>336</v>
      </c>
      <c r="FB86" t="s">
        <v>336</v>
      </c>
      <c r="FC86">
        <v>0</v>
      </c>
      <c r="FD86">
        <v>100</v>
      </c>
      <c r="FE86">
        <v>100</v>
      </c>
      <c r="FF86">
        <v>-0.35899999999999999</v>
      </c>
      <c r="FG86">
        <v>0.21959999999999999</v>
      </c>
      <c r="FH86">
        <v>4.0020685143421282E-2</v>
      </c>
      <c r="FI86">
        <v>-6.1462078757559423E-4</v>
      </c>
      <c r="FJ86">
        <v>-1.8861989874597051E-7</v>
      </c>
      <c r="FK86">
        <v>1.1980462299894961E-10</v>
      </c>
      <c r="FL86">
        <v>-3.1035565592992288E-2</v>
      </c>
      <c r="FM86">
        <v>-1.6848085045870601E-2</v>
      </c>
      <c r="FN86">
        <v>1.9789084769509481E-3</v>
      </c>
      <c r="FO86">
        <v>-2.7142391389806329E-5</v>
      </c>
      <c r="FP86">
        <v>3</v>
      </c>
      <c r="FQ86">
        <v>2158</v>
      </c>
      <c r="FR86">
        <v>1</v>
      </c>
      <c r="FS86">
        <v>19</v>
      </c>
      <c r="FT86">
        <v>19.8</v>
      </c>
      <c r="FU86">
        <v>19.7</v>
      </c>
      <c r="FV86">
        <v>1.77979</v>
      </c>
      <c r="FW86">
        <v>2.5756800000000002</v>
      </c>
      <c r="FX86">
        <v>1.5490699999999999</v>
      </c>
      <c r="FY86">
        <v>2.3290999999999999</v>
      </c>
      <c r="FZ86">
        <v>1.50146</v>
      </c>
      <c r="GA86">
        <v>2.33765</v>
      </c>
      <c r="GB86">
        <v>33.828299999999999</v>
      </c>
      <c r="GC86">
        <v>23.982399999999998</v>
      </c>
      <c r="GD86">
        <v>19</v>
      </c>
      <c r="GE86">
        <v>244.04900000000001</v>
      </c>
      <c r="GF86">
        <v>582.61699999999996</v>
      </c>
      <c r="GG86">
        <v>25.286899999999999</v>
      </c>
      <c r="GH86">
        <v>26.461500000000001</v>
      </c>
      <c r="GI86">
        <v>30.0001</v>
      </c>
      <c r="GJ86">
        <v>26.597100000000001</v>
      </c>
      <c r="GK86">
        <v>26.5685</v>
      </c>
      <c r="GL86">
        <v>35.584699999999998</v>
      </c>
      <c r="GM86">
        <v>-30</v>
      </c>
      <c r="GN86">
        <v>-30</v>
      </c>
      <c r="GO86">
        <v>25.1921</v>
      </c>
      <c r="GP86">
        <v>800</v>
      </c>
      <c r="GQ86">
        <v>12.5298</v>
      </c>
      <c r="GR86">
        <v>99.658299999999997</v>
      </c>
      <c r="GS86">
        <v>99.44</v>
      </c>
    </row>
    <row r="87" spans="1:201" x14ac:dyDescent="0.25">
      <c r="A87">
        <v>71</v>
      </c>
      <c r="B87">
        <v>1690213115.5999999</v>
      </c>
      <c r="C87">
        <v>848.09999990463257</v>
      </c>
      <c r="D87" t="s">
        <v>473</v>
      </c>
      <c r="E87" t="s">
        <v>474</v>
      </c>
      <c r="F87" t="s">
        <v>330</v>
      </c>
      <c r="H87">
        <v>1690213115.5999999</v>
      </c>
      <c r="I87">
        <f t="shared" si="30"/>
        <v>1.3136208233613868E-3</v>
      </c>
      <c r="J87">
        <f t="shared" si="31"/>
        <v>1.3136208233613869</v>
      </c>
      <c r="K87">
        <f t="shared" si="32"/>
        <v>18.494114662647021</v>
      </c>
      <c r="L87">
        <f t="shared" si="33"/>
        <v>578.73500000000001</v>
      </c>
      <c r="M87">
        <f t="shared" si="34"/>
        <v>120.95155362443388</v>
      </c>
      <c r="N87">
        <f t="shared" si="35"/>
        <v>11.997604910656442</v>
      </c>
      <c r="O87">
        <f t="shared" si="36"/>
        <v>57.406735754125002</v>
      </c>
      <c r="P87">
        <f t="shared" si="37"/>
        <v>6.7298515772064513E-2</v>
      </c>
      <c r="Q87">
        <f t="shared" si="38"/>
        <v>2.0105499662878632</v>
      </c>
      <c r="R87">
        <f t="shared" si="39"/>
        <v>6.6071652420531174E-2</v>
      </c>
      <c r="S87">
        <f t="shared" si="40"/>
        <v>4.1403148641663438E-2</v>
      </c>
      <c r="T87">
        <f t="shared" si="41"/>
        <v>276.11510518467128</v>
      </c>
      <c r="U87">
        <f t="shared" si="42"/>
        <v>28.813293247682921</v>
      </c>
      <c r="V87">
        <f t="shared" si="43"/>
        <v>28.813293247682921</v>
      </c>
      <c r="W87">
        <f t="shared" si="44"/>
        <v>3.9785261571272992</v>
      </c>
      <c r="X87">
        <f t="shared" si="45"/>
        <v>57.751658122903123</v>
      </c>
      <c r="Y87">
        <f t="shared" si="46"/>
        <v>2.0664778259799998</v>
      </c>
      <c r="Z87">
        <f t="shared" si="47"/>
        <v>3.5782138438038662</v>
      </c>
      <c r="AA87">
        <f t="shared" si="48"/>
        <v>1.9120483311472993</v>
      </c>
      <c r="AB87">
        <f t="shared" si="49"/>
        <v>-57.930678310237155</v>
      </c>
      <c r="AC87">
        <f t="shared" si="50"/>
        <v>-197.03564500829839</v>
      </c>
      <c r="AD87">
        <f t="shared" si="51"/>
        <v>-21.341782996202166</v>
      </c>
      <c r="AE87">
        <f t="shared" si="52"/>
        <v>-0.1930011300664205</v>
      </c>
      <c r="AF87">
        <v>36</v>
      </c>
      <c r="AG87">
        <v>12</v>
      </c>
      <c r="AH87">
        <f t="shared" si="53"/>
        <v>1</v>
      </c>
      <c r="AI87">
        <f t="shared" si="54"/>
        <v>0</v>
      </c>
      <c r="AJ87">
        <f t="shared" si="55"/>
        <v>52329.508647727642</v>
      </c>
      <c r="AK87">
        <f t="shared" si="56"/>
        <v>1799.99</v>
      </c>
      <c r="AL87">
        <f t="shared" si="57"/>
        <v>1499.1014252124801</v>
      </c>
      <c r="AM87">
        <f t="shared" si="58"/>
        <v>0.83283875200000002</v>
      </c>
      <c r="AN87">
        <f t="shared" si="59"/>
        <v>0.15339813286999998</v>
      </c>
      <c r="AO87">
        <v>34.5</v>
      </c>
      <c r="AP87">
        <v>0.5</v>
      </c>
      <c r="AQ87" t="s">
        <v>331</v>
      </c>
      <c r="AR87">
        <v>2</v>
      </c>
      <c r="AS87">
        <v>1690213115.5999999</v>
      </c>
      <c r="AT87">
        <v>578.73500000000001</v>
      </c>
      <c r="AU87">
        <v>800.07299999999998</v>
      </c>
      <c r="AV87">
        <v>20.832799999999999</v>
      </c>
      <c r="AW87">
        <v>6.0466899999999999</v>
      </c>
      <c r="AX87">
        <v>579.09100000000001</v>
      </c>
      <c r="AY87">
        <v>20.6082</v>
      </c>
      <c r="AZ87">
        <v>300.11799999999999</v>
      </c>
      <c r="BA87">
        <v>99.093500000000006</v>
      </c>
      <c r="BB87">
        <v>9.9974999999999994E-2</v>
      </c>
      <c r="BC87">
        <v>26.9955</v>
      </c>
      <c r="BD87">
        <v>26.999199999999998</v>
      </c>
      <c r="BE87">
        <v>28.869</v>
      </c>
      <c r="BF87">
        <v>0</v>
      </c>
      <c r="BG87">
        <v>0</v>
      </c>
      <c r="BH87">
        <v>9986.25</v>
      </c>
      <c r="BI87">
        <v>1075.8599999999999</v>
      </c>
      <c r="BJ87">
        <v>2.0744500000000001</v>
      </c>
      <c r="BK87">
        <v>-221.33799999999999</v>
      </c>
      <c r="BL87">
        <v>591.048</v>
      </c>
      <c r="BM87">
        <v>804.94</v>
      </c>
      <c r="BN87">
        <v>14.786099999999999</v>
      </c>
      <c r="BO87">
        <v>800.07299999999998</v>
      </c>
      <c r="BP87">
        <v>6.0466899999999999</v>
      </c>
      <c r="BQ87">
        <v>2.0644</v>
      </c>
      <c r="BR87">
        <v>0.59918800000000005</v>
      </c>
      <c r="BS87">
        <v>17.947099999999999</v>
      </c>
      <c r="BT87">
        <v>-0.32791799999999999</v>
      </c>
      <c r="BU87">
        <v>1799.99</v>
      </c>
      <c r="BV87">
        <v>0.90997700000000004</v>
      </c>
      <c r="BW87">
        <v>3.40045E-2</v>
      </c>
      <c r="BX87">
        <v>2.2008099999999999E-2</v>
      </c>
      <c r="BY87">
        <v>3.4010499999999999E-2</v>
      </c>
      <c r="BZ87">
        <v>26</v>
      </c>
      <c r="CA87">
        <v>33528.1</v>
      </c>
      <c r="CB87">
        <v>1690211922</v>
      </c>
      <c r="CC87" t="s">
        <v>332</v>
      </c>
      <c r="CD87">
        <v>1690211915</v>
      </c>
      <c r="CE87">
        <v>1690211922</v>
      </c>
      <c r="CF87">
        <v>6</v>
      </c>
      <c r="CG87">
        <v>1.0999999999999999E-2</v>
      </c>
      <c r="CH87">
        <v>8.0000000000000002E-3</v>
      </c>
      <c r="CI87">
        <v>-0.51100000000000001</v>
      </c>
      <c r="CJ87">
        <v>-6.6000000000000003E-2</v>
      </c>
      <c r="CK87">
        <v>800</v>
      </c>
      <c r="CL87">
        <v>6</v>
      </c>
      <c r="CM87">
        <v>0.21</v>
      </c>
      <c r="CN87">
        <v>0.02</v>
      </c>
      <c r="CO87">
        <v>-217.34252499999999</v>
      </c>
      <c r="CP87">
        <v>-23.453166979361551</v>
      </c>
      <c r="CQ87">
        <v>2.2564175476571249</v>
      </c>
      <c r="CR87">
        <v>-1</v>
      </c>
      <c r="CS87">
        <v>14.609045</v>
      </c>
      <c r="CT87">
        <v>1.063335084427756</v>
      </c>
      <c r="CU87">
        <v>0.1023044254907871</v>
      </c>
      <c r="CV87">
        <v>-1</v>
      </c>
      <c r="CW87">
        <v>0</v>
      </c>
      <c r="CX87">
        <v>0</v>
      </c>
      <c r="CY87" t="s">
        <v>333</v>
      </c>
      <c r="CZ87">
        <v>2.36409</v>
      </c>
      <c r="DA87">
        <v>2.7137500000000001</v>
      </c>
      <c r="DB87">
        <v>0.117405</v>
      </c>
      <c r="DC87">
        <v>0.14604500000000001</v>
      </c>
      <c r="DD87">
        <v>0.10280599999999999</v>
      </c>
      <c r="DE87">
        <v>3.9683599999999999E-2</v>
      </c>
      <c r="DF87">
        <v>32202.5</v>
      </c>
      <c r="DG87">
        <v>27487.3</v>
      </c>
      <c r="DH87">
        <v>31149.200000000001</v>
      </c>
      <c r="DI87">
        <v>28048.5</v>
      </c>
      <c r="DJ87">
        <v>37940.9</v>
      </c>
      <c r="DK87">
        <v>38298.400000000001</v>
      </c>
      <c r="DL87">
        <v>44324.5</v>
      </c>
      <c r="DM87">
        <v>42505.2</v>
      </c>
      <c r="DN87">
        <v>1.37805</v>
      </c>
      <c r="DO87">
        <v>2.0322300000000002</v>
      </c>
      <c r="DP87">
        <v>7.9162399999999994E-2</v>
      </c>
      <c r="DQ87">
        <v>0.20144899999999999</v>
      </c>
      <c r="DR87">
        <v>25.703199999999999</v>
      </c>
      <c r="DS87">
        <v>25.575700000000001</v>
      </c>
      <c r="DT87">
        <v>18</v>
      </c>
      <c r="DU87">
        <v>29.6</v>
      </c>
      <c r="DV87">
        <v>7.5627199999999997</v>
      </c>
      <c r="DW87">
        <v>62.011200000000002</v>
      </c>
      <c r="DX87">
        <v>36.754800000000003</v>
      </c>
      <c r="DY87">
        <v>1</v>
      </c>
      <c r="DZ87">
        <v>-7.4057399999999995E-2</v>
      </c>
      <c r="EA87">
        <v>-5.2404699999999999E-2</v>
      </c>
      <c r="EB87">
        <v>20.189800000000002</v>
      </c>
      <c r="EC87">
        <v>5.2406499999999996</v>
      </c>
      <c r="ED87">
        <v>12.039899999999999</v>
      </c>
      <c r="EE87">
        <v>5.0168499999999998</v>
      </c>
      <c r="EF87">
        <v>3.2879999999999998</v>
      </c>
      <c r="EG87">
        <v>9999</v>
      </c>
      <c r="EH87">
        <v>9999</v>
      </c>
      <c r="EI87">
        <v>9999</v>
      </c>
      <c r="EJ87">
        <v>999.9</v>
      </c>
      <c r="EK87">
        <v>1.8689100000000001</v>
      </c>
      <c r="EL87">
        <v>1.8646499999999999</v>
      </c>
      <c r="EM87">
        <v>1.8692</v>
      </c>
      <c r="EN87">
        <v>1.86724</v>
      </c>
      <c r="EO87">
        <v>1.8633999999999999</v>
      </c>
      <c r="EP87">
        <v>1.86456</v>
      </c>
      <c r="EQ87">
        <v>1.8701700000000001</v>
      </c>
      <c r="ER87">
        <v>1.86944</v>
      </c>
      <c r="ES87">
        <v>0</v>
      </c>
      <c r="ET87">
        <v>0</v>
      </c>
      <c r="EU87">
        <v>0</v>
      </c>
      <c r="EV87">
        <v>0</v>
      </c>
      <c r="EW87" t="s">
        <v>334</v>
      </c>
      <c r="EX87" t="s">
        <v>335</v>
      </c>
      <c r="EY87" t="s">
        <v>336</v>
      </c>
      <c r="EZ87" t="s">
        <v>336</v>
      </c>
      <c r="FA87" t="s">
        <v>336</v>
      </c>
      <c r="FB87" t="s">
        <v>336</v>
      </c>
      <c r="FC87">
        <v>0</v>
      </c>
      <c r="FD87">
        <v>100</v>
      </c>
      <c r="FE87">
        <v>100</v>
      </c>
      <c r="FF87">
        <v>-0.35599999999999998</v>
      </c>
      <c r="FG87">
        <v>0.22459999999999999</v>
      </c>
      <c r="FH87">
        <v>4.0020685143421282E-2</v>
      </c>
      <c r="FI87">
        <v>-6.1462078757559423E-4</v>
      </c>
      <c r="FJ87">
        <v>-1.8861989874597051E-7</v>
      </c>
      <c r="FK87">
        <v>1.1980462299894961E-10</v>
      </c>
      <c r="FL87">
        <v>-3.1035565592992288E-2</v>
      </c>
      <c r="FM87">
        <v>-1.6848085045870601E-2</v>
      </c>
      <c r="FN87">
        <v>1.9789084769509481E-3</v>
      </c>
      <c r="FO87">
        <v>-2.7142391389806329E-5</v>
      </c>
      <c r="FP87">
        <v>3</v>
      </c>
      <c r="FQ87">
        <v>2158</v>
      </c>
      <c r="FR87">
        <v>1</v>
      </c>
      <c r="FS87">
        <v>19</v>
      </c>
      <c r="FT87">
        <v>20</v>
      </c>
      <c r="FU87">
        <v>19.899999999999999</v>
      </c>
      <c r="FV87">
        <v>1.77979</v>
      </c>
      <c r="FW87">
        <v>2.5756800000000002</v>
      </c>
      <c r="FX87">
        <v>1.5490699999999999</v>
      </c>
      <c r="FY87">
        <v>2.3290999999999999</v>
      </c>
      <c r="FZ87">
        <v>1.50146</v>
      </c>
      <c r="GA87">
        <v>2.31812</v>
      </c>
      <c r="GB87">
        <v>33.828299999999999</v>
      </c>
      <c r="GC87">
        <v>23.991199999999999</v>
      </c>
      <c r="GD87">
        <v>19</v>
      </c>
      <c r="GE87">
        <v>244.10900000000001</v>
      </c>
      <c r="GF87">
        <v>582.30999999999995</v>
      </c>
      <c r="GG87">
        <v>25.200199999999999</v>
      </c>
      <c r="GH87">
        <v>26.459299999999999</v>
      </c>
      <c r="GI87">
        <v>29.999700000000001</v>
      </c>
      <c r="GJ87">
        <v>26.595099999999999</v>
      </c>
      <c r="GK87">
        <v>26.5669</v>
      </c>
      <c r="GL87">
        <v>35.580100000000002</v>
      </c>
      <c r="GM87">
        <v>-30</v>
      </c>
      <c r="GN87">
        <v>-30</v>
      </c>
      <c r="GO87">
        <v>25.2136</v>
      </c>
      <c r="GP87">
        <v>800</v>
      </c>
      <c r="GQ87">
        <v>12.5298</v>
      </c>
      <c r="GR87">
        <v>99.659099999999995</v>
      </c>
      <c r="GS87">
        <v>99.440600000000003</v>
      </c>
    </row>
    <row r="88" spans="1:201" x14ac:dyDescent="0.25">
      <c r="A88">
        <v>72</v>
      </c>
      <c r="B88">
        <v>1690213125.5999999</v>
      </c>
      <c r="C88">
        <v>858.09999990463257</v>
      </c>
      <c r="D88" t="s">
        <v>475</v>
      </c>
      <c r="E88" t="s">
        <v>476</v>
      </c>
      <c r="F88" t="s">
        <v>330</v>
      </c>
      <c r="H88">
        <v>1690213125.5999999</v>
      </c>
      <c r="I88">
        <f t="shared" si="30"/>
        <v>1.3296540361461225E-3</v>
      </c>
      <c r="J88">
        <f t="shared" si="31"/>
        <v>1.3296540361461227</v>
      </c>
      <c r="K88">
        <f t="shared" si="32"/>
        <v>18.829416256246017</v>
      </c>
      <c r="L88">
        <f t="shared" si="33"/>
        <v>574.83600000000001</v>
      </c>
      <c r="M88">
        <f t="shared" si="34"/>
        <v>119.34609877815764</v>
      </c>
      <c r="N88">
        <f t="shared" si="35"/>
        <v>11.838735254049839</v>
      </c>
      <c r="O88">
        <f t="shared" si="36"/>
        <v>57.021815444062796</v>
      </c>
      <c r="P88">
        <f t="shared" si="37"/>
        <v>6.886510071213181E-2</v>
      </c>
      <c r="Q88">
        <f t="shared" si="38"/>
        <v>2.0120865640528498</v>
      </c>
      <c r="R88">
        <f t="shared" si="39"/>
        <v>6.7582002605581476E-2</v>
      </c>
      <c r="S88">
        <f t="shared" si="40"/>
        <v>4.235204165718906E-2</v>
      </c>
      <c r="T88">
        <f t="shared" si="41"/>
        <v>276.1147610985829</v>
      </c>
      <c r="U88">
        <f t="shared" si="42"/>
        <v>28.801158588463277</v>
      </c>
      <c r="V88">
        <f t="shared" si="43"/>
        <v>28.801158588463277</v>
      </c>
      <c r="W88">
        <f t="shared" si="44"/>
        <v>3.9757295130039076</v>
      </c>
      <c r="X88">
        <f t="shared" si="45"/>
        <v>58.249386563068995</v>
      </c>
      <c r="Y88">
        <f t="shared" si="46"/>
        <v>2.08367559497015</v>
      </c>
      <c r="Z88">
        <f t="shared" si="47"/>
        <v>3.5771631564120754</v>
      </c>
      <c r="AA88">
        <f t="shared" si="48"/>
        <v>1.8920539180337577</v>
      </c>
      <c r="AB88">
        <f t="shared" si="49"/>
        <v>-58.637742994044004</v>
      </c>
      <c r="AC88">
        <f t="shared" si="50"/>
        <v>-196.41229640845012</v>
      </c>
      <c r="AD88">
        <f t="shared" si="51"/>
        <v>-21.256201375448818</v>
      </c>
      <c r="AE88">
        <f t="shared" si="52"/>
        <v>-0.19147967936004306</v>
      </c>
      <c r="AF88">
        <v>36</v>
      </c>
      <c r="AG88">
        <v>12</v>
      </c>
      <c r="AH88">
        <f t="shared" si="53"/>
        <v>1</v>
      </c>
      <c r="AI88">
        <f t="shared" si="54"/>
        <v>0</v>
      </c>
      <c r="AJ88">
        <f t="shared" si="55"/>
        <v>52404.206826672285</v>
      </c>
      <c r="AK88">
        <f t="shared" si="56"/>
        <v>1799.99</v>
      </c>
      <c r="AL88">
        <f t="shared" si="57"/>
        <v>1499.10160341149</v>
      </c>
      <c r="AM88">
        <f t="shared" si="58"/>
        <v>0.83283885099999999</v>
      </c>
      <c r="AN88">
        <f t="shared" si="59"/>
        <v>0.15339794170999999</v>
      </c>
      <c r="AO88">
        <v>34.5</v>
      </c>
      <c r="AP88">
        <v>0.5</v>
      </c>
      <c r="AQ88" t="s">
        <v>331</v>
      </c>
      <c r="AR88">
        <v>2</v>
      </c>
      <c r="AS88">
        <v>1690213125.5999999</v>
      </c>
      <c r="AT88">
        <v>574.83600000000001</v>
      </c>
      <c r="AU88">
        <v>800.02599999999995</v>
      </c>
      <c r="AV88">
        <v>21.005500000000001</v>
      </c>
      <c r="AW88">
        <v>6.0448500000000003</v>
      </c>
      <c r="AX88">
        <v>575.18899999999996</v>
      </c>
      <c r="AY88">
        <v>20.7758</v>
      </c>
      <c r="AZ88">
        <v>300.18400000000003</v>
      </c>
      <c r="BA88">
        <v>99.096699999999998</v>
      </c>
      <c r="BB88">
        <v>9.9967299999999995E-2</v>
      </c>
      <c r="BC88">
        <v>26.990500000000001</v>
      </c>
      <c r="BD88">
        <v>26.999300000000002</v>
      </c>
      <c r="BE88">
        <v>28.872699999999998</v>
      </c>
      <c r="BF88">
        <v>0</v>
      </c>
      <c r="BG88">
        <v>0</v>
      </c>
      <c r="BH88">
        <v>10000.6</v>
      </c>
      <c r="BI88">
        <v>1075.8800000000001</v>
      </c>
      <c r="BJ88">
        <v>2.0744500000000001</v>
      </c>
      <c r="BK88">
        <v>-225.19</v>
      </c>
      <c r="BL88">
        <v>587.16899999999998</v>
      </c>
      <c r="BM88">
        <v>804.89099999999996</v>
      </c>
      <c r="BN88">
        <v>14.960599999999999</v>
      </c>
      <c r="BO88">
        <v>800.02599999999995</v>
      </c>
      <c r="BP88">
        <v>6.0448500000000003</v>
      </c>
      <c r="BQ88">
        <v>2.0815700000000001</v>
      </c>
      <c r="BR88">
        <v>0.59902500000000003</v>
      </c>
      <c r="BS88">
        <v>18.078900000000001</v>
      </c>
      <c r="BT88">
        <v>-0.33165600000000001</v>
      </c>
      <c r="BU88">
        <v>1799.99</v>
      </c>
      <c r="BV88">
        <v>0.90998199999999996</v>
      </c>
      <c r="BW88">
        <v>3.4002400000000002E-2</v>
      </c>
      <c r="BX88">
        <v>2.20068E-2</v>
      </c>
      <c r="BY88">
        <v>3.4008499999999997E-2</v>
      </c>
      <c r="BZ88">
        <v>26</v>
      </c>
      <c r="CA88">
        <v>33528.1</v>
      </c>
      <c r="CB88">
        <v>1690211922</v>
      </c>
      <c r="CC88" t="s">
        <v>332</v>
      </c>
      <c r="CD88">
        <v>1690211915</v>
      </c>
      <c r="CE88">
        <v>1690211922</v>
      </c>
      <c r="CF88">
        <v>6</v>
      </c>
      <c r="CG88">
        <v>1.0999999999999999E-2</v>
      </c>
      <c r="CH88">
        <v>8.0000000000000002E-3</v>
      </c>
      <c r="CI88">
        <v>-0.51100000000000001</v>
      </c>
      <c r="CJ88">
        <v>-6.6000000000000003E-2</v>
      </c>
      <c r="CK88">
        <v>800</v>
      </c>
      <c r="CL88">
        <v>6</v>
      </c>
      <c r="CM88">
        <v>0.21</v>
      </c>
      <c r="CN88">
        <v>0.02</v>
      </c>
      <c r="CO88">
        <v>-220.82342499999999</v>
      </c>
      <c r="CP88">
        <v>-23.04557223264538</v>
      </c>
      <c r="CQ88">
        <v>2.2171481669872688</v>
      </c>
      <c r="CR88">
        <v>-1</v>
      </c>
      <c r="CS88">
        <v>14.765515000000001</v>
      </c>
      <c r="CT88">
        <v>1.0224225140713019</v>
      </c>
      <c r="CU88">
        <v>9.8358816457905715E-2</v>
      </c>
      <c r="CV88">
        <v>-1</v>
      </c>
      <c r="CW88">
        <v>0</v>
      </c>
      <c r="CX88">
        <v>0</v>
      </c>
      <c r="CY88" t="s">
        <v>333</v>
      </c>
      <c r="CZ88">
        <v>2.3643000000000001</v>
      </c>
      <c r="DA88">
        <v>2.7137600000000002</v>
      </c>
      <c r="DB88">
        <v>0.11684899999999999</v>
      </c>
      <c r="DC88">
        <v>0.14604500000000001</v>
      </c>
      <c r="DD88">
        <v>0.103404</v>
      </c>
      <c r="DE88">
        <v>3.9675200000000001E-2</v>
      </c>
      <c r="DF88">
        <v>32223.4</v>
      </c>
      <c r="DG88">
        <v>27487.200000000001</v>
      </c>
      <c r="DH88">
        <v>31149.7</v>
      </c>
      <c r="DI88">
        <v>28048.5</v>
      </c>
      <c r="DJ88">
        <v>37915.9</v>
      </c>
      <c r="DK88">
        <v>38298.6</v>
      </c>
      <c r="DL88">
        <v>44325.2</v>
      </c>
      <c r="DM88">
        <v>42505</v>
      </c>
      <c r="DN88">
        <v>1.37812</v>
      </c>
      <c r="DO88">
        <v>2.03233</v>
      </c>
      <c r="DP88">
        <v>7.9207100000000003E-2</v>
      </c>
      <c r="DQ88">
        <v>0.20174700000000001</v>
      </c>
      <c r="DR88">
        <v>25.7026</v>
      </c>
      <c r="DS88">
        <v>25.5745</v>
      </c>
      <c r="DT88">
        <v>18</v>
      </c>
      <c r="DU88">
        <v>29.6</v>
      </c>
      <c r="DV88">
        <v>7.5619500000000004</v>
      </c>
      <c r="DW88">
        <v>61.671199999999999</v>
      </c>
      <c r="DX88">
        <v>36.895000000000003</v>
      </c>
      <c r="DY88">
        <v>1</v>
      </c>
      <c r="DZ88">
        <v>-7.4369900000000003E-2</v>
      </c>
      <c r="EA88">
        <v>-7.5416700000000003E-2</v>
      </c>
      <c r="EB88">
        <v>20.189699999999998</v>
      </c>
      <c r="EC88">
        <v>5.2408000000000001</v>
      </c>
      <c r="ED88">
        <v>12.039899999999999</v>
      </c>
      <c r="EE88">
        <v>5.0167000000000002</v>
      </c>
      <c r="EF88">
        <v>3.2879999999999998</v>
      </c>
      <c r="EG88">
        <v>9999</v>
      </c>
      <c r="EH88">
        <v>9999</v>
      </c>
      <c r="EI88">
        <v>9999</v>
      </c>
      <c r="EJ88">
        <v>999.9</v>
      </c>
      <c r="EK88">
        <v>1.8689199999999999</v>
      </c>
      <c r="EL88">
        <v>1.8646400000000001</v>
      </c>
      <c r="EM88">
        <v>1.8691899999999999</v>
      </c>
      <c r="EN88">
        <v>1.8672299999999999</v>
      </c>
      <c r="EO88">
        <v>1.8633999999999999</v>
      </c>
      <c r="EP88">
        <v>1.8645499999999999</v>
      </c>
      <c r="EQ88">
        <v>1.87015</v>
      </c>
      <c r="ER88">
        <v>1.8694500000000001</v>
      </c>
      <c r="ES88">
        <v>0</v>
      </c>
      <c r="ET88">
        <v>0</v>
      </c>
      <c r="EU88">
        <v>0</v>
      </c>
      <c r="EV88">
        <v>0</v>
      </c>
      <c r="EW88" t="s">
        <v>334</v>
      </c>
      <c r="EX88" t="s">
        <v>335</v>
      </c>
      <c r="EY88" t="s">
        <v>336</v>
      </c>
      <c r="EZ88" t="s">
        <v>336</v>
      </c>
      <c r="FA88" t="s">
        <v>336</v>
      </c>
      <c r="FB88" t="s">
        <v>336</v>
      </c>
      <c r="FC88">
        <v>0</v>
      </c>
      <c r="FD88">
        <v>100</v>
      </c>
      <c r="FE88">
        <v>100</v>
      </c>
      <c r="FF88">
        <v>-0.35299999999999998</v>
      </c>
      <c r="FG88">
        <v>0.22969999999999999</v>
      </c>
      <c r="FH88">
        <v>4.0020685143421282E-2</v>
      </c>
      <c r="FI88">
        <v>-6.1462078757559423E-4</v>
      </c>
      <c r="FJ88">
        <v>-1.8861989874597051E-7</v>
      </c>
      <c r="FK88">
        <v>1.1980462299894961E-10</v>
      </c>
      <c r="FL88">
        <v>-3.1035565592992288E-2</v>
      </c>
      <c r="FM88">
        <v>-1.6848085045870601E-2</v>
      </c>
      <c r="FN88">
        <v>1.9789084769509481E-3</v>
      </c>
      <c r="FO88">
        <v>-2.7142391389806329E-5</v>
      </c>
      <c r="FP88">
        <v>3</v>
      </c>
      <c r="FQ88">
        <v>2158</v>
      </c>
      <c r="FR88">
        <v>1</v>
      </c>
      <c r="FS88">
        <v>19</v>
      </c>
      <c r="FT88">
        <v>20.2</v>
      </c>
      <c r="FU88">
        <v>20.100000000000001</v>
      </c>
      <c r="FV88">
        <v>1.77979</v>
      </c>
      <c r="FW88">
        <v>2.5769000000000002</v>
      </c>
      <c r="FX88">
        <v>1.5490699999999999</v>
      </c>
      <c r="FY88">
        <v>2.3290999999999999</v>
      </c>
      <c r="FZ88">
        <v>1.50024</v>
      </c>
      <c r="GA88">
        <v>2.3779300000000001</v>
      </c>
      <c r="GB88">
        <v>33.828299999999999</v>
      </c>
      <c r="GC88">
        <v>23.991199999999999</v>
      </c>
      <c r="GD88">
        <v>19</v>
      </c>
      <c r="GE88">
        <v>244.131</v>
      </c>
      <c r="GF88">
        <v>582.36699999999996</v>
      </c>
      <c r="GG88">
        <v>25.2029</v>
      </c>
      <c r="GH88">
        <v>26.457100000000001</v>
      </c>
      <c r="GI88">
        <v>29.9999</v>
      </c>
      <c r="GJ88">
        <v>26.5928</v>
      </c>
      <c r="GK88">
        <v>26.564599999999999</v>
      </c>
      <c r="GL88">
        <v>35.581299999999999</v>
      </c>
      <c r="GM88">
        <v>-30</v>
      </c>
      <c r="GN88">
        <v>-30</v>
      </c>
      <c r="GO88">
        <v>25.205300000000001</v>
      </c>
      <c r="GP88">
        <v>800</v>
      </c>
      <c r="GQ88">
        <v>12.5298</v>
      </c>
      <c r="GR88">
        <v>99.660899999999998</v>
      </c>
      <c r="GS88">
        <v>99.440299999999993</v>
      </c>
    </row>
    <row r="89" spans="1:201" x14ac:dyDescent="0.25">
      <c r="A89">
        <v>73</v>
      </c>
      <c r="B89">
        <v>1690213135.5999999</v>
      </c>
      <c r="C89">
        <v>868.09999990463257</v>
      </c>
      <c r="D89" t="s">
        <v>477</v>
      </c>
      <c r="E89" t="s">
        <v>478</v>
      </c>
      <c r="F89" t="s">
        <v>330</v>
      </c>
      <c r="H89">
        <v>1690213135.5999999</v>
      </c>
      <c r="I89">
        <f t="shared" si="30"/>
        <v>1.343977349378462E-3</v>
      </c>
      <c r="J89">
        <f t="shared" si="31"/>
        <v>1.3439773493784621</v>
      </c>
      <c r="K89">
        <f t="shared" si="32"/>
        <v>19.135720035837135</v>
      </c>
      <c r="L89">
        <f t="shared" si="33"/>
        <v>571.12599999999998</v>
      </c>
      <c r="M89">
        <f t="shared" si="34"/>
        <v>117.86027647343781</v>
      </c>
      <c r="N89">
        <f t="shared" si="35"/>
        <v>11.69152806733123</v>
      </c>
      <c r="O89">
        <f t="shared" si="36"/>
        <v>56.654674999744195</v>
      </c>
      <c r="P89">
        <f t="shared" si="37"/>
        <v>7.0330178905479476E-2</v>
      </c>
      <c r="Q89">
        <f t="shared" si="38"/>
        <v>2.0136092814870317</v>
      </c>
      <c r="R89">
        <f t="shared" si="39"/>
        <v>6.8993467618947563E-2</v>
      </c>
      <c r="S89">
        <f t="shared" si="40"/>
        <v>4.3238899377078248E-2</v>
      </c>
      <c r="T89">
        <f t="shared" si="41"/>
        <v>276.11471815082155</v>
      </c>
      <c r="U89">
        <f t="shared" si="42"/>
        <v>28.79027377176407</v>
      </c>
      <c r="V89">
        <f t="shared" si="43"/>
        <v>28.79027377176407</v>
      </c>
      <c r="W89">
        <f t="shared" si="44"/>
        <v>3.973222375666758</v>
      </c>
      <c r="X89">
        <f t="shared" si="45"/>
        <v>58.721361982682275</v>
      </c>
      <c r="Y89">
        <f t="shared" si="46"/>
        <v>2.1000161160183297</v>
      </c>
      <c r="Z89">
        <f t="shared" si="47"/>
        <v>3.5762387742941875</v>
      </c>
      <c r="AA89">
        <f t="shared" si="48"/>
        <v>1.8732062596484282</v>
      </c>
      <c r="AB89">
        <f t="shared" si="49"/>
        <v>-59.269401107590177</v>
      </c>
      <c r="AC89">
        <f t="shared" si="50"/>
        <v>-195.85696152834117</v>
      </c>
      <c r="AD89">
        <f t="shared" si="51"/>
        <v>-21.178457791061234</v>
      </c>
      <c r="AE89">
        <f t="shared" si="52"/>
        <v>-0.19010227617104647</v>
      </c>
      <c r="AF89">
        <v>36</v>
      </c>
      <c r="AG89">
        <v>12</v>
      </c>
      <c r="AH89">
        <f t="shared" si="53"/>
        <v>1</v>
      </c>
      <c r="AI89">
        <f t="shared" si="54"/>
        <v>0</v>
      </c>
      <c r="AJ89">
        <f t="shared" si="55"/>
        <v>52478.180887776667</v>
      </c>
      <c r="AK89">
        <f t="shared" si="56"/>
        <v>1799.99</v>
      </c>
      <c r="AL89">
        <f t="shared" si="57"/>
        <v>1499.1034196014</v>
      </c>
      <c r="AM89">
        <f t="shared" si="58"/>
        <v>0.83283985999999999</v>
      </c>
      <c r="AN89">
        <f t="shared" si="59"/>
        <v>0.15339791785000001</v>
      </c>
      <c r="AO89">
        <v>34.5</v>
      </c>
      <c r="AP89">
        <v>0.5</v>
      </c>
      <c r="AQ89" t="s">
        <v>331</v>
      </c>
      <c r="AR89">
        <v>2</v>
      </c>
      <c r="AS89">
        <v>1690213135.5999999</v>
      </c>
      <c r="AT89">
        <v>571.12599999999998</v>
      </c>
      <c r="AU89">
        <v>799.97199999999998</v>
      </c>
      <c r="AV89">
        <v>21.169899999999998</v>
      </c>
      <c r="AW89">
        <v>6.04413</v>
      </c>
      <c r="AX89">
        <v>571.476</v>
      </c>
      <c r="AY89">
        <v>20.935300000000002</v>
      </c>
      <c r="AZ89">
        <v>300.05500000000001</v>
      </c>
      <c r="BA89">
        <v>99.098299999999995</v>
      </c>
      <c r="BB89">
        <v>9.9906700000000001E-2</v>
      </c>
      <c r="BC89">
        <v>26.9861</v>
      </c>
      <c r="BD89">
        <v>26.986899999999999</v>
      </c>
      <c r="BE89">
        <v>28.832999999999998</v>
      </c>
      <c r="BF89">
        <v>0</v>
      </c>
      <c r="BG89">
        <v>0</v>
      </c>
      <c r="BH89">
        <v>10015</v>
      </c>
      <c r="BI89">
        <v>1075.72</v>
      </c>
      <c r="BJ89">
        <v>2.0744500000000001</v>
      </c>
      <c r="BK89">
        <v>-228.846</v>
      </c>
      <c r="BL89">
        <v>583.47799999999995</v>
      </c>
      <c r="BM89">
        <v>804.83699999999999</v>
      </c>
      <c r="BN89">
        <v>15.1257</v>
      </c>
      <c r="BO89">
        <v>799.97199999999998</v>
      </c>
      <c r="BP89">
        <v>6.04413</v>
      </c>
      <c r="BQ89">
        <v>2.0979000000000001</v>
      </c>
      <c r="BR89">
        <v>0.59896300000000002</v>
      </c>
      <c r="BS89">
        <v>18.203199999999999</v>
      </c>
      <c r="BT89">
        <v>-0.333067</v>
      </c>
      <c r="BU89">
        <v>1799.99</v>
      </c>
      <c r="BV89">
        <v>0.90998800000000002</v>
      </c>
      <c r="BW89">
        <v>3.40004E-2</v>
      </c>
      <c r="BX89">
        <v>2.2005500000000001E-2</v>
      </c>
      <c r="BY89">
        <v>3.4006500000000002E-2</v>
      </c>
      <c r="BZ89">
        <v>26</v>
      </c>
      <c r="CA89">
        <v>33528.199999999997</v>
      </c>
      <c r="CB89">
        <v>1690211922</v>
      </c>
      <c r="CC89" t="s">
        <v>332</v>
      </c>
      <c r="CD89">
        <v>1690211915</v>
      </c>
      <c r="CE89">
        <v>1690211922</v>
      </c>
      <c r="CF89">
        <v>6</v>
      </c>
      <c r="CG89">
        <v>1.0999999999999999E-2</v>
      </c>
      <c r="CH89">
        <v>8.0000000000000002E-3</v>
      </c>
      <c r="CI89">
        <v>-0.51100000000000001</v>
      </c>
      <c r="CJ89">
        <v>-6.6000000000000003E-2</v>
      </c>
      <c r="CK89">
        <v>800</v>
      </c>
      <c r="CL89">
        <v>6</v>
      </c>
      <c r="CM89">
        <v>0.21</v>
      </c>
      <c r="CN89">
        <v>0.02</v>
      </c>
      <c r="CO89">
        <v>-224.73346341463409</v>
      </c>
      <c r="CP89">
        <v>-22.732620209059171</v>
      </c>
      <c r="CQ89">
        <v>2.241773351803575</v>
      </c>
      <c r="CR89">
        <v>-1</v>
      </c>
      <c r="CS89">
        <v>14.940917073170731</v>
      </c>
      <c r="CT89">
        <v>1.0290668989546849</v>
      </c>
      <c r="CU89">
        <v>0.1014815227743672</v>
      </c>
      <c r="CV89">
        <v>-1</v>
      </c>
      <c r="CW89">
        <v>0</v>
      </c>
      <c r="CX89">
        <v>0</v>
      </c>
      <c r="CY89" t="s">
        <v>333</v>
      </c>
      <c r="CZ89">
        <v>2.3639100000000002</v>
      </c>
      <c r="DA89">
        <v>2.7137099999999998</v>
      </c>
      <c r="DB89">
        <v>0.116317</v>
      </c>
      <c r="DC89">
        <v>0.146041</v>
      </c>
      <c r="DD89">
        <v>0.10397000000000001</v>
      </c>
      <c r="DE89">
        <v>3.9671999999999999E-2</v>
      </c>
      <c r="DF89">
        <v>32242.6</v>
      </c>
      <c r="DG89">
        <v>27487</v>
      </c>
      <c r="DH89">
        <v>31149.5</v>
      </c>
      <c r="DI89">
        <v>28048.1</v>
      </c>
      <c r="DJ89">
        <v>37891.5</v>
      </c>
      <c r="DK89">
        <v>38298.300000000003</v>
      </c>
      <c r="DL89">
        <v>44325</v>
      </c>
      <c r="DM89">
        <v>42504.5</v>
      </c>
      <c r="DN89">
        <v>1.3783000000000001</v>
      </c>
      <c r="DO89">
        <v>2.0327199999999999</v>
      </c>
      <c r="DP89">
        <v>7.8678100000000001E-2</v>
      </c>
      <c r="DQ89">
        <v>0.19947400000000001</v>
      </c>
      <c r="DR89">
        <v>25.698799999999999</v>
      </c>
      <c r="DS89">
        <v>25.5718</v>
      </c>
      <c r="DT89">
        <v>18</v>
      </c>
      <c r="DU89">
        <v>29.7</v>
      </c>
      <c r="DV89">
        <v>7.6064699999999998</v>
      </c>
      <c r="DW89">
        <v>61.871200000000002</v>
      </c>
      <c r="DX89">
        <v>37.275599999999997</v>
      </c>
      <c r="DY89">
        <v>1</v>
      </c>
      <c r="DZ89">
        <v>-7.4118400000000001E-2</v>
      </c>
      <c r="EA89">
        <v>-0.124047</v>
      </c>
      <c r="EB89">
        <v>20.189800000000002</v>
      </c>
      <c r="EC89">
        <v>5.2409499999999998</v>
      </c>
      <c r="ED89">
        <v>12.039899999999999</v>
      </c>
      <c r="EE89">
        <v>5.0168999999999997</v>
      </c>
      <c r="EF89">
        <v>3.2879999999999998</v>
      </c>
      <c r="EG89">
        <v>9999</v>
      </c>
      <c r="EH89">
        <v>9999</v>
      </c>
      <c r="EI89">
        <v>9999</v>
      </c>
      <c r="EJ89">
        <v>999.9</v>
      </c>
      <c r="EK89">
        <v>1.8689100000000001</v>
      </c>
      <c r="EL89">
        <v>1.8646400000000001</v>
      </c>
      <c r="EM89">
        <v>1.8692</v>
      </c>
      <c r="EN89">
        <v>1.8672299999999999</v>
      </c>
      <c r="EO89">
        <v>1.8633999999999999</v>
      </c>
      <c r="EP89">
        <v>1.86456</v>
      </c>
      <c r="EQ89">
        <v>1.87015</v>
      </c>
      <c r="ER89">
        <v>1.86944</v>
      </c>
      <c r="ES89">
        <v>0</v>
      </c>
      <c r="ET89">
        <v>0</v>
      </c>
      <c r="EU89">
        <v>0</v>
      </c>
      <c r="EV89">
        <v>0</v>
      </c>
      <c r="EW89" t="s">
        <v>334</v>
      </c>
      <c r="EX89" t="s">
        <v>335</v>
      </c>
      <c r="EY89" t="s">
        <v>336</v>
      </c>
      <c r="EZ89" t="s">
        <v>336</v>
      </c>
      <c r="FA89" t="s">
        <v>336</v>
      </c>
      <c r="FB89" t="s">
        <v>336</v>
      </c>
      <c r="FC89">
        <v>0</v>
      </c>
      <c r="FD89">
        <v>100</v>
      </c>
      <c r="FE89">
        <v>100</v>
      </c>
      <c r="FF89">
        <v>-0.35</v>
      </c>
      <c r="FG89">
        <v>0.2346</v>
      </c>
      <c r="FH89">
        <v>4.0020685143421282E-2</v>
      </c>
      <c r="FI89">
        <v>-6.1462078757559423E-4</v>
      </c>
      <c r="FJ89">
        <v>-1.8861989874597051E-7</v>
      </c>
      <c r="FK89">
        <v>1.1980462299894961E-10</v>
      </c>
      <c r="FL89">
        <v>-3.1035565592992288E-2</v>
      </c>
      <c r="FM89">
        <v>-1.6848085045870601E-2</v>
      </c>
      <c r="FN89">
        <v>1.9789084769509481E-3</v>
      </c>
      <c r="FO89">
        <v>-2.7142391389806329E-5</v>
      </c>
      <c r="FP89">
        <v>3</v>
      </c>
      <c r="FQ89">
        <v>2158</v>
      </c>
      <c r="FR89">
        <v>1</v>
      </c>
      <c r="FS89">
        <v>19</v>
      </c>
      <c r="FT89">
        <v>20.3</v>
      </c>
      <c r="FU89">
        <v>20.2</v>
      </c>
      <c r="FV89">
        <v>1.77979</v>
      </c>
      <c r="FW89">
        <v>2.5744600000000002</v>
      </c>
      <c r="FX89">
        <v>1.5490699999999999</v>
      </c>
      <c r="FY89">
        <v>2.3290999999999999</v>
      </c>
      <c r="FZ89">
        <v>1.50146</v>
      </c>
      <c r="GA89">
        <v>2.3938000000000001</v>
      </c>
      <c r="GB89">
        <v>33.828299999999999</v>
      </c>
      <c r="GC89">
        <v>23.991199999999999</v>
      </c>
      <c r="GD89">
        <v>19</v>
      </c>
      <c r="GE89">
        <v>244.19</v>
      </c>
      <c r="GF89">
        <v>582.69799999999998</v>
      </c>
      <c r="GG89">
        <v>25.209</v>
      </c>
      <c r="GH89">
        <v>26.4543</v>
      </c>
      <c r="GI89">
        <v>30.0002</v>
      </c>
      <c r="GJ89">
        <v>26.591000000000001</v>
      </c>
      <c r="GK89">
        <v>26.564599999999999</v>
      </c>
      <c r="GL89">
        <v>35.583500000000001</v>
      </c>
      <c r="GM89">
        <v>-30</v>
      </c>
      <c r="GN89">
        <v>-30</v>
      </c>
      <c r="GO89">
        <v>25.22</v>
      </c>
      <c r="GP89">
        <v>800</v>
      </c>
      <c r="GQ89">
        <v>12.5298</v>
      </c>
      <c r="GR89">
        <v>99.660200000000003</v>
      </c>
      <c r="GS89">
        <v>99.438999999999993</v>
      </c>
    </row>
    <row r="90" spans="1:201" x14ac:dyDescent="0.25">
      <c r="A90">
        <v>74</v>
      </c>
      <c r="B90">
        <v>1690213145.5999999</v>
      </c>
      <c r="C90">
        <v>878.09999990463257</v>
      </c>
      <c r="D90" t="s">
        <v>479</v>
      </c>
      <c r="E90" t="s">
        <v>480</v>
      </c>
      <c r="F90" t="s">
        <v>330</v>
      </c>
      <c r="H90">
        <v>1690213145.5999999</v>
      </c>
      <c r="I90">
        <f t="shared" si="30"/>
        <v>1.3597811280102227E-3</v>
      </c>
      <c r="J90">
        <f t="shared" si="31"/>
        <v>1.3597811280102226</v>
      </c>
      <c r="K90">
        <f t="shared" si="32"/>
        <v>19.469669864050992</v>
      </c>
      <c r="L90">
        <f t="shared" si="33"/>
        <v>567.39800000000002</v>
      </c>
      <c r="M90">
        <f t="shared" si="34"/>
        <v>116.0862776335982</v>
      </c>
      <c r="N90">
        <f t="shared" si="35"/>
        <v>11.51536288704621</v>
      </c>
      <c r="O90">
        <f t="shared" si="36"/>
        <v>56.283946772820002</v>
      </c>
      <c r="P90">
        <f t="shared" si="37"/>
        <v>7.1870517066214099E-2</v>
      </c>
      <c r="Q90">
        <f t="shared" si="38"/>
        <v>2.0128073242612885</v>
      </c>
      <c r="R90">
        <f t="shared" si="39"/>
        <v>7.0474694264031107E-2</v>
      </c>
      <c r="S90">
        <f t="shared" si="40"/>
        <v>4.4169835143072163E-2</v>
      </c>
      <c r="T90">
        <f t="shared" si="41"/>
        <v>276.11443314040491</v>
      </c>
      <c r="U90">
        <f t="shared" si="42"/>
        <v>28.784221449554302</v>
      </c>
      <c r="V90">
        <f t="shared" si="43"/>
        <v>28.784221449554302</v>
      </c>
      <c r="W90">
        <f t="shared" si="44"/>
        <v>3.9718289199882437</v>
      </c>
      <c r="X90">
        <f t="shared" si="45"/>
        <v>59.188417493412672</v>
      </c>
      <c r="Y90">
        <f t="shared" si="46"/>
        <v>2.1166072391249999</v>
      </c>
      <c r="Z90">
        <f t="shared" si="47"/>
        <v>3.5760497218236424</v>
      </c>
      <c r="AA90">
        <f t="shared" si="48"/>
        <v>1.8552216808632438</v>
      </c>
      <c r="AB90">
        <f t="shared" si="49"/>
        <v>-59.966347745250822</v>
      </c>
      <c r="AC90">
        <f t="shared" si="50"/>
        <v>-195.2198563565527</v>
      </c>
      <c r="AD90">
        <f t="shared" si="51"/>
        <v>-21.117243790856065</v>
      </c>
      <c r="AE90">
        <f t="shared" si="52"/>
        <v>-0.18901475225467834</v>
      </c>
      <c r="AF90">
        <v>36</v>
      </c>
      <c r="AG90">
        <v>12</v>
      </c>
      <c r="AH90">
        <f t="shared" si="53"/>
        <v>1</v>
      </c>
      <c r="AI90">
        <f t="shared" si="54"/>
        <v>0</v>
      </c>
      <c r="AJ90">
        <f t="shared" si="55"/>
        <v>52439.755269732595</v>
      </c>
      <c r="AK90">
        <f t="shared" si="56"/>
        <v>1799.99</v>
      </c>
      <c r="AL90">
        <f t="shared" si="57"/>
        <v>1499.1028634044897</v>
      </c>
      <c r="AM90">
        <f t="shared" si="58"/>
        <v>0.83283955099999984</v>
      </c>
      <c r="AN90">
        <f t="shared" si="59"/>
        <v>0.15339775951000001</v>
      </c>
      <c r="AO90">
        <v>34.5</v>
      </c>
      <c r="AP90">
        <v>0.5</v>
      </c>
      <c r="AQ90" t="s">
        <v>331</v>
      </c>
      <c r="AR90">
        <v>2</v>
      </c>
      <c r="AS90">
        <v>1690213145.5999999</v>
      </c>
      <c r="AT90">
        <v>567.39800000000002</v>
      </c>
      <c r="AU90">
        <v>800.02300000000002</v>
      </c>
      <c r="AV90">
        <v>21.337499999999999</v>
      </c>
      <c r="AW90">
        <v>6.0434700000000001</v>
      </c>
      <c r="AX90">
        <v>567.745</v>
      </c>
      <c r="AY90">
        <v>21.097999999999999</v>
      </c>
      <c r="AZ90">
        <v>300.19200000000001</v>
      </c>
      <c r="BA90">
        <v>99.096599999999995</v>
      </c>
      <c r="BB90">
        <v>9.9989999999999996E-2</v>
      </c>
      <c r="BC90">
        <v>26.985199999999999</v>
      </c>
      <c r="BD90">
        <v>26.9877</v>
      </c>
      <c r="BE90">
        <v>28.841799999999999</v>
      </c>
      <c r="BF90">
        <v>0</v>
      </c>
      <c r="BG90">
        <v>0</v>
      </c>
      <c r="BH90">
        <v>10007.5</v>
      </c>
      <c r="BI90">
        <v>1075.82</v>
      </c>
      <c r="BJ90">
        <v>2.0744500000000001</v>
      </c>
      <c r="BK90">
        <v>-232.625</v>
      </c>
      <c r="BL90">
        <v>579.76800000000003</v>
      </c>
      <c r="BM90">
        <v>804.88699999999994</v>
      </c>
      <c r="BN90">
        <v>15.294</v>
      </c>
      <c r="BO90">
        <v>800.02300000000002</v>
      </c>
      <c r="BP90">
        <v>6.0434700000000001</v>
      </c>
      <c r="BQ90">
        <v>2.1144699999999998</v>
      </c>
      <c r="BR90">
        <v>0.59888699999999995</v>
      </c>
      <c r="BS90">
        <v>18.328600000000002</v>
      </c>
      <c r="BT90">
        <v>-0.33480700000000002</v>
      </c>
      <c r="BU90">
        <v>1799.99</v>
      </c>
      <c r="BV90">
        <v>0.90998999999999997</v>
      </c>
      <c r="BW90">
        <v>3.3999500000000002E-2</v>
      </c>
      <c r="BX90">
        <v>2.2004800000000001E-2</v>
      </c>
      <c r="BY90">
        <v>3.4005500000000001E-2</v>
      </c>
      <c r="BZ90">
        <v>26</v>
      </c>
      <c r="CA90">
        <v>33528.199999999997</v>
      </c>
      <c r="CB90">
        <v>1690211922</v>
      </c>
      <c r="CC90" t="s">
        <v>332</v>
      </c>
      <c r="CD90">
        <v>1690211915</v>
      </c>
      <c r="CE90">
        <v>1690211922</v>
      </c>
      <c r="CF90">
        <v>6</v>
      </c>
      <c r="CG90">
        <v>1.0999999999999999E-2</v>
      </c>
      <c r="CH90">
        <v>8.0000000000000002E-3</v>
      </c>
      <c r="CI90">
        <v>-0.51100000000000001</v>
      </c>
      <c r="CJ90">
        <v>-6.6000000000000003E-2</v>
      </c>
      <c r="CK90">
        <v>800</v>
      </c>
      <c r="CL90">
        <v>6</v>
      </c>
      <c r="CM90">
        <v>0.21</v>
      </c>
      <c r="CN90">
        <v>0.02</v>
      </c>
      <c r="CO90">
        <v>-228.78084999999999</v>
      </c>
      <c r="CP90">
        <v>-22.49257035647285</v>
      </c>
      <c r="CQ90">
        <v>2.1639242772102718</v>
      </c>
      <c r="CR90">
        <v>-1</v>
      </c>
      <c r="CS90">
        <v>15.1223975</v>
      </c>
      <c r="CT90">
        <v>0.99331294559098593</v>
      </c>
      <c r="CU90">
        <v>9.5554912190583041E-2</v>
      </c>
      <c r="CV90">
        <v>-1</v>
      </c>
      <c r="CW90">
        <v>0</v>
      </c>
      <c r="CX90">
        <v>0</v>
      </c>
      <c r="CY90" t="s">
        <v>333</v>
      </c>
      <c r="CZ90">
        <v>2.36436</v>
      </c>
      <c r="DA90">
        <v>2.7137899999999999</v>
      </c>
      <c r="DB90">
        <v>0.115776</v>
      </c>
      <c r="DC90">
        <v>0.14604500000000001</v>
      </c>
      <c r="DD90">
        <v>0.104542</v>
      </c>
      <c r="DE90">
        <v>3.9668000000000002E-2</v>
      </c>
      <c r="DF90">
        <v>32261.9</v>
      </c>
      <c r="DG90">
        <v>27487.200000000001</v>
      </c>
      <c r="DH90">
        <v>31149.200000000001</v>
      </c>
      <c r="DI90">
        <v>28048.5</v>
      </c>
      <c r="DJ90">
        <v>37866.699999999997</v>
      </c>
      <c r="DK90">
        <v>38299</v>
      </c>
      <c r="DL90">
        <v>44324.7</v>
      </c>
      <c r="DM90">
        <v>42505.1</v>
      </c>
      <c r="DN90">
        <v>1.3794</v>
      </c>
      <c r="DO90">
        <v>2.0326</v>
      </c>
      <c r="DP90">
        <v>7.8961299999999998E-2</v>
      </c>
      <c r="DQ90">
        <v>0.20027900000000001</v>
      </c>
      <c r="DR90">
        <v>25.695</v>
      </c>
      <c r="DS90">
        <v>25.567499999999999</v>
      </c>
      <c r="DT90">
        <v>18</v>
      </c>
      <c r="DU90">
        <v>29.6</v>
      </c>
      <c r="DV90">
        <v>7.5629099999999996</v>
      </c>
      <c r="DW90">
        <v>61.741199999999999</v>
      </c>
      <c r="DX90">
        <v>37.063299999999998</v>
      </c>
      <c r="DY90">
        <v>1</v>
      </c>
      <c r="DZ90">
        <v>-7.40701E-2</v>
      </c>
      <c r="EA90">
        <v>-0.15576799999999999</v>
      </c>
      <c r="EB90">
        <v>20.189800000000002</v>
      </c>
      <c r="EC90">
        <v>5.2409499999999998</v>
      </c>
      <c r="ED90">
        <v>12.039899999999999</v>
      </c>
      <c r="EE90">
        <v>5.01675</v>
      </c>
      <c r="EF90">
        <v>3.2879999999999998</v>
      </c>
      <c r="EG90">
        <v>9999</v>
      </c>
      <c r="EH90">
        <v>9999</v>
      </c>
      <c r="EI90">
        <v>9999</v>
      </c>
      <c r="EJ90">
        <v>999.9</v>
      </c>
      <c r="EK90">
        <v>1.8689199999999999</v>
      </c>
      <c r="EL90">
        <v>1.8646400000000001</v>
      </c>
      <c r="EM90">
        <v>1.8691899999999999</v>
      </c>
      <c r="EN90">
        <v>1.86724</v>
      </c>
      <c r="EO90">
        <v>1.86341</v>
      </c>
      <c r="EP90">
        <v>1.8645499999999999</v>
      </c>
      <c r="EQ90">
        <v>1.8701300000000001</v>
      </c>
      <c r="ER90">
        <v>1.8694299999999999</v>
      </c>
      <c r="ES90">
        <v>0</v>
      </c>
      <c r="ET90">
        <v>0</v>
      </c>
      <c r="EU90">
        <v>0</v>
      </c>
      <c r="EV90">
        <v>0</v>
      </c>
      <c r="EW90" t="s">
        <v>334</v>
      </c>
      <c r="EX90" t="s">
        <v>335</v>
      </c>
      <c r="EY90" t="s">
        <v>336</v>
      </c>
      <c r="EZ90" t="s">
        <v>336</v>
      </c>
      <c r="FA90" t="s">
        <v>336</v>
      </c>
      <c r="FB90" t="s">
        <v>336</v>
      </c>
      <c r="FC90">
        <v>0</v>
      </c>
      <c r="FD90">
        <v>100</v>
      </c>
      <c r="FE90">
        <v>100</v>
      </c>
      <c r="FF90">
        <v>-0.34699999999999998</v>
      </c>
      <c r="FG90">
        <v>0.23949999999999999</v>
      </c>
      <c r="FH90">
        <v>4.0020685143421282E-2</v>
      </c>
      <c r="FI90">
        <v>-6.1462078757559423E-4</v>
      </c>
      <c r="FJ90">
        <v>-1.8861989874597051E-7</v>
      </c>
      <c r="FK90">
        <v>1.1980462299894961E-10</v>
      </c>
      <c r="FL90">
        <v>-3.1035565592992288E-2</v>
      </c>
      <c r="FM90">
        <v>-1.6848085045870601E-2</v>
      </c>
      <c r="FN90">
        <v>1.9789084769509481E-3</v>
      </c>
      <c r="FO90">
        <v>-2.7142391389806329E-5</v>
      </c>
      <c r="FP90">
        <v>3</v>
      </c>
      <c r="FQ90">
        <v>2158</v>
      </c>
      <c r="FR90">
        <v>1</v>
      </c>
      <c r="FS90">
        <v>19</v>
      </c>
      <c r="FT90">
        <v>20.5</v>
      </c>
      <c r="FU90">
        <v>20.399999999999999</v>
      </c>
      <c r="FV90">
        <v>1.77979</v>
      </c>
      <c r="FW90">
        <v>2.5756800000000002</v>
      </c>
      <c r="FX90">
        <v>1.5490699999999999</v>
      </c>
      <c r="FY90">
        <v>2.3290999999999999</v>
      </c>
      <c r="FZ90">
        <v>1.50146</v>
      </c>
      <c r="GA90">
        <v>2.3718300000000001</v>
      </c>
      <c r="GB90">
        <v>33.828299999999999</v>
      </c>
      <c r="GC90">
        <v>23.991199999999999</v>
      </c>
      <c r="GD90">
        <v>19</v>
      </c>
      <c r="GE90">
        <v>244.60900000000001</v>
      </c>
      <c r="GF90">
        <v>582.56899999999996</v>
      </c>
      <c r="GG90">
        <v>25.233799999999999</v>
      </c>
      <c r="GH90">
        <v>26.452000000000002</v>
      </c>
      <c r="GI90">
        <v>30.0002</v>
      </c>
      <c r="GJ90">
        <v>26.5899</v>
      </c>
      <c r="GK90">
        <v>26.5624</v>
      </c>
      <c r="GL90">
        <v>35.582599999999999</v>
      </c>
      <c r="GM90">
        <v>-30</v>
      </c>
      <c r="GN90">
        <v>-30</v>
      </c>
      <c r="GO90">
        <v>25.241599999999998</v>
      </c>
      <c r="GP90">
        <v>800</v>
      </c>
      <c r="GQ90">
        <v>12.5298</v>
      </c>
      <c r="GR90">
        <v>99.659400000000005</v>
      </c>
      <c r="GS90">
        <v>99.440299999999993</v>
      </c>
    </row>
    <row r="91" spans="1:201" x14ac:dyDescent="0.25">
      <c r="A91">
        <v>75</v>
      </c>
      <c r="B91">
        <v>1690213155.5999999</v>
      </c>
      <c r="C91">
        <v>888.09999990463257</v>
      </c>
      <c r="D91" t="s">
        <v>481</v>
      </c>
      <c r="E91" t="s">
        <v>482</v>
      </c>
      <c r="F91" t="s">
        <v>330</v>
      </c>
      <c r="H91">
        <v>1690213155.5999999</v>
      </c>
      <c r="I91">
        <f t="shared" si="30"/>
        <v>1.374895524663999E-3</v>
      </c>
      <c r="J91">
        <f t="shared" si="31"/>
        <v>1.3748955246639989</v>
      </c>
      <c r="K91">
        <f t="shared" si="32"/>
        <v>19.793464035829402</v>
      </c>
      <c r="L91">
        <f t="shared" si="33"/>
        <v>563.66499999999996</v>
      </c>
      <c r="M91">
        <f t="shared" si="34"/>
        <v>114.23150857598411</v>
      </c>
      <c r="N91">
        <f t="shared" si="35"/>
        <v>11.332264511158726</v>
      </c>
      <c r="O91">
        <f t="shared" si="36"/>
        <v>55.9180295814215</v>
      </c>
      <c r="P91">
        <f t="shared" si="37"/>
        <v>7.3374095220825539E-2</v>
      </c>
      <c r="Q91">
        <f t="shared" si="38"/>
        <v>2.0118434194831654</v>
      </c>
      <c r="R91">
        <f t="shared" si="39"/>
        <v>7.1919213398767001E-2</v>
      </c>
      <c r="S91">
        <f t="shared" si="40"/>
        <v>4.5077820990934839E-2</v>
      </c>
      <c r="T91">
        <f t="shared" si="41"/>
        <v>276.11575005600002</v>
      </c>
      <c r="U91">
        <f t="shared" si="42"/>
        <v>28.782954659929686</v>
      </c>
      <c r="V91">
        <f t="shared" si="43"/>
        <v>28.782954659929686</v>
      </c>
      <c r="W91">
        <f t="shared" si="44"/>
        <v>3.9715373147740025</v>
      </c>
      <c r="X91">
        <f t="shared" si="45"/>
        <v>59.64518440523814</v>
      </c>
      <c r="Y91">
        <f t="shared" si="46"/>
        <v>2.1333799940487896</v>
      </c>
      <c r="Z91">
        <f t="shared" si="47"/>
        <v>3.5767849748846325</v>
      </c>
      <c r="AA91">
        <f t="shared" si="48"/>
        <v>1.8381573207252129</v>
      </c>
      <c r="AB91">
        <f t="shared" si="49"/>
        <v>-60.632892637682353</v>
      </c>
      <c r="AC91">
        <f t="shared" si="50"/>
        <v>-194.60935041477305</v>
      </c>
      <c r="AD91">
        <f t="shared" si="51"/>
        <v>-21.061523823074324</v>
      </c>
      <c r="AE91">
        <f t="shared" si="52"/>
        <v>-0.18801681952967897</v>
      </c>
      <c r="AF91">
        <v>36</v>
      </c>
      <c r="AG91">
        <v>12</v>
      </c>
      <c r="AH91">
        <f t="shared" si="53"/>
        <v>1</v>
      </c>
      <c r="AI91">
        <f t="shared" si="54"/>
        <v>0</v>
      </c>
      <c r="AJ91">
        <f t="shared" si="55"/>
        <v>52393.011039627432</v>
      </c>
      <c r="AK91">
        <f t="shared" si="56"/>
        <v>1800</v>
      </c>
      <c r="AL91">
        <f t="shared" si="57"/>
        <v>1499.1119136</v>
      </c>
      <c r="AM91">
        <f t="shared" si="58"/>
        <v>0.83283995199999994</v>
      </c>
      <c r="AN91">
        <f t="shared" si="59"/>
        <v>0.15339763892000002</v>
      </c>
      <c r="AO91">
        <v>34.5</v>
      </c>
      <c r="AP91">
        <v>0.5</v>
      </c>
      <c r="AQ91" t="s">
        <v>331</v>
      </c>
      <c r="AR91">
        <v>2</v>
      </c>
      <c r="AS91">
        <v>1690213155.5999999</v>
      </c>
      <c r="AT91">
        <v>563.66499999999996</v>
      </c>
      <c r="AU91">
        <v>800.06500000000005</v>
      </c>
      <c r="AV91">
        <v>21.504899999999999</v>
      </c>
      <c r="AW91">
        <v>6.0425899999999997</v>
      </c>
      <c r="AX91">
        <v>564.01</v>
      </c>
      <c r="AY91">
        <v>21.2605</v>
      </c>
      <c r="AZ91">
        <v>300.17399999999998</v>
      </c>
      <c r="BA91">
        <v>99.104399999999998</v>
      </c>
      <c r="BB91">
        <v>9.9967100000000003E-2</v>
      </c>
      <c r="BC91">
        <v>26.988700000000001</v>
      </c>
      <c r="BD91">
        <v>26.985099999999999</v>
      </c>
      <c r="BE91">
        <v>28.825199999999999</v>
      </c>
      <c r="BF91">
        <v>0</v>
      </c>
      <c r="BG91">
        <v>0</v>
      </c>
      <c r="BH91">
        <v>9997.5</v>
      </c>
      <c r="BI91">
        <v>1075.75</v>
      </c>
      <c r="BJ91">
        <v>2.0744500000000001</v>
      </c>
      <c r="BK91">
        <v>-236.4</v>
      </c>
      <c r="BL91">
        <v>576.053</v>
      </c>
      <c r="BM91">
        <v>804.92899999999997</v>
      </c>
      <c r="BN91">
        <v>15.462300000000001</v>
      </c>
      <c r="BO91">
        <v>800.06500000000005</v>
      </c>
      <c r="BP91">
        <v>6.0425899999999997</v>
      </c>
      <c r="BQ91">
        <v>2.13123</v>
      </c>
      <c r="BR91">
        <v>0.59884700000000002</v>
      </c>
      <c r="BS91">
        <v>18.454499999999999</v>
      </c>
      <c r="BT91">
        <v>-0.335727</v>
      </c>
      <c r="BU91">
        <v>1800</v>
      </c>
      <c r="BV91">
        <v>0.909995</v>
      </c>
      <c r="BW91">
        <v>3.3997600000000003E-2</v>
      </c>
      <c r="BX91">
        <v>2.2003600000000002E-2</v>
      </c>
      <c r="BY91">
        <v>3.4003600000000002E-2</v>
      </c>
      <c r="BZ91">
        <v>26</v>
      </c>
      <c r="CA91">
        <v>33528.199999999997</v>
      </c>
      <c r="CB91">
        <v>1690211922</v>
      </c>
      <c r="CC91" t="s">
        <v>332</v>
      </c>
      <c r="CD91">
        <v>1690211915</v>
      </c>
      <c r="CE91">
        <v>1690211922</v>
      </c>
      <c r="CF91">
        <v>6</v>
      </c>
      <c r="CG91">
        <v>1.0999999999999999E-2</v>
      </c>
      <c r="CH91">
        <v>8.0000000000000002E-3</v>
      </c>
      <c r="CI91">
        <v>-0.51100000000000001</v>
      </c>
      <c r="CJ91">
        <v>-6.6000000000000003E-2</v>
      </c>
      <c r="CK91">
        <v>800</v>
      </c>
      <c r="CL91">
        <v>6</v>
      </c>
      <c r="CM91">
        <v>0.21</v>
      </c>
      <c r="CN91">
        <v>0.02</v>
      </c>
      <c r="CO91">
        <v>-232.19343902439019</v>
      </c>
      <c r="CP91">
        <v>-22.027986062718149</v>
      </c>
      <c r="CQ91">
        <v>2.172634031889833</v>
      </c>
      <c r="CR91">
        <v>-1</v>
      </c>
      <c r="CS91">
        <v>15.27570487804878</v>
      </c>
      <c r="CT91">
        <v>0.99888710801392766</v>
      </c>
      <c r="CU91">
        <v>9.8496110982330867E-2</v>
      </c>
      <c r="CV91">
        <v>-1</v>
      </c>
      <c r="CW91">
        <v>0</v>
      </c>
      <c r="CX91">
        <v>0</v>
      </c>
      <c r="CY91" t="s">
        <v>333</v>
      </c>
      <c r="CZ91">
        <v>2.3643000000000001</v>
      </c>
      <c r="DA91">
        <v>2.7137600000000002</v>
      </c>
      <c r="DB91">
        <v>0.115245</v>
      </c>
      <c r="DC91">
        <v>0.146062</v>
      </c>
      <c r="DD91">
        <v>0.10512199999999999</v>
      </c>
      <c r="DE91">
        <v>3.9666600000000003E-2</v>
      </c>
      <c r="DF91">
        <v>32281.200000000001</v>
      </c>
      <c r="DG91">
        <v>27487.1</v>
      </c>
      <c r="DH91">
        <v>31149</v>
      </c>
      <c r="DI91">
        <v>28048.9</v>
      </c>
      <c r="DJ91">
        <v>37841.699999999997</v>
      </c>
      <c r="DK91">
        <v>38299.599999999999</v>
      </c>
      <c r="DL91">
        <v>44324.4</v>
      </c>
      <c r="DM91">
        <v>42505.7</v>
      </c>
      <c r="DN91">
        <v>1.3789499999999999</v>
      </c>
      <c r="DO91">
        <v>2.0327700000000002</v>
      </c>
      <c r="DP91">
        <v>7.8964999999999994E-2</v>
      </c>
      <c r="DQ91">
        <v>0.19928799999999999</v>
      </c>
      <c r="DR91">
        <v>25.692399999999999</v>
      </c>
      <c r="DS91">
        <v>25.567</v>
      </c>
      <c r="DT91">
        <v>18</v>
      </c>
      <c r="DU91">
        <v>29.7</v>
      </c>
      <c r="DV91">
        <v>7.6060299999999996</v>
      </c>
      <c r="DW91">
        <v>61.431199999999997</v>
      </c>
      <c r="DX91">
        <v>36.967100000000002</v>
      </c>
      <c r="DY91">
        <v>1</v>
      </c>
      <c r="DZ91">
        <v>-7.4265800000000007E-2</v>
      </c>
      <c r="EA91">
        <v>-0.146149</v>
      </c>
      <c r="EB91">
        <v>20.189800000000002</v>
      </c>
      <c r="EC91">
        <v>5.2408000000000001</v>
      </c>
      <c r="ED91">
        <v>12.039899999999999</v>
      </c>
      <c r="EE91">
        <v>5.0170000000000003</v>
      </c>
      <c r="EF91">
        <v>3.2879999999999998</v>
      </c>
      <c r="EG91">
        <v>9999</v>
      </c>
      <c r="EH91">
        <v>9999</v>
      </c>
      <c r="EI91">
        <v>9999</v>
      </c>
      <c r="EJ91">
        <v>999.9</v>
      </c>
      <c r="EK91">
        <v>1.8689100000000001</v>
      </c>
      <c r="EL91">
        <v>1.8646199999999999</v>
      </c>
      <c r="EM91">
        <v>1.8691899999999999</v>
      </c>
      <c r="EN91">
        <v>1.8672200000000001</v>
      </c>
      <c r="EO91">
        <v>1.8633999999999999</v>
      </c>
      <c r="EP91">
        <v>1.8645099999999999</v>
      </c>
      <c r="EQ91">
        <v>1.8701399999999999</v>
      </c>
      <c r="ER91">
        <v>1.8694</v>
      </c>
      <c r="ES91">
        <v>0</v>
      </c>
      <c r="ET91">
        <v>0</v>
      </c>
      <c r="EU91">
        <v>0</v>
      </c>
      <c r="EV91">
        <v>0</v>
      </c>
      <c r="EW91" t="s">
        <v>334</v>
      </c>
      <c r="EX91" t="s">
        <v>335</v>
      </c>
      <c r="EY91" t="s">
        <v>336</v>
      </c>
      <c r="EZ91" t="s">
        <v>336</v>
      </c>
      <c r="FA91" t="s">
        <v>336</v>
      </c>
      <c r="FB91" t="s">
        <v>336</v>
      </c>
      <c r="FC91">
        <v>0</v>
      </c>
      <c r="FD91">
        <v>100</v>
      </c>
      <c r="FE91">
        <v>100</v>
      </c>
      <c r="FF91">
        <v>-0.34499999999999997</v>
      </c>
      <c r="FG91">
        <v>0.24440000000000001</v>
      </c>
      <c r="FH91">
        <v>4.0020685143421282E-2</v>
      </c>
      <c r="FI91">
        <v>-6.1462078757559423E-4</v>
      </c>
      <c r="FJ91">
        <v>-1.8861989874597051E-7</v>
      </c>
      <c r="FK91">
        <v>1.1980462299894961E-10</v>
      </c>
      <c r="FL91">
        <v>-3.1035565592992288E-2</v>
      </c>
      <c r="FM91">
        <v>-1.6848085045870601E-2</v>
      </c>
      <c r="FN91">
        <v>1.9789084769509481E-3</v>
      </c>
      <c r="FO91">
        <v>-2.7142391389806329E-5</v>
      </c>
      <c r="FP91">
        <v>3</v>
      </c>
      <c r="FQ91">
        <v>2158</v>
      </c>
      <c r="FR91">
        <v>1</v>
      </c>
      <c r="FS91">
        <v>19</v>
      </c>
      <c r="FT91">
        <v>20.7</v>
      </c>
      <c r="FU91">
        <v>20.6</v>
      </c>
      <c r="FV91">
        <v>1.77979</v>
      </c>
      <c r="FW91">
        <v>2.5769000000000002</v>
      </c>
      <c r="FX91">
        <v>1.5490699999999999</v>
      </c>
      <c r="FY91">
        <v>2.3290999999999999</v>
      </c>
      <c r="FZ91">
        <v>1.50146</v>
      </c>
      <c r="GA91">
        <v>2.4011200000000001</v>
      </c>
      <c r="GB91">
        <v>33.828299999999999</v>
      </c>
      <c r="GC91">
        <v>23.991199999999999</v>
      </c>
      <c r="GD91">
        <v>19</v>
      </c>
      <c r="GE91">
        <v>244.43100000000001</v>
      </c>
      <c r="GF91">
        <v>582.68899999999996</v>
      </c>
      <c r="GG91">
        <v>25.2546</v>
      </c>
      <c r="GH91">
        <v>26.4498</v>
      </c>
      <c r="GI91">
        <v>30.0001</v>
      </c>
      <c r="GJ91">
        <v>26.5884</v>
      </c>
      <c r="GK91">
        <v>26.560199999999998</v>
      </c>
      <c r="GL91">
        <v>35.5824</v>
      </c>
      <c r="GM91">
        <v>-30</v>
      </c>
      <c r="GN91">
        <v>-30</v>
      </c>
      <c r="GO91">
        <v>25.256399999999999</v>
      </c>
      <c r="GP91">
        <v>800</v>
      </c>
      <c r="GQ91">
        <v>12.5298</v>
      </c>
      <c r="GR91">
        <v>99.658699999999996</v>
      </c>
      <c r="GS91">
        <v>99.441699999999997</v>
      </c>
    </row>
    <row r="92" spans="1:201" x14ac:dyDescent="0.25">
      <c r="A92">
        <v>76</v>
      </c>
      <c r="B92">
        <v>1690213165.5999999</v>
      </c>
      <c r="C92">
        <v>898.09999990463257</v>
      </c>
      <c r="D92" t="s">
        <v>483</v>
      </c>
      <c r="E92" t="s">
        <v>484</v>
      </c>
      <c r="F92" t="s">
        <v>330</v>
      </c>
      <c r="H92">
        <v>1690213165.5999999</v>
      </c>
      <c r="I92">
        <f t="shared" si="30"/>
        <v>1.3848754585723839E-3</v>
      </c>
      <c r="J92">
        <f t="shared" si="31"/>
        <v>1.3848754585723839</v>
      </c>
      <c r="K92">
        <f t="shared" si="32"/>
        <v>20.101921787087502</v>
      </c>
      <c r="L92">
        <f t="shared" si="33"/>
        <v>560.01900000000001</v>
      </c>
      <c r="M92">
        <f t="shared" si="34"/>
        <v>110.32600351304268</v>
      </c>
      <c r="N92">
        <f t="shared" si="35"/>
        <v>10.944241027372696</v>
      </c>
      <c r="O92">
        <f t="shared" si="36"/>
        <v>55.553384703032997</v>
      </c>
      <c r="P92">
        <f t="shared" si="37"/>
        <v>7.446086034120343E-2</v>
      </c>
      <c r="Q92">
        <f t="shared" si="38"/>
        <v>2.0110030959101057</v>
      </c>
      <c r="R92">
        <f t="shared" si="39"/>
        <v>7.2962423749356783E-2</v>
      </c>
      <c r="S92">
        <f t="shared" si="40"/>
        <v>4.5733631877353256E-2</v>
      </c>
      <c r="T92">
        <f t="shared" si="41"/>
        <v>276.11554260600002</v>
      </c>
      <c r="U92">
        <f t="shared" si="42"/>
        <v>28.773275583764633</v>
      </c>
      <c r="V92">
        <f t="shared" si="43"/>
        <v>28.773275583764633</v>
      </c>
      <c r="W92">
        <f t="shared" si="44"/>
        <v>3.9693098822369306</v>
      </c>
      <c r="X92">
        <f t="shared" si="45"/>
        <v>59.978740476462221</v>
      </c>
      <c r="Y92">
        <f t="shared" si="46"/>
        <v>2.1444664553045998</v>
      </c>
      <c r="Z92">
        <f t="shared" si="47"/>
        <v>3.5753776059138223</v>
      </c>
      <c r="AA92">
        <f t="shared" si="48"/>
        <v>1.8248434269323308</v>
      </c>
      <c r="AB92">
        <f t="shared" si="49"/>
        <v>-61.073007723042132</v>
      </c>
      <c r="AC92">
        <f t="shared" si="50"/>
        <v>-194.20508126173553</v>
      </c>
      <c r="AD92">
        <f t="shared" si="51"/>
        <v>-21.024837021542393</v>
      </c>
      <c r="AE92">
        <f t="shared" si="52"/>
        <v>-0.1873834003200443</v>
      </c>
      <c r="AF92">
        <v>36</v>
      </c>
      <c r="AG92">
        <v>12</v>
      </c>
      <c r="AH92">
        <f t="shared" si="53"/>
        <v>1</v>
      </c>
      <c r="AI92">
        <f t="shared" si="54"/>
        <v>0</v>
      </c>
      <c r="AJ92">
        <f t="shared" si="55"/>
        <v>52353.728645112773</v>
      </c>
      <c r="AK92">
        <f t="shared" si="56"/>
        <v>1800</v>
      </c>
      <c r="AL92">
        <f t="shared" si="57"/>
        <v>1499.1123545999999</v>
      </c>
      <c r="AM92">
        <f t="shared" si="58"/>
        <v>0.83284019699999989</v>
      </c>
      <c r="AN92">
        <f t="shared" si="59"/>
        <v>0.15339752367000001</v>
      </c>
      <c r="AO92">
        <v>34.5</v>
      </c>
      <c r="AP92">
        <v>0.5</v>
      </c>
      <c r="AQ92" t="s">
        <v>331</v>
      </c>
      <c r="AR92">
        <v>2</v>
      </c>
      <c r="AS92">
        <v>1690213165.5999999</v>
      </c>
      <c r="AT92">
        <v>560.01900000000001</v>
      </c>
      <c r="AU92">
        <v>800.02200000000005</v>
      </c>
      <c r="AV92">
        <v>21.617799999999999</v>
      </c>
      <c r="AW92">
        <v>6.0417300000000003</v>
      </c>
      <c r="AX92">
        <v>560.36199999999997</v>
      </c>
      <c r="AY92">
        <v>21.426200000000001</v>
      </c>
      <c r="AZ92">
        <v>300.11</v>
      </c>
      <c r="BA92">
        <v>99.099199999999996</v>
      </c>
      <c r="BB92">
        <v>9.9906999999999996E-2</v>
      </c>
      <c r="BC92">
        <v>26.981999999999999</v>
      </c>
      <c r="BD92">
        <v>26.996600000000001</v>
      </c>
      <c r="BE92">
        <v>28.831</v>
      </c>
      <c r="BF92">
        <v>0</v>
      </c>
      <c r="BG92">
        <v>0</v>
      </c>
      <c r="BH92">
        <v>9990</v>
      </c>
      <c r="BI92">
        <v>1075.82</v>
      </c>
      <c r="BJ92">
        <v>2.0744500000000001</v>
      </c>
      <c r="BK92">
        <v>-240.00200000000001</v>
      </c>
      <c r="BL92">
        <v>572.39300000000003</v>
      </c>
      <c r="BM92">
        <v>804.88400000000001</v>
      </c>
      <c r="BN92">
        <v>15.5761</v>
      </c>
      <c r="BO92">
        <v>800.02200000000005</v>
      </c>
      <c r="BP92">
        <v>6.0417300000000003</v>
      </c>
      <c r="BQ92">
        <v>2.1423100000000002</v>
      </c>
      <c r="BR92">
        <v>0.59873100000000001</v>
      </c>
      <c r="BS92">
        <v>18.537299999999998</v>
      </c>
      <c r="BT92">
        <v>-0.338395</v>
      </c>
      <c r="BU92">
        <v>1800</v>
      </c>
      <c r="BV92">
        <v>0.909999</v>
      </c>
      <c r="BW92">
        <v>3.3995999999999998E-2</v>
      </c>
      <c r="BX92">
        <v>2.2002600000000001E-2</v>
      </c>
      <c r="BY92">
        <v>3.40021E-2</v>
      </c>
      <c r="BZ92">
        <v>26</v>
      </c>
      <c r="CA92">
        <v>33528.300000000003</v>
      </c>
      <c r="CB92">
        <v>1690211922</v>
      </c>
      <c r="CC92" t="s">
        <v>332</v>
      </c>
      <c r="CD92">
        <v>1690211915</v>
      </c>
      <c r="CE92">
        <v>1690211922</v>
      </c>
      <c r="CF92">
        <v>6</v>
      </c>
      <c r="CG92">
        <v>1.0999999999999999E-2</v>
      </c>
      <c r="CH92">
        <v>8.0000000000000002E-3</v>
      </c>
      <c r="CI92">
        <v>-0.51100000000000001</v>
      </c>
      <c r="CJ92">
        <v>-6.6000000000000003E-2</v>
      </c>
      <c r="CK92">
        <v>800</v>
      </c>
      <c r="CL92">
        <v>6</v>
      </c>
      <c r="CM92">
        <v>0.21</v>
      </c>
      <c r="CN92">
        <v>0.02</v>
      </c>
      <c r="CO92">
        <v>-235.92758536585359</v>
      </c>
      <c r="CP92">
        <v>-22.590836236933949</v>
      </c>
      <c r="CQ92">
        <v>2.228387298031862</v>
      </c>
      <c r="CR92">
        <v>-1</v>
      </c>
      <c r="CS92">
        <v>15.44168780487805</v>
      </c>
      <c r="CT92">
        <v>0.97411358885016908</v>
      </c>
      <c r="CU92">
        <v>9.6703207491188575E-2</v>
      </c>
      <c r="CV92">
        <v>-1</v>
      </c>
      <c r="CW92">
        <v>0</v>
      </c>
      <c r="CX92">
        <v>0</v>
      </c>
      <c r="CY92" t="s">
        <v>333</v>
      </c>
      <c r="CZ92">
        <v>2.36409</v>
      </c>
      <c r="DA92">
        <v>2.7136900000000002</v>
      </c>
      <c r="DB92">
        <v>0.11470900000000001</v>
      </c>
      <c r="DC92">
        <v>0.14604900000000001</v>
      </c>
      <c r="DD92">
        <v>0.105697</v>
      </c>
      <c r="DE92">
        <v>3.9659899999999998E-2</v>
      </c>
      <c r="DF92">
        <v>32300.6</v>
      </c>
      <c r="DG92">
        <v>27487.3</v>
      </c>
      <c r="DH92">
        <v>31148.799999999999</v>
      </c>
      <c r="DI92">
        <v>28048.6</v>
      </c>
      <c r="DJ92">
        <v>37816.800000000003</v>
      </c>
      <c r="DK92">
        <v>38299.599999999999</v>
      </c>
      <c r="DL92">
        <v>44324.1</v>
      </c>
      <c r="DM92">
        <v>42505.4</v>
      </c>
      <c r="DN92">
        <v>1.3784000000000001</v>
      </c>
      <c r="DO92">
        <v>2.0326</v>
      </c>
      <c r="DP92">
        <v>7.9765900000000001E-2</v>
      </c>
      <c r="DQ92">
        <v>0.19957900000000001</v>
      </c>
      <c r="DR92">
        <v>25.6907</v>
      </c>
      <c r="DS92">
        <v>25.568100000000001</v>
      </c>
      <c r="DT92">
        <v>18</v>
      </c>
      <c r="DU92">
        <v>29.7</v>
      </c>
      <c r="DV92">
        <v>7.6054500000000003</v>
      </c>
      <c r="DW92">
        <v>61.6312</v>
      </c>
      <c r="DX92">
        <v>36.806899999999999</v>
      </c>
      <c r="DY92">
        <v>1</v>
      </c>
      <c r="DZ92">
        <v>-7.4461399999999997E-2</v>
      </c>
      <c r="EA92">
        <v>-0.16950699999999999</v>
      </c>
      <c r="EB92">
        <v>20.189699999999998</v>
      </c>
      <c r="EC92">
        <v>5.2401999999999997</v>
      </c>
      <c r="ED92">
        <v>12.039899999999999</v>
      </c>
      <c r="EE92">
        <v>5.0164999999999997</v>
      </c>
      <c r="EF92">
        <v>3.2879999999999998</v>
      </c>
      <c r="EG92">
        <v>9999</v>
      </c>
      <c r="EH92">
        <v>9999</v>
      </c>
      <c r="EI92">
        <v>9999</v>
      </c>
      <c r="EJ92">
        <v>999.9</v>
      </c>
      <c r="EK92">
        <v>1.8689</v>
      </c>
      <c r="EL92">
        <v>1.86466</v>
      </c>
      <c r="EM92">
        <v>1.8691899999999999</v>
      </c>
      <c r="EN92">
        <v>1.8672200000000001</v>
      </c>
      <c r="EO92">
        <v>1.86341</v>
      </c>
      <c r="EP92">
        <v>1.8645499999999999</v>
      </c>
      <c r="EQ92">
        <v>1.8701399999999999</v>
      </c>
      <c r="ER92">
        <v>1.8694299999999999</v>
      </c>
      <c r="ES92">
        <v>0</v>
      </c>
      <c r="ET92">
        <v>0</v>
      </c>
      <c r="EU92">
        <v>0</v>
      </c>
      <c r="EV92">
        <v>0</v>
      </c>
      <c r="EW92" t="s">
        <v>334</v>
      </c>
      <c r="EX92" t="s">
        <v>335</v>
      </c>
      <c r="EY92" t="s">
        <v>336</v>
      </c>
      <c r="EZ92" t="s">
        <v>336</v>
      </c>
      <c r="FA92" t="s">
        <v>336</v>
      </c>
      <c r="FB92" t="s">
        <v>336</v>
      </c>
      <c r="FC92">
        <v>0</v>
      </c>
      <c r="FD92">
        <v>100</v>
      </c>
      <c r="FE92">
        <v>100</v>
      </c>
      <c r="FF92">
        <v>-0.34300000000000003</v>
      </c>
      <c r="FG92">
        <v>0.19159999999999999</v>
      </c>
      <c r="FH92">
        <v>4.0020685143421282E-2</v>
      </c>
      <c r="FI92">
        <v>-6.1462078757559423E-4</v>
      </c>
      <c r="FJ92">
        <v>-1.8861989874597051E-7</v>
      </c>
      <c r="FK92">
        <v>1.1980462299894961E-10</v>
      </c>
      <c r="FL92">
        <v>0.19160597004026461</v>
      </c>
      <c r="FM92">
        <v>0</v>
      </c>
      <c r="FN92">
        <v>0</v>
      </c>
      <c r="FO92">
        <v>0</v>
      </c>
      <c r="FP92">
        <v>3</v>
      </c>
      <c r="FQ92">
        <v>2158</v>
      </c>
      <c r="FR92">
        <v>1</v>
      </c>
      <c r="FS92">
        <v>19</v>
      </c>
      <c r="FT92">
        <v>20.8</v>
      </c>
      <c r="FU92">
        <v>20.7</v>
      </c>
      <c r="FV92">
        <v>1.77979</v>
      </c>
      <c r="FW92">
        <v>2.5744600000000002</v>
      </c>
      <c r="FX92">
        <v>1.5490699999999999</v>
      </c>
      <c r="FY92">
        <v>2.3290999999999999</v>
      </c>
      <c r="FZ92">
        <v>1.50146</v>
      </c>
      <c r="GA92">
        <v>2.3974600000000001</v>
      </c>
      <c r="GB92">
        <v>33.850900000000003</v>
      </c>
      <c r="GC92">
        <v>23.991199999999999</v>
      </c>
      <c r="GD92">
        <v>19</v>
      </c>
      <c r="GE92">
        <v>244.21100000000001</v>
      </c>
      <c r="GF92">
        <v>582.54399999999998</v>
      </c>
      <c r="GG92">
        <v>25.2715</v>
      </c>
      <c r="GH92">
        <v>26.4482</v>
      </c>
      <c r="GI92">
        <v>29.9999</v>
      </c>
      <c r="GJ92">
        <v>26.586099999999998</v>
      </c>
      <c r="GK92">
        <v>26.560099999999998</v>
      </c>
      <c r="GL92">
        <v>35.581499999999998</v>
      </c>
      <c r="GM92">
        <v>-30</v>
      </c>
      <c r="GN92">
        <v>-30</v>
      </c>
      <c r="GO92">
        <v>25.277100000000001</v>
      </c>
      <c r="GP92">
        <v>800</v>
      </c>
      <c r="GQ92">
        <v>12.5298</v>
      </c>
      <c r="GR92">
        <v>99.658199999999994</v>
      </c>
      <c r="GS92">
        <v>99.441000000000003</v>
      </c>
    </row>
    <row r="93" spans="1:201" x14ac:dyDescent="0.25">
      <c r="A93">
        <v>77</v>
      </c>
      <c r="B93">
        <v>1690213175.5999999</v>
      </c>
      <c r="C93">
        <v>908.09999990463257</v>
      </c>
      <c r="D93" t="s">
        <v>485</v>
      </c>
      <c r="E93" t="s">
        <v>486</v>
      </c>
      <c r="F93" t="s">
        <v>330</v>
      </c>
      <c r="H93">
        <v>1690213175.5999999</v>
      </c>
      <c r="I93">
        <f t="shared" si="30"/>
        <v>1.4006230616351492E-3</v>
      </c>
      <c r="J93">
        <f t="shared" si="31"/>
        <v>1.4006230616351492</v>
      </c>
      <c r="K93">
        <f t="shared" si="32"/>
        <v>20.423319144668458</v>
      </c>
      <c r="L93">
        <f t="shared" si="33"/>
        <v>556.30799999999999</v>
      </c>
      <c r="M93">
        <f t="shared" si="34"/>
        <v>109.12025474107318</v>
      </c>
      <c r="N93">
        <f t="shared" si="35"/>
        <v>10.824642083230922</v>
      </c>
      <c r="O93">
        <f t="shared" si="36"/>
        <v>55.185309109907998</v>
      </c>
      <c r="P93">
        <f t="shared" si="37"/>
        <v>7.6081637517356068E-2</v>
      </c>
      <c r="Q93">
        <f t="shared" si="38"/>
        <v>2.0136814799865168</v>
      </c>
      <c r="R93">
        <f t="shared" si="39"/>
        <v>7.4520030432158615E-2</v>
      </c>
      <c r="S93">
        <f t="shared" si="40"/>
        <v>4.6712653568581772E-2</v>
      </c>
      <c r="T93">
        <f t="shared" si="41"/>
        <v>276.11401664071877</v>
      </c>
      <c r="U93">
        <f t="shared" si="42"/>
        <v>28.768128195870297</v>
      </c>
      <c r="V93">
        <f t="shared" si="43"/>
        <v>28.768128195870297</v>
      </c>
      <c r="W93">
        <f t="shared" si="44"/>
        <v>3.9681257647196326</v>
      </c>
      <c r="X93">
        <f t="shared" si="45"/>
        <v>60.438303180565597</v>
      </c>
      <c r="Y93">
        <f t="shared" si="46"/>
        <v>2.1612529921869998</v>
      </c>
      <c r="Z93">
        <f t="shared" si="47"/>
        <v>3.5759657013037511</v>
      </c>
      <c r="AA93">
        <f t="shared" si="48"/>
        <v>1.8068727725326328</v>
      </c>
      <c r="AB93">
        <f t="shared" si="49"/>
        <v>-61.767477018110078</v>
      </c>
      <c r="AC93">
        <f t="shared" si="50"/>
        <v>-193.60095504458934</v>
      </c>
      <c r="AD93">
        <f t="shared" si="51"/>
        <v>-20.931309114787965</v>
      </c>
      <c r="AE93">
        <f t="shared" si="52"/>
        <v>-0.18572453676858913</v>
      </c>
      <c r="AF93">
        <v>36</v>
      </c>
      <c r="AG93">
        <v>12</v>
      </c>
      <c r="AH93">
        <f t="shared" si="53"/>
        <v>1</v>
      </c>
      <c r="AI93">
        <f t="shared" si="54"/>
        <v>0</v>
      </c>
      <c r="AJ93">
        <f t="shared" si="55"/>
        <v>52481.899259623387</v>
      </c>
      <c r="AK93">
        <f t="shared" si="56"/>
        <v>1799.99</v>
      </c>
      <c r="AL93">
        <f t="shared" si="57"/>
        <v>1499.1057091886801</v>
      </c>
      <c r="AM93">
        <f t="shared" si="58"/>
        <v>0.83284113199999998</v>
      </c>
      <c r="AN93">
        <f t="shared" si="59"/>
        <v>0.15339752811999999</v>
      </c>
      <c r="AO93">
        <v>34.5</v>
      </c>
      <c r="AP93">
        <v>0.5</v>
      </c>
      <c r="AQ93" t="s">
        <v>331</v>
      </c>
      <c r="AR93">
        <v>2</v>
      </c>
      <c r="AS93">
        <v>1690213175.5999999</v>
      </c>
      <c r="AT93">
        <v>556.30799999999999</v>
      </c>
      <c r="AU93">
        <v>799.99699999999996</v>
      </c>
      <c r="AV93">
        <v>21.786999999999999</v>
      </c>
      <c r="AW93">
        <v>6.03979</v>
      </c>
      <c r="AX93">
        <v>556.64800000000002</v>
      </c>
      <c r="AY93">
        <v>21.595300000000002</v>
      </c>
      <c r="AZ93">
        <v>300.17200000000003</v>
      </c>
      <c r="BA93">
        <v>99.099199999999996</v>
      </c>
      <c r="BB93">
        <v>0.10000100000000001</v>
      </c>
      <c r="BC93">
        <v>26.9848</v>
      </c>
      <c r="BD93">
        <v>26.9969</v>
      </c>
      <c r="BE93">
        <v>28.8291</v>
      </c>
      <c r="BF93">
        <v>0</v>
      </c>
      <c r="BG93">
        <v>0</v>
      </c>
      <c r="BH93">
        <v>10015.6</v>
      </c>
      <c r="BI93">
        <v>1075.8900000000001</v>
      </c>
      <c r="BJ93">
        <v>2.0744500000000001</v>
      </c>
      <c r="BK93">
        <v>-243.68899999999999</v>
      </c>
      <c r="BL93">
        <v>568.69799999999998</v>
      </c>
      <c r="BM93">
        <v>804.85799999999995</v>
      </c>
      <c r="BN93">
        <v>15.747199999999999</v>
      </c>
      <c r="BO93">
        <v>799.99699999999996</v>
      </c>
      <c r="BP93">
        <v>6.03979</v>
      </c>
      <c r="BQ93">
        <v>2.1590699999999998</v>
      </c>
      <c r="BR93">
        <v>0.59853800000000001</v>
      </c>
      <c r="BS93">
        <v>18.661799999999999</v>
      </c>
      <c r="BT93">
        <v>-0.34280699999999997</v>
      </c>
      <c r="BU93">
        <v>1799.99</v>
      </c>
      <c r="BV93">
        <v>0.91000400000000004</v>
      </c>
      <c r="BW93">
        <v>3.3994400000000001E-2</v>
      </c>
      <c r="BX93">
        <v>2.20016E-2</v>
      </c>
      <c r="BY93">
        <v>3.40004E-2</v>
      </c>
      <c r="BZ93">
        <v>26</v>
      </c>
      <c r="CA93">
        <v>33528.199999999997</v>
      </c>
      <c r="CB93">
        <v>1690211922</v>
      </c>
      <c r="CC93" t="s">
        <v>332</v>
      </c>
      <c r="CD93">
        <v>1690211915</v>
      </c>
      <c r="CE93">
        <v>1690211922</v>
      </c>
      <c r="CF93">
        <v>6</v>
      </c>
      <c r="CG93">
        <v>1.0999999999999999E-2</v>
      </c>
      <c r="CH93">
        <v>8.0000000000000002E-3</v>
      </c>
      <c r="CI93">
        <v>-0.51100000000000001</v>
      </c>
      <c r="CJ93">
        <v>-6.6000000000000003E-2</v>
      </c>
      <c r="CK93">
        <v>800</v>
      </c>
      <c r="CL93">
        <v>6</v>
      </c>
      <c r="CM93">
        <v>0.21</v>
      </c>
      <c r="CN93">
        <v>0.02</v>
      </c>
      <c r="CO93">
        <v>-239.63902439024389</v>
      </c>
      <c r="CP93">
        <v>-21.848529616724651</v>
      </c>
      <c r="CQ93">
        <v>2.1550527409969069</v>
      </c>
      <c r="CR93">
        <v>-1</v>
      </c>
      <c r="CS93">
        <v>15.584780487804879</v>
      </c>
      <c r="CT93">
        <v>0.77394564459935922</v>
      </c>
      <c r="CU93">
        <v>7.75836204095917E-2</v>
      </c>
      <c r="CV93">
        <v>-1</v>
      </c>
      <c r="CW93">
        <v>0</v>
      </c>
      <c r="CX93">
        <v>0</v>
      </c>
      <c r="CY93" t="s">
        <v>333</v>
      </c>
      <c r="CZ93">
        <v>2.3643000000000001</v>
      </c>
      <c r="DA93">
        <v>2.7138100000000001</v>
      </c>
      <c r="DB93">
        <v>0.11416800000000001</v>
      </c>
      <c r="DC93">
        <v>0.14604700000000001</v>
      </c>
      <c r="DD93">
        <v>0.10628899999999999</v>
      </c>
      <c r="DE93">
        <v>3.9649799999999999E-2</v>
      </c>
      <c r="DF93">
        <v>32320.5</v>
      </c>
      <c r="DG93">
        <v>27487.200000000001</v>
      </c>
      <c r="DH93">
        <v>31149</v>
      </c>
      <c r="DI93">
        <v>28048.5</v>
      </c>
      <c r="DJ93">
        <v>37791.599999999999</v>
      </c>
      <c r="DK93">
        <v>38299.599999999999</v>
      </c>
      <c r="DL93">
        <v>44324.2</v>
      </c>
      <c r="DM93">
        <v>42504.9</v>
      </c>
      <c r="DN93">
        <v>1.3792</v>
      </c>
      <c r="DO93">
        <v>2.0325500000000001</v>
      </c>
      <c r="DP93">
        <v>7.9818100000000003E-2</v>
      </c>
      <c r="DQ93">
        <v>0.19953000000000001</v>
      </c>
      <c r="DR93">
        <v>25.690200000000001</v>
      </c>
      <c r="DS93">
        <v>25.567</v>
      </c>
      <c r="DT93">
        <v>18</v>
      </c>
      <c r="DU93">
        <v>29.7</v>
      </c>
      <c r="DV93">
        <v>7.6047599999999997</v>
      </c>
      <c r="DW93">
        <v>61.981200000000001</v>
      </c>
      <c r="DX93">
        <v>36.298099999999998</v>
      </c>
      <c r="DY93">
        <v>1</v>
      </c>
      <c r="DZ93">
        <v>-7.4789099999999997E-2</v>
      </c>
      <c r="EA93">
        <v>-0.156247</v>
      </c>
      <c r="EB93">
        <v>20.189800000000002</v>
      </c>
      <c r="EC93">
        <v>5.2403500000000003</v>
      </c>
      <c r="ED93">
        <v>12.039899999999999</v>
      </c>
      <c r="EE93">
        <v>5.0166500000000003</v>
      </c>
      <c r="EF93">
        <v>3.2879999999999998</v>
      </c>
      <c r="EG93">
        <v>9999</v>
      </c>
      <c r="EH93">
        <v>9999</v>
      </c>
      <c r="EI93">
        <v>9999</v>
      </c>
      <c r="EJ93">
        <v>999.9</v>
      </c>
      <c r="EK93">
        <v>1.8689</v>
      </c>
      <c r="EL93">
        <v>1.8646400000000001</v>
      </c>
      <c r="EM93">
        <v>1.8691899999999999</v>
      </c>
      <c r="EN93">
        <v>1.8672299999999999</v>
      </c>
      <c r="EO93">
        <v>1.8633999999999999</v>
      </c>
      <c r="EP93">
        <v>1.86453</v>
      </c>
      <c r="EQ93">
        <v>1.8701399999999999</v>
      </c>
      <c r="ER93">
        <v>1.86941</v>
      </c>
      <c r="ES93">
        <v>0</v>
      </c>
      <c r="ET93">
        <v>0</v>
      </c>
      <c r="EU93">
        <v>0</v>
      </c>
      <c r="EV93">
        <v>0</v>
      </c>
      <c r="EW93" t="s">
        <v>334</v>
      </c>
      <c r="EX93" t="s">
        <v>335</v>
      </c>
      <c r="EY93" t="s">
        <v>336</v>
      </c>
      <c r="EZ93" t="s">
        <v>336</v>
      </c>
      <c r="FA93" t="s">
        <v>336</v>
      </c>
      <c r="FB93" t="s">
        <v>336</v>
      </c>
      <c r="FC93">
        <v>0</v>
      </c>
      <c r="FD93">
        <v>100</v>
      </c>
      <c r="FE93">
        <v>100</v>
      </c>
      <c r="FF93">
        <v>-0.34</v>
      </c>
      <c r="FG93">
        <v>0.19170000000000001</v>
      </c>
      <c r="FH93">
        <v>4.0020685143421282E-2</v>
      </c>
      <c r="FI93">
        <v>-6.1462078757559423E-4</v>
      </c>
      <c r="FJ93">
        <v>-1.8861989874597051E-7</v>
      </c>
      <c r="FK93">
        <v>1.1980462299894961E-10</v>
      </c>
      <c r="FL93">
        <v>0.19160597004026461</v>
      </c>
      <c r="FM93">
        <v>0</v>
      </c>
      <c r="FN93">
        <v>0</v>
      </c>
      <c r="FO93">
        <v>0</v>
      </c>
      <c r="FP93">
        <v>3</v>
      </c>
      <c r="FQ93">
        <v>2158</v>
      </c>
      <c r="FR93">
        <v>1</v>
      </c>
      <c r="FS93">
        <v>19</v>
      </c>
      <c r="FT93">
        <v>21</v>
      </c>
      <c r="FU93">
        <v>20.9</v>
      </c>
      <c r="FV93">
        <v>1.77979</v>
      </c>
      <c r="FW93">
        <v>2.5781200000000002</v>
      </c>
      <c r="FX93">
        <v>1.5490699999999999</v>
      </c>
      <c r="FY93">
        <v>2.3290999999999999</v>
      </c>
      <c r="FZ93">
        <v>1.50146</v>
      </c>
      <c r="GA93">
        <v>2.36938</v>
      </c>
      <c r="GB93">
        <v>33.828299999999999</v>
      </c>
      <c r="GC93">
        <v>23.982399999999998</v>
      </c>
      <c r="GD93">
        <v>19</v>
      </c>
      <c r="GE93">
        <v>244.517</v>
      </c>
      <c r="GF93">
        <v>582.47799999999995</v>
      </c>
      <c r="GG93">
        <v>25.284099999999999</v>
      </c>
      <c r="GH93">
        <v>26.445900000000002</v>
      </c>
      <c r="GI93">
        <v>30</v>
      </c>
      <c r="GJ93">
        <v>26.5854</v>
      </c>
      <c r="GK93">
        <v>26.558</v>
      </c>
      <c r="GL93">
        <v>35.580100000000002</v>
      </c>
      <c r="GM93">
        <v>-30</v>
      </c>
      <c r="GN93">
        <v>-30</v>
      </c>
      <c r="GO93">
        <v>25.287099999999999</v>
      </c>
      <c r="GP93">
        <v>800</v>
      </c>
      <c r="GQ93">
        <v>12.5298</v>
      </c>
      <c r="GR93">
        <v>99.658500000000004</v>
      </c>
      <c r="GS93">
        <v>99.440100000000001</v>
      </c>
    </row>
    <row r="94" spans="1:201" x14ac:dyDescent="0.25">
      <c r="A94">
        <v>78</v>
      </c>
      <c r="B94">
        <v>1690213185.5999999</v>
      </c>
      <c r="C94">
        <v>918.09999990463257</v>
      </c>
      <c r="D94" t="s">
        <v>487</v>
      </c>
      <c r="E94" t="s">
        <v>488</v>
      </c>
      <c r="F94" t="s">
        <v>330</v>
      </c>
      <c r="H94">
        <v>1690213185.5999999</v>
      </c>
      <c r="I94">
        <f t="shared" si="30"/>
        <v>1.4149097617488688E-3</v>
      </c>
      <c r="J94">
        <f t="shared" si="31"/>
        <v>1.4149097617488688</v>
      </c>
      <c r="K94">
        <f t="shared" si="32"/>
        <v>20.721104490244731</v>
      </c>
      <c r="L94">
        <f t="shared" si="33"/>
        <v>552.80100000000004</v>
      </c>
      <c r="M94">
        <f t="shared" si="34"/>
        <v>107.76254669622401</v>
      </c>
      <c r="N94">
        <f t="shared" si="35"/>
        <v>10.689685933852488</v>
      </c>
      <c r="O94">
        <f t="shared" si="36"/>
        <v>54.836019146591404</v>
      </c>
      <c r="P94">
        <f t="shared" si="37"/>
        <v>7.7570179640494272E-2</v>
      </c>
      <c r="Q94">
        <f t="shared" si="38"/>
        <v>2.0139893839716505</v>
      </c>
      <c r="R94">
        <f t="shared" si="39"/>
        <v>7.5947813559186755E-2</v>
      </c>
      <c r="S94">
        <f t="shared" si="40"/>
        <v>4.7610320497451092E-2</v>
      </c>
      <c r="T94">
        <f t="shared" si="41"/>
        <v>276.11523662399998</v>
      </c>
      <c r="U94">
        <f t="shared" si="42"/>
        <v>28.766743899243277</v>
      </c>
      <c r="V94">
        <f t="shared" si="43"/>
        <v>28.766743899243277</v>
      </c>
      <c r="W94">
        <f t="shared" si="44"/>
        <v>3.967807370355438</v>
      </c>
      <c r="X94">
        <f t="shared" si="45"/>
        <v>60.864275327605867</v>
      </c>
      <c r="Y94">
        <f t="shared" si="46"/>
        <v>2.17700982921296</v>
      </c>
      <c r="Z94">
        <f t="shared" si="47"/>
        <v>3.576826993330759</v>
      </c>
      <c r="AA94">
        <f t="shared" si="48"/>
        <v>1.7907975411424779</v>
      </c>
      <c r="AB94">
        <f t="shared" si="49"/>
        <v>-62.397520493125114</v>
      </c>
      <c r="AC94">
        <f t="shared" si="50"/>
        <v>-193.03508276040478</v>
      </c>
      <c r="AD94">
        <f t="shared" si="51"/>
        <v>-20.867220128803122</v>
      </c>
      <c r="AE94">
        <f t="shared" si="52"/>
        <v>-0.18458675833304028</v>
      </c>
      <c r="AF94">
        <v>36</v>
      </c>
      <c r="AG94">
        <v>12</v>
      </c>
      <c r="AH94">
        <f t="shared" si="53"/>
        <v>1</v>
      </c>
      <c r="AI94">
        <f t="shared" si="54"/>
        <v>0</v>
      </c>
      <c r="AJ94">
        <f t="shared" si="55"/>
        <v>52495.933050285472</v>
      </c>
      <c r="AK94">
        <f t="shared" si="56"/>
        <v>1800</v>
      </c>
      <c r="AL94">
        <f t="shared" si="57"/>
        <v>1499.1133554</v>
      </c>
      <c r="AM94">
        <f t="shared" si="58"/>
        <v>0.83284075300000004</v>
      </c>
      <c r="AN94">
        <f t="shared" si="59"/>
        <v>0.15339735367999999</v>
      </c>
      <c r="AO94">
        <v>34.5</v>
      </c>
      <c r="AP94">
        <v>0.5</v>
      </c>
      <c r="AQ94" t="s">
        <v>331</v>
      </c>
      <c r="AR94">
        <v>2</v>
      </c>
      <c r="AS94">
        <v>1690213185.5999999</v>
      </c>
      <c r="AT94">
        <v>552.80100000000004</v>
      </c>
      <c r="AU94">
        <v>799.97900000000004</v>
      </c>
      <c r="AV94">
        <v>21.946400000000001</v>
      </c>
      <c r="AW94">
        <v>6.0390899999999998</v>
      </c>
      <c r="AX94">
        <v>553.13800000000003</v>
      </c>
      <c r="AY94">
        <v>21.754799999999999</v>
      </c>
      <c r="AZ94">
        <v>300.13299999999998</v>
      </c>
      <c r="BA94">
        <v>99.096699999999998</v>
      </c>
      <c r="BB94">
        <v>9.9971400000000002E-2</v>
      </c>
      <c r="BC94">
        <v>26.988900000000001</v>
      </c>
      <c r="BD94">
        <v>26.990500000000001</v>
      </c>
      <c r="BE94">
        <v>28.812999999999999</v>
      </c>
      <c r="BF94">
        <v>0</v>
      </c>
      <c r="BG94">
        <v>0</v>
      </c>
      <c r="BH94">
        <v>10018.799999999999</v>
      </c>
      <c r="BI94">
        <v>1075.8900000000001</v>
      </c>
      <c r="BJ94">
        <v>2.0744500000000001</v>
      </c>
      <c r="BK94">
        <v>-247.178</v>
      </c>
      <c r="BL94">
        <v>565.20500000000004</v>
      </c>
      <c r="BM94">
        <v>804.83900000000006</v>
      </c>
      <c r="BN94">
        <v>15.907299999999999</v>
      </c>
      <c r="BO94">
        <v>799.97900000000004</v>
      </c>
      <c r="BP94">
        <v>6.0390899999999998</v>
      </c>
      <c r="BQ94">
        <v>2.1748099999999999</v>
      </c>
      <c r="BR94">
        <v>0.59845400000000004</v>
      </c>
      <c r="BS94">
        <v>18.777999999999999</v>
      </c>
      <c r="BT94">
        <v>-0.34475</v>
      </c>
      <c r="BU94">
        <v>1800</v>
      </c>
      <c r="BV94">
        <v>0.91000599999999998</v>
      </c>
      <c r="BW94">
        <v>3.39934E-2</v>
      </c>
      <c r="BX94">
        <v>2.20009E-2</v>
      </c>
      <c r="BY94">
        <v>3.3999399999999999E-2</v>
      </c>
      <c r="BZ94">
        <v>26</v>
      </c>
      <c r="CA94">
        <v>33528.400000000001</v>
      </c>
      <c r="CB94">
        <v>1690211922</v>
      </c>
      <c r="CC94" t="s">
        <v>332</v>
      </c>
      <c r="CD94">
        <v>1690211915</v>
      </c>
      <c r="CE94">
        <v>1690211922</v>
      </c>
      <c r="CF94">
        <v>6</v>
      </c>
      <c r="CG94">
        <v>1.0999999999999999E-2</v>
      </c>
      <c r="CH94">
        <v>8.0000000000000002E-3</v>
      </c>
      <c r="CI94">
        <v>-0.51100000000000001</v>
      </c>
      <c r="CJ94">
        <v>-6.6000000000000003E-2</v>
      </c>
      <c r="CK94">
        <v>800</v>
      </c>
      <c r="CL94">
        <v>6</v>
      </c>
      <c r="CM94">
        <v>0.21</v>
      </c>
      <c r="CN94">
        <v>0.02</v>
      </c>
      <c r="CO94">
        <v>-243.161125</v>
      </c>
      <c r="CP94">
        <v>-21.73608630394035</v>
      </c>
      <c r="CQ94">
        <v>2.091894382939778</v>
      </c>
      <c r="CR94">
        <v>-1</v>
      </c>
      <c r="CS94">
        <v>15.723369999999999</v>
      </c>
      <c r="CT94">
        <v>1.002873545966207</v>
      </c>
      <c r="CU94">
        <v>9.6481654214674487E-2</v>
      </c>
      <c r="CV94">
        <v>-1</v>
      </c>
      <c r="CW94">
        <v>0</v>
      </c>
      <c r="CX94">
        <v>0</v>
      </c>
      <c r="CY94" t="s">
        <v>333</v>
      </c>
      <c r="CZ94">
        <v>2.36416</v>
      </c>
      <c r="DA94">
        <v>2.7137799999999999</v>
      </c>
      <c r="DB94">
        <v>0.113652</v>
      </c>
      <c r="DC94">
        <v>0.14604200000000001</v>
      </c>
      <c r="DD94">
        <v>0.10684100000000001</v>
      </c>
      <c r="DE94">
        <v>3.9645300000000001E-2</v>
      </c>
      <c r="DF94">
        <v>32339.200000000001</v>
      </c>
      <c r="DG94">
        <v>27487.7</v>
      </c>
      <c r="DH94">
        <v>31148.9</v>
      </c>
      <c r="DI94">
        <v>28048.799999999999</v>
      </c>
      <c r="DJ94">
        <v>37767.9</v>
      </c>
      <c r="DK94">
        <v>38300.300000000003</v>
      </c>
      <c r="DL94">
        <v>44324.1</v>
      </c>
      <c r="DM94">
        <v>42505.599999999999</v>
      </c>
      <c r="DN94">
        <v>1.37917</v>
      </c>
      <c r="DO94">
        <v>2.0327199999999999</v>
      </c>
      <c r="DP94">
        <v>7.9590800000000003E-2</v>
      </c>
      <c r="DQ94">
        <v>0.19867000000000001</v>
      </c>
      <c r="DR94">
        <v>25.6875</v>
      </c>
      <c r="DS94">
        <v>25.564900000000002</v>
      </c>
      <c r="DT94">
        <v>18</v>
      </c>
      <c r="DU94">
        <v>29.7</v>
      </c>
      <c r="DV94">
        <v>7.6070099999999998</v>
      </c>
      <c r="DW94">
        <v>61.791200000000003</v>
      </c>
      <c r="DX94">
        <v>36.013599999999997</v>
      </c>
      <c r="DY94">
        <v>1</v>
      </c>
      <c r="DZ94">
        <v>-7.48476E-2</v>
      </c>
      <c r="EA94">
        <v>-0.186914</v>
      </c>
      <c r="EB94">
        <v>20.189900000000002</v>
      </c>
      <c r="EC94">
        <v>5.2406499999999996</v>
      </c>
      <c r="ED94">
        <v>12.039899999999999</v>
      </c>
      <c r="EE94">
        <v>5.0166500000000003</v>
      </c>
      <c r="EF94">
        <v>3.2879999999999998</v>
      </c>
      <c r="EG94">
        <v>9999</v>
      </c>
      <c r="EH94">
        <v>9999</v>
      </c>
      <c r="EI94">
        <v>9999</v>
      </c>
      <c r="EJ94">
        <v>999.9</v>
      </c>
      <c r="EK94">
        <v>1.8689100000000001</v>
      </c>
      <c r="EL94">
        <v>1.8646400000000001</v>
      </c>
      <c r="EM94">
        <v>1.8691800000000001</v>
      </c>
      <c r="EN94">
        <v>1.8672500000000001</v>
      </c>
      <c r="EO94">
        <v>1.8633999999999999</v>
      </c>
      <c r="EP94">
        <v>1.86453</v>
      </c>
      <c r="EQ94">
        <v>1.87015</v>
      </c>
      <c r="ER94">
        <v>1.86941</v>
      </c>
      <c r="ES94">
        <v>0</v>
      </c>
      <c r="ET94">
        <v>0</v>
      </c>
      <c r="EU94">
        <v>0</v>
      </c>
      <c r="EV94">
        <v>0</v>
      </c>
      <c r="EW94" t="s">
        <v>334</v>
      </c>
      <c r="EX94" t="s">
        <v>335</v>
      </c>
      <c r="EY94" t="s">
        <v>336</v>
      </c>
      <c r="EZ94" t="s">
        <v>336</v>
      </c>
      <c r="FA94" t="s">
        <v>336</v>
      </c>
      <c r="FB94" t="s">
        <v>336</v>
      </c>
      <c r="FC94">
        <v>0</v>
      </c>
      <c r="FD94">
        <v>100</v>
      </c>
      <c r="FE94">
        <v>100</v>
      </c>
      <c r="FF94">
        <v>-0.33700000000000002</v>
      </c>
      <c r="FG94">
        <v>0.19159999999999999</v>
      </c>
      <c r="FH94">
        <v>4.0020685143421282E-2</v>
      </c>
      <c r="FI94">
        <v>-6.1462078757559423E-4</v>
      </c>
      <c r="FJ94">
        <v>-1.8861989874597051E-7</v>
      </c>
      <c r="FK94">
        <v>1.1980462299894961E-10</v>
      </c>
      <c r="FL94">
        <v>0.19160597004026461</v>
      </c>
      <c r="FM94">
        <v>0</v>
      </c>
      <c r="FN94">
        <v>0</v>
      </c>
      <c r="FO94">
        <v>0</v>
      </c>
      <c r="FP94">
        <v>3</v>
      </c>
      <c r="FQ94">
        <v>2158</v>
      </c>
      <c r="FR94">
        <v>1</v>
      </c>
      <c r="FS94">
        <v>19</v>
      </c>
      <c r="FT94">
        <v>21.2</v>
      </c>
      <c r="FU94">
        <v>21.1</v>
      </c>
      <c r="FV94">
        <v>1.77979</v>
      </c>
      <c r="FW94">
        <v>2.5830099999999998</v>
      </c>
      <c r="FX94">
        <v>1.5490699999999999</v>
      </c>
      <c r="FY94">
        <v>2.3290999999999999</v>
      </c>
      <c r="FZ94">
        <v>1.50146</v>
      </c>
      <c r="GA94">
        <v>2.34253</v>
      </c>
      <c r="GB94">
        <v>33.850900000000003</v>
      </c>
      <c r="GC94">
        <v>23.982399999999998</v>
      </c>
      <c r="GD94">
        <v>19</v>
      </c>
      <c r="GE94">
        <v>244.501</v>
      </c>
      <c r="GF94">
        <v>582.59799999999996</v>
      </c>
      <c r="GG94">
        <v>25.295300000000001</v>
      </c>
      <c r="GH94">
        <v>26.444299999999998</v>
      </c>
      <c r="GI94">
        <v>30</v>
      </c>
      <c r="GJ94">
        <v>26.5839</v>
      </c>
      <c r="GK94">
        <v>26.555800000000001</v>
      </c>
      <c r="GL94">
        <v>35.581800000000001</v>
      </c>
      <c r="GM94">
        <v>-30</v>
      </c>
      <c r="GN94">
        <v>-30</v>
      </c>
      <c r="GO94">
        <v>25.306699999999999</v>
      </c>
      <c r="GP94">
        <v>800</v>
      </c>
      <c r="GQ94">
        <v>12.5298</v>
      </c>
      <c r="GR94">
        <v>99.658299999999997</v>
      </c>
      <c r="GS94">
        <v>99.441500000000005</v>
      </c>
    </row>
    <row r="95" spans="1:201" x14ac:dyDescent="0.25">
      <c r="A95">
        <v>79</v>
      </c>
      <c r="B95">
        <v>1690213195.5999999</v>
      </c>
      <c r="C95">
        <v>928.09999990463257</v>
      </c>
      <c r="D95" t="s">
        <v>489</v>
      </c>
      <c r="E95" t="s">
        <v>490</v>
      </c>
      <c r="F95" t="s">
        <v>330</v>
      </c>
      <c r="H95">
        <v>1690213195.5999999</v>
      </c>
      <c r="I95">
        <f t="shared" si="30"/>
        <v>1.4301095780414738E-3</v>
      </c>
      <c r="J95">
        <f t="shared" si="31"/>
        <v>1.4301095780414739</v>
      </c>
      <c r="K95">
        <f t="shared" si="32"/>
        <v>21.049557926314144</v>
      </c>
      <c r="L95">
        <f t="shared" si="33"/>
        <v>549.01700000000005</v>
      </c>
      <c r="M95">
        <f t="shared" si="34"/>
        <v>106.05942567181238</v>
      </c>
      <c r="N95">
        <f t="shared" si="35"/>
        <v>10.521082957081147</v>
      </c>
      <c r="O95">
        <f t="shared" si="36"/>
        <v>54.462423921865408</v>
      </c>
      <c r="P95">
        <f t="shared" si="37"/>
        <v>7.9177151128065185E-2</v>
      </c>
      <c r="Q95">
        <f t="shared" si="38"/>
        <v>2.0125807053165241</v>
      </c>
      <c r="R95">
        <f t="shared" si="39"/>
        <v>7.7486503224625233E-2</v>
      </c>
      <c r="S95">
        <f t="shared" si="40"/>
        <v>4.8577955787979535E-2</v>
      </c>
      <c r="T95">
        <f t="shared" si="41"/>
        <v>276.11520328799998</v>
      </c>
      <c r="U95">
        <f t="shared" si="42"/>
        <v>28.76528272784358</v>
      </c>
      <c r="V95">
        <f t="shared" si="43"/>
        <v>28.76528272784358</v>
      </c>
      <c r="W95">
        <f t="shared" si="44"/>
        <v>3.9674713186224588</v>
      </c>
      <c r="X95">
        <f t="shared" si="45"/>
        <v>61.313609260287137</v>
      </c>
      <c r="Y95">
        <f t="shared" si="46"/>
        <v>2.1934682036999202</v>
      </c>
      <c r="Z95">
        <f t="shared" si="47"/>
        <v>3.5774573217313943</v>
      </c>
      <c r="AA95">
        <f t="shared" si="48"/>
        <v>1.7740031149225386</v>
      </c>
      <c r="AB95">
        <f t="shared" si="49"/>
        <v>-63.067832391628997</v>
      </c>
      <c r="AC95">
        <f t="shared" si="50"/>
        <v>-192.4160178289913</v>
      </c>
      <c r="AD95">
        <f t="shared" si="51"/>
        <v>-20.815016462226332</v>
      </c>
      <c r="AE95">
        <f t="shared" si="52"/>
        <v>-0.18366339484666128</v>
      </c>
      <c r="AF95">
        <v>36</v>
      </c>
      <c r="AG95">
        <v>12</v>
      </c>
      <c r="AH95">
        <f t="shared" si="53"/>
        <v>1</v>
      </c>
      <c r="AI95">
        <f t="shared" si="54"/>
        <v>0</v>
      </c>
      <c r="AJ95">
        <f t="shared" si="55"/>
        <v>52427.767424468344</v>
      </c>
      <c r="AK95">
        <f t="shared" si="56"/>
        <v>1800</v>
      </c>
      <c r="AL95">
        <f t="shared" si="57"/>
        <v>1499.1148908</v>
      </c>
      <c r="AM95">
        <f t="shared" si="58"/>
        <v>0.83284160600000001</v>
      </c>
      <c r="AN95">
        <f t="shared" si="59"/>
        <v>0.15339733515999998</v>
      </c>
      <c r="AO95">
        <v>34.5</v>
      </c>
      <c r="AP95">
        <v>0.5</v>
      </c>
      <c r="AQ95" t="s">
        <v>331</v>
      </c>
      <c r="AR95">
        <v>2</v>
      </c>
      <c r="AS95">
        <v>1690213195.5999999</v>
      </c>
      <c r="AT95">
        <v>549.01700000000005</v>
      </c>
      <c r="AU95">
        <v>799.97900000000004</v>
      </c>
      <c r="AV95">
        <v>22.111599999999999</v>
      </c>
      <c r="AW95">
        <v>6.0377799999999997</v>
      </c>
      <c r="AX95">
        <v>549.35199999999998</v>
      </c>
      <c r="AY95">
        <v>21.92</v>
      </c>
      <c r="AZ95">
        <v>300.16399999999999</v>
      </c>
      <c r="BA95">
        <v>99.099900000000005</v>
      </c>
      <c r="BB95">
        <v>9.9986199999999997E-2</v>
      </c>
      <c r="BC95">
        <v>26.991900000000001</v>
      </c>
      <c r="BD95">
        <v>26.988800000000001</v>
      </c>
      <c r="BE95">
        <v>28.8172</v>
      </c>
      <c r="BF95">
        <v>0</v>
      </c>
      <c r="BG95">
        <v>0</v>
      </c>
      <c r="BH95">
        <v>10005</v>
      </c>
      <c r="BI95">
        <v>1076</v>
      </c>
      <c r="BJ95">
        <v>2.0744500000000001</v>
      </c>
      <c r="BK95">
        <v>-250.96100000000001</v>
      </c>
      <c r="BL95">
        <v>561.43200000000002</v>
      </c>
      <c r="BM95">
        <v>804.83799999999997</v>
      </c>
      <c r="BN95">
        <v>16.073899999999998</v>
      </c>
      <c r="BO95">
        <v>799.97900000000004</v>
      </c>
      <c r="BP95">
        <v>6.0377799999999997</v>
      </c>
      <c r="BQ95">
        <v>2.1912600000000002</v>
      </c>
      <c r="BR95">
        <v>0.59834299999999996</v>
      </c>
      <c r="BS95">
        <v>18.898599999999998</v>
      </c>
      <c r="BT95">
        <v>-0.34728900000000001</v>
      </c>
      <c r="BU95">
        <v>1800</v>
      </c>
      <c r="BV95">
        <v>0.91001100000000001</v>
      </c>
      <c r="BW95">
        <v>3.39917E-2</v>
      </c>
      <c r="BX95">
        <v>2.19998E-2</v>
      </c>
      <c r="BY95">
        <v>3.3997800000000002E-2</v>
      </c>
      <c r="BZ95">
        <v>26</v>
      </c>
      <c r="CA95">
        <v>33528.400000000001</v>
      </c>
      <c r="CB95">
        <v>1690211922</v>
      </c>
      <c r="CC95" t="s">
        <v>332</v>
      </c>
      <c r="CD95">
        <v>1690211915</v>
      </c>
      <c r="CE95">
        <v>1690211922</v>
      </c>
      <c r="CF95">
        <v>6</v>
      </c>
      <c r="CG95">
        <v>1.0999999999999999E-2</v>
      </c>
      <c r="CH95">
        <v>8.0000000000000002E-3</v>
      </c>
      <c r="CI95">
        <v>-0.51100000000000001</v>
      </c>
      <c r="CJ95">
        <v>-6.6000000000000003E-2</v>
      </c>
      <c r="CK95">
        <v>800</v>
      </c>
      <c r="CL95">
        <v>6</v>
      </c>
      <c r="CM95">
        <v>0.21</v>
      </c>
      <c r="CN95">
        <v>0.02</v>
      </c>
      <c r="CO95">
        <v>-246.88700000000011</v>
      </c>
      <c r="CP95">
        <v>-21.887310104530108</v>
      </c>
      <c r="CQ95">
        <v>2.1586489225280951</v>
      </c>
      <c r="CR95">
        <v>-1</v>
      </c>
      <c r="CS95">
        <v>15.891612195121949</v>
      </c>
      <c r="CT95">
        <v>0.96728362369339793</v>
      </c>
      <c r="CU95">
        <v>9.538136852150482E-2</v>
      </c>
      <c r="CV95">
        <v>-1</v>
      </c>
      <c r="CW95">
        <v>0</v>
      </c>
      <c r="CX95">
        <v>0</v>
      </c>
      <c r="CY95" t="s">
        <v>333</v>
      </c>
      <c r="CZ95">
        <v>2.3642500000000002</v>
      </c>
      <c r="DA95">
        <v>2.7137799999999999</v>
      </c>
      <c r="DB95">
        <v>0.11310000000000001</v>
      </c>
      <c r="DC95">
        <v>0.14604700000000001</v>
      </c>
      <c r="DD95">
        <v>0.107419</v>
      </c>
      <c r="DE95">
        <v>3.96397E-2</v>
      </c>
      <c r="DF95">
        <v>32359.5</v>
      </c>
      <c r="DG95">
        <v>27488.3</v>
      </c>
      <c r="DH95">
        <v>31149.1</v>
      </c>
      <c r="DI95">
        <v>28049.599999999999</v>
      </c>
      <c r="DJ95">
        <v>37743.4</v>
      </c>
      <c r="DK95">
        <v>38301.5</v>
      </c>
      <c r="DL95">
        <v>44324.5</v>
      </c>
      <c r="DM95">
        <v>42506.6</v>
      </c>
      <c r="DN95">
        <v>1.37923</v>
      </c>
      <c r="DO95">
        <v>2.0322300000000002</v>
      </c>
      <c r="DP95">
        <v>7.9579700000000003E-2</v>
      </c>
      <c r="DQ95">
        <v>0.19899800000000001</v>
      </c>
      <c r="DR95">
        <v>25.6859</v>
      </c>
      <c r="DS95">
        <v>25.563700000000001</v>
      </c>
      <c r="DT95">
        <v>18</v>
      </c>
      <c r="DU95">
        <v>29.7</v>
      </c>
      <c r="DV95">
        <v>7.6050700000000004</v>
      </c>
      <c r="DW95">
        <v>61.691200000000002</v>
      </c>
      <c r="DX95">
        <v>35.9495</v>
      </c>
      <c r="DY95">
        <v>1</v>
      </c>
      <c r="DZ95">
        <v>-7.47612E-2</v>
      </c>
      <c r="EA95">
        <v>-0.179281</v>
      </c>
      <c r="EB95">
        <v>20.189900000000002</v>
      </c>
      <c r="EC95">
        <v>5.2408000000000001</v>
      </c>
      <c r="ED95">
        <v>12.039899999999999</v>
      </c>
      <c r="EE95">
        <v>5.0170000000000003</v>
      </c>
      <c r="EF95">
        <v>3.2879999999999998</v>
      </c>
      <c r="EG95">
        <v>9999</v>
      </c>
      <c r="EH95">
        <v>9999</v>
      </c>
      <c r="EI95">
        <v>9999</v>
      </c>
      <c r="EJ95">
        <v>999.9</v>
      </c>
      <c r="EK95">
        <v>1.8689</v>
      </c>
      <c r="EL95">
        <v>1.86463</v>
      </c>
      <c r="EM95">
        <v>1.8691899999999999</v>
      </c>
      <c r="EN95">
        <v>1.8672299999999999</v>
      </c>
      <c r="EO95">
        <v>1.8633999999999999</v>
      </c>
      <c r="EP95">
        <v>1.86453</v>
      </c>
      <c r="EQ95">
        <v>1.87016</v>
      </c>
      <c r="ER95">
        <v>1.86941</v>
      </c>
      <c r="ES95">
        <v>0</v>
      </c>
      <c r="ET95">
        <v>0</v>
      </c>
      <c r="EU95">
        <v>0</v>
      </c>
      <c r="EV95">
        <v>0</v>
      </c>
      <c r="EW95" t="s">
        <v>334</v>
      </c>
      <c r="EX95" t="s">
        <v>335</v>
      </c>
      <c r="EY95" t="s">
        <v>336</v>
      </c>
      <c r="EZ95" t="s">
        <v>336</v>
      </c>
      <c r="FA95" t="s">
        <v>336</v>
      </c>
      <c r="FB95" t="s">
        <v>336</v>
      </c>
      <c r="FC95">
        <v>0</v>
      </c>
      <c r="FD95">
        <v>100</v>
      </c>
      <c r="FE95">
        <v>100</v>
      </c>
      <c r="FF95">
        <v>-0.33500000000000002</v>
      </c>
      <c r="FG95">
        <v>0.19159999999999999</v>
      </c>
      <c r="FH95">
        <v>4.0020685143421282E-2</v>
      </c>
      <c r="FI95">
        <v>-6.1462078757559423E-4</v>
      </c>
      <c r="FJ95">
        <v>-1.8861989874597051E-7</v>
      </c>
      <c r="FK95">
        <v>1.1980462299894961E-10</v>
      </c>
      <c r="FL95">
        <v>0.19160597004026461</v>
      </c>
      <c r="FM95">
        <v>0</v>
      </c>
      <c r="FN95">
        <v>0</v>
      </c>
      <c r="FO95">
        <v>0</v>
      </c>
      <c r="FP95">
        <v>3</v>
      </c>
      <c r="FQ95">
        <v>2158</v>
      </c>
      <c r="FR95">
        <v>1</v>
      </c>
      <c r="FS95">
        <v>19</v>
      </c>
      <c r="FT95">
        <v>21.3</v>
      </c>
      <c r="FU95">
        <v>21.2</v>
      </c>
      <c r="FV95">
        <v>1.77979</v>
      </c>
      <c r="FW95">
        <v>2.5817899999999998</v>
      </c>
      <c r="FX95">
        <v>1.5490699999999999</v>
      </c>
      <c r="FY95">
        <v>2.3290999999999999</v>
      </c>
      <c r="FZ95">
        <v>1.50146</v>
      </c>
      <c r="GA95">
        <v>2.32056</v>
      </c>
      <c r="GB95">
        <v>33.828299999999999</v>
      </c>
      <c r="GC95">
        <v>23.982399999999998</v>
      </c>
      <c r="GD95">
        <v>19</v>
      </c>
      <c r="GE95">
        <v>244.512</v>
      </c>
      <c r="GF95">
        <v>582.17200000000003</v>
      </c>
      <c r="GG95">
        <v>25.3171</v>
      </c>
      <c r="GH95">
        <v>26.442</v>
      </c>
      <c r="GI95">
        <v>30.0001</v>
      </c>
      <c r="GJ95">
        <v>26.581600000000002</v>
      </c>
      <c r="GK95">
        <v>26.554600000000001</v>
      </c>
      <c r="GL95">
        <v>35.580399999999997</v>
      </c>
      <c r="GM95">
        <v>-30</v>
      </c>
      <c r="GN95">
        <v>-30</v>
      </c>
      <c r="GO95">
        <v>25.317900000000002</v>
      </c>
      <c r="GP95">
        <v>800</v>
      </c>
      <c r="GQ95">
        <v>12.5298</v>
      </c>
      <c r="GR95">
        <v>99.659000000000006</v>
      </c>
      <c r="GS95">
        <v>99.444100000000006</v>
      </c>
    </row>
    <row r="96" spans="1:201" x14ac:dyDescent="0.25">
      <c r="A96">
        <v>80</v>
      </c>
      <c r="B96">
        <v>1690213205.5999999</v>
      </c>
      <c r="C96">
        <v>938.09999990463257</v>
      </c>
      <c r="D96" t="s">
        <v>491</v>
      </c>
      <c r="E96" t="s">
        <v>492</v>
      </c>
      <c r="F96" t="s">
        <v>330</v>
      </c>
      <c r="H96">
        <v>1690213205.5999999</v>
      </c>
      <c r="I96">
        <f t="shared" si="30"/>
        <v>1.4453217664734462E-3</v>
      </c>
      <c r="J96">
        <f t="shared" si="31"/>
        <v>1.4453217664734461</v>
      </c>
      <c r="K96">
        <f t="shared" si="32"/>
        <v>21.361296464146381</v>
      </c>
      <c r="L96">
        <f t="shared" si="33"/>
        <v>545.45899999999995</v>
      </c>
      <c r="M96">
        <f t="shared" si="34"/>
        <v>105.34667500167427</v>
      </c>
      <c r="N96">
        <f t="shared" si="35"/>
        <v>10.450915555638323</v>
      </c>
      <c r="O96">
        <f t="shared" si="36"/>
        <v>54.112253167670694</v>
      </c>
      <c r="P96">
        <f t="shared" si="37"/>
        <v>8.0883580689364007E-2</v>
      </c>
      <c r="Q96">
        <f t="shared" si="38"/>
        <v>2.0110643467329195</v>
      </c>
      <c r="R96">
        <f t="shared" si="39"/>
        <v>7.9118849698250004E-2</v>
      </c>
      <c r="S96">
        <f t="shared" si="40"/>
        <v>4.960462824607699E-2</v>
      </c>
      <c r="T96">
        <f t="shared" si="41"/>
        <v>276.11511908400001</v>
      </c>
      <c r="U96">
        <f t="shared" si="42"/>
        <v>28.757806963089546</v>
      </c>
      <c r="V96">
        <f t="shared" si="43"/>
        <v>28.757806963089546</v>
      </c>
      <c r="W96">
        <f t="shared" si="44"/>
        <v>3.9657523715605119</v>
      </c>
      <c r="X96">
        <f t="shared" si="45"/>
        <v>61.784456521950347</v>
      </c>
      <c r="Y96">
        <f t="shared" si="46"/>
        <v>2.2099101380922597</v>
      </c>
      <c r="Z96">
        <f t="shared" si="47"/>
        <v>3.5768059840538342</v>
      </c>
      <c r="AA96">
        <f t="shared" si="48"/>
        <v>1.7558422334682522</v>
      </c>
      <c r="AB96">
        <f t="shared" si="49"/>
        <v>-63.738689901478978</v>
      </c>
      <c r="AC96">
        <f t="shared" si="50"/>
        <v>-191.79662131868167</v>
      </c>
      <c r="AD96">
        <f t="shared" si="51"/>
        <v>-20.762560464836977</v>
      </c>
      <c r="AE96">
        <f t="shared" si="52"/>
        <v>-0.18275260099761681</v>
      </c>
      <c r="AF96">
        <v>36</v>
      </c>
      <c r="AG96">
        <v>12</v>
      </c>
      <c r="AH96">
        <f t="shared" si="53"/>
        <v>1</v>
      </c>
      <c r="AI96">
        <f t="shared" si="54"/>
        <v>0</v>
      </c>
      <c r="AJ96">
        <f t="shared" si="55"/>
        <v>52355.605964671216</v>
      </c>
      <c r="AK96">
        <f t="shared" si="56"/>
        <v>1800</v>
      </c>
      <c r="AL96">
        <f t="shared" si="57"/>
        <v>1499.1132293999999</v>
      </c>
      <c r="AM96">
        <f t="shared" si="58"/>
        <v>0.83284068299999992</v>
      </c>
      <c r="AN96">
        <f t="shared" si="59"/>
        <v>0.15339728838</v>
      </c>
      <c r="AO96">
        <v>34.5</v>
      </c>
      <c r="AP96">
        <v>0.5</v>
      </c>
      <c r="AQ96" t="s">
        <v>331</v>
      </c>
      <c r="AR96">
        <v>2</v>
      </c>
      <c r="AS96">
        <v>1690213205.5999999</v>
      </c>
      <c r="AT96">
        <v>545.45899999999995</v>
      </c>
      <c r="AU96">
        <v>800.00699999999995</v>
      </c>
      <c r="AV96">
        <v>22.276199999999999</v>
      </c>
      <c r="AW96">
        <v>6.0362999999999998</v>
      </c>
      <c r="AX96">
        <v>545.79100000000005</v>
      </c>
      <c r="AY96">
        <v>22.084599999999998</v>
      </c>
      <c r="AZ96">
        <v>300.20400000000001</v>
      </c>
      <c r="BA96">
        <v>99.105000000000004</v>
      </c>
      <c r="BB96">
        <v>9.9987300000000001E-2</v>
      </c>
      <c r="BC96">
        <v>26.988800000000001</v>
      </c>
      <c r="BD96">
        <v>27.003</v>
      </c>
      <c r="BE96">
        <v>28.822099999999999</v>
      </c>
      <c r="BF96">
        <v>0</v>
      </c>
      <c r="BG96">
        <v>0</v>
      </c>
      <c r="BH96">
        <v>9990</v>
      </c>
      <c r="BI96">
        <v>1076.1099999999999</v>
      </c>
      <c r="BJ96">
        <v>2.0744500000000001</v>
      </c>
      <c r="BK96">
        <v>-254.548</v>
      </c>
      <c r="BL96">
        <v>557.88699999999994</v>
      </c>
      <c r="BM96">
        <v>804.86599999999999</v>
      </c>
      <c r="BN96">
        <v>16.239899999999999</v>
      </c>
      <c r="BO96">
        <v>800.00699999999995</v>
      </c>
      <c r="BP96">
        <v>6.0362999999999998</v>
      </c>
      <c r="BQ96">
        <v>2.2076799999999999</v>
      </c>
      <c r="BR96">
        <v>0.59822699999999995</v>
      </c>
      <c r="BS96">
        <v>19.0182</v>
      </c>
      <c r="BT96">
        <v>-0.34994599999999998</v>
      </c>
      <c r="BU96">
        <v>1800</v>
      </c>
      <c r="BV96">
        <v>0.91000700000000001</v>
      </c>
      <c r="BW96">
        <v>3.3997800000000002E-2</v>
      </c>
      <c r="BX96">
        <v>2.1998899999999998E-2</v>
      </c>
      <c r="BY96">
        <v>3.3996400000000003E-2</v>
      </c>
      <c r="BZ96">
        <v>26</v>
      </c>
      <c r="CA96">
        <v>33528.400000000001</v>
      </c>
      <c r="CB96">
        <v>1690211922</v>
      </c>
      <c r="CC96" t="s">
        <v>332</v>
      </c>
      <c r="CD96">
        <v>1690211915</v>
      </c>
      <c r="CE96">
        <v>1690211922</v>
      </c>
      <c r="CF96">
        <v>6</v>
      </c>
      <c r="CG96">
        <v>1.0999999999999999E-2</v>
      </c>
      <c r="CH96">
        <v>8.0000000000000002E-3</v>
      </c>
      <c r="CI96">
        <v>-0.51100000000000001</v>
      </c>
      <c r="CJ96">
        <v>-6.6000000000000003E-2</v>
      </c>
      <c r="CK96">
        <v>800</v>
      </c>
      <c r="CL96">
        <v>6</v>
      </c>
      <c r="CM96">
        <v>0.21</v>
      </c>
      <c r="CN96">
        <v>0.02</v>
      </c>
      <c r="CO96">
        <v>-250.84399999999999</v>
      </c>
      <c r="CP96">
        <v>-22.228277673545861</v>
      </c>
      <c r="CQ96">
        <v>2.138417697738213</v>
      </c>
      <c r="CR96">
        <v>-1</v>
      </c>
      <c r="CS96">
        <v>16.068950000000001</v>
      </c>
      <c r="CT96">
        <v>1.0125590994370841</v>
      </c>
      <c r="CU96">
        <v>9.7408095146142681E-2</v>
      </c>
      <c r="CV96">
        <v>-1</v>
      </c>
      <c r="CW96">
        <v>0</v>
      </c>
      <c r="CX96">
        <v>0</v>
      </c>
      <c r="CY96" t="s">
        <v>333</v>
      </c>
      <c r="CZ96">
        <v>2.36442</v>
      </c>
      <c r="DA96">
        <v>2.7137699999999998</v>
      </c>
      <c r="DB96">
        <v>0.112582</v>
      </c>
      <c r="DC96">
        <v>0.14605799999999999</v>
      </c>
      <c r="DD96">
        <v>0.10799400000000001</v>
      </c>
      <c r="DE96">
        <v>3.9633799999999997E-2</v>
      </c>
      <c r="DF96">
        <v>32379.1</v>
      </c>
      <c r="DG96">
        <v>27488.1</v>
      </c>
      <c r="DH96">
        <v>31149.7</v>
      </c>
      <c r="DI96">
        <v>28049.7</v>
      </c>
      <c r="DJ96">
        <v>37719.599999999999</v>
      </c>
      <c r="DK96">
        <v>38302</v>
      </c>
      <c r="DL96">
        <v>44325.5</v>
      </c>
      <c r="DM96">
        <v>42506.9</v>
      </c>
      <c r="DN96">
        <v>1.37982</v>
      </c>
      <c r="DO96">
        <v>2.0326499999999998</v>
      </c>
      <c r="DP96">
        <v>8.0447599999999994E-2</v>
      </c>
      <c r="DQ96">
        <v>0.19939599999999999</v>
      </c>
      <c r="DR96">
        <v>25.6859</v>
      </c>
      <c r="DS96">
        <v>25.562100000000001</v>
      </c>
      <c r="DT96">
        <v>18</v>
      </c>
      <c r="DU96">
        <v>29.7</v>
      </c>
      <c r="DV96">
        <v>7.6061800000000002</v>
      </c>
      <c r="DW96">
        <v>61.801200000000001</v>
      </c>
      <c r="DX96">
        <v>35.865400000000001</v>
      </c>
      <c r="DY96">
        <v>1</v>
      </c>
      <c r="DZ96">
        <v>-7.4852600000000005E-2</v>
      </c>
      <c r="EA96">
        <v>-0.16276099999999999</v>
      </c>
      <c r="EB96">
        <v>20.190000000000001</v>
      </c>
      <c r="EC96">
        <v>5.2408000000000001</v>
      </c>
      <c r="ED96">
        <v>12.039899999999999</v>
      </c>
      <c r="EE96">
        <v>5.0166500000000003</v>
      </c>
      <c r="EF96">
        <v>3.2879999999999998</v>
      </c>
      <c r="EG96">
        <v>9999</v>
      </c>
      <c r="EH96">
        <v>9999</v>
      </c>
      <c r="EI96">
        <v>9999</v>
      </c>
      <c r="EJ96">
        <v>999.9</v>
      </c>
      <c r="EK96">
        <v>1.8689</v>
      </c>
      <c r="EL96">
        <v>1.8646400000000001</v>
      </c>
      <c r="EM96">
        <v>1.8691899999999999</v>
      </c>
      <c r="EN96">
        <v>1.8672299999999999</v>
      </c>
      <c r="EO96">
        <v>1.8633999999999999</v>
      </c>
      <c r="EP96">
        <v>1.8645499999999999</v>
      </c>
      <c r="EQ96">
        <v>1.8701399999999999</v>
      </c>
      <c r="ER96">
        <v>1.8694</v>
      </c>
      <c r="ES96">
        <v>0</v>
      </c>
      <c r="ET96">
        <v>0</v>
      </c>
      <c r="EU96">
        <v>0</v>
      </c>
      <c r="EV96">
        <v>0</v>
      </c>
      <c r="EW96" t="s">
        <v>334</v>
      </c>
      <c r="EX96" t="s">
        <v>335</v>
      </c>
      <c r="EY96" t="s">
        <v>336</v>
      </c>
      <c r="EZ96" t="s">
        <v>336</v>
      </c>
      <c r="FA96" t="s">
        <v>336</v>
      </c>
      <c r="FB96" t="s">
        <v>336</v>
      </c>
      <c r="FC96">
        <v>0</v>
      </c>
      <c r="FD96">
        <v>100</v>
      </c>
      <c r="FE96">
        <v>100</v>
      </c>
      <c r="FF96">
        <v>-0.33200000000000002</v>
      </c>
      <c r="FG96">
        <v>0.19159999999999999</v>
      </c>
      <c r="FH96">
        <v>4.0020685143421282E-2</v>
      </c>
      <c r="FI96">
        <v>-6.1462078757559423E-4</v>
      </c>
      <c r="FJ96">
        <v>-1.8861989874597051E-7</v>
      </c>
      <c r="FK96">
        <v>1.1980462299894961E-10</v>
      </c>
      <c r="FL96">
        <v>0.19160597004026461</v>
      </c>
      <c r="FM96">
        <v>0</v>
      </c>
      <c r="FN96">
        <v>0</v>
      </c>
      <c r="FO96">
        <v>0</v>
      </c>
      <c r="FP96">
        <v>3</v>
      </c>
      <c r="FQ96">
        <v>2158</v>
      </c>
      <c r="FR96">
        <v>1</v>
      </c>
      <c r="FS96">
        <v>19</v>
      </c>
      <c r="FT96">
        <v>21.5</v>
      </c>
      <c r="FU96">
        <v>21.4</v>
      </c>
      <c r="FV96">
        <v>1.77979</v>
      </c>
      <c r="FW96">
        <v>2.5817899999999998</v>
      </c>
      <c r="FX96">
        <v>1.5490699999999999</v>
      </c>
      <c r="FY96">
        <v>2.3290999999999999</v>
      </c>
      <c r="FZ96">
        <v>1.50146</v>
      </c>
      <c r="GA96">
        <v>2.3083499999999999</v>
      </c>
      <c r="GB96">
        <v>33.850900000000003</v>
      </c>
      <c r="GC96">
        <v>23.982399999999998</v>
      </c>
      <c r="GD96">
        <v>19</v>
      </c>
      <c r="GE96">
        <v>244.738</v>
      </c>
      <c r="GF96">
        <v>582.51099999999997</v>
      </c>
      <c r="GG96">
        <v>25.326699999999999</v>
      </c>
      <c r="GH96">
        <v>26.439900000000002</v>
      </c>
      <c r="GI96">
        <v>30.0001</v>
      </c>
      <c r="GJ96">
        <v>26.580400000000001</v>
      </c>
      <c r="GK96">
        <v>26.5535</v>
      </c>
      <c r="GL96">
        <v>35.581600000000002</v>
      </c>
      <c r="GM96">
        <v>-30</v>
      </c>
      <c r="GN96">
        <v>-30</v>
      </c>
      <c r="GO96">
        <v>25.3245</v>
      </c>
      <c r="GP96">
        <v>800</v>
      </c>
      <c r="GQ96">
        <v>12.5298</v>
      </c>
      <c r="GR96">
        <v>99.661100000000005</v>
      </c>
      <c r="GS96">
        <v>99.444699999999997</v>
      </c>
    </row>
    <row r="97" spans="1:201" x14ac:dyDescent="0.25">
      <c r="A97">
        <v>81</v>
      </c>
      <c r="B97">
        <v>1690213215.5999999</v>
      </c>
      <c r="C97">
        <v>948.09999990463257</v>
      </c>
      <c r="D97" t="s">
        <v>493</v>
      </c>
      <c r="E97" t="s">
        <v>494</v>
      </c>
      <c r="F97" t="s">
        <v>330</v>
      </c>
      <c r="H97">
        <v>1690213215.5999999</v>
      </c>
      <c r="I97">
        <f t="shared" si="30"/>
        <v>1.4598028713953581E-3</v>
      </c>
      <c r="J97">
        <f t="shared" si="31"/>
        <v>1.4598028713953581</v>
      </c>
      <c r="K97">
        <f t="shared" si="32"/>
        <v>21.667588582553261</v>
      </c>
      <c r="L97">
        <f t="shared" si="33"/>
        <v>541.90300000000002</v>
      </c>
      <c r="M97">
        <f t="shared" si="34"/>
        <v>104.29587919357998</v>
      </c>
      <c r="N97">
        <f t="shared" si="35"/>
        <v>10.345823726942466</v>
      </c>
      <c r="O97">
        <f t="shared" si="36"/>
        <v>53.755076024580006</v>
      </c>
      <c r="P97">
        <f t="shared" si="37"/>
        <v>8.2524468858985719E-2</v>
      </c>
      <c r="Q97">
        <f t="shared" si="38"/>
        <v>2.0107807790843171</v>
      </c>
      <c r="R97">
        <f t="shared" si="39"/>
        <v>8.0688032205860433E-2</v>
      </c>
      <c r="S97">
        <f t="shared" si="40"/>
        <v>5.0591612932222849E-2</v>
      </c>
      <c r="T97">
        <f t="shared" si="41"/>
        <v>276.115225302</v>
      </c>
      <c r="U97">
        <f t="shared" si="42"/>
        <v>28.751614934661117</v>
      </c>
      <c r="V97">
        <f t="shared" si="43"/>
        <v>28.751614934661117</v>
      </c>
      <c r="W97">
        <f t="shared" si="44"/>
        <v>3.9643290934354192</v>
      </c>
      <c r="X97">
        <f t="shared" si="45"/>
        <v>62.228813248681959</v>
      </c>
      <c r="Y97">
        <f t="shared" si="46"/>
        <v>2.2256601084480003</v>
      </c>
      <c r="Z97">
        <f t="shared" si="47"/>
        <v>3.5765748891172069</v>
      </c>
      <c r="AA97">
        <f t="shared" si="48"/>
        <v>1.7386689849874188</v>
      </c>
      <c r="AB97">
        <f t="shared" si="49"/>
        <v>-64.377306628535294</v>
      </c>
      <c r="AC97">
        <f t="shared" si="50"/>
        <v>-191.21757484434551</v>
      </c>
      <c r="AD97">
        <f t="shared" si="51"/>
        <v>-20.702042465591969</v>
      </c>
      <c r="AE97">
        <f t="shared" si="52"/>
        <v>-0.18169863647278817</v>
      </c>
      <c r="AF97">
        <v>36</v>
      </c>
      <c r="AG97">
        <v>12</v>
      </c>
      <c r="AH97">
        <f t="shared" si="53"/>
        <v>1</v>
      </c>
      <c r="AI97">
        <f t="shared" si="54"/>
        <v>0</v>
      </c>
      <c r="AJ97">
        <f t="shared" si="55"/>
        <v>52342.014111297402</v>
      </c>
      <c r="AK97">
        <f t="shared" si="56"/>
        <v>1800</v>
      </c>
      <c r="AL97">
        <f t="shared" si="57"/>
        <v>1499.1114041999999</v>
      </c>
      <c r="AM97">
        <f t="shared" si="58"/>
        <v>0.83283966899999995</v>
      </c>
      <c r="AN97">
        <f t="shared" si="59"/>
        <v>0.15339734738999999</v>
      </c>
      <c r="AO97">
        <v>34.5</v>
      </c>
      <c r="AP97">
        <v>0.5</v>
      </c>
      <c r="AQ97" t="s">
        <v>331</v>
      </c>
      <c r="AR97">
        <v>2</v>
      </c>
      <c r="AS97">
        <v>1690213215.5999999</v>
      </c>
      <c r="AT97">
        <v>541.90300000000002</v>
      </c>
      <c r="AU97">
        <v>800.02099999999996</v>
      </c>
      <c r="AV97">
        <v>22.436800000000002</v>
      </c>
      <c r="AW97">
        <v>6.0356800000000002</v>
      </c>
      <c r="AX97">
        <v>542.23299999999995</v>
      </c>
      <c r="AY97">
        <v>22.245200000000001</v>
      </c>
      <c r="AZ97">
        <v>300.18200000000002</v>
      </c>
      <c r="BA97">
        <v>99.096800000000002</v>
      </c>
      <c r="BB97">
        <v>0.10006</v>
      </c>
      <c r="BC97">
        <v>26.9877</v>
      </c>
      <c r="BD97">
        <v>26.991900000000001</v>
      </c>
      <c r="BE97">
        <v>28.799099999999999</v>
      </c>
      <c r="BF97">
        <v>0</v>
      </c>
      <c r="BG97">
        <v>0</v>
      </c>
      <c r="BH97">
        <v>9988.1200000000008</v>
      </c>
      <c r="BI97">
        <v>1076.0899999999999</v>
      </c>
      <c r="BJ97">
        <v>2.0744500000000001</v>
      </c>
      <c r="BK97">
        <v>-258.11799999999999</v>
      </c>
      <c r="BL97">
        <v>554.34100000000001</v>
      </c>
      <c r="BM97">
        <v>804.87900000000002</v>
      </c>
      <c r="BN97">
        <v>16.4011</v>
      </c>
      <c r="BO97">
        <v>800.02099999999996</v>
      </c>
      <c r="BP97">
        <v>6.0356800000000002</v>
      </c>
      <c r="BQ97">
        <v>2.2234099999999999</v>
      </c>
      <c r="BR97">
        <v>0.59811599999999998</v>
      </c>
      <c r="BS97">
        <v>19.132000000000001</v>
      </c>
      <c r="BT97">
        <v>-0.35249000000000003</v>
      </c>
      <c r="BU97">
        <v>1800</v>
      </c>
      <c r="BV97">
        <v>0.91</v>
      </c>
      <c r="BW97">
        <v>3.4006799999999997E-2</v>
      </c>
      <c r="BX97">
        <v>2.1998199999999999E-2</v>
      </c>
      <c r="BY97">
        <v>3.3995299999999999E-2</v>
      </c>
      <c r="BZ97">
        <v>26</v>
      </c>
      <c r="CA97">
        <v>33528.5</v>
      </c>
      <c r="CB97">
        <v>1690211922</v>
      </c>
      <c r="CC97" t="s">
        <v>332</v>
      </c>
      <c r="CD97">
        <v>1690211915</v>
      </c>
      <c r="CE97">
        <v>1690211922</v>
      </c>
      <c r="CF97">
        <v>6</v>
      </c>
      <c r="CG97">
        <v>1.0999999999999999E-2</v>
      </c>
      <c r="CH97">
        <v>8.0000000000000002E-3</v>
      </c>
      <c r="CI97">
        <v>-0.51100000000000001</v>
      </c>
      <c r="CJ97">
        <v>-6.6000000000000003E-2</v>
      </c>
      <c r="CK97">
        <v>800</v>
      </c>
      <c r="CL97">
        <v>6</v>
      </c>
      <c r="CM97">
        <v>0.21</v>
      </c>
      <c r="CN97">
        <v>0.02</v>
      </c>
      <c r="CO97">
        <v>-254.43389999999999</v>
      </c>
      <c r="CP97">
        <v>-21.153951219511651</v>
      </c>
      <c r="CQ97">
        <v>2.0357906179172751</v>
      </c>
      <c r="CR97">
        <v>-1</v>
      </c>
      <c r="CS97">
        <v>16.234662499999999</v>
      </c>
      <c r="CT97">
        <v>0.97708255159468593</v>
      </c>
      <c r="CU97">
        <v>9.3999097568806519E-2</v>
      </c>
      <c r="CV97">
        <v>-1</v>
      </c>
      <c r="CW97">
        <v>0</v>
      </c>
      <c r="CX97">
        <v>0</v>
      </c>
      <c r="CY97" t="s">
        <v>333</v>
      </c>
      <c r="CZ97">
        <v>2.3643200000000002</v>
      </c>
      <c r="DA97">
        <v>2.7138399999999998</v>
      </c>
      <c r="DB97">
        <v>0.11204799999999999</v>
      </c>
      <c r="DC97">
        <v>0.14604900000000001</v>
      </c>
      <c r="DD97">
        <v>0.10854</v>
      </c>
      <c r="DE97">
        <v>3.9627599999999999E-2</v>
      </c>
      <c r="DF97">
        <v>32398.7</v>
      </c>
      <c r="DG97">
        <v>27488.5</v>
      </c>
      <c r="DH97">
        <v>31149.8</v>
      </c>
      <c r="DI97">
        <v>28049.8</v>
      </c>
      <c r="DJ97">
        <v>37696.5</v>
      </c>
      <c r="DK97">
        <v>38302.400000000001</v>
      </c>
      <c r="DL97">
        <v>44325.7</v>
      </c>
      <c r="DM97">
        <v>42507.1</v>
      </c>
      <c r="DN97">
        <v>1.37998</v>
      </c>
      <c r="DO97">
        <v>2.0325500000000001</v>
      </c>
      <c r="DP97">
        <v>7.9840400000000006E-2</v>
      </c>
      <c r="DQ97">
        <v>0.19808500000000001</v>
      </c>
      <c r="DR97">
        <v>25.684799999999999</v>
      </c>
      <c r="DS97">
        <v>25.560500000000001</v>
      </c>
      <c r="DT97">
        <v>18</v>
      </c>
      <c r="DU97">
        <v>29.7</v>
      </c>
      <c r="DV97">
        <v>7.6069300000000002</v>
      </c>
      <c r="DW97">
        <v>61.791200000000003</v>
      </c>
      <c r="DX97">
        <v>35.9816</v>
      </c>
      <c r="DY97">
        <v>1</v>
      </c>
      <c r="DZ97">
        <v>-7.5480199999999997E-2</v>
      </c>
      <c r="EA97">
        <v>1.09749E-3</v>
      </c>
      <c r="EB97">
        <v>20.190100000000001</v>
      </c>
      <c r="EC97">
        <v>5.2404999999999999</v>
      </c>
      <c r="ED97">
        <v>12.039899999999999</v>
      </c>
      <c r="EE97">
        <v>5.0166500000000003</v>
      </c>
      <c r="EF97">
        <v>3.2879999999999998</v>
      </c>
      <c r="EG97">
        <v>9999</v>
      </c>
      <c r="EH97">
        <v>9999</v>
      </c>
      <c r="EI97">
        <v>9999</v>
      </c>
      <c r="EJ97">
        <v>999.9</v>
      </c>
      <c r="EK97">
        <v>1.86893</v>
      </c>
      <c r="EL97">
        <v>1.86469</v>
      </c>
      <c r="EM97">
        <v>1.8692</v>
      </c>
      <c r="EN97">
        <v>1.8672599999999999</v>
      </c>
      <c r="EO97">
        <v>1.86341</v>
      </c>
      <c r="EP97">
        <v>1.8645799999999999</v>
      </c>
      <c r="EQ97">
        <v>1.87018</v>
      </c>
      <c r="ER97">
        <v>1.86944</v>
      </c>
      <c r="ES97">
        <v>0</v>
      </c>
      <c r="ET97">
        <v>0</v>
      </c>
      <c r="EU97">
        <v>0</v>
      </c>
      <c r="EV97">
        <v>0</v>
      </c>
      <c r="EW97" t="s">
        <v>334</v>
      </c>
      <c r="EX97" t="s">
        <v>335</v>
      </c>
      <c r="EY97" t="s">
        <v>336</v>
      </c>
      <c r="EZ97" t="s">
        <v>336</v>
      </c>
      <c r="FA97" t="s">
        <v>336</v>
      </c>
      <c r="FB97" t="s">
        <v>336</v>
      </c>
      <c r="FC97">
        <v>0</v>
      </c>
      <c r="FD97">
        <v>100</v>
      </c>
      <c r="FE97">
        <v>100</v>
      </c>
      <c r="FF97">
        <v>-0.33</v>
      </c>
      <c r="FG97">
        <v>0.19159999999999999</v>
      </c>
      <c r="FH97">
        <v>4.0020685143421282E-2</v>
      </c>
      <c r="FI97">
        <v>-6.1462078757559423E-4</v>
      </c>
      <c r="FJ97">
        <v>-1.8861989874597051E-7</v>
      </c>
      <c r="FK97">
        <v>1.1980462299894961E-10</v>
      </c>
      <c r="FL97">
        <v>0.19160597004026461</v>
      </c>
      <c r="FM97">
        <v>0</v>
      </c>
      <c r="FN97">
        <v>0</v>
      </c>
      <c r="FO97">
        <v>0</v>
      </c>
      <c r="FP97">
        <v>3</v>
      </c>
      <c r="FQ97">
        <v>2158</v>
      </c>
      <c r="FR97">
        <v>1</v>
      </c>
      <c r="FS97">
        <v>19</v>
      </c>
      <c r="FT97">
        <v>21.7</v>
      </c>
      <c r="FU97">
        <v>21.6</v>
      </c>
      <c r="FV97">
        <v>1.77979</v>
      </c>
      <c r="FW97">
        <v>2.5842299999999998</v>
      </c>
      <c r="FX97">
        <v>1.5490699999999999</v>
      </c>
      <c r="FY97">
        <v>2.3290999999999999</v>
      </c>
      <c r="FZ97">
        <v>1.50146</v>
      </c>
      <c r="GA97">
        <v>2.2741699999999998</v>
      </c>
      <c r="GB97">
        <v>33.828299999999999</v>
      </c>
      <c r="GC97">
        <v>23.973700000000001</v>
      </c>
      <c r="GD97">
        <v>19</v>
      </c>
      <c r="GE97">
        <v>244.792</v>
      </c>
      <c r="GF97">
        <v>582.40300000000002</v>
      </c>
      <c r="GG97">
        <v>25.267099999999999</v>
      </c>
      <c r="GH97">
        <v>26.4377</v>
      </c>
      <c r="GI97">
        <v>29.9998</v>
      </c>
      <c r="GJ97">
        <v>26.5794</v>
      </c>
      <c r="GK97">
        <v>26.551300000000001</v>
      </c>
      <c r="GL97">
        <v>35.581800000000001</v>
      </c>
      <c r="GM97">
        <v>-30</v>
      </c>
      <c r="GN97">
        <v>-30</v>
      </c>
      <c r="GO97">
        <v>25.260400000000001</v>
      </c>
      <c r="GP97">
        <v>800</v>
      </c>
      <c r="GQ97">
        <v>12.5298</v>
      </c>
      <c r="GR97">
        <v>99.661500000000004</v>
      </c>
      <c r="GS97">
        <v>99.444999999999993</v>
      </c>
    </row>
    <row r="98" spans="1:201" x14ac:dyDescent="0.25">
      <c r="A98">
        <v>82</v>
      </c>
      <c r="B98">
        <v>1690213225.5999999</v>
      </c>
      <c r="C98">
        <v>958.09999990463257</v>
      </c>
      <c r="D98" t="s">
        <v>495</v>
      </c>
      <c r="E98" t="s">
        <v>496</v>
      </c>
      <c r="F98" t="s">
        <v>330</v>
      </c>
      <c r="H98">
        <v>1690213225.5999999</v>
      </c>
      <c r="I98">
        <f t="shared" si="30"/>
        <v>1.4729944551724638E-3</v>
      </c>
      <c r="J98">
        <f t="shared" si="31"/>
        <v>1.4729944551724639</v>
      </c>
      <c r="K98">
        <f t="shared" si="32"/>
        <v>21.973274511928992</v>
      </c>
      <c r="L98">
        <f t="shared" si="33"/>
        <v>538.298</v>
      </c>
      <c r="M98">
        <f t="shared" si="34"/>
        <v>102.82265322275235</v>
      </c>
      <c r="N98">
        <f t="shared" si="35"/>
        <v>10.199585277221798</v>
      </c>
      <c r="O98">
        <f t="shared" si="36"/>
        <v>53.396952747986795</v>
      </c>
      <c r="P98">
        <f t="shared" si="37"/>
        <v>8.410500837263081E-2</v>
      </c>
      <c r="Q98">
        <f t="shared" si="38"/>
        <v>2.0122141487379421</v>
      </c>
      <c r="R98">
        <f t="shared" si="39"/>
        <v>8.2199754314036755E-2</v>
      </c>
      <c r="S98">
        <f t="shared" si="40"/>
        <v>5.1542431188549051E-2</v>
      </c>
      <c r="T98">
        <f t="shared" si="41"/>
        <v>276.11515094399999</v>
      </c>
      <c r="U98">
        <f t="shared" si="42"/>
        <v>28.742042411934882</v>
      </c>
      <c r="V98">
        <f t="shared" si="43"/>
        <v>28.742042411934882</v>
      </c>
      <c r="W98">
        <f t="shared" si="44"/>
        <v>3.9621296632981924</v>
      </c>
      <c r="X98">
        <f t="shared" si="45"/>
        <v>62.646938783550489</v>
      </c>
      <c r="Y98">
        <f t="shared" si="46"/>
        <v>2.2401409329178001</v>
      </c>
      <c r="Z98">
        <f t="shared" si="47"/>
        <v>3.5758186695404897</v>
      </c>
      <c r="AA98">
        <f t="shared" si="48"/>
        <v>1.7219887303803922</v>
      </c>
      <c r="AB98">
        <f t="shared" si="49"/>
        <v>-64.95905547310565</v>
      </c>
      <c r="AC98">
        <f t="shared" si="50"/>
        <v>-190.70596869367242</v>
      </c>
      <c r="AD98">
        <f t="shared" si="51"/>
        <v>-20.630590336934297</v>
      </c>
      <c r="AE98">
        <f t="shared" si="52"/>
        <v>-0.18046355971236494</v>
      </c>
      <c r="AF98">
        <v>36</v>
      </c>
      <c r="AG98">
        <v>12</v>
      </c>
      <c r="AH98">
        <f t="shared" si="53"/>
        <v>1</v>
      </c>
      <c r="AI98">
        <f t="shared" si="54"/>
        <v>0</v>
      </c>
      <c r="AJ98">
        <f t="shared" si="55"/>
        <v>52411.435350021871</v>
      </c>
      <c r="AK98">
        <f t="shared" si="56"/>
        <v>1800</v>
      </c>
      <c r="AL98">
        <f t="shared" si="57"/>
        <v>1499.1114203999998</v>
      </c>
      <c r="AM98">
        <f t="shared" si="58"/>
        <v>0.83283967799999992</v>
      </c>
      <c r="AN98">
        <f t="shared" si="59"/>
        <v>0.15339730607999999</v>
      </c>
      <c r="AO98">
        <v>34.5</v>
      </c>
      <c r="AP98">
        <v>0.5</v>
      </c>
      <c r="AQ98" t="s">
        <v>331</v>
      </c>
      <c r="AR98">
        <v>2</v>
      </c>
      <c r="AS98">
        <v>1690213225.5999999</v>
      </c>
      <c r="AT98">
        <v>538.298</v>
      </c>
      <c r="AU98">
        <v>799.98699999999997</v>
      </c>
      <c r="AV98">
        <v>22.582999999999998</v>
      </c>
      <c r="AW98">
        <v>6.03383</v>
      </c>
      <c r="AX98">
        <v>538.625</v>
      </c>
      <c r="AY98">
        <v>22.391400000000001</v>
      </c>
      <c r="AZ98">
        <v>300.14</v>
      </c>
      <c r="BA98">
        <v>99.0959</v>
      </c>
      <c r="BB98">
        <v>9.9996600000000005E-2</v>
      </c>
      <c r="BC98">
        <v>26.984100000000002</v>
      </c>
      <c r="BD98">
        <v>26.986000000000001</v>
      </c>
      <c r="BE98">
        <v>28.802499999999998</v>
      </c>
      <c r="BF98">
        <v>0</v>
      </c>
      <c r="BG98">
        <v>0</v>
      </c>
      <c r="BH98">
        <v>10001.9</v>
      </c>
      <c r="BI98">
        <v>1076.1199999999999</v>
      </c>
      <c r="BJ98">
        <v>2.0744500000000001</v>
      </c>
      <c r="BK98">
        <v>-261.68900000000002</v>
      </c>
      <c r="BL98">
        <v>550.73500000000001</v>
      </c>
      <c r="BM98">
        <v>804.84400000000005</v>
      </c>
      <c r="BN98">
        <v>16.549199999999999</v>
      </c>
      <c r="BO98">
        <v>799.98699999999997</v>
      </c>
      <c r="BP98">
        <v>6.03383</v>
      </c>
      <c r="BQ98">
        <v>2.2378900000000002</v>
      </c>
      <c r="BR98">
        <v>0.59792800000000002</v>
      </c>
      <c r="BS98">
        <v>19.2361</v>
      </c>
      <c r="BT98">
        <v>-0.35681299999999999</v>
      </c>
      <c r="BU98">
        <v>1800</v>
      </c>
      <c r="BV98">
        <v>0.91000099999999995</v>
      </c>
      <c r="BW98">
        <v>3.4007999999999997E-2</v>
      </c>
      <c r="BX98">
        <v>2.19974E-2</v>
      </c>
      <c r="BY98">
        <v>3.3994000000000003E-2</v>
      </c>
      <c r="BZ98">
        <v>26</v>
      </c>
      <c r="CA98">
        <v>33528.300000000003</v>
      </c>
      <c r="CB98">
        <v>1690211922</v>
      </c>
      <c r="CC98" t="s">
        <v>332</v>
      </c>
      <c r="CD98">
        <v>1690211915</v>
      </c>
      <c r="CE98">
        <v>1690211922</v>
      </c>
      <c r="CF98">
        <v>6</v>
      </c>
      <c r="CG98">
        <v>1.0999999999999999E-2</v>
      </c>
      <c r="CH98">
        <v>8.0000000000000002E-3</v>
      </c>
      <c r="CI98">
        <v>-0.51100000000000001</v>
      </c>
      <c r="CJ98">
        <v>-6.6000000000000003E-2</v>
      </c>
      <c r="CK98">
        <v>800</v>
      </c>
      <c r="CL98">
        <v>6</v>
      </c>
      <c r="CM98">
        <v>0.21</v>
      </c>
      <c r="CN98">
        <v>0.02</v>
      </c>
      <c r="CO98">
        <v>-257.62504999999999</v>
      </c>
      <c r="CP98">
        <v>-21.486439024389941</v>
      </c>
      <c r="CQ98">
        <v>2.067364517326352</v>
      </c>
      <c r="CR98">
        <v>-1</v>
      </c>
      <c r="CS98">
        <v>16.37754</v>
      </c>
      <c r="CT98">
        <v>0.93351669793622094</v>
      </c>
      <c r="CU98">
        <v>8.9847164117739534E-2</v>
      </c>
      <c r="CV98">
        <v>-1</v>
      </c>
      <c r="CW98">
        <v>0</v>
      </c>
      <c r="CX98">
        <v>0</v>
      </c>
      <c r="CY98" t="s">
        <v>333</v>
      </c>
      <c r="CZ98">
        <v>2.3641899999999998</v>
      </c>
      <c r="DA98">
        <v>2.7137899999999999</v>
      </c>
      <c r="DB98">
        <v>0.111512</v>
      </c>
      <c r="DC98">
        <v>0.14604400000000001</v>
      </c>
      <c r="DD98">
        <v>0.109043</v>
      </c>
      <c r="DE98">
        <v>3.9617600000000003E-2</v>
      </c>
      <c r="DF98">
        <v>32418.7</v>
      </c>
      <c r="DG98">
        <v>27489.1</v>
      </c>
      <c r="DH98">
        <v>31150.2</v>
      </c>
      <c r="DI98">
        <v>28050.3</v>
      </c>
      <c r="DJ98">
        <v>37675.4</v>
      </c>
      <c r="DK98">
        <v>38303.5</v>
      </c>
      <c r="DL98">
        <v>44326.2</v>
      </c>
      <c r="DM98">
        <v>42507.8</v>
      </c>
      <c r="DN98">
        <v>1.3795500000000001</v>
      </c>
      <c r="DO98">
        <v>2.0327500000000001</v>
      </c>
      <c r="DP98">
        <v>7.9546099999999995E-2</v>
      </c>
      <c r="DQ98">
        <v>0.19833100000000001</v>
      </c>
      <c r="DR98">
        <v>25.683700000000002</v>
      </c>
      <c r="DS98">
        <v>25.56</v>
      </c>
      <c r="DT98">
        <v>18</v>
      </c>
      <c r="DU98">
        <v>29.7</v>
      </c>
      <c r="DV98">
        <v>7.6066200000000004</v>
      </c>
      <c r="DW98">
        <v>61.091200000000001</v>
      </c>
      <c r="DX98">
        <v>36.358199999999997</v>
      </c>
      <c r="DY98">
        <v>1</v>
      </c>
      <c r="DZ98">
        <v>-7.5586899999999999E-2</v>
      </c>
      <c r="EA98">
        <v>-0.143238</v>
      </c>
      <c r="EB98">
        <v>20.189900000000002</v>
      </c>
      <c r="EC98">
        <v>5.2409499999999998</v>
      </c>
      <c r="ED98">
        <v>12.039899999999999</v>
      </c>
      <c r="EE98">
        <v>5.0164499999999999</v>
      </c>
      <c r="EF98">
        <v>3.2879999999999998</v>
      </c>
      <c r="EG98">
        <v>9999</v>
      </c>
      <c r="EH98">
        <v>9999</v>
      </c>
      <c r="EI98">
        <v>9999</v>
      </c>
      <c r="EJ98">
        <v>999.9</v>
      </c>
      <c r="EK98">
        <v>1.8689100000000001</v>
      </c>
      <c r="EL98">
        <v>1.86466</v>
      </c>
      <c r="EM98">
        <v>1.8692</v>
      </c>
      <c r="EN98">
        <v>1.8672500000000001</v>
      </c>
      <c r="EO98">
        <v>1.8633999999999999</v>
      </c>
      <c r="EP98">
        <v>1.86459</v>
      </c>
      <c r="EQ98">
        <v>1.87018</v>
      </c>
      <c r="ER98">
        <v>1.86944</v>
      </c>
      <c r="ES98">
        <v>0</v>
      </c>
      <c r="ET98">
        <v>0</v>
      </c>
      <c r="EU98">
        <v>0</v>
      </c>
      <c r="EV98">
        <v>0</v>
      </c>
      <c r="EW98" t="s">
        <v>334</v>
      </c>
      <c r="EX98" t="s">
        <v>335</v>
      </c>
      <c r="EY98" t="s">
        <v>336</v>
      </c>
      <c r="EZ98" t="s">
        <v>336</v>
      </c>
      <c r="FA98" t="s">
        <v>336</v>
      </c>
      <c r="FB98" t="s">
        <v>336</v>
      </c>
      <c r="FC98">
        <v>0</v>
      </c>
      <c r="FD98">
        <v>100</v>
      </c>
      <c r="FE98">
        <v>100</v>
      </c>
      <c r="FF98">
        <v>-0.32700000000000001</v>
      </c>
      <c r="FG98">
        <v>0.19159999999999999</v>
      </c>
      <c r="FH98">
        <v>4.0020685143421282E-2</v>
      </c>
      <c r="FI98">
        <v>-6.1462078757559423E-4</v>
      </c>
      <c r="FJ98">
        <v>-1.8861989874597051E-7</v>
      </c>
      <c r="FK98">
        <v>1.1980462299894961E-10</v>
      </c>
      <c r="FL98">
        <v>0.19160597004026461</v>
      </c>
      <c r="FM98">
        <v>0</v>
      </c>
      <c r="FN98">
        <v>0</v>
      </c>
      <c r="FO98">
        <v>0</v>
      </c>
      <c r="FP98">
        <v>3</v>
      </c>
      <c r="FQ98">
        <v>2158</v>
      </c>
      <c r="FR98">
        <v>1</v>
      </c>
      <c r="FS98">
        <v>19</v>
      </c>
      <c r="FT98">
        <v>21.8</v>
      </c>
      <c r="FU98">
        <v>21.7</v>
      </c>
      <c r="FV98">
        <v>1.77979</v>
      </c>
      <c r="FW98">
        <v>2.5769000000000002</v>
      </c>
      <c r="FX98">
        <v>1.5490699999999999</v>
      </c>
      <c r="FY98">
        <v>2.3290999999999999</v>
      </c>
      <c r="FZ98">
        <v>1.50146</v>
      </c>
      <c r="GA98">
        <v>2.3315399999999999</v>
      </c>
      <c r="GB98">
        <v>33.850900000000003</v>
      </c>
      <c r="GC98">
        <v>23.982399999999998</v>
      </c>
      <c r="GD98">
        <v>19</v>
      </c>
      <c r="GE98">
        <v>244.62</v>
      </c>
      <c r="GF98">
        <v>582.54399999999998</v>
      </c>
      <c r="GG98">
        <v>25.256599999999999</v>
      </c>
      <c r="GH98">
        <v>26.435500000000001</v>
      </c>
      <c r="GI98">
        <v>29.9999</v>
      </c>
      <c r="GJ98">
        <v>26.577200000000001</v>
      </c>
      <c r="GK98">
        <v>26.549099999999999</v>
      </c>
      <c r="GL98">
        <v>35.582299999999996</v>
      </c>
      <c r="GM98">
        <v>-30</v>
      </c>
      <c r="GN98">
        <v>-30</v>
      </c>
      <c r="GO98">
        <v>25.275600000000001</v>
      </c>
      <c r="GP98">
        <v>800</v>
      </c>
      <c r="GQ98">
        <v>12.5298</v>
      </c>
      <c r="GR98">
        <v>99.662800000000004</v>
      </c>
      <c r="GS98">
        <v>99.446799999999996</v>
      </c>
    </row>
    <row r="99" spans="1:201" x14ac:dyDescent="0.25">
      <c r="A99">
        <v>83</v>
      </c>
      <c r="B99">
        <v>1690213235.5999999</v>
      </c>
      <c r="C99">
        <v>968.09999990463257</v>
      </c>
      <c r="D99" t="s">
        <v>497</v>
      </c>
      <c r="E99" t="s">
        <v>498</v>
      </c>
      <c r="F99" t="s">
        <v>330</v>
      </c>
      <c r="H99">
        <v>1690213235.5999999</v>
      </c>
      <c r="I99">
        <f t="shared" si="30"/>
        <v>1.4876405691055163E-3</v>
      </c>
      <c r="J99">
        <f t="shared" si="31"/>
        <v>1.4876405691055163</v>
      </c>
      <c r="K99">
        <f t="shared" si="32"/>
        <v>22.294236808301616</v>
      </c>
      <c r="L99">
        <f t="shared" si="33"/>
        <v>534.64700000000005</v>
      </c>
      <c r="M99">
        <f t="shared" si="34"/>
        <v>101.42015478578475</v>
      </c>
      <c r="N99">
        <f t="shared" si="35"/>
        <v>10.060581990856013</v>
      </c>
      <c r="O99">
        <f t="shared" si="36"/>
        <v>53.035414814995995</v>
      </c>
      <c r="P99">
        <f t="shared" si="37"/>
        <v>8.5789949133387791E-2</v>
      </c>
      <c r="Q99">
        <f t="shared" si="38"/>
        <v>2.009144895415321</v>
      </c>
      <c r="R99">
        <f t="shared" si="39"/>
        <v>8.3805608894342951E-2</v>
      </c>
      <c r="S99">
        <f t="shared" si="40"/>
        <v>5.2552967831694247E-2</v>
      </c>
      <c r="T99">
        <f t="shared" si="41"/>
        <v>276.11471905199994</v>
      </c>
      <c r="U99">
        <f t="shared" si="42"/>
        <v>28.738979351749713</v>
      </c>
      <c r="V99">
        <f t="shared" si="43"/>
        <v>28.738979351749713</v>
      </c>
      <c r="W99">
        <f t="shared" si="44"/>
        <v>3.9614261042281589</v>
      </c>
      <c r="X99">
        <f t="shared" si="45"/>
        <v>63.083861478868521</v>
      </c>
      <c r="Y99">
        <f t="shared" si="46"/>
        <v>2.2557512460267999</v>
      </c>
      <c r="Z99">
        <f t="shared" si="47"/>
        <v>3.5757976654336843</v>
      </c>
      <c r="AA99">
        <f t="shared" si="48"/>
        <v>1.705674858201359</v>
      </c>
      <c r="AB99">
        <f t="shared" si="49"/>
        <v>-65.604949097553273</v>
      </c>
      <c r="AC99">
        <f t="shared" si="50"/>
        <v>-190.09413284393071</v>
      </c>
      <c r="AD99">
        <f t="shared" si="51"/>
        <v>-20.595491527508948</v>
      </c>
      <c r="AE99">
        <f t="shared" si="52"/>
        <v>-0.17985441699300964</v>
      </c>
      <c r="AF99">
        <v>35</v>
      </c>
      <c r="AG99">
        <v>12</v>
      </c>
      <c r="AH99">
        <f t="shared" si="53"/>
        <v>1</v>
      </c>
      <c r="AI99">
        <f t="shared" si="54"/>
        <v>0</v>
      </c>
      <c r="AJ99">
        <f t="shared" si="55"/>
        <v>52264.213051785591</v>
      </c>
      <c r="AK99">
        <f t="shared" si="56"/>
        <v>1800</v>
      </c>
      <c r="AL99">
        <f t="shared" si="57"/>
        <v>1499.1108911999997</v>
      </c>
      <c r="AM99">
        <f t="shared" si="58"/>
        <v>0.8328393839999999</v>
      </c>
      <c r="AN99">
        <f t="shared" si="59"/>
        <v>0.15339706613999998</v>
      </c>
      <c r="AO99">
        <v>34.5</v>
      </c>
      <c r="AP99">
        <v>0.5</v>
      </c>
      <c r="AQ99" t="s">
        <v>331</v>
      </c>
      <c r="AR99">
        <v>2</v>
      </c>
      <c r="AS99">
        <v>1690213235.5999999</v>
      </c>
      <c r="AT99">
        <v>534.64700000000005</v>
      </c>
      <c r="AU99">
        <v>799.98900000000003</v>
      </c>
      <c r="AV99">
        <v>22.740100000000002</v>
      </c>
      <c r="AW99">
        <v>6.0331299999999999</v>
      </c>
      <c r="AX99">
        <v>534.97199999999998</v>
      </c>
      <c r="AY99">
        <v>22.548500000000001</v>
      </c>
      <c r="AZ99">
        <v>300.21300000000002</v>
      </c>
      <c r="BA99">
        <v>99.096999999999994</v>
      </c>
      <c r="BB99">
        <v>0.100068</v>
      </c>
      <c r="BC99">
        <v>26.984000000000002</v>
      </c>
      <c r="BD99">
        <v>26.9846</v>
      </c>
      <c r="BE99">
        <v>28.801200000000001</v>
      </c>
      <c r="BF99">
        <v>0</v>
      </c>
      <c r="BG99">
        <v>0</v>
      </c>
      <c r="BH99">
        <v>9972.5</v>
      </c>
      <c r="BI99">
        <v>1076.0999999999999</v>
      </c>
      <c r="BJ99">
        <v>2.0744500000000001</v>
      </c>
      <c r="BK99">
        <v>-265.34199999999998</v>
      </c>
      <c r="BL99">
        <v>547.08799999999997</v>
      </c>
      <c r="BM99">
        <v>804.84500000000003</v>
      </c>
      <c r="BN99">
        <v>16.706900000000001</v>
      </c>
      <c r="BO99">
        <v>799.98900000000003</v>
      </c>
      <c r="BP99">
        <v>6.0331299999999999</v>
      </c>
      <c r="BQ99">
        <v>2.2534700000000001</v>
      </c>
      <c r="BR99">
        <v>0.59786499999999998</v>
      </c>
      <c r="BS99">
        <v>19.3476</v>
      </c>
      <c r="BT99">
        <v>-0.358263</v>
      </c>
      <c r="BU99">
        <v>1800</v>
      </c>
      <c r="BV99">
        <v>0.91000499999999995</v>
      </c>
      <c r="BW99">
        <v>3.40062E-2</v>
      </c>
      <c r="BX99">
        <v>2.19962E-2</v>
      </c>
      <c r="BY99">
        <v>3.39922E-2</v>
      </c>
      <c r="BZ99">
        <v>26</v>
      </c>
      <c r="CA99">
        <v>33528.300000000003</v>
      </c>
      <c r="CB99">
        <v>1690211922</v>
      </c>
      <c r="CC99" t="s">
        <v>332</v>
      </c>
      <c r="CD99">
        <v>1690211915</v>
      </c>
      <c r="CE99">
        <v>1690211922</v>
      </c>
      <c r="CF99">
        <v>6</v>
      </c>
      <c r="CG99">
        <v>1.0999999999999999E-2</v>
      </c>
      <c r="CH99">
        <v>8.0000000000000002E-3</v>
      </c>
      <c r="CI99">
        <v>-0.51100000000000001</v>
      </c>
      <c r="CJ99">
        <v>-6.6000000000000003E-2</v>
      </c>
      <c r="CK99">
        <v>800</v>
      </c>
      <c r="CL99">
        <v>6</v>
      </c>
      <c r="CM99">
        <v>0.21</v>
      </c>
      <c r="CN99">
        <v>0.02</v>
      </c>
      <c r="CO99">
        <v>-261.59212500000001</v>
      </c>
      <c r="CP99">
        <v>-21.633782363976401</v>
      </c>
      <c r="CQ99">
        <v>2.081572160501528</v>
      </c>
      <c r="CR99">
        <v>-1</v>
      </c>
      <c r="CS99">
        <v>16.546044999999999</v>
      </c>
      <c r="CT99">
        <v>0.90649305816133507</v>
      </c>
      <c r="CU99">
        <v>8.7224764115473807E-2</v>
      </c>
      <c r="CV99">
        <v>-1</v>
      </c>
      <c r="CW99">
        <v>0</v>
      </c>
      <c r="CX99">
        <v>0</v>
      </c>
      <c r="CY99" t="s">
        <v>333</v>
      </c>
      <c r="CZ99">
        <v>2.36443</v>
      </c>
      <c r="DA99">
        <v>2.7138399999999998</v>
      </c>
      <c r="DB99">
        <v>0.110971</v>
      </c>
      <c r="DC99">
        <v>0.14604600000000001</v>
      </c>
      <c r="DD99">
        <v>0.109583</v>
      </c>
      <c r="DE99">
        <v>3.9614200000000002E-2</v>
      </c>
      <c r="DF99">
        <v>32438.1</v>
      </c>
      <c r="DG99">
        <v>27489.200000000001</v>
      </c>
      <c r="DH99">
        <v>31149.9</v>
      </c>
      <c r="DI99">
        <v>28050.5</v>
      </c>
      <c r="DJ99">
        <v>37651.9</v>
      </c>
      <c r="DK99">
        <v>38303.9</v>
      </c>
      <c r="DL99">
        <v>44325.8</v>
      </c>
      <c r="DM99">
        <v>42508.1</v>
      </c>
      <c r="DN99">
        <v>1.3806799999999999</v>
      </c>
      <c r="DO99">
        <v>2.0326200000000001</v>
      </c>
      <c r="DP99">
        <v>7.94604E-2</v>
      </c>
      <c r="DQ99">
        <v>0.19834599999999999</v>
      </c>
      <c r="DR99">
        <v>25.683700000000002</v>
      </c>
      <c r="DS99">
        <v>25.558399999999999</v>
      </c>
      <c r="DT99">
        <v>18</v>
      </c>
      <c r="DU99">
        <v>29.7</v>
      </c>
      <c r="DV99">
        <v>7.6067600000000004</v>
      </c>
      <c r="DW99">
        <v>62.011200000000002</v>
      </c>
      <c r="DX99">
        <v>36.522399999999998</v>
      </c>
      <c r="DY99">
        <v>1</v>
      </c>
      <c r="DZ99">
        <v>-7.5403999999999999E-2</v>
      </c>
      <c r="EA99">
        <v>-0.18124999999999999</v>
      </c>
      <c r="EB99">
        <v>20.189800000000002</v>
      </c>
      <c r="EC99">
        <v>5.2406499999999996</v>
      </c>
      <c r="ED99">
        <v>12.039899999999999</v>
      </c>
      <c r="EE99">
        <v>5.0164999999999997</v>
      </c>
      <c r="EF99">
        <v>3.2879999999999998</v>
      </c>
      <c r="EG99">
        <v>9999</v>
      </c>
      <c r="EH99">
        <v>9999</v>
      </c>
      <c r="EI99">
        <v>9999</v>
      </c>
      <c r="EJ99">
        <v>999.9</v>
      </c>
      <c r="EK99">
        <v>1.8689199999999999</v>
      </c>
      <c r="EL99">
        <v>1.86463</v>
      </c>
      <c r="EM99">
        <v>1.8692</v>
      </c>
      <c r="EN99">
        <v>1.8672599999999999</v>
      </c>
      <c r="EO99">
        <v>1.8633999999999999</v>
      </c>
      <c r="EP99">
        <v>1.8645799999999999</v>
      </c>
      <c r="EQ99">
        <v>1.87018</v>
      </c>
      <c r="ER99">
        <v>1.86941</v>
      </c>
      <c r="ES99">
        <v>0</v>
      </c>
      <c r="ET99">
        <v>0</v>
      </c>
      <c r="EU99">
        <v>0</v>
      </c>
      <c r="EV99">
        <v>0</v>
      </c>
      <c r="EW99" t="s">
        <v>334</v>
      </c>
      <c r="EX99" t="s">
        <v>335</v>
      </c>
      <c r="EY99" t="s">
        <v>336</v>
      </c>
      <c r="EZ99" t="s">
        <v>336</v>
      </c>
      <c r="FA99" t="s">
        <v>336</v>
      </c>
      <c r="FB99" t="s">
        <v>336</v>
      </c>
      <c r="FC99">
        <v>0</v>
      </c>
      <c r="FD99">
        <v>100</v>
      </c>
      <c r="FE99">
        <v>100</v>
      </c>
      <c r="FF99">
        <v>-0.32500000000000001</v>
      </c>
      <c r="FG99">
        <v>0.19159999999999999</v>
      </c>
      <c r="FH99">
        <v>4.0020685143421282E-2</v>
      </c>
      <c r="FI99">
        <v>-6.1462078757559423E-4</v>
      </c>
      <c r="FJ99">
        <v>-1.8861989874597051E-7</v>
      </c>
      <c r="FK99">
        <v>1.1980462299894961E-10</v>
      </c>
      <c r="FL99">
        <v>0.19160597004026461</v>
      </c>
      <c r="FM99">
        <v>0</v>
      </c>
      <c r="FN99">
        <v>0</v>
      </c>
      <c r="FO99">
        <v>0</v>
      </c>
      <c r="FP99">
        <v>3</v>
      </c>
      <c r="FQ99">
        <v>2158</v>
      </c>
      <c r="FR99">
        <v>1</v>
      </c>
      <c r="FS99">
        <v>19</v>
      </c>
      <c r="FT99">
        <v>22</v>
      </c>
      <c r="FU99">
        <v>21.9</v>
      </c>
      <c r="FV99">
        <v>1.77979</v>
      </c>
      <c r="FW99">
        <v>2.5756800000000002</v>
      </c>
      <c r="FX99">
        <v>1.5490699999999999</v>
      </c>
      <c r="FY99">
        <v>2.3290999999999999</v>
      </c>
      <c r="FZ99">
        <v>1.50146</v>
      </c>
      <c r="GA99">
        <v>2.33643</v>
      </c>
      <c r="GB99">
        <v>33.850900000000003</v>
      </c>
      <c r="GC99">
        <v>23.982399999999998</v>
      </c>
      <c r="GD99">
        <v>19</v>
      </c>
      <c r="GE99">
        <v>245.04499999999999</v>
      </c>
      <c r="GF99">
        <v>582.44100000000003</v>
      </c>
      <c r="GG99">
        <v>25.287600000000001</v>
      </c>
      <c r="GH99">
        <v>26.434200000000001</v>
      </c>
      <c r="GI99">
        <v>30.0002</v>
      </c>
      <c r="GJ99">
        <v>26.574999999999999</v>
      </c>
      <c r="GK99">
        <v>26.549099999999999</v>
      </c>
      <c r="GL99">
        <v>35.5837</v>
      </c>
      <c r="GM99">
        <v>-30</v>
      </c>
      <c r="GN99">
        <v>-30</v>
      </c>
      <c r="GO99">
        <v>25.294699999999999</v>
      </c>
      <c r="GP99">
        <v>800</v>
      </c>
      <c r="GQ99">
        <v>12.5298</v>
      </c>
      <c r="GR99">
        <v>99.661799999999999</v>
      </c>
      <c r="GS99">
        <v>99.447400000000002</v>
      </c>
    </row>
    <row r="100" spans="1:201" x14ac:dyDescent="0.25">
      <c r="A100">
        <v>84</v>
      </c>
      <c r="B100">
        <v>1690213245.5999999</v>
      </c>
      <c r="C100">
        <v>978.09999990463257</v>
      </c>
      <c r="D100" t="s">
        <v>499</v>
      </c>
      <c r="E100" t="s">
        <v>500</v>
      </c>
      <c r="F100" t="s">
        <v>330</v>
      </c>
      <c r="H100">
        <v>1690213245.5999999</v>
      </c>
      <c r="I100">
        <f t="shared" si="30"/>
        <v>1.5013741239424494E-3</v>
      </c>
      <c r="J100">
        <f t="shared" si="31"/>
        <v>1.5013741239424494</v>
      </c>
      <c r="K100">
        <f t="shared" si="32"/>
        <v>22.598473273542016</v>
      </c>
      <c r="L100">
        <f t="shared" si="33"/>
        <v>531.16999999999996</v>
      </c>
      <c r="M100">
        <f t="shared" si="34"/>
        <v>100.63173709354695</v>
      </c>
      <c r="N100">
        <f t="shared" si="35"/>
        <v>9.9823838337590924</v>
      </c>
      <c r="O100">
        <f t="shared" si="36"/>
        <v>52.690562382409986</v>
      </c>
      <c r="P100">
        <f t="shared" si="37"/>
        <v>8.7513242289410015E-2</v>
      </c>
      <c r="Q100">
        <f t="shared" si="38"/>
        <v>2.0151628108408661</v>
      </c>
      <c r="R100">
        <f t="shared" si="39"/>
        <v>8.5455421230517428E-2</v>
      </c>
      <c r="S100">
        <f t="shared" si="40"/>
        <v>5.3590495087592983E-2</v>
      </c>
      <c r="T100">
        <f t="shared" si="41"/>
        <v>276.11479400399998</v>
      </c>
      <c r="U100">
        <f t="shared" si="42"/>
        <v>28.727513258109596</v>
      </c>
      <c r="V100">
        <f t="shared" si="43"/>
        <v>28.727513258109596</v>
      </c>
      <c r="W100">
        <f t="shared" si="44"/>
        <v>3.9587934064893804</v>
      </c>
      <c r="X100">
        <f t="shared" si="45"/>
        <v>63.508608134727318</v>
      </c>
      <c r="Y100">
        <f t="shared" si="46"/>
        <v>2.2707125674256994</v>
      </c>
      <c r="Z100">
        <f t="shared" si="47"/>
        <v>3.5754406120956141</v>
      </c>
      <c r="AA100">
        <f t="shared" si="48"/>
        <v>1.688080839063681</v>
      </c>
      <c r="AB100">
        <f t="shared" si="49"/>
        <v>-66.210598865862025</v>
      </c>
      <c r="AC100">
        <f t="shared" si="50"/>
        <v>-189.60251193614351</v>
      </c>
      <c r="AD100">
        <f t="shared" si="51"/>
        <v>-20.47953561572908</v>
      </c>
      <c r="AE100">
        <f t="shared" si="52"/>
        <v>-0.17785241373462668</v>
      </c>
      <c r="AF100">
        <v>35</v>
      </c>
      <c r="AG100">
        <v>12</v>
      </c>
      <c r="AH100">
        <f t="shared" si="53"/>
        <v>1</v>
      </c>
      <c r="AI100">
        <f t="shared" si="54"/>
        <v>0</v>
      </c>
      <c r="AJ100">
        <f t="shared" si="55"/>
        <v>52553.552165643901</v>
      </c>
      <c r="AK100">
        <f t="shared" si="56"/>
        <v>1800</v>
      </c>
      <c r="AL100">
        <f t="shared" si="57"/>
        <v>1499.1125543999999</v>
      </c>
      <c r="AM100">
        <f t="shared" si="58"/>
        <v>0.83284030799999997</v>
      </c>
      <c r="AN100">
        <f t="shared" si="59"/>
        <v>0.15339710777999999</v>
      </c>
      <c r="AO100">
        <v>34.5</v>
      </c>
      <c r="AP100">
        <v>0.5</v>
      </c>
      <c r="AQ100" t="s">
        <v>331</v>
      </c>
      <c r="AR100">
        <v>2</v>
      </c>
      <c r="AS100">
        <v>1690213245.5999999</v>
      </c>
      <c r="AT100">
        <v>531.16999999999996</v>
      </c>
      <c r="AU100">
        <v>800.03800000000001</v>
      </c>
      <c r="AV100">
        <v>22.890899999999998</v>
      </c>
      <c r="AW100">
        <v>6.0319599999999998</v>
      </c>
      <c r="AX100">
        <v>531.49199999999996</v>
      </c>
      <c r="AY100">
        <v>22.699300000000001</v>
      </c>
      <c r="AZ100">
        <v>300.20699999999999</v>
      </c>
      <c r="BA100">
        <v>99.097099999999998</v>
      </c>
      <c r="BB100">
        <v>0.100073</v>
      </c>
      <c r="BC100">
        <v>26.982299999999999</v>
      </c>
      <c r="BD100">
        <v>27</v>
      </c>
      <c r="BE100">
        <v>28.773599999999998</v>
      </c>
      <c r="BF100">
        <v>0</v>
      </c>
      <c r="BG100">
        <v>0</v>
      </c>
      <c r="BH100">
        <v>10030</v>
      </c>
      <c r="BI100">
        <v>1076.0899999999999</v>
      </c>
      <c r="BJ100">
        <v>2.0744500000000001</v>
      </c>
      <c r="BK100">
        <v>-268.86799999999999</v>
      </c>
      <c r="BL100">
        <v>543.61400000000003</v>
      </c>
      <c r="BM100">
        <v>804.89300000000003</v>
      </c>
      <c r="BN100">
        <v>16.859000000000002</v>
      </c>
      <c r="BO100">
        <v>800.03800000000001</v>
      </c>
      <c r="BP100">
        <v>6.0319599999999998</v>
      </c>
      <c r="BQ100">
        <v>2.2684299999999999</v>
      </c>
      <c r="BR100">
        <v>0.59775</v>
      </c>
      <c r="BS100">
        <v>19.453900000000001</v>
      </c>
      <c r="BT100">
        <v>-0.36089300000000002</v>
      </c>
      <c r="BU100">
        <v>1800</v>
      </c>
      <c r="BV100">
        <v>0.91000899999999996</v>
      </c>
      <c r="BW100">
        <v>3.4005000000000001E-2</v>
      </c>
      <c r="BX100">
        <v>2.1995399999999998E-2</v>
      </c>
      <c r="BY100">
        <v>3.3991E-2</v>
      </c>
      <c r="BZ100">
        <v>26</v>
      </c>
      <c r="CA100">
        <v>33528.400000000001</v>
      </c>
      <c r="CB100">
        <v>1690211922</v>
      </c>
      <c r="CC100" t="s">
        <v>332</v>
      </c>
      <c r="CD100">
        <v>1690211915</v>
      </c>
      <c r="CE100">
        <v>1690211922</v>
      </c>
      <c r="CF100">
        <v>6</v>
      </c>
      <c r="CG100">
        <v>1.0999999999999999E-2</v>
      </c>
      <c r="CH100">
        <v>8.0000000000000002E-3</v>
      </c>
      <c r="CI100">
        <v>-0.51100000000000001</v>
      </c>
      <c r="CJ100">
        <v>-6.6000000000000003E-2</v>
      </c>
      <c r="CK100">
        <v>800</v>
      </c>
      <c r="CL100">
        <v>6</v>
      </c>
      <c r="CM100">
        <v>0.21</v>
      </c>
      <c r="CN100">
        <v>0.02</v>
      </c>
      <c r="CO100">
        <v>-264.83172500000001</v>
      </c>
      <c r="CP100">
        <v>-21.483073170731409</v>
      </c>
      <c r="CQ100">
        <v>2.0670827267855052</v>
      </c>
      <c r="CR100">
        <v>-1</v>
      </c>
      <c r="CS100">
        <v>16.685567500000001</v>
      </c>
      <c r="CT100">
        <v>0.94608968105067892</v>
      </c>
      <c r="CU100">
        <v>9.1029001937569423E-2</v>
      </c>
      <c r="CV100">
        <v>-1</v>
      </c>
      <c r="CW100">
        <v>0</v>
      </c>
      <c r="CX100">
        <v>0</v>
      </c>
      <c r="CY100" t="s">
        <v>333</v>
      </c>
      <c r="CZ100">
        <v>2.3644099999999999</v>
      </c>
      <c r="DA100">
        <v>2.7138900000000001</v>
      </c>
      <c r="DB100">
        <v>0.11045199999999999</v>
      </c>
      <c r="DC100">
        <v>0.14605299999999999</v>
      </c>
      <c r="DD100">
        <v>0.1101</v>
      </c>
      <c r="DE100">
        <v>3.9608299999999999E-2</v>
      </c>
      <c r="DF100">
        <v>32457.5</v>
      </c>
      <c r="DG100">
        <v>27488.9</v>
      </c>
      <c r="DH100">
        <v>31150.3</v>
      </c>
      <c r="DI100">
        <v>28050.3</v>
      </c>
      <c r="DJ100">
        <v>37630.199999999997</v>
      </c>
      <c r="DK100">
        <v>38303.800000000003</v>
      </c>
      <c r="DL100">
        <v>44326.400000000001</v>
      </c>
      <c r="DM100">
        <v>42507.7</v>
      </c>
      <c r="DN100">
        <v>1.38073</v>
      </c>
      <c r="DO100">
        <v>2.0327500000000001</v>
      </c>
      <c r="DP100">
        <v>8.0406699999999998E-2</v>
      </c>
      <c r="DQ100">
        <v>0.196718</v>
      </c>
      <c r="DR100">
        <v>25.683700000000002</v>
      </c>
      <c r="DS100">
        <v>25.557300000000001</v>
      </c>
      <c r="DT100">
        <v>17.899999999999999</v>
      </c>
      <c r="DU100">
        <v>29.7</v>
      </c>
      <c r="DV100">
        <v>7.56372</v>
      </c>
      <c r="DW100">
        <v>61.491199999999999</v>
      </c>
      <c r="DX100">
        <v>36.890999999999998</v>
      </c>
      <c r="DY100">
        <v>1</v>
      </c>
      <c r="DZ100">
        <v>-7.5810500000000003E-2</v>
      </c>
      <c r="EA100">
        <v>-0.17691399999999999</v>
      </c>
      <c r="EB100">
        <v>20.189699999999998</v>
      </c>
      <c r="EC100">
        <v>5.2411000000000003</v>
      </c>
      <c r="ED100">
        <v>12.039899999999999</v>
      </c>
      <c r="EE100">
        <v>5.0168499999999998</v>
      </c>
      <c r="EF100">
        <v>3.2879999999999998</v>
      </c>
      <c r="EG100">
        <v>9999</v>
      </c>
      <c r="EH100">
        <v>9999</v>
      </c>
      <c r="EI100">
        <v>9999</v>
      </c>
      <c r="EJ100">
        <v>999.9</v>
      </c>
      <c r="EK100">
        <v>1.8689100000000001</v>
      </c>
      <c r="EL100">
        <v>1.8646799999999999</v>
      </c>
      <c r="EM100">
        <v>1.8692</v>
      </c>
      <c r="EN100">
        <v>1.8672500000000001</v>
      </c>
      <c r="EO100">
        <v>1.8633999999999999</v>
      </c>
      <c r="EP100">
        <v>1.8645799999999999</v>
      </c>
      <c r="EQ100">
        <v>1.87019</v>
      </c>
      <c r="ER100">
        <v>1.86941</v>
      </c>
      <c r="ES100">
        <v>0</v>
      </c>
      <c r="ET100">
        <v>0</v>
      </c>
      <c r="EU100">
        <v>0</v>
      </c>
      <c r="EV100">
        <v>0</v>
      </c>
      <c r="EW100" t="s">
        <v>334</v>
      </c>
      <c r="EX100" t="s">
        <v>335</v>
      </c>
      <c r="EY100" t="s">
        <v>336</v>
      </c>
      <c r="EZ100" t="s">
        <v>336</v>
      </c>
      <c r="FA100" t="s">
        <v>336</v>
      </c>
      <c r="FB100" t="s">
        <v>336</v>
      </c>
      <c r="FC100">
        <v>0</v>
      </c>
      <c r="FD100">
        <v>100</v>
      </c>
      <c r="FE100">
        <v>100</v>
      </c>
      <c r="FF100">
        <v>-0.32200000000000001</v>
      </c>
      <c r="FG100">
        <v>0.19159999999999999</v>
      </c>
      <c r="FH100">
        <v>4.0020685143421282E-2</v>
      </c>
      <c r="FI100">
        <v>-6.1462078757559423E-4</v>
      </c>
      <c r="FJ100">
        <v>-1.8861989874597051E-7</v>
      </c>
      <c r="FK100">
        <v>1.1980462299894961E-10</v>
      </c>
      <c r="FL100">
        <v>0.19160597004026461</v>
      </c>
      <c r="FM100">
        <v>0</v>
      </c>
      <c r="FN100">
        <v>0</v>
      </c>
      <c r="FO100">
        <v>0</v>
      </c>
      <c r="FP100">
        <v>3</v>
      </c>
      <c r="FQ100">
        <v>2158</v>
      </c>
      <c r="FR100">
        <v>1</v>
      </c>
      <c r="FS100">
        <v>19</v>
      </c>
      <c r="FT100">
        <v>22.2</v>
      </c>
      <c r="FU100">
        <v>22.1</v>
      </c>
      <c r="FV100">
        <v>1.77979</v>
      </c>
      <c r="FW100">
        <v>2.5708000000000002</v>
      </c>
      <c r="FX100">
        <v>1.5490699999999999</v>
      </c>
      <c r="FY100">
        <v>2.3303199999999999</v>
      </c>
      <c r="FZ100">
        <v>1.50146</v>
      </c>
      <c r="GA100">
        <v>2.3877000000000002</v>
      </c>
      <c r="GB100">
        <v>33.828299999999999</v>
      </c>
      <c r="GC100">
        <v>23.991199999999999</v>
      </c>
      <c r="GD100">
        <v>19</v>
      </c>
      <c r="GE100">
        <v>245.065</v>
      </c>
      <c r="GF100">
        <v>582.51800000000003</v>
      </c>
      <c r="GG100">
        <v>25.308</v>
      </c>
      <c r="GH100">
        <v>26.433299999999999</v>
      </c>
      <c r="GI100">
        <v>30.0001</v>
      </c>
      <c r="GJ100">
        <v>26.574999999999999</v>
      </c>
      <c r="GK100">
        <v>26.546800000000001</v>
      </c>
      <c r="GL100">
        <v>35.581099999999999</v>
      </c>
      <c r="GM100">
        <v>-30</v>
      </c>
      <c r="GN100">
        <v>-30</v>
      </c>
      <c r="GO100">
        <v>25.309799999999999</v>
      </c>
      <c r="GP100">
        <v>800</v>
      </c>
      <c r="GQ100">
        <v>12.5298</v>
      </c>
      <c r="GR100">
        <v>99.6631</v>
      </c>
      <c r="GS100">
        <v>99.446799999999996</v>
      </c>
    </row>
    <row r="101" spans="1:201" x14ac:dyDescent="0.25">
      <c r="A101">
        <v>85</v>
      </c>
      <c r="B101">
        <v>1690213255.5999999</v>
      </c>
      <c r="C101">
        <v>988.09999990463257</v>
      </c>
      <c r="D101" t="s">
        <v>501</v>
      </c>
      <c r="E101" t="s">
        <v>502</v>
      </c>
      <c r="F101" t="s">
        <v>330</v>
      </c>
      <c r="H101">
        <v>1690213255.5999999</v>
      </c>
      <c r="I101">
        <f t="shared" si="30"/>
        <v>1.5152387022824155E-3</v>
      </c>
      <c r="J101">
        <f t="shared" si="31"/>
        <v>1.5152387022824154</v>
      </c>
      <c r="K101">
        <f t="shared" si="32"/>
        <v>22.902206302385046</v>
      </c>
      <c r="L101">
        <f t="shared" si="33"/>
        <v>527.58100000000002</v>
      </c>
      <c r="M101">
        <f t="shared" si="34"/>
        <v>99.498062062758933</v>
      </c>
      <c r="N101">
        <f t="shared" si="35"/>
        <v>9.8700502511934385</v>
      </c>
      <c r="O101">
        <f t="shared" si="36"/>
        <v>52.335200039276998</v>
      </c>
      <c r="P101">
        <f t="shared" si="37"/>
        <v>8.9211553449124043E-2</v>
      </c>
      <c r="Q101">
        <f t="shared" si="38"/>
        <v>2.0154373379441513</v>
      </c>
      <c r="R101">
        <f t="shared" si="39"/>
        <v>8.7074422233285084E-2</v>
      </c>
      <c r="S101">
        <f t="shared" si="40"/>
        <v>5.4609262511477366E-2</v>
      </c>
      <c r="T101">
        <f t="shared" si="41"/>
        <v>276.11324017903246</v>
      </c>
      <c r="U101">
        <f t="shared" si="42"/>
        <v>28.724498750866758</v>
      </c>
      <c r="V101">
        <f t="shared" si="43"/>
        <v>28.724498750866758</v>
      </c>
      <c r="W101">
        <f t="shared" si="44"/>
        <v>3.958101507266981</v>
      </c>
      <c r="X101">
        <f t="shared" si="45"/>
        <v>63.933578953884407</v>
      </c>
      <c r="Y101">
        <f t="shared" si="46"/>
        <v>2.2862159967572997</v>
      </c>
      <c r="Z101">
        <f t="shared" si="47"/>
        <v>3.5759236916900243</v>
      </c>
      <c r="AA101">
        <f t="shared" si="48"/>
        <v>1.6718855105096813</v>
      </c>
      <c r="AB101">
        <f t="shared" si="49"/>
        <v>-66.822026770654517</v>
      </c>
      <c r="AC101">
        <f t="shared" si="50"/>
        <v>-189.05088715612655</v>
      </c>
      <c r="AD101">
        <f t="shared" si="51"/>
        <v>-20.417097745837143</v>
      </c>
      <c r="AE101">
        <f t="shared" si="52"/>
        <v>-0.17677149358573274</v>
      </c>
      <c r="AF101">
        <v>35</v>
      </c>
      <c r="AG101">
        <v>12</v>
      </c>
      <c r="AH101">
        <f t="shared" si="53"/>
        <v>1</v>
      </c>
      <c r="AI101">
        <f t="shared" si="54"/>
        <v>0</v>
      </c>
      <c r="AJ101">
        <f t="shared" si="55"/>
        <v>52566.392511217331</v>
      </c>
      <c r="AK101">
        <f t="shared" si="56"/>
        <v>1799.99</v>
      </c>
      <c r="AL101">
        <f t="shared" si="57"/>
        <v>1499.1047965937498</v>
      </c>
      <c r="AM101">
        <f t="shared" si="58"/>
        <v>0.83284062499999989</v>
      </c>
      <c r="AN101">
        <f t="shared" si="59"/>
        <v>0.15339709674999999</v>
      </c>
      <c r="AO101">
        <v>34.5</v>
      </c>
      <c r="AP101">
        <v>0.5</v>
      </c>
      <c r="AQ101" t="s">
        <v>331</v>
      </c>
      <c r="AR101">
        <v>2</v>
      </c>
      <c r="AS101">
        <v>1690213255.5999999</v>
      </c>
      <c r="AT101">
        <v>527.58100000000002</v>
      </c>
      <c r="AU101">
        <v>800.02700000000004</v>
      </c>
      <c r="AV101">
        <v>23.046900000000001</v>
      </c>
      <c r="AW101">
        <v>6.0309100000000004</v>
      </c>
      <c r="AX101">
        <v>527.9</v>
      </c>
      <c r="AY101">
        <v>22.8553</v>
      </c>
      <c r="AZ101">
        <v>300.13499999999999</v>
      </c>
      <c r="BA101">
        <v>99.098399999999998</v>
      </c>
      <c r="BB101">
        <v>0.10001699999999999</v>
      </c>
      <c r="BC101">
        <v>26.9846</v>
      </c>
      <c r="BD101">
        <v>26.997</v>
      </c>
      <c r="BE101">
        <v>28.7789</v>
      </c>
      <c r="BF101">
        <v>0</v>
      </c>
      <c r="BG101">
        <v>0</v>
      </c>
      <c r="BH101">
        <v>10032.5</v>
      </c>
      <c r="BI101">
        <v>1076.08</v>
      </c>
      <c r="BJ101">
        <v>2.0744500000000001</v>
      </c>
      <c r="BK101">
        <v>-272.44600000000003</v>
      </c>
      <c r="BL101">
        <v>540.02700000000004</v>
      </c>
      <c r="BM101">
        <v>804.88099999999997</v>
      </c>
      <c r="BN101">
        <v>17.015999999999998</v>
      </c>
      <c r="BO101">
        <v>800.02700000000004</v>
      </c>
      <c r="BP101">
        <v>6.0309100000000004</v>
      </c>
      <c r="BQ101">
        <v>2.2839100000000001</v>
      </c>
      <c r="BR101">
        <v>0.59765400000000002</v>
      </c>
      <c r="BS101">
        <v>19.563400000000001</v>
      </c>
      <c r="BT101">
        <v>-0.36310700000000001</v>
      </c>
      <c r="BU101">
        <v>1799.99</v>
      </c>
      <c r="BV101">
        <v>0.91001100000000001</v>
      </c>
      <c r="BW101">
        <v>3.4004300000000001E-2</v>
      </c>
      <c r="BX101">
        <v>2.1995000000000001E-2</v>
      </c>
      <c r="BY101">
        <v>3.3990300000000001E-2</v>
      </c>
      <c r="BZ101">
        <v>26</v>
      </c>
      <c r="CA101">
        <v>33528.199999999997</v>
      </c>
      <c r="CB101">
        <v>1690211922</v>
      </c>
      <c r="CC101" t="s">
        <v>332</v>
      </c>
      <c r="CD101">
        <v>1690211915</v>
      </c>
      <c r="CE101">
        <v>1690211922</v>
      </c>
      <c r="CF101">
        <v>6</v>
      </c>
      <c r="CG101">
        <v>1.0999999999999999E-2</v>
      </c>
      <c r="CH101">
        <v>8.0000000000000002E-3</v>
      </c>
      <c r="CI101">
        <v>-0.51100000000000001</v>
      </c>
      <c r="CJ101">
        <v>-6.6000000000000003E-2</v>
      </c>
      <c r="CK101">
        <v>800</v>
      </c>
      <c r="CL101">
        <v>6</v>
      </c>
      <c r="CM101">
        <v>0.21</v>
      </c>
      <c r="CN101">
        <v>0.02</v>
      </c>
      <c r="CO101">
        <v>-268.50865853658541</v>
      </c>
      <c r="CP101">
        <v>-21.441449477351728</v>
      </c>
      <c r="CQ101">
        <v>2.1143872272640558</v>
      </c>
      <c r="CR101">
        <v>-1</v>
      </c>
      <c r="CS101">
        <v>16.846275609756091</v>
      </c>
      <c r="CT101">
        <v>0.9311644599302783</v>
      </c>
      <c r="CU101">
        <v>9.1827478167373341E-2</v>
      </c>
      <c r="CV101">
        <v>-1</v>
      </c>
      <c r="CW101">
        <v>0</v>
      </c>
      <c r="CX101">
        <v>0</v>
      </c>
      <c r="CY101" t="s">
        <v>333</v>
      </c>
      <c r="CZ101">
        <v>2.3641899999999998</v>
      </c>
      <c r="DA101">
        <v>2.7138399999999998</v>
      </c>
      <c r="DB101">
        <v>0.109916</v>
      </c>
      <c r="DC101">
        <v>0.14605299999999999</v>
      </c>
      <c r="DD101">
        <v>0.110634</v>
      </c>
      <c r="DE101">
        <v>3.9603300000000001E-2</v>
      </c>
      <c r="DF101">
        <v>32477.1</v>
      </c>
      <c r="DG101">
        <v>27489</v>
      </c>
      <c r="DH101">
        <v>31150.400000000001</v>
      </c>
      <c r="DI101">
        <v>28050.5</v>
      </c>
      <c r="DJ101">
        <v>37607.300000000003</v>
      </c>
      <c r="DK101">
        <v>38304.300000000003</v>
      </c>
      <c r="DL101">
        <v>44326.3</v>
      </c>
      <c r="DM101">
        <v>42508</v>
      </c>
      <c r="DN101">
        <v>1.38042</v>
      </c>
      <c r="DO101">
        <v>2.03268</v>
      </c>
      <c r="DP101">
        <v>8.0388000000000001E-2</v>
      </c>
      <c r="DQ101">
        <v>0.19714200000000001</v>
      </c>
      <c r="DR101">
        <v>25.681000000000001</v>
      </c>
      <c r="DS101">
        <v>25.555700000000002</v>
      </c>
      <c r="DT101">
        <v>17.899999999999999</v>
      </c>
      <c r="DU101">
        <v>29.7</v>
      </c>
      <c r="DV101">
        <v>7.5638100000000001</v>
      </c>
      <c r="DW101">
        <v>61.331200000000003</v>
      </c>
      <c r="DX101">
        <v>37.1875</v>
      </c>
      <c r="DY101">
        <v>1</v>
      </c>
      <c r="DZ101">
        <v>-7.5515799999999994E-2</v>
      </c>
      <c r="EA101">
        <v>-0.172206</v>
      </c>
      <c r="EB101">
        <v>20.189599999999999</v>
      </c>
      <c r="EC101">
        <v>5.2406499999999996</v>
      </c>
      <c r="ED101">
        <v>12.039899999999999</v>
      </c>
      <c r="EE101">
        <v>5.0166000000000004</v>
      </c>
      <c r="EF101">
        <v>3.2879999999999998</v>
      </c>
      <c r="EG101">
        <v>9999</v>
      </c>
      <c r="EH101">
        <v>9999</v>
      </c>
      <c r="EI101">
        <v>9999</v>
      </c>
      <c r="EJ101">
        <v>999.9</v>
      </c>
      <c r="EK101">
        <v>1.8689199999999999</v>
      </c>
      <c r="EL101">
        <v>1.86466</v>
      </c>
      <c r="EM101">
        <v>1.8692</v>
      </c>
      <c r="EN101">
        <v>1.8672500000000001</v>
      </c>
      <c r="EO101">
        <v>1.8633999999999999</v>
      </c>
      <c r="EP101">
        <v>1.8645400000000001</v>
      </c>
      <c r="EQ101">
        <v>1.87015</v>
      </c>
      <c r="ER101">
        <v>1.8694200000000001</v>
      </c>
      <c r="ES101">
        <v>0</v>
      </c>
      <c r="ET101">
        <v>0</v>
      </c>
      <c r="EU101">
        <v>0</v>
      </c>
      <c r="EV101">
        <v>0</v>
      </c>
      <c r="EW101" t="s">
        <v>334</v>
      </c>
      <c r="EX101" t="s">
        <v>335</v>
      </c>
      <c r="EY101" t="s">
        <v>336</v>
      </c>
      <c r="EZ101" t="s">
        <v>336</v>
      </c>
      <c r="FA101" t="s">
        <v>336</v>
      </c>
      <c r="FB101" t="s">
        <v>336</v>
      </c>
      <c r="FC101">
        <v>0</v>
      </c>
      <c r="FD101">
        <v>100</v>
      </c>
      <c r="FE101">
        <v>100</v>
      </c>
      <c r="FF101">
        <v>-0.31900000000000001</v>
      </c>
      <c r="FG101">
        <v>0.19159999999999999</v>
      </c>
      <c r="FH101">
        <v>4.0020685143421282E-2</v>
      </c>
      <c r="FI101">
        <v>-6.1462078757559423E-4</v>
      </c>
      <c r="FJ101">
        <v>-1.8861989874597051E-7</v>
      </c>
      <c r="FK101">
        <v>1.1980462299894961E-10</v>
      </c>
      <c r="FL101">
        <v>0.19160597004026461</v>
      </c>
      <c r="FM101">
        <v>0</v>
      </c>
      <c r="FN101">
        <v>0</v>
      </c>
      <c r="FO101">
        <v>0</v>
      </c>
      <c r="FP101">
        <v>3</v>
      </c>
      <c r="FQ101">
        <v>2158</v>
      </c>
      <c r="FR101">
        <v>1</v>
      </c>
      <c r="FS101">
        <v>19</v>
      </c>
      <c r="FT101">
        <v>22.3</v>
      </c>
      <c r="FU101">
        <v>22.2</v>
      </c>
      <c r="FV101">
        <v>1.77979</v>
      </c>
      <c r="FW101">
        <v>2.5756800000000002</v>
      </c>
      <c r="FX101">
        <v>1.5490699999999999</v>
      </c>
      <c r="FY101">
        <v>2.3290999999999999</v>
      </c>
      <c r="FZ101">
        <v>1.50146</v>
      </c>
      <c r="GA101">
        <v>2.3754900000000001</v>
      </c>
      <c r="GB101">
        <v>33.828299999999999</v>
      </c>
      <c r="GC101">
        <v>23.991199999999999</v>
      </c>
      <c r="GD101">
        <v>19</v>
      </c>
      <c r="GE101">
        <v>244.941</v>
      </c>
      <c r="GF101">
        <v>582.44399999999996</v>
      </c>
      <c r="GG101">
        <v>25.317499999999999</v>
      </c>
      <c r="GH101">
        <v>26.431000000000001</v>
      </c>
      <c r="GI101">
        <v>30.0002</v>
      </c>
      <c r="GJ101">
        <v>26.572700000000001</v>
      </c>
      <c r="GK101">
        <v>26.5457</v>
      </c>
      <c r="GL101">
        <v>35.583100000000002</v>
      </c>
      <c r="GM101">
        <v>-30</v>
      </c>
      <c r="GN101">
        <v>-30</v>
      </c>
      <c r="GO101">
        <v>25.321300000000001</v>
      </c>
      <c r="GP101">
        <v>800</v>
      </c>
      <c r="GQ101">
        <v>12.5298</v>
      </c>
      <c r="GR101">
        <v>99.6631</v>
      </c>
      <c r="GS101">
        <v>99.447400000000002</v>
      </c>
    </row>
    <row r="102" spans="1:201" x14ac:dyDescent="0.25">
      <c r="A102">
        <v>86</v>
      </c>
      <c r="B102">
        <v>1690213265.5999999</v>
      </c>
      <c r="C102">
        <v>998.09999990463257</v>
      </c>
      <c r="D102" t="s">
        <v>503</v>
      </c>
      <c r="E102" t="s">
        <v>504</v>
      </c>
      <c r="F102" t="s">
        <v>330</v>
      </c>
      <c r="H102">
        <v>1690213265.5999999</v>
      </c>
      <c r="I102">
        <f t="shared" si="30"/>
        <v>1.5294733646805056E-3</v>
      </c>
      <c r="J102">
        <f t="shared" si="31"/>
        <v>1.5294733646805057</v>
      </c>
      <c r="K102">
        <f t="shared" si="32"/>
        <v>23.209380450393713</v>
      </c>
      <c r="L102">
        <f t="shared" si="33"/>
        <v>524.04899999999998</v>
      </c>
      <c r="M102">
        <f t="shared" si="34"/>
        <v>98.003257928870497</v>
      </c>
      <c r="N102">
        <f t="shared" si="35"/>
        <v>9.7216941529301746</v>
      </c>
      <c r="O102">
        <f t="shared" si="36"/>
        <v>51.984436097486999</v>
      </c>
      <c r="P102">
        <f t="shared" si="37"/>
        <v>9.0859259507873505E-2</v>
      </c>
      <c r="Q102">
        <f t="shared" si="38"/>
        <v>2.0086263537402673</v>
      </c>
      <c r="R102">
        <f t="shared" si="39"/>
        <v>8.8636195909815058E-2</v>
      </c>
      <c r="S102">
        <f t="shared" si="40"/>
        <v>5.5592825585404425E-2</v>
      </c>
      <c r="T102">
        <f t="shared" si="41"/>
        <v>276.11278955153603</v>
      </c>
      <c r="U102">
        <f t="shared" si="42"/>
        <v>28.728081907096147</v>
      </c>
      <c r="V102">
        <f t="shared" si="43"/>
        <v>28.728081907096147</v>
      </c>
      <c r="W102">
        <f t="shared" si="44"/>
        <v>3.9589239364252959</v>
      </c>
      <c r="X102">
        <f t="shared" si="45"/>
        <v>64.339854475177717</v>
      </c>
      <c r="Y102">
        <f t="shared" si="46"/>
        <v>2.3012171455728998</v>
      </c>
      <c r="Z102">
        <f t="shared" si="47"/>
        <v>3.5766589221315512</v>
      </c>
      <c r="AA102">
        <f t="shared" si="48"/>
        <v>1.6577067908523961</v>
      </c>
      <c r="AB102">
        <f t="shared" si="49"/>
        <v>-67.449775382410294</v>
      </c>
      <c r="AC102">
        <f t="shared" si="50"/>
        <v>-188.42101206652794</v>
      </c>
      <c r="AD102">
        <f t="shared" si="51"/>
        <v>-20.418794643691228</v>
      </c>
      <c r="AE102">
        <f t="shared" si="52"/>
        <v>-0.17679254109341969</v>
      </c>
      <c r="AF102">
        <v>35</v>
      </c>
      <c r="AG102">
        <v>12</v>
      </c>
      <c r="AH102">
        <f t="shared" si="53"/>
        <v>1</v>
      </c>
      <c r="AI102">
        <f t="shared" si="54"/>
        <v>0</v>
      </c>
      <c r="AJ102">
        <f t="shared" si="55"/>
        <v>52238.663027080322</v>
      </c>
      <c r="AK102">
        <f t="shared" si="56"/>
        <v>1799.99</v>
      </c>
      <c r="AL102">
        <f t="shared" si="57"/>
        <v>1499.1038515989999</v>
      </c>
      <c r="AM102">
        <f t="shared" si="58"/>
        <v>0.83284009999999997</v>
      </c>
      <c r="AN102">
        <f t="shared" si="59"/>
        <v>0.15339684640000001</v>
      </c>
      <c r="AO102">
        <v>34.5</v>
      </c>
      <c r="AP102">
        <v>0.5</v>
      </c>
      <c r="AQ102" t="s">
        <v>331</v>
      </c>
      <c r="AR102">
        <v>2</v>
      </c>
      <c r="AS102">
        <v>1690213265.5999999</v>
      </c>
      <c r="AT102">
        <v>524.04899999999998</v>
      </c>
      <c r="AU102">
        <v>799.97199999999998</v>
      </c>
      <c r="AV102">
        <v>23.1983</v>
      </c>
      <c r="AW102">
        <v>6.0299800000000001</v>
      </c>
      <c r="AX102">
        <v>524.36599999999999</v>
      </c>
      <c r="AY102">
        <v>23.006699999999999</v>
      </c>
      <c r="AZ102">
        <v>300.22000000000003</v>
      </c>
      <c r="BA102">
        <v>99.0976</v>
      </c>
      <c r="BB102">
        <v>0.100063</v>
      </c>
      <c r="BC102">
        <v>26.988099999999999</v>
      </c>
      <c r="BD102">
        <v>26.9895</v>
      </c>
      <c r="BE102">
        <v>28.7622</v>
      </c>
      <c r="BF102">
        <v>0</v>
      </c>
      <c r="BG102">
        <v>0</v>
      </c>
      <c r="BH102">
        <v>9967.5</v>
      </c>
      <c r="BI102">
        <v>1076.19</v>
      </c>
      <c r="BJ102">
        <v>2.0744500000000001</v>
      </c>
      <c r="BK102">
        <v>-275.923</v>
      </c>
      <c r="BL102">
        <v>536.495</v>
      </c>
      <c r="BM102">
        <v>804.82500000000005</v>
      </c>
      <c r="BN102">
        <v>17.168299999999999</v>
      </c>
      <c r="BO102">
        <v>799.97199999999998</v>
      </c>
      <c r="BP102">
        <v>6.0299800000000001</v>
      </c>
      <c r="BQ102">
        <v>2.2989000000000002</v>
      </c>
      <c r="BR102">
        <v>0.597557</v>
      </c>
      <c r="BS102">
        <v>19.668700000000001</v>
      </c>
      <c r="BT102">
        <v>-0.36534299999999997</v>
      </c>
      <c r="BU102">
        <v>1799.99</v>
      </c>
      <c r="BV102">
        <v>0.91001399999999999</v>
      </c>
      <c r="BW102">
        <v>3.40028E-2</v>
      </c>
      <c r="BX102">
        <v>2.1994E-2</v>
      </c>
      <c r="BY102">
        <v>3.39888E-2</v>
      </c>
      <c r="BZ102">
        <v>26</v>
      </c>
      <c r="CA102">
        <v>33528.400000000001</v>
      </c>
      <c r="CB102">
        <v>1690211922</v>
      </c>
      <c r="CC102" t="s">
        <v>332</v>
      </c>
      <c r="CD102">
        <v>1690211915</v>
      </c>
      <c r="CE102">
        <v>1690211922</v>
      </c>
      <c r="CF102">
        <v>6</v>
      </c>
      <c r="CG102">
        <v>1.0999999999999999E-2</v>
      </c>
      <c r="CH102">
        <v>8.0000000000000002E-3</v>
      </c>
      <c r="CI102">
        <v>-0.51100000000000001</v>
      </c>
      <c r="CJ102">
        <v>-6.6000000000000003E-2</v>
      </c>
      <c r="CK102">
        <v>800</v>
      </c>
      <c r="CL102">
        <v>6</v>
      </c>
      <c r="CM102">
        <v>0.21</v>
      </c>
      <c r="CN102">
        <v>0.02</v>
      </c>
      <c r="CO102">
        <v>-272.07604878048778</v>
      </c>
      <c r="CP102">
        <v>-21.374174216028251</v>
      </c>
      <c r="CQ102">
        <v>2.1076897762105329</v>
      </c>
      <c r="CR102">
        <v>-1</v>
      </c>
      <c r="CS102">
        <v>17.0003243902439</v>
      </c>
      <c r="CT102">
        <v>0.9265609756097456</v>
      </c>
      <c r="CU102">
        <v>9.1374543555598861E-2</v>
      </c>
      <c r="CV102">
        <v>-1</v>
      </c>
      <c r="CW102">
        <v>0</v>
      </c>
      <c r="CX102">
        <v>0</v>
      </c>
      <c r="CY102" t="s">
        <v>333</v>
      </c>
      <c r="CZ102">
        <v>2.3644400000000001</v>
      </c>
      <c r="DA102">
        <v>2.7138300000000002</v>
      </c>
      <c r="DB102">
        <v>0.109384</v>
      </c>
      <c r="DC102">
        <v>0.14604600000000001</v>
      </c>
      <c r="DD102">
        <v>0.111149</v>
      </c>
      <c r="DE102">
        <v>3.9598099999999997E-2</v>
      </c>
      <c r="DF102">
        <v>32496.7</v>
      </c>
      <c r="DG102">
        <v>27489.9</v>
      </c>
      <c r="DH102">
        <v>31150.5</v>
      </c>
      <c r="DI102">
        <v>28051.1</v>
      </c>
      <c r="DJ102">
        <v>37585.5</v>
      </c>
      <c r="DK102">
        <v>38305.300000000003</v>
      </c>
      <c r="DL102">
        <v>44326.6</v>
      </c>
      <c r="DM102">
        <v>42508.9</v>
      </c>
      <c r="DN102">
        <v>1.38117</v>
      </c>
      <c r="DO102">
        <v>2.0327999999999999</v>
      </c>
      <c r="DP102">
        <v>8.0022999999999997E-2</v>
      </c>
      <c r="DQ102">
        <v>0.19618099999999999</v>
      </c>
      <c r="DR102">
        <v>25.679400000000001</v>
      </c>
      <c r="DS102">
        <v>25.554600000000001</v>
      </c>
      <c r="DT102">
        <v>17.899999999999999</v>
      </c>
      <c r="DU102">
        <v>29.7</v>
      </c>
      <c r="DV102">
        <v>7.56379</v>
      </c>
      <c r="DW102">
        <v>61.501199999999997</v>
      </c>
      <c r="DX102">
        <v>37.1554</v>
      </c>
      <c r="DY102">
        <v>1</v>
      </c>
      <c r="DZ102">
        <v>-7.6036599999999996E-2</v>
      </c>
      <c r="EA102">
        <v>-0.17952599999999999</v>
      </c>
      <c r="EB102">
        <v>20.189699999999998</v>
      </c>
      <c r="EC102">
        <v>5.2404999999999999</v>
      </c>
      <c r="ED102">
        <v>12.039899999999999</v>
      </c>
      <c r="EE102">
        <v>5.0167999999999999</v>
      </c>
      <c r="EF102">
        <v>3.2879999999999998</v>
      </c>
      <c r="EG102">
        <v>9999</v>
      </c>
      <c r="EH102">
        <v>9999</v>
      </c>
      <c r="EI102">
        <v>9999</v>
      </c>
      <c r="EJ102">
        <v>999.9</v>
      </c>
      <c r="EK102">
        <v>1.8689</v>
      </c>
      <c r="EL102">
        <v>1.86463</v>
      </c>
      <c r="EM102">
        <v>1.8691899999999999</v>
      </c>
      <c r="EN102">
        <v>1.86724</v>
      </c>
      <c r="EO102">
        <v>1.8633999999999999</v>
      </c>
      <c r="EP102">
        <v>1.86456</v>
      </c>
      <c r="EQ102">
        <v>1.87015</v>
      </c>
      <c r="ER102">
        <v>1.8694</v>
      </c>
      <c r="ES102">
        <v>0</v>
      </c>
      <c r="ET102">
        <v>0</v>
      </c>
      <c r="EU102">
        <v>0</v>
      </c>
      <c r="EV102">
        <v>0</v>
      </c>
      <c r="EW102" t="s">
        <v>334</v>
      </c>
      <c r="EX102" t="s">
        <v>335</v>
      </c>
      <c r="EY102" t="s">
        <v>336</v>
      </c>
      <c r="EZ102" t="s">
        <v>336</v>
      </c>
      <c r="FA102" t="s">
        <v>336</v>
      </c>
      <c r="FB102" t="s">
        <v>336</v>
      </c>
      <c r="FC102">
        <v>0</v>
      </c>
      <c r="FD102">
        <v>100</v>
      </c>
      <c r="FE102">
        <v>100</v>
      </c>
      <c r="FF102">
        <v>-0.317</v>
      </c>
      <c r="FG102">
        <v>0.19159999999999999</v>
      </c>
      <c r="FH102">
        <v>4.0020685143421282E-2</v>
      </c>
      <c r="FI102">
        <v>-6.1462078757559423E-4</v>
      </c>
      <c r="FJ102">
        <v>-1.8861989874597051E-7</v>
      </c>
      <c r="FK102">
        <v>1.1980462299894961E-10</v>
      </c>
      <c r="FL102">
        <v>0.19160597004026461</v>
      </c>
      <c r="FM102">
        <v>0</v>
      </c>
      <c r="FN102">
        <v>0</v>
      </c>
      <c r="FO102">
        <v>0</v>
      </c>
      <c r="FP102">
        <v>3</v>
      </c>
      <c r="FQ102">
        <v>2158</v>
      </c>
      <c r="FR102">
        <v>1</v>
      </c>
      <c r="FS102">
        <v>19</v>
      </c>
      <c r="FT102">
        <v>22.5</v>
      </c>
      <c r="FU102">
        <v>22.4</v>
      </c>
      <c r="FV102">
        <v>1.77979</v>
      </c>
      <c r="FW102">
        <v>2.5732400000000002</v>
      </c>
      <c r="FX102">
        <v>1.5490699999999999</v>
      </c>
      <c r="FY102">
        <v>2.3290999999999999</v>
      </c>
      <c r="FZ102">
        <v>1.50146</v>
      </c>
      <c r="GA102">
        <v>2.3999000000000001</v>
      </c>
      <c r="GB102">
        <v>33.828299999999999</v>
      </c>
      <c r="GC102">
        <v>23.991199999999999</v>
      </c>
      <c r="GD102">
        <v>19</v>
      </c>
      <c r="GE102">
        <v>245.227</v>
      </c>
      <c r="GF102">
        <v>582.53499999999997</v>
      </c>
      <c r="GG102">
        <v>25.326599999999999</v>
      </c>
      <c r="GH102">
        <v>26.428799999999999</v>
      </c>
      <c r="GI102">
        <v>30</v>
      </c>
      <c r="GJ102">
        <v>26.571999999999999</v>
      </c>
      <c r="GK102">
        <v>26.544699999999999</v>
      </c>
      <c r="GL102">
        <v>35.583100000000002</v>
      </c>
      <c r="GM102">
        <v>-30</v>
      </c>
      <c r="GN102">
        <v>-30</v>
      </c>
      <c r="GO102">
        <v>25.3324</v>
      </c>
      <c r="GP102">
        <v>800</v>
      </c>
      <c r="GQ102">
        <v>12.5298</v>
      </c>
      <c r="GR102">
        <v>99.663700000000006</v>
      </c>
      <c r="GS102">
        <v>99.4495</v>
      </c>
    </row>
    <row r="103" spans="1:201" x14ac:dyDescent="0.25">
      <c r="A103">
        <v>87</v>
      </c>
      <c r="B103">
        <v>1690213275.5999999</v>
      </c>
      <c r="C103">
        <v>1008.099999904633</v>
      </c>
      <c r="D103" t="s">
        <v>505</v>
      </c>
      <c r="E103" t="s">
        <v>506</v>
      </c>
      <c r="F103" t="s">
        <v>330</v>
      </c>
      <c r="H103">
        <v>1690213275.5999999</v>
      </c>
      <c r="I103">
        <f t="shared" si="30"/>
        <v>1.5431023964815728E-3</v>
      </c>
      <c r="J103">
        <f t="shared" si="31"/>
        <v>1.5431023964815729</v>
      </c>
      <c r="K103">
        <f t="shared" si="32"/>
        <v>23.525373406962874</v>
      </c>
      <c r="L103">
        <f t="shared" si="33"/>
        <v>520.45600000000002</v>
      </c>
      <c r="M103">
        <f t="shared" si="34"/>
        <v>97.416731580701367</v>
      </c>
      <c r="N103">
        <f t="shared" si="35"/>
        <v>9.6632859277364886</v>
      </c>
      <c r="O103">
        <f t="shared" si="36"/>
        <v>51.626810499587208</v>
      </c>
      <c r="P103">
        <f t="shared" si="37"/>
        <v>9.2764353987461051E-2</v>
      </c>
      <c r="Q103">
        <f t="shared" si="38"/>
        <v>2.014883992334251</v>
      </c>
      <c r="R103">
        <f t="shared" si="39"/>
        <v>9.0455368462527677E-2</v>
      </c>
      <c r="S103">
        <f t="shared" si="40"/>
        <v>5.6737271561240532E-2</v>
      </c>
      <c r="T103">
        <f t="shared" si="41"/>
        <v>276.11437973400001</v>
      </c>
      <c r="U103">
        <f t="shared" si="42"/>
        <v>28.711527373735169</v>
      </c>
      <c r="V103">
        <f t="shared" si="43"/>
        <v>28.711527373735169</v>
      </c>
      <c r="W103">
        <f t="shared" si="44"/>
        <v>3.9551254789193417</v>
      </c>
      <c r="X103">
        <f t="shared" si="45"/>
        <v>64.790392081259043</v>
      </c>
      <c r="Y103">
        <f t="shared" si="46"/>
        <v>2.31641952723652</v>
      </c>
      <c r="Z103">
        <f t="shared" si="47"/>
        <v>3.5752515964578588</v>
      </c>
      <c r="AA103">
        <f t="shared" si="48"/>
        <v>1.6387059516828217</v>
      </c>
      <c r="AB103">
        <f t="shared" si="49"/>
        <v>-68.05081568483736</v>
      </c>
      <c r="AC103">
        <f t="shared" si="50"/>
        <v>-187.93755277846424</v>
      </c>
      <c r="AD103">
        <f t="shared" si="51"/>
        <v>-20.300795307021268</v>
      </c>
      <c r="AE103">
        <f t="shared" si="52"/>
        <v>-0.17478403632287609</v>
      </c>
      <c r="AF103">
        <v>35</v>
      </c>
      <c r="AG103">
        <v>12</v>
      </c>
      <c r="AH103">
        <f t="shared" si="53"/>
        <v>1</v>
      </c>
      <c r="AI103">
        <f t="shared" si="54"/>
        <v>0</v>
      </c>
      <c r="AJ103">
        <f t="shared" si="55"/>
        <v>52540.253752094744</v>
      </c>
      <c r="AK103">
        <f t="shared" si="56"/>
        <v>1800</v>
      </c>
      <c r="AL103">
        <f t="shared" si="57"/>
        <v>1499.1134273999999</v>
      </c>
      <c r="AM103">
        <f t="shared" si="58"/>
        <v>0.83284079299999991</v>
      </c>
      <c r="AN103">
        <f t="shared" si="59"/>
        <v>0.15339687763000001</v>
      </c>
      <c r="AO103">
        <v>34.5</v>
      </c>
      <c r="AP103">
        <v>0.5</v>
      </c>
      <c r="AQ103" t="s">
        <v>331</v>
      </c>
      <c r="AR103">
        <v>2</v>
      </c>
      <c r="AS103">
        <v>1690213275.5999999</v>
      </c>
      <c r="AT103">
        <v>520.45600000000002</v>
      </c>
      <c r="AU103">
        <v>800.10500000000002</v>
      </c>
      <c r="AV103">
        <v>23.3521</v>
      </c>
      <c r="AW103">
        <v>6.0287899999999999</v>
      </c>
      <c r="AX103">
        <v>520.77</v>
      </c>
      <c r="AY103">
        <v>23.160499999999999</v>
      </c>
      <c r="AZ103">
        <v>300.13799999999998</v>
      </c>
      <c r="BA103">
        <v>99.095399999999998</v>
      </c>
      <c r="BB103">
        <v>9.9941199999999994E-2</v>
      </c>
      <c r="BC103">
        <v>26.981400000000001</v>
      </c>
      <c r="BD103">
        <v>26.986000000000001</v>
      </c>
      <c r="BE103">
        <v>28.7502</v>
      </c>
      <c r="BF103">
        <v>0</v>
      </c>
      <c r="BG103">
        <v>0</v>
      </c>
      <c r="BH103">
        <v>10027.5</v>
      </c>
      <c r="BI103">
        <v>1076.28</v>
      </c>
      <c r="BJ103">
        <v>2.0744500000000001</v>
      </c>
      <c r="BK103">
        <v>-279.649</v>
      </c>
      <c r="BL103">
        <v>532.9</v>
      </c>
      <c r="BM103">
        <v>804.95799999999997</v>
      </c>
      <c r="BN103">
        <v>17.3233</v>
      </c>
      <c r="BO103">
        <v>800.10500000000002</v>
      </c>
      <c r="BP103">
        <v>6.0287899999999999</v>
      </c>
      <c r="BQ103">
        <v>2.3140800000000001</v>
      </c>
      <c r="BR103">
        <v>0.59742499999999998</v>
      </c>
      <c r="BS103">
        <v>19.774799999999999</v>
      </c>
      <c r="BT103">
        <v>-0.368369</v>
      </c>
      <c r="BU103">
        <v>1800</v>
      </c>
      <c r="BV103">
        <v>0.91001699999999996</v>
      </c>
      <c r="BW103">
        <v>3.4001900000000002E-2</v>
      </c>
      <c r="BX103">
        <v>2.19934E-2</v>
      </c>
      <c r="BY103">
        <v>3.3987900000000001E-2</v>
      </c>
      <c r="BZ103">
        <v>26</v>
      </c>
      <c r="CA103">
        <v>33528.400000000001</v>
      </c>
      <c r="CB103">
        <v>1690211922</v>
      </c>
      <c r="CC103" t="s">
        <v>332</v>
      </c>
      <c r="CD103">
        <v>1690211915</v>
      </c>
      <c r="CE103">
        <v>1690211922</v>
      </c>
      <c r="CF103">
        <v>6</v>
      </c>
      <c r="CG103">
        <v>1.0999999999999999E-2</v>
      </c>
      <c r="CH103">
        <v>8.0000000000000002E-3</v>
      </c>
      <c r="CI103">
        <v>-0.51100000000000001</v>
      </c>
      <c r="CJ103">
        <v>-6.6000000000000003E-2</v>
      </c>
      <c r="CK103">
        <v>800</v>
      </c>
      <c r="CL103">
        <v>6</v>
      </c>
      <c r="CM103">
        <v>0.21</v>
      </c>
      <c r="CN103">
        <v>0.02</v>
      </c>
      <c r="CO103">
        <v>-275.52924999999999</v>
      </c>
      <c r="CP103">
        <v>-21.216067542212759</v>
      </c>
      <c r="CQ103">
        <v>2.041163488675025</v>
      </c>
      <c r="CR103">
        <v>-1</v>
      </c>
      <c r="CS103">
        <v>17.149270000000001</v>
      </c>
      <c r="CT103">
        <v>0.91442926829263793</v>
      </c>
      <c r="CU103">
        <v>8.7970634873234768E-2</v>
      </c>
      <c r="CV103">
        <v>-1</v>
      </c>
      <c r="CW103">
        <v>0</v>
      </c>
      <c r="CX103">
        <v>0</v>
      </c>
      <c r="CY103" t="s">
        <v>333</v>
      </c>
      <c r="CZ103">
        <v>2.3641999999999999</v>
      </c>
      <c r="DA103">
        <v>2.7137600000000002</v>
      </c>
      <c r="DB103">
        <v>0.10884000000000001</v>
      </c>
      <c r="DC103">
        <v>0.14606</v>
      </c>
      <c r="DD103">
        <v>0.111668</v>
      </c>
      <c r="DE103">
        <v>3.9591099999999997E-2</v>
      </c>
      <c r="DF103">
        <v>32516.400000000001</v>
      </c>
      <c r="DG103">
        <v>27489.5</v>
      </c>
      <c r="DH103">
        <v>31150.3</v>
      </c>
      <c r="DI103">
        <v>28051.1</v>
      </c>
      <c r="DJ103">
        <v>37563.199999999997</v>
      </c>
      <c r="DK103">
        <v>38305.4</v>
      </c>
      <c r="DL103">
        <v>44326.5</v>
      </c>
      <c r="DM103">
        <v>42508.800000000003</v>
      </c>
      <c r="DN103">
        <v>1.3807499999999999</v>
      </c>
      <c r="DO103">
        <v>2.0327199999999999</v>
      </c>
      <c r="DP103">
        <v>7.9810599999999995E-2</v>
      </c>
      <c r="DQ103">
        <v>0.19548099999999999</v>
      </c>
      <c r="DR103">
        <v>25.679400000000001</v>
      </c>
      <c r="DS103">
        <v>25.554099999999998</v>
      </c>
      <c r="DT103">
        <v>17.899999999999999</v>
      </c>
      <c r="DU103">
        <v>29.7</v>
      </c>
      <c r="DV103">
        <v>7.5634300000000003</v>
      </c>
      <c r="DW103">
        <v>61.221200000000003</v>
      </c>
      <c r="DX103">
        <v>36.995199999999997</v>
      </c>
      <c r="DY103">
        <v>1</v>
      </c>
      <c r="DZ103">
        <v>-7.6079800000000003E-2</v>
      </c>
      <c r="EA103">
        <v>-0.19717599999999999</v>
      </c>
      <c r="EB103">
        <v>20.189800000000002</v>
      </c>
      <c r="EC103">
        <v>5.2404999999999999</v>
      </c>
      <c r="ED103">
        <v>12.039899999999999</v>
      </c>
      <c r="EE103">
        <v>5.0166000000000004</v>
      </c>
      <c r="EF103">
        <v>3.2879999999999998</v>
      </c>
      <c r="EG103">
        <v>9999</v>
      </c>
      <c r="EH103">
        <v>9999</v>
      </c>
      <c r="EI103">
        <v>9999</v>
      </c>
      <c r="EJ103">
        <v>999.9</v>
      </c>
      <c r="EK103">
        <v>1.8689100000000001</v>
      </c>
      <c r="EL103">
        <v>1.86466</v>
      </c>
      <c r="EM103">
        <v>1.8691800000000001</v>
      </c>
      <c r="EN103">
        <v>1.8672299999999999</v>
      </c>
      <c r="EO103">
        <v>1.8633999999999999</v>
      </c>
      <c r="EP103">
        <v>1.8645700000000001</v>
      </c>
      <c r="EQ103">
        <v>1.87015</v>
      </c>
      <c r="ER103">
        <v>1.8694299999999999</v>
      </c>
      <c r="ES103">
        <v>0</v>
      </c>
      <c r="ET103">
        <v>0</v>
      </c>
      <c r="EU103">
        <v>0</v>
      </c>
      <c r="EV103">
        <v>0</v>
      </c>
      <c r="EW103" t="s">
        <v>334</v>
      </c>
      <c r="EX103" t="s">
        <v>335</v>
      </c>
      <c r="EY103" t="s">
        <v>336</v>
      </c>
      <c r="EZ103" t="s">
        <v>336</v>
      </c>
      <c r="FA103" t="s">
        <v>336</v>
      </c>
      <c r="FB103" t="s">
        <v>336</v>
      </c>
      <c r="FC103">
        <v>0</v>
      </c>
      <c r="FD103">
        <v>100</v>
      </c>
      <c r="FE103">
        <v>100</v>
      </c>
      <c r="FF103">
        <v>-0.314</v>
      </c>
      <c r="FG103">
        <v>0.19159999999999999</v>
      </c>
      <c r="FH103">
        <v>4.0020685143421282E-2</v>
      </c>
      <c r="FI103">
        <v>-6.1462078757559423E-4</v>
      </c>
      <c r="FJ103">
        <v>-1.8861989874597051E-7</v>
      </c>
      <c r="FK103">
        <v>1.1980462299894961E-10</v>
      </c>
      <c r="FL103">
        <v>0.19160597004026461</v>
      </c>
      <c r="FM103">
        <v>0</v>
      </c>
      <c r="FN103">
        <v>0</v>
      </c>
      <c r="FO103">
        <v>0</v>
      </c>
      <c r="FP103">
        <v>3</v>
      </c>
      <c r="FQ103">
        <v>2158</v>
      </c>
      <c r="FR103">
        <v>1</v>
      </c>
      <c r="FS103">
        <v>19</v>
      </c>
      <c r="FT103">
        <v>22.7</v>
      </c>
      <c r="FU103">
        <v>22.6</v>
      </c>
      <c r="FV103">
        <v>1.77979</v>
      </c>
      <c r="FW103">
        <v>2.5793499999999998</v>
      </c>
      <c r="FX103">
        <v>1.5490699999999999</v>
      </c>
      <c r="FY103">
        <v>2.3290999999999999</v>
      </c>
      <c r="FZ103">
        <v>1.50146</v>
      </c>
      <c r="GA103">
        <v>2.3840300000000001</v>
      </c>
      <c r="GB103">
        <v>33.828299999999999</v>
      </c>
      <c r="GC103">
        <v>23.991199999999999</v>
      </c>
      <c r="GD103">
        <v>19</v>
      </c>
      <c r="GE103">
        <v>245.059</v>
      </c>
      <c r="GF103">
        <v>582.44799999999998</v>
      </c>
      <c r="GG103">
        <v>25.342600000000001</v>
      </c>
      <c r="GH103">
        <v>26.428599999999999</v>
      </c>
      <c r="GI103">
        <v>30</v>
      </c>
      <c r="GJ103">
        <v>26.570499999999999</v>
      </c>
      <c r="GK103">
        <v>26.542400000000001</v>
      </c>
      <c r="GL103">
        <v>35.58</v>
      </c>
      <c r="GM103">
        <v>-30</v>
      </c>
      <c r="GN103">
        <v>-30</v>
      </c>
      <c r="GO103">
        <v>25.347999999999999</v>
      </c>
      <c r="GP103">
        <v>800</v>
      </c>
      <c r="GQ103">
        <v>12.5298</v>
      </c>
      <c r="GR103">
        <v>99.663300000000007</v>
      </c>
      <c r="GS103">
        <v>99.449299999999994</v>
      </c>
    </row>
    <row r="104" spans="1:201" x14ac:dyDescent="0.25">
      <c r="A104">
        <v>88</v>
      </c>
      <c r="B104">
        <v>1690213285.5999999</v>
      </c>
      <c r="C104">
        <v>1018.099999904633</v>
      </c>
      <c r="D104" t="s">
        <v>507</v>
      </c>
      <c r="E104" t="s">
        <v>508</v>
      </c>
      <c r="F104" t="s">
        <v>330</v>
      </c>
      <c r="H104">
        <v>1690213285.5999999</v>
      </c>
      <c r="I104">
        <f t="shared" si="30"/>
        <v>1.5571471420459918E-3</v>
      </c>
      <c r="J104">
        <f t="shared" si="31"/>
        <v>1.5571471420459917</v>
      </c>
      <c r="K104">
        <f t="shared" si="32"/>
        <v>23.825854202156449</v>
      </c>
      <c r="L104">
        <f t="shared" si="33"/>
        <v>516.928</v>
      </c>
      <c r="M104">
        <f t="shared" si="34"/>
        <v>96.016820855359242</v>
      </c>
      <c r="N104">
        <f t="shared" si="35"/>
        <v>9.5247543688348184</v>
      </c>
      <c r="O104">
        <f t="shared" si="36"/>
        <v>51.27864245568</v>
      </c>
      <c r="P104">
        <f t="shared" si="37"/>
        <v>9.4444455966545424E-2</v>
      </c>
      <c r="Q104">
        <f t="shared" si="38"/>
        <v>2.0095563327284856</v>
      </c>
      <c r="R104">
        <f t="shared" si="39"/>
        <v>9.2046067535492132E-2</v>
      </c>
      <c r="S104">
        <f t="shared" si="40"/>
        <v>5.7739204954255718E-2</v>
      </c>
      <c r="T104">
        <f t="shared" si="41"/>
        <v>276.11257249074197</v>
      </c>
      <c r="U104">
        <f t="shared" si="42"/>
        <v>28.716082366104203</v>
      </c>
      <c r="V104">
        <f t="shared" si="43"/>
        <v>28.716082366104203</v>
      </c>
      <c r="W104">
        <f t="shared" si="44"/>
        <v>3.9561703102844317</v>
      </c>
      <c r="X104">
        <f t="shared" si="45"/>
        <v>65.182408310054527</v>
      </c>
      <c r="Y104">
        <f t="shared" si="46"/>
        <v>2.3312017946429995</v>
      </c>
      <c r="Z104">
        <f t="shared" si="47"/>
        <v>3.576427835489175</v>
      </c>
      <c r="AA104">
        <f t="shared" si="48"/>
        <v>1.6249685156414322</v>
      </c>
      <c r="AB104">
        <f t="shared" si="49"/>
        <v>-68.670188964228231</v>
      </c>
      <c r="AC104">
        <f t="shared" si="50"/>
        <v>-187.32740202431035</v>
      </c>
      <c r="AD104">
        <f t="shared" si="51"/>
        <v>-20.289560561309234</v>
      </c>
      <c r="AE104">
        <f t="shared" si="52"/>
        <v>-0.17457905910583804</v>
      </c>
      <c r="AF104">
        <v>35</v>
      </c>
      <c r="AG104">
        <v>12</v>
      </c>
      <c r="AH104">
        <f t="shared" si="53"/>
        <v>1</v>
      </c>
      <c r="AI104">
        <f t="shared" si="54"/>
        <v>0</v>
      </c>
      <c r="AJ104">
        <f t="shared" si="55"/>
        <v>52283.448952297578</v>
      </c>
      <c r="AK104">
        <f t="shared" si="56"/>
        <v>1799.99</v>
      </c>
      <c r="AL104">
        <f t="shared" si="57"/>
        <v>1499.10457339499</v>
      </c>
      <c r="AM104">
        <f t="shared" si="58"/>
        <v>0.83284050099999996</v>
      </c>
      <c r="AN104">
        <f t="shared" si="59"/>
        <v>0.15339672581000002</v>
      </c>
      <c r="AO104">
        <v>34.5</v>
      </c>
      <c r="AP104">
        <v>0.5</v>
      </c>
      <c r="AQ104" t="s">
        <v>331</v>
      </c>
      <c r="AR104">
        <v>2</v>
      </c>
      <c r="AS104">
        <v>1690213285.5999999</v>
      </c>
      <c r="AT104">
        <v>516.928</v>
      </c>
      <c r="AU104">
        <v>799.96600000000001</v>
      </c>
      <c r="AV104">
        <v>23.500299999999999</v>
      </c>
      <c r="AW104">
        <v>6.0272699999999997</v>
      </c>
      <c r="AX104">
        <v>517.24</v>
      </c>
      <c r="AY104">
        <v>23.308700000000002</v>
      </c>
      <c r="AZ104">
        <v>300.22899999999998</v>
      </c>
      <c r="BA104">
        <v>99.098699999999994</v>
      </c>
      <c r="BB104">
        <v>0.10011</v>
      </c>
      <c r="BC104">
        <v>26.986999999999998</v>
      </c>
      <c r="BD104">
        <v>26.992599999999999</v>
      </c>
      <c r="BE104">
        <v>28.781700000000001</v>
      </c>
      <c r="BF104">
        <v>0</v>
      </c>
      <c r="BG104">
        <v>0</v>
      </c>
      <c r="BH104">
        <v>9976.25</v>
      </c>
      <c r="BI104">
        <v>1076.33</v>
      </c>
      <c r="BJ104">
        <v>2.0744500000000001</v>
      </c>
      <c r="BK104">
        <v>-283.03800000000001</v>
      </c>
      <c r="BL104">
        <v>529.36900000000003</v>
      </c>
      <c r="BM104">
        <v>804.81700000000001</v>
      </c>
      <c r="BN104">
        <v>17.472999999999999</v>
      </c>
      <c r="BO104">
        <v>799.96600000000001</v>
      </c>
      <c r="BP104">
        <v>6.0272699999999997</v>
      </c>
      <c r="BQ104">
        <v>2.3288500000000001</v>
      </c>
      <c r="BR104">
        <v>0.59729399999999999</v>
      </c>
      <c r="BS104">
        <v>19.877300000000002</v>
      </c>
      <c r="BT104">
        <v>-0.37136999999999998</v>
      </c>
      <c r="BU104">
        <v>1799.99</v>
      </c>
      <c r="BV104">
        <v>0.91001900000000002</v>
      </c>
      <c r="BW104">
        <v>3.4000900000000001E-2</v>
      </c>
      <c r="BX104">
        <v>2.19928E-2</v>
      </c>
      <c r="BY104">
        <v>3.39869E-2</v>
      </c>
      <c r="BZ104">
        <v>26</v>
      </c>
      <c r="CA104">
        <v>33528.400000000001</v>
      </c>
      <c r="CB104">
        <v>1690211922</v>
      </c>
      <c r="CC104" t="s">
        <v>332</v>
      </c>
      <c r="CD104">
        <v>1690211915</v>
      </c>
      <c r="CE104">
        <v>1690211922</v>
      </c>
      <c r="CF104">
        <v>6</v>
      </c>
      <c r="CG104">
        <v>1.0999999999999999E-2</v>
      </c>
      <c r="CH104">
        <v>8.0000000000000002E-3</v>
      </c>
      <c r="CI104">
        <v>-0.51100000000000001</v>
      </c>
      <c r="CJ104">
        <v>-6.6000000000000003E-2</v>
      </c>
      <c r="CK104">
        <v>800</v>
      </c>
      <c r="CL104">
        <v>6</v>
      </c>
      <c r="CM104">
        <v>0.21</v>
      </c>
      <c r="CN104">
        <v>0.02</v>
      </c>
      <c r="CO104">
        <v>-279.11542500000002</v>
      </c>
      <c r="CP104">
        <v>-21.759388367729311</v>
      </c>
      <c r="CQ104">
        <v>2.093796622018242</v>
      </c>
      <c r="CR104">
        <v>-1</v>
      </c>
      <c r="CS104">
        <v>17.303349999999998</v>
      </c>
      <c r="CT104">
        <v>0.93342439024386137</v>
      </c>
      <c r="CU104">
        <v>8.9804877373113767E-2</v>
      </c>
      <c r="CV104">
        <v>-1</v>
      </c>
      <c r="CW104">
        <v>0</v>
      </c>
      <c r="CX104">
        <v>0</v>
      </c>
      <c r="CY104" t="s">
        <v>333</v>
      </c>
      <c r="CZ104">
        <v>2.3644799999999999</v>
      </c>
      <c r="DA104">
        <v>2.7138800000000001</v>
      </c>
      <c r="DB104">
        <v>0.108311</v>
      </c>
      <c r="DC104">
        <v>0.14604800000000001</v>
      </c>
      <c r="DD104">
        <v>0.112174</v>
      </c>
      <c r="DE104">
        <v>3.9584300000000003E-2</v>
      </c>
      <c r="DF104">
        <v>32535.8</v>
      </c>
      <c r="DG104">
        <v>27489.9</v>
      </c>
      <c r="DH104">
        <v>31150.5</v>
      </c>
      <c r="DI104">
        <v>28051.200000000001</v>
      </c>
      <c r="DJ104">
        <v>37541.5</v>
      </c>
      <c r="DK104">
        <v>38305.9</v>
      </c>
      <c r="DL104">
        <v>44326.6</v>
      </c>
      <c r="DM104">
        <v>42509</v>
      </c>
      <c r="DN104">
        <v>1.3812</v>
      </c>
      <c r="DO104">
        <v>2.0326</v>
      </c>
      <c r="DP104">
        <v>8.0343300000000006E-2</v>
      </c>
      <c r="DQ104">
        <v>0.19734399999999999</v>
      </c>
      <c r="DR104">
        <v>25.677199999999999</v>
      </c>
      <c r="DS104">
        <v>25.555199999999999</v>
      </c>
      <c r="DT104">
        <v>17.899999999999999</v>
      </c>
      <c r="DU104">
        <v>29.7</v>
      </c>
      <c r="DV104">
        <v>7.5634899999999998</v>
      </c>
      <c r="DW104">
        <v>61.661200000000001</v>
      </c>
      <c r="DX104">
        <v>36.6066</v>
      </c>
      <c r="DY104">
        <v>1</v>
      </c>
      <c r="DZ104">
        <v>-7.60213E-2</v>
      </c>
      <c r="EA104">
        <v>-0.207151</v>
      </c>
      <c r="EB104">
        <v>20.189399999999999</v>
      </c>
      <c r="EC104">
        <v>5.2406499999999996</v>
      </c>
      <c r="ED104">
        <v>12.039899999999999</v>
      </c>
      <c r="EE104">
        <v>5.0167000000000002</v>
      </c>
      <c r="EF104">
        <v>3.2879999999999998</v>
      </c>
      <c r="EG104">
        <v>9999</v>
      </c>
      <c r="EH104">
        <v>9999</v>
      </c>
      <c r="EI104">
        <v>9999</v>
      </c>
      <c r="EJ104">
        <v>999.9</v>
      </c>
      <c r="EK104">
        <v>1.8689</v>
      </c>
      <c r="EL104">
        <v>1.8646499999999999</v>
      </c>
      <c r="EM104">
        <v>1.8692</v>
      </c>
      <c r="EN104">
        <v>1.86724</v>
      </c>
      <c r="EO104">
        <v>1.86341</v>
      </c>
      <c r="EP104">
        <v>1.8645499999999999</v>
      </c>
      <c r="EQ104">
        <v>1.87015</v>
      </c>
      <c r="ER104">
        <v>1.8694200000000001</v>
      </c>
      <c r="ES104">
        <v>0</v>
      </c>
      <c r="ET104">
        <v>0</v>
      </c>
      <c r="EU104">
        <v>0</v>
      </c>
      <c r="EV104">
        <v>0</v>
      </c>
      <c r="EW104" t="s">
        <v>334</v>
      </c>
      <c r="EX104" t="s">
        <v>335</v>
      </c>
      <c r="EY104" t="s">
        <v>336</v>
      </c>
      <c r="EZ104" t="s">
        <v>336</v>
      </c>
      <c r="FA104" t="s">
        <v>336</v>
      </c>
      <c r="FB104" t="s">
        <v>336</v>
      </c>
      <c r="FC104">
        <v>0</v>
      </c>
      <c r="FD104">
        <v>100</v>
      </c>
      <c r="FE104">
        <v>100</v>
      </c>
      <c r="FF104">
        <v>-0.312</v>
      </c>
      <c r="FG104">
        <v>0.19159999999999999</v>
      </c>
      <c r="FH104">
        <v>4.0020685143421282E-2</v>
      </c>
      <c r="FI104">
        <v>-6.1462078757559423E-4</v>
      </c>
      <c r="FJ104">
        <v>-1.8861989874597051E-7</v>
      </c>
      <c r="FK104">
        <v>1.1980462299894961E-10</v>
      </c>
      <c r="FL104">
        <v>0.19160597004026461</v>
      </c>
      <c r="FM104">
        <v>0</v>
      </c>
      <c r="FN104">
        <v>0</v>
      </c>
      <c r="FO104">
        <v>0</v>
      </c>
      <c r="FP104">
        <v>3</v>
      </c>
      <c r="FQ104">
        <v>2158</v>
      </c>
      <c r="FR104">
        <v>1</v>
      </c>
      <c r="FS104">
        <v>19</v>
      </c>
      <c r="FT104">
        <v>22.8</v>
      </c>
      <c r="FU104">
        <v>22.7</v>
      </c>
      <c r="FV104">
        <v>1.77979</v>
      </c>
      <c r="FW104">
        <v>2.5817899999999998</v>
      </c>
      <c r="FX104">
        <v>1.5490699999999999</v>
      </c>
      <c r="FY104">
        <v>2.3290999999999999</v>
      </c>
      <c r="FZ104">
        <v>1.50146</v>
      </c>
      <c r="GA104">
        <v>2.3754900000000001</v>
      </c>
      <c r="GB104">
        <v>33.850900000000003</v>
      </c>
      <c r="GC104">
        <v>23.991199999999999</v>
      </c>
      <c r="GD104">
        <v>19</v>
      </c>
      <c r="GE104">
        <v>245.22399999999999</v>
      </c>
      <c r="GF104">
        <v>582.33199999999999</v>
      </c>
      <c r="GG104">
        <v>25.360099999999999</v>
      </c>
      <c r="GH104">
        <v>26.426600000000001</v>
      </c>
      <c r="GI104">
        <v>30.0001</v>
      </c>
      <c r="GJ104">
        <v>26.568300000000001</v>
      </c>
      <c r="GK104">
        <v>26.5412</v>
      </c>
      <c r="GL104">
        <v>35.583100000000002</v>
      </c>
      <c r="GM104">
        <v>-30</v>
      </c>
      <c r="GN104">
        <v>-30</v>
      </c>
      <c r="GO104">
        <v>25.364000000000001</v>
      </c>
      <c r="GP104">
        <v>800</v>
      </c>
      <c r="GQ104">
        <v>12.5298</v>
      </c>
      <c r="GR104">
        <v>99.663600000000002</v>
      </c>
      <c r="GS104">
        <v>99.449799999999996</v>
      </c>
    </row>
    <row r="105" spans="1:201" x14ac:dyDescent="0.25">
      <c r="A105">
        <v>89</v>
      </c>
      <c r="B105">
        <v>1690213295.5999999</v>
      </c>
      <c r="C105">
        <v>1028.099999904633</v>
      </c>
      <c r="D105" t="s">
        <v>509</v>
      </c>
      <c r="E105" t="s">
        <v>510</v>
      </c>
      <c r="F105" t="s">
        <v>330</v>
      </c>
      <c r="H105">
        <v>1690213295.5999999</v>
      </c>
      <c r="I105">
        <f t="shared" si="30"/>
        <v>1.5710153027958455E-3</v>
      </c>
      <c r="J105">
        <f t="shared" si="31"/>
        <v>1.5710153027958456</v>
      </c>
      <c r="K105">
        <f t="shared" si="32"/>
        <v>24.140606493763261</v>
      </c>
      <c r="L105">
        <f t="shared" si="33"/>
        <v>513.30899999999997</v>
      </c>
      <c r="M105">
        <f t="shared" si="34"/>
        <v>95.106435518000282</v>
      </c>
      <c r="N105">
        <f t="shared" si="35"/>
        <v>9.4342470344263862</v>
      </c>
      <c r="O105">
        <f t="shared" si="36"/>
        <v>50.9185722776649</v>
      </c>
      <c r="P105">
        <f t="shared" si="37"/>
        <v>9.63281269275654E-2</v>
      </c>
      <c r="Q105">
        <f t="shared" si="38"/>
        <v>2.0130081078566153</v>
      </c>
      <c r="R105">
        <f t="shared" si="39"/>
        <v>9.3838631181682924E-2</v>
      </c>
      <c r="S105">
        <f t="shared" si="40"/>
        <v>5.8867456980051303E-2</v>
      </c>
      <c r="T105">
        <f t="shared" si="41"/>
        <v>276.11404304400003</v>
      </c>
      <c r="U105">
        <f t="shared" si="42"/>
        <v>28.708426751681962</v>
      </c>
      <c r="V105">
        <f t="shared" si="43"/>
        <v>28.708426751681962</v>
      </c>
      <c r="W105">
        <f t="shared" si="44"/>
        <v>3.9544143909903409</v>
      </c>
      <c r="X105">
        <f t="shared" si="45"/>
        <v>65.608069372103259</v>
      </c>
      <c r="Y105">
        <f t="shared" si="46"/>
        <v>2.3464390378598399</v>
      </c>
      <c r="Z105">
        <f t="shared" si="47"/>
        <v>3.5764488428271788</v>
      </c>
      <c r="AA105">
        <f t="shared" si="48"/>
        <v>1.607975353130501</v>
      </c>
      <c r="AB105">
        <f t="shared" si="49"/>
        <v>-69.281774853296781</v>
      </c>
      <c r="AC105">
        <f t="shared" si="50"/>
        <v>-186.80749026568725</v>
      </c>
      <c r="AD105">
        <f t="shared" si="51"/>
        <v>-20.197791520959075</v>
      </c>
      <c r="AE105">
        <f t="shared" si="52"/>
        <v>-0.17301359594307542</v>
      </c>
      <c r="AF105">
        <v>35</v>
      </c>
      <c r="AG105">
        <v>12</v>
      </c>
      <c r="AH105">
        <f t="shared" si="53"/>
        <v>1</v>
      </c>
      <c r="AI105">
        <f t="shared" si="54"/>
        <v>0</v>
      </c>
      <c r="AJ105">
        <f t="shared" si="55"/>
        <v>52449.0760230593</v>
      </c>
      <c r="AK105">
        <f t="shared" si="56"/>
        <v>1800</v>
      </c>
      <c r="AL105">
        <f t="shared" si="57"/>
        <v>1499.1131033999998</v>
      </c>
      <c r="AM105">
        <f t="shared" si="58"/>
        <v>0.8328406129999999</v>
      </c>
      <c r="AN105">
        <f t="shared" si="59"/>
        <v>0.15339669058000002</v>
      </c>
      <c r="AO105">
        <v>34.5</v>
      </c>
      <c r="AP105">
        <v>0.5</v>
      </c>
      <c r="AQ105" t="s">
        <v>331</v>
      </c>
      <c r="AR105">
        <v>2</v>
      </c>
      <c r="AS105">
        <v>1690213295.5999999</v>
      </c>
      <c r="AT105">
        <v>513.30899999999997</v>
      </c>
      <c r="AU105">
        <v>800.02200000000005</v>
      </c>
      <c r="AV105">
        <v>23.654399999999999</v>
      </c>
      <c r="AW105">
        <v>6.0260100000000003</v>
      </c>
      <c r="AX105">
        <v>513.61800000000005</v>
      </c>
      <c r="AY105">
        <v>23.462800000000001</v>
      </c>
      <c r="AZ105">
        <v>300.18599999999998</v>
      </c>
      <c r="BA105">
        <v>99.096800000000002</v>
      </c>
      <c r="BB105">
        <v>9.9926100000000004E-2</v>
      </c>
      <c r="BC105">
        <v>26.987100000000002</v>
      </c>
      <c r="BD105">
        <v>26.9938</v>
      </c>
      <c r="BE105">
        <v>28.773299999999999</v>
      </c>
      <c r="BF105">
        <v>0</v>
      </c>
      <c r="BG105">
        <v>0</v>
      </c>
      <c r="BH105">
        <v>10009.4</v>
      </c>
      <c r="BI105">
        <v>1076.3</v>
      </c>
      <c r="BJ105">
        <v>2.0744500000000001</v>
      </c>
      <c r="BK105">
        <v>-286.71300000000002</v>
      </c>
      <c r="BL105">
        <v>525.745</v>
      </c>
      <c r="BM105">
        <v>804.87199999999996</v>
      </c>
      <c r="BN105">
        <v>17.628399999999999</v>
      </c>
      <c r="BO105">
        <v>800.02200000000005</v>
      </c>
      <c r="BP105">
        <v>6.0260100000000003</v>
      </c>
      <c r="BQ105">
        <v>2.3440799999999999</v>
      </c>
      <c r="BR105">
        <v>0.59715799999999997</v>
      </c>
      <c r="BS105">
        <v>19.982500000000002</v>
      </c>
      <c r="BT105">
        <v>-0.374496</v>
      </c>
      <c r="BU105">
        <v>1800</v>
      </c>
      <c r="BV105">
        <v>0.91001900000000002</v>
      </c>
      <c r="BW105">
        <v>3.3999500000000002E-2</v>
      </c>
      <c r="BX105">
        <v>2.1991900000000002E-2</v>
      </c>
      <c r="BY105">
        <v>3.3989400000000003E-2</v>
      </c>
      <c r="BZ105">
        <v>26</v>
      </c>
      <c r="CA105">
        <v>33528.5</v>
      </c>
      <c r="CB105">
        <v>1690211922</v>
      </c>
      <c r="CC105" t="s">
        <v>332</v>
      </c>
      <c r="CD105">
        <v>1690211915</v>
      </c>
      <c r="CE105">
        <v>1690211922</v>
      </c>
      <c r="CF105">
        <v>6</v>
      </c>
      <c r="CG105">
        <v>1.0999999999999999E-2</v>
      </c>
      <c r="CH105">
        <v>8.0000000000000002E-3</v>
      </c>
      <c r="CI105">
        <v>-0.51100000000000001</v>
      </c>
      <c r="CJ105">
        <v>-6.6000000000000003E-2</v>
      </c>
      <c r="CK105">
        <v>800</v>
      </c>
      <c r="CL105">
        <v>6</v>
      </c>
      <c r="CM105">
        <v>0.21</v>
      </c>
      <c r="CN105">
        <v>0.02</v>
      </c>
      <c r="CO105">
        <v>-282.67250000000001</v>
      </c>
      <c r="CP105">
        <v>-20.826574108817589</v>
      </c>
      <c r="CQ105">
        <v>2.0037471896424419</v>
      </c>
      <c r="CR105">
        <v>-1</v>
      </c>
      <c r="CS105">
        <v>17.456422499999999</v>
      </c>
      <c r="CT105">
        <v>0.90385778611626788</v>
      </c>
      <c r="CU105">
        <v>8.6958474249207135E-2</v>
      </c>
      <c r="CV105">
        <v>-1</v>
      </c>
      <c r="CW105">
        <v>0</v>
      </c>
      <c r="CX105">
        <v>0</v>
      </c>
      <c r="CY105" t="s">
        <v>333</v>
      </c>
      <c r="CZ105">
        <v>2.36435</v>
      </c>
      <c r="DA105">
        <v>2.71373</v>
      </c>
      <c r="DB105">
        <v>0.10775899999999999</v>
      </c>
      <c r="DC105">
        <v>0.14605199999999999</v>
      </c>
      <c r="DD105">
        <v>0.112693</v>
      </c>
      <c r="DE105">
        <v>3.9577000000000001E-2</v>
      </c>
      <c r="DF105">
        <v>32556</v>
      </c>
      <c r="DG105">
        <v>27489.9</v>
      </c>
      <c r="DH105">
        <v>31150.400000000001</v>
      </c>
      <c r="DI105">
        <v>28051.3</v>
      </c>
      <c r="DJ105">
        <v>37519.300000000003</v>
      </c>
      <c r="DK105">
        <v>38306.400000000001</v>
      </c>
      <c r="DL105">
        <v>44326.6</v>
      </c>
      <c r="DM105">
        <v>42509.2</v>
      </c>
      <c r="DN105">
        <v>1.3813</v>
      </c>
      <c r="DO105">
        <v>2.0326</v>
      </c>
      <c r="DP105">
        <v>8.0417799999999998E-2</v>
      </c>
      <c r="DQ105">
        <v>0.196796</v>
      </c>
      <c r="DR105">
        <v>25.677199999999999</v>
      </c>
      <c r="DS105">
        <v>25.555700000000002</v>
      </c>
      <c r="DT105">
        <v>17.899999999999999</v>
      </c>
      <c r="DU105">
        <v>29.7</v>
      </c>
      <c r="DV105">
        <v>7.5638100000000001</v>
      </c>
      <c r="DW105">
        <v>61.531199999999998</v>
      </c>
      <c r="DX105">
        <v>36.2941</v>
      </c>
      <c r="DY105">
        <v>1</v>
      </c>
      <c r="DZ105">
        <v>-7.62602E-2</v>
      </c>
      <c r="EA105">
        <v>-3.03322E-2</v>
      </c>
      <c r="EB105">
        <v>20.189699999999998</v>
      </c>
      <c r="EC105">
        <v>5.2404999999999999</v>
      </c>
      <c r="ED105">
        <v>12.039899999999999</v>
      </c>
      <c r="EE105">
        <v>5.0167000000000002</v>
      </c>
      <c r="EF105">
        <v>3.2879999999999998</v>
      </c>
      <c r="EG105">
        <v>9999</v>
      </c>
      <c r="EH105">
        <v>9999</v>
      </c>
      <c r="EI105">
        <v>9999</v>
      </c>
      <c r="EJ105">
        <v>999.9</v>
      </c>
      <c r="EK105">
        <v>1.8689100000000001</v>
      </c>
      <c r="EL105">
        <v>1.8646400000000001</v>
      </c>
      <c r="EM105">
        <v>1.8692</v>
      </c>
      <c r="EN105">
        <v>1.8672299999999999</v>
      </c>
      <c r="EO105">
        <v>1.8633999999999999</v>
      </c>
      <c r="EP105">
        <v>1.8645700000000001</v>
      </c>
      <c r="EQ105">
        <v>1.87015</v>
      </c>
      <c r="ER105">
        <v>1.8694</v>
      </c>
      <c r="ES105">
        <v>0</v>
      </c>
      <c r="ET105">
        <v>0</v>
      </c>
      <c r="EU105">
        <v>0</v>
      </c>
      <c r="EV105">
        <v>0</v>
      </c>
      <c r="EW105" t="s">
        <v>334</v>
      </c>
      <c r="EX105" t="s">
        <v>335</v>
      </c>
      <c r="EY105" t="s">
        <v>336</v>
      </c>
      <c r="EZ105" t="s">
        <v>336</v>
      </c>
      <c r="FA105" t="s">
        <v>336</v>
      </c>
      <c r="FB105" t="s">
        <v>336</v>
      </c>
      <c r="FC105">
        <v>0</v>
      </c>
      <c r="FD105">
        <v>100</v>
      </c>
      <c r="FE105">
        <v>100</v>
      </c>
      <c r="FF105">
        <v>-0.309</v>
      </c>
      <c r="FG105">
        <v>0.19159999999999999</v>
      </c>
      <c r="FH105">
        <v>4.0020685143421282E-2</v>
      </c>
      <c r="FI105">
        <v>-6.1462078757559423E-4</v>
      </c>
      <c r="FJ105">
        <v>-1.8861989874597051E-7</v>
      </c>
      <c r="FK105">
        <v>1.1980462299894961E-10</v>
      </c>
      <c r="FL105">
        <v>0.19160597004026461</v>
      </c>
      <c r="FM105">
        <v>0</v>
      </c>
      <c r="FN105">
        <v>0</v>
      </c>
      <c r="FO105">
        <v>0</v>
      </c>
      <c r="FP105">
        <v>3</v>
      </c>
      <c r="FQ105">
        <v>2158</v>
      </c>
      <c r="FR105">
        <v>1</v>
      </c>
      <c r="FS105">
        <v>19</v>
      </c>
      <c r="FT105">
        <v>23</v>
      </c>
      <c r="FU105">
        <v>22.9</v>
      </c>
      <c r="FV105">
        <v>1.77979</v>
      </c>
      <c r="FW105">
        <v>2.5817899999999998</v>
      </c>
      <c r="FX105">
        <v>1.5490699999999999</v>
      </c>
      <c r="FY105">
        <v>2.3290999999999999</v>
      </c>
      <c r="FZ105">
        <v>1.50146</v>
      </c>
      <c r="GA105">
        <v>2.34619</v>
      </c>
      <c r="GB105">
        <v>33.850900000000003</v>
      </c>
      <c r="GC105">
        <v>23.982399999999998</v>
      </c>
      <c r="GD105">
        <v>19</v>
      </c>
      <c r="GE105">
        <v>245.262</v>
      </c>
      <c r="GF105">
        <v>582.32000000000005</v>
      </c>
      <c r="GG105">
        <v>25.3626</v>
      </c>
      <c r="GH105">
        <v>26.424299999999999</v>
      </c>
      <c r="GI105">
        <v>29.9999</v>
      </c>
      <c r="GJ105">
        <v>26.568300000000001</v>
      </c>
      <c r="GK105">
        <v>26.540199999999999</v>
      </c>
      <c r="GL105">
        <v>35.583199999999998</v>
      </c>
      <c r="GM105">
        <v>-30</v>
      </c>
      <c r="GN105">
        <v>-30</v>
      </c>
      <c r="GO105">
        <v>25.3154</v>
      </c>
      <c r="GP105">
        <v>800</v>
      </c>
      <c r="GQ105">
        <v>12.5298</v>
      </c>
      <c r="GR105">
        <v>99.663600000000002</v>
      </c>
      <c r="GS105">
        <v>99.450199999999995</v>
      </c>
    </row>
    <row r="106" spans="1:201" x14ac:dyDescent="0.25">
      <c r="A106">
        <v>90</v>
      </c>
      <c r="B106">
        <v>1690213305.5999999</v>
      </c>
      <c r="C106">
        <v>1038.099999904633</v>
      </c>
      <c r="D106" t="s">
        <v>511</v>
      </c>
      <c r="E106" t="s">
        <v>512</v>
      </c>
      <c r="F106" t="s">
        <v>330</v>
      </c>
      <c r="H106">
        <v>1690213305.5999999</v>
      </c>
      <c r="I106">
        <f t="shared" si="30"/>
        <v>1.5831025705110944E-3</v>
      </c>
      <c r="J106">
        <f t="shared" si="31"/>
        <v>1.5831025705110944</v>
      </c>
      <c r="K106">
        <f t="shared" si="32"/>
        <v>24.438490553610134</v>
      </c>
      <c r="L106">
        <f t="shared" si="33"/>
        <v>509.827</v>
      </c>
      <c r="M106">
        <f t="shared" si="34"/>
        <v>93.668652615637782</v>
      </c>
      <c r="N106">
        <f t="shared" si="35"/>
        <v>9.2918244002251598</v>
      </c>
      <c r="O106">
        <f t="shared" si="36"/>
        <v>50.574261785663005</v>
      </c>
      <c r="P106">
        <f t="shared" si="37"/>
        <v>9.8015408312295535E-2</v>
      </c>
      <c r="Q106">
        <f t="shared" si="38"/>
        <v>2.0079163570247802</v>
      </c>
      <c r="R106">
        <f t="shared" si="39"/>
        <v>9.5432845373346023E-2</v>
      </c>
      <c r="S106">
        <f t="shared" si="40"/>
        <v>5.9871893642617927E-2</v>
      </c>
      <c r="T106">
        <f t="shared" si="41"/>
        <v>276.11421146999999</v>
      </c>
      <c r="U106">
        <f t="shared" si="42"/>
        <v>28.702632076403177</v>
      </c>
      <c r="V106">
        <f t="shared" si="43"/>
        <v>28.702632076403177</v>
      </c>
      <c r="W106">
        <f t="shared" si="44"/>
        <v>3.9530857553743504</v>
      </c>
      <c r="X106">
        <f t="shared" si="45"/>
        <v>66.004199794925285</v>
      </c>
      <c r="Y106">
        <f t="shared" si="46"/>
        <v>2.3598716543017004</v>
      </c>
      <c r="Z106">
        <f t="shared" si="47"/>
        <v>3.5753356023310783</v>
      </c>
      <c r="AA106">
        <f t="shared" si="48"/>
        <v>1.5932141010726499</v>
      </c>
      <c r="AB106">
        <f t="shared" si="49"/>
        <v>-69.814823359539261</v>
      </c>
      <c r="AC106">
        <f t="shared" si="50"/>
        <v>-186.28142594585074</v>
      </c>
      <c r="AD106">
        <f t="shared" si="51"/>
        <v>-20.190870045396242</v>
      </c>
      <c r="AE106">
        <f t="shared" si="52"/>
        <v>-0.17290788078628339</v>
      </c>
      <c r="AF106">
        <v>35</v>
      </c>
      <c r="AG106">
        <v>12</v>
      </c>
      <c r="AH106">
        <f t="shared" si="53"/>
        <v>1</v>
      </c>
      <c r="AI106">
        <f t="shared" si="54"/>
        <v>0</v>
      </c>
      <c r="AJ106">
        <f t="shared" si="55"/>
        <v>52205.776172077996</v>
      </c>
      <c r="AK106">
        <f t="shared" si="56"/>
        <v>1800</v>
      </c>
      <c r="AL106">
        <f t="shared" si="57"/>
        <v>1499.110533</v>
      </c>
      <c r="AM106">
        <f t="shared" si="58"/>
        <v>0.83283918499999998</v>
      </c>
      <c r="AN106">
        <f t="shared" si="59"/>
        <v>0.15339678414999999</v>
      </c>
      <c r="AO106">
        <v>34.5</v>
      </c>
      <c r="AP106">
        <v>0.5</v>
      </c>
      <c r="AQ106" t="s">
        <v>331</v>
      </c>
      <c r="AR106">
        <v>2</v>
      </c>
      <c r="AS106">
        <v>1690213305.5999999</v>
      </c>
      <c r="AT106">
        <v>509.827</v>
      </c>
      <c r="AU106">
        <v>800.01499999999999</v>
      </c>
      <c r="AV106">
        <v>23.789300000000001</v>
      </c>
      <c r="AW106">
        <v>6.0250700000000004</v>
      </c>
      <c r="AX106">
        <v>510.13299999999998</v>
      </c>
      <c r="AY106">
        <v>23.5977</v>
      </c>
      <c r="AZ106">
        <v>300.14100000000002</v>
      </c>
      <c r="BA106">
        <v>99.098799999999997</v>
      </c>
      <c r="BB106">
        <v>0.10006900000000001</v>
      </c>
      <c r="BC106">
        <v>26.9818</v>
      </c>
      <c r="BD106">
        <v>26.986999999999998</v>
      </c>
      <c r="BE106">
        <v>28.7713</v>
      </c>
      <c r="BF106">
        <v>0</v>
      </c>
      <c r="BG106">
        <v>0</v>
      </c>
      <c r="BH106">
        <v>9960.6200000000008</v>
      </c>
      <c r="BI106">
        <v>1076.3800000000001</v>
      </c>
      <c r="BJ106">
        <v>2.0744500000000001</v>
      </c>
      <c r="BK106">
        <v>-290.18799999999999</v>
      </c>
      <c r="BL106">
        <v>522.25099999999998</v>
      </c>
      <c r="BM106">
        <v>804.86400000000003</v>
      </c>
      <c r="BN106">
        <v>17.764199999999999</v>
      </c>
      <c r="BO106">
        <v>800.01499999999999</v>
      </c>
      <c r="BP106">
        <v>6.0250700000000004</v>
      </c>
      <c r="BQ106">
        <v>2.3574899999999999</v>
      </c>
      <c r="BR106">
        <v>0.59707699999999997</v>
      </c>
      <c r="BS106">
        <v>20.0747</v>
      </c>
      <c r="BT106">
        <v>-0.37635400000000002</v>
      </c>
      <c r="BU106">
        <v>1800</v>
      </c>
      <c r="BV106">
        <v>0.91000099999999995</v>
      </c>
      <c r="BW106">
        <v>3.3998E-2</v>
      </c>
      <c r="BX106">
        <v>2.1991E-2</v>
      </c>
      <c r="BY106">
        <v>3.4010100000000001E-2</v>
      </c>
      <c r="BZ106">
        <v>26</v>
      </c>
      <c r="CA106">
        <v>33528.6</v>
      </c>
      <c r="CB106">
        <v>1690211922</v>
      </c>
      <c r="CC106" t="s">
        <v>332</v>
      </c>
      <c r="CD106">
        <v>1690211915</v>
      </c>
      <c r="CE106">
        <v>1690211922</v>
      </c>
      <c r="CF106">
        <v>6</v>
      </c>
      <c r="CG106">
        <v>1.0999999999999999E-2</v>
      </c>
      <c r="CH106">
        <v>8.0000000000000002E-3</v>
      </c>
      <c r="CI106">
        <v>-0.51100000000000001</v>
      </c>
      <c r="CJ106">
        <v>-6.6000000000000003E-2</v>
      </c>
      <c r="CK106">
        <v>800</v>
      </c>
      <c r="CL106">
        <v>6</v>
      </c>
      <c r="CM106">
        <v>0.21</v>
      </c>
      <c r="CN106">
        <v>0.02</v>
      </c>
      <c r="CO106">
        <v>-286.19002499999999</v>
      </c>
      <c r="CP106">
        <v>-21.40359849906168</v>
      </c>
      <c r="CQ106">
        <v>2.0592178064437481</v>
      </c>
      <c r="CR106">
        <v>-1</v>
      </c>
      <c r="CS106">
        <v>17.605577499999999</v>
      </c>
      <c r="CT106">
        <v>0.88618424015009545</v>
      </c>
      <c r="CU106">
        <v>8.5299813855306814E-2</v>
      </c>
      <c r="CV106">
        <v>-1</v>
      </c>
      <c r="CW106">
        <v>0</v>
      </c>
      <c r="CX106">
        <v>0</v>
      </c>
      <c r="CY106" t="s">
        <v>333</v>
      </c>
      <c r="CZ106">
        <v>2.36422</v>
      </c>
      <c r="DA106">
        <v>2.7138300000000002</v>
      </c>
      <c r="DB106">
        <v>0.10723100000000001</v>
      </c>
      <c r="DC106">
        <v>0.14605499999999999</v>
      </c>
      <c r="DD106">
        <v>0.11315</v>
      </c>
      <c r="DE106">
        <v>3.9572999999999997E-2</v>
      </c>
      <c r="DF106">
        <v>32575.200000000001</v>
      </c>
      <c r="DG106">
        <v>27489.8</v>
      </c>
      <c r="DH106">
        <v>31150.400000000001</v>
      </c>
      <c r="DI106">
        <v>28051.200000000001</v>
      </c>
      <c r="DJ106">
        <v>37499.800000000003</v>
      </c>
      <c r="DK106">
        <v>38306.6</v>
      </c>
      <c r="DL106">
        <v>44326.6</v>
      </c>
      <c r="DM106">
        <v>42509.2</v>
      </c>
      <c r="DN106">
        <v>1.3810500000000001</v>
      </c>
      <c r="DO106">
        <v>2.0326499999999998</v>
      </c>
      <c r="DP106">
        <v>8.00043E-2</v>
      </c>
      <c r="DQ106">
        <v>0.19664300000000001</v>
      </c>
      <c r="DR106">
        <v>25.677199999999999</v>
      </c>
      <c r="DS106">
        <v>25.5562</v>
      </c>
      <c r="DT106">
        <v>17.899999999999999</v>
      </c>
      <c r="DU106">
        <v>29.7</v>
      </c>
      <c r="DV106">
        <v>7.5640599999999996</v>
      </c>
      <c r="DW106">
        <v>61.491199999999999</v>
      </c>
      <c r="DX106">
        <v>36.169899999999998</v>
      </c>
      <c r="DY106">
        <v>1</v>
      </c>
      <c r="DZ106">
        <v>-7.6699699999999996E-2</v>
      </c>
      <c r="EA106">
        <v>-0.14691699999999999</v>
      </c>
      <c r="EB106">
        <v>20.189800000000002</v>
      </c>
      <c r="EC106">
        <v>5.2403500000000003</v>
      </c>
      <c r="ED106">
        <v>12.039899999999999</v>
      </c>
      <c r="EE106">
        <v>5.0168999999999997</v>
      </c>
      <c r="EF106">
        <v>3.2879999999999998</v>
      </c>
      <c r="EG106">
        <v>9999</v>
      </c>
      <c r="EH106">
        <v>9999</v>
      </c>
      <c r="EI106">
        <v>9999</v>
      </c>
      <c r="EJ106">
        <v>999.9</v>
      </c>
      <c r="EK106">
        <v>1.8689100000000001</v>
      </c>
      <c r="EL106">
        <v>1.8646799999999999</v>
      </c>
      <c r="EM106">
        <v>1.8691899999999999</v>
      </c>
      <c r="EN106">
        <v>1.8672299999999999</v>
      </c>
      <c r="EO106">
        <v>1.8633999999999999</v>
      </c>
      <c r="EP106">
        <v>1.8645499999999999</v>
      </c>
      <c r="EQ106">
        <v>1.8701700000000001</v>
      </c>
      <c r="ER106">
        <v>1.8694299999999999</v>
      </c>
      <c r="ES106">
        <v>0</v>
      </c>
      <c r="ET106">
        <v>0</v>
      </c>
      <c r="EU106">
        <v>0</v>
      </c>
      <c r="EV106">
        <v>0</v>
      </c>
      <c r="EW106" t="s">
        <v>334</v>
      </c>
      <c r="EX106" t="s">
        <v>335</v>
      </c>
      <c r="EY106" t="s">
        <v>336</v>
      </c>
      <c r="EZ106" t="s">
        <v>336</v>
      </c>
      <c r="FA106" t="s">
        <v>336</v>
      </c>
      <c r="FB106" t="s">
        <v>336</v>
      </c>
      <c r="FC106">
        <v>0</v>
      </c>
      <c r="FD106">
        <v>100</v>
      </c>
      <c r="FE106">
        <v>100</v>
      </c>
      <c r="FF106">
        <v>-0.30599999999999999</v>
      </c>
      <c r="FG106">
        <v>0.19159999999999999</v>
      </c>
      <c r="FH106">
        <v>4.0020685143421282E-2</v>
      </c>
      <c r="FI106">
        <v>-6.1462078757559423E-4</v>
      </c>
      <c r="FJ106">
        <v>-1.8861989874597051E-7</v>
      </c>
      <c r="FK106">
        <v>1.1980462299894961E-10</v>
      </c>
      <c r="FL106">
        <v>0.19160597004026461</v>
      </c>
      <c r="FM106">
        <v>0</v>
      </c>
      <c r="FN106">
        <v>0</v>
      </c>
      <c r="FO106">
        <v>0</v>
      </c>
      <c r="FP106">
        <v>3</v>
      </c>
      <c r="FQ106">
        <v>2158</v>
      </c>
      <c r="FR106">
        <v>1</v>
      </c>
      <c r="FS106">
        <v>19</v>
      </c>
      <c r="FT106">
        <v>23.2</v>
      </c>
      <c r="FU106">
        <v>23.1</v>
      </c>
      <c r="FV106">
        <v>1.77979</v>
      </c>
      <c r="FW106">
        <v>2.5842299999999998</v>
      </c>
      <c r="FX106">
        <v>1.5490699999999999</v>
      </c>
      <c r="FY106">
        <v>2.3290999999999999</v>
      </c>
      <c r="FZ106">
        <v>1.50146</v>
      </c>
      <c r="GA106">
        <v>2.3339799999999999</v>
      </c>
      <c r="GB106">
        <v>33.828299999999999</v>
      </c>
      <c r="GC106">
        <v>23.982399999999998</v>
      </c>
      <c r="GD106">
        <v>19</v>
      </c>
      <c r="GE106">
        <v>245.15799999999999</v>
      </c>
      <c r="GF106">
        <v>582.33600000000001</v>
      </c>
      <c r="GG106">
        <v>25.320499999999999</v>
      </c>
      <c r="GH106">
        <v>26.4221</v>
      </c>
      <c r="GI106">
        <v>30.0001</v>
      </c>
      <c r="GJ106">
        <v>26.565999999999999</v>
      </c>
      <c r="GK106">
        <v>26.538</v>
      </c>
      <c r="GL106">
        <v>35.583199999999998</v>
      </c>
      <c r="GM106">
        <v>-30</v>
      </c>
      <c r="GN106">
        <v>-30</v>
      </c>
      <c r="GO106">
        <v>25.330100000000002</v>
      </c>
      <c r="GP106">
        <v>800</v>
      </c>
      <c r="GQ106">
        <v>12.5298</v>
      </c>
      <c r="GR106">
        <v>99.663499999999999</v>
      </c>
      <c r="GS106">
        <v>99.450100000000006</v>
      </c>
    </row>
    <row r="107" spans="1:201" x14ac:dyDescent="0.25">
      <c r="A107">
        <v>91</v>
      </c>
      <c r="B107">
        <v>1690213315.5999999</v>
      </c>
      <c r="C107">
        <v>1048.099999904633</v>
      </c>
      <c r="D107" t="s">
        <v>513</v>
      </c>
      <c r="E107" t="s">
        <v>514</v>
      </c>
      <c r="F107" t="s">
        <v>330</v>
      </c>
      <c r="H107">
        <v>1690213315.5999999</v>
      </c>
      <c r="I107">
        <f t="shared" si="30"/>
        <v>1.5965175217122257E-3</v>
      </c>
      <c r="J107">
        <f t="shared" si="31"/>
        <v>1.5965175217122256</v>
      </c>
      <c r="K107">
        <f t="shared" si="32"/>
        <v>24.742516876447851</v>
      </c>
      <c r="L107">
        <f t="shared" si="33"/>
        <v>506.37099999999998</v>
      </c>
      <c r="M107">
        <f t="shared" si="34"/>
        <v>92.711905554261037</v>
      </c>
      <c r="N107">
        <f t="shared" si="35"/>
        <v>9.1970359575994873</v>
      </c>
      <c r="O107">
        <f t="shared" si="36"/>
        <v>50.232084725730992</v>
      </c>
      <c r="P107">
        <f t="shared" si="37"/>
        <v>9.9852469682137346E-2</v>
      </c>
      <c r="Q107">
        <f t="shared" si="38"/>
        <v>2.0102915883468446</v>
      </c>
      <c r="R107">
        <f t="shared" si="39"/>
        <v>9.7176690283903883E-2</v>
      </c>
      <c r="S107">
        <f t="shared" si="40"/>
        <v>6.096986719965361E-2</v>
      </c>
      <c r="T107">
        <f t="shared" si="41"/>
        <v>276.11412766200004</v>
      </c>
      <c r="U107">
        <f t="shared" si="42"/>
        <v>28.697263388240721</v>
      </c>
      <c r="V107">
        <f t="shared" si="43"/>
        <v>28.697263388240721</v>
      </c>
      <c r="W107">
        <f t="shared" si="44"/>
        <v>3.9518551399275279</v>
      </c>
      <c r="X107">
        <f t="shared" si="45"/>
        <v>66.395530142344541</v>
      </c>
      <c r="Y107">
        <f t="shared" si="46"/>
        <v>2.3740582530519996</v>
      </c>
      <c r="Z107">
        <f t="shared" si="47"/>
        <v>3.5756296364563789</v>
      </c>
      <c r="AA107">
        <f t="shared" si="48"/>
        <v>1.5777968868755283</v>
      </c>
      <c r="AB107">
        <f t="shared" si="49"/>
        <v>-70.406422707509151</v>
      </c>
      <c r="AC107">
        <f t="shared" si="50"/>
        <v>-185.76820189418302</v>
      </c>
      <c r="AD107">
        <f t="shared" si="51"/>
        <v>-20.111052411212928</v>
      </c>
      <c r="AE107">
        <f t="shared" si="52"/>
        <v>-0.17154935090505319</v>
      </c>
      <c r="AF107">
        <v>35</v>
      </c>
      <c r="AG107">
        <v>12</v>
      </c>
      <c r="AH107">
        <f t="shared" si="53"/>
        <v>1</v>
      </c>
      <c r="AI107">
        <f t="shared" si="54"/>
        <v>0</v>
      </c>
      <c r="AJ107">
        <f t="shared" si="55"/>
        <v>52319.40060865444</v>
      </c>
      <c r="AK107">
        <f t="shared" si="56"/>
        <v>1800</v>
      </c>
      <c r="AL107">
        <f t="shared" si="57"/>
        <v>1499.1101441999999</v>
      </c>
      <c r="AM107">
        <f t="shared" si="58"/>
        <v>0.83283896899999998</v>
      </c>
      <c r="AN107">
        <f t="shared" si="59"/>
        <v>0.15339673759000003</v>
      </c>
      <c r="AO107">
        <v>34.5</v>
      </c>
      <c r="AP107">
        <v>0.5</v>
      </c>
      <c r="AQ107" t="s">
        <v>331</v>
      </c>
      <c r="AR107">
        <v>2</v>
      </c>
      <c r="AS107">
        <v>1690213315.5999999</v>
      </c>
      <c r="AT107">
        <v>506.37099999999998</v>
      </c>
      <c r="AU107">
        <v>800.01700000000005</v>
      </c>
      <c r="AV107">
        <v>23.931999999999999</v>
      </c>
      <c r="AW107">
        <v>6.0230199999999998</v>
      </c>
      <c r="AX107">
        <v>506.67500000000001</v>
      </c>
      <c r="AY107">
        <v>23.740400000000001</v>
      </c>
      <c r="AZ107">
        <v>300.19400000000002</v>
      </c>
      <c r="BA107">
        <v>99.100099999999998</v>
      </c>
      <c r="BB107">
        <v>0.100061</v>
      </c>
      <c r="BC107">
        <v>26.9832</v>
      </c>
      <c r="BD107">
        <v>26.9971</v>
      </c>
      <c r="BE107">
        <v>28.7545</v>
      </c>
      <c r="BF107">
        <v>0</v>
      </c>
      <c r="BG107">
        <v>0</v>
      </c>
      <c r="BH107">
        <v>9983.1200000000008</v>
      </c>
      <c r="BI107">
        <v>1076.3499999999999</v>
      </c>
      <c r="BJ107">
        <v>2.0744500000000001</v>
      </c>
      <c r="BK107">
        <v>-293.64600000000002</v>
      </c>
      <c r="BL107">
        <v>518.78700000000003</v>
      </c>
      <c r="BM107">
        <v>804.86500000000001</v>
      </c>
      <c r="BN107">
        <v>17.908999999999999</v>
      </c>
      <c r="BO107">
        <v>800.01700000000005</v>
      </c>
      <c r="BP107">
        <v>6.0230199999999998</v>
      </c>
      <c r="BQ107">
        <v>2.3716599999999999</v>
      </c>
      <c r="BR107">
        <v>0.59688200000000002</v>
      </c>
      <c r="BS107">
        <v>20.171600000000002</v>
      </c>
      <c r="BT107">
        <v>-0.38084299999999999</v>
      </c>
      <c r="BU107">
        <v>1800</v>
      </c>
      <c r="BV107">
        <v>0.909999</v>
      </c>
      <c r="BW107">
        <v>3.3996800000000001E-2</v>
      </c>
      <c r="BX107">
        <v>2.1990200000000001E-2</v>
      </c>
      <c r="BY107">
        <v>3.4014099999999999E-2</v>
      </c>
      <c r="BZ107">
        <v>26</v>
      </c>
      <c r="CA107">
        <v>33528.5</v>
      </c>
      <c r="CB107">
        <v>1690211922</v>
      </c>
      <c r="CC107" t="s">
        <v>332</v>
      </c>
      <c r="CD107">
        <v>1690211915</v>
      </c>
      <c r="CE107">
        <v>1690211922</v>
      </c>
      <c r="CF107">
        <v>6</v>
      </c>
      <c r="CG107">
        <v>1.0999999999999999E-2</v>
      </c>
      <c r="CH107">
        <v>8.0000000000000002E-3</v>
      </c>
      <c r="CI107">
        <v>-0.51100000000000001</v>
      </c>
      <c r="CJ107">
        <v>-6.6000000000000003E-2</v>
      </c>
      <c r="CK107">
        <v>800</v>
      </c>
      <c r="CL107">
        <v>6</v>
      </c>
      <c r="CM107">
        <v>0.21</v>
      </c>
      <c r="CN107">
        <v>0.02</v>
      </c>
      <c r="CO107">
        <v>-289.73360000000002</v>
      </c>
      <c r="CP107">
        <v>-21.040998123827009</v>
      </c>
      <c r="CQ107">
        <v>2.0243467810629689</v>
      </c>
      <c r="CR107">
        <v>-1</v>
      </c>
      <c r="CS107">
        <v>17.748825</v>
      </c>
      <c r="CT107">
        <v>0.83047879924951751</v>
      </c>
      <c r="CU107">
        <v>7.99012977053567E-2</v>
      </c>
      <c r="CV107">
        <v>-1</v>
      </c>
      <c r="CW107">
        <v>0</v>
      </c>
      <c r="CX107">
        <v>0</v>
      </c>
      <c r="CY107" t="s">
        <v>333</v>
      </c>
      <c r="CZ107">
        <v>2.3643999999999998</v>
      </c>
      <c r="DA107">
        <v>2.7138399999999998</v>
      </c>
      <c r="DB107">
        <v>0.10670499999999999</v>
      </c>
      <c r="DC107">
        <v>0.14605799999999999</v>
      </c>
      <c r="DD107">
        <v>0.113631</v>
      </c>
      <c r="DE107">
        <v>3.9562699999999999E-2</v>
      </c>
      <c r="DF107">
        <v>32594.400000000001</v>
      </c>
      <c r="DG107">
        <v>27489.599999999999</v>
      </c>
      <c r="DH107">
        <v>31150.400000000001</v>
      </c>
      <c r="DI107">
        <v>28051.200000000001</v>
      </c>
      <c r="DJ107">
        <v>37479.300000000003</v>
      </c>
      <c r="DK107">
        <v>38306.800000000003</v>
      </c>
      <c r="DL107">
        <v>44326.8</v>
      </c>
      <c r="DM107">
        <v>42509</v>
      </c>
      <c r="DN107">
        <v>1.38175</v>
      </c>
      <c r="DO107">
        <v>2.0327999999999999</v>
      </c>
      <c r="DP107">
        <v>8.0488599999999993E-2</v>
      </c>
      <c r="DQ107">
        <v>0.19561100000000001</v>
      </c>
      <c r="DR107">
        <v>25.679400000000001</v>
      </c>
      <c r="DS107">
        <v>25.5562</v>
      </c>
      <c r="DT107">
        <v>17.899999999999999</v>
      </c>
      <c r="DU107">
        <v>29.7</v>
      </c>
      <c r="DV107">
        <v>7.5643700000000003</v>
      </c>
      <c r="DW107">
        <v>61.661200000000001</v>
      </c>
      <c r="DX107">
        <v>35.9495</v>
      </c>
      <c r="DY107">
        <v>1</v>
      </c>
      <c r="DZ107">
        <v>-7.6542200000000005E-2</v>
      </c>
      <c r="EA107">
        <v>-0.14951300000000001</v>
      </c>
      <c r="EB107">
        <v>20.189699999999998</v>
      </c>
      <c r="EC107">
        <v>5.2406499999999996</v>
      </c>
      <c r="ED107">
        <v>12.039899999999999</v>
      </c>
      <c r="EE107">
        <v>5.0168499999999998</v>
      </c>
      <c r="EF107">
        <v>3.2879999999999998</v>
      </c>
      <c r="EG107">
        <v>9999</v>
      </c>
      <c r="EH107">
        <v>9999</v>
      </c>
      <c r="EI107">
        <v>9999</v>
      </c>
      <c r="EJ107">
        <v>999.9</v>
      </c>
      <c r="EK107">
        <v>1.8689100000000001</v>
      </c>
      <c r="EL107">
        <v>1.8646499999999999</v>
      </c>
      <c r="EM107">
        <v>1.8691899999999999</v>
      </c>
      <c r="EN107">
        <v>1.8672299999999999</v>
      </c>
      <c r="EO107">
        <v>1.8633999999999999</v>
      </c>
      <c r="EP107">
        <v>1.8645400000000001</v>
      </c>
      <c r="EQ107">
        <v>1.8701700000000001</v>
      </c>
      <c r="ER107">
        <v>1.86941</v>
      </c>
      <c r="ES107">
        <v>0</v>
      </c>
      <c r="ET107">
        <v>0</v>
      </c>
      <c r="EU107">
        <v>0</v>
      </c>
      <c r="EV107">
        <v>0</v>
      </c>
      <c r="EW107" t="s">
        <v>334</v>
      </c>
      <c r="EX107" t="s">
        <v>335</v>
      </c>
      <c r="EY107" t="s">
        <v>336</v>
      </c>
      <c r="EZ107" t="s">
        <v>336</v>
      </c>
      <c r="FA107" t="s">
        <v>336</v>
      </c>
      <c r="FB107" t="s">
        <v>336</v>
      </c>
      <c r="FC107">
        <v>0</v>
      </c>
      <c r="FD107">
        <v>100</v>
      </c>
      <c r="FE107">
        <v>100</v>
      </c>
      <c r="FF107">
        <v>-0.30399999999999999</v>
      </c>
      <c r="FG107">
        <v>0.19159999999999999</v>
      </c>
      <c r="FH107">
        <v>4.0020685143421282E-2</v>
      </c>
      <c r="FI107">
        <v>-6.1462078757559423E-4</v>
      </c>
      <c r="FJ107">
        <v>-1.8861989874597051E-7</v>
      </c>
      <c r="FK107">
        <v>1.1980462299894961E-10</v>
      </c>
      <c r="FL107">
        <v>0.19160597004026461</v>
      </c>
      <c r="FM107">
        <v>0</v>
      </c>
      <c r="FN107">
        <v>0</v>
      </c>
      <c r="FO107">
        <v>0</v>
      </c>
      <c r="FP107">
        <v>3</v>
      </c>
      <c r="FQ107">
        <v>2158</v>
      </c>
      <c r="FR107">
        <v>1</v>
      </c>
      <c r="FS107">
        <v>19</v>
      </c>
      <c r="FT107">
        <v>23.3</v>
      </c>
      <c r="FU107">
        <v>23.2</v>
      </c>
      <c r="FV107">
        <v>1.77979</v>
      </c>
      <c r="FW107">
        <v>2.5854499999999998</v>
      </c>
      <c r="FX107">
        <v>1.5490699999999999</v>
      </c>
      <c r="FY107">
        <v>2.3290999999999999</v>
      </c>
      <c r="FZ107">
        <v>1.50146</v>
      </c>
      <c r="GA107">
        <v>2.3083499999999999</v>
      </c>
      <c r="GB107">
        <v>33.828299999999999</v>
      </c>
      <c r="GC107">
        <v>23.982399999999998</v>
      </c>
      <c r="GD107">
        <v>19</v>
      </c>
      <c r="GE107">
        <v>245.42</v>
      </c>
      <c r="GF107">
        <v>582.44100000000003</v>
      </c>
      <c r="GG107">
        <v>25.3338</v>
      </c>
      <c r="GH107">
        <v>26.4208</v>
      </c>
      <c r="GI107">
        <v>30.0002</v>
      </c>
      <c r="GJ107">
        <v>26.563800000000001</v>
      </c>
      <c r="GK107">
        <v>26.536300000000001</v>
      </c>
      <c r="GL107">
        <v>35.580300000000001</v>
      </c>
      <c r="GM107">
        <v>-30</v>
      </c>
      <c r="GN107">
        <v>-30</v>
      </c>
      <c r="GO107">
        <v>25.328499999999998</v>
      </c>
      <c r="GP107">
        <v>800</v>
      </c>
      <c r="GQ107">
        <v>12.5298</v>
      </c>
      <c r="GR107">
        <v>99.663899999999998</v>
      </c>
      <c r="GS107">
        <v>99.449799999999996</v>
      </c>
    </row>
    <row r="108" spans="1:201" x14ac:dyDescent="0.25">
      <c r="A108">
        <v>92</v>
      </c>
      <c r="B108">
        <v>1690213325.5999999</v>
      </c>
      <c r="C108">
        <v>1058.099999904633</v>
      </c>
      <c r="D108" t="s">
        <v>515</v>
      </c>
      <c r="E108" t="s">
        <v>516</v>
      </c>
      <c r="F108" t="s">
        <v>330</v>
      </c>
      <c r="H108">
        <v>1690213325.5999999</v>
      </c>
      <c r="I108">
        <f t="shared" si="30"/>
        <v>1.6104837456956504E-3</v>
      </c>
      <c r="J108">
        <f t="shared" si="31"/>
        <v>1.6104837456956504</v>
      </c>
      <c r="K108">
        <f t="shared" si="32"/>
        <v>25.05930284530627</v>
      </c>
      <c r="L108">
        <f t="shared" si="33"/>
        <v>502.74900000000002</v>
      </c>
      <c r="M108">
        <f t="shared" si="34"/>
        <v>91.995253471657975</v>
      </c>
      <c r="N108">
        <f t="shared" si="35"/>
        <v>9.1255698753250893</v>
      </c>
      <c r="O108">
        <f t="shared" si="36"/>
        <v>49.8707374143303</v>
      </c>
      <c r="P108">
        <f t="shared" si="37"/>
        <v>0.10187182056895994</v>
      </c>
      <c r="Q108">
        <f t="shared" si="38"/>
        <v>2.010381427933849</v>
      </c>
      <c r="R108">
        <f t="shared" si="39"/>
        <v>9.9088465559659361E-2</v>
      </c>
      <c r="S108">
        <f t="shared" si="40"/>
        <v>6.2174030152333942E-2</v>
      </c>
      <c r="T108">
        <f t="shared" si="41"/>
        <v>276.11313417762142</v>
      </c>
      <c r="U108">
        <f t="shared" si="42"/>
        <v>28.68816051831288</v>
      </c>
      <c r="V108">
        <f t="shared" si="43"/>
        <v>28.68816051831288</v>
      </c>
      <c r="W108">
        <f t="shared" si="44"/>
        <v>3.9497693355290608</v>
      </c>
      <c r="X108">
        <f t="shared" si="45"/>
        <v>66.830076772379087</v>
      </c>
      <c r="Y108">
        <f t="shared" si="46"/>
        <v>2.3890486643642697</v>
      </c>
      <c r="Z108">
        <f t="shared" si="47"/>
        <v>3.5748105938906614</v>
      </c>
      <c r="AA108">
        <f t="shared" si="48"/>
        <v>1.5607206711647912</v>
      </c>
      <c r="AB108">
        <f t="shared" si="49"/>
        <v>-71.022333185178184</v>
      </c>
      <c r="AC108">
        <f t="shared" si="50"/>
        <v>-185.21259763555676</v>
      </c>
      <c r="AD108">
        <f t="shared" si="51"/>
        <v>-20.048706451560548</v>
      </c>
      <c r="AE108">
        <f t="shared" si="52"/>
        <v>-0.17050309467404645</v>
      </c>
      <c r="AF108">
        <v>35</v>
      </c>
      <c r="AG108">
        <v>12</v>
      </c>
      <c r="AH108">
        <f t="shared" si="53"/>
        <v>1</v>
      </c>
      <c r="AI108">
        <f t="shared" si="54"/>
        <v>0</v>
      </c>
      <c r="AJ108">
        <f t="shared" si="55"/>
        <v>52324.304889551466</v>
      </c>
      <c r="AK108">
        <f t="shared" si="56"/>
        <v>1799.99</v>
      </c>
      <c r="AL108">
        <f t="shared" si="57"/>
        <v>1499.1021344085398</v>
      </c>
      <c r="AM108">
        <f t="shared" si="58"/>
        <v>0.83283914599999986</v>
      </c>
      <c r="AN108">
        <f t="shared" si="59"/>
        <v>0.15339703786</v>
      </c>
      <c r="AO108">
        <v>34.5</v>
      </c>
      <c r="AP108">
        <v>0.5</v>
      </c>
      <c r="AQ108" t="s">
        <v>331</v>
      </c>
      <c r="AR108">
        <v>2</v>
      </c>
      <c r="AS108">
        <v>1690213325.5999999</v>
      </c>
      <c r="AT108">
        <v>502.74900000000002</v>
      </c>
      <c r="AU108">
        <v>800.04200000000003</v>
      </c>
      <c r="AV108">
        <v>24.084099999999999</v>
      </c>
      <c r="AW108">
        <v>6.0217499999999999</v>
      </c>
      <c r="AX108">
        <v>503.05</v>
      </c>
      <c r="AY108">
        <v>23.892499999999998</v>
      </c>
      <c r="AZ108">
        <v>300.202</v>
      </c>
      <c r="BA108">
        <v>99.096100000000007</v>
      </c>
      <c r="BB108">
        <v>9.9994700000000006E-2</v>
      </c>
      <c r="BC108">
        <v>26.979299999999999</v>
      </c>
      <c r="BD108">
        <v>26.998899999999999</v>
      </c>
      <c r="BE108">
        <v>28.764199999999999</v>
      </c>
      <c r="BF108">
        <v>0</v>
      </c>
      <c r="BG108">
        <v>0</v>
      </c>
      <c r="BH108">
        <v>9984.3799999999992</v>
      </c>
      <c r="BI108">
        <v>1076.3800000000001</v>
      </c>
      <c r="BJ108">
        <v>2.0744500000000001</v>
      </c>
      <c r="BK108">
        <v>-297.29399999999998</v>
      </c>
      <c r="BL108">
        <v>515.15599999999995</v>
      </c>
      <c r="BM108">
        <v>804.88900000000001</v>
      </c>
      <c r="BN108">
        <v>18.0624</v>
      </c>
      <c r="BO108">
        <v>800.04200000000003</v>
      </c>
      <c r="BP108">
        <v>6.0217499999999999</v>
      </c>
      <c r="BQ108">
        <v>2.3866399999999999</v>
      </c>
      <c r="BR108">
        <v>0.59673200000000004</v>
      </c>
      <c r="BS108">
        <v>20.273399999999999</v>
      </c>
      <c r="BT108">
        <v>-0.38428699999999999</v>
      </c>
      <c r="BU108">
        <v>1799.99</v>
      </c>
      <c r="BV108">
        <v>0.90999600000000003</v>
      </c>
      <c r="BW108">
        <v>3.3995900000000003E-2</v>
      </c>
      <c r="BX108">
        <v>2.1994799999999998E-2</v>
      </c>
      <c r="BY108">
        <v>3.40132E-2</v>
      </c>
      <c r="BZ108">
        <v>26</v>
      </c>
      <c r="CA108">
        <v>33528.300000000003</v>
      </c>
      <c r="CB108">
        <v>1690211922</v>
      </c>
      <c r="CC108" t="s">
        <v>332</v>
      </c>
      <c r="CD108">
        <v>1690211915</v>
      </c>
      <c r="CE108">
        <v>1690211922</v>
      </c>
      <c r="CF108">
        <v>6</v>
      </c>
      <c r="CG108">
        <v>1.0999999999999999E-2</v>
      </c>
      <c r="CH108">
        <v>8.0000000000000002E-3</v>
      </c>
      <c r="CI108">
        <v>-0.51100000000000001</v>
      </c>
      <c r="CJ108">
        <v>-6.6000000000000003E-2</v>
      </c>
      <c r="CK108">
        <v>800</v>
      </c>
      <c r="CL108">
        <v>6</v>
      </c>
      <c r="CM108">
        <v>0.21</v>
      </c>
      <c r="CN108">
        <v>0.02</v>
      </c>
      <c r="CO108">
        <v>-293.36443902439021</v>
      </c>
      <c r="CP108">
        <v>-21.439212543553982</v>
      </c>
      <c r="CQ108">
        <v>2.1144664673160269</v>
      </c>
      <c r="CR108">
        <v>-1</v>
      </c>
      <c r="CS108">
        <v>17.89700975609756</v>
      </c>
      <c r="CT108">
        <v>0.903397212543539</v>
      </c>
      <c r="CU108">
        <v>8.9098615698857589E-2</v>
      </c>
      <c r="CV108">
        <v>-1</v>
      </c>
      <c r="CW108">
        <v>0</v>
      </c>
      <c r="CX108">
        <v>0</v>
      </c>
      <c r="CY108" t="s">
        <v>333</v>
      </c>
      <c r="CZ108">
        <v>2.3643900000000002</v>
      </c>
      <c r="DA108">
        <v>2.7137699999999998</v>
      </c>
      <c r="DB108">
        <v>0.106145</v>
      </c>
      <c r="DC108">
        <v>0.14605499999999999</v>
      </c>
      <c r="DD108">
        <v>0.114137</v>
      </c>
      <c r="DE108">
        <v>3.9554400000000003E-2</v>
      </c>
      <c r="DF108">
        <v>32615.200000000001</v>
      </c>
      <c r="DG108">
        <v>27489.7</v>
      </c>
      <c r="DH108">
        <v>31150.7</v>
      </c>
      <c r="DI108">
        <v>28051.200000000001</v>
      </c>
      <c r="DJ108">
        <v>37457.9</v>
      </c>
      <c r="DK108">
        <v>38307.199999999997</v>
      </c>
      <c r="DL108">
        <v>44327.1</v>
      </c>
      <c r="DM108">
        <v>42509.1</v>
      </c>
      <c r="DN108">
        <v>1.3819699999999999</v>
      </c>
      <c r="DO108">
        <v>2.03268</v>
      </c>
      <c r="DP108">
        <v>8.0600400000000003E-2</v>
      </c>
      <c r="DQ108">
        <v>0.196073</v>
      </c>
      <c r="DR108">
        <v>25.679400000000001</v>
      </c>
      <c r="DS108">
        <v>25.558399999999999</v>
      </c>
      <c r="DT108">
        <v>17.899999999999999</v>
      </c>
      <c r="DU108">
        <v>29.7</v>
      </c>
      <c r="DV108">
        <v>7.5641800000000003</v>
      </c>
      <c r="DW108">
        <v>61.861199999999997</v>
      </c>
      <c r="DX108">
        <v>35.945500000000003</v>
      </c>
      <c r="DY108">
        <v>1</v>
      </c>
      <c r="DZ108">
        <v>-7.6737799999999995E-2</v>
      </c>
      <c r="EA108">
        <v>-0.153227</v>
      </c>
      <c r="EB108">
        <v>20.189699999999998</v>
      </c>
      <c r="EC108">
        <v>5.2403500000000003</v>
      </c>
      <c r="ED108">
        <v>12.039899999999999</v>
      </c>
      <c r="EE108">
        <v>5.0164999999999997</v>
      </c>
      <c r="EF108">
        <v>3.2879999999999998</v>
      </c>
      <c r="EG108">
        <v>9999</v>
      </c>
      <c r="EH108">
        <v>9999</v>
      </c>
      <c r="EI108">
        <v>9999</v>
      </c>
      <c r="EJ108">
        <v>999.9</v>
      </c>
      <c r="EK108">
        <v>1.8689100000000001</v>
      </c>
      <c r="EL108">
        <v>1.8646799999999999</v>
      </c>
      <c r="EM108">
        <v>1.8692</v>
      </c>
      <c r="EN108">
        <v>1.8672299999999999</v>
      </c>
      <c r="EO108">
        <v>1.8633999999999999</v>
      </c>
      <c r="EP108">
        <v>1.86456</v>
      </c>
      <c r="EQ108">
        <v>1.8701700000000001</v>
      </c>
      <c r="ER108">
        <v>1.8694299999999999</v>
      </c>
      <c r="ES108">
        <v>0</v>
      </c>
      <c r="ET108">
        <v>0</v>
      </c>
      <c r="EU108">
        <v>0</v>
      </c>
      <c r="EV108">
        <v>0</v>
      </c>
      <c r="EW108" t="s">
        <v>334</v>
      </c>
      <c r="EX108" t="s">
        <v>335</v>
      </c>
      <c r="EY108" t="s">
        <v>336</v>
      </c>
      <c r="EZ108" t="s">
        <v>336</v>
      </c>
      <c r="FA108" t="s">
        <v>336</v>
      </c>
      <c r="FB108" t="s">
        <v>336</v>
      </c>
      <c r="FC108">
        <v>0</v>
      </c>
      <c r="FD108">
        <v>100</v>
      </c>
      <c r="FE108">
        <v>100</v>
      </c>
      <c r="FF108">
        <v>-0.30099999999999999</v>
      </c>
      <c r="FG108">
        <v>0.19159999999999999</v>
      </c>
      <c r="FH108">
        <v>4.0020685143421282E-2</v>
      </c>
      <c r="FI108">
        <v>-6.1462078757559423E-4</v>
      </c>
      <c r="FJ108">
        <v>-1.8861989874597051E-7</v>
      </c>
      <c r="FK108">
        <v>1.1980462299894961E-10</v>
      </c>
      <c r="FL108">
        <v>0.19160597004026461</v>
      </c>
      <c r="FM108">
        <v>0</v>
      </c>
      <c r="FN108">
        <v>0</v>
      </c>
      <c r="FO108">
        <v>0</v>
      </c>
      <c r="FP108">
        <v>3</v>
      </c>
      <c r="FQ108">
        <v>2158</v>
      </c>
      <c r="FR108">
        <v>1</v>
      </c>
      <c r="FS108">
        <v>19</v>
      </c>
      <c r="FT108">
        <v>23.5</v>
      </c>
      <c r="FU108">
        <v>23.4</v>
      </c>
      <c r="FV108">
        <v>1.77979</v>
      </c>
      <c r="FW108">
        <v>2.5842299999999998</v>
      </c>
      <c r="FX108">
        <v>1.5490699999999999</v>
      </c>
      <c r="FY108">
        <v>2.3290999999999999</v>
      </c>
      <c r="FZ108">
        <v>1.50146</v>
      </c>
      <c r="GA108">
        <v>2.2888199999999999</v>
      </c>
      <c r="GB108">
        <v>33.850900000000003</v>
      </c>
      <c r="GC108">
        <v>23.982399999999998</v>
      </c>
      <c r="GD108">
        <v>19</v>
      </c>
      <c r="GE108">
        <v>245.505</v>
      </c>
      <c r="GF108">
        <v>582.33199999999999</v>
      </c>
      <c r="GG108">
        <v>25.329599999999999</v>
      </c>
      <c r="GH108">
        <v>26.419899999999998</v>
      </c>
      <c r="GI108">
        <v>30</v>
      </c>
      <c r="GJ108">
        <v>26.563600000000001</v>
      </c>
      <c r="GK108">
        <v>26.535699999999999</v>
      </c>
      <c r="GL108">
        <v>35.5779</v>
      </c>
      <c r="GM108">
        <v>-30</v>
      </c>
      <c r="GN108">
        <v>-30</v>
      </c>
      <c r="GO108">
        <v>25.330200000000001</v>
      </c>
      <c r="GP108">
        <v>800</v>
      </c>
      <c r="GQ108">
        <v>12.5298</v>
      </c>
      <c r="GR108">
        <v>99.664599999999993</v>
      </c>
      <c r="GS108">
        <v>99.45</v>
      </c>
    </row>
    <row r="109" spans="1:201" x14ac:dyDescent="0.25">
      <c r="A109">
        <v>93</v>
      </c>
      <c r="B109">
        <v>1690213335.5999999</v>
      </c>
      <c r="C109">
        <v>1068.099999904633</v>
      </c>
      <c r="D109" t="s">
        <v>517</v>
      </c>
      <c r="E109" t="s">
        <v>518</v>
      </c>
      <c r="F109" t="s">
        <v>330</v>
      </c>
      <c r="H109">
        <v>1690213335.5999999</v>
      </c>
      <c r="I109">
        <f t="shared" si="30"/>
        <v>1.622898536697971E-3</v>
      </c>
      <c r="J109">
        <f t="shared" si="31"/>
        <v>1.6228985366979709</v>
      </c>
      <c r="K109">
        <f t="shared" si="32"/>
        <v>25.365006361495805</v>
      </c>
      <c r="L109">
        <f t="shared" si="33"/>
        <v>499.267</v>
      </c>
      <c r="M109">
        <f t="shared" si="34"/>
        <v>90.074994000237254</v>
      </c>
      <c r="N109">
        <f t="shared" si="35"/>
        <v>8.9351508045427597</v>
      </c>
      <c r="O109">
        <f t="shared" si="36"/>
        <v>49.525686748532003</v>
      </c>
      <c r="P109">
        <f t="shared" si="37"/>
        <v>0.10351869088086338</v>
      </c>
      <c r="Q109">
        <f t="shared" si="38"/>
        <v>2.012422438900793</v>
      </c>
      <c r="R109">
        <f t="shared" si="39"/>
        <v>0.10064880933447318</v>
      </c>
      <c r="S109">
        <f t="shared" si="40"/>
        <v>6.3156726212656306E-2</v>
      </c>
      <c r="T109">
        <f t="shared" si="41"/>
        <v>276.11484733610376</v>
      </c>
      <c r="U109">
        <f t="shared" si="42"/>
        <v>28.692235007103228</v>
      </c>
      <c r="V109">
        <f t="shared" si="43"/>
        <v>28.692235007103228</v>
      </c>
      <c r="W109">
        <f t="shared" si="44"/>
        <v>3.9507028329812246</v>
      </c>
      <c r="X109">
        <f t="shared" si="45"/>
        <v>67.164350446306116</v>
      </c>
      <c r="Y109">
        <f t="shared" si="46"/>
        <v>2.4024372826444007</v>
      </c>
      <c r="Z109">
        <f t="shared" si="47"/>
        <v>3.5769530512544834</v>
      </c>
      <c r="AA109">
        <f t="shared" si="48"/>
        <v>1.5482655503368239</v>
      </c>
      <c r="AB109">
        <f t="shared" si="49"/>
        <v>-71.569825468380515</v>
      </c>
      <c r="AC109">
        <f t="shared" si="50"/>
        <v>-184.73605258505759</v>
      </c>
      <c r="AD109">
        <f t="shared" si="51"/>
        <v>-19.978261399403156</v>
      </c>
      <c r="AE109">
        <f t="shared" si="52"/>
        <v>-0.16929211673749478</v>
      </c>
      <c r="AF109">
        <v>35</v>
      </c>
      <c r="AG109">
        <v>12</v>
      </c>
      <c r="AH109">
        <f t="shared" si="53"/>
        <v>1</v>
      </c>
      <c r="AI109">
        <f t="shared" si="54"/>
        <v>0</v>
      </c>
      <c r="AJ109">
        <f t="shared" si="55"/>
        <v>52420.516444460489</v>
      </c>
      <c r="AK109">
        <f t="shared" si="56"/>
        <v>1799.99</v>
      </c>
      <c r="AL109">
        <f t="shared" si="57"/>
        <v>1499.1036662000297</v>
      </c>
      <c r="AM109">
        <f t="shared" si="58"/>
        <v>0.83283999699999989</v>
      </c>
      <c r="AN109">
        <f t="shared" si="59"/>
        <v>0.15339798961999998</v>
      </c>
      <c r="AO109">
        <v>34.5</v>
      </c>
      <c r="AP109">
        <v>0.5</v>
      </c>
      <c r="AQ109" t="s">
        <v>331</v>
      </c>
      <c r="AR109">
        <v>2</v>
      </c>
      <c r="AS109">
        <v>1690213335.5999999</v>
      </c>
      <c r="AT109">
        <v>499.267</v>
      </c>
      <c r="AU109">
        <v>800.07399999999996</v>
      </c>
      <c r="AV109">
        <v>24.218900000000001</v>
      </c>
      <c r="AW109">
        <v>6.0201900000000004</v>
      </c>
      <c r="AX109">
        <v>499.56700000000001</v>
      </c>
      <c r="AY109">
        <v>24.0273</v>
      </c>
      <c r="AZ109">
        <v>300.20800000000003</v>
      </c>
      <c r="BA109">
        <v>99.096800000000002</v>
      </c>
      <c r="BB109">
        <v>9.9996000000000002E-2</v>
      </c>
      <c r="BC109">
        <v>26.9895</v>
      </c>
      <c r="BD109">
        <v>26.989000000000001</v>
      </c>
      <c r="BE109">
        <v>28.751899999999999</v>
      </c>
      <c r="BF109">
        <v>0</v>
      </c>
      <c r="BG109">
        <v>0</v>
      </c>
      <c r="BH109">
        <v>10003.799999999999</v>
      </c>
      <c r="BI109">
        <v>1076.47</v>
      </c>
      <c r="BJ109">
        <v>2.0744500000000001</v>
      </c>
      <c r="BK109">
        <v>-300.80599999999998</v>
      </c>
      <c r="BL109">
        <v>511.65899999999999</v>
      </c>
      <c r="BM109">
        <v>804.91899999999998</v>
      </c>
      <c r="BN109">
        <v>18.198699999999999</v>
      </c>
      <c r="BO109">
        <v>800.07399999999996</v>
      </c>
      <c r="BP109">
        <v>6.0201900000000004</v>
      </c>
      <c r="BQ109">
        <v>2.40001</v>
      </c>
      <c r="BR109">
        <v>0.59658100000000003</v>
      </c>
      <c r="BS109">
        <v>20.363900000000001</v>
      </c>
      <c r="BT109">
        <v>-0.38776300000000002</v>
      </c>
      <c r="BU109">
        <v>1799.99</v>
      </c>
      <c r="BV109">
        <v>0.90998599999999996</v>
      </c>
      <c r="BW109">
        <v>3.3994900000000002E-2</v>
      </c>
      <c r="BX109">
        <v>2.2007100000000002E-2</v>
      </c>
      <c r="BY109">
        <v>3.4012199999999999E-2</v>
      </c>
      <c r="BZ109">
        <v>26</v>
      </c>
      <c r="CA109">
        <v>33528.199999999997</v>
      </c>
      <c r="CB109">
        <v>1690211922</v>
      </c>
      <c r="CC109" t="s">
        <v>332</v>
      </c>
      <c r="CD109">
        <v>1690211915</v>
      </c>
      <c r="CE109">
        <v>1690211922</v>
      </c>
      <c r="CF109">
        <v>6</v>
      </c>
      <c r="CG109">
        <v>1.0999999999999999E-2</v>
      </c>
      <c r="CH109">
        <v>8.0000000000000002E-3</v>
      </c>
      <c r="CI109">
        <v>-0.51100000000000001</v>
      </c>
      <c r="CJ109">
        <v>-6.6000000000000003E-2</v>
      </c>
      <c r="CK109">
        <v>800</v>
      </c>
      <c r="CL109">
        <v>6</v>
      </c>
      <c r="CM109">
        <v>0.21</v>
      </c>
      <c r="CN109">
        <v>0.02</v>
      </c>
      <c r="CO109">
        <v>-296.87636585365851</v>
      </c>
      <c r="CP109">
        <v>-20.85188153310089</v>
      </c>
      <c r="CQ109">
        <v>2.0572574184246588</v>
      </c>
      <c r="CR109">
        <v>-1</v>
      </c>
      <c r="CS109">
        <v>18.044348780487802</v>
      </c>
      <c r="CT109">
        <v>0.86587108013938308</v>
      </c>
      <c r="CU109">
        <v>8.543788535895748E-2</v>
      </c>
      <c r="CV109">
        <v>-1</v>
      </c>
      <c r="CW109">
        <v>0</v>
      </c>
      <c r="CX109">
        <v>0</v>
      </c>
      <c r="CY109" t="s">
        <v>333</v>
      </c>
      <c r="CZ109">
        <v>2.3644400000000001</v>
      </c>
      <c r="DA109">
        <v>2.7137899999999999</v>
      </c>
      <c r="DB109">
        <v>0.10561</v>
      </c>
      <c r="DC109">
        <v>0.14606</v>
      </c>
      <c r="DD109">
        <v>0.114588</v>
      </c>
      <c r="DE109">
        <v>3.9546499999999998E-2</v>
      </c>
      <c r="DF109">
        <v>32634.9</v>
      </c>
      <c r="DG109">
        <v>27488.799999999999</v>
      </c>
      <c r="DH109">
        <v>31150.9</v>
      </c>
      <c r="DI109">
        <v>28050.400000000001</v>
      </c>
      <c r="DJ109">
        <v>37438.800000000003</v>
      </c>
      <c r="DK109">
        <v>38306.5</v>
      </c>
      <c r="DL109">
        <v>44327.5</v>
      </c>
      <c r="DM109">
        <v>42508</v>
      </c>
      <c r="DN109">
        <v>1.3821300000000001</v>
      </c>
      <c r="DO109">
        <v>2.0327500000000001</v>
      </c>
      <c r="DP109">
        <v>7.9858999999999999E-2</v>
      </c>
      <c r="DQ109">
        <v>0.19532099999999999</v>
      </c>
      <c r="DR109">
        <v>25.6815</v>
      </c>
      <c r="DS109">
        <v>25.558399999999999</v>
      </c>
      <c r="DT109">
        <v>17.899999999999999</v>
      </c>
      <c r="DU109">
        <v>29.7</v>
      </c>
      <c r="DV109">
        <v>7.5635599999999998</v>
      </c>
      <c r="DW109">
        <v>61.581200000000003</v>
      </c>
      <c r="DX109">
        <v>35.997599999999998</v>
      </c>
      <c r="DY109">
        <v>1</v>
      </c>
      <c r="DZ109">
        <v>-7.6719999999999997E-2</v>
      </c>
      <c r="EA109">
        <v>-0.155136</v>
      </c>
      <c r="EB109">
        <v>20.189499999999999</v>
      </c>
      <c r="EC109">
        <v>5.2408000000000001</v>
      </c>
      <c r="ED109">
        <v>12.039899999999999</v>
      </c>
      <c r="EE109">
        <v>5.0166000000000004</v>
      </c>
      <c r="EF109">
        <v>3.2879999999999998</v>
      </c>
      <c r="EG109">
        <v>9999</v>
      </c>
      <c r="EH109">
        <v>9999</v>
      </c>
      <c r="EI109">
        <v>9999</v>
      </c>
      <c r="EJ109">
        <v>999.9</v>
      </c>
      <c r="EK109">
        <v>1.8689100000000001</v>
      </c>
      <c r="EL109">
        <v>1.86466</v>
      </c>
      <c r="EM109">
        <v>1.8692</v>
      </c>
      <c r="EN109">
        <v>1.8672299999999999</v>
      </c>
      <c r="EO109">
        <v>1.86341</v>
      </c>
      <c r="EP109">
        <v>1.8645700000000001</v>
      </c>
      <c r="EQ109">
        <v>1.87015</v>
      </c>
      <c r="ER109">
        <v>1.86941</v>
      </c>
      <c r="ES109">
        <v>0</v>
      </c>
      <c r="ET109">
        <v>0</v>
      </c>
      <c r="EU109">
        <v>0</v>
      </c>
      <c r="EV109">
        <v>0</v>
      </c>
      <c r="EW109" t="s">
        <v>334</v>
      </c>
      <c r="EX109" t="s">
        <v>335</v>
      </c>
      <c r="EY109" t="s">
        <v>336</v>
      </c>
      <c r="EZ109" t="s">
        <v>336</v>
      </c>
      <c r="FA109" t="s">
        <v>336</v>
      </c>
      <c r="FB109" t="s">
        <v>336</v>
      </c>
      <c r="FC109">
        <v>0</v>
      </c>
      <c r="FD109">
        <v>100</v>
      </c>
      <c r="FE109">
        <v>100</v>
      </c>
      <c r="FF109">
        <v>-0.3</v>
      </c>
      <c r="FG109">
        <v>0.19159999999999999</v>
      </c>
      <c r="FH109">
        <v>4.0020685143421282E-2</v>
      </c>
      <c r="FI109">
        <v>-6.1462078757559423E-4</v>
      </c>
      <c r="FJ109">
        <v>-1.8861989874597051E-7</v>
      </c>
      <c r="FK109">
        <v>1.1980462299894961E-10</v>
      </c>
      <c r="FL109">
        <v>0.19160597004026461</v>
      </c>
      <c r="FM109">
        <v>0</v>
      </c>
      <c r="FN109">
        <v>0</v>
      </c>
      <c r="FO109">
        <v>0</v>
      </c>
      <c r="FP109">
        <v>3</v>
      </c>
      <c r="FQ109">
        <v>2158</v>
      </c>
      <c r="FR109">
        <v>1</v>
      </c>
      <c r="FS109">
        <v>19</v>
      </c>
      <c r="FT109">
        <v>23.7</v>
      </c>
      <c r="FU109">
        <v>23.6</v>
      </c>
      <c r="FV109">
        <v>1.77979</v>
      </c>
      <c r="FW109">
        <v>2.5720200000000002</v>
      </c>
      <c r="FX109">
        <v>1.5490699999999999</v>
      </c>
      <c r="FY109">
        <v>2.3290999999999999</v>
      </c>
      <c r="FZ109">
        <v>1.50146</v>
      </c>
      <c r="GA109">
        <v>2.3034699999999999</v>
      </c>
      <c r="GB109">
        <v>33.850900000000003</v>
      </c>
      <c r="GC109">
        <v>23.982399999999998</v>
      </c>
      <c r="GD109">
        <v>19</v>
      </c>
      <c r="GE109">
        <v>245.55600000000001</v>
      </c>
      <c r="GF109">
        <v>582.36900000000003</v>
      </c>
      <c r="GG109">
        <v>25.330500000000001</v>
      </c>
      <c r="GH109">
        <v>26.4176</v>
      </c>
      <c r="GI109">
        <v>30.0001</v>
      </c>
      <c r="GJ109">
        <v>26.561599999999999</v>
      </c>
      <c r="GK109">
        <v>26.5335</v>
      </c>
      <c r="GL109">
        <v>35.578299999999999</v>
      </c>
      <c r="GM109">
        <v>-30</v>
      </c>
      <c r="GN109">
        <v>-30</v>
      </c>
      <c r="GO109">
        <v>25.330100000000002</v>
      </c>
      <c r="GP109">
        <v>800</v>
      </c>
      <c r="GQ109">
        <v>12.5298</v>
      </c>
      <c r="GR109">
        <v>99.665400000000005</v>
      </c>
      <c r="GS109">
        <v>99.447199999999995</v>
      </c>
    </row>
    <row r="110" spans="1:201" x14ac:dyDescent="0.25">
      <c r="A110">
        <v>94</v>
      </c>
      <c r="B110">
        <v>1690213345.5999999</v>
      </c>
      <c r="C110">
        <v>1078.099999904633</v>
      </c>
      <c r="D110" t="s">
        <v>519</v>
      </c>
      <c r="E110" t="s">
        <v>520</v>
      </c>
      <c r="F110" t="s">
        <v>330</v>
      </c>
      <c r="H110">
        <v>1690213345.5999999</v>
      </c>
      <c r="I110">
        <f t="shared" si="30"/>
        <v>1.6356792798484117E-3</v>
      </c>
      <c r="J110">
        <f t="shared" si="31"/>
        <v>1.6356792798484117</v>
      </c>
      <c r="K110">
        <f t="shared" si="32"/>
        <v>25.655875578783551</v>
      </c>
      <c r="L110">
        <f t="shared" si="33"/>
        <v>495.78100000000001</v>
      </c>
      <c r="M110">
        <f t="shared" si="34"/>
        <v>89.609139939576906</v>
      </c>
      <c r="N110">
        <f t="shared" si="35"/>
        <v>8.8888615247607756</v>
      </c>
      <c r="O110">
        <f t="shared" si="36"/>
        <v>49.179454892425007</v>
      </c>
      <c r="P110">
        <f t="shared" si="37"/>
        <v>0.10551544308893775</v>
      </c>
      <c r="Q110">
        <f t="shared" si="38"/>
        <v>2.010313275864732</v>
      </c>
      <c r="R110">
        <f t="shared" si="39"/>
        <v>0.10253246515601468</v>
      </c>
      <c r="S110">
        <f t="shared" si="40"/>
        <v>6.4343775160000172E-2</v>
      </c>
      <c r="T110">
        <f t="shared" si="41"/>
        <v>276.11511733460378</v>
      </c>
      <c r="U110">
        <f t="shared" si="42"/>
        <v>28.680867830856528</v>
      </c>
      <c r="V110">
        <f t="shared" si="43"/>
        <v>28.680867830856528</v>
      </c>
      <c r="W110">
        <f t="shared" si="44"/>
        <v>3.9480990037035526</v>
      </c>
      <c r="X110">
        <f t="shared" si="45"/>
        <v>67.588002027689669</v>
      </c>
      <c r="Y110">
        <f t="shared" si="46"/>
        <v>2.416412733</v>
      </c>
      <c r="Z110">
        <f t="shared" si="47"/>
        <v>3.575209594167374</v>
      </c>
      <c r="AA110">
        <f t="shared" si="48"/>
        <v>1.5316862707035526</v>
      </c>
      <c r="AB110">
        <f t="shared" si="49"/>
        <v>-72.13345624131496</v>
      </c>
      <c r="AC110">
        <f t="shared" si="50"/>
        <v>-184.21001536344477</v>
      </c>
      <c r="AD110">
        <f t="shared" si="51"/>
        <v>-19.940318031241684</v>
      </c>
      <c r="AE110">
        <f t="shared" si="52"/>
        <v>-0.16867230139763478</v>
      </c>
      <c r="AF110">
        <v>35</v>
      </c>
      <c r="AG110">
        <v>12</v>
      </c>
      <c r="AH110">
        <f t="shared" si="53"/>
        <v>1</v>
      </c>
      <c r="AI110">
        <f t="shared" si="54"/>
        <v>0</v>
      </c>
      <c r="AJ110">
        <f t="shared" si="55"/>
        <v>52320.699990055109</v>
      </c>
      <c r="AK110">
        <f t="shared" si="56"/>
        <v>1799.99</v>
      </c>
      <c r="AL110">
        <f t="shared" si="57"/>
        <v>1499.1043141964299</v>
      </c>
      <c r="AM110">
        <f t="shared" si="58"/>
        <v>0.83284035699999992</v>
      </c>
      <c r="AN110">
        <f t="shared" si="59"/>
        <v>0.15339813961999998</v>
      </c>
      <c r="AO110">
        <v>34.5</v>
      </c>
      <c r="AP110">
        <v>0.5</v>
      </c>
      <c r="AQ110" t="s">
        <v>331</v>
      </c>
      <c r="AR110">
        <v>2</v>
      </c>
      <c r="AS110">
        <v>1690213345.5999999</v>
      </c>
      <c r="AT110">
        <v>495.78100000000001</v>
      </c>
      <c r="AU110">
        <v>799.97799999999995</v>
      </c>
      <c r="AV110">
        <v>24.36</v>
      </c>
      <c r="AW110">
        <v>6.0182399999999996</v>
      </c>
      <c r="AX110">
        <v>496.077</v>
      </c>
      <c r="AY110">
        <v>24.168399999999998</v>
      </c>
      <c r="AZ110">
        <v>300.16899999999998</v>
      </c>
      <c r="BA110">
        <v>99.0959</v>
      </c>
      <c r="BB110">
        <v>0.100025</v>
      </c>
      <c r="BC110">
        <v>26.981200000000001</v>
      </c>
      <c r="BD110">
        <v>26.996600000000001</v>
      </c>
      <c r="BE110">
        <v>28.726800000000001</v>
      </c>
      <c r="BF110">
        <v>0</v>
      </c>
      <c r="BG110">
        <v>0</v>
      </c>
      <c r="BH110">
        <v>9983.75</v>
      </c>
      <c r="BI110">
        <v>1076.49</v>
      </c>
      <c r="BJ110">
        <v>2.0744500000000001</v>
      </c>
      <c r="BK110">
        <v>-304.19799999999998</v>
      </c>
      <c r="BL110">
        <v>508.15899999999999</v>
      </c>
      <c r="BM110">
        <v>804.822</v>
      </c>
      <c r="BN110">
        <v>18.341799999999999</v>
      </c>
      <c r="BO110">
        <v>799.97799999999995</v>
      </c>
      <c r="BP110">
        <v>6.0182399999999996</v>
      </c>
      <c r="BQ110">
        <v>2.4139699999999999</v>
      </c>
      <c r="BR110">
        <v>0.59638199999999997</v>
      </c>
      <c r="BS110">
        <v>20.457799999999999</v>
      </c>
      <c r="BT110">
        <v>-0.392343</v>
      </c>
      <c r="BU110">
        <v>1799.99</v>
      </c>
      <c r="BV110">
        <v>0.90998599999999996</v>
      </c>
      <c r="BW110">
        <v>3.3994000000000003E-2</v>
      </c>
      <c r="BX110">
        <v>2.20091E-2</v>
      </c>
      <c r="BY110">
        <v>3.4011199999999998E-2</v>
      </c>
      <c r="BZ110">
        <v>26</v>
      </c>
      <c r="CA110">
        <v>33528.199999999997</v>
      </c>
      <c r="CB110">
        <v>1690211922</v>
      </c>
      <c r="CC110" t="s">
        <v>332</v>
      </c>
      <c r="CD110">
        <v>1690211915</v>
      </c>
      <c r="CE110">
        <v>1690211922</v>
      </c>
      <c r="CF110">
        <v>6</v>
      </c>
      <c r="CG110">
        <v>1.0999999999999999E-2</v>
      </c>
      <c r="CH110">
        <v>8.0000000000000002E-3</v>
      </c>
      <c r="CI110">
        <v>-0.51100000000000001</v>
      </c>
      <c r="CJ110">
        <v>-6.6000000000000003E-2</v>
      </c>
      <c r="CK110">
        <v>800</v>
      </c>
      <c r="CL110">
        <v>6</v>
      </c>
      <c r="CM110">
        <v>0.21</v>
      </c>
      <c r="CN110">
        <v>0.02</v>
      </c>
      <c r="CO110">
        <v>-300.38031707317077</v>
      </c>
      <c r="CP110">
        <v>-21.147282229965612</v>
      </c>
      <c r="CQ110">
        <v>2.0859967780418991</v>
      </c>
      <c r="CR110">
        <v>-1</v>
      </c>
      <c r="CS110">
        <v>18.18639756097561</v>
      </c>
      <c r="CT110">
        <v>0.8390006968640954</v>
      </c>
      <c r="CU110">
        <v>8.274320983947242E-2</v>
      </c>
      <c r="CV110">
        <v>-1</v>
      </c>
      <c r="CW110">
        <v>0</v>
      </c>
      <c r="CX110">
        <v>0</v>
      </c>
      <c r="CY110" t="s">
        <v>333</v>
      </c>
      <c r="CZ110">
        <v>2.3643399999999999</v>
      </c>
      <c r="DA110">
        <v>2.7138</v>
      </c>
      <c r="DB110">
        <v>0.105071</v>
      </c>
      <c r="DC110">
        <v>0.14604800000000001</v>
      </c>
      <c r="DD110">
        <v>0.11505799999999999</v>
      </c>
      <c r="DE110">
        <v>3.9535899999999999E-2</v>
      </c>
      <c r="DF110">
        <v>32654.7</v>
      </c>
      <c r="DG110">
        <v>27489.9</v>
      </c>
      <c r="DH110">
        <v>31151.1</v>
      </c>
      <c r="DI110">
        <v>28051.200000000001</v>
      </c>
      <c r="DJ110">
        <v>37419</v>
      </c>
      <c r="DK110">
        <v>38307.800000000003</v>
      </c>
      <c r="DL110">
        <v>44327.9</v>
      </c>
      <c r="DM110">
        <v>42509</v>
      </c>
      <c r="DN110">
        <v>1.3819699999999999</v>
      </c>
      <c r="DO110">
        <v>2.0329700000000002</v>
      </c>
      <c r="DP110">
        <v>8.0328399999999994E-2</v>
      </c>
      <c r="DQ110">
        <v>0.19378200000000001</v>
      </c>
      <c r="DR110">
        <v>25.6815</v>
      </c>
      <c r="DS110">
        <v>25.558399999999999</v>
      </c>
      <c r="DT110">
        <v>17.899999999999999</v>
      </c>
      <c r="DU110">
        <v>29.7</v>
      </c>
      <c r="DV110">
        <v>7.5626100000000003</v>
      </c>
      <c r="DW110">
        <v>61.691200000000002</v>
      </c>
      <c r="DX110">
        <v>36.093800000000002</v>
      </c>
      <c r="DY110">
        <v>1</v>
      </c>
      <c r="DZ110">
        <v>-7.6928399999999994E-2</v>
      </c>
      <c r="EA110">
        <v>-0.175765</v>
      </c>
      <c r="EB110">
        <v>20.189699999999998</v>
      </c>
      <c r="EC110">
        <v>5.2408000000000001</v>
      </c>
      <c r="ED110">
        <v>12.039899999999999</v>
      </c>
      <c r="EE110">
        <v>5.0166500000000003</v>
      </c>
      <c r="EF110">
        <v>3.2879999999999998</v>
      </c>
      <c r="EG110">
        <v>9999</v>
      </c>
      <c r="EH110">
        <v>9999</v>
      </c>
      <c r="EI110">
        <v>9999</v>
      </c>
      <c r="EJ110">
        <v>999.9</v>
      </c>
      <c r="EK110">
        <v>1.8689199999999999</v>
      </c>
      <c r="EL110">
        <v>1.8646499999999999</v>
      </c>
      <c r="EM110">
        <v>1.8692</v>
      </c>
      <c r="EN110">
        <v>1.8672500000000001</v>
      </c>
      <c r="EO110">
        <v>1.8633999999999999</v>
      </c>
      <c r="EP110">
        <v>1.86456</v>
      </c>
      <c r="EQ110">
        <v>1.8701399999999999</v>
      </c>
      <c r="ER110">
        <v>1.8694299999999999</v>
      </c>
      <c r="ES110">
        <v>0</v>
      </c>
      <c r="ET110">
        <v>0</v>
      </c>
      <c r="EU110">
        <v>0</v>
      </c>
      <c r="EV110">
        <v>0</v>
      </c>
      <c r="EW110" t="s">
        <v>334</v>
      </c>
      <c r="EX110" t="s">
        <v>335</v>
      </c>
      <c r="EY110" t="s">
        <v>336</v>
      </c>
      <c r="EZ110" t="s">
        <v>336</v>
      </c>
      <c r="FA110" t="s">
        <v>336</v>
      </c>
      <c r="FB110" t="s">
        <v>336</v>
      </c>
      <c r="FC110">
        <v>0</v>
      </c>
      <c r="FD110">
        <v>100</v>
      </c>
      <c r="FE110">
        <v>100</v>
      </c>
      <c r="FF110">
        <v>-0.29599999999999999</v>
      </c>
      <c r="FG110">
        <v>0.19159999999999999</v>
      </c>
      <c r="FH110">
        <v>4.0020685143421282E-2</v>
      </c>
      <c r="FI110">
        <v>-6.1462078757559423E-4</v>
      </c>
      <c r="FJ110">
        <v>-1.8861989874597051E-7</v>
      </c>
      <c r="FK110">
        <v>1.1980462299894961E-10</v>
      </c>
      <c r="FL110">
        <v>0.19160597004026461</v>
      </c>
      <c r="FM110">
        <v>0</v>
      </c>
      <c r="FN110">
        <v>0</v>
      </c>
      <c r="FO110">
        <v>0</v>
      </c>
      <c r="FP110">
        <v>3</v>
      </c>
      <c r="FQ110">
        <v>2158</v>
      </c>
      <c r="FR110">
        <v>1</v>
      </c>
      <c r="FS110">
        <v>19</v>
      </c>
      <c r="FT110">
        <v>23.8</v>
      </c>
      <c r="FU110">
        <v>23.7</v>
      </c>
      <c r="FV110">
        <v>1.77979</v>
      </c>
      <c r="FW110">
        <v>2.5781200000000002</v>
      </c>
      <c r="FX110">
        <v>1.5490699999999999</v>
      </c>
      <c r="FY110">
        <v>2.3290999999999999</v>
      </c>
      <c r="FZ110">
        <v>1.50146</v>
      </c>
      <c r="GA110">
        <v>2.3327599999999999</v>
      </c>
      <c r="GB110">
        <v>33.850900000000003</v>
      </c>
      <c r="GC110">
        <v>23.982399999999998</v>
      </c>
      <c r="GD110">
        <v>19</v>
      </c>
      <c r="GE110">
        <v>245.489</v>
      </c>
      <c r="GF110">
        <v>582.53</v>
      </c>
      <c r="GG110">
        <v>25.331</v>
      </c>
      <c r="GH110">
        <v>26.415400000000002</v>
      </c>
      <c r="GI110">
        <v>30.0001</v>
      </c>
      <c r="GJ110">
        <v>26.5593</v>
      </c>
      <c r="GK110">
        <v>26.531300000000002</v>
      </c>
      <c r="GL110">
        <v>35.581200000000003</v>
      </c>
      <c r="GM110">
        <v>-30</v>
      </c>
      <c r="GN110">
        <v>-30</v>
      </c>
      <c r="GO110">
        <v>25.3369</v>
      </c>
      <c r="GP110">
        <v>800</v>
      </c>
      <c r="GQ110">
        <v>12.5298</v>
      </c>
      <c r="GR110">
        <v>99.6661</v>
      </c>
      <c r="GS110">
        <v>99.449600000000004</v>
      </c>
    </row>
    <row r="111" spans="1:201" x14ac:dyDescent="0.25">
      <c r="A111">
        <v>95</v>
      </c>
      <c r="B111">
        <v>1690213355.5999999</v>
      </c>
      <c r="C111">
        <v>1088.099999904633</v>
      </c>
      <c r="D111" t="s">
        <v>521</v>
      </c>
      <c r="E111" t="s">
        <v>522</v>
      </c>
      <c r="F111" t="s">
        <v>330</v>
      </c>
      <c r="H111">
        <v>1690213355.5999999</v>
      </c>
      <c r="I111">
        <f t="shared" si="30"/>
        <v>1.6486390441635243E-3</v>
      </c>
      <c r="J111">
        <f t="shared" si="31"/>
        <v>1.6486390441635244</v>
      </c>
      <c r="K111">
        <f t="shared" si="32"/>
        <v>25.973016770644158</v>
      </c>
      <c r="L111">
        <f t="shared" si="33"/>
        <v>492.23700000000002</v>
      </c>
      <c r="M111">
        <f t="shared" si="34"/>
        <v>88.906861325525071</v>
      </c>
      <c r="N111">
        <f t="shared" si="35"/>
        <v>8.819050095840927</v>
      </c>
      <c r="O111">
        <f t="shared" si="36"/>
        <v>48.827083729027507</v>
      </c>
      <c r="P111">
        <f t="shared" si="37"/>
        <v>0.10759579905874631</v>
      </c>
      <c r="Q111">
        <f t="shared" si="38"/>
        <v>2.0142146955800011</v>
      </c>
      <c r="R111">
        <f t="shared" si="39"/>
        <v>0.10450171483580788</v>
      </c>
      <c r="S111">
        <f t="shared" si="40"/>
        <v>6.5584151701646193E-2</v>
      </c>
      <c r="T111">
        <f t="shared" si="41"/>
        <v>276.11629873200002</v>
      </c>
      <c r="U111">
        <f t="shared" si="42"/>
        <v>28.666461133234566</v>
      </c>
      <c r="V111">
        <f t="shared" si="43"/>
        <v>28.666461133234566</v>
      </c>
      <c r="W111">
        <f t="shared" si="44"/>
        <v>3.9448010751629128</v>
      </c>
      <c r="X111">
        <f t="shared" si="45"/>
        <v>67.999834132977924</v>
      </c>
      <c r="Y111">
        <f t="shared" si="46"/>
        <v>2.4301799533440001</v>
      </c>
      <c r="Z111">
        <f t="shared" si="47"/>
        <v>3.5738027663297407</v>
      </c>
      <c r="AA111">
        <f t="shared" si="48"/>
        <v>1.5146211218189127</v>
      </c>
      <c r="AB111">
        <f t="shared" si="49"/>
        <v>-72.704981847611421</v>
      </c>
      <c r="AC111">
        <f t="shared" si="50"/>
        <v>-183.73063923906375</v>
      </c>
      <c r="AD111">
        <f t="shared" si="51"/>
        <v>-19.847813501866931</v>
      </c>
      <c r="AE111">
        <f t="shared" si="52"/>
        <v>-0.16713585654207463</v>
      </c>
      <c r="AF111">
        <v>35</v>
      </c>
      <c r="AG111">
        <v>12</v>
      </c>
      <c r="AH111">
        <f t="shared" si="53"/>
        <v>1</v>
      </c>
      <c r="AI111">
        <f t="shared" si="54"/>
        <v>0</v>
      </c>
      <c r="AJ111">
        <f t="shared" si="55"/>
        <v>52509.23719219226</v>
      </c>
      <c r="AK111">
        <f t="shared" si="56"/>
        <v>1800</v>
      </c>
      <c r="AL111">
        <f t="shared" si="57"/>
        <v>1499.1121152000003</v>
      </c>
      <c r="AM111">
        <f t="shared" si="58"/>
        <v>0.8328400640000001</v>
      </c>
      <c r="AN111">
        <f t="shared" si="59"/>
        <v>0.15339794374000001</v>
      </c>
      <c r="AO111">
        <v>34.5</v>
      </c>
      <c r="AP111">
        <v>0.5</v>
      </c>
      <c r="AQ111" t="s">
        <v>331</v>
      </c>
      <c r="AR111">
        <v>2</v>
      </c>
      <c r="AS111">
        <v>1690213355.5999999</v>
      </c>
      <c r="AT111">
        <v>492.23700000000002</v>
      </c>
      <c r="AU111">
        <v>800.05499999999995</v>
      </c>
      <c r="AV111">
        <v>24.499199999999998</v>
      </c>
      <c r="AW111">
        <v>6.0166000000000004</v>
      </c>
      <c r="AX111">
        <v>492.53100000000001</v>
      </c>
      <c r="AY111">
        <v>24.307600000000001</v>
      </c>
      <c r="AZ111">
        <v>300.19900000000001</v>
      </c>
      <c r="BA111">
        <v>99.094300000000004</v>
      </c>
      <c r="BB111">
        <v>9.9957500000000005E-2</v>
      </c>
      <c r="BC111">
        <v>26.974499999999999</v>
      </c>
      <c r="BD111">
        <v>26.9819</v>
      </c>
      <c r="BE111">
        <v>28.720800000000001</v>
      </c>
      <c r="BF111">
        <v>0</v>
      </c>
      <c r="BG111">
        <v>0</v>
      </c>
      <c r="BH111">
        <v>10021.200000000001</v>
      </c>
      <c r="BI111">
        <v>1076.54</v>
      </c>
      <c r="BJ111">
        <v>2.0744500000000001</v>
      </c>
      <c r="BK111">
        <v>-307.81799999999998</v>
      </c>
      <c r="BL111">
        <v>504.59899999999999</v>
      </c>
      <c r="BM111">
        <v>804.89800000000002</v>
      </c>
      <c r="BN111">
        <v>18.482600000000001</v>
      </c>
      <c r="BO111">
        <v>800.05499999999995</v>
      </c>
      <c r="BP111">
        <v>6.0166000000000004</v>
      </c>
      <c r="BQ111">
        <v>2.4277299999999999</v>
      </c>
      <c r="BR111">
        <v>0.59621100000000005</v>
      </c>
      <c r="BS111">
        <v>20.55</v>
      </c>
      <c r="BT111">
        <v>-0.39627299999999999</v>
      </c>
      <c r="BU111">
        <v>1800</v>
      </c>
      <c r="BV111">
        <v>0.90998900000000005</v>
      </c>
      <c r="BW111">
        <v>3.3992599999999998E-2</v>
      </c>
      <c r="BX111">
        <v>2.2008199999999999E-2</v>
      </c>
      <c r="BY111">
        <v>3.40098E-2</v>
      </c>
      <c r="BZ111">
        <v>26</v>
      </c>
      <c r="CA111">
        <v>33528.199999999997</v>
      </c>
      <c r="CB111">
        <v>1690211922</v>
      </c>
      <c r="CC111" t="s">
        <v>332</v>
      </c>
      <c r="CD111">
        <v>1690211915</v>
      </c>
      <c r="CE111">
        <v>1690211922</v>
      </c>
      <c r="CF111">
        <v>6</v>
      </c>
      <c r="CG111">
        <v>1.0999999999999999E-2</v>
      </c>
      <c r="CH111">
        <v>8.0000000000000002E-3</v>
      </c>
      <c r="CI111">
        <v>-0.51100000000000001</v>
      </c>
      <c r="CJ111">
        <v>-6.6000000000000003E-2</v>
      </c>
      <c r="CK111">
        <v>800</v>
      </c>
      <c r="CL111">
        <v>6</v>
      </c>
      <c r="CM111">
        <v>0.21</v>
      </c>
      <c r="CN111">
        <v>0.02</v>
      </c>
      <c r="CO111">
        <v>-303.90390243902442</v>
      </c>
      <c r="CP111">
        <v>-21.063240418118419</v>
      </c>
      <c r="CQ111">
        <v>2.0775152584321668</v>
      </c>
      <c r="CR111">
        <v>-1</v>
      </c>
      <c r="CS111">
        <v>18.326885365853659</v>
      </c>
      <c r="CT111">
        <v>0.851964459930308</v>
      </c>
      <c r="CU111">
        <v>8.4010950392444578E-2</v>
      </c>
      <c r="CV111">
        <v>-1</v>
      </c>
      <c r="CW111">
        <v>0</v>
      </c>
      <c r="CX111">
        <v>0</v>
      </c>
      <c r="CY111" t="s">
        <v>333</v>
      </c>
      <c r="CZ111">
        <v>2.3643999999999998</v>
      </c>
      <c r="DA111">
        <v>2.7137699999999998</v>
      </c>
      <c r="DB111">
        <v>0.104521</v>
      </c>
      <c r="DC111">
        <v>0.14605599999999999</v>
      </c>
      <c r="DD111">
        <v>0.11552</v>
      </c>
      <c r="DE111">
        <v>3.9526699999999998E-2</v>
      </c>
      <c r="DF111">
        <v>32674.9</v>
      </c>
      <c r="DG111">
        <v>27489.9</v>
      </c>
      <c r="DH111">
        <v>31151.1</v>
      </c>
      <c r="DI111">
        <v>28051.4</v>
      </c>
      <c r="DJ111">
        <v>37399.199999999997</v>
      </c>
      <c r="DK111">
        <v>38308.6</v>
      </c>
      <c r="DL111">
        <v>44327.8</v>
      </c>
      <c r="DM111">
        <v>42509.4</v>
      </c>
      <c r="DN111">
        <v>1.3819999999999999</v>
      </c>
      <c r="DO111">
        <v>2.03288</v>
      </c>
      <c r="DP111">
        <v>7.9397099999999998E-2</v>
      </c>
      <c r="DQ111">
        <v>0.19328300000000001</v>
      </c>
      <c r="DR111">
        <v>25.682099999999998</v>
      </c>
      <c r="DS111">
        <v>25.560500000000001</v>
      </c>
      <c r="DT111">
        <v>17.899999999999999</v>
      </c>
      <c r="DU111">
        <v>29.7</v>
      </c>
      <c r="DV111">
        <v>7.5650300000000001</v>
      </c>
      <c r="DW111">
        <v>61.801200000000001</v>
      </c>
      <c r="DX111">
        <v>36.3902</v>
      </c>
      <c r="DY111">
        <v>1</v>
      </c>
      <c r="DZ111">
        <v>-7.7185000000000004E-2</v>
      </c>
      <c r="EA111">
        <v>-0.223772</v>
      </c>
      <c r="EB111">
        <v>20.189599999999999</v>
      </c>
      <c r="EC111">
        <v>5.2406499999999996</v>
      </c>
      <c r="ED111">
        <v>12.039899999999999</v>
      </c>
      <c r="EE111">
        <v>5.0166500000000003</v>
      </c>
      <c r="EF111">
        <v>3.2879999999999998</v>
      </c>
      <c r="EG111">
        <v>9999</v>
      </c>
      <c r="EH111">
        <v>9999</v>
      </c>
      <c r="EI111">
        <v>9999</v>
      </c>
      <c r="EJ111">
        <v>999.9</v>
      </c>
      <c r="EK111">
        <v>1.8689</v>
      </c>
      <c r="EL111">
        <v>1.86469</v>
      </c>
      <c r="EM111">
        <v>1.8692</v>
      </c>
      <c r="EN111">
        <v>1.8672599999999999</v>
      </c>
      <c r="EO111">
        <v>1.8633999999999999</v>
      </c>
      <c r="EP111">
        <v>1.8645799999999999</v>
      </c>
      <c r="EQ111">
        <v>1.8701700000000001</v>
      </c>
      <c r="ER111">
        <v>1.8694299999999999</v>
      </c>
      <c r="ES111">
        <v>0</v>
      </c>
      <c r="ET111">
        <v>0</v>
      </c>
      <c r="EU111">
        <v>0</v>
      </c>
      <c r="EV111">
        <v>0</v>
      </c>
      <c r="EW111" t="s">
        <v>334</v>
      </c>
      <c r="EX111" t="s">
        <v>335</v>
      </c>
      <c r="EY111" t="s">
        <v>336</v>
      </c>
      <c r="EZ111" t="s">
        <v>336</v>
      </c>
      <c r="FA111" t="s">
        <v>336</v>
      </c>
      <c r="FB111" t="s">
        <v>336</v>
      </c>
      <c r="FC111">
        <v>0</v>
      </c>
      <c r="FD111">
        <v>100</v>
      </c>
      <c r="FE111">
        <v>100</v>
      </c>
      <c r="FF111">
        <v>-0.29399999999999998</v>
      </c>
      <c r="FG111">
        <v>0.19159999999999999</v>
      </c>
      <c r="FH111">
        <v>4.0020685143421282E-2</v>
      </c>
      <c r="FI111">
        <v>-6.1462078757559423E-4</v>
      </c>
      <c r="FJ111">
        <v>-1.8861989874597051E-7</v>
      </c>
      <c r="FK111">
        <v>1.1980462299894961E-10</v>
      </c>
      <c r="FL111">
        <v>0.19160597004026461</v>
      </c>
      <c r="FM111">
        <v>0</v>
      </c>
      <c r="FN111">
        <v>0</v>
      </c>
      <c r="FO111">
        <v>0</v>
      </c>
      <c r="FP111">
        <v>3</v>
      </c>
      <c r="FQ111">
        <v>2158</v>
      </c>
      <c r="FR111">
        <v>1</v>
      </c>
      <c r="FS111">
        <v>19</v>
      </c>
      <c r="FT111">
        <v>24</v>
      </c>
      <c r="FU111">
        <v>23.9</v>
      </c>
      <c r="FV111">
        <v>1.77979</v>
      </c>
      <c r="FW111">
        <v>2.5805699999999998</v>
      </c>
      <c r="FX111">
        <v>1.5490699999999999</v>
      </c>
      <c r="FY111">
        <v>2.3290999999999999</v>
      </c>
      <c r="FZ111">
        <v>1.50146</v>
      </c>
      <c r="GA111">
        <v>2.3278799999999999</v>
      </c>
      <c r="GB111">
        <v>33.850900000000003</v>
      </c>
      <c r="GC111">
        <v>23.982399999999998</v>
      </c>
      <c r="GD111">
        <v>19</v>
      </c>
      <c r="GE111">
        <v>245.495</v>
      </c>
      <c r="GF111">
        <v>582.428</v>
      </c>
      <c r="GG111">
        <v>25.343699999999998</v>
      </c>
      <c r="GH111">
        <v>26.4132</v>
      </c>
      <c r="GI111">
        <v>30.0001</v>
      </c>
      <c r="GJ111">
        <v>26.558</v>
      </c>
      <c r="GK111">
        <v>26.529599999999999</v>
      </c>
      <c r="GL111">
        <v>35.579599999999999</v>
      </c>
      <c r="GM111">
        <v>-30</v>
      </c>
      <c r="GN111">
        <v>-30</v>
      </c>
      <c r="GO111">
        <v>25.358000000000001</v>
      </c>
      <c r="GP111">
        <v>800</v>
      </c>
      <c r="GQ111">
        <v>12.5298</v>
      </c>
      <c r="GR111">
        <v>99.6661</v>
      </c>
      <c r="GS111">
        <v>99.450599999999994</v>
      </c>
    </row>
    <row r="112" spans="1:201" x14ac:dyDescent="0.25">
      <c r="A112">
        <v>96</v>
      </c>
      <c r="B112">
        <v>1690213365.5999999</v>
      </c>
      <c r="C112">
        <v>1098.099999904633</v>
      </c>
      <c r="D112" t="s">
        <v>523</v>
      </c>
      <c r="E112" t="s">
        <v>524</v>
      </c>
      <c r="F112" t="s">
        <v>330</v>
      </c>
      <c r="H112">
        <v>1690213365.5999999</v>
      </c>
      <c r="I112">
        <f t="shared" si="30"/>
        <v>1.6611901273212702E-3</v>
      </c>
      <c r="J112">
        <f t="shared" si="31"/>
        <v>1.6611901273212701</v>
      </c>
      <c r="K112">
        <f t="shared" si="32"/>
        <v>26.259148898071878</v>
      </c>
      <c r="L112">
        <f t="shared" si="33"/>
        <v>488.82400000000001</v>
      </c>
      <c r="M112">
        <f t="shared" si="34"/>
        <v>87.991311992317648</v>
      </c>
      <c r="N112">
        <f t="shared" si="35"/>
        <v>8.7283483129292598</v>
      </c>
      <c r="O112">
        <f t="shared" si="36"/>
        <v>48.489175114150399</v>
      </c>
      <c r="P112">
        <f t="shared" si="37"/>
        <v>0.10948611427074946</v>
      </c>
      <c r="Q112">
        <f t="shared" si="38"/>
        <v>2.013382210780879</v>
      </c>
      <c r="R112">
        <f t="shared" si="39"/>
        <v>0.10628281660192142</v>
      </c>
      <c r="S112">
        <f t="shared" si="40"/>
        <v>6.6706757329991262E-2</v>
      </c>
      <c r="T112">
        <f t="shared" si="41"/>
        <v>276.116297616</v>
      </c>
      <c r="U112">
        <f t="shared" si="42"/>
        <v>28.664084665551481</v>
      </c>
      <c r="V112">
        <f t="shared" si="43"/>
        <v>28.664084665551481</v>
      </c>
      <c r="W112">
        <f t="shared" si="44"/>
        <v>3.9442572937816851</v>
      </c>
      <c r="X112">
        <f t="shared" si="45"/>
        <v>68.37345809623622</v>
      </c>
      <c r="Y112">
        <f t="shared" si="46"/>
        <v>2.4437622135516799</v>
      </c>
      <c r="Z112">
        <f t="shared" si="47"/>
        <v>3.5741386812877947</v>
      </c>
      <c r="AA112">
        <f t="shared" si="48"/>
        <v>1.5004950802300052</v>
      </c>
      <c r="AB112">
        <f t="shared" si="49"/>
        <v>-73.25848461486801</v>
      </c>
      <c r="AC112">
        <f t="shared" si="50"/>
        <v>-183.22307494518546</v>
      </c>
      <c r="AD112">
        <f t="shared" si="51"/>
        <v>-19.801089528720457</v>
      </c>
      <c r="AE112">
        <f t="shared" si="52"/>
        <v>-0.16635147277392548</v>
      </c>
      <c r="AF112">
        <v>35</v>
      </c>
      <c r="AG112">
        <v>12</v>
      </c>
      <c r="AH112">
        <f t="shared" si="53"/>
        <v>1</v>
      </c>
      <c r="AI112">
        <f t="shared" si="54"/>
        <v>0</v>
      </c>
      <c r="AJ112">
        <f t="shared" si="55"/>
        <v>52468.954723503877</v>
      </c>
      <c r="AK112">
        <f t="shared" si="56"/>
        <v>1800</v>
      </c>
      <c r="AL112">
        <f t="shared" si="57"/>
        <v>1499.1131016000002</v>
      </c>
      <c r="AM112">
        <f t="shared" si="58"/>
        <v>0.83284061200000004</v>
      </c>
      <c r="AN112">
        <f t="shared" si="59"/>
        <v>0.15339794311999999</v>
      </c>
      <c r="AO112">
        <v>34.5</v>
      </c>
      <c r="AP112">
        <v>0.5</v>
      </c>
      <c r="AQ112" t="s">
        <v>331</v>
      </c>
      <c r="AR112">
        <v>2</v>
      </c>
      <c r="AS112">
        <v>1690213365.5999999</v>
      </c>
      <c r="AT112">
        <v>488.82400000000001</v>
      </c>
      <c r="AU112">
        <v>799.93100000000004</v>
      </c>
      <c r="AV112">
        <v>24.6358</v>
      </c>
      <c r="AW112">
        <v>6.0154100000000001</v>
      </c>
      <c r="AX112">
        <v>489.11599999999999</v>
      </c>
      <c r="AY112">
        <v>24.444199999999999</v>
      </c>
      <c r="AZ112">
        <v>300.20400000000001</v>
      </c>
      <c r="BA112">
        <v>99.095600000000005</v>
      </c>
      <c r="BB112">
        <v>9.9969600000000006E-2</v>
      </c>
      <c r="BC112">
        <v>26.976099999999999</v>
      </c>
      <c r="BD112">
        <v>26.999300000000002</v>
      </c>
      <c r="BE112">
        <v>28.733699999999999</v>
      </c>
      <c r="BF112">
        <v>0</v>
      </c>
      <c r="BG112">
        <v>0</v>
      </c>
      <c r="BH112">
        <v>10013.1</v>
      </c>
      <c r="BI112">
        <v>1076.6099999999999</v>
      </c>
      <c r="BJ112">
        <v>2.0744500000000001</v>
      </c>
      <c r="BK112">
        <v>-311.10700000000003</v>
      </c>
      <c r="BL112">
        <v>501.17099999999999</v>
      </c>
      <c r="BM112">
        <v>804.77200000000005</v>
      </c>
      <c r="BN112">
        <v>18.6204</v>
      </c>
      <c r="BO112">
        <v>799.93100000000004</v>
      </c>
      <c r="BP112">
        <v>6.0154100000000001</v>
      </c>
      <c r="BQ112">
        <v>2.4413</v>
      </c>
      <c r="BR112">
        <v>0.59609999999999996</v>
      </c>
      <c r="BS112">
        <v>20.6403</v>
      </c>
      <c r="BT112">
        <v>-0.39882899999999999</v>
      </c>
      <c r="BU112">
        <v>1800</v>
      </c>
      <c r="BV112">
        <v>0.90999200000000002</v>
      </c>
      <c r="BW112">
        <v>3.3991599999999997E-2</v>
      </c>
      <c r="BX112">
        <v>2.2007599999999999E-2</v>
      </c>
      <c r="BY112">
        <v>3.4008799999999999E-2</v>
      </c>
      <c r="BZ112">
        <v>26</v>
      </c>
      <c r="CA112">
        <v>33528.400000000001</v>
      </c>
      <c r="CB112">
        <v>1690211922</v>
      </c>
      <c r="CC112" t="s">
        <v>332</v>
      </c>
      <c r="CD112">
        <v>1690211915</v>
      </c>
      <c r="CE112">
        <v>1690211922</v>
      </c>
      <c r="CF112">
        <v>6</v>
      </c>
      <c r="CG112">
        <v>1.0999999999999999E-2</v>
      </c>
      <c r="CH112">
        <v>8.0000000000000002E-3</v>
      </c>
      <c r="CI112">
        <v>-0.51100000000000001</v>
      </c>
      <c r="CJ112">
        <v>-6.6000000000000003E-2</v>
      </c>
      <c r="CK112">
        <v>800</v>
      </c>
      <c r="CL112">
        <v>6</v>
      </c>
      <c r="CM112">
        <v>0.21</v>
      </c>
      <c r="CN112">
        <v>0.02</v>
      </c>
      <c r="CO112">
        <v>-307.28719999999998</v>
      </c>
      <c r="CP112">
        <v>-20.908818011257271</v>
      </c>
      <c r="CQ112">
        <v>2.0124453930479729</v>
      </c>
      <c r="CR112">
        <v>-1</v>
      </c>
      <c r="CS112">
        <v>18.463952500000001</v>
      </c>
      <c r="CT112">
        <v>0.83986829268289909</v>
      </c>
      <c r="CU112">
        <v>8.0797335932257006E-2</v>
      </c>
      <c r="CV112">
        <v>-1</v>
      </c>
      <c r="CW112">
        <v>0</v>
      </c>
      <c r="CX112">
        <v>0</v>
      </c>
      <c r="CY112" t="s">
        <v>333</v>
      </c>
      <c r="CZ112">
        <v>2.36443</v>
      </c>
      <c r="DA112">
        <v>2.7137699999999998</v>
      </c>
      <c r="DB112">
        <v>0.103992</v>
      </c>
      <c r="DC112">
        <v>0.14604300000000001</v>
      </c>
      <c r="DD112">
        <v>0.11597499999999999</v>
      </c>
      <c r="DE112">
        <v>3.9520800000000002E-2</v>
      </c>
      <c r="DF112">
        <v>32694.400000000001</v>
      </c>
      <c r="DG112">
        <v>27490.400000000001</v>
      </c>
      <c r="DH112">
        <v>31151.3</v>
      </c>
      <c r="DI112">
        <v>28051.5</v>
      </c>
      <c r="DJ112">
        <v>37379.800000000003</v>
      </c>
      <c r="DK112">
        <v>38309.300000000003</v>
      </c>
      <c r="DL112">
        <v>44327.9</v>
      </c>
      <c r="DM112">
        <v>42510</v>
      </c>
      <c r="DN112">
        <v>1.38245</v>
      </c>
      <c r="DO112">
        <v>2.0327500000000001</v>
      </c>
      <c r="DP112">
        <v>8.0391799999999999E-2</v>
      </c>
      <c r="DQ112">
        <v>0.194073</v>
      </c>
      <c r="DR112">
        <v>25.683199999999999</v>
      </c>
      <c r="DS112">
        <v>25.560500000000001</v>
      </c>
      <c r="DT112">
        <v>17.899999999999999</v>
      </c>
      <c r="DU112">
        <v>29.7</v>
      </c>
      <c r="DV112">
        <v>7.56534</v>
      </c>
      <c r="DW112">
        <v>61.761200000000002</v>
      </c>
      <c r="DX112">
        <v>36.646599999999999</v>
      </c>
      <c r="DY112">
        <v>1</v>
      </c>
      <c r="DZ112">
        <v>-7.7499999999999999E-2</v>
      </c>
      <c r="EA112">
        <v>-0.25</v>
      </c>
      <c r="EB112">
        <v>20.189699999999998</v>
      </c>
      <c r="EC112">
        <v>5.2406499999999996</v>
      </c>
      <c r="ED112">
        <v>12.039899999999999</v>
      </c>
      <c r="EE112">
        <v>5.0167999999999999</v>
      </c>
      <c r="EF112">
        <v>3.2879999999999998</v>
      </c>
      <c r="EG112">
        <v>9999</v>
      </c>
      <c r="EH112">
        <v>9999</v>
      </c>
      <c r="EI112">
        <v>9999</v>
      </c>
      <c r="EJ112">
        <v>999.9</v>
      </c>
      <c r="EK112">
        <v>1.8689100000000001</v>
      </c>
      <c r="EL112">
        <v>1.8646499999999999</v>
      </c>
      <c r="EM112">
        <v>1.8691899999999999</v>
      </c>
      <c r="EN112">
        <v>1.86724</v>
      </c>
      <c r="EO112">
        <v>1.8633999999999999</v>
      </c>
      <c r="EP112">
        <v>1.86459</v>
      </c>
      <c r="EQ112">
        <v>1.87015</v>
      </c>
      <c r="ER112">
        <v>1.86941</v>
      </c>
      <c r="ES112">
        <v>0</v>
      </c>
      <c r="ET112">
        <v>0</v>
      </c>
      <c r="EU112">
        <v>0</v>
      </c>
      <c r="EV112">
        <v>0</v>
      </c>
      <c r="EW112" t="s">
        <v>334</v>
      </c>
      <c r="EX112" t="s">
        <v>335</v>
      </c>
      <c r="EY112" t="s">
        <v>336</v>
      </c>
      <c r="EZ112" t="s">
        <v>336</v>
      </c>
      <c r="FA112" t="s">
        <v>336</v>
      </c>
      <c r="FB112" t="s">
        <v>336</v>
      </c>
      <c r="FC112">
        <v>0</v>
      </c>
      <c r="FD112">
        <v>100</v>
      </c>
      <c r="FE112">
        <v>100</v>
      </c>
      <c r="FF112">
        <v>-0.29199999999999998</v>
      </c>
      <c r="FG112">
        <v>0.19159999999999999</v>
      </c>
      <c r="FH112">
        <v>4.0020685143421282E-2</v>
      </c>
      <c r="FI112">
        <v>-6.1462078757559423E-4</v>
      </c>
      <c r="FJ112">
        <v>-1.8861989874597051E-7</v>
      </c>
      <c r="FK112">
        <v>1.1980462299894961E-10</v>
      </c>
      <c r="FL112">
        <v>0.19160597004026461</v>
      </c>
      <c r="FM112">
        <v>0</v>
      </c>
      <c r="FN112">
        <v>0</v>
      </c>
      <c r="FO112">
        <v>0</v>
      </c>
      <c r="FP112">
        <v>3</v>
      </c>
      <c r="FQ112">
        <v>2158</v>
      </c>
      <c r="FR112">
        <v>1</v>
      </c>
      <c r="FS112">
        <v>19</v>
      </c>
      <c r="FT112">
        <v>24.2</v>
      </c>
      <c r="FU112">
        <v>24.1</v>
      </c>
      <c r="FV112">
        <v>1.77979</v>
      </c>
      <c r="FW112">
        <v>2.5744600000000002</v>
      </c>
      <c r="FX112">
        <v>1.5490699999999999</v>
      </c>
      <c r="FY112">
        <v>2.3290999999999999</v>
      </c>
      <c r="FZ112">
        <v>1.50146</v>
      </c>
      <c r="GA112">
        <v>2.3901400000000002</v>
      </c>
      <c r="GB112">
        <v>33.850900000000003</v>
      </c>
      <c r="GC112">
        <v>23.982399999999998</v>
      </c>
      <c r="GD112">
        <v>19</v>
      </c>
      <c r="GE112">
        <v>245.66399999999999</v>
      </c>
      <c r="GF112">
        <v>582.31899999999996</v>
      </c>
      <c r="GG112">
        <v>25.375900000000001</v>
      </c>
      <c r="GH112">
        <v>26.411300000000001</v>
      </c>
      <c r="GI112">
        <v>29.9999</v>
      </c>
      <c r="GJ112">
        <v>26.557099999999998</v>
      </c>
      <c r="GK112">
        <v>26.5291</v>
      </c>
      <c r="GL112">
        <v>35.582700000000003</v>
      </c>
      <c r="GM112">
        <v>-30</v>
      </c>
      <c r="GN112">
        <v>-30</v>
      </c>
      <c r="GO112">
        <v>25.384399999999999</v>
      </c>
      <c r="GP112">
        <v>800</v>
      </c>
      <c r="GQ112">
        <v>12.5298</v>
      </c>
      <c r="GR112">
        <v>99.666399999999996</v>
      </c>
      <c r="GS112">
        <v>99.451599999999999</v>
      </c>
    </row>
    <row r="113" spans="1:201" x14ac:dyDescent="0.25">
      <c r="A113">
        <v>97</v>
      </c>
      <c r="B113">
        <v>1690213375.5999999</v>
      </c>
      <c r="C113">
        <v>1108.099999904633</v>
      </c>
      <c r="D113" t="s">
        <v>525</v>
      </c>
      <c r="E113" t="s">
        <v>526</v>
      </c>
      <c r="F113" t="s">
        <v>330</v>
      </c>
      <c r="H113">
        <v>1690213375.5999999</v>
      </c>
      <c r="I113">
        <f t="shared" si="30"/>
        <v>1.6740361313062942E-3</v>
      </c>
      <c r="J113">
        <f t="shared" si="31"/>
        <v>1.6740361313062941</v>
      </c>
      <c r="K113">
        <f t="shared" si="32"/>
        <v>26.558825493033211</v>
      </c>
      <c r="L113">
        <f t="shared" si="33"/>
        <v>485.35399999999998</v>
      </c>
      <c r="M113">
        <f t="shared" si="34"/>
        <v>86.96362009340271</v>
      </c>
      <c r="N113">
        <f t="shared" si="35"/>
        <v>8.6267223250420546</v>
      </c>
      <c r="O113">
        <f t="shared" si="36"/>
        <v>48.146732884986001</v>
      </c>
      <c r="P113">
        <f t="shared" si="37"/>
        <v>0.11144568238797221</v>
      </c>
      <c r="Q113">
        <f t="shared" si="38"/>
        <v>2.0106101651008079</v>
      </c>
      <c r="R113">
        <f t="shared" si="39"/>
        <v>0.10812413765209572</v>
      </c>
      <c r="S113">
        <f t="shared" si="40"/>
        <v>6.7867767506539778E-2</v>
      </c>
      <c r="T113">
        <f t="shared" si="41"/>
        <v>276.11621830800004</v>
      </c>
      <c r="U113">
        <f t="shared" si="42"/>
        <v>28.664660679199407</v>
      </c>
      <c r="V113">
        <f t="shared" si="43"/>
        <v>28.664660679199407</v>
      </c>
      <c r="W113">
        <f t="shared" si="44"/>
        <v>3.9443890907481864</v>
      </c>
      <c r="X113">
        <f t="shared" si="45"/>
        <v>68.761597710812381</v>
      </c>
      <c r="Y113">
        <f t="shared" si="46"/>
        <v>2.4580968794945997</v>
      </c>
      <c r="Z113">
        <f t="shared" si="47"/>
        <v>3.5748105938906614</v>
      </c>
      <c r="AA113">
        <f t="shared" si="48"/>
        <v>1.4862922112535868</v>
      </c>
      <c r="AB113">
        <f t="shared" si="49"/>
        <v>-73.824993390607574</v>
      </c>
      <c r="AC113">
        <f t="shared" si="50"/>
        <v>-182.68638183523038</v>
      </c>
      <c r="AD113">
        <f t="shared" si="51"/>
        <v>-19.770680332703392</v>
      </c>
      <c r="AE113">
        <f t="shared" si="52"/>
        <v>-0.16583725054127285</v>
      </c>
      <c r="AF113">
        <v>35</v>
      </c>
      <c r="AG113">
        <v>12</v>
      </c>
      <c r="AH113">
        <f t="shared" si="53"/>
        <v>1</v>
      </c>
      <c r="AI113">
        <f t="shared" si="54"/>
        <v>0</v>
      </c>
      <c r="AJ113">
        <f t="shared" si="55"/>
        <v>52335.344867004424</v>
      </c>
      <c r="AK113">
        <f t="shared" si="56"/>
        <v>1800</v>
      </c>
      <c r="AL113">
        <f t="shared" si="57"/>
        <v>1499.1130997999999</v>
      </c>
      <c r="AM113">
        <f t="shared" si="58"/>
        <v>0.83284061099999995</v>
      </c>
      <c r="AN113">
        <f t="shared" si="59"/>
        <v>0.15339789906000001</v>
      </c>
      <c r="AO113">
        <v>34.5</v>
      </c>
      <c r="AP113">
        <v>0.5</v>
      </c>
      <c r="AQ113" t="s">
        <v>331</v>
      </c>
      <c r="AR113">
        <v>2</v>
      </c>
      <c r="AS113">
        <v>1690213375.5999999</v>
      </c>
      <c r="AT113">
        <v>485.35399999999998</v>
      </c>
      <c r="AU113">
        <v>799.99</v>
      </c>
      <c r="AV113">
        <v>24.779399999999999</v>
      </c>
      <c r="AW113">
        <v>6.0130299999999997</v>
      </c>
      <c r="AX113">
        <v>485.64299999999997</v>
      </c>
      <c r="AY113">
        <v>24.587800000000001</v>
      </c>
      <c r="AZ113">
        <v>300.12799999999999</v>
      </c>
      <c r="BA113">
        <v>99.099199999999996</v>
      </c>
      <c r="BB113">
        <v>0.100009</v>
      </c>
      <c r="BC113">
        <v>26.979299999999999</v>
      </c>
      <c r="BD113">
        <v>26.993200000000002</v>
      </c>
      <c r="BE113">
        <v>28.734300000000001</v>
      </c>
      <c r="BF113">
        <v>0</v>
      </c>
      <c r="BG113">
        <v>0</v>
      </c>
      <c r="BH113">
        <v>9986.25</v>
      </c>
      <c r="BI113">
        <v>1076.6300000000001</v>
      </c>
      <c r="BJ113">
        <v>2.0744500000000001</v>
      </c>
      <c r="BK113">
        <v>-314.63600000000002</v>
      </c>
      <c r="BL113">
        <v>497.68599999999998</v>
      </c>
      <c r="BM113">
        <v>804.82899999999995</v>
      </c>
      <c r="BN113">
        <v>18.766300000000001</v>
      </c>
      <c r="BO113">
        <v>799.99</v>
      </c>
      <c r="BP113">
        <v>6.0130299999999997</v>
      </c>
      <c r="BQ113">
        <v>2.4556200000000001</v>
      </c>
      <c r="BR113">
        <v>0.59588699999999994</v>
      </c>
      <c r="BS113">
        <v>20.735299999999999</v>
      </c>
      <c r="BT113">
        <v>-0.40374500000000002</v>
      </c>
      <c r="BU113">
        <v>1800</v>
      </c>
      <c r="BV113">
        <v>0.90999300000000005</v>
      </c>
      <c r="BW113">
        <v>3.3991199999999999E-2</v>
      </c>
      <c r="BX113">
        <v>2.20073E-2</v>
      </c>
      <c r="BY113">
        <v>3.4008400000000001E-2</v>
      </c>
      <c r="BZ113">
        <v>26</v>
      </c>
      <c r="CA113">
        <v>33528.199999999997</v>
      </c>
      <c r="CB113">
        <v>1690211922</v>
      </c>
      <c r="CC113" t="s">
        <v>332</v>
      </c>
      <c r="CD113">
        <v>1690211915</v>
      </c>
      <c r="CE113">
        <v>1690211922</v>
      </c>
      <c r="CF113">
        <v>6</v>
      </c>
      <c r="CG113">
        <v>1.0999999999999999E-2</v>
      </c>
      <c r="CH113">
        <v>8.0000000000000002E-3</v>
      </c>
      <c r="CI113">
        <v>-0.51100000000000001</v>
      </c>
      <c r="CJ113">
        <v>-6.6000000000000003E-2</v>
      </c>
      <c r="CK113">
        <v>800</v>
      </c>
      <c r="CL113">
        <v>6</v>
      </c>
      <c r="CM113">
        <v>0.21</v>
      </c>
      <c r="CN113">
        <v>0.02</v>
      </c>
      <c r="CO113">
        <v>-310.81960975609758</v>
      </c>
      <c r="CP113">
        <v>-20.59413240418079</v>
      </c>
      <c r="CQ113">
        <v>2.0311658298124011</v>
      </c>
      <c r="CR113">
        <v>-1</v>
      </c>
      <c r="CS113">
        <v>18.608256097560979</v>
      </c>
      <c r="CT113">
        <v>0.85204181184670658</v>
      </c>
      <c r="CU113">
        <v>8.402312994205112E-2</v>
      </c>
      <c r="CV113">
        <v>-1</v>
      </c>
      <c r="CW113">
        <v>0</v>
      </c>
      <c r="CX113">
        <v>0</v>
      </c>
      <c r="CY113" t="s">
        <v>333</v>
      </c>
      <c r="CZ113">
        <v>2.3641999999999999</v>
      </c>
      <c r="DA113">
        <v>2.7137899999999999</v>
      </c>
      <c r="DB113">
        <v>0.10345500000000001</v>
      </c>
      <c r="DC113">
        <v>0.14605599999999999</v>
      </c>
      <c r="DD113">
        <v>0.116455</v>
      </c>
      <c r="DE113">
        <v>3.9509700000000002E-2</v>
      </c>
      <c r="DF113">
        <v>32714.3</v>
      </c>
      <c r="DG113">
        <v>27490.1</v>
      </c>
      <c r="DH113">
        <v>31151.599999999999</v>
      </c>
      <c r="DI113">
        <v>28051.599999999999</v>
      </c>
      <c r="DJ113">
        <v>37359.4</v>
      </c>
      <c r="DK113">
        <v>38309.699999999997</v>
      </c>
      <c r="DL113">
        <v>44328.1</v>
      </c>
      <c r="DM113">
        <v>42509.8</v>
      </c>
      <c r="DN113">
        <v>1.38195</v>
      </c>
      <c r="DO113">
        <v>2.0327199999999999</v>
      </c>
      <c r="DP113">
        <v>8.0086299999999999E-2</v>
      </c>
      <c r="DQ113">
        <v>0.19397600000000001</v>
      </c>
      <c r="DR113">
        <v>25.681999999999999</v>
      </c>
      <c r="DS113">
        <v>25.5627</v>
      </c>
      <c r="DT113">
        <v>17.899999999999999</v>
      </c>
      <c r="DU113">
        <v>29.7</v>
      </c>
      <c r="DV113">
        <v>7.5636599999999996</v>
      </c>
      <c r="DW113">
        <v>62.051200000000001</v>
      </c>
      <c r="DX113">
        <v>37.075299999999999</v>
      </c>
      <c r="DY113">
        <v>1</v>
      </c>
      <c r="DZ113">
        <v>-7.7977599999999994E-2</v>
      </c>
      <c r="EA113">
        <v>-0.21335799999999999</v>
      </c>
      <c r="EB113">
        <v>20.189599999999999</v>
      </c>
      <c r="EC113">
        <v>5.2404999999999999</v>
      </c>
      <c r="ED113">
        <v>12.039899999999999</v>
      </c>
      <c r="EE113">
        <v>5.0168499999999998</v>
      </c>
      <c r="EF113">
        <v>3.2879999999999998</v>
      </c>
      <c r="EG113">
        <v>9999</v>
      </c>
      <c r="EH113">
        <v>9999</v>
      </c>
      <c r="EI113">
        <v>9999</v>
      </c>
      <c r="EJ113">
        <v>999.9</v>
      </c>
      <c r="EK113">
        <v>1.8689100000000001</v>
      </c>
      <c r="EL113">
        <v>1.86463</v>
      </c>
      <c r="EM113">
        <v>1.8692</v>
      </c>
      <c r="EN113">
        <v>1.86727</v>
      </c>
      <c r="EO113">
        <v>1.8633999999999999</v>
      </c>
      <c r="EP113">
        <v>1.8645700000000001</v>
      </c>
      <c r="EQ113">
        <v>1.87015</v>
      </c>
      <c r="ER113">
        <v>1.8694299999999999</v>
      </c>
      <c r="ES113">
        <v>0</v>
      </c>
      <c r="ET113">
        <v>0</v>
      </c>
      <c r="EU113">
        <v>0</v>
      </c>
      <c r="EV113">
        <v>0</v>
      </c>
      <c r="EW113" t="s">
        <v>334</v>
      </c>
      <c r="EX113" t="s">
        <v>335</v>
      </c>
      <c r="EY113" t="s">
        <v>336</v>
      </c>
      <c r="EZ113" t="s">
        <v>336</v>
      </c>
      <c r="FA113" t="s">
        <v>336</v>
      </c>
      <c r="FB113" t="s">
        <v>336</v>
      </c>
      <c r="FC113">
        <v>0</v>
      </c>
      <c r="FD113">
        <v>100</v>
      </c>
      <c r="FE113">
        <v>100</v>
      </c>
      <c r="FF113">
        <v>-0.28899999999999998</v>
      </c>
      <c r="FG113">
        <v>0.19159999999999999</v>
      </c>
      <c r="FH113">
        <v>4.0020685143421282E-2</v>
      </c>
      <c r="FI113">
        <v>-6.1462078757559423E-4</v>
      </c>
      <c r="FJ113">
        <v>-1.8861989874597051E-7</v>
      </c>
      <c r="FK113">
        <v>1.1980462299894961E-10</v>
      </c>
      <c r="FL113">
        <v>0.19160597004026461</v>
      </c>
      <c r="FM113">
        <v>0</v>
      </c>
      <c r="FN113">
        <v>0</v>
      </c>
      <c r="FO113">
        <v>0</v>
      </c>
      <c r="FP113">
        <v>3</v>
      </c>
      <c r="FQ113">
        <v>2158</v>
      </c>
      <c r="FR113">
        <v>1</v>
      </c>
      <c r="FS113">
        <v>19</v>
      </c>
      <c r="FT113">
        <v>24.3</v>
      </c>
      <c r="FU113">
        <v>24.2</v>
      </c>
      <c r="FV113">
        <v>1.77979</v>
      </c>
      <c r="FW113">
        <v>2.5744600000000002</v>
      </c>
      <c r="FX113">
        <v>1.5490699999999999</v>
      </c>
      <c r="FY113">
        <v>2.3290999999999999</v>
      </c>
      <c r="FZ113">
        <v>1.50146</v>
      </c>
      <c r="GA113">
        <v>2.3718300000000001</v>
      </c>
      <c r="GB113">
        <v>33.828299999999999</v>
      </c>
      <c r="GC113">
        <v>23.991199999999999</v>
      </c>
      <c r="GD113">
        <v>19</v>
      </c>
      <c r="GE113">
        <v>245.464</v>
      </c>
      <c r="GF113">
        <v>582.27300000000002</v>
      </c>
      <c r="GG113">
        <v>25.390599999999999</v>
      </c>
      <c r="GH113">
        <v>26.410799999999998</v>
      </c>
      <c r="GI113">
        <v>29.9999</v>
      </c>
      <c r="GJ113">
        <v>26.5549</v>
      </c>
      <c r="GK113">
        <v>26.526900000000001</v>
      </c>
      <c r="GL113">
        <v>35.581299999999999</v>
      </c>
      <c r="GM113">
        <v>-30</v>
      </c>
      <c r="GN113">
        <v>-30</v>
      </c>
      <c r="GO113">
        <v>25.390999999999998</v>
      </c>
      <c r="GP113">
        <v>800</v>
      </c>
      <c r="GQ113">
        <v>12.5298</v>
      </c>
      <c r="GR113">
        <v>99.667100000000005</v>
      </c>
      <c r="GS113">
        <v>99.451400000000007</v>
      </c>
    </row>
    <row r="114" spans="1:201" x14ac:dyDescent="0.25">
      <c r="A114">
        <v>98</v>
      </c>
      <c r="B114">
        <v>1690213385.5999999</v>
      </c>
      <c r="C114">
        <v>1118.099999904633</v>
      </c>
      <c r="D114" t="s">
        <v>527</v>
      </c>
      <c r="E114" t="s">
        <v>528</v>
      </c>
      <c r="F114" t="s">
        <v>330</v>
      </c>
      <c r="H114">
        <v>1690213385.5999999</v>
      </c>
      <c r="I114">
        <f t="shared" si="30"/>
        <v>1.686606726436673E-3</v>
      </c>
      <c r="J114">
        <f t="shared" si="31"/>
        <v>1.6866067264366729</v>
      </c>
      <c r="K114">
        <f t="shared" si="32"/>
        <v>26.850048229652963</v>
      </c>
      <c r="L114">
        <f t="shared" si="33"/>
        <v>481.95499999999998</v>
      </c>
      <c r="M114">
        <f t="shared" si="34"/>
        <v>86.147681452259803</v>
      </c>
      <c r="N114">
        <f t="shared" si="35"/>
        <v>8.5460274298288912</v>
      </c>
      <c r="O114">
        <f t="shared" si="36"/>
        <v>47.810928634518</v>
      </c>
      <c r="P114">
        <f t="shared" si="37"/>
        <v>0.11342861763396157</v>
      </c>
      <c r="Q114">
        <f t="shared" si="38"/>
        <v>2.0135867116152397</v>
      </c>
      <c r="R114">
        <f t="shared" si="39"/>
        <v>0.10999470282661701</v>
      </c>
      <c r="S114">
        <f t="shared" si="40"/>
        <v>6.9046553337741567E-2</v>
      </c>
      <c r="T114">
        <f t="shared" si="41"/>
        <v>276.11610930000006</v>
      </c>
      <c r="U114">
        <f t="shared" si="42"/>
        <v>28.661391263103514</v>
      </c>
      <c r="V114">
        <f t="shared" si="43"/>
        <v>28.661391263103514</v>
      </c>
      <c r="W114">
        <f t="shared" si="44"/>
        <v>3.9436410706826828</v>
      </c>
      <c r="X114">
        <f t="shared" si="45"/>
        <v>69.127745456329464</v>
      </c>
      <c r="Y114">
        <f t="shared" si="46"/>
        <v>2.4717085967876402</v>
      </c>
      <c r="Z114">
        <f t="shared" si="47"/>
        <v>3.5755666273668791</v>
      </c>
      <c r="AA114">
        <f t="shared" si="48"/>
        <v>1.4719324738950426</v>
      </c>
      <c r="AB114">
        <f t="shared" si="49"/>
        <v>-74.379356635857278</v>
      </c>
      <c r="AC114">
        <f t="shared" si="50"/>
        <v>-182.21111464130635</v>
      </c>
      <c r="AD114">
        <f t="shared" si="51"/>
        <v>-19.690127577463389</v>
      </c>
      <c r="AE114">
        <f t="shared" si="52"/>
        <v>-0.1644895546269538</v>
      </c>
      <c r="AF114">
        <v>34</v>
      </c>
      <c r="AG114">
        <v>11</v>
      </c>
      <c r="AH114">
        <f t="shared" si="53"/>
        <v>1</v>
      </c>
      <c r="AI114">
        <f t="shared" si="54"/>
        <v>0</v>
      </c>
      <c r="AJ114">
        <f t="shared" si="55"/>
        <v>52477.7385125828</v>
      </c>
      <c r="AK114">
        <f t="shared" si="56"/>
        <v>1800</v>
      </c>
      <c r="AL114">
        <f t="shared" si="57"/>
        <v>1499.111991</v>
      </c>
      <c r="AM114">
        <f t="shared" si="58"/>
        <v>0.83283999499999994</v>
      </c>
      <c r="AN114">
        <f t="shared" si="59"/>
        <v>0.15339783850000002</v>
      </c>
      <c r="AO114">
        <v>34.5</v>
      </c>
      <c r="AP114">
        <v>0.5</v>
      </c>
      <c r="AQ114" t="s">
        <v>331</v>
      </c>
      <c r="AR114">
        <v>2</v>
      </c>
      <c r="AS114">
        <v>1690213385.5999999</v>
      </c>
      <c r="AT114">
        <v>481.95499999999998</v>
      </c>
      <c r="AU114">
        <v>799.96299999999997</v>
      </c>
      <c r="AV114">
        <v>24.915900000000001</v>
      </c>
      <c r="AW114">
        <v>6.0100600000000002</v>
      </c>
      <c r="AX114">
        <v>482.24200000000002</v>
      </c>
      <c r="AY114">
        <v>24.724299999999999</v>
      </c>
      <c r="AZ114">
        <v>300.10899999999998</v>
      </c>
      <c r="BA114">
        <v>99.102099999999993</v>
      </c>
      <c r="BB114">
        <v>9.9959599999999996E-2</v>
      </c>
      <c r="BC114">
        <v>26.982900000000001</v>
      </c>
      <c r="BD114">
        <v>27.001999999999999</v>
      </c>
      <c r="BE114">
        <v>28.732700000000001</v>
      </c>
      <c r="BF114">
        <v>0</v>
      </c>
      <c r="BG114">
        <v>0</v>
      </c>
      <c r="BH114">
        <v>10014.4</v>
      </c>
      <c r="BI114">
        <v>1076.69</v>
      </c>
      <c r="BJ114">
        <v>2.0744500000000001</v>
      </c>
      <c r="BK114">
        <v>-318.00799999999998</v>
      </c>
      <c r="BL114">
        <v>494.27</v>
      </c>
      <c r="BM114">
        <v>804.8</v>
      </c>
      <c r="BN114">
        <v>18.905899999999999</v>
      </c>
      <c r="BO114">
        <v>799.96299999999997</v>
      </c>
      <c r="BP114">
        <v>6.0100600000000002</v>
      </c>
      <c r="BQ114">
        <v>2.46922</v>
      </c>
      <c r="BR114">
        <v>0.59560999999999997</v>
      </c>
      <c r="BS114">
        <v>20.824999999999999</v>
      </c>
      <c r="BT114">
        <v>-0.410134</v>
      </c>
      <c r="BU114">
        <v>1800</v>
      </c>
      <c r="BV114">
        <v>0.90999099999999999</v>
      </c>
      <c r="BW114">
        <v>3.3994999999999997E-2</v>
      </c>
      <c r="BX114">
        <v>2.2006499999999998E-2</v>
      </c>
      <c r="BY114">
        <v>3.4007200000000001E-2</v>
      </c>
      <c r="BZ114">
        <v>26</v>
      </c>
      <c r="CA114">
        <v>33528.199999999997</v>
      </c>
      <c r="CB114">
        <v>1690211922</v>
      </c>
      <c r="CC114" t="s">
        <v>332</v>
      </c>
      <c r="CD114">
        <v>1690211915</v>
      </c>
      <c r="CE114">
        <v>1690211922</v>
      </c>
      <c r="CF114">
        <v>6</v>
      </c>
      <c r="CG114">
        <v>1.0999999999999999E-2</v>
      </c>
      <c r="CH114">
        <v>8.0000000000000002E-3</v>
      </c>
      <c r="CI114">
        <v>-0.51100000000000001</v>
      </c>
      <c r="CJ114">
        <v>-6.6000000000000003E-2</v>
      </c>
      <c r="CK114">
        <v>800</v>
      </c>
      <c r="CL114">
        <v>6</v>
      </c>
      <c r="CM114">
        <v>0.21</v>
      </c>
      <c r="CN114">
        <v>0.02</v>
      </c>
      <c r="CO114">
        <v>-314.19762500000002</v>
      </c>
      <c r="CP114">
        <v>-20.953181988742479</v>
      </c>
      <c r="CQ114">
        <v>2.0157691173284178</v>
      </c>
      <c r="CR114">
        <v>-1</v>
      </c>
      <c r="CS114">
        <v>18.746665</v>
      </c>
      <c r="CT114">
        <v>0.85460262664165287</v>
      </c>
      <c r="CU114">
        <v>8.221805929964543E-2</v>
      </c>
      <c r="CV114">
        <v>-1</v>
      </c>
      <c r="CW114">
        <v>0</v>
      </c>
      <c r="CX114">
        <v>0</v>
      </c>
      <c r="CY114" t="s">
        <v>333</v>
      </c>
      <c r="CZ114">
        <v>2.3641100000000002</v>
      </c>
      <c r="DA114">
        <v>2.7137600000000002</v>
      </c>
      <c r="DB114">
        <v>0.102926</v>
      </c>
      <c r="DC114">
        <v>0.14605699999999999</v>
      </c>
      <c r="DD114">
        <v>0.11691</v>
      </c>
      <c r="DE114">
        <v>3.9495099999999998E-2</v>
      </c>
      <c r="DF114">
        <v>32732.799999999999</v>
      </c>
      <c r="DG114">
        <v>27490</v>
      </c>
      <c r="DH114">
        <v>31150.799999999999</v>
      </c>
      <c r="DI114">
        <v>28051.599999999999</v>
      </c>
      <c r="DJ114">
        <v>37339</v>
      </c>
      <c r="DK114">
        <v>38310.199999999997</v>
      </c>
      <c r="DL114">
        <v>44327.199999999997</v>
      </c>
      <c r="DM114">
        <v>42509.8</v>
      </c>
      <c r="DN114">
        <v>1.3828</v>
      </c>
      <c r="DO114">
        <v>2.0331199999999998</v>
      </c>
      <c r="DP114">
        <v>8.07866E-2</v>
      </c>
      <c r="DQ114">
        <v>0.193883</v>
      </c>
      <c r="DR114">
        <v>25.679400000000001</v>
      </c>
      <c r="DS114">
        <v>25.5627</v>
      </c>
      <c r="DT114">
        <v>17.899999999999999</v>
      </c>
      <c r="DU114">
        <v>29.7</v>
      </c>
      <c r="DV114">
        <v>7.5644600000000004</v>
      </c>
      <c r="DW114">
        <v>61.351199999999999</v>
      </c>
      <c r="DX114">
        <v>37.259599999999999</v>
      </c>
      <c r="DY114">
        <v>1</v>
      </c>
      <c r="DZ114">
        <v>-7.7893799999999999E-2</v>
      </c>
      <c r="EA114">
        <v>-0.21643799999999999</v>
      </c>
      <c r="EB114">
        <v>20.189699999999998</v>
      </c>
      <c r="EC114">
        <v>5.2409499999999998</v>
      </c>
      <c r="ED114">
        <v>12.039899999999999</v>
      </c>
      <c r="EE114">
        <v>5.0168499999999998</v>
      </c>
      <c r="EF114">
        <v>3.2879999999999998</v>
      </c>
      <c r="EG114">
        <v>9999</v>
      </c>
      <c r="EH114">
        <v>9999</v>
      </c>
      <c r="EI114">
        <v>9999</v>
      </c>
      <c r="EJ114">
        <v>999.9</v>
      </c>
      <c r="EK114">
        <v>1.8689199999999999</v>
      </c>
      <c r="EL114">
        <v>1.8646799999999999</v>
      </c>
      <c r="EM114">
        <v>1.8692</v>
      </c>
      <c r="EN114">
        <v>1.8672599999999999</v>
      </c>
      <c r="EO114">
        <v>1.8633999999999999</v>
      </c>
      <c r="EP114">
        <v>1.86456</v>
      </c>
      <c r="EQ114">
        <v>1.87016</v>
      </c>
      <c r="ER114">
        <v>1.8694500000000001</v>
      </c>
      <c r="ES114">
        <v>0</v>
      </c>
      <c r="ET114">
        <v>0</v>
      </c>
      <c r="EU114">
        <v>0</v>
      </c>
      <c r="EV114">
        <v>0</v>
      </c>
      <c r="EW114" t="s">
        <v>334</v>
      </c>
      <c r="EX114" t="s">
        <v>335</v>
      </c>
      <c r="EY114" t="s">
        <v>336</v>
      </c>
      <c r="EZ114" t="s">
        <v>336</v>
      </c>
      <c r="FA114" t="s">
        <v>336</v>
      </c>
      <c r="FB114" t="s">
        <v>336</v>
      </c>
      <c r="FC114">
        <v>0</v>
      </c>
      <c r="FD114">
        <v>100</v>
      </c>
      <c r="FE114">
        <v>100</v>
      </c>
      <c r="FF114">
        <v>-0.28699999999999998</v>
      </c>
      <c r="FG114">
        <v>0.19159999999999999</v>
      </c>
      <c r="FH114">
        <v>4.0020685143421282E-2</v>
      </c>
      <c r="FI114">
        <v>-6.1462078757559423E-4</v>
      </c>
      <c r="FJ114">
        <v>-1.8861989874597051E-7</v>
      </c>
      <c r="FK114">
        <v>1.1980462299894961E-10</v>
      </c>
      <c r="FL114">
        <v>0.19160597004026461</v>
      </c>
      <c r="FM114">
        <v>0</v>
      </c>
      <c r="FN114">
        <v>0</v>
      </c>
      <c r="FO114">
        <v>0</v>
      </c>
      <c r="FP114">
        <v>3</v>
      </c>
      <c r="FQ114">
        <v>2158</v>
      </c>
      <c r="FR114">
        <v>1</v>
      </c>
      <c r="FS114">
        <v>19</v>
      </c>
      <c r="FT114">
        <v>24.5</v>
      </c>
      <c r="FU114">
        <v>24.4</v>
      </c>
      <c r="FV114">
        <v>1.77979</v>
      </c>
      <c r="FW114">
        <v>2.5756800000000002</v>
      </c>
      <c r="FX114">
        <v>1.5490699999999999</v>
      </c>
      <c r="FY114">
        <v>2.3290999999999999</v>
      </c>
      <c r="FZ114">
        <v>1.50146</v>
      </c>
      <c r="GA114">
        <v>2.3889200000000002</v>
      </c>
      <c r="GB114">
        <v>33.850900000000003</v>
      </c>
      <c r="GC114">
        <v>23.991199999999999</v>
      </c>
      <c r="GD114">
        <v>19</v>
      </c>
      <c r="GE114">
        <v>245.78700000000001</v>
      </c>
      <c r="GF114">
        <v>582.57899999999995</v>
      </c>
      <c r="GG114">
        <v>25.398199999999999</v>
      </c>
      <c r="GH114">
        <v>26.4087</v>
      </c>
      <c r="GI114">
        <v>30</v>
      </c>
      <c r="GJ114">
        <v>26.553599999999999</v>
      </c>
      <c r="GK114">
        <v>26.524699999999999</v>
      </c>
      <c r="GL114">
        <v>35.581099999999999</v>
      </c>
      <c r="GM114">
        <v>-30</v>
      </c>
      <c r="GN114">
        <v>-30</v>
      </c>
      <c r="GO114">
        <v>25.3993</v>
      </c>
      <c r="GP114">
        <v>800</v>
      </c>
      <c r="GQ114">
        <v>12.5298</v>
      </c>
      <c r="GR114">
        <v>99.664900000000003</v>
      </c>
      <c r="GS114">
        <v>99.451300000000003</v>
      </c>
    </row>
    <row r="115" spans="1:201" x14ac:dyDescent="0.25">
      <c r="A115">
        <v>99</v>
      </c>
      <c r="B115">
        <v>1690213395.5999999</v>
      </c>
      <c r="C115">
        <v>1128.099999904633</v>
      </c>
      <c r="D115" t="s">
        <v>529</v>
      </c>
      <c r="E115" t="s">
        <v>530</v>
      </c>
      <c r="F115" t="s">
        <v>330</v>
      </c>
      <c r="H115">
        <v>1690213395.5999999</v>
      </c>
      <c r="I115">
        <f t="shared" si="30"/>
        <v>1.6986382380358793E-3</v>
      </c>
      <c r="J115">
        <f t="shared" si="31"/>
        <v>1.6986382380358793</v>
      </c>
      <c r="K115">
        <f t="shared" si="32"/>
        <v>27.150412857432684</v>
      </c>
      <c r="L115">
        <f t="shared" si="33"/>
        <v>478.63099999999997</v>
      </c>
      <c r="M115">
        <f t="shared" si="34"/>
        <v>84.699429962460442</v>
      </c>
      <c r="N115">
        <f t="shared" si="35"/>
        <v>8.4017959777938263</v>
      </c>
      <c r="O115">
        <f t="shared" si="36"/>
        <v>47.478005606764292</v>
      </c>
      <c r="P115">
        <f t="shared" si="37"/>
        <v>0.11527066197704641</v>
      </c>
      <c r="Q115">
        <f t="shared" si="38"/>
        <v>2.0113568007122584</v>
      </c>
      <c r="R115">
        <f t="shared" si="39"/>
        <v>0.11172238667411119</v>
      </c>
      <c r="S115">
        <f t="shared" si="40"/>
        <v>7.0136191824614405E-2</v>
      </c>
      <c r="T115">
        <f t="shared" si="41"/>
        <v>276.11617913999999</v>
      </c>
      <c r="U115">
        <f t="shared" si="42"/>
        <v>28.66074998580806</v>
      </c>
      <c r="V115">
        <f t="shared" si="43"/>
        <v>28.66074998580806</v>
      </c>
      <c r="W115">
        <f t="shared" si="44"/>
        <v>3.9434943653327919</v>
      </c>
      <c r="X115">
        <f t="shared" si="45"/>
        <v>69.467993218584553</v>
      </c>
      <c r="Y115">
        <f t="shared" si="46"/>
        <v>2.4841807944154897</v>
      </c>
      <c r="Z115">
        <f t="shared" si="47"/>
        <v>3.5760077113482884</v>
      </c>
      <c r="AA115">
        <f t="shared" si="48"/>
        <v>1.4593135709173022</v>
      </c>
      <c r="AB115">
        <f t="shared" si="49"/>
        <v>-74.909946297382277</v>
      </c>
      <c r="AC115">
        <f t="shared" si="50"/>
        <v>-181.71207429395787</v>
      </c>
      <c r="AD115">
        <f t="shared" si="51"/>
        <v>-19.658112553449016</v>
      </c>
      <c r="AE115">
        <f t="shared" si="52"/>
        <v>-0.16395400478918987</v>
      </c>
      <c r="AF115">
        <v>34</v>
      </c>
      <c r="AG115">
        <v>11</v>
      </c>
      <c r="AH115">
        <f t="shared" si="53"/>
        <v>1</v>
      </c>
      <c r="AI115">
        <f t="shared" si="54"/>
        <v>0</v>
      </c>
      <c r="AJ115">
        <f t="shared" si="55"/>
        <v>52370.102273217235</v>
      </c>
      <c r="AK115">
        <f t="shared" si="56"/>
        <v>1800</v>
      </c>
      <c r="AL115">
        <f t="shared" si="57"/>
        <v>1499.1100019999999</v>
      </c>
      <c r="AM115">
        <f t="shared" si="58"/>
        <v>0.83283888999999989</v>
      </c>
      <c r="AN115">
        <f t="shared" si="59"/>
        <v>0.15339787729999999</v>
      </c>
      <c r="AO115">
        <v>34.5</v>
      </c>
      <c r="AP115">
        <v>0.5</v>
      </c>
      <c r="AQ115" t="s">
        <v>331</v>
      </c>
      <c r="AR115">
        <v>2</v>
      </c>
      <c r="AS115">
        <v>1690213395.5999999</v>
      </c>
      <c r="AT115">
        <v>478.63099999999997</v>
      </c>
      <c r="AU115">
        <v>800.03800000000001</v>
      </c>
      <c r="AV115">
        <v>25.043299999999999</v>
      </c>
      <c r="AW115">
        <v>6.0083799999999998</v>
      </c>
      <c r="AX115">
        <v>478.91500000000002</v>
      </c>
      <c r="AY115">
        <v>24.851700000000001</v>
      </c>
      <c r="AZ115">
        <v>300.161</v>
      </c>
      <c r="BA115">
        <v>99.095500000000001</v>
      </c>
      <c r="BB115">
        <v>9.9925299999999995E-2</v>
      </c>
      <c r="BC115">
        <v>26.984999999999999</v>
      </c>
      <c r="BD115">
        <v>26.989699999999999</v>
      </c>
      <c r="BE115">
        <v>28.729800000000001</v>
      </c>
      <c r="BF115">
        <v>0</v>
      </c>
      <c r="BG115">
        <v>0</v>
      </c>
      <c r="BH115">
        <v>9993.75</v>
      </c>
      <c r="BI115">
        <v>1076.75</v>
      </c>
      <c r="BJ115">
        <v>2.0744500000000001</v>
      </c>
      <c r="BK115">
        <v>-321.40800000000002</v>
      </c>
      <c r="BL115">
        <v>490.92500000000001</v>
      </c>
      <c r="BM115">
        <v>804.87400000000002</v>
      </c>
      <c r="BN115">
        <v>19.0349</v>
      </c>
      <c r="BO115">
        <v>800.03800000000001</v>
      </c>
      <c r="BP115">
        <v>6.0083799999999998</v>
      </c>
      <c r="BQ115">
        <v>2.4816699999999998</v>
      </c>
      <c r="BR115">
        <v>0.59540300000000002</v>
      </c>
      <c r="BS115">
        <v>20.9068</v>
      </c>
      <c r="BT115">
        <v>-0.414885</v>
      </c>
      <c r="BU115">
        <v>1800</v>
      </c>
      <c r="BV115">
        <v>0.90998400000000002</v>
      </c>
      <c r="BW115">
        <v>3.40033E-2</v>
      </c>
      <c r="BX115">
        <v>2.2006000000000001E-2</v>
      </c>
      <c r="BY115">
        <v>3.4006399999999999E-2</v>
      </c>
      <c r="BZ115">
        <v>26</v>
      </c>
      <c r="CA115">
        <v>33528.199999999997</v>
      </c>
      <c r="CB115">
        <v>1690211922</v>
      </c>
      <c r="CC115" t="s">
        <v>332</v>
      </c>
      <c r="CD115">
        <v>1690211915</v>
      </c>
      <c r="CE115">
        <v>1690211922</v>
      </c>
      <c r="CF115">
        <v>6</v>
      </c>
      <c r="CG115">
        <v>1.0999999999999999E-2</v>
      </c>
      <c r="CH115">
        <v>8.0000000000000002E-3</v>
      </c>
      <c r="CI115">
        <v>-0.51100000000000001</v>
      </c>
      <c r="CJ115">
        <v>-6.6000000000000003E-2</v>
      </c>
      <c r="CK115">
        <v>800</v>
      </c>
      <c r="CL115">
        <v>6</v>
      </c>
      <c r="CM115">
        <v>0.21</v>
      </c>
      <c r="CN115">
        <v>0.02</v>
      </c>
      <c r="CO115">
        <v>-317.63729999999998</v>
      </c>
      <c r="CP115">
        <v>-20.288960600375461</v>
      </c>
      <c r="CQ115">
        <v>1.952102100301109</v>
      </c>
      <c r="CR115">
        <v>-1</v>
      </c>
      <c r="CS115">
        <v>18.886567500000002</v>
      </c>
      <c r="CT115">
        <v>0.82091594746713104</v>
      </c>
      <c r="CU115">
        <v>7.8985186546275621E-2</v>
      </c>
      <c r="CV115">
        <v>-1</v>
      </c>
      <c r="CW115">
        <v>0</v>
      </c>
      <c r="CX115">
        <v>0</v>
      </c>
      <c r="CY115" t="s">
        <v>333</v>
      </c>
      <c r="CZ115">
        <v>2.36429</v>
      </c>
      <c r="DA115">
        <v>2.7137099999999998</v>
      </c>
      <c r="DB115">
        <v>0.102397</v>
      </c>
      <c r="DC115">
        <v>0.14605799999999999</v>
      </c>
      <c r="DD115">
        <v>0.117323</v>
      </c>
      <c r="DE115">
        <v>3.9483799999999999E-2</v>
      </c>
      <c r="DF115">
        <v>32752.6</v>
      </c>
      <c r="DG115">
        <v>27490</v>
      </c>
      <c r="DH115">
        <v>31151.200000000001</v>
      </c>
      <c r="DI115">
        <v>28051.5</v>
      </c>
      <c r="DJ115">
        <v>37321.699999999997</v>
      </c>
      <c r="DK115">
        <v>38310.699999999997</v>
      </c>
      <c r="DL115">
        <v>44327.6</v>
      </c>
      <c r="DM115">
        <v>42509.9</v>
      </c>
      <c r="DN115">
        <v>1.38307</v>
      </c>
      <c r="DO115">
        <v>2.0329999999999999</v>
      </c>
      <c r="DP115">
        <v>8.0235299999999996E-2</v>
      </c>
      <c r="DQ115">
        <v>0.19383800000000001</v>
      </c>
      <c r="DR115">
        <v>25.676100000000002</v>
      </c>
      <c r="DS115">
        <v>25.560500000000001</v>
      </c>
      <c r="DT115">
        <v>17.899999999999999</v>
      </c>
      <c r="DU115">
        <v>29.7</v>
      </c>
      <c r="DV115">
        <v>7.5645600000000002</v>
      </c>
      <c r="DW115">
        <v>61.7012</v>
      </c>
      <c r="DX115">
        <v>37.095399999999998</v>
      </c>
      <c r="DY115">
        <v>1</v>
      </c>
      <c r="DZ115">
        <v>-7.7881099999999995E-2</v>
      </c>
      <c r="EA115">
        <v>-0.113845</v>
      </c>
      <c r="EB115">
        <v>20.189699999999998</v>
      </c>
      <c r="EC115">
        <v>5.2408000000000001</v>
      </c>
      <c r="ED115">
        <v>12.039899999999999</v>
      </c>
      <c r="EE115">
        <v>5.0167999999999999</v>
      </c>
      <c r="EF115">
        <v>3.2879999999999998</v>
      </c>
      <c r="EG115">
        <v>9999</v>
      </c>
      <c r="EH115">
        <v>9999</v>
      </c>
      <c r="EI115">
        <v>9999</v>
      </c>
      <c r="EJ115">
        <v>999.9</v>
      </c>
      <c r="EK115">
        <v>1.8689100000000001</v>
      </c>
      <c r="EL115">
        <v>1.8646400000000001</v>
      </c>
      <c r="EM115">
        <v>1.8691899999999999</v>
      </c>
      <c r="EN115">
        <v>1.8672299999999999</v>
      </c>
      <c r="EO115">
        <v>1.8633999999999999</v>
      </c>
      <c r="EP115">
        <v>1.86456</v>
      </c>
      <c r="EQ115">
        <v>1.87015</v>
      </c>
      <c r="ER115">
        <v>1.86941</v>
      </c>
      <c r="ES115">
        <v>0</v>
      </c>
      <c r="ET115">
        <v>0</v>
      </c>
      <c r="EU115">
        <v>0</v>
      </c>
      <c r="EV115">
        <v>0</v>
      </c>
      <c r="EW115" t="s">
        <v>334</v>
      </c>
      <c r="EX115" t="s">
        <v>335</v>
      </c>
      <c r="EY115" t="s">
        <v>336</v>
      </c>
      <c r="EZ115" t="s">
        <v>336</v>
      </c>
      <c r="FA115" t="s">
        <v>336</v>
      </c>
      <c r="FB115" t="s">
        <v>336</v>
      </c>
      <c r="FC115">
        <v>0</v>
      </c>
      <c r="FD115">
        <v>100</v>
      </c>
      <c r="FE115">
        <v>100</v>
      </c>
      <c r="FF115">
        <v>-0.28399999999999997</v>
      </c>
      <c r="FG115">
        <v>0.19159999999999999</v>
      </c>
      <c r="FH115">
        <v>4.0020685143421282E-2</v>
      </c>
      <c r="FI115">
        <v>-6.1462078757559423E-4</v>
      </c>
      <c r="FJ115">
        <v>-1.8861989874597051E-7</v>
      </c>
      <c r="FK115">
        <v>1.1980462299894961E-10</v>
      </c>
      <c r="FL115">
        <v>0.19160597004026461</v>
      </c>
      <c r="FM115">
        <v>0</v>
      </c>
      <c r="FN115">
        <v>0</v>
      </c>
      <c r="FO115">
        <v>0</v>
      </c>
      <c r="FP115">
        <v>3</v>
      </c>
      <c r="FQ115">
        <v>2158</v>
      </c>
      <c r="FR115">
        <v>1</v>
      </c>
      <c r="FS115">
        <v>19</v>
      </c>
      <c r="FT115">
        <v>24.7</v>
      </c>
      <c r="FU115">
        <v>24.6</v>
      </c>
      <c r="FV115">
        <v>1.77979</v>
      </c>
      <c r="FW115">
        <v>2.5756800000000002</v>
      </c>
      <c r="FX115">
        <v>1.5490699999999999</v>
      </c>
      <c r="FY115">
        <v>2.3303199999999999</v>
      </c>
      <c r="FZ115">
        <v>1.50146</v>
      </c>
      <c r="GA115">
        <v>2.3877000000000002</v>
      </c>
      <c r="GB115">
        <v>33.828299999999999</v>
      </c>
      <c r="GC115">
        <v>23.991199999999999</v>
      </c>
      <c r="GD115">
        <v>19</v>
      </c>
      <c r="GE115">
        <v>245.88900000000001</v>
      </c>
      <c r="GF115">
        <v>582.45100000000002</v>
      </c>
      <c r="GG115">
        <v>25.366599999999998</v>
      </c>
      <c r="GH115">
        <v>26.406500000000001</v>
      </c>
      <c r="GI115">
        <v>30</v>
      </c>
      <c r="GJ115">
        <v>26.552600000000002</v>
      </c>
      <c r="GK115">
        <v>26.522500000000001</v>
      </c>
      <c r="GL115">
        <v>35.5779</v>
      </c>
      <c r="GM115">
        <v>-30</v>
      </c>
      <c r="GN115">
        <v>-30</v>
      </c>
      <c r="GO115">
        <v>25.363700000000001</v>
      </c>
      <c r="GP115">
        <v>800</v>
      </c>
      <c r="GQ115">
        <v>12.5298</v>
      </c>
      <c r="GR115">
        <v>99.665999999999997</v>
      </c>
      <c r="GS115">
        <v>99.451400000000007</v>
      </c>
    </row>
    <row r="116" spans="1:201" x14ac:dyDescent="0.25">
      <c r="A116">
        <v>100</v>
      </c>
      <c r="B116">
        <v>1690213405.5999999</v>
      </c>
      <c r="C116">
        <v>1138.099999904633</v>
      </c>
      <c r="D116" t="s">
        <v>531</v>
      </c>
      <c r="E116" t="s">
        <v>532</v>
      </c>
      <c r="F116" t="s">
        <v>330</v>
      </c>
      <c r="H116">
        <v>1690213405.5999999</v>
      </c>
      <c r="I116">
        <f t="shared" si="30"/>
        <v>1.7109167032599041E-3</v>
      </c>
      <c r="J116">
        <f t="shared" si="31"/>
        <v>1.7109167032599042</v>
      </c>
      <c r="K116">
        <f t="shared" si="32"/>
        <v>27.458341435811306</v>
      </c>
      <c r="L116">
        <f t="shared" si="33"/>
        <v>475.16899999999998</v>
      </c>
      <c r="M116">
        <f t="shared" si="34"/>
        <v>83.864699429346302</v>
      </c>
      <c r="N116">
        <f t="shared" si="35"/>
        <v>8.3195510285366758</v>
      </c>
      <c r="O116">
        <f t="shared" si="36"/>
        <v>47.137744123308998</v>
      </c>
      <c r="P116">
        <f t="shared" si="37"/>
        <v>0.11739066223514372</v>
      </c>
      <c r="Q116">
        <f t="shared" si="38"/>
        <v>2.013522953662132</v>
      </c>
      <c r="R116">
        <f t="shared" si="39"/>
        <v>0.11371673498394626</v>
      </c>
      <c r="S116">
        <f t="shared" si="40"/>
        <v>7.1393469077875665E-2</v>
      </c>
      <c r="T116">
        <f t="shared" si="41"/>
        <v>276.11641026000001</v>
      </c>
      <c r="U116">
        <f t="shared" si="42"/>
        <v>28.650924260133969</v>
      </c>
      <c r="V116">
        <f t="shared" si="43"/>
        <v>28.650924260133969</v>
      </c>
      <c r="W116">
        <f t="shared" si="44"/>
        <v>3.9412471239138083</v>
      </c>
      <c r="X116">
        <f t="shared" si="45"/>
        <v>69.845677742348784</v>
      </c>
      <c r="Y116">
        <f t="shared" si="46"/>
        <v>2.4971440401103</v>
      </c>
      <c r="Z116">
        <f t="shared" si="47"/>
        <v>3.575230595258772</v>
      </c>
      <c r="AA116">
        <f t="shared" si="48"/>
        <v>1.4441030838035083</v>
      </c>
      <c r="AB116">
        <f t="shared" si="49"/>
        <v>-75.451426613761768</v>
      </c>
      <c r="AC116">
        <f t="shared" si="50"/>
        <v>-181.24280491971274</v>
      </c>
      <c r="AD116">
        <f t="shared" si="51"/>
        <v>-19.584930029267543</v>
      </c>
      <c r="AE116">
        <f t="shared" si="52"/>
        <v>-0.16275130274203775</v>
      </c>
      <c r="AF116">
        <v>35</v>
      </c>
      <c r="AG116">
        <v>12</v>
      </c>
      <c r="AH116">
        <f t="shared" si="53"/>
        <v>1</v>
      </c>
      <c r="AI116">
        <f t="shared" si="54"/>
        <v>0</v>
      </c>
      <c r="AJ116">
        <f t="shared" si="55"/>
        <v>52474.950880231991</v>
      </c>
      <c r="AK116">
        <f t="shared" si="56"/>
        <v>1800</v>
      </c>
      <c r="AL116">
        <f t="shared" si="57"/>
        <v>1499.1100289999999</v>
      </c>
      <c r="AM116">
        <f t="shared" si="58"/>
        <v>0.83283890500000002</v>
      </c>
      <c r="AN116">
        <f t="shared" si="59"/>
        <v>0.15339800570000001</v>
      </c>
      <c r="AO116">
        <v>34.5</v>
      </c>
      <c r="AP116">
        <v>0.5</v>
      </c>
      <c r="AQ116" t="s">
        <v>331</v>
      </c>
      <c r="AR116">
        <v>2</v>
      </c>
      <c r="AS116">
        <v>1690213405.5999999</v>
      </c>
      <c r="AT116">
        <v>475.16899999999998</v>
      </c>
      <c r="AU116">
        <v>800.02599999999995</v>
      </c>
      <c r="AV116">
        <v>25.1723</v>
      </c>
      <c r="AW116">
        <v>6.0075599999999998</v>
      </c>
      <c r="AX116">
        <v>475.45100000000002</v>
      </c>
      <c r="AY116">
        <v>24.980699999999999</v>
      </c>
      <c r="AZ116">
        <v>300.24299999999999</v>
      </c>
      <c r="BA116">
        <v>99.102000000000004</v>
      </c>
      <c r="BB116">
        <v>0.100061</v>
      </c>
      <c r="BC116">
        <v>26.981300000000001</v>
      </c>
      <c r="BD116">
        <v>26.994199999999999</v>
      </c>
      <c r="BE116">
        <v>28.729099999999999</v>
      </c>
      <c r="BF116">
        <v>0</v>
      </c>
      <c r="BG116">
        <v>0</v>
      </c>
      <c r="BH116">
        <v>10013.799999999999</v>
      </c>
      <c r="BI116">
        <v>1076.8599999999999</v>
      </c>
      <c r="BJ116">
        <v>2.0744500000000001</v>
      </c>
      <c r="BK116">
        <v>-324.85700000000003</v>
      </c>
      <c r="BL116">
        <v>487.43900000000002</v>
      </c>
      <c r="BM116">
        <v>804.86099999999999</v>
      </c>
      <c r="BN116">
        <v>19.1647</v>
      </c>
      <c r="BO116">
        <v>800.02599999999995</v>
      </c>
      <c r="BP116">
        <v>6.0075599999999998</v>
      </c>
      <c r="BQ116">
        <v>2.4946199999999998</v>
      </c>
      <c r="BR116">
        <v>0.59536100000000003</v>
      </c>
      <c r="BS116">
        <v>20.991499999999998</v>
      </c>
      <c r="BT116">
        <v>-0.415856</v>
      </c>
      <c r="BU116">
        <v>1800</v>
      </c>
      <c r="BV116">
        <v>0.90998100000000004</v>
      </c>
      <c r="BW116">
        <v>3.4008400000000001E-2</v>
      </c>
      <c r="BX116">
        <v>2.2005500000000001E-2</v>
      </c>
      <c r="BY116">
        <v>3.4005599999999997E-2</v>
      </c>
      <c r="BZ116">
        <v>26</v>
      </c>
      <c r="CA116">
        <v>33528.300000000003</v>
      </c>
      <c r="CB116">
        <v>1690211922</v>
      </c>
      <c r="CC116" t="s">
        <v>332</v>
      </c>
      <c r="CD116">
        <v>1690211915</v>
      </c>
      <c r="CE116">
        <v>1690211922</v>
      </c>
      <c r="CF116">
        <v>6</v>
      </c>
      <c r="CG116">
        <v>1.0999999999999999E-2</v>
      </c>
      <c r="CH116">
        <v>8.0000000000000002E-3</v>
      </c>
      <c r="CI116">
        <v>-0.51100000000000001</v>
      </c>
      <c r="CJ116">
        <v>-6.6000000000000003E-2</v>
      </c>
      <c r="CK116">
        <v>800</v>
      </c>
      <c r="CL116">
        <v>6</v>
      </c>
      <c r="CM116">
        <v>0.21</v>
      </c>
      <c r="CN116">
        <v>0.02</v>
      </c>
      <c r="CO116">
        <v>-321.08504878048791</v>
      </c>
      <c r="CP116">
        <v>-20.188181184669261</v>
      </c>
      <c r="CQ116">
        <v>1.9912478126237829</v>
      </c>
      <c r="CR116">
        <v>-1</v>
      </c>
      <c r="CS116">
        <v>19.022280487804881</v>
      </c>
      <c r="CT116">
        <v>0.7687609756098237</v>
      </c>
      <c r="CU116">
        <v>7.5807063251299045E-2</v>
      </c>
      <c r="CV116">
        <v>-1</v>
      </c>
      <c r="CW116">
        <v>0</v>
      </c>
      <c r="CX116">
        <v>0</v>
      </c>
      <c r="CY116" t="s">
        <v>333</v>
      </c>
      <c r="CZ116">
        <v>2.3645499999999999</v>
      </c>
      <c r="DA116">
        <v>2.71387</v>
      </c>
      <c r="DB116">
        <v>0.101858</v>
      </c>
      <c r="DC116">
        <v>0.146065</v>
      </c>
      <c r="DD116">
        <v>0.117755</v>
      </c>
      <c r="DE116">
        <v>3.94819E-2</v>
      </c>
      <c r="DF116">
        <v>32772.1</v>
      </c>
      <c r="DG116">
        <v>27490</v>
      </c>
      <c r="DH116">
        <v>31151.1</v>
      </c>
      <c r="DI116">
        <v>28051.8</v>
      </c>
      <c r="DJ116">
        <v>37303.4</v>
      </c>
      <c r="DK116">
        <v>38311.1</v>
      </c>
      <c r="DL116">
        <v>44327.9</v>
      </c>
      <c r="DM116">
        <v>42510.2</v>
      </c>
      <c r="DN116">
        <v>1.38283</v>
      </c>
      <c r="DO116">
        <v>2.03268</v>
      </c>
      <c r="DP116">
        <v>8.0607799999999993E-2</v>
      </c>
      <c r="DQ116">
        <v>0.19386</v>
      </c>
      <c r="DR116">
        <v>25.674499999999998</v>
      </c>
      <c r="DS116">
        <v>25.5594</v>
      </c>
      <c r="DT116">
        <v>17.899999999999999</v>
      </c>
      <c r="DU116">
        <v>29.7</v>
      </c>
      <c r="DV116">
        <v>7.5643700000000003</v>
      </c>
      <c r="DW116">
        <v>61.541200000000003</v>
      </c>
      <c r="DX116">
        <v>36.975200000000001</v>
      </c>
      <c r="DY116">
        <v>1</v>
      </c>
      <c r="DZ116">
        <v>-7.78557E-2</v>
      </c>
      <c r="EA116">
        <v>-0.19529099999999999</v>
      </c>
      <c r="EB116">
        <v>20.189900000000002</v>
      </c>
      <c r="EC116">
        <v>5.2409499999999998</v>
      </c>
      <c r="ED116">
        <v>12.039899999999999</v>
      </c>
      <c r="EE116">
        <v>5.0167999999999999</v>
      </c>
      <c r="EF116">
        <v>3.2879999999999998</v>
      </c>
      <c r="EG116">
        <v>9999</v>
      </c>
      <c r="EH116">
        <v>9999</v>
      </c>
      <c r="EI116">
        <v>9999</v>
      </c>
      <c r="EJ116">
        <v>999.9</v>
      </c>
      <c r="EK116">
        <v>1.8689199999999999</v>
      </c>
      <c r="EL116">
        <v>1.86466</v>
      </c>
      <c r="EM116">
        <v>1.8692</v>
      </c>
      <c r="EN116">
        <v>1.8672299999999999</v>
      </c>
      <c r="EO116">
        <v>1.8633999999999999</v>
      </c>
      <c r="EP116">
        <v>1.8645799999999999</v>
      </c>
      <c r="EQ116">
        <v>1.8701700000000001</v>
      </c>
      <c r="ER116">
        <v>1.8694299999999999</v>
      </c>
      <c r="ES116">
        <v>0</v>
      </c>
      <c r="ET116">
        <v>0</v>
      </c>
      <c r="EU116">
        <v>0</v>
      </c>
      <c r="EV116">
        <v>0</v>
      </c>
      <c r="EW116" t="s">
        <v>334</v>
      </c>
      <c r="EX116" t="s">
        <v>335</v>
      </c>
      <c r="EY116" t="s">
        <v>336</v>
      </c>
      <c r="EZ116" t="s">
        <v>336</v>
      </c>
      <c r="FA116" t="s">
        <v>336</v>
      </c>
      <c r="FB116" t="s">
        <v>336</v>
      </c>
      <c r="FC116">
        <v>0</v>
      </c>
      <c r="FD116">
        <v>100</v>
      </c>
      <c r="FE116">
        <v>100</v>
      </c>
      <c r="FF116">
        <v>-0.28199999999999997</v>
      </c>
      <c r="FG116">
        <v>0.19159999999999999</v>
      </c>
      <c r="FH116">
        <v>4.0020685143421282E-2</v>
      </c>
      <c r="FI116">
        <v>-6.1462078757559423E-4</v>
      </c>
      <c r="FJ116">
        <v>-1.8861989874597051E-7</v>
      </c>
      <c r="FK116">
        <v>1.1980462299894961E-10</v>
      </c>
      <c r="FL116">
        <v>0.19160597004026461</v>
      </c>
      <c r="FM116">
        <v>0</v>
      </c>
      <c r="FN116">
        <v>0</v>
      </c>
      <c r="FO116">
        <v>0</v>
      </c>
      <c r="FP116">
        <v>3</v>
      </c>
      <c r="FQ116">
        <v>2158</v>
      </c>
      <c r="FR116">
        <v>1</v>
      </c>
      <c r="FS116">
        <v>19</v>
      </c>
      <c r="FT116">
        <v>24.8</v>
      </c>
      <c r="FU116">
        <v>24.7</v>
      </c>
      <c r="FV116">
        <v>1.77979</v>
      </c>
      <c r="FW116">
        <v>2.5744600000000002</v>
      </c>
      <c r="FX116">
        <v>1.5490699999999999</v>
      </c>
      <c r="FY116">
        <v>2.3290999999999999</v>
      </c>
      <c r="FZ116">
        <v>1.50146</v>
      </c>
      <c r="GA116">
        <v>2.3815900000000001</v>
      </c>
      <c r="GB116">
        <v>33.850900000000003</v>
      </c>
      <c r="GC116">
        <v>23.991199999999999</v>
      </c>
      <c r="GD116">
        <v>19</v>
      </c>
      <c r="GE116">
        <v>245.785</v>
      </c>
      <c r="GF116">
        <v>582.18200000000002</v>
      </c>
      <c r="GG116">
        <v>25.3614</v>
      </c>
      <c r="GH116">
        <v>26.404199999999999</v>
      </c>
      <c r="GI116">
        <v>30.0001</v>
      </c>
      <c r="GJ116">
        <v>26.5504</v>
      </c>
      <c r="GK116">
        <v>26.522500000000001</v>
      </c>
      <c r="GL116">
        <v>35.5837</v>
      </c>
      <c r="GM116">
        <v>-30</v>
      </c>
      <c r="GN116">
        <v>-30</v>
      </c>
      <c r="GO116">
        <v>25.373799999999999</v>
      </c>
      <c r="GP116">
        <v>800</v>
      </c>
      <c r="GQ116">
        <v>12.5298</v>
      </c>
      <c r="GR116">
        <v>99.666200000000003</v>
      </c>
      <c r="GS116">
        <v>99.452299999999994</v>
      </c>
    </row>
    <row r="117" spans="1:201" x14ac:dyDescent="0.25">
      <c r="A117">
        <v>101</v>
      </c>
      <c r="B117">
        <v>1690213415.5999999</v>
      </c>
      <c r="C117">
        <v>1148.099999904633</v>
      </c>
      <c r="D117" t="s">
        <v>533</v>
      </c>
      <c r="E117" t="s">
        <v>534</v>
      </c>
      <c r="F117" t="s">
        <v>330</v>
      </c>
      <c r="H117">
        <v>1690213415.5999999</v>
      </c>
      <c r="I117">
        <f t="shared" si="30"/>
        <v>1.7231611982826917E-3</v>
      </c>
      <c r="J117">
        <f t="shared" si="31"/>
        <v>1.7231611982826918</v>
      </c>
      <c r="K117">
        <f t="shared" si="32"/>
        <v>27.743626869638756</v>
      </c>
      <c r="L117">
        <f t="shared" si="33"/>
        <v>471.78199999999998</v>
      </c>
      <c r="M117">
        <f t="shared" si="34"/>
        <v>83.133609891753608</v>
      </c>
      <c r="N117">
        <f t="shared" si="35"/>
        <v>8.2466418611559043</v>
      </c>
      <c r="O117">
        <f t="shared" si="36"/>
        <v>46.799569940554001</v>
      </c>
      <c r="P117">
        <f t="shared" si="37"/>
        <v>0.11946076146615821</v>
      </c>
      <c r="Q117">
        <f t="shared" si="38"/>
        <v>2.0105251281538319</v>
      </c>
      <c r="R117">
        <f t="shared" si="39"/>
        <v>0.1156529013238403</v>
      </c>
      <c r="S117">
        <f t="shared" si="40"/>
        <v>7.2615073448321396E-2</v>
      </c>
      <c r="T117">
        <f t="shared" si="41"/>
        <v>276.11622266399996</v>
      </c>
      <c r="U117">
        <f t="shared" si="42"/>
        <v>28.648272632073386</v>
      </c>
      <c r="V117">
        <f t="shared" si="43"/>
        <v>28.648272632073386</v>
      </c>
      <c r="W117">
        <f t="shared" si="44"/>
        <v>3.9406408615474144</v>
      </c>
      <c r="X117">
        <f t="shared" si="45"/>
        <v>70.226970517678907</v>
      </c>
      <c r="Y117">
        <f t="shared" si="46"/>
        <v>2.5107171428041002</v>
      </c>
      <c r="Z117">
        <f t="shared" si="47"/>
        <v>3.575146591539291</v>
      </c>
      <c r="AA117">
        <f t="shared" si="48"/>
        <v>1.4299237187433143</v>
      </c>
      <c r="AB117">
        <f t="shared" si="49"/>
        <v>-75.991408844266701</v>
      </c>
      <c r="AC117">
        <f t="shared" si="50"/>
        <v>-180.72890511551455</v>
      </c>
      <c r="AD117">
        <f t="shared" si="51"/>
        <v>-19.558220091942847</v>
      </c>
      <c r="AE117">
        <f t="shared" si="52"/>
        <v>-0.16231138772414511</v>
      </c>
      <c r="AF117">
        <v>35</v>
      </c>
      <c r="AG117">
        <v>12</v>
      </c>
      <c r="AH117">
        <f t="shared" si="53"/>
        <v>1</v>
      </c>
      <c r="AI117">
        <f t="shared" si="54"/>
        <v>0</v>
      </c>
      <c r="AJ117">
        <f t="shared" si="55"/>
        <v>52330.94736612554</v>
      </c>
      <c r="AK117">
        <f t="shared" si="56"/>
        <v>1800</v>
      </c>
      <c r="AL117">
        <f t="shared" si="57"/>
        <v>1499.1098993999999</v>
      </c>
      <c r="AM117">
        <f t="shared" si="58"/>
        <v>0.83283883299999995</v>
      </c>
      <c r="AN117">
        <f t="shared" si="59"/>
        <v>0.15339790147999999</v>
      </c>
      <c r="AO117">
        <v>34.5</v>
      </c>
      <c r="AP117">
        <v>0.5</v>
      </c>
      <c r="AQ117" t="s">
        <v>331</v>
      </c>
      <c r="AR117">
        <v>2</v>
      </c>
      <c r="AS117">
        <v>1690213415.5999999</v>
      </c>
      <c r="AT117">
        <v>471.78199999999998</v>
      </c>
      <c r="AU117">
        <v>800</v>
      </c>
      <c r="AV117">
        <v>25.310300000000002</v>
      </c>
      <c r="AW117">
        <v>6.0062499999999996</v>
      </c>
      <c r="AX117">
        <v>472.06099999999998</v>
      </c>
      <c r="AY117">
        <v>25.1187</v>
      </c>
      <c r="AZ117">
        <v>300.16699999999997</v>
      </c>
      <c r="BA117">
        <v>99.097399999999993</v>
      </c>
      <c r="BB117">
        <v>0.100047</v>
      </c>
      <c r="BC117">
        <v>26.980899999999998</v>
      </c>
      <c r="BD117">
        <v>26.994199999999999</v>
      </c>
      <c r="BE117">
        <v>28.710100000000001</v>
      </c>
      <c r="BF117">
        <v>0</v>
      </c>
      <c r="BG117">
        <v>0</v>
      </c>
      <c r="BH117">
        <v>9985.6200000000008</v>
      </c>
      <c r="BI117">
        <v>1076.82</v>
      </c>
      <c r="BJ117">
        <v>2.0744500000000001</v>
      </c>
      <c r="BK117">
        <v>-328.21800000000002</v>
      </c>
      <c r="BL117">
        <v>484.03300000000002</v>
      </c>
      <c r="BM117">
        <v>804.83399999999995</v>
      </c>
      <c r="BN117">
        <v>19.303999999999998</v>
      </c>
      <c r="BO117">
        <v>800</v>
      </c>
      <c r="BP117">
        <v>6.0062499999999996</v>
      </c>
      <c r="BQ117">
        <v>2.5081799999999999</v>
      </c>
      <c r="BR117">
        <v>0.59520300000000004</v>
      </c>
      <c r="BS117">
        <v>21.079699999999999</v>
      </c>
      <c r="BT117">
        <v>-0.419493</v>
      </c>
      <c r="BU117">
        <v>1800</v>
      </c>
      <c r="BV117">
        <v>0.90998299999999999</v>
      </c>
      <c r="BW117">
        <v>3.4007500000000003E-2</v>
      </c>
      <c r="BX117">
        <v>2.2004900000000001E-2</v>
      </c>
      <c r="BY117">
        <v>3.4004800000000002E-2</v>
      </c>
      <c r="BZ117">
        <v>26</v>
      </c>
      <c r="CA117">
        <v>33528.199999999997</v>
      </c>
      <c r="CB117">
        <v>1690211922</v>
      </c>
      <c r="CC117" t="s">
        <v>332</v>
      </c>
      <c r="CD117">
        <v>1690211915</v>
      </c>
      <c r="CE117">
        <v>1690211922</v>
      </c>
      <c r="CF117">
        <v>6</v>
      </c>
      <c r="CG117">
        <v>1.0999999999999999E-2</v>
      </c>
      <c r="CH117">
        <v>8.0000000000000002E-3</v>
      </c>
      <c r="CI117">
        <v>-0.51100000000000001</v>
      </c>
      <c r="CJ117">
        <v>-6.6000000000000003E-2</v>
      </c>
      <c r="CK117">
        <v>800</v>
      </c>
      <c r="CL117">
        <v>6</v>
      </c>
      <c r="CM117">
        <v>0.21</v>
      </c>
      <c r="CN117">
        <v>0.02</v>
      </c>
      <c r="CO117">
        <v>-324.75439999999998</v>
      </c>
      <c r="CP117">
        <v>-20.68448780487687</v>
      </c>
      <c r="CQ117">
        <v>1.990818924462995</v>
      </c>
      <c r="CR117">
        <v>-1</v>
      </c>
      <c r="CS117">
        <v>19.162595</v>
      </c>
      <c r="CT117">
        <v>0.80261538461537496</v>
      </c>
      <c r="CU117">
        <v>7.7216167186671431E-2</v>
      </c>
      <c r="CV117">
        <v>-1</v>
      </c>
      <c r="CW117">
        <v>0</v>
      </c>
      <c r="CX117">
        <v>0</v>
      </c>
      <c r="CY117" t="s">
        <v>333</v>
      </c>
      <c r="CZ117">
        <v>2.3643000000000001</v>
      </c>
      <c r="DA117">
        <v>2.7138300000000002</v>
      </c>
      <c r="DB117">
        <v>0.10131800000000001</v>
      </c>
      <c r="DC117">
        <v>0.14605599999999999</v>
      </c>
      <c r="DD117">
        <v>0.118203</v>
      </c>
      <c r="DE117">
        <v>3.9473300000000003E-2</v>
      </c>
      <c r="DF117">
        <v>32792</v>
      </c>
      <c r="DG117">
        <v>27490.5</v>
      </c>
      <c r="DH117">
        <v>31151.3</v>
      </c>
      <c r="DI117">
        <v>28052</v>
      </c>
      <c r="DJ117">
        <v>37284.400000000001</v>
      </c>
      <c r="DK117">
        <v>38311.800000000003</v>
      </c>
      <c r="DL117">
        <v>44328.1</v>
      </c>
      <c r="DM117">
        <v>42510.6</v>
      </c>
      <c r="DN117">
        <v>1.38287</v>
      </c>
      <c r="DO117">
        <v>2.0329299999999999</v>
      </c>
      <c r="DP117">
        <v>8.07084E-2</v>
      </c>
      <c r="DQ117">
        <v>0.19275800000000001</v>
      </c>
      <c r="DR117">
        <v>25.672899999999998</v>
      </c>
      <c r="DS117">
        <v>25.558399999999999</v>
      </c>
      <c r="DT117">
        <v>17.899999999999999</v>
      </c>
      <c r="DU117">
        <v>29.7</v>
      </c>
      <c r="DV117">
        <v>7.5651099999999998</v>
      </c>
      <c r="DW117">
        <v>61.621200000000002</v>
      </c>
      <c r="DX117">
        <v>36.895000000000003</v>
      </c>
      <c r="DY117">
        <v>1</v>
      </c>
      <c r="DZ117">
        <v>-7.8254599999999994E-2</v>
      </c>
      <c r="EA117">
        <v>-0.22136400000000001</v>
      </c>
      <c r="EB117">
        <v>20.189699999999998</v>
      </c>
      <c r="EC117">
        <v>5.2408000000000001</v>
      </c>
      <c r="ED117">
        <v>12.039899999999999</v>
      </c>
      <c r="EE117">
        <v>5.0167999999999999</v>
      </c>
      <c r="EF117">
        <v>3.2879999999999998</v>
      </c>
      <c r="EG117">
        <v>9999</v>
      </c>
      <c r="EH117">
        <v>9999</v>
      </c>
      <c r="EI117">
        <v>9999</v>
      </c>
      <c r="EJ117">
        <v>999.9</v>
      </c>
      <c r="EK117">
        <v>1.8689199999999999</v>
      </c>
      <c r="EL117">
        <v>1.86466</v>
      </c>
      <c r="EM117">
        <v>1.8692</v>
      </c>
      <c r="EN117">
        <v>1.8672500000000001</v>
      </c>
      <c r="EO117">
        <v>1.8633999999999999</v>
      </c>
      <c r="EP117">
        <v>1.8645799999999999</v>
      </c>
      <c r="EQ117">
        <v>1.87018</v>
      </c>
      <c r="ER117">
        <v>1.8694500000000001</v>
      </c>
      <c r="ES117">
        <v>0</v>
      </c>
      <c r="ET117">
        <v>0</v>
      </c>
      <c r="EU117">
        <v>0</v>
      </c>
      <c r="EV117">
        <v>0</v>
      </c>
      <c r="EW117" t="s">
        <v>334</v>
      </c>
      <c r="EX117" t="s">
        <v>335</v>
      </c>
      <c r="EY117" t="s">
        <v>336</v>
      </c>
      <c r="EZ117" t="s">
        <v>336</v>
      </c>
      <c r="FA117" t="s">
        <v>336</v>
      </c>
      <c r="FB117" t="s">
        <v>336</v>
      </c>
      <c r="FC117">
        <v>0</v>
      </c>
      <c r="FD117">
        <v>100</v>
      </c>
      <c r="FE117">
        <v>100</v>
      </c>
      <c r="FF117">
        <v>-0.27900000000000003</v>
      </c>
      <c r="FG117">
        <v>0.19159999999999999</v>
      </c>
      <c r="FH117">
        <v>4.0020685143421282E-2</v>
      </c>
      <c r="FI117">
        <v>-6.1462078757559423E-4</v>
      </c>
      <c r="FJ117">
        <v>-1.8861989874597051E-7</v>
      </c>
      <c r="FK117">
        <v>1.1980462299894961E-10</v>
      </c>
      <c r="FL117">
        <v>0.19160597004026461</v>
      </c>
      <c r="FM117">
        <v>0</v>
      </c>
      <c r="FN117">
        <v>0</v>
      </c>
      <c r="FO117">
        <v>0</v>
      </c>
      <c r="FP117">
        <v>3</v>
      </c>
      <c r="FQ117">
        <v>2158</v>
      </c>
      <c r="FR117">
        <v>1</v>
      </c>
      <c r="FS117">
        <v>19</v>
      </c>
      <c r="FT117">
        <v>25</v>
      </c>
      <c r="FU117">
        <v>24.9</v>
      </c>
      <c r="FV117">
        <v>1.77979</v>
      </c>
      <c r="FW117">
        <v>2.5805699999999998</v>
      </c>
      <c r="FX117">
        <v>1.5490699999999999</v>
      </c>
      <c r="FY117">
        <v>2.3290999999999999</v>
      </c>
      <c r="FZ117">
        <v>1.50146</v>
      </c>
      <c r="GA117">
        <v>2.3852500000000001</v>
      </c>
      <c r="GB117">
        <v>33.850900000000003</v>
      </c>
      <c r="GC117">
        <v>23.982399999999998</v>
      </c>
      <c r="GD117">
        <v>19</v>
      </c>
      <c r="GE117">
        <v>245.797</v>
      </c>
      <c r="GF117">
        <v>582.36400000000003</v>
      </c>
      <c r="GG117">
        <v>25.3809</v>
      </c>
      <c r="GH117">
        <v>26.403500000000001</v>
      </c>
      <c r="GI117">
        <v>29.9999</v>
      </c>
      <c r="GJ117">
        <v>26.548200000000001</v>
      </c>
      <c r="GK117">
        <v>26.520299999999999</v>
      </c>
      <c r="GL117">
        <v>35.581600000000002</v>
      </c>
      <c r="GM117">
        <v>-30</v>
      </c>
      <c r="GN117">
        <v>-30</v>
      </c>
      <c r="GO117">
        <v>25.387499999999999</v>
      </c>
      <c r="GP117">
        <v>800</v>
      </c>
      <c r="GQ117">
        <v>12.5298</v>
      </c>
      <c r="GR117">
        <v>99.666700000000006</v>
      </c>
      <c r="GS117">
        <v>99.453100000000006</v>
      </c>
    </row>
    <row r="118" spans="1:201" x14ac:dyDescent="0.25">
      <c r="A118">
        <v>102</v>
      </c>
      <c r="B118">
        <v>1690213425.5999999</v>
      </c>
      <c r="C118">
        <v>1158.099999904633</v>
      </c>
      <c r="D118" t="s">
        <v>535</v>
      </c>
      <c r="E118" t="s">
        <v>536</v>
      </c>
      <c r="F118" t="s">
        <v>330</v>
      </c>
      <c r="H118">
        <v>1690213425.5999999</v>
      </c>
      <c r="I118">
        <f t="shared" si="30"/>
        <v>1.7351988489309549E-3</v>
      </c>
      <c r="J118">
        <f t="shared" si="31"/>
        <v>1.7351988489309549</v>
      </c>
      <c r="K118">
        <f t="shared" si="32"/>
        <v>28.025759315416952</v>
      </c>
      <c r="L118">
        <f t="shared" si="33"/>
        <v>468.54199999999997</v>
      </c>
      <c r="M118">
        <f t="shared" si="34"/>
        <v>82.859486819744873</v>
      </c>
      <c r="N118">
        <f t="shared" si="35"/>
        <v>8.2190773391480985</v>
      </c>
      <c r="O118">
        <f t="shared" si="36"/>
        <v>46.476065474755799</v>
      </c>
      <c r="P118">
        <f t="shared" si="37"/>
        <v>0.12164352515835805</v>
      </c>
      <c r="Q118">
        <f t="shared" si="38"/>
        <v>2.0113303975735679</v>
      </c>
      <c r="R118">
        <f t="shared" si="39"/>
        <v>0.11769923887754308</v>
      </c>
      <c r="S118">
        <f t="shared" si="40"/>
        <v>7.3905748780239047E-2</v>
      </c>
      <c r="T118">
        <f t="shared" si="41"/>
        <v>276.11619319799996</v>
      </c>
      <c r="U118">
        <f t="shared" si="42"/>
        <v>28.637956687699557</v>
      </c>
      <c r="V118">
        <f t="shared" si="43"/>
        <v>28.637956687699557</v>
      </c>
      <c r="W118">
        <f t="shared" si="44"/>
        <v>3.9382830205324826</v>
      </c>
      <c r="X118">
        <f t="shared" si="45"/>
        <v>70.607843556656434</v>
      </c>
      <c r="Y118">
        <f t="shared" si="46"/>
        <v>2.5235481270199203</v>
      </c>
      <c r="Z118">
        <f t="shared" si="47"/>
        <v>3.5740337049027708</v>
      </c>
      <c r="AA118">
        <f t="shared" si="48"/>
        <v>1.4147348935125623</v>
      </c>
      <c r="AB118">
        <f t="shared" si="49"/>
        <v>-76.522269237855113</v>
      </c>
      <c r="AC118">
        <f t="shared" si="50"/>
        <v>-180.25738875800377</v>
      </c>
      <c r="AD118">
        <f t="shared" si="51"/>
        <v>-19.497864011477667</v>
      </c>
      <c r="AE118">
        <f t="shared" si="52"/>
        <v>-0.16132880933656679</v>
      </c>
      <c r="AF118">
        <v>35</v>
      </c>
      <c r="AG118">
        <v>12</v>
      </c>
      <c r="AH118">
        <f t="shared" si="53"/>
        <v>1</v>
      </c>
      <c r="AI118">
        <f t="shared" si="54"/>
        <v>0</v>
      </c>
      <c r="AJ118">
        <f t="shared" si="55"/>
        <v>52370.422092324079</v>
      </c>
      <c r="AK118">
        <f t="shared" si="56"/>
        <v>1800</v>
      </c>
      <c r="AL118">
        <f t="shared" si="57"/>
        <v>1499.1107508</v>
      </c>
      <c r="AM118">
        <f t="shared" si="58"/>
        <v>0.832839306</v>
      </c>
      <c r="AN118">
        <f t="shared" si="59"/>
        <v>0.15339788510999999</v>
      </c>
      <c r="AO118">
        <v>34.5</v>
      </c>
      <c r="AP118">
        <v>0.5</v>
      </c>
      <c r="AQ118" t="s">
        <v>331</v>
      </c>
      <c r="AR118">
        <v>2</v>
      </c>
      <c r="AS118">
        <v>1690213425.5999999</v>
      </c>
      <c r="AT118">
        <v>468.54199999999997</v>
      </c>
      <c r="AU118">
        <v>800.01</v>
      </c>
      <c r="AV118">
        <v>25.440799999999999</v>
      </c>
      <c r="AW118">
        <v>6.0041099999999998</v>
      </c>
      <c r="AX118">
        <v>468.81900000000002</v>
      </c>
      <c r="AY118">
        <v>25.249199999999998</v>
      </c>
      <c r="AZ118">
        <v>300.161</v>
      </c>
      <c r="BA118">
        <v>99.093000000000004</v>
      </c>
      <c r="BB118">
        <v>9.9954899999999999E-2</v>
      </c>
      <c r="BC118">
        <v>26.9756</v>
      </c>
      <c r="BD118">
        <v>26.989599999999999</v>
      </c>
      <c r="BE118">
        <v>28.709199999999999</v>
      </c>
      <c r="BF118">
        <v>0</v>
      </c>
      <c r="BG118">
        <v>0</v>
      </c>
      <c r="BH118">
        <v>9993.75</v>
      </c>
      <c r="BI118">
        <v>1076.9000000000001</v>
      </c>
      <c r="BJ118">
        <v>2.0744500000000001</v>
      </c>
      <c r="BK118">
        <v>-331.46899999999999</v>
      </c>
      <c r="BL118">
        <v>480.77300000000002</v>
      </c>
      <c r="BM118">
        <v>804.84299999999996</v>
      </c>
      <c r="BN118">
        <v>19.436699999999998</v>
      </c>
      <c r="BO118">
        <v>800.01</v>
      </c>
      <c r="BP118">
        <v>6.0041099999999998</v>
      </c>
      <c r="BQ118">
        <v>2.52101</v>
      </c>
      <c r="BR118">
        <v>0.59496499999999997</v>
      </c>
      <c r="BS118">
        <v>21.162800000000001</v>
      </c>
      <c r="BT118">
        <v>-0.42498399999999997</v>
      </c>
      <c r="BU118">
        <v>1800</v>
      </c>
      <c r="BV118">
        <v>0.90998599999999996</v>
      </c>
      <c r="BW118">
        <v>3.4006500000000002E-2</v>
      </c>
      <c r="BX118">
        <v>2.2004300000000001E-2</v>
      </c>
      <c r="BY118">
        <v>3.4003699999999998E-2</v>
      </c>
      <c r="BZ118">
        <v>26</v>
      </c>
      <c r="CA118">
        <v>33528.199999999997</v>
      </c>
      <c r="CB118">
        <v>1690211922</v>
      </c>
      <c r="CC118" t="s">
        <v>332</v>
      </c>
      <c r="CD118">
        <v>1690211915</v>
      </c>
      <c r="CE118">
        <v>1690211922</v>
      </c>
      <c r="CF118">
        <v>6</v>
      </c>
      <c r="CG118">
        <v>1.0999999999999999E-2</v>
      </c>
      <c r="CH118">
        <v>8.0000000000000002E-3</v>
      </c>
      <c r="CI118">
        <v>-0.51100000000000001</v>
      </c>
      <c r="CJ118">
        <v>-6.6000000000000003E-2</v>
      </c>
      <c r="CK118">
        <v>800</v>
      </c>
      <c r="CL118">
        <v>6</v>
      </c>
      <c r="CM118">
        <v>0.21</v>
      </c>
      <c r="CN118">
        <v>0.02</v>
      </c>
      <c r="CO118">
        <v>-327.79232500000001</v>
      </c>
      <c r="CP118">
        <v>-19.57523076922994</v>
      </c>
      <c r="CQ118">
        <v>1.883933642508409</v>
      </c>
      <c r="CR118">
        <v>-1</v>
      </c>
      <c r="CS118">
        <v>19.2858175</v>
      </c>
      <c r="CT118">
        <v>0.83502776735456075</v>
      </c>
      <c r="CU118">
        <v>8.0338629834905514E-2</v>
      </c>
      <c r="CV118">
        <v>-1</v>
      </c>
      <c r="CW118">
        <v>0</v>
      </c>
      <c r="CX118">
        <v>0</v>
      </c>
      <c r="CY118" t="s">
        <v>333</v>
      </c>
      <c r="CZ118">
        <v>2.36429</v>
      </c>
      <c r="DA118">
        <v>2.71374</v>
      </c>
      <c r="DB118">
        <v>0.1008</v>
      </c>
      <c r="DC118">
        <v>0.14605199999999999</v>
      </c>
      <c r="DD118">
        <v>0.118626</v>
      </c>
      <c r="DE118">
        <v>3.94604E-2</v>
      </c>
      <c r="DF118">
        <v>32811.4</v>
      </c>
      <c r="DG118">
        <v>27491.4</v>
      </c>
      <c r="DH118">
        <v>31151.8</v>
      </c>
      <c r="DI118">
        <v>28052.799999999999</v>
      </c>
      <c r="DJ118">
        <v>37266.699999999997</v>
      </c>
      <c r="DK118">
        <v>38313.1</v>
      </c>
      <c r="DL118">
        <v>44328.7</v>
      </c>
      <c r="DM118">
        <v>42511.5</v>
      </c>
      <c r="DN118">
        <v>1.3828499999999999</v>
      </c>
      <c r="DO118">
        <v>2.0328200000000001</v>
      </c>
      <c r="DP118">
        <v>8.0425300000000005E-2</v>
      </c>
      <c r="DQ118">
        <v>0.19273199999999999</v>
      </c>
      <c r="DR118">
        <v>25.672899999999998</v>
      </c>
      <c r="DS118">
        <v>25.5579</v>
      </c>
      <c r="DT118">
        <v>17.899999999999999</v>
      </c>
      <c r="DU118">
        <v>29.7</v>
      </c>
      <c r="DV118">
        <v>7.5652100000000004</v>
      </c>
      <c r="DW118">
        <v>62.031199999999998</v>
      </c>
      <c r="DX118">
        <v>36.570500000000003</v>
      </c>
      <c r="DY118">
        <v>1</v>
      </c>
      <c r="DZ118">
        <v>-7.8442600000000001E-2</v>
      </c>
      <c r="EA118">
        <v>-0.15867899999999999</v>
      </c>
      <c r="EB118">
        <v>20.189599999999999</v>
      </c>
      <c r="EC118">
        <v>5.2406499999999996</v>
      </c>
      <c r="ED118">
        <v>12.039899999999999</v>
      </c>
      <c r="EE118">
        <v>5.0168999999999997</v>
      </c>
      <c r="EF118">
        <v>3.2879999999999998</v>
      </c>
      <c r="EG118">
        <v>9999</v>
      </c>
      <c r="EH118">
        <v>9999</v>
      </c>
      <c r="EI118">
        <v>9999</v>
      </c>
      <c r="EJ118">
        <v>999.9</v>
      </c>
      <c r="EK118">
        <v>1.86893</v>
      </c>
      <c r="EL118">
        <v>1.86466</v>
      </c>
      <c r="EM118">
        <v>1.8691899999999999</v>
      </c>
      <c r="EN118">
        <v>1.8672500000000001</v>
      </c>
      <c r="EO118">
        <v>1.8633999999999999</v>
      </c>
      <c r="EP118">
        <v>1.8645799999999999</v>
      </c>
      <c r="EQ118">
        <v>1.87018</v>
      </c>
      <c r="ER118">
        <v>1.8694299999999999</v>
      </c>
      <c r="ES118">
        <v>0</v>
      </c>
      <c r="ET118">
        <v>0</v>
      </c>
      <c r="EU118">
        <v>0</v>
      </c>
      <c r="EV118">
        <v>0</v>
      </c>
      <c r="EW118" t="s">
        <v>334</v>
      </c>
      <c r="EX118" t="s">
        <v>335</v>
      </c>
      <c r="EY118" t="s">
        <v>336</v>
      </c>
      <c r="EZ118" t="s">
        <v>336</v>
      </c>
      <c r="FA118" t="s">
        <v>336</v>
      </c>
      <c r="FB118" t="s">
        <v>336</v>
      </c>
      <c r="FC118">
        <v>0</v>
      </c>
      <c r="FD118">
        <v>100</v>
      </c>
      <c r="FE118">
        <v>100</v>
      </c>
      <c r="FF118">
        <v>-0.27700000000000002</v>
      </c>
      <c r="FG118">
        <v>0.19159999999999999</v>
      </c>
      <c r="FH118">
        <v>4.0020685143421282E-2</v>
      </c>
      <c r="FI118">
        <v>-6.1462078757559423E-4</v>
      </c>
      <c r="FJ118">
        <v>-1.8861989874597051E-7</v>
      </c>
      <c r="FK118">
        <v>1.1980462299894961E-10</v>
      </c>
      <c r="FL118">
        <v>0.19160597004026461</v>
      </c>
      <c r="FM118">
        <v>0</v>
      </c>
      <c r="FN118">
        <v>0</v>
      </c>
      <c r="FO118">
        <v>0</v>
      </c>
      <c r="FP118">
        <v>3</v>
      </c>
      <c r="FQ118">
        <v>2158</v>
      </c>
      <c r="FR118">
        <v>1</v>
      </c>
      <c r="FS118">
        <v>19</v>
      </c>
      <c r="FT118">
        <v>25.2</v>
      </c>
      <c r="FU118">
        <v>25.1</v>
      </c>
      <c r="FV118">
        <v>1.77979</v>
      </c>
      <c r="FW118">
        <v>2.5805699999999998</v>
      </c>
      <c r="FX118">
        <v>1.5490699999999999</v>
      </c>
      <c r="FY118">
        <v>2.3290999999999999</v>
      </c>
      <c r="FZ118">
        <v>1.50146</v>
      </c>
      <c r="GA118">
        <v>2.3718300000000001</v>
      </c>
      <c r="GB118">
        <v>33.850900000000003</v>
      </c>
      <c r="GC118">
        <v>23.982399999999998</v>
      </c>
      <c r="GD118">
        <v>19</v>
      </c>
      <c r="GE118">
        <v>245.786</v>
      </c>
      <c r="GF118">
        <v>582.25599999999997</v>
      </c>
      <c r="GG118">
        <v>25.388300000000001</v>
      </c>
      <c r="GH118">
        <v>26.402000000000001</v>
      </c>
      <c r="GI118">
        <v>30</v>
      </c>
      <c r="GJ118">
        <v>26.548200000000001</v>
      </c>
      <c r="GK118">
        <v>26.518000000000001</v>
      </c>
      <c r="GL118">
        <v>35.581800000000001</v>
      </c>
      <c r="GM118">
        <v>-30</v>
      </c>
      <c r="GN118">
        <v>-30</v>
      </c>
      <c r="GO118">
        <v>25.3767</v>
      </c>
      <c r="GP118">
        <v>800</v>
      </c>
      <c r="GQ118">
        <v>12.5298</v>
      </c>
      <c r="GR118">
        <v>99.668099999999995</v>
      </c>
      <c r="GS118">
        <v>99.455600000000004</v>
      </c>
    </row>
    <row r="119" spans="1:201" x14ac:dyDescent="0.25">
      <c r="A119">
        <v>103</v>
      </c>
      <c r="B119">
        <v>1690213435.5999999</v>
      </c>
      <c r="C119">
        <v>1168.099999904633</v>
      </c>
      <c r="D119" t="s">
        <v>537</v>
      </c>
      <c r="E119" t="s">
        <v>538</v>
      </c>
      <c r="F119" t="s">
        <v>330</v>
      </c>
      <c r="H119">
        <v>1690213435.5999999</v>
      </c>
      <c r="I119">
        <f t="shared" si="30"/>
        <v>1.7470106327049202E-3</v>
      </c>
      <c r="J119">
        <f t="shared" si="31"/>
        <v>1.7470106327049202</v>
      </c>
      <c r="K119">
        <f t="shared" si="32"/>
        <v>28.32216380768315</v>
      </c>
      <c r="L119">
        <f t="shared" si="33"/>
        <v>465.18200000000002</v>
      </c>
      <c r="M119">
        <f t="shared" si="34"/>
        <v>81.875229922674151</v>
      </c>
      <c r="N119">
        <f t="shared" si="35"/>
        <v>8.1213606014696609</v>
      </c>
      <c r="O119">
        <f t="shared" si="36"/>
        <v>46.142292007984004</v>
      </c>
      <c r="P119">
        <f t="shared" si="37"/>
        <v>0.12372668612515821</v>
      </c>
      <c r="Q119">
        <f t="shared" si="38"/>
        <v>2.0114496734539125</v>
      </c>
      <c r="R119">
        <f t="shared" si="39"/>
        <v>0.11964882065987904</v>
      </c>
      <c r="S119">
        <f t="shared" si="40"/>
        <v>7.5135696665518642E-2</v>
      </c>
      <c r="T119">
        <f t="shared" si="41"/>
        <v>276.11586046799999</v>
      </c>
      <c r="U119">
        <f t="shared" si="42"/>
        <v>28.633027512454429</v>
      </c>
      <c r="V119">
        <f t="shared" si="43"/>
        <v>28.633027512454429</v>
      </c>
      <c r="W119">
        <f t="shared" si="44"/>
        <v>3.9371568289776087</v>
      </c>
      <c r="X119">
        <f t="shared" si="45"/>
        <v>70.96109967456178</v>
      </c>
      <c r="Y119">
        <f t="shared" si="46"/>
        <v>2.5360991292512001</v>
      </c>
      <c r="Z119">
        <f t="shared" si="47"/>
        <v>3.5739287312092545</v>
      </c>
      <c r="AA119">
        <f t="shared" si="48"/>
        <v>1.4010576997264086</v>
      </c>
      <c r="AB119">
        <f t="shared" si="49"/>
        <v>-77.043168902286979</v>
      </c>
      <c r="AC119">
        <f t="shared" si="50"/>
        <v>-179.7877729686715</v>
      </c>
      <c r="AD119">
        <f t="shared" si="51"/>
        <v>-19.445386752166474</v>
      </c>
      <c r="AE119">
        <f t="shared" si="52"/>
        <v>-0.16046815512498824</v>
      </c>
      <c r="AF119">
        <v>34</v>
      </c>
      <c r="AG119">
        <v>11</v>
      </c>
      <c r="AH119">
        <f t="shared" si="53"/>
        <v>1</v>
      </c>
      <c r="AI119">
        <f t="shared" si="54"/>
        <v>0</v>
      </c>
      <c r="AJ119">
        <f t="shared" si="55"/>
        <v>52376.211511603156</v>
      </c>
      <c r="AK119">
        <f t="shared" si="56"/>
        <v>1800</v>
      </c>
      <c r="AL119">
        <f t="shared" si="57"/>
        <v>1499.1096527999998</v>
      </c>
      <c r="AM119">
        <f t="shared" si="58"/>
        <v>0.83283869599999993</v>
      </c>
      <c r="AN119">
        <f t="shared" si="59"/>
        <v>0.15339770025999999</v>
      </c>
      <c r="AO119">
        <v>34.5</v>
      </c>
      <c r="AP119">
        <v>0.5</v>
      </c>
      <c r="AQ119" t="s">
        <v>331</v>
      </c>
      <c r="AR119">
        <v>2</v>
      </c>
      <c r="AS119">
        <v>1690213435.5999999</v>
      </c>
      <c r="AT119">
        <v>465.18200000000002</v>
      </c>
      <c r="AU119">
        <v>800.005</v>
      </c>
      <c r="AV119">
        <v>25.567599999999999</v>
      </c>
      <c r="AW119">
        <v>6.0039499999999997</v>
      </c>
      <c r="AX119">
        <v>465.45699999999999</v>
      </c>
      <c r="AY119">
        <v>25.376000000000001</v>
      </c>
      <c r="AZ119">
        <v>300.20400000000001</v>
      </c>
      <c r="BA119">
        <v>99.091899999999995</v>
      </c>
      <c r="BB119">
        <v>0.100012</v>
      </c>
      <c r="BC119">
        <v>26.975100000000001</v>
      </c>
      <c r="BD119">
        <v>26.9818</v>
      </c>
      <c r="BE119">
        <v>28.704799999999999</v>
      </c>
      <c r="BF119">
        <v>0</v>
      </c>
      <c r="BG119">
        <v>0</v>
      </c>
      <c r="BH119">
        <v>9995</v>
      </c>
      <c r="BI119">
        <v>1076.8800000000001</v>
      </c>
      <c r="BJ119">
        <v>2.0744500000000001</v>
      </c>
      <c r="BK119">
        <v>-334.82299999999998</v>
      </c>
      <c r="BL119">
        <v>477.38799999999998</v>
      </c>
      <c r="BM119">
        <v>804.83699999999999</v>
      </c>
      <c r="BN119">
        <v>19.563700000000001</v>
      </c>
      <c r="BO119">
        <v>800.005</v>
      </c>
      <c r="BP119">
        <v>6.0039499999999997</v>
      </c>
      <c r="BQ119">
        <v>2.5335399999999999</v>
      </c>
      <c r="BR119">
        <v>0.594943</v>
      </c>
      <c r="BS119">
        <v>21.243600000000001</v>
      </c>
      <c r="BT119">
        <v>-0.42548799999999998</v>
      </c>
      <c r="BU119">
        <v>1800</v>
      </c>
      <c r="BV119">
        <v>0.90998699999999999</v>
      </c>
      <c r="BW119">
        <v>3.4005800000000003E-2</v>
      </c>
      <c r="BX119">
        <v>2.20038E-2</v>
      </c>
      <c r="BY119">
        <v>3.4002999999999999E-2</v>
      </c>
      <c r="BZ119">
        <v>26</v>
      </c>
      <c r="CA119">
        <v>33528.199999999997</v>
      </c>
      <c r="CB119">
        <v>1690211922</v>
      </c>
      <c r="CC119" t="s">
        <v>332</v>
      </c>
      <c r="CD119">
        <v>1690211915</v>
      </c>
      <c r="CE119">
        <v>1690211922</v>
      </c>
      <c r="CF119">
        <v>6</v>
      </c>
      <c r="CG119">
        <v>1.0999999999999999E-2</v>
      </c>
      <c r="CH119">
        <v>8.0000000000000002E-3</v>
      </c>
      <c r="CI119">
        <v>-0.51100000000000001</v>
      </c>
      <c r="CJ119">
        <v>-6.6000000000000003E-2</v>
      </c>
      <c r="CK119">
        <v>800</v>
      </c>
      <c r="CL119">
        <v>6</v>
      </c>
      <c r="CM119">
        <v>0.21</v>
      </c>
      <c r="CN119">
        <v>0.02</v>
      </c>
      <c r="CO119">
        <v>-331.15868292682927</v>
      </c>
      <c r="CP119">
        <v>-19.729149825785029</v>
      </c>
      <c r="CQ119">
        <v>1.9458721969290991</v>
      </c>
      <c r="CR119">
        <v>-1</v>
      </c>
      <c r="CS119">
        <v>19.42299756097561</v>
      </c>
      <c r="CT119">
        <v>0.77166898954703156</v>
      </c>
      <c r="CU119">
        <v>7.6114325076532416E-2</v>
      </c>
      <c r="CV119">
        <v>-1</v>
      </c>
      <c r="CW119">
        <v>0</v>
      </c>
      <c r="CX119">
        <v>0</v>
      </c>
      <c r="CY119" t="s">
        <v>333</v>
      </c>
      <c r="CZ119">
        <v>2.3644400000000001</v>
      </c>
      <c r="DA119">
        <v>2.7138</v>
      </c>
      <c r="DB119">
        <v>0.10026400000000001</v>
      </c>
      <c r="DC119">
        <v>0.14605000000000001</v>
      </c>
      <c r="DD119">
        <v>0.11904000000000001</v>
      </c>
      <c r="DE119">
        <v>3.9459099999999997E-2</v>
      </c>
      <c r="DF119">
        <v>32830.800000000003</v>
      </c>
      <c r="DG119">
        <v>27491.1</v>
      </c>
      <c r="DH119">
        <v>31151.599999999999</v>
      </c>
      <c r="DI119">
        <v>28052.400000000001</v>
      </c>
      <c r="DJ119">
        <v>37248.800000000003</v>
      </c>
      <c r="DK119">
        <v>38312.800000000003</v>
      </c>
      <c r="DL119">
        <v>44328.4</v>
      </c>
      <c r="DM119">
        <v>42511</v>
      </c>
      <c r="DN119">
        <v>1.3835999999999999</v>
      </c>
      <c r="DO119">
        <v>2.0327999999999999</v>
      </c>
      <c r="DP119">
        <v>7.9981999999999998E-2</v>
      </c>
      <c r="DQ119">
        <v>0.19253400000000001</v>
      </c>
      <c r="DR119">
        <v>25.6723</v>
      </c>
      <c r="DS119">
        <v>25.556699999999999</v>
      </c>
      <c r="DT119">
        <v>17.899999999999999</v>
      </c>
      <c r="DU119">
        <v>29.7</v>
      </c>
      <c r="DV119">
        <v>7.5646100000000001</v>
      </c>
      <c r="DW119">
        <v>61.601199999999999</v>
      </c>
      <c r="DX119">
        <v>36.358199999999997</v>
      </c>
      <c r="DY119">
        <v>1</v>
      </c>
      <c r="DZ119">
        <v>-7.8427300000000005E-2</v>
      </c>
      <c r="EA119">
        <v>-0.211449</v>
      </c>
      <c r="EB119">
        <v>20.189699999999998</v>
      </c>
      <c r="EC119">
        <v>5.2404999999999999</v>
      </c>
      <c r="ED119">
        <v>12.039899999999999</v>
      </c>
      <c r="EE119">
        <v>5.0170500000000002</v>
      </c>
      <c r="EF119">
        <v>3.2879999999999998</v>
      </c>
      <c r="EG119">
        <v>9999</v>
      </c>
      <c r="EH119">
        <v>9999</v>
      </c>
      <c r="EI119">
        <v>9999</v>
      </c>
      <c r="EJ119">
        <v>999.9</v>
      </c>
      <c r="EK119">
        <v>1.8689100000000001</v>
      </c>
      <c r="EL119">
        <v>1.86466</v>
      </c>
      <c r="EM119">
        <v>1.8691899999999999</v>
      </c>
      <c r="EN119">
        <v>1.8672299999999999</v>
      </c>
      <c r="EO119">
        <v>1.8633999999999999</v>
      </c>
      <c r="EP119">
        <v>1.86456</v>
      </c>
      <c r="EQ119">
        <v>1.87016</v>
      </c>
      <c r="ER119">
        <v>1.8694200000000001</v>
      </c>
      <c r="ES119">
        <v>0</v>
      </c>
      <c r="ET119">
        <v>0</v>
      </c>
      <c r="EU119">
        <v>0</v>
      </c>
      <c r="EV119">
        <v>0</v>
      </c>
      <c r="EW119" t="s">
        <v>334</v>
      </c>
      <c r="EX119" t="s">
        <v>335</v>
      </c>
      <c r="EY119" t="s">
        <v>336</v>
      </c>
      <c r="EZ119" t="s">
        <v>336</v>
      </c>
      <c r="FA119" t="s">
        <v>336</v>
      </c>
      <c r="FB119" t="s">
        <v>336</v>
      </c>
      <c r="FC119">
        <v>0</v>
      </c>
      <c r="FD119">
        <v>100</v>
      </c>
      <c r="FE119">
        <v>100</v>
      </c>
      <c r="FF119">
        <v>-0.27500000000000002</v>
      </c>
      <c r="FG119">
        <v>0.19159999999999999</v>
      </c>
      <c r="FH119">
        <v>4.0020685143421282E-2</v>
      </c>
      <c r="FI119">
        <v>-6.1462078757559423E-4</v>
      </c>
      <c r="FJ119">
        <v>-1.8861989874597051E-7</v>
      </c>
      <c r="FK119">
        <v>1.1980462299894961E-10</v>
      </c>
      <c r="FL119">
        <v>0.19160597004026461</v>
      </c>
      <c r="FM119">
        <v>0</v>
      </c>
      <c r="FN119">
        <v>0</v>
      </c>
      <c r="FO119">
        <v>0</v>
      </c>
      <c r="FP119">
        <v>3</v>
      </c>
      <c r="FQ119">
        <v>2158</v>
      </c>
      <c r="FR119">
        <v>1</v>
      </c>
      <c r="FS119">
        <v>19</v>
      </c>
      <c r="FT119">
        <v>25.3</v>
      </c>
      <c r="FU119">
        <v>25.2</v>
      </c>
      <c r="FV119">
        <v>1.77979</v>
      </c>
      <c r="FW119">
        <v>2.5805699999999998</v>
      </c>
      <c r="FX119">
        <v>1.5490699999999999</v>
      </c>
      <c r="FY119">
        <v>2.3290999999999999</v>
      </c>
      <c r="FZ119">
        <v>1.50146</v>
      </c>
      <c r="GA119">
        <v>2.34985</v>
      </c>
      <c r="GB119">
        <v>33.850900000000003</v>
      </c>
      <c r="GC119">
        <v>23.982399999999998</v>
      </c>
      <c r="GD119">
        <v>19</v>
      </c>
      <c r="GE119">
        <v>246.06700000000001</v>
      </c>
      <c r="GF119">
        <v>582.23599999999999</v>
      </c>
      <c r="GG119">
        <v>25.380400000000002</v>
      </c>
      <c r="GH119">
        <v>26.399799999999999</v>
      </c>
      <c r="GI119">
        <v>30.0001</v>
      </c>
      <c r="GJ119">
        <v>26.545999999999999</v>
      </c>
      <c r="GK119">
        <v>26.518000000000001</v>
      </c>
      <c r="GL119">
        <v>35.580300000000001</v>
      </c>
      <c r="GM119">
        <v>-30</v>
      </c>
      <c r="GN119">
        <v>-30</v>
      </c>
      <c r="GO119">
        <v>25.391400000000001</v>
      </c>
      <c r="GP119">
        <v>800</v>
      </c>
      <c r="GQ119">
        <v>12.5298</v>
      </c>
      <c r="GR119">
        <v>99.667599999999993</v>
      </c>
      <c r="GS119">
        <v>99.454300000000003</v>
      </c>
    </row>
    <row r="120" spans="1:201" x14ac:dyDescent="0.25">
      <c r="A120">
        <v>104</v>
      </c>
      <c r="B120">
        <v>1690213445.5999999</v>
      </c>
      <c r="C120">
        <v>1178.099999904633</v>
      </c>
      <c r="D120" t="s">
        <v>539</v>
      </c>
      <c r="E120" t="s">
        <v>540</v>
      </c>
      <c r="F120" t="s">
        <v>330</v>
      </c>
      <c r="H120">
        <v>1690213445.5999999</v>
      </c>
      <c r="I120">
        <f t="shared" si="30"/>
        <v>1.7584102590882096E-3</v>
      </c>
      <c r="J120">
        <f t="shared" si="31"/>
        <v>1.7584102590882096</v>
      </c>
      <c r="K120">
        <f t="shared" si="32"/>
        <v>28.592117198194259</v>
      </c>
      <c r="L120">
        <f t="shared" si="33"/>
        <v>461.98500000000001</v>
      </c>
      <c r="M120">
        <f t="shared" si="34"/>
        <v>81.200074987395524</v>
      </c>
      <c r="N120">
        <f t="shared" si="35"/>
        <v>8.0544094660004752</v>
      </c>
      <c r="O120">
        <f t="shared" si="36"/>
        <v>45.825282276252004</v>
      </c>
      <c r="P120">
        <f t="shared" si="37"/>
        <v>0.1257677872626432</v>
      </c>
      <c r="Q120">
        <f t="shared" si="38"/>
        <v>2.0132208792310831</v>
      </c>
      <c r="R120">
        <f t="shared" si="39"/>
        <v>0.12156030358544598</v>
      </c>
      <c r="S120">
        <f t="shared" si="40"/>
        <v>7.6341489362932974E-2</v>
      </c>
      <c r="T120">
        <f t="shared" si="41"/>
        <v>276.11436396678926</v>
      </c>
      <c r="U120">
        <f t="shared" si="42"/>
        <v>28.631208226091307</v>
      </c>
      <c r="V120">
        <f t="shared" si="43"/>
        <v>28.631208226091307</v>
      </c>
      <c r="W120">
        <f t="shared" si="44"/>
        <v>3.9367412391444394</v>
      </c>
      <c r="X120">
        <f t="shared" si="45"/>
        <v>71.301022232747229</v>
      </c>
      <c r="Y120">
        <f t="shared" si="46"/>
        <v>2.5488016348099198</v>
      </c>
      <c r="Z120">
        <f t="shared" si="47"/>
        <v>3.5747056002786208</v>
      </c>
      <c r="AA120">
        <f t="shared" si="48"/>
        <v>1.3879396043345196</v>
      </c>
      <c r="AB120">
        <f t="shared" si="49"/>
        <v>-77.545892425790043</v>
      </c>
      <c r="AC120">
        <f t="shared" si="50"/>
        <v>-179.34704173485497</v>
      </c>
      <c r="AD120">
        <f t="shared" si="51"/>
        <v>-19.380833305398891</v>
      </c>
      <c r="AE120">
        <f t="shared" si="52"/>
        <v>-0.15940349925463693</v>
      </c>
      <c r="AF120">
        <v>34</v>
      </c>
      <c r="AG120">
        <v>11</v>
      </c>
      <c r="AH120">
        <f t="shared" si="53"/>
        <v>1</v>
      </c>
      <c r="AI120">
        <f t="shared" si="54"/>
        <v>0</v>
      </c>
      <c r="AJ120">
        <f t="shared" si="55"/>
        <v>52460.653369321284</v>
      </c>
      <c r="AK120">
        <f t="shared" si="56"/>
        <v>1799.99</v>
      </c>
      <c r="AL120">
        <f t="shared" si="57"/>
        <v>1499.1021560084203</v>
      </c>
      <c r="AM120">
        <f t="shared" si="58"/>
        <v>0.83283915800000008</v>
      </c>
      <c r="AN120">
        <f t="shared" si="59"/>
        <v>0.15339772108000002</v>
      </c>
      <c r="AO120">
        <v>34.5</v>
      </c>
      <c r="AP120">
        <v>0.5</v>
      </c>
      <c r="AQ120" t="s">
        <v>331</v>
      </c>
      <c r="AR120">
        <v>2</v>
      </c>
      <c r="AS120">
        <v>1690213445.5999999</v>
      </c>
      <c r="AT120">
        <v>461.98500000000001</v>
      </c>
      <c r="AU120">
        <v>799.98099999999999</v>
      </c>
      <c r="AV120">
        <v>25.695599999999999</v>
      </c>
      <c r="AW120">
        <v>6.0025500000000003</v>
      </c>
      <c r="AX120">
        <v>462.25700000000001</v>
      </c>
      <c r="AY120">
        <v>25.504000000000001</v>
      </c>
      <c r="AZ120">
        <v>300.13799999999998</v>
      </c>
      <c r="BA120">
        <v>99.092200000000005</v>
      </c>
      <c r="BB120">
        <v>9.9943199999999996E-2</v>
      </c>
      <c r="BC120">
        <v>26.9788</v>
      </c>
      <c r="BD120">
        <v>26.983000000000001</v>
      </c>
      <c r="BE120">
        <v>28.712599999999998</v>
      </c>
      <c r="BF120">
        <v>0</v>
      </c>
      <c r="BG120">
        <v>0</v>
      </c>
      <c r="BH120">
        <v>10011.9</v>
      </c>
      <c r="BI120">
        <v>1076.9100000000001</v>
      </c>
      <c r="BJ120">
        <v>2.0744500000000001</v>
      </c>
      <c r="BK120">
        <v>-337.99599999999998</v>
      </c>
      <c r="BL120">
        <v>474.16899999999998</v>
      </c>
      <c r="BM120">
        <v>804.81200000000001</v>
      </c>
      <c r="BN120">
        <v>19.693000000000001</v>
      </c>
      <c r="BO120">
        <v>799.98099999999999</v>
      </c>
      <c r="BP120">
        <v>6.0025500000000003</v>
      </c>
      <c r="BQ120">
        <v>2.54623</v>
      </c>
      <c r="BR120">
        <v>0.59480599999999995</v>
      </c>
      <c r="BS120">
        <v>21.325099999999999</v>
      </c>
      <c r="BT120">
        <v>-0.42866599999999999</v>
      </c>
      <c r="BU120">
        <v>1799.99</v>
      </c>
      <c r="BV120">
        <v>0.90998900000000005</v>
      </c>
      <c r="BW120">
        <v>3.4005199999999999E-2</v>
      </c>
      <c r="BX120">
        <v>2.2003399999999999E-2</v>
      </c>
      <c r="BY120">
        <v>3.4002400000000002E-2</v>
      </c>
      <c r="BZ120">
        <v>26</v>
      </c>
      <c r="CA120">
        <v>33528.199999999997</v>
      </c>
      <c r="CB120">
        <v>1690211922</v>
      </c>
      <c r="CC120" t="s">
        <v>332</v>
      </c>
      <c r="CD120">
        <v>1690211915</v>
      </c>
      <c r="CE120">
        <v>1690211922</v>
      </c>
      <c r="CF120">
        <v>6</v>
      </c>
      <c r="CG120">
        <v>1.0999999999999999E-2</v>
      </c>
      <c r="CH120">
        <v>8.0000000000000002E-3</v>
      </c>
      <c r="CI120">
        <v>-0.51100000000000001</v>
      </c>
      <c r="CJ120">
        <v>-6.6000000000000003E-2</v>
      </c>
      <c r="CK120">
        <v>800</v>
      </c>
      <c r="CL120">
        <v>6</v>
      </c>
      <c r="CM120">
        <v>0.21</v>
      </c>
      <c r="CN120">
        <v>0.02</v>
      </c>
      <c r="CO120">
        <v>-334.42656097560968</v>
      </c>
      <c r="CP120">
        <v>-19.419303135887802</v>
      </c>
      <c r="CQ120">
        <v>1.915722573336047</v>
      </c>
      <c r="CR120">
        <v>-1</v>
      </c>
      <c r="CS120">
        <v>19.55093658536585</v>
      </c>
      <c r="CT120">
        <v>0.76650731707319564</v>
      </c>
      <c r="CU120">
        <v>7.5581784991402695E-2</v>
      </c>
      <c r="CV120">
        <v>-1</v>
      </c>
      <c r="CW120">
        <v>0</v>
      </c>
      <c r="CX120">
        <v>0</v>
      </c>
      <c r="CY120" t="s">
        <v>333</v>
      </c>
      <c r="CZ120">
        <v>2.36422</v>
      </c>
      <c r="DA120">
        <v>2.71374</v>
      </c>
      <c r="DB120">
        <v>9.9754300000000004E-2</v>
      </c>
      <c r="DC120">
        <v>0.14604800000000001</v>
      </c>
      <c r="DD120">
        <v>0.11945799999999999</v>
      </c>
      <c r="DE120">
        <v>3.9451899999999998E-2</v>
      </c>
      <c r="DF120">
        <v>32849.300000000003</v>
      </c>
      <c r="DG120">
        <v>27491.599999999999</v>
      </c>
      <c r="DH120">
        <v>31151.5</v>
      </c>
      <c r="DI120">
        <v>28052.9</v>
      </c>
      <c r="DJ120">
        <v>37230.9</v>
      </c>
      <c r="DK120">
        <v>38313.699999999997</v>
      </c>
      <c r="DL120">
        <v>44328.5</v>
      </c>
      <c r="DM120">
        <v>42511.7</v>
      </c>
      <c r="DN120">
        <v>1.3831500000000001</v>
      </c>
      <c r="DO120">
        <v>2.0330300000000001</v>
      </c>
      <c r="DP120">
        <v>8.0026700000000006E-2</v>
      </c>
      <c r="DQ120">
        <v>0.19304499999999999</v>
      </c>
      <c r="DR120">
        <v>25.672899999999998</v>
      </c>
      <c r="DS120">
        <v>25.5562</v>
      </c>
      <c r="DT120">
        <v>17.899999999999999</v>
      </c>
      <c r="DU120">
        <v>29.7</v>
      </c>
      <c r="DV120">
        <v>7.56433</v>
      </c>
      <c r="DW120">
        <v>61.711199999999998</v>
      </c>
      <c r="DX120">
        <v>36.185899999999997</v>
      </c>
      <c r="DY120">
        <v>1</v>
      </c>
      <c r="DZ120">
        <v>-7.8417200000000006E-2</v>
      </c>
      <c r="EA120">
        <v>-0.27468399999999998</v>
      </c>
      <c r="EB120">
        <v>20.189399999999999</v>
      </c>
      <c r="EC120">
        <v>5.2403500000000003</v>
      </c>
      <c r="ED120">
        <v>12.039899999999999</v>
      </c>
      <c r="EE120">
        <v>5.0167999999999999</v>
      </c>
      <c r="EF120">
        <v>3.2879999999999998</v>
      </c>
      <c r="EG120">
        <v>9999</v>
      </c>
      <c r="EH120">
        <v>9999</v>
      </c>
      <c r="EI120">
        <v>9999</v>
      </c>
      <c r="EJ120">
        <v>999.9</v>
      </c>
      <c r="EK120">
        <v>1.8689100000000001</v>
      </c>
      <c r="EL120">
        <v>1.86466</v>
      </c>
      <c r="EM120">
        <v>1.8691899999999999</v>
      </c>
      <c r="EN120">
        <v>1.8672299999999999</v>
      </c>
      <c r="EO120">
        <v>1.8633999999999999</v>
      </c>
      <c r="EP120">
        <v>1.8645499999999999</v>
      </c>
      <c r="EQ120">
        <v>1.8701300000000001</v>
      </c>
      <c r="ER120">
        <v>1.86944</v>
      </c>
      <c r="ES120">
        <v>0</v>
      </c>
      <c r="ET120">
        <v>0</v>
      </c>
      <c r="EU120">
        <v>0</v>
      </c>
      <c r="EV120">
        <v>0</v>
      </c>
      <c r="EW120" t="s">
        <v>334</v>
      </c>
      <c r="EX120" t="s">
        <v>335</v>
      </c>
      <c r="EY120" t="s">
        <v>336</v>
      </c>
      <c r="EZ120" t="s">
        <v>336</v>
      </c>
      <c r="FA120" t="s">
        <v>336</v>
      </c>
      <c r="FB120" t="s">
        <v>336</v>
      </c>
      <c r="FC120">
        <v>0</v>
      </c>
      <c r="FD120">
        <v>100</v>
      </c>
      <c r="FE120">
        <v>100</v>
      </c>
      <c r="FF120">
        <v>-0.27200000000000002</v>
      </c>
      <c r="FG120">
        <v>0.19159999999999999</v>
      </c>
      <c r="FH120">
        <v>4.0020685143421282E-2</v>
      </c>
      <c r="FI120">
        <v>-6.1462078757559423E-4</v>
      </c>
      <c r="FJ120">
        <v>-1.8861989874597051E-7</v>
      </c>
      <c r="FK120">
        <v>1.1980462299894961E-10</v>
      </c>
      <c r="FL120">
        <v>0.19160597004026461</v>
      </c>
      <c r="FM120">
        <v>0</v>
      </c>
      <c r="FN120">
        <v>0</v>
      </c>
      <c r="FO120">
        <v>0</v>
      </c>
      <c r="FP120">
        <v>3</v>
      </c>
      <c r="FQ120">
        <v>2158</v>
      </c>
      <c r="FR120">
        <v>1</v>
      </c>
      <c r="FS120">
        <v>19</v>
      </c>
      <c r="FT120">
        <v>25.5</v>
      </c>
      <c r="FU120">
        <v>25.4</v>
      </c>
      <c r="FV120">
        <v>1.77979</v>
      </c>
      <c r="FW120">
        <v>2.5817899999999998</v>
      </c>
      <c r="FX120">
        <v>1.5490699999999999</v>
      </c>
      <c r="FY120">
        <v>2.3290999999999999</v>
      </c>
      <c r="FZ120">
        <v>1.50146</v>
      </c>
      <c r="GA120">
        <v>2.32056</v>
      </c>
      <c r="GB120">
        <v>33.850900000000003</v>
      </c>
      <c r="GC120">
        <v>23.982399999999998</v>
      </c>
      <c r="GD120">
        <v>19</v>
      </c>
      <c r="GE120">
        <v>245.886</v>
      </c>
      <c r="GF120">
        <v>582.39599999999996</v>
      </c>
      <c r="GG120">
        <v>25.406099999999999</v>
      </c>
      <c r="GH120">
        <v>26.397500000000001</v>
      </c>
      <c r="GI120">
        <v>30.0001</v>
      </c>
      <c r="GJ120">
        <v>26.543700000000001</v>
      </c>
      <c r="GK120">
        <v>26.515799999999999</v>
      </c>
      <c r="GL120">
        <v>35.5824</v>
      </c>
      <c r="GM120">
        <v>-30</v>
      </c>
      <c r="GN120">
        <v>-30</v>
      </c>
      <c r="GO120">
        <v>25.419699999999999</v>
      </c>
      <c r="GP120">
        <v>800</v>
      </c>
      <c r="GQ120">
        <v>12.5298</v>
      </c>
      <c r="GR120">
        <v>99.667400000000001</v>
      </c>
      <c r="GS120">
        <v>99.4559</v>
      </c>
    </row>
    <row r="121" spans="1:201" x14ac:dyDescent="0.25">
      <c r="A121">
        <v>105</v>
      </c>
      <c r="B121">
        <v>1690213455.5999999</v>
      </c>
      <c r="C121">
        <v>1188.099999904633</v>
      </c>
      <c r="D121" t="s">
        <v>541</v>
      </c>
      <c r="E121" t="s">
        <v>542</v>
      </c>
      <c r="F121" t="s">
        <v>330</v>
      </c>
      <c r="H121">
        <v>1690213455.5999999</v>
      </c>
      <c r="I121">
        <f t="shared" si="30"/>
        <v>1.770173121169056E-3</v>
      </c>
      <c r="J121">
        <f t="shared" si="31"/>
        <v>1.7701731211690561</v>
      </c>
      <c r="K121">
        <f t="shared" si="32"/>
        <v>28.867821990437662</v>
      </c>
      <c r="L121">
        <f t="shared" si="33"/>
        <v>458.79399999999998</v>
      </c>
      <c r="M121">
        <f t="shared" si="34"/>
        <v>81.0558452066265</v>
      </c>
      <c r="N121">
        <f t="shared" si="35"/>
        <v>8.0402841080076755</v>
      </c>
      <c r="O121">
        <f t="shared" si="36"/>
        <v>45.509785230734998</v>
      </c>
      <c r="P121">
        <f t="shared" si="37"/>
        <v>0.12805144874992533</v>
      </c>
      <c r="Q121">
        <f t="shared" si="38"/>
        <v>2.0137676706477894</v>
      </c>
      <c r="R121">
        <f t="shared" si="39"/>
        <v>0.12369377039670264</v>
      </c>
      <c r="S121">
        <f t="shared" si="40"/>
        <v>7.7687772497369342E-2</v>
      </c>
      <c r="T121">
        <f t="shared" si="41"/>
        <v>276.11579878200001</v>
      </c>
      <c r="U121">
        <f t="shared" si="42"/>
        <v>28.621607016451627</v>
      </c>
      <c r="V121">
        <f t="shared" si="43"/>
        <v>28.621607016451627</v>
      </c>
      <c r="W121">
        <f t="shared" si="44"/>
        <v>3.9345486144235782</v>
      </c>
      <c r="X121">
        <f t="shared" si="45"/>
        <v>71.675945850836982</v>
      </c>
      <c r="Y121">
        <f t="shared" si="46"/>
        <v>2.5614666518692504</v>
      </c>
      <c r="Z121">
        <f t="shared" si="47"/>
        <v>3.5736768053258126</v>
      </c>
      <c r="AA121">
        <f t="shared" si="48"/>
        <v>1.3730819625543278</v>
      </c>
      <c r="AB121">
        <f t="shared" si="49"/>
        <v>-78.064634643555365</v>
      </c>
      <c r="AC121">
        <f t="shared" si="50"/>
        <v>-178.88535978061194</v>
      </c>
      <c r="AD121">
        <f t="shared" si="51"/>
        <v>-19.324295297742665</v>
      </c>
      <c r="AE121">
        <f t="shared" si="52"/>
        <v>-0.15849093990993879</v>
      </c>
      <c r="AF121">
        <v>34</v>
      </c>
      <c r="AG121">
        <v>11</v>
      </c>
      <c r="AH121">
        <f t="shared" si="53"/>
        <v>1</v>
      </c>
      <c r="AI121">
        <f t="shared" si="54"/>
        <v>0</v>
      </c>
      <c r="AJ121">
        <f t="shared" si="55"/>
        <v>52487.847948376817</v>
      </c>
      <c r="AK121">
        <f t="shared" si="56"/>
        <v>1800</v>
      </c>
      <c r="AL121">
        <f t="shared" si="57"/>
        <v>1499.1110532</v>
      </c>
      <c r="AM121">
        <f t="shared" si="58"/>
        <v>0.83283947400000002</v>
      </c>
      <c r="AN121">
        <f t="shared" si="59"/>
        <v>0.15339766599000002</v>
      </c>
      <c r="AO121">
        <v>34.5</v>
      </c>
      <c r="AP121">
        <v>0.5</v>
      </c>
      <c r="AQ121" t="s">
        <v>331</v>
      </c>
      <c r="AR121">
        <v>2</v>
      </c>
      <c r="AS121">
        <v>1690213455.5999999</v>
      </c>
      <c r="AT121">
        <v>458.79399999999998</v>
      </c>
      <c r="AU121">
        <v>799.95100000000002</v>
      </c>
      <c r="AV121">
        <v>25.822700000000001</v>
      </c>
      <c r="AW121">
        <v>6.0008299999999997</v>
      </c>
      <c r="AX121">
        <v>459.06400000000002</v>
      </c>
      <c r="AY121">
        <v>25.6311</v>
      </c>
      <c r="AZ121">
        <v>300.14299999999997</v>
      </c>
      <c r="BA121">
        <v>99.094499999999996</v>
      </c>
      <c r="BB121">
        <v>9.9877499999999994E-2</v>
      </c>
      <c r="BC121">
        <v>26.9739</v>
      </c>
      <c r="BD121">
        <v>26.996700000000001</v>
      </c>
      <c r="BE121">
        <v>28.685400000000001</v>
      </c>
      <c r="BF121">
        <v>0</v>
      </c>
      <c r="BG121">
        <v>0</v>
      </c>
      <c r="BH121">
        <v>10016.9</v>
      </c>
      <c r="BI121">
        <v>1076.83</v>
      </c>
      <c r="BJ121">
        <v>2.0744500000000001</v>
      </c>
      <c r="BK121">
        <v>-341.15699999999998</v>
      </c>
      <c r="BL121">
        <v>470.95499999999998</v>
      </c>
      <c r="BM121">
        <v>804.78099999999995</v>
      </c>
      <c r="BN121">
        <v>19.821899999999999</v>
      </c>
      <c r="BO121">
        <v>799.95100000000002</v>
      </c>
      <c r="BP121">
        <v>6.0008299999999997</v>
      </c>
      <c r="BQ121">
        <v>2.5588899999999999</v>
      </c>
      <c r="BR121">
        <v>0.59464899999999998</v>
      </c>
      <c r="BS121">
        <v>21.405999999999999</v>
      </c>
      <c r="BT121">
        <v>-0.43227399999999999</v>
      </c>
      <c r="BU121">
        <v>1800</v>
      </c>
      <c r="BV121">
        <v>0.90999200000000002</v>
      </c>
      <c r="BW121">
        <v>3.4004100000000002E-2</v>
      </c>
      <c r="BX121">
        <v>2.20027E-2</v>
      </c>
      <c r="BY121">
        <v>3.4001299999999998E-2</v>
      </c>
      <c r="BZ121">
        <v>26</v>
      </c>
      <c r="CA121">
        <v>33528.400000000001</v>
      </c>
      <c r="CB121">
        <v>1690211922</v>
      </c>
      <c r="CC121" t="s">
        <v>332</v>
      </c>
      <c r="CD121">
        <v>1690211915</v>
      </c>
      <c r="CE121">
        <v>1690211922</v>
      </c>
      <c r="CF121">
        <v>6</v>
      </c>
      <c r="CG121">
        <v>1.0999999999999999E-2</v>
      </c>
      <c r="CH121">
        <v>8.0000000000000002E-3</v>
      </c>
      <c r="CI121">
        <v>-0.51100000000000001</v>
      </c>
      <c r="CJ121">
        <v>-6.6000000000000003E-2</v>
      </c>
      <c r="CK121">
        <v>800</v>
      </c>
      <c r="CL121">
        <v>6</v>
      </c>
      <c r="CM121">
        <v>0.21</v>
      </c>
      <c r="CN121">
        <v>0.02</v>
      </c>
      <c r="CO121">
        <v>-337.67753658536577</v>
      </c>
      <c r="CP121">
        <v>-19.228118466898799</v>
      </c>
      <c r="CQ121">
        <v>1.897521298412693</v>
      </c>
      <c r="CR121">
        <v>-1</v>
      </c>
      <c r="CS121">
        <v>19.680134146341459</v>
      </c>
      <c r="CT121">
        <v>0.77984111498257291</v>
      </c>
      <c r="CU121">
        <v>7.6899752956424094E-2</v>
      </c>
      <c r="CV121">
        <v>-1</v>
      </c>
      <c r="CW121">
        <v>0</v>
      </c>
      <c r="CX121">
        <v>0</v>
      </c>
      <c r="CY121" t="s">
        <v>333</v>
      </c>
      <c r="CZ121">
        <v>2.3642400000000001</v>
      </c>
      <c r="DA121">
        <v>2.7136800000000001</v>
      </c>
      <c r="DB121">
        <v>9.9245100000000003E-2</v>
      </c>
      <c r="DC121">
        <v>0.14604800000000001</v>
      </c>
      <c r="DD121">
        <v>0.11987399999999999</v>
      </c>
      <c r="DE121">
        <v>3.9443800000000001E-2</v>
      </c>
      <c r="DF121">
        <v>32868.1</v>
      </c>
      <c r="DG121">
        <v>27491.4</v>
      </c>
      <c r="DH121">
        <v>31151.7</v>
      </c>
      <c r="DI121">
        <v>28052.7</v>
      </c>
      <c r="DJ121">
        <v>37213.1</v>
      </c>
      <c r="DK121">
        <v>38314</v>
      </c>
      <c r="DL121">
        <v>44328.6</v>
      </c>
      <c r="DM121">
        <v>42511.7</v>
      </c>
      <c r="DN121">
        <v>1.3831500000000001</v>
      </c>
      <c r="DO121">
        <v>2.0332499999999998</v>
      </c>
      <c r="DP121">
        <v>8.0726999999999993E-2</v>
      </c>
      <c r="DQ121">
        <v>0.19137599999999999</v>
      </c>
      <c r="DR121">
        <v>25.675000000000001</v>
      </c>
      <c r="DS121">
        <v>25.5562</v>
      </c>
      <c r="DT121">
        <v>17.899999999999999</v>
      </c>
      <c r="DU121">
        <v>29.7</v>
      </c>
      <c r="DV121">
        <v>7.5632799999999998</v>
      </c>
      <c r="DW121">
        <v>61.341200000000001</v>
      </c>
      <c r="DX121">
        <v>35.933500000000002</v>
      </c>
      <c r="DY121">
        <v>1</v>
      </c>
      <c r="DZ121">
        <v>-7.8656000000000004E-2</v>
      </c>
      <c r="EA121">
        <v>-0.23815900000000001</v>
      </c>
      <c r="EB121">
        <v>20.189800000000002</v>
      </c>
      <c r="EC121">
        <v>5.2411000000000003</v>
      </c>
      <c r="ED121">
        <v>12.039899999999999</v>
      </c>
      <c r="EE121">
        <v>5.0169499999999996</v>
      </c>
      <c r="EF121">
        <v>3.2879999999999998</v>
      </c>
      <c r="EG121">
        <v>9999</v>
      </c>
      <c r="EH121">
        <v>9999</v>
      </c>
      <c r="EI121">
        <v>9999</v>
      </c>
      <c r="EJ121">
        <v>999.9</v>
      </c>
      <c r="EK121">
        <v>1.8689100000000001</v>
      </c>
      <c r="EL121">
        <v>1.86466</v>
      </c>
      <c r="EM121">
        <v>1.8691899999999999</v>
      </c>
      <c r="EN121">
        <v>1.86724</v>
      </c>
      <c r="EO121">
        <v>1.8633999999999999</v>
      </c>
      <c r="EP121">
        <v>1.8645499999999999</v>
      </c>
      <c r="EQ121">
        <v>1.87016</v>
      </c>
      <c r="ER121">
        <v>1.8694</v>
      </c>
      <c r="ES121">
        <v>0</v>
      </c>
      <c r="ET121">
        <v>0</v>
      </c>
      <c r="EU121">
        <v>0</v>
      </c>
      <c r="EV121">
        <v>0</v>
      </c>
      <c r="EW121" t="s">
        <v>334</v>
      </c>
      <c r="EX121" t="s">
        <v>335</v>
      </c>
      <c r="EY121" t="s">
        <v>336</v>
      </c>
      <c r="EZ121" t="s">
        <v>336</v>
      </c>
      <c r="FA121" t="s">
        <v>336</v>
      </c>
      <c r="FB121" t="s">
        <v>336</v>
      </c>
      <c r="FC121">
        <v>0</v>
      </c>
      <c r="FD121">
        <v>100</v>
      </c>
      <c r="FE121">
        <v>100</v>
      </c>
      <c r="FF121">
        <v>-0.27</v>
      </c>
      <c r="FG121">
        <v>0.19159999999999999</v>
      </c>
      <c r="FH121">
        <v>4.0020685143421282E-2</v>
      </c>
      <c r="FI121">
        <v>-6.1462078757559423E-4</v>
      </c>
      <c r="FJ121">
        <v>-1.8861989874597051E-7</v>
      </c>
      <c r="FK121">
        <v>1.1980462299894961E-10</v>
      </c>
      <c r="FL121">
        <v>0.19160597004026461</v>
      </c>
      <c r="FM121">
        <v>0</v>
      </c>
      <c r="FN121">
        <v>0</v>
      </c>
      <c r="FO121">
        <v>0</v>
      </c>
      <c r="FP121">
        <v>3</v>
      </c>
      <c r="FQ121">
        <v>2158</v>
      </c>
      <c r="FR121">
        <v>1</v>
      </c>
      <c r="FS121">
        <v>19</v>
      </c>
      <c r="FT121">
        <v>25.7</v>
      </c>
      <c r="FU121">
        <v>25.6</v>
      </c>
      <c r="FV121">
        <v>1.77979</v>
      </c>
      <c r="FW121">
        <v>2.5878899999999998</v>
      </c>
      <c r="FX121">
        <v>1.5490699999999999</v>
      </c>
      <c r="FY121">
        <v>2.3290999999999999</v>
      </c>
      <c r="FZ121">
        <v>1.50146</v>
      </c>
      <c r="GA121">
        <v>2.2863799999999999</v>
      </c>
      <c r="GB121">
        <v>33.850900000000003</v>
      </c>
      <c r="GC121">
        <v>23.982399999999998</v>
      </c>
      <c r="GD121">
        <v>19</v>
      </c>
      <c r="GE121">
        <v>245.886</v>
      </c>
      <c r="GF121">
        <v>582.55700000000002</v>
      </c>
      <c r="GG121">
        <v>25.4331</v>
      </c>
      <c r="GH121">
        <v>26.397400000000001</v>
      </c>
      <c r="GI121">
        <v>29.9999</v>
      </c>
      <c r="GJ121">
        <v>26.543700000000001</v>
      </c>
      <c r="GK121">
        <v>26.5136</v>
      </c>
      <c r="GL121">
        <v>35.583300000000001</v>
      </c>
      <c r="GM121">
        <v>-30</v>
      </c>
      <c r="GN121">
        <v>-30</v>
      </c>
      <c r="GO121">
        <v>25.429600000000001</v>
      </c>
      <c r="GP121">
        <v>800</v>
      </c>
      <c r="GQ121">
        <v>12.5298</v>
      </c>
      <c r="GR121">
        <v>99.667900000000003</v>
      </c>
      <c r="GS121">
        <v>99.455600000000004</v>
      </c>
    </row>
    <row r="122" spans="1:201" x14ac:dyDescent="0.25">
      <c r="A122">
        <v>106</v>
      </c>
      <c r="B122">
        <v>1690213465.5999999</v>
      </c>
      <c r="C122">
        <v>1198.099999904633</v>
      </c>
      <c r="D122" t="s">
        <v>543</v>
      </c>
      <c r="E122" t="s">
        <v>544</v>
      </c>
      <c r="F122" t="s">
        <v>330</v>
      </c>
      <c r="H122">
        <v>1690213465.5999999</v>
      </c>
      <c r="I122">
        <f t="shared" si="30"/>
        <v>1.782063990196133E-3</v>
      </c>
      <c r="J122">
        <f t="shared" si="31"/>
        <v>1.782063990196133</v>
      </c>
      <c r="K122">
        <f t="shared" si="32"/>
        <v>29.156270300951288</v>
      </c>
      <c r="L122">
        <f t="shared" si="33"/>
        <v>455.50599999999997</v>
      </c>
      <c r="M122">
        <f t="shared" si="34"/>
        <v>80.039223263149879</v>
      </c>
      <c r="N122">
        <f t="shared" si="35"/>
        <v>7.9393544367870135</v>
      </c>
      <c r="O122">
        <f t="shared" si="36"/>
        <v>45.183141897731403</v>
      </c>
      <c r="P122">
        <f t="shared" si="37"/>
        <v>0.13016161559898817</v>
      </c>
      <c r="Q122">
        <f t="shared" si="38"/>
        <v>2.0089095506139607</v>
      </c>
      <c r="R122">
        <f t="shared" si="39"/>
        <v>0.12565137238000806</v>
      </c>
      <c r="S122">
        <f t="shared" si="40"/>
        <v>7.8924315187731284E-2</v>
      </c>
      <c r="T122">
        <f t="shared" si="41"/>
        <v>276.11575694999999</v>
      </c>
      <c r="U122">
        <f t="shared" si="42"/>
        <v>28.623728000046796</v>
      </c>
      <c r="V122">
        <f t="shared" si="43"/>
        <v>28.623728000046796</v>
      </c>
      <c r="W122">
        <f t="shared" si="44"/>
        <v>3.935032890991994</v>
      </c>
      <c r="X122">
        <f t="shared" si="45"/>
        <v>72.024840874026609</v>
      </c>
      <c r="Y122">
        <f t="shared" si="46"/>
        <v>2.57437355377539</v>
      </c>
      <c r="Z122">
        <f t="shared" si="47"/>
        <v>3.5742856527486664</v>
      </c>
      <c r="AA122">
        <f t="shared" si="48"/>
        <v>1.360659337216604</v>
      </c>
      <c r="AB122">
        <f t="shared" si="49"/>
        <v>-78.589021967649458</v>
      </c>
      <c r="AC122">
        <f t="shared" si="50"/>
        <v>-178.36943639106295</v>
      </c>
      <c r="AD122">
        <f t="shared" si="51"/>
        <v>-19.315642483394186</v>
      </c>
      <c r="AE122">
        <f t="shared" si="52"/>
        <v>-0.15834389210658628</v>
      </c>
      <c r="AF122">
        <v>34</v>
      </c>
      <c r="AG122">
        <v>11</v>
      </c>
      <c r="AH122">
        <f t="shared" si="53"/>
        <v>1</v>
      </c>
      <c r="AI122">
        <f t="shared" si="54"/>
        <v>0</v>
      </c>
      <c r="AJ122">
        <f t="shared" si="55"/>
        <v>52254.112052116572</v>
      </c>
      <c r="AK122">
        <f t="shared" si="56"/>
        <v>1800</v>
      </c>
      <c r="AL122">
        <f t="shared" si="57"/>
        <v>1499.111883</v>
      </c>
      <c r="AM122">
        <f t="shared" si="58"/>
        <v>0.83283993499999998</v>
      </c>
      <c r="AN122">
        <f t="shared" si="59"/>
        <v>0.15339764275000001</v>
      </c>
      <c r="AO122">
        <v>34.5</v>
      </c>
      <c r="AP122">
        <v>0.5</v>
      </c>
      <c r="AQ122" t="s">
        <v>331</v>
      </c>
      <c r="AR122">
        <v>2</v>
      </c>
      <c r="AS122">
        <v>1690213465.5999999</v>
      </c>
      <c r="AT122">
        <v>455.50599999999997</v>
      </c>
      <c r="AU122">
        <v>799.99</v>
      </c>
      <c r="AV122">
        <v>25.953099999999999</v>
      </c>
      <c r="AW122">
        <v>5.9998199999999997</v>
      </c>
      <c r="AX122">
        <v>455.774</v>
      </c>
      <c r="AY122">
        <v>25.761500000000002</v>
      </c>
      <c r="AZ122">
        <v>300.12900000000002</v>
      </c>
      <c r="BA122">
        <v>99.093400000000003</v>
      </c>
      <c r="BB122">
        <v>9.9896899999999997E-2</v>
      </c>
      <c r="BC122">
        <v>26.976800000000001</v>
      </c>
      <c r="BD122">
        <v>27.0063</v>
      </c>
      <c r="BE122">
        <v>28.718900000000001</v>
      </c>
      <c r="BF122">
        <v>0</v>
      </c>
      <c r="BG122">
        <v>0</v>
      </c>
      <c r="BH122">
        <v>9970.6200000000008</v>
      </c>
      <c r="BI122">
        <v>1076.8499999999999</v>
      </c>
      <c r="BJ122">
        <v>2.0744500000000001</v>
      </c>
      <c r="BK122">
        <v>-344.48399999999998</v>
      </c>
      <c r="BL122">
        <v>467.64299999999997</v>
      </c>
      <c r="BM122">
        <v>804.81899999999996</v>
      </c>
      <c r="BN122">
        <v>19.953299999999999</v>
      </c>
      <c r="BO122">
        <v>799.99</v>
      </c>
      <c r="BP122">
        <v>5.9998199999999997</v>
      </c>
      <c r="BQ122">
        <v>2.57178</v>
      </c>
      <c r="BR122">
        <v>0.59454300000000004</v>
      </c>
      <c r="BS122">
        <v>21.488</v>
      </c>
      <c r="BT122">
        <v>-0.43473499999999998</v>
      </c>
      <c r="BU122">
        <v>1800</v>
      </c>
      <c r="BV122">
        <v>0.909995</v>
      </c>
      <c r="BW122">
        <v>3.4003100000000001E-2</v>
      </c>
      <c r="BX122">
        <v>2.2002000000000001E-2</v>
      </c>
      <c r="BY122">
        <v>3.4000299999999997E-2</v>
      </c>
      <c r="BZ122">
        <v>26</v>
      </c>
      <c r="CA122">
        <v>33528.300000000003</v>
      </c>
      <c r="CB122">
        <v>1690211922</v>
      </c>
      <c r="CC122" t="s">
        <v>332</v>
      </c>
      <c r="CD122">
        <v>1690211915</v>
      </c>
      <c r="CE122">
        <v>1690211922</v>
      </c>
      <c r="CF122">
        <v>6</v>
      </c>
      <c r="CG122">
        <v>1.0999999999999999E-2</v>
      </c>
      <c r="CH122">
        <v>8.0000000000000002E-3</v>
      </c>
      <c r="CI122">
        <v>-0.51100000000000001</v>
      </c>
      <c r="CJ122">
        <v>-6.6000000000000003E-2</v>
      </c>
      <c r="CK122">
        <v>800</v>
      </c>
      <c r="CL122">
        <v>6</v>
      </c>
      <c r="CM122">
        <v>0.21</v>
      </c>
      <c r="CN122">
        <v>0.02</v>
      </c>
      <c r="CO122">
        <v>-340.82884999999999</v>
      </c>
      <c r="CP122">
        <v>-19.20862288930536</v>
      </c>
      <c r="CQ122">
        <v>1.84893556607579</v>
      </c>
      <c r="CR122">
        <v>-1</v>
      </c>
      <c r="CS122">
        <v>19.806564999999999</v>
      </c>
      <c r="CT122">
        <v>0.77556923076920248</v>
      </c>
      <c r="CU122">
        <v>7.4610081590894911E-2</v>
      </c>
      <c r="CV122">
        <v>-1</v>
      </c>
      <c r="CW122">
        <v>0</v>
      </c>
      <c r="CX122">
        <v>0</v>
      </c>
      <c r="CY122" t="s">
        <v>333</v>
      </c>
      <c r="CZ122">
        <v>2.3641999999999999</v>
      </c>
      <c r="DA122">
        <v>2.71366</v>
      </c>
      <c r="DB122">
        <v>9.8715800000000006E-2</v>
      </c>
      <c r="DC122">
        <v>0.14605199999999999</v>
      </c>
      <c r="DD122">
        <v>0.120297</v>
      </c>
      <c r="DE122">
        <v>3.9438000000000001E-2</v>
      </c>
      <c r="DF122">
        <v>32887.199999999997</v>
      </c>
      <c r="DG122">
        <v>27491.7</v>
      </c>
      <c r="DH122">
        <v>31151.5</v>
      </c>
      <c r="DI122">
        <v>28053</v>
      </c>
      <c r="DJ122">
        <v>37194.800000000003</v>
      </c>
      <c r="DK122">
        <v>38314.5</v>
      </c>
      <c r="DL122">
        <v>44328.3</v>
      </c>
      <c r="DM122">
        <v>42512</v>
      </c>
      <c r="DN122">
        <v>1.3831500000000001</v>
      </c>
      <c r="DO122">
        <v>2.0329700000000002</v>
      </c>
      <c r="DP122">
        <v>8.1315600000000002E-2</v>
      </c>
      <c r="DQ122">
        <v>0.19336100000000001</v>
      </c>
      <c r="DR122">
        <v>25.675000000000001</v>
      </c>
      <c r="DS122">
        <v>25.557400000000001</v>
      </c>
      <c r="DT122">
        <v>17.899999999999999</v>
      </c>
      <c r="DU122">
        <v>29.7</v>
      </c>
      <c r="DV122">
        <v>7.5642100000000001</v>
      </c>
      <c r="DW122">
        <v>61.751199999999997</v>
      </c>
      <c r="DX122">
        <v>36.045699999999997</v>
      </c>
      <c r="DY122">
        <v>1</v>
      </c>
      <c r="DZ122">
        <v>-7.8628000000000003E-2</v>
      </c>
      <c r="EA122">
        <v>-0.21621499999999999</v>
      </c>
      <c r="EB122">
        <v>20.1892</v>
      </c>
      <c r="EC122">
        <v>5.2404999999999999</v>
      </c>
      <c r="ED122">
        <v>12.039899999999999</v>
      </c>
      <c r="EE122">
        <v>5.0171000000000001</v>
      </c>
      <c r="EF122">
        <v>3.2879999999999998</v>
      </c>
      <c r="EG122">
        <v>9999</v>
      </c>
      <c r="EH122">
        <v>9999</v>
      </c>
      <c r="EI122">
        <v>9999</v>
      </c>
      <c r="EJ122">
        <v>999.9</v>
      </c>
      <c r="EK122">
        <v>1.8689100000000001</v>
      </c>
      <c r="EL122">
        <v>1.8647</v>
      </c>
      <c r="EM122">
        <v>1.8692</v>
      </c>
      <c r="EN122">
        <v>1.8672800000000001</v>
      </c>
      <c r="EO122">
        <v>1.8633999999999999</v>
      </c>
      <c r="EP122">
        <v>1.8645499999999999</v>
      </c>
      <c r="EQ122">
        <v>1.87015</v>
      </c>
      <c r="ER122">
        <v>1.86944</v>
      </c>
      <c r="ES122">
        <v>0</v>
      </c>
      <c r="ET122">
        <v>0</v>
      </c>
      <c r="EU122">
        <v>0</v>
      </c>
      <c r="EV122">
        <v>0</v>
      </c>
      <c r="EW122" t="s">
        <v>334</v>
      </c>
      <c r="EX122" t="s">
        <v>335</v>
      </c>
      <c r="EY122" t="s">
        <v>336</v>
      </c>
      <c r="EZ122" t="s">
        <v>336</v>
      </c>
      <c r="FA122" t="s">
        <v>336</v>
      </c>
      <c r="FB122" t="s">
        <v>336</v>
      </c>
      <c r="FC122">
        <v>0</v>
      </c>
      <c r="FD122">
        <v>100</v>
      </c>
      <c r="FE122">
        <v>100</v>
      </c>
      <c r="FF122">
        <v>-0.26800000000000002</v>
      </c>
      <c r="FG122">
        <v>0.19159999999999999</v>
      </c>
      <c r="FH122">
        <v>4.0020685143421282E-2</v>
      </c>
      <c r="FI122">
        <v>-6.1462078757559423E-4</v>
      </c>
      <c r="FJ122">
        <v>-1.8861989874597051E-7</v>
      </c>
      <c r="FK122">
        <v>1.1980462299894961E-10</v>
      </c>
      <c r="FL122">
        <v>0.19160597004026461</v>
      </c>
      <c r="FM122">
        <v>0</v>
      </c>
      <c r="FN122">
        <v>0</v>
      </c>
      <c r="FO122">
        <v>0</v>
      </c>
      <c r="FP122">
        <v>3</v>
      </c>
      <c r="FQ122">
        <v>2158</v>
      </c>
      <c r="FR122">
        <v>1</v>
      </c>
      <c r="FS122">
        <v>19</v>
      </c>
      <c r="FT122">
        <v>25.8</v>
      </c>
      <c r="FU122">
        <v>25.7</v>
      </c>
      <c r="FV122">
        <v>1.77979</v>
      </c>
      <c r="FW122">
        <v>2.5793499999999998</v>
      </c>
      <c r="FX122">
        <v>1.5490699999999999</v>
      </c>
      <c r="FY122">
        <v>2.3303199999999999</v>
      </c>
      <c r="FZ122">
        <v>1.50146</v>
      </c>
      <c r="GA122">
        <v>2.2900399999999999</v>
      </c>
      <c r="GB122">
        <v>33.850900000000003</v>
      </c>
      <c r="GC122">
        <v>23.982399999999998</v>
      </c>
      <c r="GD122">
        <v>19</v>
      </c>
      <c r="GE122">
        <v>245.87700000000001</v>
      </c>
      <c r="GF122">
        <v>582.33100000000002</v>
      </c>
      <c r="GG122">
        <v>25.433900000000001</v>
      </c>
      <c r="GH122">
        <v>26.395399999999999</v>
      </c>
      <c r="GI122">
        <v>30</v>
      </c>
      <c r="GJ122">
        <v>26.541499999999999</v>
      </c>
      <c r="GK122">
        <v>26.5136</v>
      </c>
      <c r="GL122">
        <v>35.582700000000003</v>
      </c>
      <c r="GM122">
        <v>-30</v>
      </c>
      <c r="GN122">
        <v>-30</v>
      </c>
      <c r="GO122">
        <v>25.432200000000002</v>
      </c>
      <c r="GP122">
        <v>800</v>
      </c>
      <c r="GQ122">
        <v>12.5298</v>
      </c>
      <c r="GR122">
        <v>99.667299999999997</v>
      </c>
      <c r="GS122">
        <v>99.456500000000005</v>
      </c>
    </row>
    <row r="123" spans="1:201" x14ac:dyDescent="0.25">
      <c r="A123">
        <v>107</v>
      </c>
      <c r="B123">
        <v>1690213475.5999999</v>
      </c>
      <c r="C123">
        <v>1208.099999904633</v>
      </c>
      <c r="D123" t="s">
        <v>545</v>
      </c>
      <c r="E123" t="s">
        <v>546</v>
      </c>
      <c r="F123" t="s">
        <v>330</v>
      </c>
      <c r="H123">
        <v>1690213475.5999999</v>
      </c>
      <c r="I123">
        <f t="shared" si="30"/>
        <v>1.7938729492760542E-3</v>
      </c>
      <c r="J123">
        <f t="shared" si="31"/>
        <v>1.7938729492760541</v>
      </c>
      <c r="K123">
        <f t="shared" si="32"/>
        <v>29.427152296135286</v>
      </c>
      <c r="L123">
        <f t="shared" si="33"/>
        <v>452.46100000000001</v>
      </c>
      <c r="M123">
        <f t="shared" si="34"/>
        <v>80.118037669872535</v>
      </c>
      <c r="N123">
        <f t="shared" si="35"/>
        <v>7.9471421572272796</v>
      </c>
      <c r="O123">
        <f t="shared" si="36"/>
        <v>44.880928092842701</v>
      </c>
      <c r="P123">
        <f t="shared" si="37"/>
        <v>0.13252122710517444</v>
      </c>
      <c r="Q123">
        <f t="shared" si="38"/>
        <v>2.0118538709584799</v>
      </c>
      <c r="R123">
        <f t="shared" si="39"/>
        <v>0.12785571175494326</v>
      </c>
      <c r="S123">
        <f t="shared" si="40"/>
        <v>8.0315313799686427E-2</v>
      </c>
      <c r="T123">
        <f t="shared" si="41"/>
        <v>276.11404774454599</v>
      </c>
      <c r="U123">
        <f t="shared" si="42"/>
        <v>28.614105537130435</v>
      </c>
      <c r="V123">
        <f t="shared" si="43"/>
        <v>28.614105537130435</v>
      </c>
      <c r="W123">
        <f t="shared" si="44"/>
        <v>3.9328362455840433</v>
      </c>
      <c r="X123">
        <f t="shared" si="45"/>
        <v>72.3871438975046</v>
      </c>
      <c r="Y123">
        <f t="shared" si="46"/>
        <v>2.5868521789352998</v>
      </c>
      <c r="Z123">
        <f t="shared" si="47"/>
        <v>3.5736348191857261</v>
      </c>
      <c r="AA123">
        <f t="shared" si="48"/>
        <v>1.3459840666487435</v>
      </c>
      <c r="AB123">
        <f t="shared" si="49"/>
        <v>-79.109797063073984</v>
      </c>
      <c r="AC123">
        <f t="shared" si="50"/>
        <v>-177.92341386192581</v>
      </c>
      <c r="AD123">
        <f t="shared" si="51"/>
        <v>-19.237923474953025</v>
      </c>
      <c r="AE123">
        <f t="shared" si="52"/>
        <v>-0.15708665540685729</v>
      </c>
      <c r="AF123">
        <v>34</v>
      </c>
      <c r="AG123">
        <v>11</v>
      </c>
      <c r="AH123">
        <f t="shared" si="53"/>
        <v>1</v>
      </c>
      <c r="AI123">
        <f t="shared" si="54"/>
        <v>0</v>
      </c>
      <c r="AJ123">
        <f t="shared" si="55"/>
        <v>52395.88672706153</v>
      </c>
      <c r="AK123">
        <f t="shared" si="56"/>
        <v>1799.99</v>
      </c>
      <c r="AL123">
        <f t="shared" si="57"/>
        <v>1499.10344660125</v>
      </c>
      <c r="AM123">
        <f t="shared" si="58"/>
        <v>0.83283987500000001</v>
      </c>
      <c r="AN123">
        <f t="shared" si="59"/>
        <v>0.1533975454</v>
      </c>
      <c r="AO123">
        <v>34.5</v>
      </c>
      <c r="AP123">
        <v>0.5</v>
      </c>
      <c r="AQ123" t="s">
        <v>331</v>
      </c>
      <c r="AR123">
        <v>2</v>
      </c>
      <c r="AS123">
        <v>1690213475.5999999</v>
      </c>
      <c r="AT123">
        <v>452.46100000000001</v>
      </c>
      <c r="AU123">
        <v>800.01499999999999</v>
      </c>
      <c r="AV123">
        <v>26.079000000000001</v>
      </c>
      <c r="AW123">
        <v>5.99857</v>
      </c>
      <c r="AX123">
        <v>452.726</v>
      </c>
      <c r="AY123">
        <v>25.8874</v>
      </c>
      <c r="AZ123">
        <v>300.166</v>
      </c>
      <c r="BA123">
        <v>99.093000000000004</v>
      </c>
      <c r="BB123">
        <v>9.9920700000000001E-2</v>
      </c>
      <c r="BC123">
        <v>26.973700000000001</v>
      </c>
      <c r="BD123">
        <v>26.995799999999999</v>
      </c>
      <c r="BE123">
        <v>28.700500000000002</v>
      </c>
      <c r="BF123">
        <v>0</v>
      </c>
      <c r="BG123">
        <v>0</v>
      </c>
      <c r="BH123">
        <v>9998.75</v>
      </c>
      <c r="BI123">
        <v>1076.8900000000001</v>
      </c>
      <c r="BJ123">
        <v>2.0744500000000001</v>
      </c>
      <c r="BK123">
        <v>-347.55500000000001</v>
      </c>
      <c r="BL123">
        <v>464.57600000000002</v>
      </c>
      <c r="BM123">
        <v>804.84299999999996</v>
      </c>
      <c r="BN123">
        <v>20.080400000000001</v>
      </c>
      <c r="BO123">
        <v>800.01499999999999</v>
      </c>
      <c r="BP123">
        <v>5.99857</v>
      </c>
      <c r="BQ123">
        <v>2.5842399999999999</v>
      </c>
      <c r="BR123">
        <v>0.59441699999999997</v>
      </c>
      <c r="BS123">
        <v>21.567</v>
      </c>
      <c r="BT123">
        <v>-0.43764199999999998</v>
      </c>
      <c r="BU123">
        <v>1799.99</v>
      </c>
      <c r="BV123">
        <v>0.90999699999999994</v>
      </c>
      <c r="BW123">
        <v>3.4002200000000003E-2</v>
      </c>
      <c r="BX123">
        <v>2.20015E-2</v>
      </c>
      <c r="BY123">
        <v>3.3999399999999999E-2</v>
      </c>
      <c r="BZ123">
        <v>26</v>
      </c>
      <c r="CA123">
        <v>33528.199999999997</v>
      </c>
      <c r="CB123">
        <v>1690211922</v>
      </c>
      <c r="CC123" t="s">
        <v>332</v>
      </c>
      <c r="CD123">
        <v>1690211915</v>
      </c>
      <c r="CE123">
        <v>1690211922</v>
      </c>
      <c r="CF123">
        <v>6</v>
      </c>
      <c r="CG123">
        <v>1.0999999999999999E-2</v>
      </c>
      <c r="CH123">
        <v>8.0000000000000002E-3</v>
      </c>
      <c r="CI123">
        <v>-0.51100000000000001</v>
      </c>
      <c r="CJ123">
        <v>-6.6000000000000003E-2</v>
      </c>
      <c r="CK123">
        <v>800</v>
      </c>
      <c r="CL123">
        <v>6</v>
      </c>
      <c r="CM123">
        <v>0.21</v>
      </c>
      <c r="CN123">
        <v>0.02</v>
      </c>
      <c r="CO123">
        <v>-344.03994999999998</v>
      </c>
      <c r="CP123">
        <v>-19.454093808629871</v>
      </c>
      <c r="CQ123">
        <v>1.872194914398609</v>
      </c>
      <c r="CR123">
        <v>-1</v>
      </c>
      <c r="CS123">
        <v>19.936342499999999</v>
      </c>
      <c r="CT123">
        <v>0.78217148217633825</v>
      </c>
      <c r="CU123">
        <v>7.5242278299836041E-2</v>
      </c>
      <c r="CV123">
        <v>-1</v>
      </c>
      <c r="CW123">
        <v>0</v>
      </c>
      <c r="CX123">
        <v>0</v>
      </c>
      <c r="CY123" t="s">
        <v>333</v>
      </c>
      <c r="CZ123">
        <v>2.3643299999999998</v>
      </c>
      <c r="DA123">
        <v>2.7137099999999998</v>
      </c>
      <c r="DB123">
        <v>9.82243E-2</v>
      </c>
      <c r="DC123">
        <v>0.14605499999999999</v>
      </c>
      <c r="DD123">
        <v>0.12070500000000001</v>
      </c>
      <c r="DE123">
        <v>3.9431399999999998E-2</v>
      </c>
      <c r="DF123">
        <v>32905.699999999997</v>
      </c>
      <c r="DG123">
        <v>27491.3</v>
      </c>
      <c r="DH123">
        <v>31152</v>
      </c>
      <c r="DI123">
        <v>28052.799999999999</v>
      </c>
      <c r="DJ123">
        <v>37177.699999999997</v>
      </c>
      <c r="DK123">
        <v>38314.5</v>
      </c>
      <c r="DL123">
        <v>44328.800000000003</v>
      </c>
      <c r="DM123">
        <v>42511.7</v>
      </c>
      <c r="DN123">
        <v>1.38385</v>
      </c>
      <c r="DO123">
        <v>2.0327999999999999</v>
      </c>
      <c r="DP123">
        <v>8.0674899999999994E-2</v>
      </c>
      <c r="DQ123">
        <v>0.19216900000000001</v>
      </c>
      <c r="DR123">
        <v>25.675000000000001</v>
      </c>
      <c r="DS123">
        <v>25.558399999999999</v>
      </c>
      <c r="DT123">
        <v>17.8</v>
      </c>
      <c r="DU123">
        <v>29.7</v>
      </c>
      <c r="DV123">
        <v>7.5220900000000004</v>
      </c>
      <c r="DW123">
        <v>61.561199999999999</v>
      </c>
      <c r="DX123">
        <v>36.137799999999999</v>
      </c>
      <c r="DY123">
        <v>1</v>
      </c>
      <c r="DZ123">
        <v>-7.86052E-2</v>
      </c>
      <c r="EA123">
        <v>-0.17025599999999999</v>
      </c>
      <c r="EB123">
        <v>20.189800000000002</v>
      </c>
      <c r="EC123">
        <v>5.2406499999999996</v>
      </c>
      <c r="ED123">
        <v>12.039899999999999</v>
      </c>
      <c r="EE123">
        <v>5.0170000000000003</v>
      </c>
      <c r="EF123">
        <v>3.2879999999999998</v>
      </c>
      <c r="EG123">
        <v>9999</v>
      </c>
      <c r="EH123">
        <v>9999</v>
      </c>
      <c r="EI123">
        <v>9999</v>
      </c>
      <c r="EJ123">
        <v>999.9</v>
      </c>
      <c r="EK123">
        <v>1.8689100000000001</v>
      </c>
      <c r="EL123">
        <v>1.86466</v>
      </c>
      <c r="EM123">
        <v>1.8692</v>
      </c>
      <c r="EN123">
        <v>1.8672500000000001</v>
      </c>
      <c r="EO123">
        <v>1.8633999999999999</v>
      </c>
      <c r="EP123">
        <v>1.86453</v>
      </c>
      <c r="EQ123">
        <v>1.87015</v>
      </c>
      <c r="ER123">
        <v>1.86944</v>
      </c>
      <c r="ES123">
        <v>0</v>
      </c>
      <c r="ET123">
        <v>0</v>
      </c>
      <c r="EU123">
        <v>0</v>
      </c>
      <c r="EV123">
        <v>0</v>
      </c>
      <c r="EW123" t="s">
        <v>334</v>
      </c>
      <c r="EX123" t="s">
        <v>335</v>
      </c>
      <c r="EY123" t="s">
        <v>336</v>
      </c>
      <c r="EZ123" t="s">
        <v>336</v>
      </c>
      <c r="FA123" t="s">
        <v>336</v>
      </c>
      <c r="FB123" t="s">
        <v>336</v>
      </c>
      <c r="FC123">
        <v>0</v>
      </c>
      <c r="FD123">
        <v>100</v>
      </c>
      <c r="FE123">
        <v>100</v>
      </c>
      <c r="FF123">
        <v>-0.26500000000000001</v>
      </c>
      <c r="FG123">
        <v>0.19159999999999999</v>
      </c>
      <c r="FH123">
        <v>4.0020685143421282E-2</v>
      </c>
      <c r="FI123">
        <v>-6.1462078757559423E-4</v>
      </c>
      <c r="FJ123">
        <v>-1.8861989874597051E-7</v>
      </c>
      <c r="FK123">
        <v>1.1980462299894961E-10</v>
      </c>
      <c r="FL123">
        <v>0.19160597004026461</v>
      </c>
      <c r="FM123">
        <v>0</v>
      </c>
      <c r="FN123">
        <v>0</v>
      </c>
      <c r="FO123">
        <v>0</v>
      </c>
      <c r="FP123">
        <v>3</v>
      </c>
      <c r="FQ123">
        <v>2158</v>
      </c>
      <c r="FR123">
        <v>1</v>
      </c>
      <c r="FS123">
        <v>19</v>
      </c>
      <c r="FT123">
        <v>26</v>
      </c>
      <c r="FU123">
        <v>25.9</v>
      </c>
      <c r="FV123">
        <v>1.77979</v>
      </c>
      <c r="FW123">
        <v>2.5781200000000002</v>
      </c>
      <c r="FX123">
        <v>1.5490699999999999</v>
      </c>
      <c r="FY123">
        <v>2.3290999999999999</v>
      </c>
      <c r="FZ123">
        <v>1.50146</v>
      </c>
      <c r="GA123">
        <v>2.3645</v>
      </c>
      <c r="GB123">
        <v>33.850900000000003</v>
      </c>
      <c r="GC123">
        <v>23.982399999999998</v>
      </c>
      <c r="GD123">
        <v>19</v>
      </c>
      <c r="GE123">
        <v>246.14500000000001</v>
      </c>
      <c r="GF123">
        <v>582.16099999999994</v>
      </c>
      <c r="GG123">
        <v>25.407800000000002</v>
      </c>
      <c r="GH123">
        <v>26.3931</v>
      </c>
      <c r="GI123">
        <v>30.0001</v>
      </c>
      <c r="GJ123">
        <v>26.540700000000001</v>
      </c>
      <c r="GK123">
        <v>26.511399999999998</v>
      </c>
      <c r="GL123">
        <v>35.578800000000001</v>
      </c>
      <c r="GM123">
        <v>-30</v>
      </c>
      <c r="GN123">
        <v>-30</v>
      </c>
      <c r="GO123">
        <v>25.4114</v>
      </c>
      <c r="GP123">
        <v>800</v>
      </c>
      <c r="GQ123">
        <v>12.5298</v>
      </c>
      <c r="GR123">
        <v>99.668599999999998</v>
      </c>
      <c r="GS123">
        <v>99.455799999999996</v>
      </c>
    </row>
    <row r="124" spans="1:201" x14ac:dyDescent="0.25">
      <c r="A124">
        <v>108</v>
      </c>
      <c r="B124">
        <v>1690213485.5999999</v>
      </c>
      <c r="C124">
        <v>1218.099999904633</v>
      </c>
      <c r="D124" t="s">
        <v>547</v>
      </c>
      <c r="E124" t="s">
        <v>548</v>
      </c>
      <c r="F124" t="s">
        <v>330</v>
      </c>
      <c r="H124">
        <v>1690213485.5999999</v>
      </c>
      <c r="I124">
        <f t="shared" si="30"/>
        <v>1.8047678595881969E-3</v>
      </c>
      <c r="J124">
        <f t="shared" si="31"/>
        <v>1.8047678595881969</v>
      </c>
      <c r="K124">
        <f t="shared" si="32"/>
        <v>29.699235681387918</v>
      </c>
      <c r="L124">
        <f t="shared" si="33"/>
        <v>449.37700000000001</v>
      </c>
      <c r="M124">
        <f t="shared" si="34"/>
        <v>79.125630479249779</v>
      </c>
      <c r="N124">
        <f t="shared" si="35"/>
        <v>7.8488518815193915</v>
      </c>
      <c r="O124">
        <f t="shared" si="36"/>
        <v>44.575866133369999</v>
      </c>
      <c r="P124">
        <f t="shared" si="37"/>
        <v>0.13453725601753491</v>
      </c>
      <c r="Q124">
        <f t="shared" si="38"/>
        <v>2.0135723198721629</v>
      </c>
      <c r="R124">
        <f t="shared" si="39"/>
        <v>0.12973542231035404</v>
      </c>
      <c r="S124">
        <f t="shared" si="40"/>
        <v>8.1501786208234728E-2</v>
      </c>
      <c r="T124">
        <f t="shared" si="41"/>
        <v>276.11408522033781</v>
      </c>
      <c r="U124">
        <f t="shared" si="42"/>
        <v>28.613536290939614</v>
      </c>
      <c r="V124">
        <f t="shared" si="43"/>
        <v>28.613536290939614</v>
      </c>
      <c r="W124">
        <f t="shared" si="44"/>
        <v>3.9327063298259364</v>
      </c>
      <c r="X124">
        <f t="shared" si="45"/>
        <v>72.685164004079553</v>
      </c>
      <c r="Y124">
        <f t="shared" si="46"/>
        <v>2.5982195778110002</v>
      </c>
      <c r="Z124">
        <f t="shared" si="47"/>
        <v>3.5746216073271455</v>
      </c>
      <c r="AA124">
        <f t="shared" si="48"/>
        <v>1.3344867520149362</v>
      </c>
      <c r="AB124">
        <f t="shared" si="49"/>
        <v>-79.590262607839492</v>
      </c>
      <c r="AC124">
        <f t="shared" si="50"/>
        <v>-177.50338249597021</v>
      </c>
      <c r="AD124">
        <f t="shared" si="51"/>
        <v>-19.176522273518554</v>
      </c>
      <c r="AE124">
        <f t="shared" si="52"/>
        <v>-0.15608215699046468</v>
      </c>
      <c r="AF124">
        <v>34</v>
      </c>
      <c r="AG124">
        <v>11</v>
      </c>
      <c r="AH124">
        <f t="shared" si="53"/>
        <v>1</v>
      </c>
      <c r="AI124">
        <f t="shared" si="54"/>
        <v>0</v>
      </c>
      <c r="AJ124">
        <f t="shared" si="55"/>
        <v>52477.674428284554</v>
      </c>
      <c r="AK124">
        <f t="shared" si="56"/>
        <v>1799.99</v>
      </c>
      <c r="AL124">
        <f t="shared" si="57"/>
        <v>1499.1042781966298</v>
      </c>
      <c r="AM124">
        <f t="shared" si="58"/>
        <v>0.83284033699999993</v>
      </c>
      <c r="AN124">
        <f t="shared" si="59"/>
        <v>0.15339756622</v>
      </c>
      <c r="AO124">
        <v>34.5</v>
      </c>
      <c r="AP124">
        <v>0.5</v>
      </c>
      <c r="AQ124" t="s">
        <v>331</v>
      </c>
      <c r="AR124">
        <v>2</v>
      </c>
      <c r="AS124">
        <v>1690213485.5999999</v>
      </c>
      <c r="AT124">
        <v>449.37700000000001</v>
      </c>
      <c r="AU124">
        <v>799.98199999999997</v>
      </c>
      <c r="AV124">
        <v>26.193100000000001</v>
      </c>
      <c r="AW124">
        <v>5.9970499999999998</v>
      </c>
      <c r="AX124">
        <v>449.64100000000002</v>
      </c>
      <c r="AY124">
        <v>26.0015</v>
      </c>
      <c r="AZ124">
        <v>300.22500000000002</v>
      </c>
      <c r="BA124">
        <v>99.094800000000006</v>
      </c>
      <c r="BB124">
        <v>0.10001</v>
      </c>
      <c r="BC124">
        <v>26.978400000000001</v>
      </c>
      <c r="BD124">
        <v>26.997299999999999</v>
      </c>
      <c r="BE124">
        <v>28.6768</v>
      </c>
      <c r="BF124">
        <v>0</v>
      </c>
      <c r="BG124">
        <v>0</v>
      </c>
      <c r="BH124">
        <v>10015</v>
      </c>
      <c r="BI124">
        <v>1076.96</v>
      </c>
      <c r="BJ124">
        <v>2.0744500000000001</v>
      </c>
      <c r="BK124">
        <v>-350.60500000000002</v>
      </c>
      <c r="BL124">
        <v>461.464</v>
      </c>
      <c r="BM124">
        <v>804.80899999999997</v>
      </c>
      <c r="BN124">
        <v>20.196000000000002</v>
      </c>
      <c r="BO124">
        <v>799.98199999999997</v>
      </c>
      <c r="BP124">
        <v>5.9970499999999998</v>
      </c>
      <c r="BQ124">
        <v>2.5956000000000001</v>
      </c>
      <c r="BR124">
        <v>0.59427600000000003</v>
      </c>
      <c r="BS124">
        <v>21.6387</v>
      </c>
      <c r="BT124">
        <v>-0.44088100000000002</v>
      </c>
      <c r="BU124">
        <v>1799.99</v>
      </c>
      <c r="BV124">
        <v>0.909999</v>
      </c>
      <c r="BW124">
        <v>3.40016E-2</v>
      </c>
      <c r="BX124">
        <v>2.2001099999999999E-2</v>
      </c>
      <c r="BY124">
        <v>3.3998800000000003E-2</v>
      </c>
      <c r="BZ124">
        <v>26</v>
      </c>
      <c r="CA124">
        <v>33528.199999999997</v>
      </c>
      <c r="CB124">
        <v>1690211922</v>
      </c>
      <c r="CC124" t="s">
        <v>332</v>
      </c>
      <c r="CD124">
        <v>1690211915</v>
      </c>
      <c r="CE124">
        <v>1690211922</v>
      </c>
      <c r="CF124">
        <v>6</v>
      </c>
      <c r="CG124">
        <v>1.0999999999999999E-2</v>
      </c>
      <c r="CH124">
        <v>8.0000000000000002E-3</v>
      </c>
      <c r="CI124">
        <v>-0.51100000000000001</v>
      </c>
      <c r="CJ124">
        <v>-6.6000000000000003E-2</v>
      </c>
      <c r="CK124">
        <v>800</v>
      </c>
      <c r="CL124">
        <v>6</v>
      </c>
      <c r="CM124">
        <v>0.21</v>
      </c>
      <c r="CN124">
        <v>0.02</v>
      </c>
      <c r="CO124">
        <v>-347.18787500000002</v>
      </c>
      <c r="CP124">
        <v>-18.526232645402349</v>
      </c>
      <c r="CQ124">
        <v>1.7833732529605231</v>
      </c>
      <c r="CR124">
        <v>-1</v>
      </c>
      <c r="CS124">
        <v>20.062157500000001</v>
      </c>
      <c r="CT124">
        <v>0.72629606003749492</v>
      </c>
      <c r="CU124">
        <v>6.9908976131466849E-2</v>
      </c>
      <c r="CV124">
        <v>-1</v>
      </c>
      <c r="CW124">
        <v>0</v>
      </c>
      <c r="CX124">
        <v>0</v>
      </c>
      <c r="CY124" t="s">
        <v>333</v>
      </c>
      <c r="CZ124">
        <v>2.3645100000000001</v>
      </c>
      <c r="DA124">
        <v>2.7138200000000001</v>
      </c>
      <c r="DB124">
        <v>9.77272E-2</v>
      </c>
      <c r="DC124">
        <v>0.14605399999999999</v>
      </c>
      <c r="DD124">
        <v>0.121077</v>
      </c>
      <c r="DE124">
        <v>3.9424099999999997E-2</v>
      </c>
      <c r="DF124">
        <v>32923.9</v>
      </c>
      <c r="DG124">
        <v>27491.5</v>
      </c>
      <c r="DH124">
        <v>31152</v>
      </c>
      <c r="DI124">
        <v>28052.9</v>
      </c>
      <c r="DJ124">
        <v>37161.9</v>
      </c>
      <c r="DK124">
        <v>38314.9</v>
      </c>
      <c r="DL124">
        <v>44329.1</v>
      </c>
      <c r="DM124">
        <v>42511.9</v>
      </c>
      <c r="DN124">
        <v>1.3838299999999999</v>
      </c>
      <c r="DO124">
        <v>2.0330499999999998</v>
      </c>
      <c r="DP124">
        <v>8.0768000000000006E-2</v>
      </c>
      <c r="DQ124">
        <v>0.190716</v>
      </c>
      <c r="DR124">
        <v>25.675000000000001</v>
      </c>
      <c r="DS124">
        <v>25.558399999999999</v>
      </c>
      <c r="DT124">
        <v>17.8</v>
      </c>
      <c r="DU124">
        <v>29.7</v>
      </c>
      <c r="DV124">
        <v>7.5227500000000003</v>
      </c>
      <c r="DW124">
        <v>61.851199999999999</v>
      </c>
      <c r="DX124">
        <v>36.222000000000001</v>
      </c>
      <c r="DY124">
        <v>1</v>
      </c>
      <c r="DZ124">
        <v>-7.9014200000000007E-2</v>
      </c>
      <c r="EA124">
        <v>-0.205071</v>
      </c>
      <c r="EB124">
        <v>20.189499999999999</v>
      </c>
      <c r="EC124">
        <v>5.2406499999999996</v>
      </c>
      <c r="ED124">
        <v>12.039899999999999</v>
      </c>
      <c r="EE124">
        <v>5.0170000000000003</v>
      </c>
      <c r="EF124">
        <v>3.2879999999999998</v>
      </c>
      <c r="EG124">
        <v>9999</v>
      </c>
      <c r="EH124">
        <v>9999</v>
      </c>
      <c r="EI124">
        <v>9999</v>
      </c>
      <c r="EJ124">
        <v>999.9</v>
      </c>
      <c r="EK124">
        <v>1.8689100000000001</v>
      </c>
      <c r="EL124">
        <v>1.86466</v>
      </c>
      <c r="EM124">
        <v>1.8692</v>
      </c>
      <c r="EN124">
        <v>1.8672599999999999</v>
      </c>
      <c r="EO124">
        <v>1.8633999999999999</v>
      </c>
      <c r="EP124">
        <v>1.86456</v>
      </c>
      <c r="EQ124">
        <v>1.87016</v>
      </c>
      <c r="ER124">
        <v>1.8694500000000001</v>
      </c>
      <c r="ES124">
        <v>0</v>
      </c>
      <c r="ET124">
        <v>0</v>
      </c>
      <c r="EU124">
        <v>0</v>
      </c>
      <c r="EV124">
        <v>0</v>
      </c>
      <c r="EW124" t="s">
        <v>334</v>
      </c>
      <c r="EX124" t="s">
        <v>335</v>
      </c>
      <c r="EY124" t="s">
        <v>336</v>
      </c>
      <c r="EZ124" t="s">
        <v>336</v>
      </c>
      <c r="FA124" t="s">
        <v>336</v>
      </c>
      <c r="FB124" t="s">
        <v>336</v>
      </c>
      <c r="FC124">
        <v>0</v>
      </c>
      <c r="FD124">
        <v>100</v>
      </c>
      <c r="FE124">
        <v>100</v>
      </c>
      <c r="FF124">
        <v>-0.26400000000000001</v>
      </c>
      <c r="FG124">
        <v>0.19159999999999999</v>
      </c>
      <c r="FH124">
        <v>4.0020685143421282E-2</v>
      </c>
      <c r="FI124">
        <v>-6.1462078757559423E-4</v>
      </c>
      <c r="FJ124">
        <v>-1.8861989874597051E-7</v>
      </c>
      <c r="FK124">
        <v>1.1980462299894961E-10</v>
      </c>
      <c r="FL124">
        <v>0.19160597004026461</v>
      </c>
      <c r="FM124">
        <v>0</v>
      </c>
      <c r="FN124">
        <v>0</v>
      </c>
      <c r="FO124">
        <v>0</v>
      </c>
      <c r="FP124">
        <v>3</v>
      </c>
      <c r="FQ124">
        <v>2158</v>
      </c>
      <c r="FR124">
        <v>1</v>
      </c>
      <c r="FS124">
        <v>19</v>
      </c>
      <c r="FT124">
        <v>26.2</v>
      </c>
      <c r="FU124">
        <v>26.1</v>
      </c>
      <c r="FV124">
        <v>1.77979</v>
      </c>
      <c r="FW124">
        <v>2.5756800000000002</v>
      </c>
      <c r="FX124">
        <v>1.5490699999999999</v>
      </c>
      <c r="FY124">
        <v>2.3290999999999999</v>
      </c>
      <c r="FZ124">
        <v>1.50146</v>
      </c>
      <c r="GA124">
        <v>2.3132299999999999</v>
      </c>
      <c r="GB124">
        <v>33.850900000000003</v>
      </c>
      <c r="GC124">
        <v>23.982399999999998</v>
      </c>
      <c r="GD124">
        <v>19</v>
      </c>
      <c r="GE124">
        <v>246.12899999999999</v>
      </c>
      <c r="GF124">
        <v>582.34199999999998</v>
      </c>
      <c r="GG124">
        <v>25.411100000000001</v>
      </c>
      <c r="GH124">
        <v>26.3931</v>
      </c>
      <c r="GI124">
        <v>29.9999</v>
      </c>
      <c r="GJ124">
        <v>26.539200000000001</v>
      </c>
      <c r="GK124">
        <v>26.5092</v>
      </c>
      <c r="GL124">
        <v>35.582500000000003</v>
      </c>
      <c r="GM124">
        <v>-30</v>
      </c>
      <c r="GN124">
        <v>-30</v>
      </c>
      <c r="GO124">
        <v>25.413900000000002</v>
      </c>
      <c r="GP124">
        <v>800</v>
      </c>
      <c r="GQ124">
        <v>12.5298</v>
      </c>
      <c r="GR124">
        <v>99.668999999999997</v>
      </c>
      <c r="GS124">
        <v>99.456199999999995</v>
      </c>
    </row>
    <row r="125" spans="1:201" x14ac:dyDescent="0.25">
      <c r="A125">
        <v>109</v>
      </c>
      <c r="B125">
        <v>1690213495.5999999</v>
      </c>
      <c r="C125">
        <v>1228.099999904633</v>
      </c>
      <c r="D125" t="s">
        <v>549</v>
      </c>
      <c r="E125" t="s">
        <v>550</v>
      </c>
      <c r="F125" t="s">
        <v>330</v>
      </c>
      <c r="H125">
        <v>1690213495.5999999</v>
      </c>
      <c r="I125">
        <f t="shared" si="30"/>
        <v>1.8153435805458092E-3</v>
      </c>
      <c r="J125">
        <f t="shared" si="31"/>
        <v>1.8153435805458091</v>
      </c>
      <c r="K125">
        <f t="shared" si="32"/>
        <v>29.966906669305295</v>
      </c>
      <c r="L125">
        <f t="shared" si="33"/>
        <v>446.286</v>
      </c>
      <c r="M125">
        <f t="shared" si="34"/>
        <v>78.701535626038208</v>
      </c>
      <c r="N125">
        <f t="shared" si="35"/>
        <v>7.8068838791744124</v>
      </c>
      <c r="O125">
        <f t="shared" si="36"/>
        <v>44.26982207128021</v>
      </c>
      <c r="P125">
        <f t="shared" si="37"/>
        <v>0.13678856673404452</v>
      </c>
      <c r="Q125">
        <f t="shared" si="38"/>
        <v>2.0112971607714987</v>
      </c>
      <c r="R125">
        <f t="shared" si="39"/>
        <v>0.13182247841897213</v>
      </c>
      <c r="S125">
        <f t="shared" si="40"/>
        <v>8.2820211396818846E-2</v>
      </c>
      <c r="T125">
        <f t="shared" si="41"/>
        <v>276.11386927553747</v>
      </c>
      <c r="U125">
        <f t="shared" si="42"/>
        <v>28.604431397482958</v>
      </c>
      <c r="V125">
        <f t="shared" si="43"/>
        <v>28.604431397482958</v>
      </c>
      <c r="W125">
        <f t="shared" si="44"/>
        <v>3.9306288814252182</v>
      </c>
      <c r="X125">
        <f t="shared" si="45"/>
        <v>73.03370791687685</v>
      </c>
      <c r="Y125">
        <f t="shared" si="46"/>
        <v>2.6096207322313902</v>
      </c>
      <c r="Z125">
        <f t="shared" si="47"/>
        <v>3.573173000063921</v>
      </c>
      <c r="AA125">
        <f t="shared" si="48"/>
        <v>1.3210081491938279</v>
      </c>
      <c r="AB125">
        <f t="shared" si="49"/>
        <v>-80.056651902070186</v>
      </c>
      <c r="AC125">
        <f t="shared" si="50"/>
        <v>-177.06373600362676</v>
      </c>
      <c r="AD125">
        <f t="shared" si="51"/>
        <v>-19.149134963917422</v>
      </c>
      <c r="AE125">
        <f t="shared" si="52"/>
        <v>-0.15565359407693791</v>
      </c>
      <c r="AF125">
        <v>34</v>
      </c>
      <c r="AG125">
        <v>11</v>
      </c>
      <c r="AH125">
        <f t="shared" si="53"/>
        <v>1</v>
      </c>
      <c r="AI125">
        <f t="shared" si="54"/>
        <v>0</v>
      </c>
      <c r="AJ125">
        <f t="shared" si="55"/>
        <v>52369.609123406219</v>
      </c>
      <c r="AK125">
        <f t="shared" si="56"/>
        <v>1799.99</v>
      </c>
      <c r="AL125">
        <f t="shared" si="57"/>
        <v>1499.1040135980998</v>
      </c>
      <c r="AM125">
        <f t="shared" si="58"/>
        <v>0.83284018999999987</v>
      </c>
      <c r="AN125">
        <f t="shared" si="59"/>
        <v>0.15339744624999999</v>
      </c>
      <c r="AO125">
        <v>34.5</v>
      </c>
      <c r="AP125">
        <v>0.5</v>
      </c>
      <c r="AQ125" t="s">
        <v>331</v>
      </c>
      <c r="AR125">
        <v>2</v>
      </c>
      <c r="AS125">
        <v>1690213495.5999999</v>
      </c>
      <c r="AT125">
        <v>446.286</v>
      </c>
      <c r="AU125">
        <v>799.97</v>
      </c>
      <c r="AV125">
        <v>26.307700000000001</v>
      </c>
      <c r="AW125">
        <v>5.9949500000000002</v>
      </c>
      <c r="AX125">
        <v>446.54700000000003</v>
      </c>
      <c r="AY125">
        <v>26.116099999999999</v>
      </c>
      <c r="AZ125">
        <v>300.214</v>
      </c>
      <c r="BA125">
        <v>99.096100000000007</v>
      </c>
      <c r="BB125">
        <v>9.9980700000000006E-2</v>
      </c>
      <c r="BC125">
        <v>26.971499999999999</v>
      </c>
      <c r="BD125">
        <v>26.991499999999998</v>
      </c>
      <c r="BE125">
        <v>28.6875</v>
      </c>
      <c r="BF125">
        <v>0</v>
      </c>
      <c r="BG125">
        <v>0</v>
      </c>
      <c r="BH125">
        <v>9993.1200000000008</v>
      </c>
      <c r="BI125">
        <v>1076.94</v>
      </c>
      <c r="BJ125">
        <v>2.0744500000000001</v>
      </c>
      <c r="BK125">
        <v>-353.685</v>
      </c>
      <c r="BL125">
        <v>458.34399999999999</v>
      </c>
      <c r="BM125">
        <v>804.79499999999996</v>
      </c>
      <c r="BN125">
        <v>20.3127</v>
      </c>
      <c r="BO125">
        <v>799.97</v>
      </c>
      <c r="BP125">
        <v>5.9949500000000002</v>
      </c>
      <c r="BQ125">
        <v>2.6069900000000001</v>
      </c>
      <c r="BR125">
        <v>0.59407600000000005</v>
      </c>
      <c r="BS125">
        <v>21.7103</v>
      </c>
      <c r="BT125">
        <v>-0.44549899999999998</v>
      </c>
      <c r="BU125">
        <v>1799.99</v>
      </c>
      <c r="BV125">
        <v>0.91000099999999995</v>
      </c>
      <c r="BW125">
        <v>3.4000700000000002E-2</v>
      </c>
      <c r="BX125">
        <v>2.2000499999999999E-2</v>
      </c>
      <c r="BY125">
        <v>3.3997899999999998E-2</v>
      </c>
      <c r="BZ125">
        <v>26</v>
      </c>
      <c r="CA125">
        <v>33528.199999999997</v>
      </c>
      <c r="CB125">
        <v>1690211922</v>
      </c>
      <c r="CC125" t="s">
        <v>332</v>
      </c>
      <c r="CD125">
        <v>1690211915</v>
      </c>
      <c r="CE125">
        <v>1690211922</v>
      </c>
      <c r="CF125">
        <v>6</v>
      </c>
      <c r="CG125">
        <v>1.0999999999999999E-2</v>
      </c>
      <c r="CH125">
        <v>8.0000000000000002E-3</v>
      </c>
      <c r="CI125">
        <v>-0.51100000000000001</v>
      </c>
      <c r="CJ125">
        <v>-6.6000000000000003E-2</v>
      </c>
      <c r="CK125">
        <v>800</v>
      </c>
      <c r="CL125">
        <v>6</v>
      </c>
      <c r="CM125">
        <v>0.21</v>
      </c>
      <c r="CN125">
        <v>0.02</v>
      </c>
      <c r="CO125">
        <v>-350.3260975609756</v>
      </c>
      <c r="CP125">
        <v>-18.24620905923312</v>
      </c>
      <c r="CQ125">
        <v>1.799592024292306</v>
      </c>
      <c r="CR125">
        <v>-1</v>
      </c>
      <c r="CS125">
        <v>20.185253658536581</v>
      </c>
      <c r="CT125">
        <v>0.71038327526132872</v>
      </c>
      <c r="CU125">
        <v>7.0063783127428197E-2</v>
      </c>
      <c r="CV125">
        <v>-1</v>
      </c>
      <c r="CW125">
        <v>0</v>
      </c>
      <c r="CX125">
        <v>0</v>
      </c>
      <c r="CY125" t="s">
        <v>333</v>
      </c>
      <c r="CZ125">
        <v>2.36449</v>
      </c>
      <c r="DA125">
        <v>2.7137699999999998</v>
      </c>
      <c r="DB125">
        <v>9.7226999999999994E-2</v>
      </c>
      <c r="DC125">
        <v>0.14605399999999999</v>
      </c>
      <c r="DD125">
        <v>0.121449</v>
      </c>
      <c r="DE125">
        <v>3.9413400000000001E-2</v>
      </c>
      <c r="DF125">
        <v>32942.1</v>
      </c>
      <c r="DG125">
        <v>27492</v>
      </c>
      <c r="DH125">
        <v>31152</v>
      </c>
      <c r="DI125">
        <v>28053.4</v>
      </c>
      <c r="DJ125">
        <v>37146</v>
      </c>
      <c r="DK125">
        <v>38315.800000000003</v>
      </c>
      <c r="DL125">
        <v>44329.2</v>
      </c>
      <c r="DM125">
        <v>42512.4</v>
      </c>
      <c r="DN125">
        <v>1.3839999999999999</v>
      </c>
      <c r="DO125">
        <v>2.03295</v>
      </c>
      <c r="DP125">
        <v>8.0414100000000002E-2</v>
      </c>
      <c r="DQ125">
        <v>0.19137199999999999</v>
      </c>
      <c r="DR125">
        <v>25.675000000000001</v>
      </c>
      <c r="DS125">
        <v>25.558399999999999</v>
      </c>
      <c r="DT125">
        <v>17.8</v>
      </c>
      <c r="DU125">
        <v>29.7</v>
      </c>
      <c r="DV125">
        <v>7.52264</v>
      </c>
      <c r="DW125">
        <v>61.601199999999999</v>
      </c>
      <c r="DX125">
        <v>36.486400000000003</v>
      </c>
      <c r="DY125">
        <v>1</v>
      </c>
      <c r="DZ125">
        <v>-7.9110799999999995E-2</v>
      </c>
      <c r="EA125">
        <v>-0.24573500000000001</v>
      </c>
      <c r="EB125">
        <v>20.189399999999999</v>
      </c>
      <c r="EC125">
        <v>5.2404999999999999</v>
      </c>
      <c r="ED125">
        <v>12.039899999999999</v>
      </c>
      <c r="EE125">
        <v>5.0168999999999997</v>
      </c>
      <c r="EF125">
        <v>3.2879999999999998</v>
      </c>
      <c r="EG125">
        <v>9999</v>
      </c>
      <c r="EH125">
        <v>9999</v>
      </c>
      <c r="EI125">
        <v>9999</v>
      </c>
      <c r="EJ125">
        <v>999.9</v>
      </c>
      <c r="EK125">
        <v>1.86893</v>
      </c>
      <c r="EL125">
        <v>1.8647100000000001</v>
      </c>
      <c r="EM125">
        <v>1.8692</v>
      </c>
      <c r="EN125">
        <v>1.8672500000000001</v>
      </c>
      <c r="EO125">
        <v>1.8633999999999999</v>
      </c>
      <c r="EP125">
        <v>1.8645400000000001</v>
      </c>
      <c r="EQ125">
        <v>1.87015</v>
      </c>
      <c r="ER125">
        <v>1.8694599999999999</v>
      </c>
      <c r="ES125">
        <v>0</v>
      </c>
      <c r="ET125">
        <v>0</v>
      </c>
      <c r="EU125">
        <v>0</v>
      </c>
      <c r="EV125">
        <v>0</v>
      </c>
      <c r="EW125" t="s">
        <v>334</v>
      </c>
      <c r="EX125" t="s">
        <v>335</v>
      </c>
      <c r="EY125" t="s">
        <v>336</v>
      </c>
      <c r="EZ125" t="s">
        <v>336</v>
      </c>
      <c r="FA125" t="s">
        <v>336</v>
      </c>
      <c r="FB125" t="s">
        <v>336</v>
      </c>
      <c r="FC125">
        <v>0</v>
      </c>
      <c r="FD125">
        <v>100</v>
      </c>
      <c r="FE125">
        <v>100</v>
      </c>
      <c r="FF125">
        <v>-0.26100000000000001</v>
      </c>
      <c r="FG125">
        <v>0.19159999999999999</v>
      </c>
      <c r="FH125">
        <v>4.0020685143421282E-2</v>
      </c>
      <c r="FI125">
        <v>-6.1462078757559423E-4</v>
      </c>
      <c r="FJ125">
        <v>-1.8861989874597051E-7</v>
      </c>
      <c r="FK125">
        <v>1.1980462299894961E-10</v>
      </c>
      <c r="FL125">
        <v>0.19160597004026461</v>
      </c>
      <c r="FM125">
        <v>0</v>
      </c>
      <c r="FN125">
        <v>0</v>
      </c>
      <c r="FO125">
        <v>0</v>
      </c>
      <c r="FP125">
        <v>3</v>
      </c>
      <c r="FQ125">
        <v>2158</v>
      </c>
      <c r="FR125">
        <v>1</v>
      </c>
      <c r="FS125">
        <v>19</v>
      </c>
      <c r="FT125">
        <v>26.3</v>
      </c>
      <c r="FU125">
        <v>26.2</v>
      </c>
      <c r="FV125">
        <v>1.77979</v>
      </c>
      <c r="FW125">
        <v>2.5744600000000002</v>
      </c>
      <c r="FX125">
        <v>1.5490699999999999</v>
      </c>
      <c r="FY125">
        <v>2.3290999999999999</v>
      </c>
      <c r="FZ125">
        <v>1.50146</v>
      </c>
      <c r="GA125">
        <v>2.3828100000000001</v>
      </c>
      <c r="GB125">
        <v>33.850900000000003</v>
      </c>
      <c r="GC125">
        <v>23.991199999999999</v>
      </c>
      <c r="GD125">
        <v>19</v>
      </c>
      <c r="GE125">
        <v>246.19</v>
      </c>
      <c r="GF125">
        <v>582.26</v>
      </c>
      <c r="GG125">
        <v>25.420400000000001</v>
      </c>
      <c r="GH125">
        <v>26.390899999999998</v>
      </c>
      <c r="GI125">
        <v>30</v>
      </c>
      <c r="GJ125">
        <v>26.537099999999999</v>
      </c>
      <c r="GK125">
        <v>26.5091</v>
      </c>
      <c r="GL125">
        <v>35.583100000000002</v>
      </c>
      <c r="GM125">
        <v>-30</v>
      </c>
      <c r="GN125">
        <v>-30</v>
      </c>
      <c r="GO125">
        <v>25.4297</v>
      </c>
      <c r="GP125">
        <v>800</v>
      </c>
      <c r="GQ125">
        <v>12.5298</v>
      </c>
      <c r="GR125">
        <v>99.668999999999997</v>
      </c>
      <c r="GS125">
        <v>99.457599999999999</v>
      </c>
    </row>
    <row r="126" spans="1:201" x14ac:dyDescent="0.25">
      <c r="A126">
        <v>110</v>
      </c>
      <c r="B126">
        <v>1690213505.5999999</v>
      </c>
      <c r="C126">
        <v>1238.099999904633</v>
      </c>
      <c r="D126" t="s">
        <v>551</v>
      </c>
      <c r="E126" t="s">
        <v>552</v>
      </c>
      <c r="F126" t="s">
        <v>330</v>
      </c>
      <c r="H126">
        <v>1690213505.5999999</v>
      </c>
      <c r="I126">
        <f t="shared" si="30"/>
        <v>1.8258897286688577E-3</v>
      </c>
      <c r="J126">
        <f t="shared" si="31"/>
        <v>1.8258897286688578</v>
      </c>
      <c r="K126">
        <f t="shared" si="32"/>
        <v>30.214322712775136</v>
      </c>
      <c r="L126">
        <f t="shared" si="33"/>
        <v>443.37900000000002</v>
      </c>
      <c r="M126">
        <f t="shared" si="34"/>
        <v>78.34119254052564</v>
      </c>
      <c r="N126">
        <f t="shared" si="35"/>
        <v>7.7709954464570723</v>
      </c>
      <c r="O126">
        <f t="shared" si="36"/>
        <v>43.980645153855001</v>
      </c>
      <c r="P126">
        <f t="shared" si="37"/>
        <v>0.13893462340052601</v>
      </c>
      <c r="Q126">
        <f t="shared" si="38"/>
        <v>2.0088529171274678</v>
      </c>
      <c r="R126">
        <f t="shared" si="39"/>
        <v>0.1338086430442578</v>
      </c>
      <c r="S126">
        <f t="shared" si="40"/>
        <v>8.4075194010093793E-2</v>
      </c>
      <c r="T126">
        <f t="shared" si="41"/>
        <v>276.11530408800002</v>
      </c>
      <c r="U126">
        <f t="shared" si="42"/>
        <v>28.602659160179645</v>
      </c>
      <c r="V126">
        <f t="shared" si="43"/>
        <v>28.602659160179645</v>
      </c>
      <c r="W126">
        <f t="shared" si="44"/>
        <v>3.9302246242871357</v>
      </c>
      <c r="X126">
        <f t="shared" si="45"/>
        <v>73.361139740431881</v>
      </c>
      <c r="Y126">
        <f t="shared" si="46"/>
        <v>2.6213666349169999</v>
      </c>
      <c r="Z126">
        <f t="shared" si="47"/>
        <v>3.57323597233083</v>
      </c>
      <c r="AA126">
        <f t="shared" si="48"/>
        <v>1.3088579893701358</v>
      </c>
      <c r="AB126">
        <f t="shared" si="49"/>
        <v>-80.521737034296621</v>
      </c>
      <c r="AC126">
        <f t="shared" si="50"/>
        <v>-176.62413204899124</v>
      </c>
      <c r="AD126">
        <f t="shared" si="51"/>
        <v>-19.124693387212051</v>
      </c>
      <c r="AE126">
        <f t="shared" si="52"/>
        <v>-0.15525838249990898</v>
      </c>
      <c r="AF126">
        <v>34</v>
      </c>
      <c r="AG126">
        <v>11</v>
      </c>
      <c r="AH126">
        <f t="shared" si="53"/>
        <v>1</v>
      </c>
      <c r="AI126">
        <f t="shared" si="54"/>
        <v>0</v>
      </c>
      <c r="AJ126">
        <f t="shared" si="55"/>
        <v>52252.285998627369</v>
      </c>
      <c r="AK126">
        <f t="shared" si="56"/>
        <v>1800</v>
      </c>
      <c r="AL126">
        <f t="shared" si="57"/>
        <v>1499.1129107999998</v>
      </c>
      <c r="AM126">
        <f t="shared" si="58"/>
        <v>0.83284050599999992</v>
      </c>
      <c r="AN126">
        <f t="shared" si="59"/>
        <v>0.15339739116000001</v>
      </c>
      <c r="AO126">
        <v>34.5</v>
      </c>
      <c r="AP126">
        <v>0.5</v>
      </c>
      <c r="AQ126" t="s">
        <v>331</v>
      </c>
      <c r="AR126">
        <v>2</v>
      </c>
      <c r="AS126">
        <v>1690213505.5999999</v>
      </c>
      <c r="AT126">
        <v>443.37900000000002</v>
      </c>
      <c r="AU126">
        <v>799.99199999999996</v>
      </c>
      <c r="AV126">
        <v>26.426600000000001</v>
      </c>
      <c r="AW126">
        <v>5.9930300000000001</v>
      </c>
      <c r="AX126">
        <v>443.63799999999998</v>
      </c>
      <c r="AY126">
        <v>26.2349</v>
      </c>
      <c r="AZ126">
        <v>300.13600000000002</v>
      </c>
      <c r="BA126">
        <v>99.094200000000001</v>
      </c>
      <c r="BB126">
        <v>0.100045</v>
      </c>
      <c r="BC126">
        <v>26.971800000000002</v>
      </c>
      <c r="BD126">
        <v>26.9862</v>
      </c>
      <c r="BE126">
        <v>28.6709</v>
      </c>
      <c r="BF126">
        <v>0</v>
      </c>
      <c r="BG126">
        <v>0</v>
      </c>
      <c r="BH126">
        <v>9970</v>
      </c>
      <c r="BI126">
        <v>1076.95</v>
      </c>
      <c r="BJ126">
        <v>2.0744500000000001</v>
      </c>
      <c r="BK126">
        <v>-356.613</v>
      </c>
      <c r="BL126">
        <v>455.41399999999999</v>
      </c>
      <c r="BM126">
        <v>804.81500000000005</v>
      </c>
      <c r="BN126">
        <v>20.433499999999999</v>
      </c>
      <c r="BO126">
        <v>799.99199999999996</v>
      </c>
      <c r="BP126">
        <v>5.9930300000000001</v>
      </c>
      <c r="BQ126">
        <v>2.6187200000000002</v>
      </c>
      <c r="BR126">
        <v>0.59387400000000001</v>
      </c>
      <c r="BS126">
        <v>21.783799999999999</v>
      </c>
      <c r="BT126">
        <v>-0.45016299999999998</v>
      </c>
      <c r="BU126">
        <v>1800</v>
      </c>
      <c r="BV126">
        <v>0.91000400000000004</v>
      </c>
      <c r="BW126">
        <v>3.3999599999999998E-2</v>
      </c>
      <c r="BX126">
        <v>2.19998E-2</v>
      </c>
      <c r="BY126">
        <v>3.3996800000000001E-2</v>
      </c>
      <c r="BZ126">
        <v>26</v>
      </c>
      <c r="CA126">
        <v>33528.300000000003</v>
      </c>
      <c r="CB126">
        <v>1690211922</v>
      </c>
      <c r="CC126" t="s">
        <v>332</v>
      </c>
      <c r="CD126">
        <v>1690211915</v>
      </c>
      <c r="CE126">
        <v>1690211922</v>
      </c>
      <c r="CF126">
        <v>6</v>
      </c>
      <c r="CG126">
        <v>1.0999999999999999E-2</v>
      </c>
      <c r="CH126">
        <v>8.0000000000000002E-3</v>
      </c>
      <c r="CI126">
        <v>-0.51100000000000001</v>
      </c>
      <c r="CJ126">
        <v>-6.6000000000000003E-2</v>
      </c>
      <c r="CK126">
        <v>800</v>
      </c>
      <c r="CL126">
        <v>6</v>
      </c>
      <c r="CM126">
        <v>0.21</v>
      </c>
      <c r="CN126">
        <v>0.02</v>
      </c>
      <c r="CO126">
        <v>-353.63684999999998</v>
      </c>
      <c r="CP126">
        <v>-18.541350844276451</v>
      </c>
      <c r="CQ126">
        <v>1.7844519403727319</v>
      </c>
      <c r="CR126">
        <v>-1</v>
      </c>
      <c r="CS126">
        <v>20.3125</v>
      </c>
      <c r="CT126">
        <v>0.70729756097556196</v>
      </c>
      <c r="CU126">
        <v>6.8053941840278201E-2</v>
      </c>
      <c r="CV126">
        <v>-1</v>
      </c>
      <c r="CW126">
        <v>0</v>
      </c>
      <c r="CX126">
        <v>0</v>
      </c>
      <c r="CY126" t="s">
        <v>333</v>
      </c>
      <c r="CZ126">
        <v>2.3642300000000001</v>
      </c>
      <c r="DA126">
        <v>2.7138100000000001</v>
      </c>
      <c r="DB126">
        <v>9.6751900000000002E-2</v>
      </c>
      <c r="DC126">
        <v>0.14605499999999999</v>
      </c>
      <c r="DD126">
        <v>0.12182999999999999</v>
      </c>
      <c r="DE126">
        <v>3.9402600000000003E-2</v>
      </c>
      <c r="DF126">
        <v>32959.699999999997</v>
      </c>
      <c r="DG126">
        <v>27492</v>
      </c>
      <c r="DH126">
        <v>31152.2</v>
      </c>
      <c r="DI126">
        <v>28053.4</v>
      </c>
      <c r="DJ126">
        <v>37129.699999999997</v>
      </c>
      <c r="DK126">
        <v>38316.699999999997</v>
      </c>
      <c r="DL126">
        <v>44329.2</v>
      </c>
      <c r="DM126">
        <v>42512.9</v>
      </c>
      <c r="DN126">
        <v>1.38442</v>
      </c>
      <c r="DO126">
        <v>2.0333199999999998</v>
      </c>
      <c r="DP126">
        <v>8.0089999999999995E-2</v>
      </c>
      <c r="DQ126">
        <v>0.19035099999999999</v>
      </c>
      <c r="DR126">
        <v>25.675000000000001</v>
      </c>
      <c r="DS126">
        <v>25.558399999999999</v>
      </c>
      <c r="DT126">
        <v>17.8</v>
      </c>
      <c r="DU126">
        <v>29.7</v>
      </c>
      <c r="DV126">
        <v>7.5215899999999998</v>
      </c>
      <c r="DW126">
        <v>61.711199999999998</v>
      </c>
      <c r="DX126">
        <v>36.943100000000001</v>
      </c>
      <c r="DY126">
        <v>1</v>
      </c>
      <c r="DZ126">
        <v>-7.9283500000000007E-2</v>
      </c>
      <c r="EA126">
        <v>-0.27617900000000001</v>
      </c>
      <c r="EB126">
        <v>20.1892</v>
      </c>
      <c r="EC126">
        <v>5.2401999999999997</v>
      </c>
      <c r="ED126">
        <v>12.039899999999999</v>
      </c>
      <c r="EE126">
        <v>5.0168999999999997</v>
      </c>
      <c r="EF126">
        <v>3.2879999999999998</v>
      </c>
      <c r="EG126">
        <v>9999</v>
      </c>
      <c r="EH126">
        <v>9999</v>
      </c>
      <c r="EI126">
        <v>9999</v>
      </c>
      <c r="EJ126">
        <v>999.9</v>
      </c>
      <c r="EK126">
        <v>1.8689100000000001</v>
      </c>
      <c r="EL126">
        <v>1.86467</v>
      </c>
      <c r="EM126">
        <v>1.8692</v>
      </c>
      <c r="EN126">
        <v>1.86727</v>
      </c>
      <c r="EO126">
        <v>1.8633999999999999</v>
      </c>
      <c r="EP126">
        <v>1.86453</v>
      </c>
      <c r="EQ126">
        <v>1.8701700000000001</v>
      </c>
      <c r="ER126">
        <v>1.86948</v>
      </c>
      <c r="ES126">
        <v>0</v>
      </c>
      <c r="ET126">
        <v>0</v>
      </c>
      <c r="EU126">
        <v>0</v>
      </c>
      <c r="EV126">
        <v>0</v>
      </c>
      <c r="EW126" t="s">
        <v>334</v>
      </c>
      <c r="EX126" t="s">
        <v>335</v>
      </c>
      <c r="EY126" t="s">
        <v>336</v>
      </c>
      <c r="EZ126" t="s">
        <v>336</v>
      </c>
      <c r="FA126" t="s">
        <v>336</v>
      </c>
      <c r="FB126" t="s">
        <v>336</v>
      </c>
      <c r="FC126">
        <v>0</v>
      </c>
      <c r="FD126">
        <v>100</v>
      </c>
      <c r="FE126">
        <v>100</v>
      </c>
      <c r="FF126">
        <v>-0.25900000000000001</v>
      </c>
      <c r="FG126">
        <v>0.19170000000000001</v>
      </c>
      <c r="FH126">
        <v>4.0020685143421282E-2</v>
      </c>
      <c r="FI126">
        <v>-6.1462078757559423E-4</v>
      </c>
      <c r="FJ126">
        <v>-1.8861989874597051E-7</v>
      </c>
      <c r="FK126">
        <v>1.1980462299894961E-10</v>
      </c>
      <c r="FL126">
        <v>0.19160597004026461</v>
      </c>
      <c r="FM126">
        <v>0</v>
      </c>
      <c r="FN126">
        <v>0</v>
      </c>
      <c r="FO126">
        <v>0</v>
      </c>
      <c r="FP126">
        <v>3</v>
      </c>
      <c r="FQ126">
        <v>2158</v>
      </c>
      <c r="FR126">
        <v>1</v>
      </c>
      <c r="FS126">
        <v>19</v>
      </c>
      <c r="FT126">
        <v>26.5</v>
      </c>
      <c r="FU126">
        <v>26.4</v>
      </c>
      <c r="FV126">
        <v>1.77979</v>
      </c>
      <c r="FW126">
        <v>2.5744600000000002</v>
      </c>
      <c r="FX126">
        <v>1.5490699999999999</v>
      </c>
      <c r="FY126">
        <v>2.3290999999999999</v>
      </c>
      <c r="FZ126">
        <v>1.50146</v>
      </c>
      <c r="GA126">
        <v>2.3815900000000001</v>
      </c>
      <c r="GB126">
        <v>33.850900000000003</v>
      </c>
      <c r="GC126">
        <v>23.991199999999999</v>
      </c>
      <c r="GD126">
        <v>19</v>
      </c>
      <c r="GE126">
        <v>246.35</v>
      </c>
      <c r="GF126">
        <v>582.54399999999998</v>
      </c>
      <c r="GG126">
        <v>25.4404</v>
      </c>
      <c r="GH126">
        <v>26.388999999999999</v>
      </c>
      <c r="GI126">
        <v>29.9999</v>
      </c>
      <c r="GJ126">
        <v>26.535699999999999</v>
      </c>
      <c r="GK126">
        <v>26.506900000000002</v>
      </c>
      <c r="GL126">
        <v>35.5809</v>
      </c>
      <c r="GM126">
        <v>-30</v>
      </c>
      <c r="GN126">
        <v>-30</v>
      </c>
      <c r="GO126">
        <v>25.450700000000001</v>
      </c>
      <c r="GP126">
        <v>800</v>
      </c>
      <c r="GQ126">
        <v>12.5298</v>
      </c>
      <c r="GR126">
        <v>99.669300000000007</v>
      </c>
      <c r="GS126">
        <v>99.458399999999997</v>
      </c>
    </row>
    <row r="127" spans="1:201" x14ac:dyDescent="0.25">
      <c r="A127">
        <v>111</v>
      </c>
      <c r="B127">
        <v>1690213515.5999999</v>
      </c>
      <c r="C127">
        <v>1248.099999904633</v>
      </c>
      <c r="D127" t="s">
        <v>553</v>
      </c>
      <c r="E127" t="s">
        <v>554</v>
      </c>
      <c r="F127" t="s">
        <v>330</v>
      </c>
      <c r="H127">
        <v>1690213515.5999999</v>
      </c>
      <c r="I127">
        <f t="shared" si="30"/>
        <v>1.836224486411187E-3</v>
      </c>
      <c r="J127">
        <f t="shared" si="31"/>
        <v>1.836224486411187</v>
      </c>
      <c r="K127">
        <f t="shared" si="32"/>
        <v>30.485308705367746</v>
      </c>
      <c r="L127">
        <f t="shared" si="33"/>
        <v>440.27</v>
      </c>
      <c r="M127">
        <f t="shared" si="34"/>
        <v>77.324363429961338</v>
      </c>
      <c r="N127">
        <f t="shared" si="35"/>
        <v>7.6704331062605489</v>
      </c>
      <c r="O127">
        <f t="shared" si="36"/>
        <v>43.67396553807</v>
      </c>
      <c r="P127">
        <f t="shared" si="37"/>
        <v>0.14103305161639623</v>
      </c>
      <c r="Q127">
        <f t="shared" si="38"/>
        <v>2.0083039746226792</v>
      </c>
      <c r="R127">
        <f t="shared" si="39"/>
        <v>0.13575283885426498</v>
      </c>
      <c r="S127">
        <f t="shared" si="40"/>
        <v>8.5303459548472793E-2</v>
      </c>
      <c r="T127">
        <f t="shared" si="41"/>
        <v>276.11520492599999</v>
      </c>
      <c r="U127">
        <f t="shared" si="42"/>
        <v>28.60065756397136</v>
      </c>
      <c r="V127">
        <f t="shared" si="43"/>
        <v>28.60065756397136</v>
      </c>
      <c r="W127">
        <f t="shared" si="44"/>
        <v>3.9297680927188141</v>
      </c>
      <c r="X127">
        <f t="shared" si="45"/>
        <v>73.663060753037087</v>
      </c>
      <c r="Y127">
        <f t="shared" si="46"/>
        <v>2.6323714686464998</v>
      </c>
      <c r="Z127">
        <f t="shared" si="47"/>
        <v>3.5735298557193995</v>
      </c>
      <c r="AA127">
        <f t="shared" si="48"/>
        <v>1.2973966240723143</v>
      </c>
      <c r="AB127">
        <f t="shared" si="49"/>
        <v>-80.977499850733338</v>
      </c>
      <c r="AC127">
        <f t="shared" si="50"/>
        <v>-176.20757089419087</v>
      </c>
      <c r="AD127">
        <f t="shared" si="51"/>
        <v>-19.084745845427395</v>
      </c>
      <c r="AE127">
        <f t="shared" si="52"/>
        <v>-0.15461166435161999</v>
      </c>
      <c r="AF127">
        <v>34</v>
      </c>
      <c r="AG127">
        <v>11</v>
      </c>
      <c r="AH127">
        <f t="shared" si="53"/>
        <v>1</v>
      </c>
      <c r="AI127">
        <f t="shared" si="54"/>
        <v>0</v>
      </c>
      <c r="AJ127">
        <f t="shared" si="55"/>
        <v>52225.823697956985</v>
      </c>
      <c r="AK127">
        <f t="shared" si="56"/>
        <v>1800</v>
      </c>
      <c r="AL127">
        <f t="shared" si="57"/>
        <v>1499.1134795999999</v>
      </c>
      <c r="AM127">
        <f t="shared" si="58"/>
        <v>0.83284082199999998</v>
      </c>
      <c r="AN127">
        <f t="shared" si="59"/>
        <v>0.15339733607</v>
      </c>
      <c r="AO127">
        <v>34.5</v>
      </c>
      <c r="AP127">
        <v>0.5</v>
      </c>
      <c r="AQ127" t="s">
        <v>331</v>
      </c>
      <c r="AR127">
        <v>2</v>
      </c>
      <c r="AS127">
        <v>1690213515.5999999</v>
      </c>
      <c r="AT127">
        <v>440.27</v>
      </c>
      <c r="AU127">
        <v>799.96699999999998</v>
      </c>
      <c r="AV127">
        <v>26.5365</v>
      </c>
      <c r="AW127">
        <v>5.9906199999999998</v>
      </c>
      <c r="AX127">
        <v>440.52699999999999</v>
      </c>
      <c r="AY127">
        <v>26.344899999999999</v>
      </c>
      <c r="AZ127">
        <v>300.15100000000001</v>
      </c>
      <c r="BA127">
        <v>99.098100000000002</v>
      </c>
      <c r="BB127">
        <v>0.100041</v>
      </c>
      <c r="BC127">
        <v>26.973199999999999</v>
      </c>
      <c r="BD127">
        <v>26.9968</v>
      </c>
      <c r="BE127">
        <v>28.663699999999999</v>
      </c>
      <c r="BF127">
        <v>0</v>
      </c>
      <c r="BG127">
        <v>0</v>
      </c>
      <c r="BH127">
        <v>9964.3799999999992</v>
      </c>
      <c r="BI127">
        <v>1076.9100000000001</v>
      </c>
      <c r="BJ127">
        <v>2.0744500000000001</v>
      </c>
      <c r="BK127">
        <v>-359.697</v>
      </c>
      <c r="BL127">
        <v>452.27199999999999</v>
      </c>
      <c r="BM127">
        <v>804.78800000000001</v>
      </c>
      <c r="BN127">
        <v>20.5459</v>
      </c>
      <c r="BO127">
        <v>799.96699999999998</v>
      </c>
      <c r="BP127">
        <v>5.9906199999999998</v>
      </c>
      <c r="BQ127">
        <v>2.6297199999999998</v>
      </c>
      <c r="BR127">
        <v>0.59365900000000005</v>
      </c>
      <c r="BS127">
        <v>21.852399999999999</v>
      </c>
      <c r="BT127">
        <v>-0.45512900000000001</v>
      </c>
      <c r="BU127">
        <v>1800</v>
      </c>
      <c r="BV127">
        <v>0.91000700000000001</v>
      </c>
      <c r="BW127">
        <v>3.3998500000000001E-2</v>
      </c>
      <c r="BX127">
        <v>2.1999100000000001E-2</v>
      </c>
      <c r="BY127">
        <v>3.3995699999999997E-2</v>
      </c>
      <c r="BZ127">
        <v>26</v>
      </c>
      <c r="CA127">
        <v>33528.300000000003</v>
      </c>
      <c r="CB127">
        <v>1690211922</v>
      </c>
      <c r="CC127" t="s">
        <v>332</v>
      </c>
      <c r="CD127">
        <v>1690211915</v>
      </c>
      <c r="CE127">
        <v>1690211922</v>
      </c>
      <c r="CF127">
        <v>6</v>
      </c>
      <c r="CG127">
        <v>1.0999999999999999E-2</v>
      </c>
      <c r="CH127">
        <v>8.0000000000000002E-3</v>
      </c>
      <c r="CI127">
        <v>-0.51100000000000001</v>
      </c>
      <c r="CJ127">
        <v>-6.6000000000000003E-2</v>
      </c>
      <c r="CK127">
        <v>800</v>
      </c>
      <c r="CL127">
        <v>6</v>
      </c>
      <c r="CM127">
        <v>0.21</v>
      </c>
      <c r="CN127">
        <v>0.02</v>
      </c>
      <c r="CO127">
        <v>-356.32634999999999</v>
      </c>
      <c r="CP127">
        <v>-17.63403377110712</v>
      </c>
      <c r="CQ127">
        <v>1.698155595786204</v>
      </c>
      <c r="CR127">
        <v>-1</v>
      </c>
      <c r="CS127">
        <v>20.417852499999999</v>
      </c>
      <c r="CT127">
        <v>0.70375722326450818</v>
      </c>
      <c r="CU127">
        <v>6.7718797196568911E-2</v>
      </c>
      <c r="CV127">
        <v>-1</v>
      </c>
      <c r="CW127">
        <v>0</v>
      </c>
      <c r="CX127">
        <v>0</v>
      </c>
      <c r="CY127" t="s">
        <v>333</v>
      </c>
      <c r="CZ127">
        <v>2.3642799999999999</v>
      </c>
      <c r="DA127">
        <v>2.7138</v>
      </c>
      <c r="DB127">
        <v>9.6247700000000005E-2</v>
      </c>
      <c r="DC127">
        <v>0.14605799999999999</v>
      </c>
      <c r="DD127">
        <v>0.12218900000000001</v>
      </c>
      <c r="DE127">
        <v>3.93914E-2</v>
      </c>
      <c r="DF127">
        <v>32977.800000000003</v>
      </c>
      <c r="DG127">
        <v>27491.9</v>
      </c>
      <c r="DH127">
        <v>31151.9</v>
      </c>
      <c r="DI127">
        <v>28053.5</v>
      </c>
      <c r="DJ127">
        <v>37114.199999999997</v>
      </c>
      <c r="DK127">
        <v>38317</v>
      </c>
      <c r="DL127">
        <v>44329.1</v>
      </c>
      <c r="DM127">
        <v>42512.7</v>
      </c>
      <c r="DN127">
        <v>1.38425</v>
      </c>
      <c r="DO127">
        <v>2.0329999999999999</v>
      </c>
      <c r="DP127">
        <v>8.0734500000000001E-2</v>
      </c>
      <c r="DQ127">
        <v>0.189915</v>
      </c>
      <c r="DR127">
        <v>25.675000000000001</v>
      </c>
      <c r="DS127">
        <v>25.558399999999999</v>
      </c>
      <c r="DT127">
        <v>17.8</v>
      </c>
      <c r="DU127">
        <v>29.7</v>
      </c>
      <c r="DV127">
        <v>7.5223300000000002</v>
      </c>
      <c r="DW127">
        <v>61.941200000000002</v>
      </c>
      <c r="DX127">
        <v>37.183500000000002</v>
      </c>
      <c r="DY127">
        <v>1</v>
      </c>
      <c r="DZ127">
        <v>-7.9593499999999998E-2</v>
      </c>
      <c r="EA127">
        <v>-0.26236700000000002</v>
      </c>
      <c r="EB127">
        <v>20.189399999999999</v>
      </c>
      <c r="EC127">
        <v>5.2406499999999996</v>
      </c>
      <c r="ED127">
        <v>12.039899999999999</v>
      </c>
      <c r="EE127">
        <v>5.0169499999999996</v>
      </c>
      <c r="EF127">
        <v>3.2879999999999998</v>
      </c>
      <c r="EG127">
        <v>9999</v>
      </c>
      <c r="EH127">
        <v>9999</v>
      </c>
      <c r="EI127">
        <v>9999</v>
      </c>
      <c r="EJ127">
        <v>999.9</v>
      </c>
      <c r="EK127">
        <v>1.8689199999999999</v>
      </c>
      <c r="EL127">
        <v>1.8646799999999999</v>
      </c>
      <c r="EM127">
        <v>1.8692</v>
      </c>
      <c r="EN127">
        <v>1.8672500000000001</v>
      </c>
      <c r="EO127">
        <v>1.8633999999999999</v>
      </c>
      <c r="EP127">
        <v>1.8645400000000001</v>
      </c>
      <c r="EQ127">
        <v>1.8702000000000001</v>
      </c>
      <c r="ER127">
        <v>1.8694500000000001</v>
      </c>
      <c r="ES127">
        <v>0</v>
      </c>
      <c r="ET127">
        <v>0</v>
      </c>
      <c r="EU127">
        <v>0</v>
      </c>
      <c r="EV127">
        <v>0</v>
      </c>
      <c r="EW127" t="s">
        <v>334</v>
      </c>
      <c r="EX127" t="s">
        <v>335</v>
      </c>
      <c r="EY127" t="s">
        <v>336</v>
      </c>
      <c r="EZ127" t="s">
        <v>336</v>
      </c>
      <c r="FA127" t="s">
        <v>336</v>
      </c>
      <c r="FB127" t="s">
        <v>336</v>
      </c>
      <c r="FC127">
        <v>0</v>
      </c>
      <c r="FD127">
        <v>100</v>
      </c>
      <c r="FE127">
        <v>100</v>
      </c>
      <c r="FF127">
        <v>-0.25700000000000001</v>
      </c>
      <c r="FG127">
        <v>0.19159999999999999</v>
      </c>
      <c r="FH127">
        <v>4.0020685143421282E-2</v>
      </c>
      <c r="FI127">
        <v>-6.1462078757559423E-4</v>
      </c>
      <c r="FJ127">
        <v>-1.8861989874597051E-7</v>
      </c>
      <c r="FK127">
        <v>1.1980462299894961E-10</v>
      </c>
      <c r="FL127">
        <v>0.19160597004026461</v>
      </c>
      <c r="FM127">
        <v>0</v>
      </c>
      <c r="FN127">
        <v>0</v>
      </c>
      <c r="FO127">
        <v>0</v>
      </c>
      <c r="FP127">
        <v>3</v>
      </c>
      <c r="FQ127">
        <v>2158</v>
      </c>
      <c r="FR127">
        <v>1</v>
      </c>
      <c r="FS127">
        <v>19</v>
      </c>
      <c r="FT127">
        <v>26.7</v>
      </c>
      <c r="FU127">
        <v>26.6</v>
      </c>
      <c r="FV127">
        <v>1.77979</v>
      </c>
      <c r="FW127">
        <v>2.5744600000000002</v>
      </c>
      <c r="FX127">
        <v>1.5490699999999999</v>
      </c>
      <c r="FY127">
        <v>2.3303199999999999</v>
      </c>
      <c r="FZ127">
        <v>1.50146</v>
      </c>
      <c r="GA127">
        <v>2.3877000000000002</v>
      </c>
      <c r="GB127">
        <v>33.850900000000003</v>
      </c>
      <c r="GC127">
        <v>23.991199999999999</v>
      </c>
      <c r="GD127">
        <v>19</v>
      </c>
      <c r="GE127">
        <v>246.27699999999999</v>
      </c>
      <c r="GF127">
        <v>582.25099999999998</v>
      </c>
      <c r="GG127">
        <v>25.462900000000001</v>
      </c>
      <c r="GH127">
        <v>26.3886</v>
      </c>
      <c r="GI127">
        <v>30.0001</v>
      </c>
      <c r="GJ127">
        <v>26.534800000000001</v>
      </c>
      <c r="GK127">
        <v>26.5047</v>
      </c>
      <c r="GL127">
        <v>35.5824</v>
      </c>
      <c r="GM127">
        <v>-30</v>
      </c>
      <c r="GN127">
        <v>-30</v>
      </c>
      <c r="GO127">
        <v>25.463100000000001</v>
      </c>
      <c r="GP127">
        <v>800</v>
      </c>
      <c r="GQ127">
        <v>12.5298</v>
      </c>
      <c r="GR127">
        <v>99.668899999999994</v>
      </c>
      <c r="GS127">
        <v>99.458200000000005</v>
      </c>
    </row>
    <row r="128" spans="1:201" x14ac:dyDescent="0.25">
      <c r="A128">
        <v>112</v>
      </c>
      <c r="B128">
        <v>1690213525.5999999</v>
      </c>
      <c r="C128">
        <v>1258.099999904633</v>
      </c>
      <c r="D128" t="s">
        <v>555</v>
      </c>
      <c r="E128" t="s">
        <v>556</v>
      </c>
      <c r="F128" t="s">
        <v>330</v>
      </c>
      <c r="H128">
        <v>1690213525.5999999</v>
      </c>
      <c r="I128">
        <f t="shared" si="30"/>
        <v>1.8468194081950032E-3</v>
      </c>
      <c r="J128">
        <f t="shared" si="31"/>
        <v>1.8468194081950031</v>
      </c>
      <c r="K128">
        <f t="shared" si="32"/>
        <v>30.725361775975596</v>
      </c>
      <c r="L128">
        <f t="shared" si="33"/>
        <v>437.43099999999998</v>
      </c>
      <c r="M128">
        <f t="shared" si="34"/>
        <v>76.845654177786969</v>
      </c>
      <c r="N128">
        <f t="shared" si="35"/>
        <v>7.6226868379738102</v>
      </c>
      <c r="O128">
        <f t="shared" si="36"/>
        <v>43.390866561008004</v>
      </c>
      <c r="P128">
        <f t="shared" si="37"/>
        <v>0.14311442404224572</v>
      </c>
      <c r="Q128">
        <f t="shared" si="38"/>
        <v>2.0121292851922195</v>
      </c>
      <c r="R128">
        <f t="shared" si="39"/>
        <v>0.1376903491544082</v>
      </c>
      <c r="S128">
        <f t="shared" si="40"/>
        <v>8.6526671675718841E-2</v>
      </c>
      <c r="T128">
        <f t="shared" si="41"/>
        <v>276.11512561800004</v>
      </c>
      <c r="U128">
        <f t="shared" si="42"/>
        <v>28.603557383852834</v>
      </c>
      <c r="V128">
        <f t="shared" si="43"/>
        <v>28.603557383852834</v>
      </c>
      <c r="W128">
        <f t="shared" si="44"/>
        <v>3.9304295095464572</v>
      </c>
      <c r="X128">
        <f t="shared" si="45"/>
        <v>73.947778008593161</v>
      </c>
      <c r="Y128">
        <f t="shared" si="46"/>
        <v>2.6440365410400006</v>
      </c>
      <c r="Z128">
        <f t="shared" si="47"/>
        <v>3.5755456245524351</v>
      </c>
      <c r="AA128">
        <f t="shared" si="48"/>
        <v>1.2863929685064566</v>
      </c>
      <c r="AB128">
        <f t="shared" si="49"/>
        <v>-81.444735901399639</v>
      </c>
      <c r="AC128">
        <f t="shared" si="50"/>
        <v>-175.81638013818863</v>
      </c>
      <c r="AD128">
        <f t="shared" si="51"/>
        <v>-19.007358318598921</v>
      </c>
      <c r="AE128">
        <f t="shared" si="52"/>
        <v>-0.15334874018714117</v>
      </c>
      <c r="AF128">
        <v>34</v>
      </c>
      <c r="AG128">
        <v>11</v>
      </c>
      <c r="AH128">
        <f t="shared" si="53"/>
        <v>1</v>
      </c>
      <c r="AI128">
        <f t="shared" si="54"/>
        <v>0</v>
      </c>
      <c r="AJ128">
        <f t="shared" si="55"/>
        <v>52407.562668510058</v>
      </c>
      <c r="AK128">
        <f t="shared" si="56"/>
        <v>1800</v>
      </c>
      <c r="AL128">
        <f t="shared" si="57"/>
        <v>1499.1134778000001</v>
      </c>
      <c r="AM128">
        <f t="shared" si="58"/>
        <v>0.83284082100000001</v>
      </c>
      <c r="AN128">
        <f t="shared" si="59"/>
        <v>0.15339729201000002</v>
      </c>
      <c r="AO128">
        <v>34.5</v>
      </c>
      <c r="AP128">
        <v>0.5</v>
      </c>
      <c r="AQ128" t="s">
        <v>331</v>
      </c>
      <c r="AR128">
        <v>2</v>
      </c>
      <c r="AS128">
        <v>1690213525.5999999</v>
      </c>
      <c r="AT128">
        <v>437.43099999999998</v>
      </c>
      <c r="AU128">
        <v>799.947</v>
      </c>
      <c r="AV128">
        <v>26.655000000000001</v>
      </c>
      <c r="AW128">
        <v>5.9893000000000001</v>
      </c>
      <c r="AX128">
        <v>437.68700000000001</v>
      </c>
      <c r="AY128">
        <v>26.4634</v>
      </c>
      <c r="AZ128">
        <v>300.096</v>
      </c>
      <c r="BA128">
        <v>99.094800000000006</v>
      </c>
      <c r="BB128">
        <v>9.9968000000000001E-2</v>
      </c>
      <c r="BC128">
        <v>26.982800000000001</v>
      </c>
      <c r="BD128">
        <v>26.9939</v>
      </c>
      <c r="BE128">
        <v>28.655799999999999</v>
      </c>
      <c r="BF128">
        <v>0</v>
      </c>
      <c r="BG128">
        <v>0</v>
      </c>
      <c r="BH128">
        <v>10001.200000000001</v>
      </c>
      <c r="BI128">
        <v>1076.9100000000001</v>
      </c>
      <c r="BJ128">
        <v>2.0744500000000001</v>
      </c>
      <c r="BK128">
        <v>-362.51600000000002</v>
      </c>
      <c r="BL128">
        <v>449.41</v>
      </c>
      <c r="BM128">
        <v>804.76700000000005</v>
      </c>
      <c r="BN128">
        <v>20.665700000000001</v>
      </c>
      <c r="BO128">
        <v>799.947</v>
      </c>
      <c r="BP128">
        <v>5.9893000000000001</v>
      </c>
      <c r="BQ128">
        <v>2.6413700000000002</v>
      </c>
      <c r="BR128">
        <v>0.59350899999999995</v>
      </c>
      <c r="BS128">
        <v>21.924800000000001</v>
      </c>
      <c r="BT128">
        <v>-0.45860099999999998</v>
      </c>
      <c r="BU128">
        <v>1800</v>
      </c>
      <c r="BV128">
        <v>0.91000800000000004</v>
      </c>
      <c r="BW128">
        <v>3.3998100000000003E-2</v>
      </c>
      <c r="BX128">
        <v>2.1998799999999999E-2</v>
      </c>
      <c r="BY128">
        <v>3.3995299999999999E-2</v>
      </c>
      <c r="BZ128">
        <v>26</v>
      </c>
      <c r="CA128">
        <v>33528.5</v>
      </c>
      <c r="CB128">
        <v>1690211922</v>
      </c>
      <c r="CC128" t="s">
        <v>332</v>
      </c>
      <c r="CD128">
        <v>1690211915</v>
      </c>
      <c r="CE128">
        <v>1690211922</v>
      </c>
      <c r="CF128">
        <v>6</v>
      </c>
      <c r="CG128">
        <v>1.0999999999999999E-2</v>
      </c>
      <c r="CH128">
        <v>8.0000000000000002E-3</v>
      </c>
      <c r="CI128">
        <v>-0.51100000000000001</v>
      </c>
      <c r="CJ128">
        <v>-6.6000000000000003E-2</v>
      </c>
      <c r="CK128">
        <v>800</v>
      </c>
      <c r="CL128">
        <v>6</v>
      </c>
      <c r="CM128">
        <v>0.21</v>
      </c>
      <c r="CN128">
        <v>0.02</v>
      </c>
      <c r="CO128">
        <v>-359.25487500000003</v>
      </c>
      <c r="CP128">
        <v>-17.874787992494959</v>
      </c>
      <c r="CQ128">
        <v>1.7201682503101221</v>
      </c>
      <c r="CR128">
        <v>-1</v>
      </c>
      <c r="CS128">
        <v>20.533329999999999</v>
      </c>
      <c r="CT128">
        <v>0.68413058161348894</v>
      </c>
      <c r="CU128">
        <v>6.582056745425395E-2</v>
      </c>
      <c r="CV128">
        <v>-1</v>
      </c>
      <c r="CW128">
        <v>0</v>
      </c>
      <c r="CX128">
        <v>0</v>
      </c>
      <c r="CY128" t="s">
        <v>333</v>
      </c>
      <c r="CZ128">
        <v>2.36409</v>
      </c>
      <c r="DA128">
        <v>2.7137600000000002</v>
      </c>
      <c r="DB128">
        <v>9.5779900000000001E-2</v>
      </c>
      <c r="DC128">
        <v>0.14605099999999999</v>
      </c>
      <c r="DD128">
        <v>0.12256599999999999</v>
      </c>
      <c r="DE128">
        <v>3.93832E-2</v>
      </c>
      <c r="DF128">
        <v>32995.5</v>
      </c>
      <c r="DG128">
        <v>27491.9</v>
      </c>
      <c r="DH128">
        <v>31152.5</v>
      </c>
      <c r="DI128">
        <v>28053.200000000001</v>
      </c>
      <c r="DJ128">
        <v>37098.800000000003</v>
      </c>
      <c r="DK128">
        <v>38317.199999999997</v>
      </c>
      <c r="DL128">
        <v>44330</v>
      </c>
      <c r="DM128">
        <v>42512.6</v>
      </c>
      <c r="DN128">
        <v>1.3843700000000001</v>
      </c>
      <c r="DO128">
        <v>2.03315</v>
      </c>
      <c r="DP128">
        <v>8.0559400000000003E-2</v>
      </c>
      <c r="DQ128">
        <v>0.18929699999999999</v>
      </c>
      <c r="DR128">
        <v>25.675000000000001</v>
      </c>
      <c r="DS128">
        <v>25.560500000000001</v>
      </c>
      <c r="DT128">
        <v>17.8</v>
      </c>
      <c r="DU128">
        <v>29.7</v>
      </c>
      <c r="DV128">
        <v>7.5213700000000001</v>
      </c>
      <c r="DW128">
        <v>61.421199999999999</v>
      </c>
      <c r="DX128">
        <v>37.343800000000002</v>
      </c>
      <c r="DY128">
        <v>1</v>
      </c>
      <c r="DZ128">
        <v>-7.9273399999999994E-2</v>
      </c>
      <c r="EA128">
        <v>-0.241285</v>
      </c>
      <c r="EB128">
        <v>20.189699999999998</v>
      </c>
      <c r="EC128">
        <v>5.2406499999999996</v>
      </c>
      <c r="ED128">
        <v>12.039899999999999</v>
      </c>
      <c r="EE128">
        <v>5.0167999999999999</v>
      </c>
      <c r="EF128">
        <v>3.2879999999999998</v>
      </c>
      <c r="EG128">
        <v>9999</v>
      </c>
      <c r="EH128">
        <v>9999</v>
      </c>
      <c r="EI128">
        <v>9999</v>
      </c>
      <c r="EJ128">
        <v>999.9</v>
      </c>
      <c r="EK128">
        <v>1.86894</v>
      </c>
      <c r="EL128">
        <v>1.8647</v>
      </c>
      <c r="EM128">
        <v>1.8692</v>
      </c>
      <c r="EN128">
        <v>1.8672500000000001</v>
      </c>
      <c r="EO128">
        <v>1.86341</v>
      </c>
      <c r="EP128">
        <v>1.8645499999999999</v>
      </c>
      <c r="EQ128">
        <v>1.8702000000000001</v>
      </c>
      <c r="ER128">
        <v>1.86948</v>
      </c>
      <c r="ES128">
        <v>0</v>
      </c>
      <c r="ET128">
        <v>0</v>
      </c>
      <c r="EU128">
        <v>0</v>
      </c>
      <c r="EV128">
        <v>0</v>
      </c>
      <c r="EW128" t="s">
        <v>334</v>
      </c>
      <c r="EX128" t="s">
        <v>335</v>
      </c>
      <c r="EY128" t="s">
        <v>336</v>
      </c>
      <c r="EZ128" t="s">
        <v>336</v>
      </c>
      <c r="FA128" t="s">
        <v>336</v>
      </c>
      <c r="FB128" t="s">
        <v>336</v>
      </c>
      <c r="FC128">
        <v>0</v>
      </c>
      <c r="FD128">
        <v>100</v>
      </c>
      <c r="FE128">
        <v>100</v>
      </c>
      <c r="FF128">
        <v>-0.25600000000000001</v>
      </c>
      <c r="FG128">
        <v>0.19159999999999999</v>
      </c>
      <c r="FH128">
        <v>4.0020685143421282E-2</v>
      </c>
      <c r="FI128">
        <v>-6.1462078757559423E-4</v>
      </c>
      <c r="FJ128">
        <v>-1.8861989874597051E-7</v>
      </c>
      <c r="FK128">
        <v>1.1980462299894961E-10</v>
      </c>
      <c r="FL128">
        <v>0.19160597004026461</v>
      </c>
      <c r="FM128">
        <v>0</v>
      </c>
      <c r="FN128">
        <v>0</v>
      </c>
      <c r="FO128">
        <v>0</v>
      </c>
      <c r="FP128">
        <v>3</v>
      </c>
      <c r="FQ128">
        <v>2158</v>
      </c>
      <c r="FR128">
        <v>1</v>
      </c>
      <c r="FS128">
        <v>19</v>
      </c>
      <c r="FT128">
        <v>26.8</v>
      </c>
      <c r="FU128">
        <v>26.7</v>
      </c>
      <c r="FV128">
        <v>1.77979</v>
      </c>
      <c r="FW128">
        <v>2.5744600000000002</v>
      </c>
      <c r="FX128">
        <v>1.5490699999999999</v>
      </c>
      <c r="FY128">
        <v>2.3290999999999999</v>
      </c>
      <c r="FZ128">
        <v>1.50146</v>
      </c>
      <c r="GA128">
        <v>2.3901400000000002</v>
      </c>
      <c r="GB128">
        <v>33.850900000000003</v>
      </c>
      <c r="GC128">
        <v>23.991199999999999</v>
      </c>
      <c r="GD128">
        <v>19</v>
      </c>
      <c r="GE128">
        <v>246.31800000000001</v>
      </c>
      <c r="GF128">
        <v>582.36199999999997</v>
      </c>
      <c r="GG128">
        <v>25.4681</v>
      </c>
      <c r="GH128">
        <v>26.386399999999998</v>
      </c>
      <c r="GI128">
        <v>30.0001</v>
      </c>
      <c r="GJ128">
        <v>26.532599999999999</v>
      </c>
      <c r="GK128">
        <v>26.503499999999999</v>
      </c>
      <c r="GL128">
        <v>35.581600000000002</v>
      </c>
      <c r="GM128">
        <v>-30</v>
      </c>
      <c r="GN128">
        <v>-30</v>
      </c>
      <c r="GO128">
        <v>25.466699999999999</v>
      </c>
      <c r="GP128">
        <v>800</v>
      </c>
      <c r="GQ128">
        <v>12.5298</v>
      </c>
      <c r="GR128">
        <v>99.670900000000003</v>
      </c>
      <c r="GS128">
        <v>99.457599999999999</v>
      </c>
    </row>
    <row r="129" spans="1:201" x14ac:dyDescent="0.25">
      <c r="A129">
        <v>113</v>
      </c>
      <c r="B129">
        <v>1690213535.5999999</v>
      </c>
      <c r="C129">
        <v>1268.099999904633</v>
      </c>
      <c r="D129" t="s">
        <v>557</v>
      </c>
      <c r="E129" t="s">
        <v>558</v>
      </c>
      <c r="F129" t="s">
        <v>330</v>
      </c>
      <c r="H129">
        <v>1690213535.5999999</v>
      </c>
      <c r="I129">
        <f t="shared" si="30"/>
        <v>1.8577963038922387E-3</v>
      </c>
      <c r="J129">
        <f t="shared" si="31"/>
        <v>1.8577963038922387</v>
      </c>
      <c r="K129">
        <f t="shared" si="32"/>
        <v>30.975438357402499</v>
      </c>
      <c r="L129">
        <f t="shared" si="33"/>
        <v>434.60199999999998</v>
      </c>
      <c r="M129">
        <f t="shared" si="34"/>
        <v>76.664641841466405</v>
      </c>
      <c r="N129">
        <f t="shared" si="35"/>
        <v>7.6046971918364834</v>
      </c>
      <c r="O129">
        <f t="shared" si="36"/>
        <v>43.110050860224597</v>
      </c>
      <c r="P129">
        <f t="shared" si="37"/>
        <v>0.14540571782311607</v>
      </c>
      <c r="Q129">
        <f t="shared" si="38"/>
        <v>2.0116729089906316</v>
      </c>
      <c r="R129">
        <f t="shared" si="39"/>
        <v>0.13980900643081806</v>
      </c>
      <c r="S129">
        <f t="shared" si="40"/>
        <v>8.7865522498020723E-2</v>
      </c>
      <c r="T129">
        <f t="shared" si="41"/>
        <v>276.11669706712831</v>
      </c>
      <c r="U129">
        <f t="shared" si="42"/>
        <v>28.601069547754967</v>
      </c>
      <c r="V129">
        <f t="shared" si="43"/>
        <v>28.601069547754967</v>
      </c>
      <c r="W129">
        <f t="shared" si="44"/>
        <v>3.9298620557445902</v>
      </c>
      <c r="X129">
        <f t="shared" si="45"/>
        <v>74.263468235325078</v>
      </c>
      <c r="Y129">
        <f t="shared" si="46"/>
        <v>2.6555113634288401</v>
      </c>
      <c r="Z129">
        <f t="shared" si="47"/>
        <v>3.5757976654336843</v>
      </c>
      <c r="AA129">
        <f t="shared" si="48"/>
        <v>1.2743506923157502</v>
      </c>
      <c r="AB129">
        <f t="shared" si="49"/>
        <v>-81.92881700164773</v>
      </c>
      <c r="AC129">
        <f t="shared" si="50"/>
        <v>-175.37654474320627</v>
      </c>
      <c r="AD129">
        <f t="shared" si="51"/>
        <v>-18.963986972759542</v>
      </c>
      <c r="AE129">
        <f t="shared" si="52"/>
        <v>-0.15265165048521112</v>
      </c>
      <c r="AF129">
        <v>34</v>
      </c>
      <c r="AG129">
        <v>11</v>
      </c>
      <c r="AH129">
        <f t="shared" si="53"/>
        <v>1</v>
      </c>
      <c r="AI129">
        <f t="shared" si="54"/>
        <v>0</v>
      </c>
      <c r="AJ129">
        <f t="shared" si="55"/>
        <v>52385.428841725421</v>
      </c>
      <c r="AK129">
        <f t="shared" si="56"/>
        <v>1800.01</v>
      </c>
      <c r="AL129">
        <f t="shared" si="57"/>
        <v>1499.1226378128301</v>
      </c>
      <c r="AM129">
        <f t="shared" si="58"/>
        <v>0.83284128300000004</v>
      </c>
      <c r="AN129">
        <f t="shared" si="59"/>
        <v>0.15339731283000002</v>
      </c>
      <c r="AO129">
        <v>34.5</v>
      </c>
      <c r="AP129">
        <v>0.5</v>
      </c>
      <c r="AQ129" t="s">
        <v>331</v>
      </c>
      <c r="AR129">
        <v>2</v>
      </c>
      <c r="AS129">
        <v>1690213535.5999999</v>
      </c>
      <c r="AT129">
        <v>434.60199999999998</v>
      </c>
      <c r="AU129">
        <v>799.95</v>
      </c>
      <c r="AV129">
        <v>26.770800000000001</v>
      </c>
      <c r="AW129">
        <v>5.9868899999999998</v>
      </c>
      <c r="AX129">
        <v>434.85500000000002</v>
      </c>
      <c r="AY129">
        <v>26.5792</v>
      </c>
      <c r="AZ129">
        <v>300.12700000000001</v>
      </c>
      <c r="BA129">
        <v>99.094399999999993</v>
      </c>
      <c r="BB129">
        <v>9.9922300000000006E-2</v>
      </c>
      <c r="BC129">
        <v>26.984000000000002</v>
      </c>
      <c r="BD129">
        <v>26.998999999999999</v>
      </c>
      <c r="BE129">
        <v>28.664999999999999</v>
      </c>
      <c r="BF129">
        <v>0</v>
      </c>
      <c r="BG129">
        <v>0</v>
      </c>
      <c r="BH129">
        <v>9996.8799999999992</v>
      </c>
      <c r="BI129">
        <v>1077</v>
      </c>
      <c r="BJ129">
        <v>2.0744500000000001</v>
      </c>
      <c r="BK129">
        <v>-365.34699999999998</v>
      </c>
      <c r="BL129">
        <v>446.55700000000002</v>
      </c>
      <c r="BM129">
        <v>804.76800000000003</v>
      </c>
      <c r="BN129">
        <v>20.783899999999999</v>
      </c>
      <c r="BO129">
        <v>799.95</v>
      </c>
      <c r="BP129">
        <v>5.9868899999999998</v>
      </c>
      <c r="BQ129">
        <v>2.6528399999999999</v>
      </c>
      <c r="BR129">
        <v>0.59326699999999999</v>
      </c>
      <c r="BS129">
        <v>21.995899999999999</v>
      </c>
      <c r="BT129">
        <v>-0.46418799999999999</v>
      </c>
      <c r="BU129">
        <v>1800.01</v>
      </c>
      <c r="BV129">
        <v>0.91000999999999999</v>
      </c>
      <c r="BW129">
        <v>3.39975E-2</v>
      </c>
      <c r="BX129">
        <v>2.1998400000000001E-2</v>
      </c>
      <c r="BY129">
        <v>3.3994700000000003E-2</v>
      </c>
      <c r="BZ129">
        <v>26</v>
      </c>
      <c r="CA129">
        <v>33528.5</v>
      </c>
      <c r="CB129">
        <v>1690211922</v>
      </c>
      <c r="CC129" t="s">
        <v>332</v>
      </c>
      <c r="CD129">
        <v>1690211915</v>
      </c>
      <c r="CE129">
        <v>1690211922</v>
      </c>
      <c r="CF129">
        <v>6</v>
      </c>
      <c r="CG129">
        <v>1.0999999999999999E-2</v>
      </c>
      <c r="CH129">
        <v>8.0000000000000002E-3</v>
      </c>
      <c r="CI129">
        <v>-0.51100000000000001</v>
      </c>
      <c r="CJ129">
        <v>-6.6000000000000003E-2</v>
      </c>
      <c r="CK129">
        <v>800</v>
      </c>
      <c r="CL129">
        <v>6</v>
      </c>
      <c r="CM129">
        <v>0.21</v>
      </c>
      <c r="CN129">
        <v>0.02</v>
      </c>
      <c r="CO129">
        <v>-362.27114634146341</v>
      </c>
      <c r="CP129">
        <v>-17.338975609756929</v>
      </c>
      <c r="CQ129">
        <v>1.710264814197421</v>
      </c>
      <c r="CR129">
        <v>-1</v>
      </c>
      <c r="CS129">
        <v>20.65381463414634</v>
      </c>
      <c r="CT129">
        <v>0.72319860627184474</v>
      </c>
      <c r="CU129">
        <v>7.1318326454571104E-2</v>
      </c>
      <c r="CV129">
        <v>-1</v>
      </c>
      <c r="CW129">
        <v>0</v>
      </c>
      <c r="CX129">
        <v>0</v>
      </c>
      <c r="CY129" t="s">
        <v>333</v>
      </c>
      <c r="CZ129">
        <v>2.3642099999999999</v>
      </c>
      <c r="DA129">
        <v>2.7137099999999998</v>
      </c>
      <c r="DB129">
        <v>9.5314399999999994E-2</v>
      </c>
      <c r="DC129">
        <v>0.14605099999999999</v>
      </c>
      <c r="DD129">
        <v>0.122937</v>
      </c>
      <c r="DE129">
        <v>3.9370099999999998E-2</v>
      </c>
      <c r="DF129">
        <v>33012.400000000001</v>
      </c>
      <c r="DG129">
        <v>27491.5</v>
      </c>
      <c r="DH129">
        <v>31152.400000000001</v>
      </c>
      <c r="DI129">
        <v>28052.799999999999</v>
      </c>
      <c r="DJ129">
        <v>37082.699999999997</v>
      </c>
      <c r="DK129">
        <v>38317</v>
      </c>
      <c r="DL129">
        <v>44329.8</v>
      </c>
      <c r="DM129">
        <v>42511.8</v>
      </c>
      <c r="DN129">
        <v>1.38442</v>
      </c>
      <c r="DO129">
        <v>2.0332300000000001</v>
      </c>
      <c r="DP129">
        <v>8.0868599999999999E-2</v>
      </c>
      <c r="DQ129">
        <v>0.189994</v>
      </c>
      <c r="DR129">
        <v>25.6751</v>
      </c>
      <c r="DS129">
        <v>25.558399999999999</v>
      </c>
      <c r="DT129">
        <v>17.8</v>
      </c>
      <c r="DU129">
        <v>29.7</v>
      </c>
      <c r="DV129">
        <v>7.5222199999999999</v>
      </c>
      <c r="DW129">
        <v>61.651200000000003</v>
      </c>
      <c r="DX129">
        <v>37.1995</v>
      </c>
      <c r="DY129">
        <v>1</v>
      </c>
      <c r="DZ129">
        <v>-7.9697699999999996E-2</v>
      </c>
      <c r="EA129">
        <v>-0.24173700000000001</v>
      </c>
      <c r="EB129">
        <v>20.189599999999999</v>
      </c>
      <c r="EC129">
        <v>5.2408000000000001</v>
      </c>
      <c r="ED129">
        <v>12.039899999999999</v>
      </c>
      <c r="EE129">
        <v>5.0170000000000003</v>
      </c>
      <c r="EF129">
        <v>3.2879999999999998</v>
      </c>
      <c r="EG129">
        <v>9999</v>
      </c>
      <c r="EH129">
        <v>9999</v>
      </c>
      <c r="EI129">
        <v>9999</v>
      </c>
      <c r="EJ129">
        <v>999.9</v>
      </c>
      <c r="EK129">
        <v>1.86893</v>
      </c>
      <c r="EL129">
        <v>1.86469</v>
      </c>
      <c r="EM129">
        <v>1.8692</v>
      </c>
      <c r="EN129">
        <v>1.8672800000000001</v>
      </c>
      <c r="EO129">
        <v>1.86341</v>
      </c>
      <c r="EP129">
        <v>1.86456</v>
      </c>
      <c r="EQ129">
        <v>1.8701700000000001</v>
      </c>
      <c r="ER129">
        <v>1.8694500000000001</v>
      </c>
      <c r="ES129">
        <v>0</v>
      </c>
      <c r="ET129">
        <v>0</v>
      </c>
      <c r="EU129">
        <v>0</v>
      </c>
      <c r="EV129">
        <v>0</v>
      </c>
      <c r="EW129" t="s">
        <v>334</v>
      </c>
      <c r="EX129" t="s">
        <v>335</v>
      </c>
      <c r="EY129" t="s">
        <v>336</v>
      </c>
      <c r="EZ129" t="s">
        <v>336</v>
      </c>
      <c r="FA129" t="s">
        <v>336</v>
      </c>
      <c r="FB129" t="s">
        <v>336</v>
      </c>
      <c r="FC129">
        <v>0</v>
      </c>
      <c r="FD129">
        <v>100</v>
      </c>
      <c r="FE129">
        <v>100</v>
      </c>
      <c r="FF129">
        <v>-0.253</v>
      </c>
      <c r="FG129">
        <v>0.19159999999999999</v>
      </c>
      <c r="FH129">
        <v>4.0020685143421282E-2</v>
      </c>
      <c r="FI129">
        <v>-6.1462078757559423E-4</v>
      </c>
      <c r="FJ129">
        <v>-1.8861989874597051E-7</v>
      </c>
      <c r="FK129">
        <v>1.1980462299894961E-10</v>
      </c>
      <c r="FL129">
        <v>0.19160597004026461</v>
      </c>
      <c r="FM129">
        <v>0</v>
      </c>
      <c r="FN129">
        <v>0</v>
      </c>
      <c r="FO129">
        <v>0</v>
      </c>
      <c r="FP129">
        <v>3</v>
      </c>
      <c r="FQ129">
        <v>2158</v>
      </c>
      <c r="FR129">
        <v>1</v>
      </c>
      <c r="FS129">
        <v>19</v>
      </c>
      <c r="FT129">
        <v>27</v>
      </c>
      <c r="FU129">
        <v>26.9</v>
      </c>
      <c r="FV129">
        <v>1.77979</v>
      </c>
      <c r="FW129">
        <v>2.5732400000000002</v>
      </c>
      <c r="FX129">
        <v>1.5490699999999999</v>
      </c>
      <c r="FY129">
        <v>2.3290999999999999</v>
      </c>
      <c r="FZ129">
        <v>1.50146</v>
      </c>
      <c r="GA129">
        <v>2.3877000000000002</v>
      </c>
      <c r="GB129">
        <v>33.850900000000003</v>
      </c>
      <c r="GC129">
        <v>23.991199999999999</v>
      </c>
      <c r="GD129">
        <v>19</v>
      </c>
      <c r="GE129">
        <v>246.33699999999999</v>
      </c>
      <c r="GF129">
        <v>582.41099999999994</v>
      </c>
      <c r="GG129">
        <v>25.471900000000002</v>
      </c>
      <c r="GH129">
        <v>26.3842</v>
      </c>
      <c r="GI129">
        <v>30</v>
      </c>
      <c r="GJ129">
        <v>26.532399999999999</v>
      </c>
      <c r="GK129">
        <v>26.502500000000001</v>
      </c>
      <c r="GL129">
        <v>35.580599999999997</v>
      </c>
      <c r="GM129">
        <v>-30</v>
      </c>
      <c r="GN129">
        <v>-30</v>
      </c>
      <c r="GO129">
        <v>25.471599999999999</v>
      </c>
      <c r="GP129">
        <v>800</v>
      </c>
      <c r="GQ129">
        <v>12.5298</v>
      </c>
      <c r="GR129">
        <v>99.670500000000004</v>
      </c>
      <c r="GS129">
        <v>99.456000000000003</v>
      </c>
    </row>
    <row r="130" spans="1:201" x14ac:dyDescent="0.25">
      <c r="A130">
        <v>114</v>
      </c>
      <c r="B130">
        <v>1690213545.5999999</v>
      </c>
      <c r="C130">
        <v>1278.099999904633</v>
      </c>
      <c r="D130" t="s">
        <v>559</v>
      </c>
      <c r="E130" t="s">
        <v>560</v>
      </c>
      <c r="F130" t="s">
        <v>330</v>
      </c>
      <c r="H130">
        <v>1690213545.5999999</v>
      </c>
      <c r="I130">
        <f t="shared" si="30"/>
        <v>1.8674442725623455E-3</v>
      </c>
      <c r="J130">
        <f t="shared" si="31"/>
        <v>1.8674442725623455</v>
      </c>
      <c r="K130">
        <f t="shared" si="32"/>
        <v>31.234191988142499</v>
      </c>
      <c r="L130">
        <f t="shared" si="33"/>
        <v>431.69400000000002</v>
      </c>
      <c r="M130">
        <f t="shared" si="34"/>
        <v>76.28714861474495</v>
      </c>
      <c r="N130">
        <f t="shared" si="35"/>
        <v>7.5673136012828017</v>
      </c>
      <c r="O130">
        <f t="shared" si="36"/>
        <v>42.821942320711806</v>
      </c>
      <c r="P130">
        <f t="shared" si="37"/>
        <v>0.14771309478406572</v>
      </c>
      <c r="Q130">
        <f t="shared" si="38"/>
        <v>2.0146835770331415</v>
      </c>
      <c r="R130">
        <f t="shared" si="39"/>
        <v>0.14194940589493421</v>
      </c>
      <c r="S130">
        <f t="shared" si="40"/>
        <v>8.9217484434609667E-2</v>
      </c>
      <c r="T130">
        <f t="shared" si="41"/>
        <v>276.114773034</v>
      </c>
      <c r="U130">
        <f t="shared" si="42"/>
        <v>28.59054001684774</v>
      </c>
      <c r="V130">
        <f t="shared" si="43"/>
        <v>28.59054001684774</v>
      </c>
      <c r="W130">
        <f t="shared" si="44"/>
        <v>3.9274611523244998</v>
      </c>
      <c r="X130">
        <f t="shared" si="45"/>
        <v>74.573599392405214</v>
      </c>
      <c r="Y130">
        <f t="shared" si="46"/>
        <v>2.66584927166156</v>
      </c>
      <c r="Z130">
        <f t="shared" si="47"/>
        <v>3.5747895949528994</v>
      </c>
      <c r="AA130">
        <f t="shared" si="48"/>
        <v>1.2616118806629397</v>
      </c>
      <c r="AB130">
        <f t="shared" si="49"/>
        <v>-82.354292419999439</v>
      </c>
      <c r="AC130">
        <f t="shared" si="50"/>
        <v>-175.01669658014188</v>
      </c>
      <c r="AD130">
        <f t="shared" si="51"/>
        <v>-18.895349093276664</v>
      </c>
      <c r="AE130">
        <f t="shared" si="52"/>
        <v>-0.15156505941797604</v>
      </c>
      <c r="AF130">
        <v>34</v>
      </c>
      <c r="AG130">
        <v>11</v>
      </c>
      <c r="AH130">
        <f t="shared" si="53"/>
        <v>1</v>
      </c>
      <c r="AI130">
        <f t="shared" si="54"/>
        <v>0</v>
      </c>
      <c r="AJ130">
        <f t="shared" si="55"/>
        <v>52530.990926832681</v>
      </c>
      <c r="AK130">
        <f t="shared" si="56"/>
        <v>1800</v>
      </c>
      <c r="AL130">
        <f t="shared" si="57"/>
        <v>1499.1129504</v>
      </c>
      <c r="AM130">
        <f t="shared" si="58"/>
        <v>0.83284052799999997</v>
      </c>
      <c r="AN130">
        <f t="shared" si="59"/>
        <v>0.15339709612999999</v>
      </c>
      <c r="AO130">
        <v>34.5</v>
      </c>
      <c r="AP130">
        <v>0.5</v>
      </c>
      <c r="AQ130" t="s">
        <v>331</v>
      </c>
      <c r="AR130">
        <v>2</v>
      </c>
      <c r="AS130">
        <v>1690213545.5999999</v>
      </c>
      <c r="AT130">
        <v>431.69400000000002</v>
      </c>
      <c r="AU130">
        <v>800.01199999999994</v>
      </c>
      <c r="AV130">
        <v>26.8748</v>
      </c>
      <c r="AW130">
        <v>5.9846300000000001</v>
      </c>
      <c r="AX130">
        <v>431.94499999999999</v>
      </c>
      <c r="AY130">
        <v>26.683199999999999</v>
      </c>
      <c r="AZ130">
        <v>300.11900000000003</v>
      </c>
      <c r="BA130">
        <v>99.095200000000006</v>
      </c>
      <c r="BB130">
        <v>9.9929699999999996E-2</v>
      </c>
      <c r="BC130">
        <v>26.979199999999999</v>
      </c>
      <c r="BD130">
        <v>26.998100000000001</v>
      </c>
      <c r="BE130">
        <v>28.655100000000001</v>
      </c>
      <c r="BF130">
        <v>0</v>
      </c>
      <c r="BG130">
        <v>0</v>
      </c>
      <c r="BH130">
        <v>10025.6</v>
      </c>
      <c r="BI130">
        <v>1077</v>
      </c>
      <c r="BJ130">
        <v>2.0744500000000001</v>
      </c>
      <c r="BK130">
        <v>-368.31799999999998</v>
      </c>
      <c r="BL130">
        <v>443.61599999999999</v>
      </c>
      <c r="BM130">
        <v>804.82899999999995</v>
      </c>
      <c r="BN130">
        <v>20.8902</v>
      </c>
      <c r="BO130">
        <v>800.01199999999994</v>
      </c>
      <c r="BP130">
        <v>5.9846300000000001</v>
      </c>
      <c r="BQ130">
        <v>2.66317</v>
      </c>
      <c r="BR130">
        <v>0.59304800000000002</v>
      </c>
      <c r="BS130">
        <v>22.0596</v>
      </c>
      <c r="BT130">
        <v>-0.46925899999999998</v>
      </c>
      <c r="BU130">
        <v>1800</v>
      </c>
      <c r="BV130">
        <v>0.91001100000000001</v>
      </c>
      <c r="BW130">
        <v>3.3996699999999998E-2</v>
      </c>
      <c r="BX130">
        <v>2.1997900000000001E-2</v>
      </c>
      <c r="BY130">
        <v>3.3993900000000001E-2</v>
      </c>
      <c r="BZ130">
        <v>26</v>
      </c>
      <c r="CA130">
        <v>33528.5</v>
      </c>
      <c r="CB130">
        <v>1690211922</v>
      </c>
      <c r="CC130" t="s">
        <v>332</v>
      </c>
      <c r="CD130">
        <v>1690211915</v>
      </c>
      <c r="CE130">
        <v>1690211922</v>
      </c>
      <c r="CF130">
        <v>6</v>
      </c>
      <c r="CG130">
        <v>1.0999999999999999E-2</v>
      </c>
      <c r="CH130">
        <v>8.0000000000000002E-3</v>
      </c>
      <c r="CI130">
        <v>-0.51100000000000001</v>
      </c>
      <c r="CJ130">
        <v>-6.6000000000000003E-2</v>
      </c>
      <c r="CK130">
        <v>800</v>
      </c>
      <c r="CL130">
        <v>6</v>
      </c>
      <c r="CM130">
        <v>0.21</v>
      </c>
      <c r="CN130">
        <v>0.02</v>
      </c>
      <c r="CO130">
        <v>-365.1520487804878</v>
      </c>
      <c r="CP130">
        <v>-17.213811846689779</v>
      </c>
      <c r="CQ130">
        <v>1.6980231109809281</v>
      </c>
      <c r="CR130">
        <v>-1</v>
      </c>
      <c r="CS130">
        <v>20.770546341463412</v>
      </c>
      <c r="CT130">
        <v>0.67567108013938304</v>
      </c>
      <c r="CU130">
        <v>6.6650918415573843E-2</v>
      </c>
      <c r="CV130">
        <v>-1</v>
      </c>
      <c r="CW130">
        <v>0</v>
      </c>
      <c r="CX130">
        <v>0</v>
      </c>
      <c r="CY130" t="s">
        <v>333</v>
      </c>
      <c r="CZ130">
        <v>2.3641800000000002</v>
      </c>
      <c r="DA130">
        <v>2.71374</v>
      </c>
      <c r="DB130">
        <v>9.4835799999999998E-2</v>
      </c>
      <c r="DC130">
        <v>0.146061</v>
      </c>
      <c r="DD130">
        <v>0.12327100000000001</v>
      </c>
      <c r="DE130">
        <v>3.9358499999999998E-2</v>
      </c>
      <c r="DF130">
        <v>33029.800000000003</v>
      </c>
      <c r="DG130">
        <v>27492.1</v>
      </c>
      <c r="DH130">
        <v>31152.400000000001</v>
      </c>
      <c r="DI130">
        <v>28053.7</v>
      </c>
      <c r="DJ130">
        <v>37068.400000000001</v>
      </c>
      <c r="DK130">
        <v>38318.699999999997</v>
      </c>
      <c r="DL130">
        <v>44329.9</v>
      </c>
      <c r="DM130">
        <v>42513.1</v>
      </c>
      <c r="DN130">
        <v>1.38435</v>
      </c>
      <c r="DO130">
        <v>2.0329700000000002</v>
      </c>
      <c r="DP130">
        <v>8.0581799999999995E-2</v>
      </c>
      <c r="DQ130">
        <v>0.189252</v>
      </c>
      <c r="DR130">
        <v>25.678899999999999</v>
      </c>
      <c r="DS130">
        <v>25.560600000000001</v>
      </c>
      <c r="DT130">
        <v>17.8</v>
      </c>
      <c r="DU130">
        <v>29.7</v>
      </c>
      <c r="DV130">
        <v>7.5212000000000003</v>
      </c>
      <c r="DW130">
        <v>61.491199999999999</v>
      </c>
      <c r="DX130">
        <v>37.2316</v>
      </c>
      <c r="DY130">
        <v>1</v>
      </c>
      <c r="DZ130">
        <v>-7.9733200000000004E-2</v>
      </c>
      <c r="EA130">
        <v>-0.15779699999999999</v>
      </c>
      <c r="EB130">
        <v>20.189699999999998</v>
      </c>
      <c r="EC130">
        <v>5.2408000000000001</v>
      </c>
      <c r="ED130">
        <v>12.039899999999999</v>
      </c>
      <c r="EE130">
        <v>5.0170000000000003</v>
      </c>
      <c r="EF130">
        <v>3.2879999999999998</v>
      </c>
      <c r="EG130">
        <v>9999</v>
      </c>
      <c r="EH130">
        <v>9999</v>
      </c>
      <c r="EI130">
        <v>9999</v>
      </c>
      <c r="EJ130">
        <v>999.9</v>
      </c>
      <c r="EK130">
        <v>1.86894</v>
      </c>
      <c r="EL130">
        <v>1.8646799999999999</v>
      </c>
      <c r="EM130">
        <v>1.8691899999999999</v>
      </c>
      <c r="EN130">
        <v>1.8672800000000001</v>
      </c>
      <c r="EO130">
        <v>1.8633999999999999</v>
      </c>
      <c r="EP130">
        <v>1.8645799999999999</v>
      </c>
      <c r="EQ130">
        <v>1.8702099999999999</v>
      </c>
      <c r="ER130">
        <v>1.8694900000000001</v>
      </c>
      <c r="ES130">
        <v>0</v>
      </c>
      <c r="ET130">
        <v>0</v>
      </c>
      <c r="EU130">
        <v>0</v>
      </c>
      <c r="EV130">
        <v>0</v>
      </c>
      <c r="EW130" t="s">
        <v>334</v>
      </c>
      <c r="EX130" t="s">
        <v>335</v>
      </c>
      <c r="EY130" t="s">
        <v>336</v>
      </c>
      <c r="EZ130" t="s">
        <v>336</v>
      </c>
      <c r="FA130" t="s">
        <v>336</v>
      </c>
      <c r="FB130" t="s">
        <v>336</v>
      </c>
      <c r="FC130">
        <v>0</v>
      </c>
      <c r="FD130">
        <v>100</v>
      </c>
      <c r="FE130">
        <v>100</v>
      </c>
      <c r="FF130">
        <v>-0.251</v>
      </c>
      <c r="FG130">
        <v>0.19159999999999999</v>
      </c>
      <c r="FH130">
        <v>4.0020685143421282E-2</v>
      </c>
      <c r="FI130">
        <v>-6.1462078757559423E-4</v>
      </c>
      <c r="FJ130">
        <v>-1.8861989874597051E-7</v>
      </c>
      <c r="FK130">
        <v>1.1980462299894961E-10</v>
      </c>
      <c r="FL130">
        <v>0.19160597004026461</v>
      </c>
      <c r="FM130">
        <v>0</v>
      </c>
      <c r="FN130">
        <v>0</v>
      </c>
      <c r="FO130">
        <v>0</v>
      </c>
      <c r="FP130">
        <v>3</v>
      </c>
      <c r="FQ130">
        <v>2158</v>
      </c>
      <c r="FR130">
        <v>1</v>
      </c>
      <c r="FS130">
        <v>19</v>
      </c>
      <c r="FT130">
        <v>27.2</v>
      </c>
      <c r="FU130">
        <v>27.1</v>
      </c>
      <c r="FV130">
        <v>1.77979</v>
      </c>
      <c r="FW130">
        <v>2.5781200000000002</v>
      </c>
      <c r="FX130">
        <v>1.5490699999999999</v>
      </c>
      <c r="FY130">
        <v>2.3290999999999999</v>
      </c>
      <c r="FZ130">
        <v>1.50146</v>
      </c>
      <c r="GA130">
        <v>2.36206</v>
      </c>
      <c r="GB130">
        <v>33.850900000000003</v>
      </c>
      <c r="GC130">
        <v>23.982399999999998</v>
      </c>
      <c r="GD130">
        <v>19</v>
      </c>
      <c r="GE130">
        <v>246.3</v>
      </c>
      <c r="GF130">
        <v>582.17999999999995</v>
      </c>
      <c r="GG130">
        <v>25.442299999999999</v>
      </c>
      <c r="GH130">
        <v>26.383500000000002</v>
      </c>
      <c r="GI130">
        <v>30</v>
      </c>
      <c r="GJ130">
        <v>26.5303</v>
      </c>
      <c r="GK130">
        <v>26.500299999999999</v>
      </c>
      <c r="GL130">
        <v>35.579900000000002</v>
      </c>
      <c r="GM130">
        <v>-30</v>
      </c>
      <c r="GN130">
        <v>-30</v>
      </c>
      <c r="GO130">
        <v>25.438199999999998</v>
      </c>
      <c r="GP130">
        <v>800</v>
      </c>
      <c r="GQ130">
        <v>12.5298</v>
      </c>
      <c r="GR130">
        <v>99.670500000000004</v>
      </c>
      <c r="GS130">
        <v>99.459199999999996</v>
      </c>
    </row>
    <row r="131" spans="1:201" x14ac:dyDescent="0.25">
      <c r="A131">
        <v>115</v>
      </c>
      <c r="B131">
        <v>1690213555.5999999</v>
      </c>
      <c r="C131">
        <v>1288.099999904633</v>
      </c>
      <c r="D131" t="s">
        <v>561</v>
      </c>
      <c r="E131" t="s">
        <v>562</v>
      </c>
      <c r="F131" t="s">
        <v>330</v>
      </c>
      <c r="H131">
        <v>1690213555.5999999</v>
      </c>
      <c r="I131">
        <f t="shared" si="30"/>
        <v>1.8766315085000549E-3</v>
      </c>
      <c r="J131">
        <f t="shared" si="31"/>
        <v>1.8766315085000549</v>
      </c>
      <c r="K131">
        <f t="shared" si="32"/>
        <v>31.475214664424602</v>
      </c>
      <c r="L131">
        <f t="shared" si="33"/>
        <v>428.95400000000001</v>
      </c>
      <c r="M131">
        <f t="shared" si="34"/>
        <v>75.930593656391011</v>
      </c>
      <c r="N131">
        <f t="shared" si="35"/>
        <v>7.5317963606899081</v>
      </c>
      <c r="O131">
        <f t="shared" si="36"/>
        <v>42.549307473133993</v>
      </c>
      <c r="P131">
        <f t="shared" si="37"/>
        <v>0.149911570439416</v>
      </c>
      <c r="Q131">
        <f t="shared" si="38"/>
        <v>2.0151842241898716</v>
      </c>
      <c r="R131">
        <f t="shared" si="39"/>
        <v>0.1439801547352661</v>
      </c>
      <c r="S131">
        <f t="shared" si="40"/>
        <v>9.0500956193351023E-2</v>
      </c>
      <c r="T131">
        <f t="shared" si="41"/>
        <v>276.11479177200005</v>
      </c>
      <c r="U131">
        <f t="shared" si="42"/>
        <v>28.581019001966233</v>
      </c>
      <c r="V131">
        <f t="shared" si="43"/>
        <v>28.581019001966233</v>
      </c>
      <c r="W131">
        <f t="shared" si="44"/>
        <v>3.9252913083508272</v>
      </c>
      <c r="X131">
        <f t="shared" si="45"/>
        <v>74.867063210032057</v>
      </c>
      <c r="Y131">
        <f t="shared" si="46"/>
        <v>2.6754282888949001</v>
      </c>
      <c r="Z131">
        <f t="shared" si="47"/>
        <v>3.5735718407829804</v>
      </c>
      <c r="AA131">
        <f t="shared" si="48"/>
        <v>1.249863019455927</v>
      </c>
      <c r="AB131">
        <f t="shared" si="49"/>
        <v>-82.759449524852428</v>
      </c>
      <c r="AC131">
        <f t="shared" si="50"/>
        <v>-174.65592730487987</v>
      </c>
      <c r="AD131">
        <f t="shared" si="51"/>
        <v>-18.850273731625219</v>
      </c>
      <c r="AE131">
        <f t="shared" si="52"/>
        <v>-0.15085878935747132</v>
      </c>
      <c r="AF131">
        <v>34</v>
      </c>
      <c r="AG131">
        <v>11</v>
      </c>
      <c r="AH131">
        <f t="shared" si="53"/>
        <v>1</v>
      </c>
      <c r="AI131">
        <f t="shared" si="54"/>
        <v>0</v>
      </c>
      <c r="AJ131">
        <f t="shared" si="55"/>
        <v>52556.056032945562</v>
      </c>
      <c r="AK131">
        <f t="shared" si="56"/>
        <v>1800</v>
      </c>
      <c r="AL131">
        <f t="shared" si="57"/>
        <v>1499.1133662000002</v>
      </c>
      <c r="AM131">
        <f t="shared" si="58"/>
        <v>0.8328407590000001</v>
      </c>
      <c r="AN131">
        <f t="shared" si="59"/>
        <v>0.15339710654000002</v>
      </c>
      <c r="AO131">
        <v>34.5</v>
      </c>
      <c r="AP131">
        <v>0.5</v>
      </c>
      <c r="AQ131" t="s">
        <v>331</v>
      </c>
      <c r="AR131">
        <v>2</v>
      </c>
      <c r="AS131">
        <v>1690213555.5999999</v>
      </c>
      <c r="AT131">
        <v>428.95400000000001</v>
      </c>
      <c r="AU131">
        <v>799.99699999999996</v>
      </c>
      <c r="AV131">
        <v>26.971900000000002</v>
      </c>
      <c r="AW131">
        <v>5.9828700000000001</v>
      </c>
      <c r="AX131">
        <v>429.20299999999997</v>
      </c>
      <c r="AY131">
        <v>26.7803</v>
      </c>
      <c r="AZ131">
        <v>300.14499999999998</v>
      </c>
      <c r="BA131">
        <v>99.093199999999996</v>
      </c>
      <c r="BB131">
        <v>9.9971000000000004E-2</v>
      </c>
      <c r="BC131">
        <v>26.973400000000002</v>
      </c>
      <c r="BD131">
        <v>26.990500000000001</v>
      </c>
      <c r="BE131">
        <v>28.6629</v>
      </c>
      <c r="BF131">
        <v>0</v>
      </c>
      <c r="BG131">
        <v>0</v>
      </c>
      <c r="BH131">
        <v>10030.6</v>
      </c>
      <c r="BI131">
        <v>1077.05</v>
      </c>
      <c r="BJ131">
        <v>2.0744500000000001</v>
      </c>
      <c r="BK131">
        <v>-371.04399999999998</v>
      </c>
      <c r="BL131">
        <v>440.84399999999999</v>
      </c>
      <c r="BM131">
        <v>804.81200000000001</v>
      </c>
      <c r="BN131">
        <v>20.989000000000001</v>
      </c>
      <c r="BO131">
        <v>799.99699999999996</v>
      </c>
      <c r="BP131">
        <v>5.9828700000000001</v>
      </c>
      <c r="BQ131">
        <v>2.6727300000000001</v>
      </c>
      <c r="BR131">
        <v>0.59286099999999997</v>
      </c>
      <c r="BS131">
        <v>22.118400000000001</v>
      </c>
      <c r="BT131">
        <v>-0.473578</v>
      </c>
      <c r="BU131">
        <v>1800</v>
      </c>
      <c r="BV131">
        <v>0.91001200000000004</v>
      </c>
      <c r="BW131">
        <v>3.3996400000000003E-2</v>
      </c>
      <c r="BX131">
        <v>2.1997699999999999E-2</v>
      </c>
      <c r="BY131">
        <v>3.3993599999999999E-2</v>
      </c>
      <c r="BZ131">
        <v>26</v>
      </c>
      <c r="CA131">
        <v>33528.5</v>
      </c>
      <c r="CB131">
        <v>1690211922</v>
      </c>
      <c r="CC131" t="s">
        <v>332</v>
      </c>
      <c r="CD131">
        <v>1690211915</v>
      </c>
      <c r="CE131">
        <v>1690211922</v>
      </c>
      <c r="CF131">
        <v>6</v>
      </c>
      <c r="CG131">
        <v>1.0999999999999999E-2</v>
      </c>
      <c r="CH131">
        <v>8.0000000000000002E-3</v>
      </c>
      <c r="CI131">
        <v>-0.51100000000000001</v>
      </c>
      <c r="CJ131">
        <v>-6.6000000000000003E-2</v>
      </c>
      <c r="CK131">
        <v>800</v>
      </c>
      <c r="CL131">
        <v>6</v>
      </c>
      <c r="CM131">
        <v>0.21</v>
      </c>
      <c r="CN131">
        <v>0.02</v>
      </c>
      <c r="CO131">
        <v>-368.01992682926829</v>
      </c>
      <c r="CP131">
        <v>-17.350954703832421</v>
      </c>
      <c r="CQ131">
        <v>1.711334971561659</v>
      </c>
      <c r="CR131">
        <v>-1</v>
      </c>
      <c r="CS131">
        <v>20.877939024390241</v>
      </c>
      <c r="CT131">
        <v>0.61700069686416215</v>
      </c>
      <c r="CU131">
        <v>6.0852672458895703E-2</v>
      </c>
      <c r="CV131">
        <v>-1</v>
      </c>
      <c r="CW131">
        <v>0</v>
      </c>
      <c r="CX131">
        <v>0</v>
      </c>
      <c r="CY131" t="s">
        <v>333</v>
      </c>
      <c r="CZ131">
        <v>2.3642699999999999</v>
      </c>
      <c r="DA131">
        <v>2.7137899999999999</v>
      </c>
      <c r="DB131">
        <v>9.4381000000000007E-2</v>
      </c>
      <c r="DC131">
        <v>0.14605699999999999</v>
      </c>
      <c r="DD131">
        <v>0.12358</v>
      </c>
      <c r="DE131">
        <v>3.9348500000000002E-2</v>
      </c>
      <c r="DF131">
        <v>33046.5</v>
      </c>
      <c r="DG131">
        <v>27492.1</v>
      </c>
      <c r="DH131">
        <v>31152.5</v>
      </c>
      <c r="DI131">
        <v>28053.5</v>
      </c>
      <c r="DJ131">
        <v>37055.199999999997</v>
      </c>
      <c r="DK131">
        <v>38318.699999999997</v>
      </c>
      <c r="DL131">
        <v>44330</v>
      </c>
      <c r="DM131">
        <v>42512.7</v>
      </c>
      <c r="DN131">
        <v>1.3845499999999999</v>
      </c>
      <c r="DO131">
        <v>2.0331700000000001</v>
      </c>
      <c r="DP131">
        <v>7.9955899999999996E-2</v>
      </c>
      <c r="DQ131">
        <v>0.18959899999999999</v>
      </c>
      <c r="DR131">
        <v>25.6815</v>
      </c>
      <c r="DS131">
        <v>25.5627</v>
      </c>
      <c r="DT131">
        <v>17.8</v>
      </c>
      <c r="DU131">
        <v>29.7</v>
      </c>
      <c r="DV131">
        <v>7.52203</v>
      </c>
      <c r="DW131">
        <v>61.6312</v>
      </c>
      <c r="DX131">
        <v>36.742800000000003</v>
      </c>
      <c r="DY131">
        <v>1</v>
      </c>
      <c r="DZ131">
        <v>-7.9847600000000005E-2</v>
      </c>
      <c r="EA131">
        <v>-0.20349100000000001</v>
      </c>
      <c r="EB131">
        <v>20.189800000000002</v>
      </c>
      <c r="EC131">
        <v>5.2406499999999996</v>
      </c>
      <c r="ED131">
        <v>12.039899999999999</v>
      </c>
      <c r="EE131">
        <v>5.0168999999999997</v>
      </c>
      <c r="EF131">
        <v>3.2879999999999998</v>
      </c>
      <c r="EG131">
        <v>9999</v>
      </c>
      <c r="EH131">
        <v>9999</v>
      </c>
      <c r="EI131">
        <v>9999</v>
      </c>
      <c r="EJ131">
        <v>999.9</v>
      </c>
      <c r="EK131">
        <v>1.86893</v>
      </c>
      <c r="EL131">
        <v>1.8647</v>
      </c>
      <c r="EM131">
        <v>1.8692</v>
      </c>
      <c r="EN131">
        <v>1.86727</v>
      </c>
      <c r="EO131">
        <v>1.8634200000000001</v>
      </c>
      <c r="EP131">
        <v>1.8645799999999999</v>
      </c>
      <c r="EQ131">
        <v>1.87018</v>
      </c>
      <c r="ER131">
        <v>1.86948</v>
      </c>
      <c r="ES131">
        <v>0</v>
      </c>
      <c r="ET131">
        <v>0</v>
      </c>
      <c r="EU131">
        <v>0</v>
      </c>
      <c r="EV131">
        <v>0</v>
      </c>
      <c r="EW131" t="s">
        <v>334</v>
      </c>
      <c r="EX131" t="s">
        <v>335</v>
      </c>
      <c r="EY131" t="s">
        <v>336</v>
      </c>
      <c r="EZ131" t="s">
        <v>336</v>
      </c>
      <c r="FA131" t="s">
        <v>336</v>
      </c>
      <c r="FB131" t="s">
        <v>336</v>
      </c>
      <c r="FC131">
        <v>0</v>
      </c>
      <c r="FD131">
        <v>100</v>
      </c>
      <c r="FE131">
        <v>100</v>
      </c>
      <c r="FF131">
        <v>-0.249</v>
      </c>
      <c r="FG131">
        <v>0.19159999999999999</v>
      </c>
      <c r="FH131">
        <v>4.0020685143421282E-2</v>
      </c>
      <c r="FI131">
        <v>-6.1462078757559423E-4</v>
      </c>
      <c r="FJ131">
        <v>-1.8861989874597051E-7</v>
      </c>
      <c r="FK131">
        <v>1.1980462299894961E-10</v>
      </c>
      <c r="FL131">
        <v>0.19160597004026461</v>
      </c>
      <c r="FM131">
        <v>0</v>
      </c>
      <c r="FN131">
        <v>0</v>
      </c>
      <c r="FO131">
        <v>0</v>
      </c>
      <c r="FP131">
        <v>3</v>
      </c>
      <c r="FQ131">
        <v>2158</v>
      </c>
      <c r="FR131">
        <v>1</v>
      </c>
      <c r="FS131">
        <v>19</v>
      </c>
      <c r="FT131">
        <v>27.3</v>
      </c>
      <c r="FU131">
        <v>27.2</v>
      </c>
      <c r="FV131">
        <v>1.77979</v>
      </c>
      <c r="FW131">
        <v>2.5793499999999998</v>
      </c>
      <c r="FX131">
        <v>1.5490699999999999</v>
      </c>
      <c r="FY131">
        <v>2.3290999999999999</v>
      </c>
      <c r="FZ131">
        <v>1.50146</v>
      </c>
      <c r="GA131">
        <v>2.34985</v>
      </c>
      <c r="GB131">
        <v>33.850900000000003</v>
      </c>
      <c r="GC131">
        <v>23.982399999999998</v>
      </c>
      <c r="GD131">
        <v>19</v>
      </c>
      <c r="GE131">
        <v>246.369</v>
      </c>
      <c r="GF131">
        <v>582.32000000000005</v>
      </c>
      <c r="GG131">
        <v>25.4359</v>
      </c>
      <c r="GH131">
        <v>26.382000000000001</v>
      </c>
      <c r="GI131">
        <v>30</v>
      </c>
      <c r="GJ131">
        <v>26.528099999999998</v>
      </c>
      <c r="GK131">
        <v>26.498000000000001</v>
      </c>
      <c r="GL131">
        <v>35.581699999999998</v>
      </c>
      <c r="GM131">
        <v>-30</v>
      </c>
      <c r="GN131">
        <v>-30</v>
      </c>
      <c r="GO131">
        <v>25.4377</v>
      </c>
      <c r="GP131">
        <v>800</v>
      </c>
      <c r="GQ131">
        <v>12.5298</v>
      </c>
      <c r="GR131">
        <v>99.670699999999997</v>
      </c>
      <c r="GS131">
        <v>99.458299999999994</v>
      </c>
    </row>
    <row r="132" spans="1:201" x14ac:dyDescent="0.25">
      <c r="A132">
        <v>116</v>
      </c>
      <c r="B132">
        <v>1690213565.5999999</v>
      </c>
      <c r="C132">
        <v>1298.099999904633</v>
      </c>
      <c r="D132" t="s">
        <v>563</v>
      </c>
      <c r="E132" t="s">
        <v>564</v>
      </c>
      <c r="F132" t="s">
        <v>330</v>
      </c>
      <c r="H132">
        <v>1690213565.5999999</v>
      </c>
      <c r="I132">
        <f t="shared" si="30"/>
        <v>1.8857455558202562E-3</v>
      </c>
      <c r="J132">
        <f t="shared" si="31"/>
        <v>1.8857455558202563</v>
      </c>
      <c r="K132">
        <f t="shared" si="32"/>
        <v>31.720512856233203</v>
      </c>
      <c r="L132">
        <f t="shared" si="33"/>
        <v>426.28899999999999</v>
      </c>
      <c r="M132">
        <f t="shared" si="34"/>
        <v>75.052765762285532</v>
      </c>
      <c r="N132">
        <f t="shared" si="35"/>
        <v>7.4447666347824946</v>
      </c>
      <c r="O132">
        <f t="shared" si="36"/>
        <v>42.285212166952</v>
      </c>
      <c r="P132">
        <f t="shared" si="37"/>
        <v>0.1518912249094771</v>
      </c>
      <c r="Q132">
        <f t="shared" si="38"/>
        <v>2.0164312911233355</v>
      </c>
      <c r="R132">
        <f t="shared" si="39"/>
        <v>0.14580914159582575</v>
      </c>
      <c r="S132">
        <f t="shared" si="40"/>
        <v>9.1656871420081595E-2</v>
      </c>
      <c r="T132">
        <f t="shared" si="41"/>
        <v>276.11323794704492</v>
      </c>
      <c r="U132">
        <f t="shared" si="42"/>
        <v>28.579763398365337</v>
      </c>
      <c r="V132">
        <f t="shared" si="43"/>
        <v>28.579763398365337</v>
      </c>
      <c r="W132">
        <f t="shared" si="44"/>
        <v>3.9250052337218979</v>
      </c>
      <c r="X132">
        <f t="shared" si="45"/>
        <v>75.118249263472961</v>
      </c>
      <c r="Y132">
        <f t="shared" si="46"/>
        <v>2.6848777184560002</v>
      </c>
      <c r="Z132">
        <f t="shared" si="47"/>
        <v>3.5742016684107552</v>
      </c>
      <c r="AA132">
        <f t="shared" si="48"/>
        <v>1.2401275152658977</v>
      </c>
      <c r="AB132">
        <f t="shared" si="49"/>
        <v>-83.161379011673304</v>
      </c>
      <c r="AC132">
        <f t="shared" si="50"/>
        <v>-174.30138453808797</v>
      </c>
      <c r="AD132">
        <f t="shared" si="51"/>
        <v>-18.800537131193689</v>
      </c>
      <c r="AE132">
        <f t="shared" si="52"/>
        <v>-0.15006273391003333</v>
      </c>
      <c r="AF132">
        <v>34</v>
      </c>
      <c r="AG132">
        <v>11</v>
      </c>
      <c r="AH132">
        <f t="shared" si="53"/>
        <v>1</v>
      </c>
      <c r="AI132">
        <f t="shared" si="54"/>
        <v>0</v>
      </c>
      <c r="AJ132">
        <f t="shared" si="55"/>
        <v>52615.594649268962</v>
      </c>
      <c r="AK132">
        <f t="shared" si="56"/>
        <v>1799.99</v>
      </c>
      <c r="AL132">
        <f t="shared" si="57"/>
        <v>1499.1056083892399</v>
      </c>
      <c r="AM132">
        <f t="shared" si="58"/>
        <v>0.83284107600000001</v>
      </c>
      <c r="AN132">
        <f t="shared" si="59"/>
        <v>0.15339709551000003</v>
      </c>
      <c r="AO132">
        <v>34.5</v>
      </c>
      <c r="AP132">
        <v>0.5</v>
      </c>
      <c r="AQ132" t="s">
        <v>331</v>
      </c>
      <c r="AR132">
        <v>2</v>
      </c>
      <c r="AS132">
        <v>1690213565.5999999</v>
      </c>
      <c r="AT132">
        <v>426.28899999999999</v>
      </c>
      <c r="AU132">
        <v>800.06899999999996</v>
      </c>
      <c r="AV132">
        <v>27.067</v>
      </c>
      <c r="AW132">
        <v>5.98203</v>
      </c>
      <c r="AX132">
        <v>426.536</v>
      </c>
      <c r="AY132">
        <v>26.875399999999999</v>
      </c>
      <c r="AZ132">
        <v>300.20100000000002</v>
      </c>
      <c r="BA132">
        <v>99.093800000000002</v>
      </c>
      <c r="BB132">
        <v>9.9968000000000001E-2</v>
      </c>
      <c r="BC132">
        <v>26.976400000000002</v>
      </c>
      <c r="BD132">
        <v>26.984100000000002</v>
      </c>
      <c r="BE132">
        <v>28.6478</v>
      </c>
      <c r="BF132">
        <v>0</v>
      </c>
      <c r="BG132">
        <v>0</v>
      </c>
      <c r="BH132">
        <v>10042.5</v>
      </c>
      <c r="BI132">
        <v>1077</v>
      </c>
      <c r="BJ132">
        <v>2.0744500000000001</v>
      </c>
      <c r="BK132">
        <v>-373.78</v>
      </c>
      <c r="BL132">
        <v>438.14800000000002</v>
      </c>
      <c r="BM132">
        <v>804.88400000000001</v>
      </c>
      <c r="BN132">
        <v>21.085000000000001</v>
      </c>
      <c r="BO132">
        <v>800.06899999999996</v>
      </c>
      <c r="BP132">
        <v>5.98203</v>
      </c>
      <c r="BQ132">
        <v>2.6821799999999998</v>
      </c>
      <c r="BR132">
        <v>0.592781</v>
      </c>
      <c r="BS132">
        <v>22.176300000000001</v>
      </c>
      <c r="BT132">
        <v>-0.47542299999999998</v>
      </c>
      <c r="BU132">
        <v>1799.99</v>
      </c>
      <c r="BV132">
        <v>0.91001399999999999</v>
      </c>
      <c r="BW132">
        <v>3.3995699999999997E-2</v>
      </c>
      <c r="BX132">
        <v>2.1997300000000001E-2</v>
      </c>
      <c r="BY132">
        <v>3.39929E-2</v>
      </c>
      <c r="BZ132">
        <v>26</v>
      </c>
      <c r="CA132">
        <v>33528.400000000001</v>
      </c>
      <c r="CB132">
        <v>1690211922</v>
      </c>
      <c r="CC132" t="s">
        <v>332</v>
      </c>
      <c r="CD132">
        <v>1690211915</v>
      </c>
      <c r="CE132">
        <v>1690211922</v>
      </c>
      <c r="CF132">
        <v>6</v>
      </c>
      <c r="CG132">
        <v>1.0999999999999999E-2</v>
      </c>
      <c r="CH132">
        <v>8.0000000000000002E-3</v>
      </c>
      <c r="CI132">
        <v>-0.51100000000000001</v>
      </c>
      <c r="CJ132">
        <v>-6.6000000000000003E-2</v>
      </c>
      <c r="CK132">
        <v>800</v>
      </c>
      <c r="CL132">
        <v>6</v>
      </c>
      <c r="CM132">
        <v>0.21</v>
      </c>
      <c r="CN132">
        <v>0.02</v>
      </c>
      <c r="CO132">
        <v>-370.80765853658528</v>
      </c>
      <c r="CP132">
        <v>-16.314439024390509</v>
      </c>
      <c r="CQ132">
        <v>1.609307828937887</v>
      </c>
      <c r="CR132">
        <v>-1</v>
      </c>
      <c r="CS132">
        <v>20.97799024390244</v>
      </c>
      <c r="CT132">
        <v>0.58526550522649468</v>
      </c>
      <c r="CU132">
        <v>5.771367426790202E-2</v>
      </c>
      <c r="CV132">
        <v>-1</v>
      </c>
      <c r="CW132">
        <v>0</v>
      </c>
      <c r="CX132">
        <v>0</v>
      </c>
      <c r="CY132" t="s">
        <v>333</v>
      </c>
      <c r="CZ132">
        <v>2.36443</v>
      </c>
      <c r="DA132">
        <v>2.7138</v>
      </c>
      <c r="DB132">
        <v>9.3939900000000007E-2</v>
      </c>
      <c r="DC132">
        <v>0.146067</v>
      </c>
      <c r="DD132">
        <v>0.123885</v>
      </c>
      <c r="DE132">
        <v>3.9344400000000002E-2</v>
      </c>
      <c r="DF132">
        <v>33062.699999999997</v>
      </c>
      <c r="DG132">
        <v>27492.3</v>
      </c>
      <c r="DH132">
        <v>31152.6</v>
      </c>
      <c r="DI132">
        <v>28054.1</v>
      </c>
      <c r="DJ132">
        <v>37042.1</v>
      </c>
      <c r="DK132">
        <v>38319.9</v>
      </c>
      <c r="DL132">
        <v>44330</v>
      </c>
      <c r="DM132">
        <v>42513.8</v>
      </c>
      <c r="DN132">
        <v>1.3853500000000001</v>
      </c>
      <c r="DO132">
        <v>2.0331700000000001</v>
      </c>
      <c r="DP132">
        <v>7.9561000000000007E-2</v>
      </c>
      <c r="DQ132">
        <v>0.18854099999999999</v>
      </c>
      <c r="DR132">
        <v>25.6815</v>
      </c>
      <c r="DS132">
        <v>25.564900000000002</v>
      </c>
      <c r="DT132">
        <v>17.8</v>
      </c>
      <c r="DU132">
        <v>29.7</v>
      </c>
      <c r="DV132">
        <v>7.5228099999999998</v>
      </c>
      <c r="DW132">
        <v>60.961199999999998</v>
      </c>
      <c r="DX132">
        <v>36.522399999999998</v>
      </c>
      <c r="DY132">
        <v>1</v>
      </c>
      <c r="DZ132">
        <v>-7.9906000000000005E-2</v>
      </c>
      <c r="EA132">
        <v>-0.217644</v>
      </c>
      <c r="EB132">
        <v>20.189699999999998</v>
      </c>
      <c r="EC132">
        <v>5.2409499999999998</v>
      </c>
      <c r="ED132">
        <v>12.039899999999999</v>
      </c>
      <c r="EE132">
        <v>5.01715</v>
      </c>
      <c r="EF132">
        <v>3.2879999999999998</v>
      </c>
      <c r="EG132">
        <v>9999</v>
      </c>
      <c r="EH132">
        <v>9999</v>
      </c>
      <c r="EI132">
        <v>9999</v>
      </c>
      <c r="EJ132">
        <v>999.9</v>
      </c>
      <c r="EK132">
        <v>1.8689100000000001</v>
      </c>
      <c r="EL132">
        <v>1.86467</v>
      </c>
      <c r="EM132">
        <v>1.8692</v>
      </c>
      <c r="EN132">
        <v>1.8672500000000001</v>
      </c>
      <c r="EO132">
        <v>1.8633999999999999</v>
      </c>
      <c r="EP132">
        <v>1.8645499999999999</v>
      </c>
      <c r="EQ132">
        <v>1.87018</v>
      </c>
      <c r="ER132">
        <v>1.86948</v>
      </c>
      <c r="ES132">
        <v>0</v>
      </c>
      <c r="ET132">
        <v>0</v>
      </c>
      <c r="EU132">
        <v>0</v>
      </c>
      <c r="EV132">
        <v>0</v>
      </c>
      <c r="EW132" t="s">
        <v>334</v>
      </c>
      <c r="EX132" t="s">
        <v>335</v>
      </c>
      <c r="EY132" t="s">
        <v>336</v>
      </c>
      <c r="EZ132" t="s">
        <v>336</v>
      </c>
      <c r="FA132" t="s">
        <v>336</v>
      </c>
      <c r="FB132" t="s">
        <v>336</v>
      </c>
      <c r="FC132">
        <v>0</v>
      </c>
      <c r="FD132">
        <v>100</v>
      </c>
      <c r="FE132">
        <v>100</v>
      </c>
      <c r="FF132">
        <v>-0.247</v>
      </c>
      <c r="FG132">
        <v>0.19159999999999999</v>
      </c>
      <c r="FH132">
        <v>4.0020685143421282E-2</v>
      </c>
      <c r="FI132">
        <v>-6.1462078757559423E-4</v>
      </c>
      <c r="FJ132">
        <v>-1.8861989874597051E-7</v>
      </c>
      <c r="FK132">
        <v>1.1980462299894961E-10</v>
      </c>
      <c r="FL132">
        <v>0.19160597004026461</v>
      </c>
      <c r="FM132">
        <v>0</v>
      </c>
      <c r="FN132">
        <v>0</v>
      </c>
      <c r="FO132">
        <v>0</v>
      </c>
      <c r="FP132">
        <v>3</v>
      </c>
      <c r="FQ132">
        <v>2158</v>
      </c>
      <c r="FR132">
        <v>1</v>
      </c>
      <c r="FS132">
        <v>19</v>
      </c>
      <c r="FT132">
        <v>27.5</v>
      </c>
      <c r="FU132">
        <v>27.4</v>
      </c>
      <c r="FV132">
        <v>1.77979</v>
      </c>
      <c r="FW132">
        <v>2.5805699999999998</v>
      </c>
      <c r="FX132">
        <v>1.5490699999999999</v>
      </c>
      <c r="FY132">
        <v>2.3290999999999999</v>
      </c>
      <c r="FZ132">
        <v>1.50146</v>
      </c>
      <c r="GA132">
        <v>2.34497</v>
      </c>
      <c r="GB132">
        <v>33.850900000000003</v>
      </c>
      <c r="GC132">
        <v>23.982399999999998</v>
      </c>
      <c r="GD132">
        <v>19</v>
      </c>
      <c r="GE132">
        <v>246.67</v>
      </c>
      <c r="GF132">
        <v>582.30799999999999</v>
      </c>
      <c r="GG132">
        <v>25.435600000000001</v>
      </c>
      <c r="GH132">
        <v>26.3797</v>
      </c>
      <c r="GI132">
        <v>30.0001</v>
      </c>
      <c r="GJ132">
        <v>26.5259</v>
      </c>
      <c r="GK132">
        <v>26.4969</v>
      </c>
      <c r="GL132">
        <v>35.579500000000003</v>
      </c>
      <c r="GM132">
        <v>-30</v>
      </c>
      <c r="GN132">
        <v>-30</v>
      </c>
      <c r="GO132">
        <v>25.438400000000001</v>
      </c>
      <c r="GP132">
        <v>800</v>
      </c>
      <c r="GQ132">
        <v>12.5298</v>
      </c>
      <c r="GR132">
        <v>99.670900000000003</v>
      </c>
      <c r="GS132">
        <v>99.460599999999999</v>
      </c>
    </row>
    <row r="133" spans="1:201" x14ac:dyDescent="0.25">
      <c r="A133">
        <v>117</v>
      </c>
      <c r="B133">
        <v>1690213575.5999999</v>
      </c>
      <c r="C133">
        <v>1308.099999904633</v>
      </c>
      <c r="D133" t="s">
        <v>565</v>
      </c>
      <c r="E133" t="s">
        <v>566</v>
      </c>
      <c r="F133" t="s">
        <v>330</v>
      </c>
      <c r="H133">
        <v>1690213575.5999999</v>
      </c>
      <c r="I133">
        <f t="shared" si="30"/>
        <v>1.8957927847826524E-3</v>
      </c>
      <c r="J133">
        <f t="shared" si="31"/>
        <v>1.8957927847826523</v>
      </c>
      <c r="K133">
        <f t="shared" si="32"/>
        <v>31.949884619521214</v>
      </c>
      <c r="L133">
        <f t="shared" si="33"/>
        <v>423.45800000000003</v>
      </c>
      <c r="M133">
        <f t="shared" si="34"/>
        <v>74.950658909390413</v>
      </c>
      <c r="N133">
        <f t="shared" si="35"/>
        <v>7.4347651477806078</v>
      </c>
      <c r="O133">
        <f t="shared" si="36"/>
        <v>42.005111439446402</v>
      </c>
      <c r="P133">
        <f t="shared" si="37"/>
        <v>0.15426872241000569</v>
      </c>
      <c r="Q133">
        <f t="shared" si="38"/>
        <v>2.0105721452089993</v>
      </c>
      <c r="R133">
        <f t="shared" si="39"/>
        <v>0.14798150314076347</v>
      </c>
      <c r="S133">
        <f t="shared" si="40"/>
        <v>9.3031969678964196E-2</v>
      </c>
      <c r="T133">
        <f t="shared" si="41"/>
        <v>276.114672756</v>
      </c>
      <c r="U133">
        <f t="shared" si="42"/>
        <v>28.576808885803139</v>
      </c>
      <c r="V133">
        <f t="shared" si="43"/>
        <v>28.576808885803139</v>
      </c>
      <c r="W133">
        <f t="shared" si="44"/>
        <v>3.9243321542451226</v>
      </c>
      <c r="X133">
        <f t="shared" si="45"/>
        <v>75.443378783313918</v>
      </c>
      <c r="Y133">
        <f t="shared" si="46"/>
        <v>2.69594415316848</v>
      </c>
      <c r="Z133">
        <f t="shared" si="47"/>
        <v>3.5734668789313977</v>
      </c>
      <c r="AA133">
        <f t="shared" si="48"/>
        <v>1.2283880010766426</v>
      </c>
      <c r="AB133">
        <f t="shared" si="49"/>
        <v>-83.604461808914976</v>
      </c>
      <c r="AC133">
        <f t="shared" si="50"/>
        <v>-173.85404442087182</v>
      </c>
      <c r="AD133">
        <f t="shared" si="51"/>
        <v>-18.806328068535397</v>
      </c>
      <c r="AE133">
        <f t="shared" si="52"/>
        <v>-0.1501615423221665</v>
      </c>
      <c r="AF133">
        <v>34</v>
      </c>
      <c r="AG133">
        <v>11</v>
      </c>
      <c r="AH133">
        <f t="shared" si="53"/>
        <v>1</v>
      </c>
      <c r="AI133">
        <f t="shared" si="54"/>
        <v>0</v>
      </c>
      <c r="AJ133">
        <f t="shared" si="55"/>
        <v>52334.560216253682</v>
      </c>
      <c r="AK133">
        <f t="shared" si="56"/>
        <v>1800</v>
      </c>
      <c r="AL133">
        <f t="shared" si="57"/>
        <v>1499.1145056</v>
      </c>
      <c r="AM133">
        <f t="shared" si="58"/>
        <v>0.83284139199999996</v>
      </c>
      <c r="AN133">
        <f t="shared" si="59"/>
        <v>0.15339704041999999</v>
      </c>
      <c r="AO133">
        <v>34.5</v>
      </c>
      <c r="AP133">
        <v>0.5</v>
      </c>
      <c r="AQ133" t="s">
        <v>331</v>
      </c>
      <c r="AR133">
        <v>2</v>
      </c>
      <c r="AS133">
        <v>1690213575.5999999</v>
      </c>
      <c r="AT133">
        <v>423.45800000000003</v>
      </c>
      <c r="AU133">
        <v>799.923</v>
      </c>
      <c r="AV133">
        <v>27.178100000000001</v>
      </c>
      <c r="AW133">
        <v>5.9797500000000001</v>
      </c>
      <c r="AX133">
        <v>423.70299999999997</v>
      </c>
      <c r="AY133">
        <v>26.986499999999999</v>
      </c>
      <c r="AZ133">
        <v>300.15199999999999</v>
      </c>
      <c r="BA133">
        <v>99.095600000000005</v>
      </c>
      <c r="BB133">
        <v>9.98608E-2</v>
      </c>
      <c r="BC133">
        <v>26.972899999999999</v>
      </c>
      <c r="BD133">
        <v>27.004200000000001</v>
      </c>
      <c r="BE133">
        <v>28.644500000000001</v>
      </c>
      <c r="BF133">
        <v>0</v>
      </c>
      <c r="BG133">
        <v>0</v>
      </c>
      <c r="BH133">
        <v>9986.25</v>
      </c>
      <c r="BI133">
        <v>1077</v>
      </c>
      <c r="BJ133">
        <v>2.0744500000000001</v>
      </c>
      <c r="BK133">
        <v>-376.46600000000001</v>
      </c>
      <c r="BL133">
        <v>435.28800000000001</v>
      </c>
      <c r="BM133">
        <v>804.73500000000001</v>
      </c>
      <c r="BN133">
        <v>21.1983</v>
      </c>
      <c r="BO133">
        <v>799.923</v>
      </c>
      <c r="BP133">
        <v>5.9797500000000001</v>
      </c>
      <c r="BQ133">
        <v>2.6932299999999998</v>
      </c>
      <c r="BR133">
        <v>0.59256699999999995</v>
      </c>
      <c r="BS133">
        <v>22.2439</v>
      </c>
      <c r="BT133">
        <v>-0.48038500000000001</v>
      </c>
      <c r="BU133">
        <v>1800</v>
      </c>
      <c r="BV133">
        <v>0.91001699999999996</v>
      </c>
      <c r="BW133">
        <v>3.39946E-2</v>
      </c>
      <c r="BX133">
        <v>2.1996600000000002E-2</v>
      </c>
      <c r="BY133">
        <v>3.3991800000000003E-2</v>
      </c>
      <c r="BZ133">
        <v>26</v>
      </c>
      <c r="CA133">
        <v>33528.5</v>
      </c>
      <c r="CB133">
        <v>1690211922</v>
      </c>
      <c r="CC133" t="s">
        <v>332</v>
      </c>
      <c r="CD133">
        <v>1690211915</v>
      </c>
      <c r="CE133">
        <v>1690211922</v>
      </c>
      <c r="CF133">
        <v>6</v>
      </c>
      <c r="CG133">
        <v>1.0999999999999999E-2</v>
      </c>
      <c r="CH133">
        <v>8.0000000000000002E-3</v>
      </c>
      <c r="CI133">
        <v>-0.51100000000000001</v>
      </c>
      <c r="CJ133">
        <v>-6.6000000000000003E-2</v>
      </c>
      <c r="CK133">
        <v>800</v>
      </c>
      <c r="CL133">
        <v>6</v>
      </c>
      <c r="CM133">
        <v>0.21</v>
      </c>
      <c r="CN133">
        <v>0.02</v>
      </c>
      <c r="CO133">
        <v>-373.53324390243898</v>
      </c>
      <c r="CP133">
        <v>-16.584648083624359</v>
      </c>
      <c r="CQ133">
        <v>1.6354962069508541</v>
      </c>
      <c r="CR133">
        <v>-1</v>
      </c>
      <c r="CS133">
        <v>21.07748780487805</v>
      </c>
      <c r="CT133">
        <v>0.6117282229965405</v>
      </c>
      <c r="CU133">
        <v>6.0375379391311733E-2</v>
      </c>
      <c r="CV133">
        <v>-1</v>
      </c>
      <c r="CW133">
        <v>0</v>
      </c>
      <c r="CX133">
        <v>0</v>
      </c>
      <c r="CY133" t="s">
        <v>333</v>
      </c>
      <c r="CZ133">
        <v>2.3643000000000001</v>
      </c>
      <c r="DA133">
        <v>2.7136399999999998</v>
      </c>
      <c r="DB133">
        <v>9.3470399999999995E-2</v>
      </c>
      <c r="DC133">
        <v>0.14605199999999999</v>
      </c>
      <c r="DD133">
        <v>0.124241</v>
      </c>
      <c r="DE133">
        <v>3.9333E-2</v>
      </c>
      <c r="DF133">
        <v>33079.699999999997</v>
      </c>
      <c r="DG133">
        <v>27492.5</v>
      </c>
      <c r="DH133">
        <v>31152.400000000001</v>
      </c>
      <c r="DI133">
        <v>28053.8</v>
      </c>
      <c r="DJ133">
        <v>37026.699999999997</v>
      </c>
      <c r="DK133">
        <v>38319.9</v>
      </c>
      <c r="DL133">
        <v>44329.8</v>
      </c>
      <c r="DM133">
        <v>42513.3</v>
      </c>
      <c r="DN133">
        <v>1.38533</v>
      </c>
      <c r="DO133">
        <v>2.0333199999999998</v>
      </c>
      <c r="DP133">
        <v>8.06563E-2</v>
      </c>
      <c r="DQ133">
        <v>0.18834300000000001</v>
      </c>
      <c r="DR133">
        <v>25.683700000000002</v>
      </c>
      <c r="DS133">
        <v>25.564900000000002</v>
      </c>
      <c r="DT133">
        <v>17.8</v>
      </c>
      <c r="DU133">
        <v>29.7</v>
      </c>
      <c r="DV133">
        <v>7.5215899999999998</v>
      </c>
      <c r="DW133">
        <v>61.581200000000003</v>
      </c>
      <c r="DX133">
        <v>36.314100000000003</v>
      </c>
      <c r="DY133">
        <v>1</v>
      </c>
      <c r="DZ133">
        <v>-8.0292199999999994E-2</v>
      </c>
      <c r="EA133">
        <v>-0.24998400000000001</v>
      </c>
      <c r="EB133">
        <v>20.189599999999999</v>
      </c>
      <c r="EC133">
        <v>5.2408000000000001</v>
      </c>
      <c r="ED133">
        <v>12.039899999999999</v>
      </c>
      <c r="EE133">
        <v>5.0170500000000002</v>
      </c>
      <c r="EF133">
        <v>3.2879999999999998</v>
      </c>
      <c r="EG133">
        <v>9999</v>
      </c>
      <c r="EH133">
        <v>9999</v>
      </c>
      <c r="EI133">
        <v>9999</v>
      </c>
      <c r="EJ133">
        <v>999.9</v>
      </c>
      <c r="EK133">
        <v>1.86893</v>
      </c>
      <c r="EL133">
        <v>1.86466</v>
      </c>
      <c r="EM133">
        <v>1.8692</v>
      </c>
      <c r="EN133">
        <v>1.8672599999999999</v>
      </c>
      <c r="EO133">
        <v>1.8633999999999999</v>
      </c>
      <c r="EP133">
        <v>1.86459</v>
      </c>
      <c r="EQ133">
        <v>1.8701700000000001</v>
      </c>
      <c r="ER133">
        <v>1.86947</v>
      </c>
      <c r="ES133">
        <v>0</v>
      </c>
      <c r="ET133">
        <v>0</v>
      </c>
      <c r="EU133">
        <v>0</v>
      </c>
      <c r="EV133">
        <v>0</v>
      </c>
      <c r="EW133" t="s">
        <v>334</v>
      </c>
      <c r="EX133" t="s">
        <v>335</v>
      </c>
      <c r="EY133" t="s">
        <v>336</v>
      </c>
      <c r="EZ133" t="s">
        <v>336</v>
      </c>
      <c r="FA133" t="s">
        <v>336</v>
      </c>
      <c r="FB133" t="s">
        <v>336</v>
      </c>
      <c r="FC133">
        <v>0</v>
      </c>
      <c r="FD133">
        <v>100</v>
      </c>
      <c r="FE133">
        <v>100</v>
      </c>
      <c r="FF133">
        <v>-0.245</v>
      </c>
      <c r="FG133">
        <v>0.19159999999999999</v>
      </c>
      <c r="FH133">
        <v>4.0020685143421282E-2</v>
      </c>
      <c r="FI133">
        <v>-6.1462078757559423E-4</v>
      </c>
      <c r="FJ133">
        <v>-1.8861989874597051E-7</v>
      </c>
      <c r="FK133">
        <v>1.1980462299894961E-10</v>
      </c>
      <c r="FL133">
        <v>0.19160597004026461</v>
      </c>
      <c r="FM133">
        <v>0</v>
      </c>
      <c r="FN133">
        <v>0</v>
      </c>
      <c r="FO133">
        <v>0</v>
      </c>
      <c r="FP133">
        <v>3</v>
      </c>
      <c r="FQ133">
        <v>2158</v>
      </c>
      <c r="FR133">
        <v>1</v>
      </c>
      <c r="FS133">
        <v>19</v>
      </c>
      <c r="FT133">
        <v>27.7</v>
      </c>
      <c r="FU133">
        <v>27.6</v>
      </c>
      <c r="FV133">
        <v>1.77979</v>
      </c>
      <c r="FW133">
        <v>2.5817899999999998</v>
      </c>
      <c r="FX133">
        <v>1.5490699999999999</v>
      </c>
      <c r="FY133">
        <v>2.3290999999999999</v>
      </c>
      <c r="FZ133">
        <v>1.50146</v>
      </c>
      <c r="GA133">
        <v>2.31812</v>
      </c>
      <c r="GB133">
        <v>33.850900000000003</v>
      </c>
      <c r="GC133">
        <v>23.982399999999998</v>
      </c>
      <c r="GD133">
        <v>19</v>
      </c>
      <c r="GE133">
        <v>246.661</v>
      </c>
      <c r="GF133">
        <v>582.41999999999996</v>
      </c>
      <c r="GG133">
        <v>25.4483</v>
      </c>
      <c r="GH133">
        <v>26.377500000000001</v>
      </c>
      <c r="GI133">
        <v>30.0001</v>
      </c>
      <c r="GJ133">
        <v>26.5259</v>
      </c>
      <c r="GK133">
        <v>26.495799999999999</v>
      </c>
      <c r="GL133">
        <v>35.584899999999998</v>
      </c>
      <c r="GM133">
        <v>-30</v>
      </c>
      <c r="GN133">
        <v>-30</v>
      </c>
      <c r="GO133">
        <v>25.450900000000001</v>
      </c>
      <c r="GP133">
        <v>800</v>
      </c>
      <c r="GQ133">
        <v>12.5298</v>
      </c>
      <c r="GR133">
        <v>99.670400000000001</v>
      </c>
      <c r="GS133">
        <v>99.459500000000006</v>
      </c>
    </row>
    <row r="134" spans="1:201" x14ac:dyDescent="0.25">
      <c r="A134">
        <v>118</v>
      </c>
      <c r="B134">
        <v>1690213585.5999999</v>
      </c>
      <c r="C134">
        <v>1318.099999904633</v>
      </c>
      <c r="D134" t="s">
        <v>567</v>
      </c>
      <c r="E134" t="s">
        <v>568</v>
      </c>
      <c r="F134" t="s">
        <v>330</v>
      </c>
      <c r="H134">
        <v>1690213585.5999999</v>
      </c>
      <c r="I134">
        <f t="shared" si="30"/>
        <v>1.9061007415266218E-3</v>
      </c>
      <c r="J134">
        <f t="shared" si="31"/>
        <v>1.9061007415266218</v>
      </c>
      <c r="K134">
        <f t="shared" si="32"/>
        <v>32.203960476012981</v>
      </c>
      <c r="L134">
        <f t="shared" si="33"/>
        <v>420.82600000000002</v>
      </c>
      <c r="M134">
        <f t="shared" si="34"/>
        <v>74.76212730189782</v>
      </c>
      <c r="N134">
        <f t="shared" si="35"/>
        <v>7.4161255113317202</v>
      </c>
      <c r="O134">
        <f t="shared" si="36"/>
        <v>41.744377093888005</v>
      </c>
      <c r="P134">
        <f t="shared" si="37"/>
        <v>0.15665701219779021</v>
      </c>
      <c r="Q134">
        <f t="shared" si="38"/>
        <v>2.0115589476141231</v>
      </c>
      <c r="R134">
        <f t="shared" si="39"/>
        <v>0.15018104931336554</v>
      </c>
      <c r="S134">
        <f t="shared" si="40"/>
        <v>9.4422687551063575E-2</v>
      </c>
      <c r="T134">
        <f t="shared" si="41"/>
        <v>276.11309695382823</v>
      </c>
      <c r="U134">
        <f t="shared" si="42"/>
        <v>28.56970349885604</v>
      </c>
      <c r="V134">
        <f t="shared" si="43"/>
        <v>28.56970349885604</v>
      </c>
      <c r="W134">
        <f t="shared" si="44"/>
        <v>3.9227138594122359</v>
      </c>
      <c r="X134">
        <f t="shared" si="45"/>
        <v>75.730111479710118</v>
      </c>
      <c r="Y134">
        <f t="shared" si="46"/>
        <v>2.7057771477760002</v>
      </c>
      <c r="Z134">
        <f t="shared" si="47"/>
        <v>3.5729211206838665</v>
      </c>
      <c r="AA134">
        <f t="shared" si="48"/>
        <v>1.2169367116362357</v>
      </c>
      <c r="AB134">
        <f t="shared" si="49"/>
        <v>-84.059042701324017</v>
      </c>
      <c r="AC134">
        <f t="shared" si="50"/>
        <v>-173.45077671546741</v>
      </c>
      <c r="AD134">
        <f t="shared" si="51"/>
        <v>-18.752592577802897</v>
      </c>
      <c r="AE134">
        <f t="shared" si="52"/>
        <v>-0.14931504076608348</v>
      </c>
      <c r="AF134">
        <v>34</v>
      </c>
      <c r="AG134">
        <v>11</v>
      </c>
      <c r="AH134">
        <f t="shared" si="53"/>
        <v>1</v>
      </c>
      <c r="AI134">
        <f t="shared" si="54"/>
        <v>0</v>
      </c>
      <c r="AJ134">
        <f t="shared" si="55"/>
        <v>52382.386311030619</v>
      </c>
      <c r="AK134">
        <f t="shared" si="56"/>
        <v>1799.99</v>
      </c>
      <c r="AL134">
        <f t="shared" si="57"/>
        <v>1499.10700698147</v>
      </c>
      <c r="AM134">
        <f t="shared" si="58"/>
        <v>0.83284185300000002</v>
      </c>
      <c r="AN134">
        <f t="shared" si="59"/>
        <v>0.15339701718000001</v>
      </c>
      <c r="AO134">
        <v>34.5</v>
      </c>
      <c r="AP134">
        <v>0.5</v>
      </c>
      <c r="AQ134" t="s">
        <v>331</v>
      </c>
      <c r="AR134">
        <v>2</v>
      </c>
      <c r="AS134">
        <v>1690213585.5999999</v>
      </c>
      <c r="AT134">
        <v>420.82600000000002</v>
      </c>
      <c r="AU134">
        <v>799.97400000000005</v>
      </c>
      <c r="AV134">
        <v>27.277000000000001</v>
      </c>
      <c r="AW134">
        <v>5.9784699999999997</v>
      </c>
      <c r="AX134">
        <v>421.07</v>
      </c>
      <c r="AY134">
        <v>27.0854</v>
      </c>
      <c r="AZ134">
        <v>300.334</v>
      </c>
      <c r="BA134">
        <v>99.096100000000007</v>
      </c>
      <c r="BB134">
        <v>0.100188</v>
      </c>
      <c r="BC134">
        <v>26.970300000000002</v>
      </c>
      <c r="BD134">
        <v>26.9876</v>
      </c>
      <c r="BE134">
        <v>28.6556</v>
      </c>
      <c r="BF134">
        <v>0</v>
      </c>
      <c r="BG134">
        <v>0</v>
      </c>
      <c r="BH134">
        <v>9995.6200000000008</v>
      </c>
      <c r="BI134">
        <v>1077.03</v>
      </c>
      <c r="BJ134">
        <v>2.0744500000000001</v>
      </c>
      <c r="BK134">
        <v>-379.14800000000002</v>
      </c>
      <c r="BL134">
        <v>432.62700000000001</v>
      </c>
      <c r="BM134">
        <v>804.78499999999997</v>
      </c>
      <c r="BN134">
        <v>21.298500000000001</v>
      </c>
      <c r="BO134">
        <v>799.97400000000005</v>
      </c>
      <c r="BP134">
        <v>5.9784699999999997</v>
      </c>
      <c r="BQ134">
        <v>2.7030400000000001</v>
      </c>
      <c r="BR134">
        <v>0.59244300000000005</v>
      </c>
      <c r="BS134">
        <v>22.303599999999999</v>
      </c>
      <c r="BT134">
        <v>-0.48325800000000002</v>
      </c>
      <c r="BU134">
        <v>1799.99</v>
      </c>
      <c r="BV134">
        <v>0.91002000000000005</v>
      </c>
      <c r="BW134">
        <v>3.3993599999999999E-2</v>
      </c>
      <c r="BX134">
        <v>2.1995899999999999E-2</v>
      </c>
      <c r="BY134">
        <v>3.3990800000000002E-2</v>
      </c>
      <c r="BZ134">
        <v>26</v>
      </c>
      <c r="CA134">
        <v>33528.400000000001</v>
      </c>
      <c r="CB134">
        <v>1690211922</v>
      </c>
      <c r="CC134" t="s">
        <v>332</v>
      </c>
      <c r="CD134">
        <v>1690211915</v>
      </c>
      <c r="CE134">
        <v>1690211922</v>
      </c>
      <c r="CF134">
        <v>6</v>
      </c>
      <c r="CG134">
        <v>1.0999999999999999E-2</v>
      </c>
      <c r="CH134">
        <v>8.0000000000000002E-3</v>
      </c>
      <c r="CI134">
        <v>-0.51100000000000001</v>
      </c>
      <c r="CJ134">
        <v>-6.6000000000000003E-2</v>
      </c>
      <c r="CK134">
        <v>800</v>
      </c>
      <c r="CL134">
        <v>6</v>
      </c>
      <c r="CM134">
        <v>0.21</v>
      </c>
      <c r="CN134">
        <v>0.02</v>
      </c>
      <c r="CO134">
        <v>-376.15022499999998</v>
      </c>
      <c r="CP134">
        <v>-15.65656660412662</v>
      </c>
      <c r="CQ134">
        <v>1.506873625880756</v>
      </c>
      <c r="CR134">
        <v>-1</v>
      </c>
      <c r="CS134">
        <v>21.180507500000001</v>
      </c>
      <c r="CT134">
        <v>0.65535196998121303</v>
      </c>
      <c r="CU134">
        <v>6.3084191314068727E-2</v>
      </c>
      <c r="CV134">
        <v>-1</v>
      </c>
      <c r="CW134">
        <v>0</v>
      </c>
      <c r="CX134">
        <v>0</v>
      </c>
      <c r="CY134" t="s">
        <v>333</v>
      </c>
      <c r="CZ134">
        <v>2.3649</v>
      </c>
      <c r="DA134">
        <v>2.7139799999999998</v>
      </c>
      <c r="DB134">
        <v>9.3032199999999995E-2</v>
      </c>
      <c r="DC134">
        <v>0.14606</v>
      </c>
      <c r="DD134">
        <v>0.124556</v>
      </c>
      <c r="DE134">
        <v>3.93265E-2</v>
      </c>
      <c r="DF134">
        <v>33095.599999999999</v>
      </c>
      <c r="DG134">
        <v>27492.3</v>
      </c>
      <c r="DH134">
        <v>31152.400000000001</v>
      </c>
      <c r="DI134">
        <v>28053.9</v>
      </c>
      <c r="DJ134">
        <v>37013.1</v>
      </c>
      <c r="DK134">
        <v>38320.400000000001</v>
      </c>
      <c r="DL134">
        <v>44329.7</v>
      </c>
      <c r="DM134">
        <v>42513.599999999999</v>
      </c>
      <c r="DN134">
        <v>1.38547</v>
      </c>
      <c r="DO134">
        <v>2.03288</v>
      </c>
      <c r="DP134">
        <v>7.9508899999999993E-2</v>
      </c>
      <c r="DQ134">
        <v>0.188887</v>
      </c>
      <c r="DR134">
        <v>25.6859</v>
      </c>
      <c r="DS134">
        <v>25.567</v>
      </c>
      <c r="DT134">
        <v>17.8</v>
      </c>
      <c r="DU134">
        <v>29.7</v>
      </c>
      <c r="DV134">
        <v>7.5212000000000003</v>
      </c>
      <c r="DW134">
        <v>62.081200000000003</v>
      </c>
      <c r="DX134">
        <v>36.093800000000002</v>
      </c>
      <c r="DY134">
        <v>1</v>
      </c>
      <c r="DZ134">
        <v>-8.0358200000000005E-2</v>
      </c>
      <c r="EA134">
        <v>-0.21416099999999999</v>
      </c>
      <c r="EB134">
        <v>20.189399999999999</v>
      </c>
      <c r="EC134">
        <v>5.24125</v>
      </c>
      <c r="ED134">
        <v>12.039899999999999</v>
      </c>
      <c r="EE134">
        <v>5.0170000000000003</v>
      </c>
      <c r="EF134">
        <v>3.2879999999999998</v>
      </c>
      <c r="EG134">
        <v>9999</v>
      </c>
      <c r="EH134">
        <v>9999</v>
      </c>
      <c r="EI134">
        <v>9999</v>
      </c>
      <c r="EJ134">
        <v>999.9</v>
      </c>
      <c r="EK134">
        <v>1.8689199999999999</v>
      </c>
      <c r="EL134">
        <v>1.8647</v>
      </c>
      <c r="EM134">
        <v>1.8692</v>
      </c>
      <c r="EN134">
        <v>1.8672599999999999</v>
      </c>
      <c r="EO134">
        <v>1.8633999999999999</v>
      </c>
      <c r="EP134">
        <v>1.86459</v>
      </c>
      <c r="EQ134">
        <v>1.8701700000000001</v>
      </c>
      <c r="ER134">
        <v>1.86947</v>
      </c>
      <c r="ES134">
        <v>0</v>
      </c>
      <c r="ET134">
        <v>0</v>
      </c>
      <c r="EU134">
        <v>0</v>
      </c>
      <c r="EV134">
        <v>0</v>
      </c>
      <c r="EW134" t="s">
        <v>334</v>
      </c>
      <c r="EX134" t="s">
        <v>335</v>
      </c>
      <c r="EY134" t="s">
        <v>336</v>
      </c>
      <c r="EZ134" t="s">
        <v>336</v>
      </c>
      <c r="FA134" t="s">
        <v>336</v>
      </c>
      <c r="FB134" t="s">
        <v>336</v>
      </c>
      <c r="FC134">
        <v>0</v>
      </c>
      <c r="FD134">
        <v>100</v>
      </c>
      <c r="FE134">
        <v>100</v>
      </c>
      <c r="FF134">
        <v>-0.24399999999999999</v>
      </c>
      <c r="FG134">
        <v>0.19159999999999999</v>
      </c>
      <c r="FH134">
        <v>4.0020685143421282E-2</v>
      </c>
      <c r="FI134">
        <v>-6.1462078757559423E-4</v>
      </c>
      <c r="FJ134">
        <v>-1.8861989874597051E-7</v>
      </c>
      <c r="FK134">
        <v>1.1980462299894961E-10</v>
      </c>
      <c r="FL134">
        <v>0.19160597004026461</v>
      </c>
      <c r="FM134">
        <v>0</v>
      </c>
      <c r="FN134">
        <v>0</v>
      </c>
      <c r="FO134">
        <v>0</v>
      </c>
      <c r="FP134">
        <v>3</v>
      </c>
      <c r="FQ134">
        <v>2158</v>
      </c>
      <c r="FR134">
        <v>1</v>
      </c>
      <c r="FS134">
        <v>19</v>
      </c>
      <c r="FT134">
        <v>27.8</v>
      </c>
      <c r="FU134">
        <v>27.7</v>
      </c>
      <c r="FV134">
        <v>1.77979</v>
      </c>
      <c r="FW134">
        <v>2.5854499999999998</v>
      </c>
      <c r="FX134">
        <v>1.5490699999999999</v>
      </c>
      <c r="FY134">
        <v>2.3290999999999999</v>
      </c>
      <c r="FZ134">
        <v>1.50146</v>
      </c>
      <c r="GA134">
        <v>2.323</v>
      </c>
      <c r="GB134">
        <v>33.850900000000003</v>
      </c>
      <c r="GC134">
        <v>23.982399999999998</v>
      </c>
      <c r="GD134">
        <v>19</v>
      </c>
      <c r="GE134">
        <v>246.71</v>
      </c>
      <c r="GF134">
        <v>582.02300000000002</v>
      </c>
      <c r="GG134">
        <v>25.446200000000001</v>
      </c>
      <c r="GH134">
        <v>26.376799999999999</v>
      </c>
      <c r="GI134">
        <v>30</v>
      </c>
      <c r="GJ134">
        <v>26.523599999999998</v>
      </c>
      <c r="GK134">
        <v>26.493600000000001</v>
      </c>
      <c r="GL134">
        <v>35.5824</v>
      </c>
      <c r="GM134">
        <v>-30</v>
      </c>
      <c r="GN134">
        <v>-30</v>
      </c>
      <c r="GO134">
        <v>25.446200000000001</v>
      </c>
      <c r="GP134">
        <v>800</v>
      </c>
      <c r="GQ134">
        <v>12.5298</v>
      </c>
      <c r="GR134">
        <v>99.670299999999997</v>
      </c>
      <c r="GS134">
        <v>99.46</v>
      </c>
    </row>
    <row r="135" spans="1:201" x14ac:dyDescent="0.25">
      <c r="A135">
        <v>119</v>
      </c>
      <c r="B135">
        <v>1690213595.5999999</v>
      </c>
      <c r="C135">
        <v>1328.099999904633</v>
      </c>
      <c r="D135" t="s">
        <v>569</v>
      </c>
      <c r="E135" t="s">
        <v>570</v>
      </c>
      <c r="F135" t="s">
        <v>330</v>
      </c>
      <c r="H135">
        <v>1690213595.5999999</v>
      </c>
      <c r="I135">
        <f t="shared" si="30"/>
        <v>1.9145193470294338E-3</v>
      </c>
      <c r="J135">
        <f t="shared" si="31"/>
        <v>1.9145193470294337</v>
      </c>
      <c r="K135">
        <f t="shared" si="32"/>
        <v>32.419898901724764</v>
      </c>
      <c r="L135">
        <f t="shared" si="33"/>
        <v>418.291</v>
      </c>
      <c r="M135">
        <f t="shared" si="34"/>
        <v>74.291278547046673</v>
      </c>
      <c r="N135">
        <f t="shared" si="35"/>
        <v>7.3693574008798697</v>
      </c>
      <c r="O135">
        <f t="shared" si="36"/>
        <v>41.492567322277999</v>
      </c>
      <c r="P135">
        <f t="shared" si="37"/>
        <v>0.15870406319189628</v>
      </c>
      <c r="Q135">
        <f t="shared" si="38"/>
        <v>2.0130560532758635</v>
      </c>
      <c r="R135">
        <f t="shared" si="39"/>
        <v>0.15206632635871359</v>
      </c>
      <c r="S135">
        <f t="shared" si="40"/>
        <v>9.5614693854815219E-2</v>
      </c>
      <c r="T135">
        <f t="shared" si="41"/>
        <v>276.11449428599997</v>
      </c>
      <c r="U135">
        <f t="shared" si="42"/>
        <v>28.567448124296217</v>
      </c>
      <c r="V135">
        <f t="shared" si="43"/>
        <v>28.567448124296217</v>
      </c>
      <c r="W135">
        <f t="shared" si="44"/>
        <v>3.9222003059330759</v>
      </c>
      <c r="X135">
        <f t="shared" si="45"/>
        <v>75.982802758517536</v>
      </c>
      <c r="Y135">
        <f t="shared" si="46"/>
        <v>2.7151086395554</v>
      </c>
      <c r="Z135">
        <f t="shared" si="47"/>
        <v>3.5733199368603721</v>
      </c>
      <c r="AA135">
        <f t="shared" si="48"/>
        <v>1.2070916663776758</v>
      </c>
      <c r="AB135">
        <f t="shared" si="49"/>
        <v>-84.430303203998037</v>
      </c>
      <c r="AC135">
        <f t="shared" si="50"/>
        <v>-173.12889372434702</v>
      </c>
      <c r="AD135">
        <f t="shared" si="51"/>
        <v>-18.703838049941208</v>
      </c>
      <c r="AE135">
        <f t="shared" si="52"/>
        <v>-0.14854069228633193</v>
      </c>
      <c r="AF135">
        <v>34</v>
      </c>
      <c r="AG135">
        <v>11</v>
      </c>
      <c r="AH135">
        <f t="shared" si="53"/>
        <v>1</v>
      </c>
      <c r="AI135">
        <f t="shared" si="54"/>
        <v>0</v>
      </c>
      <c r="AJ135">
        <f t="shared" si="55"/>
        <v>52453.955074255813</v>
      </c>
      <c r="AK135">
        <f t="shared" si="56"/>
        <v>1800</v>
      </c>
      <c r="AL135">
        <f t="shared" si="57"/>
        <v>1499.1150725999996</v>
      </c>
      <c r="AM135">
        <f t="shared" si="58"/>
        <v>0.83284170699999982</v>
      </c>
      <c r="AN135">
        <f t="shared" si="59"/>
        <v>0.15339694126999998</v>
      </c>
      <c r="AO135">
        <v>34.5</v>
      </c>
      <c r="AP135">
        <v>0.5</v>
      </c>
      <c r="AQ135" t="s">
        <v>331</v>
      </c>
      <c r="AR135">
        <v>2</v>
      </c>
      <c r="AS135">
        <v>1690213595.5999999</v>
      </c>
      <c r="AT135">
        <v>418.291</v>
      </c>
      <c r="AU135">
        <v>799.98199999999997</v>
      </c>
      <c r="AV135">
        <v>27.371300000000002</v>
      </c>
      <c r="AW135">
        <v>5.9764299999999997</v>
      </c>
      <c r="AX135">
        <v>418.53300000000002</v>
      </c>
      <c r="AY135">
        <v>27.1797</v>
      </c>
      <c r="AZ135">
        <v>300.27300000000002</v>
      </c>
      <c r="BA135">
        <v>99.095399999999998</v>
      </c>
      <c r="BB135">
        <v>0.10005799999999999</v>
      </c>
      <c r="BC135">
        <v>26.972200000000001</v>
      </c>
      <c r="BD135">
        <v>26.9999</v>
      </c>
      <c r="BE135">
        <v>28.642499999999998</v>
      </c>
      <c r="BF135">
        <v>0</v>
      </c>
      <c r="BG135">
        <v>0</v>
      </c>
      <c r="BH135">
        <v>10010</v>
      </c>
      <c r="BI135">
        <v>1077.03</v>
      </c>
      <c r="BJ135">
        <v>2.0744500000000001</v>
      </c>
      <c r="BK135">
        <v>-381.69099999999997</v>
      </c>
      <c r="BL135">
        <v>430.06200000000001</v>
      </c>
      <c r="BM135">
        <v>804.79100000000005</v>
      </c>
      <c r="BN135">
        <v>21.3948</v>
      </c>
      <c r="BO135">
        <v>799.98199999999997</v>
      </c>
      <c r="BP135">
        <v>5.9764299999999997</v>
      </c>
      <c r="BQ135">
        <v>2.7123699999999999</v>
      </c>
      <c r="BR135">
        <v>0.59223599999999998</v>
      </c>
      <c r="BS135">
        <v>22.360199999999999</v>
      </c>
      <c r="BT135">
        <v>-0.488043</v>
      </c>
      <c r="BU135">
        <v>1800</v>
      </c>
      <c r="BV135">
        <v>0.91002099999999997</v>
      </c>
      <c r="BW135">
        <v>3.3993099999999998E-2</v>
      </c>
      <c r="BX135">
        <v>2.1995600000000001E-2</v>
      </c>
      <c r="BY135">
        <v>3.3990300000000001E-2</v>
      </c>
      <c r="BZ135">
        <v>26</v>
      </c>
      <c r="CA135">
        <v>33528.5</v>
      </c>
      <c r="CB135">
        <v>1690211922</v>
      </c>
      <c r="CC135" t="s">
        <v>332</v>
      </c>
      <c r="CD135">
        <v>1690211915</v>
      </c>
      <c r="CE135">
        <v>1690211922</v>
      </c>
      <c r="CF135">
        <v>6</v>
      </c>
      <c r="CG135">
        <v>1.0999999999999999E-2</v>
      </c>
      <c r="CH135">
        <v>8.0000000000000002E-3</v>
      </c>
      <c r="CI135">
        <v>-0.51100000000000001</v>
      </c>
      <c r="CJ135">
        <v>-6.6000000000000003E-2</v>
      </c>
      <c r="CK135">
        <v>800</v>
      </c>
      <c r="CL135">
        <v>6</v>
      </c>
      <c r="CM135">
        <v>0.21</v>
      </c>
      <c r="CN135">
        <v>0.02</v>
      </c>
      <c r="CO135">
        <v>-379.08737500000001</v>
      </c>
      <c r="CP135">
        <v>-16.09908067542214</v>
      </c>
      <c r="CQ135">
        <v>1.5518253234095021</v>
      </c>
      <c r="CR135">
        <v>-1</v>
      </c>
      <c r="CS135">
        <v>21.296882499999999</v>
      </c>
      <c r="CT135">
        <v>0.6065414634146219</v>
      </c>
      <c r="CU135">
        <v>5.8366916517407288E-2</v>
      </c>
      <c r="CV135">
        <v>-1</v>
      </c>
      <c r="CW135">
        <v>0</v>
      </c>
      <c r="CX135">
        <v>0</v>
      </c>
      <c r="CY135" t="s">
        <v>333</v>
      </c>
      <c r="CZ135">
        <v>2.3646799999999999</v>
      </c>
      <c r="DA135">
        <v>2.7138599999999999</v>
      </c>
      <c r="DB135">
        <v>9.2607599999999998E-2</v>
      </c>
      <c r="DC135">
        <v>0.14606</v>
      </c>
      <c r="DD135">
        <v>0.12485499999999999</v>
      </c>
      <c r="DE135">
        <v>3.9315500000000003E-2</v>
      </c>
      <c r="DF135">
        <v>33111.4</v>
      </c>
      <c r="DG135">
        <v>27492.400000000001</v>
      </c>
      <c r="DH135">
        <v>31152.6</v>
      </c>
      <c r="DI135">
        <v>28054</v>
      </c>
      <c r="DJ135">
        <v>37000.6</v>
      </c>
      <c r="DK135">
        <v>38321</v>
      </c>
      <c r="DL135">
        <v>44330.1</v>
      </c>
      <c r="DM135">
        <v>42513.8</v>
      </c>
      <c r="DN135">
        <v>1.38575</v>
      </c>
      <c r="DO135">
        <v>2.0330699999999999</v>
      </c>
      <c r="DP135">
        <v>8.0395499999999995E-2</v>
      </c>
      <c r="DQ135">
        <v>0.188086</v>
      </c>
      <c r="DR135">
        <v>25.683700000000002</v>
      </c>
      <c r="DS135">
        <v>25.567</v>
      </c>
      <c r="DT135">
        <v>17.8</v>
      </c>
      <c r="DU135">
        <v>29.7</v>
      </c>
      <c r="DV135">
        <v>7.52163</v>
      </c>
      <c r="DW135">
        <v>61.831200000000003</v>
      </c>
      <c r="DX135">
        <v>35.817300000000003</v>
      </c>
      <c r="DY135">
        <v>1</v>
      </c>
      <c r="DZ135">
        <v>-8.0401399999999998E-2</v>
      </c>
      <c r="EA135">
        <v>-0.21506500000000001</v>
      </c>
      <c r="EB135">
        <v>20.189599999999999</v>
      </c>
      <c r="EC135">
        <v>5.2403500000000003</v>
      </c>
      <c r="ED135">
        <v>12.039899999999999</v>
      </c>
      <c r="EE135">
        <v>5.0168999999999997</v>
      </c>
      <c r="EF135">
        <v>3.2879999999999998</v>
      </c>
      <c r="EG135">
        <v>9999</v>
      </c>
      <c r="EH135">
        <v>9999</v>
      </c>
      <c r="EI135">
        <v>9999</v>
      </c>
      <c r="EJ135">
        <v>999.9</v>
      </c>
      <c r="EK135">
        <v>1.8689100000000001</v>
      </c>
      <c r="EL135">
        <v>1.86466</v>
      </c>
      <c r="EM135">
        <v>1.8692</v>
      </c>
      <c r="EN135">
        <v>1.8672599999999999</v>
      </c>
      <c r="EO135">
        <v>1.86341</v>
      </c>
      <c r="EP135">
        <v>1.86459</v>
      </c>
      <c r="EQ135">
        <v>1.8701700000000001</v>
      </c>
      <c r="ER135">
        <v>1.8694500000000001</v>
      </c>
      <c r="ES135">
        <v>0</v>
      </c>
      <c r="ET135">
        <v>0</v>
      </c>
      <c r="EU135">
        <v>0</v>
      </c>
      <c r="EV135">
        <v>0</v>
      </c>
      <c r="EW135" t="s">
        <v>334</v>
      </c>
      <c r="EX135" t="s">
        <v>335</v>
      </c>
      <c r="EY135" t="s">
        <v>336</v>
      </c>
      <c r="EZ135" t="s">
        <v>336</v>
      </c>
      <c r="FA135" t="s">
        <v>336</v>
      </c>
      <c r="FB135" t="s">
        <v>336</v>
      </c>
      <c r="FC135">
        <v>0</v>
      </c>
      <c r="FD135">
        <v>100</v>
      </c>
      <c r="FE135">
        <v>100</v>
      </c>
      <c r="FF135">
        <v>-0.24199999999999999</v>
      </c>
      <c r="FG135">
        <v>0.19159999999999999</v>
      </c>
      <c r="FH135">
        <v>4.0020685143421282E-2</v>
      </c>
      <c r="FI135">
        <v>-6.1462078757559423E-4</v>
      </c>
      <c r="FJ135">
        <v>-1.8861989874597051E-7</v>
      </c>
      <c r="FK135">
        <v>1.1980462299894961E-10</v>
      </c>
      <c r="FL135">
        <v>0.19160597004026461</v>
      </c>
      <c r="FM135">
        <v>0</v>
      </c>
      <c r="FN135">
        <v>0</v>
      </c>
      <c r="FO135">
        <v>0</v>
      </c>
      <c r="FP135">
        <v>3</v>
      </c>
      <c r="FQ135">
        <v>2158</v>
      </c>
      <c r="FR135">
        <v>1</v>
      </c>
      <c r="FS135">
        <v>19</v>
      </c>
      <c r="FT135">
        <v>28</v>
      </c>
      <c r="FU135">
        <v>27.9</v>
      </c>
      <c r="FV135">
        <v>1.77979</v>
      </c>
      <c r="FW135">
        <v>2.5817899999999998</v>
      </c>
      <c r="FX135">
        <v>1.5490699999999999</v>
      </c>
      <c r="FY135">
        <v>2.3290999999999999</v>
      </c>
      <c r="FZ135">
        <v>1.50146</v>
      </c>
      <c r="GA135">
        <v>2.2875999999999999</v>
      </c>
      <c r="GB135">
        <v>33.850900000000003</v>
      </c>
      <c r="GC135">
        <v>23.982399999999998</v>
      </c>
      <c r="GD135">
        <v>19</v>
      </c>
      <c r="GE135">
        <v>246.80799999999999</v>
      </c>
      <c r="GF135">
        <v>582.16300000000001</v>
      </c>
      <c r="GG135">
        <v>25.449400000000001</v>
      </c>
      <c r="GH135">
        <v>26.375299999999999</v>
      </c>
      <c r="GI135">
        <v>30</v>
      </c>
      <c r="GJ135">
        <v>26.5214</v>
      </c>
      <c r="GK135">
        <v>26.491399999999999</v>
      </c>
      <c r="GL135">
        <v>35.5807</v>
      </c>
      <c r="GM135">
        <v>-30</v>
      </c>
      <c r="GN135">
        <v>-30</v>
      </c>
      <c r="GO135">
        <v>25.447399999999998</v>
      </c>
      <c r="GP135">
        <v>800</v>
      </c>
      <c r="GQ135">
        <v>12.5298</v>
      </c>
      <c r="GR135">
        <v>99.671000000000006</v>
      </c>
      <c r="GS135">
        <v>99.460400000000007</v>
      </c>
    </row>
    <row r="136" spans="1:201" x14ac:dyDescent="0.25">
      <c r="A136">
        <v>120</v>
      </c>
      <c r="B136">
        <v>1690213605.5999999</v>
      </c>
      <c r="C136">
        <v>1338.099999904633</v>
      </c>
      <c r="D136" t="s">
        <v>571</v>
      </c>
      <c r="E136" t="s">
        <v>572</v>
      </c>
      <c r="F136" t="s">
        <v>330</v>
      </c>
      <c r="H136">
        <v>1690213605.5999999</v>
      </c>
      <c r="I136">
        <f t="shared" si="30"/>
        <v>1.9216183262168785E-3</v>
      </c>
      <c r="J136">
        <f t="shared" si="31"/>
        <v>1.9216183262168784</v>
      </c>
      <c r="K136">
        <f t="shared" si="32"/>
        <v>32.636376288797159</v>
      </c>
      <c r="L136">
        <f t="shared" si="33"/>
        <v>415.72199999999998</v>
      </c>
      <c r="M136">
        <f t="shared" si="34"/>
        <v>72.850637950046632</v>
      </c>
      <c r="N136">
        <f t="shared" si="35"/>
        <v>7.2263797795311477</v>
      </c>
      <c r="O136">
        <f t="shared" si="36"/>
        <v>41.237319798986391</v>
      </c>
      <c r="P136">
        <f t="shared" si="37"/>
        <v>0.16032484802141217</v>
      </c>
      <c r="Q136">
        <f t="shared" si="38"/>
        <v>2.0123981489267644</v>
      </c>
      <c r="R136">
        <f t="shared" si="39"/>
        <v>0.15355183792150803</v>
      </c>
      <c r="S136">
        <f t="shared" si="40"/>
        <v>9.6554582914861228E-2</v>
      </c>
      <c r="T136">
        <f t="shared" si="41"/>
        <v>276.11427834</v>
      </c>
      <c r="U136">
        <f t="shared" si="42"/>
        <v>28.570802687751389</v>
      </c>
      <c r="V136">
        <f t="shared" si="43"/>
        <v>28.570802687751389</v>
      </c>
      <c r="W136">
        <f t="shared" si="44"/>
        <v>3.9229641682659881</v>
      </c>
      <c r="X136">
        <f t="shared" si="45"/>
        <v>76.184218099803218</v>
      </c>
      <c r="Y136">
        <f t="shared" si="46"/>
        <v>2.7231855433235994</v>
      </c>
      <c r="Z136">
        <f t="shared" si="47"/>
        <v>3.5744746238074647</v>
      </c>
      <c r="AA136">
        <f t="shared" si="48"/>
        <v>1.1997786249423887</v>
      </c>
      <c r="AB136">
        <f t="shared" si="49"/>
        <v>-84.743368186164346</v>
      </c>
      <c r="AC136">
        <f t="shared" si="50"/>
        <v>-172.83954838639261</v>
      </c>
      <c r="AD136">
        <f t="shared" si="51"/>
        <v>-18.679507903051856</v>
      </c>
      <c r="AE136">
        <f t="shared" si="52"/>
        <v>-0.14814613560878342</v>
      </c>
      <c r="AF136">
        <v>34</v>
      </c>
      <c r="AG136">
        <v>11</v>
      </c>
      <c r="AH136">
        <f t="shared" si="53"/>
        <v>1</v>
      </c>
      <c r="AI136">
        <f t="shared" si="54"/>
        <v>0</v>
      </c>
      <c r="AJ136">
        <f t="shared" si="55"/>
        <v>52421.361762767556</v>
      </c>
      <c r="AK136">
        <f t="shared" si="56"/>
        <v>1800</v>
      </c>
      <c r="AL136">
        <f t="shared" si="57"/>
        <v>1499.114808</v>
      </c>
      <c r="AM136">
        <f t="shared" si="58"/>
        <v>0.83284155999999998</v>
      </c>
      <c r="AN136">
        <f t="shared" si="59"/>
        <v>0.15339682130000001</v>
      </c>
      <c r="AO136">
        <v>34.5</v>
      </c>
      <c r="AP136">
        <v>0.5</v>
      </c>
      <c r="AQ136" t="s">
        <v>331</v>
      </c>
      <c r="AR136">
        <v>2</v>
      </c>
      <c r="AS136">
        <v>1690213605.5999999</v>
      </c>
      <c r="AT136">
        <v>415.72199999999998</v>
      </c>
      <c r="AU136">
        <v>799.98</v>
      </c>
      <c r="AV136">
        <v>27.452999999999999</v>
      </c>
      <c r="AW136">
        <v>5.9748799999999997</v>
      </c>
      <c r="AX136">
        <v>415.96199999999999</v>
      </c>
      <c r="AY136">
        <v>27.261399999999998</v>
      </c>
      <c r="AZ136">
        <v>300.19299999999998</v>
      </c>
      <c r="BA136">
        <v>99.094499999999996</v>
      </c>
      <c r="BB136">
        <v>9.99612E-2</v>
      </c>
      <c r="BC136">
        <v>26.977699999999999</v>
      </c>
      <c r="BD136">
        <v>26.990500000000001</v>
      </c>
      <c r="BE136">
        <v>28.651199999999999</v>
      </c>
      <c r="BF136">
        <v>0</v>
      </c>
      <c r="BG136">
        <v>0</v>
      </c>
      <c r="BH136">
        <v>10003.799999999999</v>
      </c>
      <c r="BI136">
        <v>1077.02</v>
      </c>
      <c r="BJ136">
        <v>2.0744500000000001</v>
      </c>
      <c r="BK136">
        <v>-384.25799999999998</v>
      </c>
      <c r="BL136">
        <v>427.45699999999999</v>
      </c>
      <c r="BM136">
        <v>804.78899999999999</v>
      </c>
      <c r="BN136">
        <v>21.478100000000001</v>
      </c>
      <c r="BO136">
        <v>799.98</v>
      </c>
      <c r="BP136">
        <v>5.9748799999999997</v>
      </c>
      <c r="BQ136">
        <v>2.72044</v>
      </c>
      <c r="BR136">
        <v>0.59207799999999999</v>
      </c>
      <c r="BS136">
        <v>22.409099999999999</v>
      </c>
      <c r="BT136">
        <v>-0.491705</v>
      </c>
      <c r="BU136">
        <v>1800</v>
      </c>
      <c r="BV136">
        <v>0.91002300000000003</v>
      </c>
      <c r="BW136">
        <v>3.39922E-2</v>
      </c>
      <c r="BX136">
        <v>2.1995000000000001E-2</v>
      </c>
      <c r="BY136">
        <v>3.3989400000000003E-2</v>
      </c>
      <c r="BZ136">
        <v>26</v>
      </c>
      <c r="CA136">
        <v>33528.5</v>
      </c>
      <c r="CB136">
        <v>1690211922</v>
      </c>
      <c r="CC136" t="s">
        <v>332</v>
      </c>
      <c r="CD136">
        <v>1690211915</v>
      </c>
      <c r="CE136">
        <v>1690211922</v>
      </c>
      <c r="CF136">
        <v>6</v>
      </c>
      <c r="CG136">
        <v>1.0999999999999999E-2</v>
      </c>
      <c r="CH136">
        <v>8.0000000000000002E-3</v>
      </c>
      <c r="CI136">
        <v>-0.51100000000000001</v>
      </c>
      <c r="CJ136">
        <v>-6.6000000000000003E-2</v>
      </c>
      <c r="CK136">
        <v>800</v>
      </c>
      <c r="CL136">
        <v>6</v>
      </c>
      <c r="CM136">
        <v>0.21</v>
      </c>
      <c r="CN136">
        <v>0.02</v>
      </c>
      <c r="CO136">
        <v>-381.44417499999997</v>
      </c>
      <c r="CP136">
        <v>-15.021399624765049</v>
      </c>
      <c r="CQ136">
        <v>1.447060466730741</v>
      </c>
      <c r="CR136">
        <v>-1</v>
      </c>
      <c r="CS136">
        <v>21.383027500000001</v>
      </c>
      <c r="CT136">
        <v>0.5467575984990326</v>
      </c>
      <c r="CU136">
        <v>5.2665429778461018E-2</v>
      </c>
      <c r="CV136">
        <v>-1</v>
      </c>
      <c r="CW136">
        <v>0</v>
      </c>
      <c r="CX136">
        <v>0</v>
      </c>
      <c r="CY136" t="s">
        <v>333</v>
      </c>
      <c r="CZ136">
        <v>2.3644400000000001</v>
      </c>
      <c r="DA136">
        <v>2.7137600000000002</v>
      </c>
      <c r="DB136">
        <v>9.2175800000000002E-2</v>
      </c>
      <c r="DC136">
        <v>0.14605899999999999</v>
      </c>
      <c r="DD136">
        <v>0.125114</v>
      </c>
      <c r="DE136">
        <v>3.9306899999999999E-2</v>
      </c>
      <c r="DF136">
        <v>33126.800000000003</v>
      </c>
      <c r="DG136">
        <v>27493.200000000001</v>
      </c>
      <c r="DH136">
        <v>31152.2</v>
      </c>
      <c r="DI136">
        <v>28054.7</v>
      </c>
      <c r="DJ136">
        <v>36989</v>
      </c>
      <c r="DK136">
        <v>38322</v>
      </c>
      <c r="DL136">
        <v>44329.599999999999</v>
      </c>
      <c r="DM136">
        <v>42514.5</v>
      </c>
      <c r="DN136">
        <v>1.3851500000000001</v>
      </c>
      <c r="DO136">
        <v>2.0331999999999999</v>
      </c>
      <c r="DP136">
        <v>7.9821799999999998E-2</v>
      </c>
      <c r="DQ136">
        <v>0.18861900000000001</v>
      </c>
      <c r="DR136">
        <v>25.683700000000002</v>
      </c>
      <c r="DS136">
        <v>25.567</v>
      </c>
      <c r="DT136">
        <v>17.8</v>
      </c>
      <c r="DU136">
        <v>29.7</v>
      </c>
      <c r="DV136">
        <v>7.5200199999999997</v>
      </c>
      <c r="DW136">
        <v>61.5212</v>
      </c>
      <c r="DX136">
        <v>36.021599999999999</v>
      </c>
      <c r="DY136">
        <v>1</v>
      </c>
      <c r="DZ136">
        <v>-8.0500500000000003E-2</v>
      </c>
      <c r="EA136">
        <v>-0.21419099999999999</v>
      </c>
      <c r="EB136">
        <v>20.189699999999998</v>
      </c>
      <c r="EC136">
        <v>5.2408000000000001</v>
      </c>
      <c r="ED136">
        <v>12.039899999999999</v>
      </c>
      <c r="EE136">
        <v>5.0168999999999997</v>
      </c>
      <c r="EF136">
        <v>3.2879999999999998</v>
      </c>
      <c r="EG136">
        <v>9999</v>
      </c>
      <c r="EH136">
        <v>9999</v>
      </c>
      <c r="EI136">
        <v>9999</v>
      </c>
      <c r="EJ136">
        <v>999.9</v>
      </c>
      <c r="EK136">
        <v>1.8689100000000001</v>
      </c>
      <c r="EL136">
        <v>1.86469</v>
      </c>
      <c r="EM136">
        <v>1.8692</v>
      </c>
      <c r="EN136">
        <v>1.86724</v>
      </c>
      <c r="EO136">
        <v>1.8633999999999999</v>
      </c>
      <c r="EP136">
        <v>1.86456</v>
      </c>
      <c r="EQ136">
        <v>1.8701700000000001</v>
      </c>
      <c r="ER136">
        <v>1.86947</v>
      </c>
      <c r="ES136">
        <v>0</v>
      </c>
      <c r="ET136">
        <v>0</v>
      </c>
      <c r="EU136">
        <v>0</v>
      </c>
      <c r="EV136">
        <v>0</v>
      </c>
      <c r="EW136" t="s">
        <v>334</v>
      </c>
      <c r="EX136" t="s">
        <v>335</v>
      </c>
      <c r="EY136" t="s">
        <v>336</v>
      </c>
      <c r="EZ136" t="s">
        <v>336</v>
      </c>
      <c r="FA136" t="s">
        <v>336</v>
      </c>
      <c r="FB136" t="s">
        <v>336</v>
      </c>
      <c r="FC136">
        <v>0</v>
      </c>
      <c r="FD136">
        <v>100</v>
      </c>
      <c r="FE136">
        <v>100</v>
      </c>
      <c r="FF136">
        <v>-0.24</v>
      </c>
      <c r="FG136">
        <v>0.19159999999999999</v>
      </c>
      <c r="FH136">
        <v>4.0020685143421282E-2</v>
      </c>
      <c r="FI136">
        <v>-6.1462078757559423E-4</v>
      </c>
      <c r="FJ136">
        <v>-1.8861989874597051E-7</v>
      </c>
      <c r="FK136">
        <v>1.1980462299894961E-10</v>
      </c>
      <c r="FL136">
        <v>0.19160597004026461</v>
      </c>
      <c r="FM136">
        <v>0</v>
      </c>
      <c r="FN136">
        <v>0</v>
      </c>
      <c r="FO136">
        <v>0</v>
      </c>
      <c r="FP136">
        <v>3</v>
      </c>
      <c r="FQ136">
        <v>2158</v>
      </c>
      <c r="FR136">
        <v>1</v>
      </c>
      <c r="FS136">
        <v>19</v>
      </c>
      <c r="FT136">
        <v>28.2</v>
      </c>
      <c r="FU136">
        <v>28.1</v>
      </c>
      <c r="FV136">
        <v>1.77979</v>
      </c>
      <c r="FW136">
        <v>2.5830099999999998</v>
      </c>
      <c r="FX136">
        <v>1.5490699999999999</v>
      </c>
      <c r="FY136">
        <v>2.3290999999999999</v>
      </c>
      <c r="FZ136">
        <v>1.50146</v>
      </c>
      <c r="GA136">
        <v>2.2863799999999999</v>
      </c>
      <c r="GB136">
        <v>33.850900000000003</v>
      </c>
      <c r="GC136">
        <v>23.982399999999998</v>
      </c>
      <c r="GD136">
        <v>19</v>
      </c>
      <c r="GE136">
        <v>246.572</v>
      </c>
      <c r="GF136">
        <v>582.26599999999996</v>
      </c>
      <c r="GG136">
        <v>25.446400000000001</v>
      </c>
      <c r="GH136">
        <v>26.373100000000001</v>
      </c>
      <c r="GI136">
        <v>29.9999</v>
      </c>
      <c r="GJ136">
        <v>26.520099999999999</v>
      </c>
      <c r="GK136">
        <v>26.491399999999999</v>
      </c>
      <c r="GL136">
        <v>35.581299999999999</v>
      </c>
      <c r="GM136">
        <v>-30</v>
      </c>
      <c r="GN136">
        <v>-30</v>
      </c>
      <c r="GO136">
        <v>25.447099999999999</v>
      </c>
      <c r="GP136">
        <v>800</v>
      </c>
      <c r="GQ136">
        <v>12.5298</v>
      </c>
      <c r="GR136">
        <v>99.669899999999998</v>
      </c>
      <c r="GS136">
        <v>99.462500000000006</v>
      </c>
    </row>
    <row r="137" spans="1:201" x14ac:dyDescent="0.25">
      <c r="A137">
        <v>121</v>
      </c>
      <c r="B137">
        <v>1690213615.5999999</v>
      </c>
      <c r="C137">
        <v>1348.099999904633</v>
      </c>
      <c r="D137" t="s">
        <v>573</v>
      </c>
      <c r="E137" t="s">
        <v>574</v>
      </c>
      <c r="F137" t="s">
        <v>330</v>
      </c>
      <c r="H137">
        <v>1690213615.5999999</v>
      </c>
      <c r="I137">
        <f t="shared" si="30"/>
        <v>1.9291665462492591E-3</v>
      </c>
      <c r="J137">
        <f t="shared" si="31"/>
        <v>1.9291665462492591</v>
      </c>
      <c r="K137">
        <f t="shared" si="32"/>
        <v>32.84600645810449</v>
      </c>
      <c r="L137">
        <f t="shared" si="33"/>
        <v>413.322</v>
      </c>
      <c r="M137">
        <f t="shared" si="34"/>
        <v>72.654645559893538</v>
      </c>
      <c r="N137">
        <f t="shared" si="35"/>
        <v>7.2065784016909324</v>
      </c>
      <c r="O137">
        <f t="shared" si="36"/>
        <v>40.997204998931998</v>
      </c>
      <c r="P137">
        <f t="shared" si="37"/>
        <v>0.16245928683695457</v>
      </c>
      <c r="Q137">
        <f t="shared" si="38"/>
        <v>2.0123453426435893</v>
      </c>
      <c r="R137">
        <f t="shared" si="39"/>
        <v>0.15550876385942802</v>
      </c>
      <c r="S137">
        <f t="shared" si="40"/>
        <v>9.7792673607643626E-2</v>
      </c>
      <c r="T137">
        <f t="shared" si="41"/>
        <v>276.114471192</v>
      </c>
      <c r="U137">
        <f t="shared" si="42"/>
        <v>28.560582443040147</v>
      </c>
      <c r="V137">
        <f t="shared" si="43"/>
        <v>28.560582443040147</v>
      </c>
      <c r="W137">
        <f t="shared" si="44"/>
        <v>3.9206373369650267</v>
      </c>
      <c r="X137">
        <f t="shared" si="45"/>
        <v>76.447736128746612</v>
      </c>
      <c r="Y137">
        <f t="shared" si="46"/>
        <v>2.7314012646231993</v>
      </c>
      <c r="Z137">
        <f t="shared" si="47"/>
        <v>3.5729001314351696</v>
      </c>
      <c r="AA137">
        <f t="shared" si="48"/>
        <v>1.1892360723418274</v>
      </c>
      <c r="AB137">
        <f t="shared" si="49"/>
        <v>-85.076244689592329</v>
      </c>
      <c r="AC137">
        <f t="shared" si="50"/>
        <v>-172.53989483699462</v>
      </c>
      <c r="AD137">
        <f t="shared" si="51"/>
        <v>-18.64596404866888</v>
      </c>
      <c r="AE137">
        <f t="shared" si="52"/>
        <v>-0.14763238325582506</v>
      </c>
      <c r="AF137">
        <v>34</v>
      </c>
      <c r="AG137">
        <v>11</v>
      </c>
      <c r="AH137">
        <f t="shared" si="53"/>
        <v>1</v>
      </c>
      <c r="AI137">
        <f t="shared" si="54"/>
        <v>0</v>
      </c>
      <c r="AJ137">
        <f t="shared" si="55"/>
        <v>52420.027342139481</v>
      </c>
      <c r="AK137">
        <f t="shared" si="56"/>
        <v>1800</v>
      </c>
      <c r="AL137">
        <f t="shared" si="57"/>
        <v>1499.1163181999998</v>
      </c>
      <c r="AM137">
        <f t="shared" si="58"/>
        <v>0.8328423989999999</v>
      </c>
      <c r="AN137">
        <f t="shared" si="59"/>
        <v>0.15339692844</v>
      </c>
      <c r="AO137">
        <v>34.5</v>
      </c>
      <c r="AP137">
        <v>0.5</v>
      </c>
      <c r="AQ137" t="s">
        <v>331</v>
      </c>
      <c r="AR137">
        <v>2</v>
      </c>
      <c r="AS137">
        <v>1690213615.5999999</v>
      </c>
      <c r="AT137">
        <v>413.322</v>
      </c>
      <c r="AU137">
        <v>800.02099999999996</v>
      </c>
      <c r="AV137">
        <v>27.537199999999999</v>
      </c>
      <c r="AW137">
        <v>5.9738499999999997</v>
      </c>
      <c r="AX137">
        <v>413.56</v>
      </c>
      <c r="AY137">
        <v>27.345600000000001</v>
      </c>
      <c r="AZ137">
        <v>300.15499999999997</v>
      </c>
      <c r="BA137">
        <v>99.089500000000001</v>
      </c>
      <c r="BB137">
        <v>0.100006</v>
      </c>
      <c r="BC137">
        <v>26.970199999999998</v>
      </c>
      <c r="BD137">
        <v>26.9907</v>
      </c>
      <c r="BE137">
        <v>28.658799999999999</v>
      </c>
      <c r="BF137">
        <v>0</v>
      </c>
      <c r="BG137">
        <v>0</v>
      </c>
      <c r="BH137">
        <v>10003.799999999999</v>
      </c>
      <c r="BI137">
        <v>1077.06</v>
      </c>
      <c r="BJ137">
        <v>2.0744500000000001</v>
      </c>
      <c r="BK137">
        <v>-386.69900000000001</v>
      </c>
      <c r="BL137">
        <v>425.02600000000001</v>
      </c>
      <c r="BM137">
        <v>804.82899999999995</v>
      </c>
      <c r="BN137">
        <v>21.563400000000001</v>
      </c>
      <c r="BO137">
        <v>800.02099999999996</v>
      </c>
      <c r="BP137">
        <v>5.9738499999999997</v>
      </c>
      <c r="BQ137">
        <v>2.72865</v>
      </c>
      <c r="BR137">
        <v>0.59194599999999997</v>
      </c>
      <c r="BS137">
        <v>22.4587</v>
      </c>
      <c r="BT137">
        <v>-0.49475799999999998</v>
      </c>
      <c r="BU137">
        <v>1800</v>
      </c>
      <c r="BV137">
        <v>0.91002499999999997</v>
      </c>
      <c r="BW137">
        <v>3.3991800000000003E-2</v>
      </c>
      <c r="BX137">
        <v>2.1994699999999999E-2</v>
      </c>
      <c r="BY137">
        <v>3.3988999999999998E-2</v>
      </c>
      <c r="BZ137">
        <v>26</v>
      </c>
      <c r="CA137">
        <v>33528.5</v>
      </c>
      <c r="CB137">
        <v>1690211922</v>
      </c>
      <c r="CC137" t="s">
        <v>332</v>
      </c>
      <c r="CD137">
        <v>1690211915</v>
      </c>
      <c r="CE137">
        <v>1690211922</v>
      </c>
      <c r="CF137">
        <v>6</v>
      </c>
      <c r="CG137">
        <v>1.0999999999999999E-2</v>
      </c>
      <c r="CH137">
        <v>8.0000000000000002E-3</v>
      </c>
      <c r="CI137">
        <v>-0.51100000000000001</v>
      </c>
      <c r="CJ137">
        <v>-6.6000000000000003E-2</v>
      </c>
      <c r="CK137">
        <v>800</v>
      </c>
      <c r="CL137">
        <v>6</v>
      </c>
      <c r="CM137">
        <v>0.21</v>
      </c>
      <c r="CN137">
        <v>0.02</v>
      </c>
      <c r="CO137">
        <v>-383.96944999999999</v>
      </c>
      <c r="CP137">
        <v>-15.403429643526801</v>
      </c>
      <c r="CQ137">
        <v>1.4825636740120129</v>
      </c>
      <c r="CR137">
        <v>-1</v>
      </c>
      <c r="CS137">
        <v>21.469550000000002</v>
      </c>
      <c r="CT137">
        <v>0.50434446529077259</v>
      </c>
      <c r="CU137">
        <v>4.8534034450064011E-2</v>
      </c>
      <c r="CV137">
        <v>-1</v>
      </c>
      <c r="CW137">
        <v>0</v>
      </c>
      <c r="CX137">
        <v>0</v>
      </c>
      <c r="CY137" t="s">
        <v>333</v>
      </c>
      <c r="CZ137">
        <v>2.3643200000000002</v>
      </c>
      <c r="DA137">
        <v>2.7138</v>
      </c>
      <c r="DB137">
        <v>9.1767600000000005E-2</v>
      </c>
      <c r="DC137">
        <v>0.14605699999999999</v>
      </c>
      <c r="DD137">
        <v>0.12537499999999999</v>
      </c>
      <c r="DE137">
        <v>3.9299599999999997E-2</v>
      </c>
      <c r="DF137">
        <v>33142.5</v>
      </c>
      <c r="DG137">
        <v>27493.3</v>
      </c>
      <c r="DH137">
        <v>31153</v>
      </c>
      <c r="DI137">
        <v>28054.799999999999</v>
      </c>
      <c r="DJ137">
        <v>36978.6</v>
      </c>
      <c r="DK137">
        <v>38322.6</v>
      </c>
      <c r="DL137">
        <v>44330.6</v>
      </c>
      <c r="DM137">
        <v>42514.8</v>
      </c>
      <c r="DN137">
        <v>1.3853200000000001</v>
      </c>
      <c r="DO137">
        <v>2.03315</v>
      </c>
      <c r="DP137">
        <v>7.9833000000000001E-2</v>
      </c>
      <c r="DQ137">
        <v>0.18895400000000001</v>
      </c>
      <c r="DR137">
        <v>25.683700000000002</v>
      </c>
      <c r="DS137">
        <v>25.569199999999999</v>
      </c>
      <c r="DT137">
        <v>17.8</v>
      </c>
      <c r="DU137">
        <v>29.7</v>
      </c>
      <c r="DV137">
        <v>7.5221099999999996</v>
      </c>
      <c r="DW137">
        <v>61.811199999999999</v>
      </c>
      <c r="DX137">
        <v>35.909500000000001</v>
      </c>
      <c r="DY137">
        <v>1</v>
      </c>
      <c r="DZ137">
        <v>-8.0830799999999994E-2</v>
      </c>
      <c r="EA137">
        <v>-0.23402000000000001</v>
      </c>
      <c r="EB137">
        <v>20.189499999999999</v>
      </c>
      <c r="EC137">
        <v>5.2411000000000003</v>
      </c>
      <c r="ED137">
        <v>12.039899999999999</v>
      </c>
      <c r="EE137">
        <v>5.0168499999999998</v>
      </c>
      <c r="EF137">
        <v>3.2879999999999998</v>
      </c>
      <c r="EG137">
        <v>9999</v>
      </c>
      <c r="EH137">
        <v>9999</v>
      </c>
      <c r="EI137">
        <v>9999</v>
      </c>
      <c r="EJ137">
        <v>999.9</v>
      </c>
      <c r="EK137">
        <v>1.8689100000000001</v>
      </c>
      <c r="EL137">
        <v>1.86469</v>
      </c>
      <c r="EM137">
        <v>1.8692</v>
      </c>
      <c r="EN137">
        <v>1.8672500000000001</v>
      </c>
      <c r="EO137">
        <v>1.8633999999999999</v>
      </c>
      <c r="EP137">
        <v>1.8645799999999999</v>
      </c>
      <c r="EQ137">
        <v>1.8701700000000001</v>
      </c>
      <c r="ER137">
        <v>1.86948</v>
      </c>
      <c r="ES137">
        <v>0</v>
      </c>
      <c r="ET137">
        <v>0</v>
      </c>
      <c r="EU137">
        <v>0</v>
      </c>
      <c r="EV137">
        <v>0</v>
      </c>
      <c r="EW137" t="s">
        <v>334</v>
      </c>
      <c r="EX137" t="s">
        <v>335</v>
      </c>
      <c r="EY137" t="s">
        <v>336</v>
      </c>
      <c r="EZ137" t="s">
        <v>336</v>
      </c>
      <c r="FA137" t="s">
        <v>336</v>
      </c>
      <c r="FB137" t="s">
        <v>336</v>
      </c>
      <c r="FC137">
        <v>0</v>
      </c>
      <c r="FD137">
        <v>100</v>
      </c>
      <c r="FE137">
        <v>100</v>
      </c>
      <c r="FF137">
        <v>-0.23799999999999999</v>
      </c>
      <c r="FG137">
        <v>0.19159999999999999</v>
      </c>
      <c r="FH137">
        <v>4.0020685143421282E-2</v>
      </c>
      <c r="FI137">
        <v>-6.1462078757559423E-4</v>
      </c>
      <c r="FJ137">
        <v>-1.8861989874597051E-7</v>
      </c>
      <c r="FK137">
        <v>1.1980462299894961E-10</v>
      </c>
      <c r="FL137">
        <v>0.19160597004026461</v>
      </c>
      <c r="FM137">
        <v>0</v>
      </c>
      <c r="FN137">
        <v>0</v>
      </c>
      <c r="FO137">
        <v>0</v>
      </c>
      <c r="FP137">
        <v>3</v>
      </c>
      <c r="FQ137">
        <v>2158</v>
      </c>
      <c r="FR137">
        <v>1</v>
      </c>
      <c r="FS137">
        <v>19</v>
      </c>
      <c r="FT137">
        <v>28.3</v>
      </c>
      <c r="FU137">
        <v>28.2</v>
      </c>
      <c r="FV137">
        <v>1.77979</v>
      </c>
      <c r="FW137">
        <v>2.5842299999999998</v>
      </c>
      <c r="FX137">
        <v>1.5490699999999999</v>
      </c>
      <c r="FY137">
        <v>2.3290999999999999</v>
      </c>
      <c r="FZ137">
        <v>1.50146</v>
      </c>
      <c r="GA137">
        <v>2.2631800000000002</v>
      </c>
      <c r="GB137">
        <v>33.850900000000003</v>
      </c>
      <c r="GC137">
        <v>23.982399999999998</v>
      </c>
      <c r="GD137">
        <v>19</v>
      </c>
      <c r="GE137">
        <v>246.63499999999999</v>
      </c>
      <c r="GF137">
        <v>582.20000000000005</v>
      </c>
      <c r="GG137">
        <v>25.451899999999998</v>
      </c>
      <c r="GH137">
        <v>26.371200000000002</v>
      </c>
      <c r="GI137">
        <v>30.0001</v>
      </c>
      <c r="GJ137">
        <v>26.5184</v>
      </c>
      <c r="GK137">
        <v>26.4892</v>
      </c>
      <c r="GL137">
        <v>35.579599999999999</v>
      </c>
      <c r="GM137">
        <v>-30</v>
      </c>
      <c r="GN137">
        <v>-30</v>
      </c>
      <c r="GO137">
        <v>25.453900000000001</v>
      </c>
      <c r="GP137">
        <v>800</v>
      </c>
      <c r="GQ137">
        <v>12.5298</v>
      </c>
      <c r="GR137">
        <v>99.672200000000004</v>
      </c>
      <c r="GS137">
        <v>99.462999999999994</v>
      </c>
    </row>
    <row r="138" spans="1:201" x14ac:dyDescent="0.25">
      <c r="A138">
        <v>122</v>
      </c>
      <c r="B138">
        <v>1690213625.5999999</v>
      </c>
      <c r="C138">
        <v>1358.099999904633</v>
      </c>
      <c r="D138" t="s">
        <v>575</v>
      </c>
      <c r="E138" t="s">
        <v>576</v>
      </c>
      <c r="F138" t="s">
        <v>330</v>
      </c>
      <c r="H138">
        <v>1690213625.5999999</v>
      </c>
      <c r="I138">
        <f t="shared" si="30"/>
        <v>1.9370291171044102E-3</v>
      </c>
      <c r="J138">
        <f t="shared" si="31"/>
        <v>1.9370291171044103</v>
      </c>
      <c r="K138">
        <f t="shared" si="32"/>
        <v>33.059748031657286</v>
      </c>
      <c r="L138">
        <f t="shared" si="33"/>
        <v>410.85500000000002</v>
      </c>
      <c r="M138">
        <f t="shared" si="34"/>
        <v>71.549532841152015</v>
      </c>
      <c r="N138">
        <f t="shared" si="35"/>
        <v>7.0974440377376737</v>
      </c>
      <c r="O138">
        <f t="shared" si="36"/>
        <v>40.755267775103498</v>
      </c>
      <c r="P138">
        <f t="shared" si="37"/>
        <v>0.16421880830203228</v>
      </c>
      <c r="Q138">
        <f t="shared" si="38"/>
        <v>2.011299272983039</v>
      </c>
      <c r="R138">
        <f t="shared" si="39"/>
        <v>0.15711692999461627</v>
      </c>
      <c r="S138">
        <f t="shared" si="40"/>
        <v>9.8810561838455893E-2</v>
      </c>
      <c r="T138">
        <f t="shared" si="41"/>
        <v>276.11293232674285</v>
      </c>
      <c r="U138">
        <f t="shared" si="42"/>
        <v>28.565617626277689</v>
      </c>
      <c r="V138">
        <f t="shared" si="43"/>
        <v>28.565617626277689</v>
      </c>
      <c r="W138">
        <f t="shared" si="44"/>
        <v>3.9217835408371857</v>
      </c>
      <c r="X138">
        <f t="shared" si="45"/>
        <v>76.653150154406589</v>
      </c>
      <c r="Y138">
        <f t="shared" si="46"/>
        <v>2.7398991157857</v>
      </c>
      <c r="Z138">
        <f t="shared" si="47"/>
        <v>3.5744116324855182</v>
      </c>
      <c r="AA138">
        <f t="shared" si="48"/>
        <v>1.1818844250514857</v>
      </c>
      <c r="AB138">
        <f t="shared" si="49"/>
        <v>-85.422984064304487</v>
      </c>
      <c r="AC138">
        <f t="shared" si="50"/>
        <v>-172.21546615762065</v>
      </c>
      <c r="AD138">
        <f t="shared" si="51"/>
        <v>-18.621719197047302</v>
      </c>
      <c r="AE138">
        <f t="shared" si="52"/>
        <v>-0.14723709222960224</v>
      </c>
      <c r="AF138">
        <v>34</v>
      </c>
      <c r="AG138">
        <v>11</v>
      </c>
      <c r="AH138">
        <f t="shared" si="53"/>
        <v>1</v>
      </c>
      <c r="AI138">
        <f t="shared" si="54"/>
        <v>0</v>
      </c>
      <c r="AJ138">
        <f t="shared" si="55"/>
        <v>52368.684802678639</v>
      </c>
      <c r="AK138">
        <f t="shared" si="56"/>
        <v>1799.99</v>
      </c>
      <c r="AL138">
        <f t="shared" si="57"/>
        <v>1499.10633018523</v>
      </c>
      <c r="AM138">
        <f t="shared" si="58"/>
        <v>0.832841477</v>
      </c>
      <c r="AN138">
        <f t="shared" si="59"/>
        <v>0.15339692572000002</v>
      </c>
      <c r="AO138">
        <v>34.5</v>
      </c>
      <c r="AP138">
        <v>0.5</v>
      </c>
      <c r="AQ138" t="s">
        <v>331</v>
      </c>
      <c r="AR138">
        <v>2</v>
      </c>
      <c r="AS138">
        <v>1690213625.5999999</v>
      </c>
      <c r="AT138">
        <v>410.85500000000002</v>
      </c>
      <c r="AU138">
        <v>799.98800000000006</v>
      </c>
      <c r="AV138">
        <v>27.620999999999999</v>
      </c>
      <c r="AW138">
        <v>5.9719199999999999</v>
      </c>
      <c r="AX138">
        <v>411.09100000000001</v>
      </c>
      <c r="AY138">
        <v>27.429400000000001</v>
      </c>
      <c r="AZ138">
        <v>300.15899999999999</v>
      </c>
      <c r="BA138">
        <v>99.096299999999999</v>
      </c>
      <c r="BB138">
        <v>9.9931699999999998E-2</v>
      </c>
      <c r="BC138">
        <v>26.977399999999999</v>
      </c>
      <c r="BD138">
        <v>27.003399999999999</v>
      </c>
      <c r="BE138">
        <v>28.631599999999999</v>
      </c>
      <c r="BF138">
        <v>0</v>
      </c>
      <c r="BG138">
        <v>0</v>
      </c>
      <c r="BH138">
        <v>9993.1200000000008</v>
      </c>
      <c r="BI138">
        <v>1077.0899999999999</v>
      </c>
      <c r="BJ138">
        <v>2.0744500000000001</v>
      </c>
      <c r="BK138">
        <v>-389.13299999999998</v>
      </c>
      <c r="BL138">
        <v>422.52600000000001</v>
      </c>
      <c r="BM138">
        <v>804.79399999999998</v>
      </c>
      <c r="BN138">
        <v>21.649100000000001</v>
      </c>
      <c r="BO138">
        <v>799.98800000000006</v>
      </c>
      <c r="BP138">
        <v>5.9719199999999999</v>
      </c>
      <c r="BQ138">
        <v>2.7371400000000001</v>
      </c>
      <c r="BR138">
        <v>0.59179499999999996</v>
      </c>
      <c r="BS138">
        <v>22.509799999999998</v>
      </c>
      <c r="BT138">
        <v>-0.49825799999999998</v>
      </c>
      <c r="BU138">
        <v>1799.99</v>
      </c>
      <c r="BV138">
        <v>0.91002000000000005</v>
      </c>
      <c r="BW138">
        <v>3.3998300000000002E-2</v>
      </c>
      <c r="BX138">
        <v>2.1994099999999999E-2</v>
      </c>
      <c r="BY138">
        <v>3.3987999999999997E-2</v>
      </c>
      <c r="BZ138">
        <v>26</v>
      </c>
      <c r="CA138">
        <v>33528.400000000001</v>
      </c>
      <c r="CB138">
        <v>1690211922</v>
      </c>
      <c r="CC138" t="s">
        <v>332</v>
      </c>
      <c r="CD138">
        <v>1690211915</v>
      </c>
      <c r="CE138">
        <v>1690211922</v>
      </c>
      <c r="CF138">
        <v>6</v>
      </c>
      <c r="CG138">
        <v>1.0999999999999999E-2</v>
      </c>
      <c r="CH138">
        <v>8.0000000000000002E-3</v>
      </c>
      <c r="CI138">
        <v>-0.51100000000000001</v>
      </c>
      <c r="CJ138">
        <v>-6.6000000000000003E-2</v>
      </c>
      <c r="CK138">
        <v>800</v>
      </c>
      <c r="CL138">
        <v>6</v>
      </c>
      <c r="CM138">
        <v>0.21</v>
      </c>
      <c r="CN138">
        <v>0.02</v>
      </c>
      <c r="CO138">
        <v>-386.54775609756092</v>
      </c>
      <c r="CP138">
        <v>-14.77820905923341</v>
      </c>
      <c r="CQ138">
        <v>1.4587567673759929</v>
      </c>
      <c r="CR138">
        <v>-1</v>
      </c>
      <c r="CS138">
        <v>21.555182926829271</v>
      </c>
      <c r="CT138">
        <v>0.50693728222995149</v>
      </c>
      <c r="CU138">
        <v>4.9993013670150993E-2</v>
      </c>
      <c r="CV138">
        <v>-1</v>
      </c>
      <c r="CW138">
        <v>0</v>
      </c>
      <c r="CX138">
        <v>0</v>
      </c>
      <c r="CY138" t="s">
        <v>333</v>
      </c>
      <c r="CZ138">
        <v>2.3643200000000002</v>
      </c>
      <c r="DA138">
        <v>2.7137199999999999</v>
      </c>
      <c r="DB138">
        <v>9.13577E-2</v>
      </c>
      <c r="DC138">
        <v>0.146064</v>
      </c>
      <c r="DD138">
        <v>0.12564900000000001</v>
      </c>
      <c r="DE138">
        <v>3.9292100000000003E-2</v>
      </c>
      <c r="DF138">
        <v>33157.699999999997</v>
      </c>
      <c r="DG138">
        <v>27493.1</v>
      </c>
      <c r="DH138">
        <v>31153.200000000001</v>
      </c>
      <c r="DI138">
        <v>28054.7</v>
      </c>
      <c r="DJ138">
        <v>36967.199999999997</v>
      </c>
      <c r="DK138">
        <v>38322.9</v>
      </c>
      <c r="DL138">
        <v>44331</v>
      </c>
      <c r="DM138">
        <v>42514.8</v>
      </c>
      <c r="DN138">
        <v>1.3853500000000001</v>
      </c>
      <c r="DO138">
        <v>2.03328</v>
      </c>
      <c r="DP138">
        <v>8.0473699999999995E-2</v>
      </c>
      <c r="DQ138">
        <v>0.18728500000000001</v>
      </c>
      <c r="DR138">
        <v>25.6859</v>
      </c>
      <c r="DS138">
        <v>25.569199999999999</v>
      </c>
      <c r="DT138">
        <v>17.8</v>
      </c>
      <c r="DU138">
        <v>29.7</v>
      </c>
      <c r="DV138">
        <v>7.5217700000000001</v>
      </c>
      <c r="DW138">
        <v>62.071199999999997</v>
      </c>
      <c r="DX138">
        <v>36.005600000000001</v>
      </c>
      <c r="DY138">
        <v>1</v>
      </c>
      <c r="DZ138">
        <v>-8.0917199999999995E-2</v>
      </c>
      <c r="EA138">
        <v>-0.21509500000000001</v>
      </c>
      <c r="EB138">
        <v>20.189599999999999</v>
      </c>
      <c r="EC138">
        <v>5.2411000000000003</v>
      </c>
      <c r="ED138">
        <v>12.039899999999999</v>
      </c>
      <c r="EE138">
        <v>5.0170000000000003</v>
      </c>
      <c r="EF138">
        <v>3.2879999999999998</v>
      </c>
      <c r="EG138">
        <v>9999</v>
      </c>
      <c r="EH138">
        <v>9999</v>
      </c>
      <c r="EI138">
        <v>9999</v>
      </c>
      <c r="EJ138">
        <v>999.9</v>
      </c>
      <c r="EK138">
        <v>1.8689100000000001</v>
      </c>
      <c r="EL138">
        <v>1.86466</v>
      </c>
      <c r="EM138">
        <v>1.8692</v>
      </c>
      <c r="EN138">
        <v>1.8672500000000001</v>
      </c>
      <c r="EO138">
        <v>1.8633999999999999</v>
      </c>
      <c r="EP138">
        <v>1.8645799999999999</v>
      </c>
      <c r="EQ138">
        <v>1.8701399999999999</v>
      </c>
      <c r="ER138">
        <v>1.86947</v>
      </c>
      <c r="ES138">
        <v>0</v>
      </c>
      <c r="ET138">
        <v>0</v>
      </c>
      <c r="EU138">
        <v>0</v>
      </c>
      <c r="EV138">
        <v>0</v>
      </c>
      <c r="EW138" t="s">
        <v>334</v>
      </c>
      <c r="EX138" t="s">
        <v>335</v>
      </c>
      <c r="EY138" t="s">
        <v>336</v>
      </c>
      <c r="EZ138" t="s">
        <v>336</v>
      </c>
      <c r="FA138" t="s">
        <v>336</v>
      </c>
      <c r="FB138" t="s">
        <v>336</v>
      </c>
      <c r="FC138">
        <v>0</v>
      </c>
      <c r="FD138">
        <v>100</v>
      </c>
      <c r="FE138">
        <v>100</v>
      </c>
      <c r="FF138">
        <v>-0.23599999999999999</v>
      </c>
      <c r="FG138">
        <v>0.19159999999999999</v>
      </c>
      <c r="FH138">
        <v>4.0020685143421282E-2</v>
      </c>
      <c r="FI138">
        <v>-6.1462078757559423E-4</v>
      </c>
      <c r="FJ138">
        <v>-1.8861989874597051E-7</v>
      </c>
      <c r="FK138">
        <v>1.1980462299894961E-10</v>
      </c>
      <c r="FL138">
        <v>0.19160597004026461</v>
      </c>
      <c r="FM138">
        <v>0</v>
      </c>
      <c r="FN138">
        <v>0</v>
      </c>
      <c r="FO138">
        <v>0</v>
      </c>
      <c r="FP138">
        <v>3</v>
      </c>
      <c r="FQ138">
        <v>2158</v>
      </c>
      <c r="FR138">
        <v>1</v>
      </c>
      <c r="FS138">
        <v>19</v>
      </c>
      <c r="FT138">
        <v>28.5</v>
      </c>
      <c r="FU138">
        <v>28.4</v>
      </c>
      <c r="FV138">
        <v>1.77979</v>
      </c>
      <c r="FW138">
        <v>2.5781200000000002</v>
      </c>
      <c r="FX138">
        <v>1.5490699999999999</v>
      </c>
      <c r="FY138">
        <v>2.3290999999999999</v>
      </c>
      <c r="FZ138">
        <v>1.50146</v>
      </c>
      <c r="GA138">
        <v>2.2900399999999999</v>
      </c>
      <c r="GB138">
        <v>33.850900000000003</v>
      </c>
      <c r="GC138">
        <v>23.982399999999998</v>
      </c>
      <c r="GD138">
        <v>19</v>
      </c>
      <c r="GE138">
        <v>246.63800000000001</v>
      </c>
      <c r="GF138">
        <v>582.279</v>
      </c>
      <c r="GG138">
        <v>25.457899999999999</v>
      </c>
      <c r="GH138">
        <v>26.370699999999999</v>
      </c>
      <c r="GI138">
        <v>30</v>
      </c>
      <c r="GJ138">
        <v>26.516999999999999</v>
      </c>
      <c r="GK138">
        <v>26.486999999999998</v>
      </c>
      <c r="GL138">
        <v>35.580399999999997</v>
      </c>
      <c r="GM138">
        <v>-30</v>
      </c>
      <c r="GN138">
        <v>-30</v>
      </c>
      <c r="GO138">
        <v>25.452200000000001</v>
      </c>
      <c r="GP138">
        <v>800</v>
      </c>
      <c r="GQ138">
        <v>12.5298</v>
      </c>
      <c r="GR138">
        <v>99.673100000000005</v>
      </c>
      <c r="GS138">
        <v>99.462900000000005</v>
      </c>
    </row>
    <row r="139" spans="1:201" x14ac:dyDescent="0.25">
      <c r="A139">
        <v>123</v>
      </c>
      <c r="B139">
        <v>1690213635.5999999</v>
      </c>
      <c r="C139">
        <v>1368.099999904633</v>
      </c>
      <c r="D139" t="s">
        <v>577</v>
      </c>
      <c r="E139" t="s">
        <v>578</v>
      </c>
      <c r="F139" t="s">
        <v>330</v>
      </c>
      <c r="H139">
        <v>1690213635.5999999</v>
      </c>
      <c r="I139">
        <f t="shared" si="30"/>
        <v>1.9445515635269576E-3</v>
      </c>
      <c r="J139">
        <f t="shared" si="31"/>
        <v>1.9445515635269577</v>
      </c>
      <c r="K139">
        <f t="shared" si="32"/>
        <v>33.275604732591809</v>
      </c>
      <c r="L139">
        <f t="shared" si="33"/>
        <v>408.32400000000001</v>
      </c>
      <c r="M139">
        <f t="shared" si="34"/>
        <v>71.297707457359778</v>
      </c>
      <c r="N139">
        <f t="shared" si="35"/>
        <v>7.0728688296890407</v>
      </c>
      <c r="O139">
        <f t="shared" si="36"/>
        <v>40.506521107163998</v>
      </c>
      <c r="P139">
        <f t="shared" si="37"/>
        <v>0.16646377809297533</v>
      </c>
      <c r="Q139">
        <f t="shared" si="38"/>
        <v>2.0145664270535351</v>
      </c>
      <c r="R139">
        <f t="shared" si="39"/>
        <v>0.15918230447274836</v>
      </c>
      <c r="S139">
        <f t="shared" si="40"/>
        <v>0.10011660825806834</v>
      </c>
      <c r="T139">
        <f t="shared" si="41"/>
        <v>276.11452479600001</v>
      </c>
      <c r="U139">
        <f t="shared" si="42"/>
        <v>28.554854113654748</v>
      </c>
      <c r="V139">
        <f t="shared" si="43"/>
        <v>28.554854113654748</v>
      </c>
      <c r="W139">
        <f t="shared" si="44"/>
        <v>3.9193337013137501</v>
      </c>
      <c r="X139">
        <f t="shared" si="45"/>
        <v>76.911697596140158</v>
      </c>
      <c r="Y139">
        <f t="shared" si="46"/>
        <v>2.7482203010062998</v>
      </c>
      <c r="Z139">
        <f t="shared" si="47"/>
        <v>3.5732149814675527</v>
      </c>
      <c r="AA139">
        <f t="shared" si="48"/>
        <v>1.1711134003074504</v>
      </c>
      <c r="AB139">
        <f t="shared" si="49"/>
        <v>-85.754723951538836</v>
      </c>
      <c r="AC139">
        <f t="shared" si="50"/>
        <v>-171.94526833280261</v>
      </c>
      <c r="AD139">
        <f t="shared" si="51"/>
        <v>-18.560825071029473</v>
      </c>
      <c r="AE139">
        <f t="shared" si="52"/>
        <v>-0.14629255937089169</v>
      </c>
      <c r="AF139">
        <v>34</v>
      </c>
      <c r="AG139">
        <v>11</v>
      </c>
      <c r="AH139">
        <f t="shared" si="53"/>
        <v>1</v>
      </c>
      <c r="AI139">
        <f t="shared" si="54"/>
        <v>0</v>
      </c>
      <c r="AJ139">
        <f t="shared" si="55"/>
        <v>52526.814910777051</v>
      </c>
      <c r="AK139">
        <f t="shared" si="56"/>
        <v>1800</v>
      </c>
      <c r="AL139">
        <f t="shared" si="57"/>
        <v>1499.1122915999999</v>
      </c>
      <c r="AM139">
        <f t="shared" si="58"/>
        <v>0.83284016199999999</v>
      </c>
      <c r="AN139">
        <f t="shared" si="59"/>
        <v>0.15339695822000002</v>
      </c>
      <c r="AO139">
        <v>34.5</v>
      </c>
      <c r="AP139">
        <v>0.5</v>
      </c>
      <c r="AQ139" t="s">
        <v>331</v>
      </c>
      <c r="AR139">
        <v>2</v>
      </c>
      <c r="AS139">
        <v>1690213635.5999999</v>
      </c>
      <c r="AT139">
        <v>408.32400000000001</v>
      </c>
      <c r="AU139">
        <v>799.947</v>
      </c>
      <c r="AV139">
        <v>27.703299999999999</v>
      </c>
      <c r="AW139">
        <v>5.9703200000000001</v>
      </c>
      <c r="AX139">
        <v>408.55900000000003</v>
      </c>
      <c r="AY139">
        <v>27.511700000000001</v>
      </c>
      <c r="AZ139">
        <v>300.13600000000002</v>
      </c>
      <c r="BA139">
        <v>99.101900000000001</v>
      </c>
      <c r="BB139">
        <v>0.100011</v>
      </c>
      <c r="BC139">
        <v>26.971699999999998</v>
      </c>
      <c r="BD139">
        <v>26.997599999999998</v>
      </c>
      <c r="BE139">
        <v>28.622599999999998</v>
      </c>
      <c r="BF139">
        <v>0</v>
      </c>
      <c r="BG139">
        <v>0</v>
      </c>
      <c r="BH139">
        <v>10023.799999999999</v>
      </c>
      <c r="BI139">
        <v>1077.18</v>
      </c>
      <c r="BJ139">
        <v>2.0744500000000001</v>
      </c>
      <c r="BK139">
        <v>-391.62299999999999</v>
      </c>
      <c r="BL139">
        <v>419.959</v>
      </c>
      <c r="BM139">
        <v>804.75199999999995</v>
      </c>
      <c r="BN139">
        <v>21.732900000000001</v>
      </c>
      <c r="BO139">
        <v>799.947</v>
      </c>
      <c r="BP139">
        <v>5.9703200000000001</v>
      </c>
      <c r="BQ139">
        <v>2.7454499999999999</v>
      </c>
      <c r="BR139">
        <v>0.59167000000000003</v>
      </c>
      <c r="BS139">
        <v>22.559699999999999</v>
      </c>
      <c r="BT139">
        <v>-0.50115200000000004</v>
      </c>
      <c r="BU139">
        <v>1800</v>
      </c>
      <c r="BV139">
        <v>0.91001200000000004</v>
      </c>
      <c r="BW139">
        <v>3.4007500000000003E-2</v>
      </c>
      <c r="BX139">
        <v>2.1993599999999999E-2</v>
      </c>
      <c r="BY139">
        <v>3.3987200000000002E-2</v>
      </c>
      <c r="BZ139">
        <v>26</v>
      </c>
      <c r="CA139">
        <v>33528.5</v>
      </c>
      <c r="CB139">
        <v>1690211922</v>
      </c>
      <c r="CC139" t="s">
        <v>332</v>
      </c>
      <c r="CD139">
        <v>1690211915</v>
      </c>
      <c r="CE139">
        <v>1690211922</v>
      </c>
      <c r="CF139">
        <v>6</v>
      </c>
      <c r="CG139">
        <v>1.0999999999999999E-2</v>
      </c>
      <c r="CH139">
        <v>8.0000000000000002E-3</v>
      </c>
      <c r="CI139">
        <v>-0.51100000000000001</v>
      </c>
      <c r="CJ139">
        <v>-6.6000000000000003E-2</v>
      </c>
      <c r="CK139">
        <v>800</v>
      </c>
      <c r="CL139">
        <v>6</v>
      </c>
      <c r="CM139">
        <v>0.21</v>
      </c>
      <c r="CN139">
        <v>0.02</v>
      </c>
      <c r="CO139">
        <v>-389.18189999999998</v>
      </c>
      <c r="CP139">
        <v>-14.731204502814171</v>
      </c>
      <c r="CQ139">
        <v>1.419266497173804</v>
      </c>
      <c r="CR139">
        <v>-1</v>
      </c>
      <c r="CS139">
        <v>21.6460425</v>
      </c>
      <c r="CT139">
        <v>0.51002589118190578</v>
      </c>
      <c r="CU139">
        <v>4.9064207358826981E-2</v>
      </c>
      <c r="CV139">
        <v>-1</v>
      </c>
      <c r="CW139">
        <v>0</v>
      </c>
      <c r="CX139">
        <v>0</v>
      </c>
      <c r="CY139" t="s">
        <v>333</v>
      </c>
      <c r="CZ139">
        <v>2.3642400000000001</v>
      </c>
      <c r="DA139">
        <v>2.7138200000000001</v>
      </c>
      <c r="DB139">
        <v>9.0934699999999993E-2</v>
      </c>
      <c r="DC139">
        <v>0.146067</v>
      </c>
      <c r="DD139">
        <v>0.125916</v>
      </c>
      <c r="DE139">
        <v>3.9285800000000003E-2</v>
      </c>
      <c r="DF139">
        <v>33173.1</v>
      </c>
      <c r="DG139">
        <v>27493</v>
      </c>
      <c r="DH139">
        <v>31153.200000000001</v>
      </c>
      <c r="DI139">
        <v>28054.799999999999</v>
      </c>
      <c r="DJ139">
        <v>36955.5</v>
      </c>
      <c r="DK139">
        <v>38323.1</v>
      </c>
      <c r="DL139">
        <v>44330.7</v>
      </c>
      <c r="DM139">
        <v>42514.8</v>
      </c>
      <c r="DN139">
        <v>1.3854500000000001</v>
      </c>
      <c r="DO139">
        <v>2.0333800000000002</v>
      </c>
      <c r="DP139">
        <v>8.0119800000000005E-2</v>
      </c>
      <c r="DQ139">
        <v>0.18673799999999999</v>
      </c>
      <c r="DR139">
        <v>25.6859</v>
      </c>
      <c r="DS139">
        <v>25.569199999999999</v>
      </c>
      <c r="DT139">
        <v>17.8</v>
      </c>
      <c r="DU139">
        <v>29.7</v>
      </c>
      <c r="DV139">
        <v>7.5212500000000002</v>
      </c>
      <c r="DW139">
        <v>61.611199999999997</v>
      </c>
      <c r="DX139">
        <v>36.013599999999997</v>
      </c>
      <c r="DY139">
        <v>1</v>
      </c>
      <c r="DZ139">
        <v>-8.1044199999999997E-2</v>
      </c>
      <c r="EA139">
        <v>-0.21756</v>
      </c>
      <c r="EB139">
        <v>20.189399999999999</v>
      </c>
      <c r="EC139">
        <v>5.2411000000000003</v>
      </c>
      <c r="ED139">
        <v>12.039899999999999</v>
      </c>
      <c r="EE139">
        <v>5.0170000000000003</v>
      </c>
      <c r="EF139">
        <v>3.2879999999999998</v>
      </c>
      <c r="EG139">
        <v>9999</v>
      </c>
      <c r="EH139">
        <v>9999</v>
      </c>
      <c r="EI139">
        <v>9999</v>
      </c>
      <c r="EJ139">
        <v>999.9</v>
      </c>
      <c r="EK139">
        <v>1.8689199999999999</v>
      </c>
      <c r="EL139">
        <v>1.8647</v>
      </c>
      <c r="EM139">
        <v>1.8692</v>
      </c>
      <c r="EN139">
        <v>1.8672500000000001</v>
      </c>
      <c r="EO139">
        <v>1.8633999999999999</v>
      </c>
      <c r="EP139">
        <v>1.8645799999999999</v>
      </c>
      <c r="EQ139">
        <v>1.87016</v>
      </c>
      <c r="ER139">
        <v>1.8694500000000001</v>
      </c>
      <c r="ES139">
        <v>0</v>
      </c>
      <c r="ET139">
        <v>0</v>
      </c>
      <c r="EU139">
        <v>0</v>
      </c>
      <c r="EV139">
        <v>0</v>
      </c>
      <c r="EW139" t="s">
        <v>334</v>
      </c>
      <c r="EX139" t="s">
        <v>335</v>
      </c>
      <c r="EY139" t="s">
        <v>336</v>
      </c>
      <c r="EZ139" t="s">
        <v>336</v>
      </c>
      <c r="FA139" t="s">
        <v>336</v>
      </c>
      <c r="FB139" t="s">
        <v>336</v>
      </c>
      <c r="FC139">
        <v>0</v>
      </c>
      <c r="FD139">
        <v>100</v>
      </c>
      <c r="FE139">
        <v>100</v>
      </c>
      <c r="FF139">
        <v>-0.23499999999999999</v>
      </c>
      <c r="FG139">
        <v>0.19159999999999999</v>
      </c>
      <c r="FH139">
        <v>4.0020685143421282E-2</v>
      </c>
      <c r="FI139">
        <v>-6.1462078757559423E-4</v>
      </c>
      <c r="FJ139">
        <v>-1.8861989874597051E-7</v>
      </c>
      <c r="FK139">
        <v>1.1980462299894961E-10</v>
      </c>
      <c r="FL139">
        <v>0.19160597004026461</v>
      </c>
      <c r="FM139">
        <v>0</v>
      </c>
      <c r="FN139">
        <v>0</v>
      </c>
      <c r="FO139">
        <v>0</v>
      </c>
      <c r="FP139">
        <v>3</v>
      </c>
      <c r="FQ139">
        <v>2158</v>
      </c>
      <c r="FR139">
        <v>1</v>
      </c>
      <c r="FS139">
        <v>19</v>
      </c>
      <c r="FT139">
        <v>28.7</v>
      </c>
      <c r="FU139">
        <v>28.6</v>
      </c>
      <c r="FV139">
        <v>1.77979</v>
      </c>
      <c r="FW139">
        <v>2.5781200000000002</v>
      </c>
      <c r="FX139">
        <v>1.5490699999999999</v>
      </c>
      <c r="FY139">
        <v>2.3290999999999999</v>
      </c>
      <c r="FZ139">
        <v>1.50146</v>
      </c>
      <c r="GA139">
        <v>2.32544</v>
      </c>
      <c r="GB139">
        <v>33.850900000000003</v>
      </c>
      <c r="GC139">
        <v>23.982399999999998</v>
      </c>
      <c r="GD139">
        <v>19</v>
      </c>
      <c r="GE139">
        <v>246.66800000000001</v>
      </c>
      <c r="GF139">
        <v>582.34199999999998</v>
      </c>
      <c r="GG139">
        <v>25.4497</v>
      </c>
      <c r="GH139">
        <v>26.368600000000001</v>
      </c>
      <c r="GI139">
        <v>30</v>
      </c>
      <c r="GJ139">
        <v>26.514700000000001</v>
      </c>
      <c r="GK139">
        <v>26.485299999999999</v>
      </c>
      <c r="GL139">
        <v>35.579900000000002</v>
      </c>
      <c r="GM139">
        <v>-30</v>
      </c>
      <c r="GN139">
        <v>-30</v>
      </c>
      <c r="GO139">
        <v>25.4514</v>
      </c>
      <c r="GP139">
        <v>800</v>
      </c>
      <c r="GQ139">
        <v>12.5298</v>
      </c>
      <c r="GR139">
        <v>99.672700000000006</v>
      </c>
      <c r="GS139">
        <v>99.462999999999994</v>
      </c>
    </row>
    <row r="140" spans="1:201" x14ac:dyDescent="0.25">
      <c r="A140">
        <v>124</v>
      </c>
      <c r="B140">
        <v>1690213645.5999999</v>
      </c>
      <c r="C140">
        <v>1378.099999904633</v>
      </c>
      <c r="D140" t="s">
        <v>579</v>
      </c>
      <c r="E140" t="s">
        <v>580</v>
      </c>
      <c r="F140" t="s">
        <v>330</v>
      </c>
      <c r="H140">
        <v>1690213645.5999999</v>
      </c>
      <c r="I140">
        <f t="shared" si="30"/>
        <v>1.9524077610584961E-3</v>
      </c>
      <c r="J140">
        <f t="shared" si="31"/>
        <v>1.9524077610584962</v>
      </c>
      <c r="K140">
        <f t="shared" si="32"/>
        <v>33.493529308234884</v>
      </c>
      <c r="L140">
        <f t="shared" si="33"/>
        <v>405.89299999999997</v>
      </c>
      <c r="M140">
        <f t="shared" si="34"/>
        <v>70.578851346842015</v>
      </c>
      <c r="N140">
        <f t="shared" si="35"/>
        <v>7.0010728576818044</v>
      </c>
      <c r="O140">
        <f t="shared" si="36"/>
        <v>40.262577403793202</v>
      </c>
      <c r="P140">
        <f t="shared" si="37"/>
        <v>0.16845834558989248</v>
      </c>
      <c r="Q140">
        <f t="shared" si="38"/>
        <v>2.0164450189205856</v>
      </c>
      <c r="R140">
        <f t="shared" si="39"/>
        <v>0.16101214573895367</v>
      </c>
      <c r="S140">
        <f t="shared" si="40"/>
        <v>0.10127417263745934</v>
      </c>
      <c r="T140">
        <f t="shared" si="41"/>
        <v>276.11445155400003</v>
      </c>
      <c r="U140">
        <f t="shared" si="42"/>
        <v>28.552439447833617</v>
      </c>
      <c r="V140">
        <f t="shared" si="43"/>
        <v>28.552439447833617</v>
      </c>
      <c r="W140">
        <f t="shared" si="44"/>
        <v>3.9187842923456766</v>
      </c>
      <c r="X140">
        <f t="shared" si="45"/>
        <v>77.133356947379355</v>
      </c>
      <c r="Y140">
        <f t="shared" si="46"/>
        <v>2.7564321160912004</v>
      </c>
      <c r="Z140">
        <f t="shared" si="47"/>
        <v>3.5735928334762455</v>
      </c>
      <c r="AA140">
        <f t="shared" si="48"/>
        <v>1.1623521762544762</v>
      </c>
      <c r="AB140">
        <f t="shared" si="49"/>
        <v>-86.101182262679686</v>
      </c>
      <c r="AC140">
        <f t="shared" si="50"/>
        <v>-171.64742925365198</v>
      </c>
      <c r="AD140">
        <f t="shared" si="51"/>
        <v>-18.51135509652406</v>
      </c>
      <c r="AE140">
        <f t="shared" si="52"/>
        <v>-0.14551505885572169</v>
      </c>
      <c r="AF140">
        <v>33</v>
      </c>
      <c r="AG140">
        <v>11</v>
      </c>
      <c r="AH140">
        <f t="shared" si="53"/>
        <v>1</v>
      </c>
      <c r="AI140">
        <f t="shared" si="54"/>
        <v>0</v>
      </c>
      <c r="AJ140">
        <f t="shared" si="55"/>
        <v>52616.793576135889</v>
      </c>
      <c r="AK140">
        <f t="shared" si="56"/>
        <v>1800</v>
      </c>
      <c r="AL140">
        <f t="shared" si="57"/>
        <v>1499.1113214</v>
      </c>
      <c r="AM140">
        <f t="shared" si="58"/>
        <v>0.83283962299999992</v>
      </c>
      <c r="AN140">
        <f t="shared" si="59"/>
        <v>0.15339691753000001</v>
      </c>
      <c r="AO140">
        <v>34.5</v>
      </c>
      <c r="AP140">
        <v>0.5</v>
      </c>
      <c r="AQ140" t="s">
        <v>331</v>
      </c>
      <c r="AR140">
        <v>2</v>
      </c>
      <c r="AS140">
        <v>1690213645.5999999</v>
      </c>
      <c r="AT140">
        <v>405.89299999999997</v>
      </c>
      <c r="AU140">
        <v>800.00199999999995</v>
      </c>
      <c r="AV140">
        <v>27.788</v>
      </c>
      <c r="AW140">
        <v>5.9691900000000002</v>
      </c>
      <c r="AX140">
        <v>406.12599999999998</v>
      </c>
      <c r="AY140">
        <v>27.596399999999999</v>
      </c>
      <c r="AZ140">
        <v>300.137</v>
      </c>
      <c r="BA140">
        <v>99.095100000000002</v>
      </c>
      <c r="BB140">
        <v>9.9952399999999997E-2</v>
      </c>
      <c r="BC140">
        <v>26.973500000000001</v>
      </c>
      <c r="BD140">
        <v>26.995799999999999</v>
      </c>
      <c r="BE140">
        <v>28.625399999999999</v>
      </c>
      <c r="BF140">
        <v>0</v>
      </c>
      <c r="BG140">
        <v>0</v>
      </c>
      <c r="BH140">
        <v>10042.5</v>
      </c>
      <c r="BI140">
        <v>1077.1199999999999</v>
      </c>
      <c r="BJ140">
        <v>2.0744500000000001</v>
      </c>
      <c r="BK140">
        <v>-394.10899999999998</v>
      </c>
      <c r="BL140">
        <v>417.49400000000003</v>
      </c>
      <c r="BM140">
        <v>804.80600000000004</v>
      </c>
      <c r="BN140">
        <v>21.8188</v>
      </c>
      <c r="BO140">
        <v>800.00199999999995</v>
      </c>
      <c r="BP140">
        <v>5.9691900000000002</v>
      </c>
      <c r="BQ140">
        <v>2.7536499999999999</v>
      </c>
      <c r="BR140">
        <v>0.59151699999999996</v>
      </c>
      <c r="BS140">
        <v>22.608899999999998</v>
      </c>
      <c r="BT140">
        <v>-0.50469399999999998</v>
      </c>
      <c r="BU140">
        <v>1800</v>
      </c>
      <c r="BV140">
        <v>0.91000999999999999</v>
      </c>
      <c r="BW140">
        <v>3.4009699999999997E-2</v>
      </c>
      <c r="BX140">
        <v>2.19934E-2</v>
      </c>
      <c r="BY140">
        <v>3.39869E-2</v>
      </c>
      <c r="BZ140">
        <v>26</v>
      </c>
      <c r="CA140">
        <v>33528.400000000001</v>
      </c>
      <c r="CB140">
        <v>1690211922</v>
      </c>
      <c r="CC140" t="s">
        <v>332</v>
      </c>
      <c r="CD140">
        <v>1690211915</v>
      </c>
      <c r="CE140">
        <v>1690211922</v>
      </c>
      <c r="CF140">
        <v>6</v>
      </c>
      <c r="CG140">
        <v>1.0999999999999999E-2</v>
      </c>
      <c r="CH140">
        <v>8.0000000000000002E-3</v>
      </c>
      <c r="CI140">
        <v>-0.51100000000000001</v>
      </c>
      <c r="CJ140">
        <v>-6.6000000000000003E-2</v>
      </c>
      <c r="CK140">
        <v>800</v>
      </c>
      <c r="CL140">
        <v>6</v>
      </c>
      <c r="CM140">
        <v>0.21</v>
      </c>
      <c r="CN140">
        <v>0.02</v>
      </c>
      <c r="CO140">
        <v>-391.35317500000002</v>
      </c>
      <c r="CP140">
        <v>-14.795178236398</v>
      </c>
      <c r="CQ140">
        <v>1.425053856657704</v>
      </c>
      <c r="CR140">
        <v>-1</v>
      </c>
      <c r="CS140">
        <v>21.723112499999999</v>
      </c>
      <c r="CT140">
        <v>0.51374071294553203</v>
      </c>
      <c r="CU140">
        <v>4.9424114496366953E-2</v>
      </c>
      <c r="CV140">
        <v>-1</v>
      </c>
      <c r="CW140">
        <v>0</v>
      </c>
      <c r="CX140">
        <v>0</v>
      </c>
      <c r="CY140" t="s">
        <v>333</v>
      </c>
      <c r="CZ140">
        <v>2.3642699999999999</v>
      </c>
      <c r="DA140">
        <v>2.7137799999999999</v>
      </c>
      <c r="DB140">
        <v>9.0516100000000002E-2</v>
      </c>
      <c r="DC140">
        <v>0.146064</v>
      </c>
      <c r="DD140">
        <v>0.12617600000000001</v>
      </c>
      <c r="DE140">
        <v>3.9277199999999998E-2</v>
      </c>
      <c r="DF140">
        <v>33188.199999999997</v>
      </c>
      <c r="DG140">
        <v>27493.3</v>
      </c>
      <c r="DH140">
        <v>31153</v>
      </c>
      <c r="DI140">
        <v>28055</v>
      </c>
      <c r="DJ140">
        <v>36944.400000000001</v>
      </c>
      <c r="DK140">
        <v>38323.699999999997</v>
      </c>
      <c r="DL140">
        <v>44330.8</v>
      </c>
      <c r="DM140">
        <v>42515.1</v>
      </c>
      <c r="DN140">
        <v>1.38575</v>
      </c>
      <c r="DO140">
        <v>2.0335800000000002</v>
      </c>
      <c r="DP140">
        <v>8.0008099999999999E-2</v>
      </c>
      <c r="DQ140">
        <v>0.18690899999999999</v>
      </c>
      <c r="DR140">
        <v>25.6859</v>
      </c>
      <c r="DS140">
        <v>25.569199999999999</v>
      </c>
      <c r="DT140">
        <v>17.8</v>
      </c>
      <c r="DU140">
        <v>29.7</v>
      </c>
      <c r="DV140">
        <v>7.5221099999999996</v>
      </c>
      <c r="DW140">
        <v>61.211199999999998</v>
      </c>
      <c r="DX140">
        <v>36.310099999999998</v>
      </c>
      <c r="DY140">
        <v>1</v>
      </c>
      <c r="DZ140">
        <v>-8.1267800000000001E-2</v>
      </c>
      <c r="EA140">
        <v>-0.234344</v>
      </c>
      <c r="EB140">
        <v>20.189499999999999</v>
      </c>
      <c r="EC140">
        <v>5.2411000000000003</v>
      </c>
      <c r="ED140">
        <v>12.039899999999999</v>
      </c>
      <c r="EE140">
        <v>5.0171999999999999</v>
      </c>
      <c r="EF140">
        <v>3.2879999999999998</v>
      </c>
      <c r="EG140">
        <v>9999</v>
      </c>
      <c r="EH140">
        <v>9999</v>
      </c>
      <c r="EI140">
        <v>9999</v>
      </c>
      <c r="EJ140">
        <v>999.9</v>
      </c>
      <c r="EK140">
        <v>1.86894</v>
      </c>
      <c r="EL140">
        <v>1.86467</v>
      </c>
      <c r="EM140">
        <v>1.8692</v>
      </c>
      <c r="EN140">
        <v>1.86727</v>
      </c>
      <c r="EO140">
        <v>1.8633999999999999</v>
      </c>
      <c r="EP140">
        <v>1.86456</v>
      </c>
      <c r="EQ140">
        <v>1.8702000000000001</v>
      </c>
      <c r="ER140">
        <v>1.8694900000000001</v>
      </c>
      <c r="ES140">
        <v>0</v>
      </c>
      <c r="ET140">
        <v>0</v>
      </c>
      <c r="EU140">
        <v>0</v>
      </c>
      <c r="EV140">
        <v>0</v>
      </c>
      <c r="EW140" t="s">
        <v>334</v>
      </c>
      <c r="EX140" t="s">
        <v>335</v>
      </c>
      <c r="EY140" t="s">
        <v>336</v>
      </c>
      <c r="EZ140" t="s">
        <v>336</v>
      </c>
      <c r="FA140" t="s">
        <v>336</v>
      </c>
      <c r="FB140" t="s">
        <v>336</v>
      </c>
      <c r="FC140">
        <v>0</v>
      </c>
      <c r="FD140">
        <v>100</v>
      </c>
      <c r="FE140">
        <v>100</v>
      </c>
      <c r="FF140">
        <v>-0.23300000000000001</v>
      </c>
      <c r="FG140">
        <v>0.19159999999999999</v>
      </c>
      <c r="FH140">
        <v>4.0020685143421282E-2</v>
      </c>
      <c r="FI140">
        <v>-6.1462078757559423E-4</v>
      </c>
      <c r="FJ140">
        <v>-1.8861989874597051E-7</v>
      </c>
      <c r="FK140">
        <v>1.1980462299894961E-10</v>
      </c>
      <c r="FL140">
        <v>0.19160597004026461</v>
      </c>
      <c r="FM140">
        <v>0</v>
      </c>
      <c r="FN140">
        <v>0</v>
      </c>
      <c r="FO140">
        <v>0</v>
      </c>
      <c r="FP140">
        <v>3</v>
      </c>
      <c r="FQ140">
        <v>2158</v>
      </c>
      <c r="FR140">
        <v>1</v>
      </c>
      <c r="FS140">
        <v>19</v>
      </c>
      <c r="FT140">
        <v>28.8</v>
      </c>
      <c r="FU140">
        <v>28.7</v>
      </c>
      <c r="FV140">
        <v>1.77979</v>
      </c>
      <c r="FW140">
        <v>2.5769000000000002</v>
      </c>
      <c r="FX140">
        <v>1.5490699999999999</v>
      </c>
      <c r="FY140">
        <v>2.3290999999999999</v>
      </c>
      <c r="FZ140">
        <v>1.50024</v>
      </c>
      <c r="GA140">
        <v>2.31812</v>
      </c>
      <c r="GB140">
        <v>33.828299999999999</v>
      </c>
      <c r="GC140">
        <v>23.982399999999998</v>
      </c>
      <c r="GD140">
        <v>19</v>
      </c>
      <c r="GE140">
        <v>246.78100000000001</v>
      </c>
      <c r="GF140">
        <v>582.50099999999998</v>
      </c>
      <c r="GG140">
        <v>25.453399999999998</v>
      </c>
      <c r="GH140">
        <v>26.366399999999999</v>
      </c>
      <c r="GI140">
        <v>30</v>
      </c>
      <c r="GJ140">
        <v>26.513999999999999</v>
      </c>
      <c r="GK140">
        <v>26.4848</v>
      </c>
      <c r="GL140">
        <v>35.580399999999997</v>
      </c>
      <c r="GM140">
        <v>-30</v>
      </c>
      <c r="GN140">
        <v>-30</v>
      </c>
      <c r="GO140">
        <v>25.456399999999999</v>
      </c>
      <c r="GP140">
        <v>800</v>
      </c>
      <c r="GQ140">
        <v>12.5298</v>
      </c>
      <c r="GR140">
        <v>99.672499999999999</v>
      </c>
      <c r="GS140">
        <v>99.463700000000003</v>
      </c>
    </row>
    <row r="141" spans="1:201" x14ac:dyDescent="0.25">
      <c r="A141">
        <v>125</v>
      </c>
      <c r="B141">
        <v>1690213655.5999999</v>
      </c>
      <c r="C141">
        <v>1388.099999904633</v>
      </c>
      <c r="D141" t="s">
        <v>581</v>
      </c>
      <c r="E141" t="s">
        <v>582</v>
      </c>
      <c r="F141" t="s">
        <v>330</v>
      </c>
      <c r="H141">
        <v>1690213655.5999999</v>
      </c>
      <c r="I141">
        <f t="shared" si="30"/>
        <v>1.9599780224786425E-3</v>
      </c>
      <c r="J141">
        <f t="shared" si="31"/>
        <v>1.9599780224786423</v>
      </c>
      <c r="K141">
        <f t="shared" si="32"/>
        <v>33.707932840198318</v>
      </c>
      <c r="L141">
        <f t="shared" si="33"/>
        <v>403.62299999999999</v>
      </c>
      <c r="M141">
        <f t="shared" si="34"/>
        <v>69.855080595404942</v>
      </c>
      <c r="N141">
        <f t="shared" si="35"/>
        <v>6.929115589787596</v>
      </c>
      <c r="O141">
        <f t="shared" si="36"/>
        <v>40.036464031805998</v>
      </c>
      <c r="P141">
        <f t="shared" si="37"/>
        <v>0.17038504714798344</v>
      </c>
      <c r="Q141">
        <f t="shared" si="38"/>
        <v>2.0135501422600601</v>
      </c>
      <c r="R141">
        <f t="shared" si="39"/>
        <v>0.16276126288951528</v>
      </c>
      <c r="S141">
        <f t="shared" si="40"/>
        <v>0.10238232666939184</v>
      </c>
      <c r="T141">
        <f t="shared" si="41"/>
        <v>276.11429293800001</v>
      </c>
      <c r="U141">
        <f t="shared" si="42"/>
        <v>28.550712237484316</v>
      </c>
      <c r="V141">
        <f t="shared" si="43"/>
        <v>28.550712237484316</v>
      </c>
      <c r="W141">
        <f t="shared" si="44"/>
        <v>3.9183913413461071</v>
      </c>
      <c r="X141">
        <f t="shared" si="45"/>
        <v>77.353704791387457</v>
      </c>
      <c r="Y141">
        <f t="shared" si="46"/>
        <v>2.7641440683407996</v>
      </c>
      <c r="Z141">
        <f t="shared" si="47"/>
        <v>3.5733829113877928</v>
      </c>
      <c r="AA141">
        <f t="shared" si="48"/>
        <v>1.1542472730053075</v>
      </c>
      <c r="AB141">
        <f t="shared" si="49"/>
        <v>-86.435030791308137</v>
      </c>
      <c r="AC141">
        <f t="shared" si="50"/>
        <v>-171.32206443254134</v>
      </c>
      <c r="AD141">
        <f t="shared" si="51"/>
        <v>-18.502577562118166</v>
      </c>
      <c r="AE141">
        <f t="shared" si="52"/>
        <v>-0.14537984796763226</v>
      </c>
      <c r="AF141">
        <v>33</v>
      </c>
      <c r="AG141">
        <v>11</v>
      </c>
      <c r="AH141">
        <f t="shared" si="53"/>
        <v>1</v>
      </c>
      <c r="AI141">
        <f t="shared" si="54"/>
        <v>0</v>
      </c>
      <c r="AJ141">
        <f t="shared" si="55"/>
        <v>52477.594464083028</v>
      </c>
      <c r="AK141">
        <f t="shared" si="56"/>
        <v>1800</v>
      </c>
      <c r="AL141">
        <f t="shared" si="57"/>
        <v>1499.1113178000001</v>
      </c>
      <c r="AM141">
        <f t="shared" si="58"/>
        <v>0.83283962100000009</v>
      </c>
      <c r="AN141">
        <f t="shared" si="59"/>
        <v>0.15339682940999999</v>
      </c>
      <c r="AO141">
        <v>34.5</v>
      </c>
      <c r="AP141">
        <v>0.5</v>
      </c>
      <c r="AQ141" t="s">
        <v>331</v>
      </c>
      <c r="AR141">
        <v>2</v>
      </c>
      <c r="AS141">
        <v>1690213655.5999999</v>
      </c>
      <c r="AT141">
        <v>403.62299999999999</v>
      </c>
      <c r="AU141">
        <v>800.11199999999997</v>
      </c>
      <c r="AV141">
        <v>27.866399999999999</v>
      </c>
      <c r="AW141">
        <v>5.9685499999999996</v>
      </c>
      <c r="AX141">
        <v>403.85399999999998</v>
      </c>
      <c r="AY141">
        <v>27.674800000000001</v>
      </c>
      <c r="AZ141">
        <v>300.18900000000002</v>
      </c>
      <c r="BA141">
        <v>99.092699999999994</v>
      </c>
      <c r="BB141">
        <v>0.100022</v>
      </c>
      <c r="BC141">
        <v>26.9725</v>
      </c>
      <c r="BD141">
        <v>26.993600000000001</v>
      </c>
      <c r="BE141">
        <v>28.6312</v>
      </c>
      <c r="BF141">
        <v>0</v>
      </c>
      <c r="BG141">
        <v>0</v>
      </c>
      <c r="BH141">
        <v>10015</v>
      </c>
      <c r="BI141">
        <v>1077.19</v>
      </c>
      <c r="BJ141">
        <v>2.0744500000000001</v>
      </c>
      <c r="BK141">
        <v>-396.48899999999998</v>
      </c>
      <c r="BL141">
        <v>415.19299999999998</v>
      </c>
      <c r="BM141">
        <v>804.91600000000005</v>
      </c>
      <c r="BN141">
        <v>21.8978</v>
      </c>
      <c r="BO141">
        <v>800.11199999999997</v>
      </c>
      <c r="BP141">
        <v>5.9685499999999996</v>
      </c>
      <c r="BQ141">
        <v>2.7613500000000002</v>
      </c>
      <c r="BR141">
        <v>0.59143999999999997</v>
      </c>
      <c r="BS141">
        <v>22.654900000000001</v>
      </c>
      <c r="BT141">
        <v>-0.50649500000000003</v>
      </c>
      <c r="BU141">
        <v>1800</v>
      </c>
      <c r="BV141">
        <v>0.91001200000000004</v>
      </c>
      <c r="BW141">
        <v>3.4008900000000002E-2</v>
      </c>
      <c r="BX141">
        <v>2.19928E-2</v>
      </c>
      <c r="BY141">
        <v>3.3986099999999998E-2</v>
      </c>
      <c r="BZ141">
        <v>26</v>
      </c>
      <c r="CA141">
        <v>33528.5</v>
      </c>
      <c r="CB141">
        <v>1690211922</v>
      </c>
      <c r="CC141" t="s">
        <v>332</v>
      </c>
      <c r="CD141">
        <v>1690211915</v>
      </c>
      <c r="CE141">
        <v>1690211922</v>
      </c>
      <c r="CF141">
        <v>6</v>
      </c>
      <c r="CG141">
        <v>1.0999999999999999E-2</v>
      </c>
      <c r="CH141">
        <v>8.0000000000000002E-3</v>
      </c>
      <c r="CI141">
        <v>-0.51100000000000001</v>
      </c>
      <c r="CJ141">
        <v>-6.6000000000000003E-2</v>
      </c>
      <c r="CK141">
        <v>800</v>
      </c>
      <c r="CL141">
        <v>6</v>
      </c>
      <c r="CM141">
        <v>0.21</v>
      </c>
      <c r="CN141">
        <v>0.02</v>
      </c>
      <c r="CO141">
        <v>-393.80685365853662</v>
      </c>
      <c r="CP141">
        <v>-14.245567944250929</v>
      </c>
      <c r="CQ141">
        <v>1.4058660131309979</v>
      </c>
      <c r="CR141">
        <v>-1</v>
      </c>
      <c r="CS141">
        <v>21.80880975609756</v>
      </c>
      <c r="CT141">
        <v>0.48824738675956209</v>
      </c>
      <c r="CU141">
        <v>4.8162554044980203E-2</v>
      </c>
      <c r="CV141">
        <v>-1</v>
      </c>
      <c r="CW141">
        <v>0</v>
      </c>
      <c r="CX141">
        <v>0</v>
      </c>
      <c r="CY141" t="s">
        <v>333</v>
      </c>
      <c r="CZ141">
        <v>2.36442</v>
      </c>
      <c r="DA141">
        <v>2.7138300000000002</v>
      </c>
      <c r="DB141">
        <v>9.0127899999999997E-2</v>
      </c>
      <c r="DC141">
        <v>0.14607500000000001</v>
      </c>
      <c r="DD141">
        <v>0.12642</v>
      </c>
      <c r="DE141">
        <v>3.9273099999999998E-2</v>
      </c>
      <c r="DF141">
        <v>33202.199999999997</v>
      </c>
      <c r="DG141">
        <v>27492.799999999999</v>
      </c>
      <c r="DH141">
        <v>31152.9</v>
      </c>
      <c r="DI141">
        <v>28054.799999999999</v>
      </c>
      <c r="DJ141">
        <v>36933.699999999997</v>
      </c>
      <c r="DK141">
        <v>38323.699999999997</v>
      </c>
      <c r="DL141">
        <v>44330.5</v>
      </c>
      <c r="DM141">
        <v>42514.9</v>
      </c>
      <c r="DN141">
        <v>1.38612</v>
      </c>
      <c r="DO141">
        <v>2.0333800000000002</v>
      </c>
      <c r="DP141">
        <v>7.9743599999999998E-2</v>
      </c>
      <c r="DQ141">
        <v>0.187393</v>
      </c>
      <c r="DR141">
        <v>25.687999999999999</v>
      </c>
      <c r="DS141">
        <v>25.567</v>
      </c>
      <c r="DT141">
        <v>17.8</v>
      </c>
      <c r="DU141">
        <v>29.7</v>
      </c>
      <c r="DV141">
        <v>7.52142</v>
      </c>
      <c r="DW141">
        <v>61.321199999999997</v>
      </c>
      <c r="DX141">
        <v>36.374200000000002</v>
      </c>
      <c r="DY141">
        <v>1</v>
      </c>
      <c r="DZ141">
        <v>-8.1455799999999995E-2</v>
      </c>
      <c r="EA141">
        <v>-0.24665300000000001</v>
      </c>
      <c r="EB141">
        <v>20.189599999999999</v>
      </c>
      <c r="EC141">
        <v>5.2406499999999996</v>
      </c>
      <c r="ED141">
        <v>12.039899999999999</v>
      </c>
      <c r="EE141">
        <v>5.0169499999999996</v>
      </c>
      <c r="EF141">
        <v>3.2879999999999998</v>
      </c>
      <c r="EG141">
        <v>9999</v>
      </c>
      <c r="EH141">
        <v>9999</v>
      </c>
      <c r="EI141">
        <v>9999</v>
      </c>
      <c r="EJ141">
        <v>999.9</v>
      </c>
      <c r="EK141">
        <v>1.86893</v>
      </c>
      <c r="EL141">
        <v>1.8646499999999999</v>
      </c>
      <c r="EM141">
        <v>1.8691899999999999</v>
      </c>
      <c r="EN141">
        <v>1.86727</v>
      </c>
      <c r="EO141">
        <v>1.8633999999999999</v>
      </c>
      <c r="EP141">
        <v>1.8645700000000001</v>
      </c>
      <c r="EQ141">
        <v>1.8701700000000001</v>
      </c>
      <c r="ER141">
        <v>1.86948</v>
      </c>
      <c r="ES141">
        <v>0</v>
      </c>
      <c r="ET141">
        <v>0</v>
      </c>
      <c r="EU141">
        <v>0</v>
      </c>
      <c r="EV141">
        <v>0</v>
      </c>
      <c r="EW141" t="s">
        <v>334</v>
      </c>
      <c r="EX141" t="s">
        <v>335</v>
      </c>
      <c r="EY141" t="s">
        <v>336</v>
      </c>
      <c r="EZ141" t="s">
        <v>336</v>
      </c>
      <c r="FA141" t="s">
        <v>336</v>
      </c>
      <c r="FB141" t="s">
        <v>336</v>
      </c>
      <c r="FC141">
        <v>0</v>
      </c>
      <c r="FD141">
        <v>100</v>
      </c>
      <c r="FE141">
        <v>100</v>
      </c>
      <c r="FF141">
        <v>-0.23100000000000001</v>
      </c>
      <c r="FG141">
        <v>0.19159999999999999</v>
      </c>
      <c r="FH141">
        <v>4.0020685143421282E-2</v>
      </c>
      <c r="FI141">
        <v>-6.1462078757559423E-4</v>
      </c>
      <c r="FJ141">
        <v>-1.8861989874597051E-7</v>
      </c>
      <c r="FK141">
        <v>1.1980462299894961E-10</v>
      </c>
      <c r="FL141">
        <v>0.19160597004026461</v>
      </c>
      <c r="FM141">
        <v>0</v>
      </c>
      <c r="FN141">
        <v>0</v>
      </c>
      <c r="FO141">
        <v>0</v>
      </c>
      <c r="FP141">
        <v>3</v>
      </c>
      <c r="FQ141">
        <v>2158</v>
      </c>
      <c r="FR141">
        <v>1</v>
      </c>
      <c r="FS141">
        <v>19</v>
      </c>
      <c r="FT141">
        <v>29</v>
      </c>
      <c r="FU141">
        <v>28.9</v>
      </c>
      <c r="FV141">
        <v>1.77979</v>
      </c>
      <c r="FW141">
        <v>2.5756800000000002</v>
      </c>
      <c r="FX141">
        <v>1.5490699999999999</v>
      </c>
      <c r="FY141">
        <v>2.3290999999999999</v>
      </c>
      <c r="FZ141">
        <v>1.50146</v>
      </c>
      <c r="GA141">
        <v>2.3584000000000001</v>
      </c>
      <c r="GB141">
        <v>33.850900000000003</v>
      </c>
      <c r="GC141">
        <v>23.991199999999999</v>
      </c>
      <c r="GD141">
        <v>19</v>
      </c>
      <c r="GE141">
        <v>246.92099999999999</v>
      </c>
      <c r="GF141">
        <v>582.31100000000004</v>
      </c>
      <c r="GG141">
        <v>25.461600000000001</v>
      </c>
      <c r="GH141">
        <v>26.366299999999999</v>
      </c>
      <c r="GI141">
        <v>30</v>
      </c>
      <c r="GJ141">
        <v>26.512499999999999</v>
      </c>
      <c r="GK141">
        <v>26.482500000000002</v>
      </c>
      <c r="GL141">
        <v>35.579000000000001</v>
      </c>
      <c r="GM141">
        <v>-30</v>
      </c>
      <c r="GN141">
        <v>-30</v>
      </c>
      <c r="GO141">
        <v>25.464200000000002</v>
      </c>
      <c r="GP141">
        <v>800</v>
      </c>
      <c r="GQ141">
        <v>12.5298</v>
      </c>
      <c r="GR141">
        <v>99.671999999999997</v>
      </c>
      <c r="GS141">
        <v>99.463099999999997</v>
      </c>
    </row>
    <row r="142" spans="1:201" x14ac:dyDescent="0.25">
      <c r="A142">
        <v>126</v>
      </c>
      <c r="B142">
        <v>1690213665.5999999</v>
      </c>
      <c r="C142">
        <v>1398.099999904633</v>
      </c>
      <c r="D142" t="s">
        <v>583</v>
      </c>
      <c r="E142" t="s">
        <v>584</v>
      </c>
      <c r="F142" t="s">
        <v>330</v>
      </c>
      <c r="H142">
        <v>1690213665.5999999</v>
      </c>
      <c r="I142">
        <f t="shared" si="30"/>
        <v>1.9664412910591219E-3</v>
      </c>
      <c r="J142">
        <f t="shared" si="31"/>
        <v>1.966441291059122</v>
      </c>
      <c r="K142">
        <f t="shared" si="32"/>
        <v>33.874067618389304</v>
      </c>
      <c r="L142">
        <f t="shared" si="33"/>
        <v>401.46499999999997</v>
      </c>
      <c r="M142">
        <f t="shared" si="34"/>
        <v>69.469739512296542</v>
      </c>
      <c r="N142">
        <f t="shared" si="35"/>
        <v>6.8909297043253641</v>
      </c>
      <c r="O142">
        <f t="shared" si="36"/>
        <v>39.822620801065504</v>
      </c>
      <c r="P142">
        <f t="shared" si="37"/>
        <v>0.17220450312239807</v>
      </c>
      <c r="Q142">
        <f t="shared" si="38"/>
        <v>2.01021977202404</v>
      </c>
      <c r="R142">
        <f t="shared" si="39"/>
        <v>0.16440875804182714</v>
      </c>
      <c r="S142">
        <f t="shared" si="40"/>
        <v>0.10342647761457027</v>
      </c>
      <c r="T142">
        <f t="shared" si="41"/>
        <v>276.11438814000002</v>
      </c>
      <c r="U142">
        <f t="shared" si="42"/>
        <v>28.549301281633976</v>
      </c>
      <c r="V142">
        <f t="shared" si="43"/>
        <v>28.549301281633976</v>
      </c>
      <c r="W142">
        <f t="shared" si="44"/>
        <v>3.9180703656983993</v>
      </c>
      <c r="X142">
        <f t="shared" si="45"/>
        <v>77.570358555560915</v>
      </c>
      <c r="Y142">
        <f t="shared" si="46"/>
        <v>2.7716579787114002</v>
      </c>
      <c r="Z142">
        <f t="shared" si="47"/>
        <v>3.5730890385483511</v>
      </c>
      <c r="AA142">
        <f t="shared" si="48"/>
        <v>1.1464123869869991</v>
      </c>
      <c r="AB142">
        <f t="shared" si="49"/>
        <v>-86.720060935707281</v>
      </c>
      <c r="AC142">
        <f t="shared" si="50"/>
        <v>-171.0375139460017</v>
      </c>
      <c r="AD142">
        <f t="shared" si="51"/>
        <v>-18.502189729690411</v>
      </c>
      <c r="AE142">
        <f t="shared" si="52"/>
        <v>-0.14537647139940191</v>
      </c>
      <c r="AF142">
        <v>34</v>
      </c>
      <c r="AG142">
        <v>11</v>
      </c>
      <c r="AH142">
        <f t="shared" si="53"/>
        <v>1</v>
      </c>
      <c r="AI142">
        <f t="shared" si="54"/>
        <v>0</v>
      </c>
      <c r="AJ142">
        <f t="shared" si="55"/>
        <v>52317.920857086719</v>
      </c>
      <c r="AK142">
        <f t="shared" si="56"/>
        <v>1800</v>
      </c>
      <c r="AL142">
        <f t="shared" si="57"/>
        <v>1499.111523</v>
      </c>
      <c r="AM142">
        <f t="shared" si="58"/>
        <v>0.83283973499999997</v>
      </c>
      <c r="AN142">
        <f t="shared" si="59"/>
        <v>0.15339688230000001</v>
      </c>
      <c r="AO142">
        <v>34.5</v>
      </c>
      <c r="AP142">
        <v>0.5</v>
      </c>
      <c r="AQ142" t="s">
        <v>331</v>
      </c>
      <c r="AR142">
        <v>2</v>
      </c>
      <c r="AS142">
        <v>1690213665.5999999</v>
      </c>
      <c r="AT142">
        <v>401.46499999999997</v>
      </c>
      <c r="AU142">
        <v>799.97199999999998</v>
      </c>
      <c r="AV142">
        <v>27.942</v>
      </c>
      <c r="AW142">
        <v>5.9666199999999998</v>
      </c>
      <c r="AX142">
        <v>401.69400000000002</v>
      </c>
      <c r="AY142">
        <v>27.750399999999999</v>
      </c>
      <c r="AZ142">
        <v>300.09300000000002</v>
      </c>
      <c r="BA142">
        <v>99.093299999999999</v>
      </c>
      <c r="BB142">
        <v>9.9956699999999996E-2</v>
      </c>
      <c r="BC142">
        <v>26.9711</v>
      </c>
      <c r="BD142">
        <v>26.994900000000001</v>
      </c>
      <c r="BE142">
        <v>28.6234</v>
      </c>
      <c r="BF142">
        <v>0</v>
      </c>
      <c r="BG142">
        <v>0</v>
      </c>
      <c r="BH142">
        <v>9983.1200000000008</v>
      </c>
      <c r="BI142">
        <v>1077.1099999999999</v>
      </c>
      <c r="BJ142">
        <v>2.0744500000000001</v>
      </c>
      <c r="BK142">
        <v>-398.50700000000001</v>
      </c>
      <c r="BL142">
        <v>413.005</v>
      </c>
      <c r="BM142">
        <v>804.77300000000002</v>
      </c>
      <c r="BN142">
        <v>21.9754</v>
      </c>
      <c r="BO142">
        <v>799.97199999999998</v>
      </c>
      <c r="BP142">
        <v>5.9666199999999998</v>
      </c>
      <c r="BQ142">
        <v>2.7688700000000002</v>
      </c>
      <c r="BR142">
        <v>0.591252</v>
      </c>
      <c r="BS142">
        <v>22.6997</v>
      </c>
      <c r="BT142">
        <v>-0.51084499999999999</v>
      </c>
      <c r="BU142">
        <v>1800</v>
      </c>
      <c r="BV142">
        <v>0.91000999999999999</v>
      </c>
      <c r="BW142">
        <v>3.4008299999999998E-2</v>
      </c>
      <c r="BX142">
        <v>2.1992500000000002E-2</v>
      </c>
      <c r="BY142">
        <v>3.3989400000000003E-2</v>
      </c>
      <c r="BZ142">
        <v>26</v>
      </c>
      <c r="CA142">
        <v>33528.5</v>
      </c>
      <c r="CB142">
        <v>1690211922</v>
      </c>
      <c r="CC142" t="s">
        <v>332</v>
      </c>
      <c r="CD142">
        <v>1690211915</v>
      </c>
      <c r="CE142">
        <v>1690211922</v>
      </c>
      <c r="CF142">
        <v>6</v>
      </c>
      <c r="CG142">
        <v>1.0999999999999999E-2</v>
      </c>
      <c r="CH142">
        <v>8.0000000000000002E-3</v>
      </c>
      <c r="CI142">
        <v>-0.51100000000000001</v>
      </c>
      <c r="CJ142">
        <v>-6.6000000000000003E-2</v>
      </c>
      <c r="CK142">
        <v>800</v>
      </c>
      <c r="CL142">
        <v>6</v>
      </c>
      <c r="CM142">
        <v>0.21</v>
      </c>
      <c r="CN142">
        <v>0.02</v>
      </c>
      <c r="CO142">
        <v>-396.11260975609758</v>
      </c>
      <c r="CP142">
        <v>-13.215449477352211</v>
      </c>
      <c r="CQ142">
        <v>1.30442563527156</v>
      </c>
      <c r="CR142">
        <v>-1</v>
      </c>
      <c r="CS142">
        <v>21.889653658536592</v>
      </c>
      <c r="CT142">
        <v>0.47904041811846249</v>
      </c>
      <c r="CU142">
        <v>4.7242586707442712E-2</v>
      </c>
      <c r="CV142">
        <v>-1</v>
      </c>
      <c r="CW142">
        <v>0</v>
      </c>
      <c r="CX142">
        <v>0</v>
      </c>
      <c r="CY142" t="s">
        <v>333</v>
      </c>
      <c r="CZ142">
        <v>2.3641200000000002</v>
      </c>
      <c r="DA142">
        <v>2.71373</v>
      </c>
      <c r="DB142">
        <v>8.9760900000000005E-2</v>
      </c>
      <c r="DC142">
        <v>0.14605899999999999</v>
      </c>
      <c r="DD142">
        <v>0.12665999999999999</v>
      </c>
      <c r="DE142">
        <v>3.9263100000000002E-2</v>
      </c>
      <c r="DF142">
        <v>33215.699999999997</v>
      </c>
      <c r="DG142">
        <v>27493.4</v>
      </c>
      <c r="DH142">
        <v>31153</v>
      </c>
      <c r="DI142">
        <v>28054.9</v>
      </c>
      <c r="DJ142">
        <v>36923.599999999999</v>
      </c>
      <c r="DK142">
        <v>38324.400000000001</v>
      </c>
      <c r="DL142">
        <v>44330.8</v>
      </c>
      <c r="DM142">
        <v>42515.199999999997</v>
      </c>
      <c r="DN142">
        <v>1.3853</v>
      </c>
      <c r="DO142">
        <v>2.0333800000000002</v>
      </c>
      <c r="DP142">
        <v>7.9955899999999996E-2</v>
      </c>
      <c r="DQ142">
        <v>0.187051</v>
      </c>
      <c r="DR142">
        <v>25.6859</v>
      </c>
      <c r="DS142">
        <v>25.564800000000002</v>
      </c>
      <c r="DT142">
        <v>17.8</v>
      </c>
      <c r="DU142">
        <v>29.7</v>
      </c>
      <c r="DV142">
        <v>7.5224700000000002</v>
      </c>
      <c r="DW142">
        <v>62.001199999999997</v>
      </c>
      <c r="DX142">
        <v>36.618600000000001</v>
      </c>
      <c r="DY142">
        <v>1</v>
      </c>
      <c r="DZ142">
        <v>-8.1501500000000004E-2</v>
      </c>
      <c r="EA142">
        <v>-0.26505699999999999</v>
      </c>
      <c r="EB142">
        <v>20.189399999999999</v>
      </c>
      <c r="EC142">
        <v>5.2411000000000003</v>
      </c>
      <c r="ED142">
        <v>12.039899999999999</v>
      </c>
      <c r="EE142">
        <v>5.0173500000000004</v>
      </c>
      <c r="EF142">
        <v>3.2879999999999998</v>
      </c>
      <c r="EG142">
        <v>9999</v>
      </c>
      <c r="EH142">
        <v>9999</v>
      </c>
      <c r="EI142">
        <v>9999</v>
      </c>
      <c r="EJ142">
        <v>999.9</v>
      </c>
      <c r="EK142">
        <v>1.8689199999999999</v>
      </c>
      <c r="EL142">
        <v>1.8647</v>
      </c>
      <c r="EM142">
        <v>1.8692</v>
      </c>
      <c r="EN142">
        <v>1.8672500000000001</v>
      </c>
      <c r="EO142">
        <v>1.8633999999999999</v>
      </c>
      <c r="EP142">
        <v>1.8645799999999999</v>
      </c>
      <c r="EQ142">
        <v>1.8701700000000001</v>
      </c>
      <c r="ER142">
        <v>1.8694900000000001</v>
      </c>
      <c r="ES142">
        <v>0</v>
      </c>
      <c r="ET142">
        <v>0</v>
      </c>
      <c r="EU142">
        <v>0</v>
      </c>
      <c r="EV142">
        <v>0</v>
      </c>
      <c r="EW142" t="s">
        <v>334</v>
      </c>
      <c r="EX142" t="s">
        <v>335</v>
      </c>
      <c r="EY142" t="s">
        <v>336</v>
      </c>
      <c r="EZ142" t="s">
        <v>336</v>
      </c>
      <c r="FA142" t="s">
        <v>336</v>
      </c>
      <c r="FB142" t="s">
        <v>336</v>
      </c>
      <c r="FC142">
        <v>0</v>
      </c>
      <c r="FD142">
        <v>100</v>
      </c>
      <c r="FE142">
        <v>100</v>
      </c>
      <c r="FF142">
        <v>-0.22900000000000001</v>
      </c>
      <c r="FG142">
        <v>0.19159999999999999</v>
      </c>
      <c r="FH142">
        <v>4.0020685143421282E-2</v>
      </c>
      <c r="FI142">
        <v>-6.1462078757559423E-4</v>
      </c>
      <c r="FJ142">
        <v>-1.8861989874597051E-7</v>
      </c>
      <c r="FK142">
        <v>1.1980462299894961E-10</v>
      </c>
      <c r="FL142">
        <v>0.19160597004026461</v>
      </c>
      <c r="FM142">
        <v>0</v>
      </c>
      <c r="FN142">
        <v>0</v>
      </c>
      <c r="FO142">
        <v>0</v>
      </c>
      <c r="FP142">
        <v>3</v>
      </c>
      <c r="FQ142">
        <v>2158</v>
      </c>
      <c r="FR142">
        <v>1</v>
      </c>
      <c r="FS142">
        <v>19</v>
      </c>
      <c r="FT142">
        <v>29.2</v>
      </c>
      <c r="FU142">
        <v>29.1</v>
      </c>
      <c r="FV142">
        <v>1.77979</v>
      </c>
      <c r="FW142">
        <v>2.5744600000000002</v>
      </c>
      <c r="FX142">
        <v>1.5490699999999999</v>
      </c>
      <c r="FY142">
        <v>2.3290999999999999</v>
      </c>
      <c r="FZ142">
        <v>1.50146</v>
      </c>
      <c r="GA142">
        <v>2.3889200000000002</v>
      </c>
      <c r="GB142">
        <v>33.850900000000003</v>
      </c>
      <c r="GC142">
        <v>23.991199999999999</v>
      </c>
      <c r="GD142">
        <v>19</v>
      </c>
      <c r="GE142">
        <v>246.59399999999999</v>
      </c>
      <c r="GF142">
        <v>582.29200000000003</v>
      </c>
      <c r="GG142">
        <v>25.47</v>
      </c>
      <c r="GH142">
        <v>26.3642</v>
      </c>
      <c r="GI142">
        <v>30.0001</v>
      </c>
      <c r="GJ142">
        <v>26.510300000000001</v>
      </c>
      <c r="GK142">
        <v>26.480799999999999</v>
      </c>
      <c r="GL142">
        <v>35.581499999999998</v>
      </c>
      <c r="GM142">
        <v>-30</v>
      </c>
      <c r="GN142">
        <v>-30</v>
      </c>
      <c r="GO142">
        <v>25.476700000000001</v>
      </c>
      <c r="GP142">
        <v>800</v>
      </c>
      <c r="GQ142">
        <v>12.5298</v>
      </c>
      <c r="GR142">
        <v>99.672499999999999</v>
      </c>
      <c r="GS142">
        <v>99.463800000000006</v>
      </c>
    </row>
    <row r="143" spans="1:201" x14ac:dyDescent="0.25">
      <c r="A143">
        <v>127</v>
      </c>
      <c r="B143">
        <v>1690213675.5999999</v>
      </c>
      <c r="C143">
        <v>1408.099999904633</v>
      </c>
      <c r="D143" t="s">
        <v>585</v>
      </c>
      <c r="E143" t="s">
        <v>586</v>
      </c>
      <c r="F143" t="s">
        <v>330</v>
      </c>
      <c r="H143">
        <v>1690213675.5999999</v>
      </c>
      <c r="I143">
        <f t="shared" si="30"/>
        <v>1.9739723984147531E-3</v>
      </c>
      <c r="J143">
        <f t="shared" si="31"/>
        <v>1.973972398414753</v>
      </c>
      <c r="K143">
        <f t="shared" si="32"/>
        <v>34.072862089750458</v>
      </c>
      <c r="L143">
        <f t="shared" si="33"/>
        <v>399.31900000000002</v>
      </c>
      <c r="M143">
        <f t="shared" si="34"/>
        <v>68.923407366231629</v>
      </c>
      <c r="N143">
        <f t="shared" si="35"/>
        <v>6.8367721836848192</v>
      </c>
      <c r="O143">
        <f t="shared" si="36"/>
        <v>39.609954526920298</v>
      </c>
      <c r="P143">
        <f t="shared" si="37"/>
        <v>0.17411543864498263</v>
      </c>
      <c r="Q143">
        <f t="shared" si="38"/>
        <v>2.0088486924181068</v>
      </c>
      <c r="R143">
        <f t="shared" si="39"/>
        <v>0.16614484800406065</v>
      </c>
      <c r="S143">
        <f t="shared" si="40"/>
        <v>0.10452624566934034</v>
      </c>
      <c r="T143">
        <f t="shared" si="41"/>
        <v>276.11433324000001</v>
      </c>
      <c r="U143">
        <f t="shared" si="42"/>
        <v>28.548602590887548</v>
      </c>
      <c r="V143">
        <f t="shared" si="43"/>
        <v>28.548602590887548</v>
      </c>
      <c r="W143">
        <f t="shared" si="44"/>
        <v>3.9179114303665816</v>
      </c>
      <c r="X143">
        <f t="shared" si="45"/>
        <v>77.775604842229299</v>
      </c>
      <c r="Y143">
        <f t="shared" si="46"/>
        <v>2.7791711938411203</v>
      </c>
      <c r="Z143">
        <f t="shared" si="47"/>
        <v>3.5733199368603721</v>
      </c>
      <c r="AA143">
        <f t="shared" si="48"/>
        <v>1.1387402365254613</v>
      </c>
      <c r="AB143">
        <f t="shared" si="49"/>
        <v>-87.05218277009061</v>
      </c>
      <c r="AC143">
        <f t="shared" si="50"/>
        <v>-170.72605692822233</v>
      </c>
      <c r="AD143">
        <f t="shared" si="51"/>
        <v>-18.481139310674742</v>
      </c>
      <c r="AE143">
        <f t="shared" si="52"/>
        <v>-0.14504576898767141</v>
      </c>
      <c r="AF143">
        <v>33</v>
      </c>
      <c r="AG143">
        <v>11</v>
      </c>
      <c r="AH143">
        <f t="shared" si="53"/>
        <v>1</v>
      </c>
      <c r="AI143">
        <f t="shared" si="54"/>
        <v>0</v>
      </c>
      <c r="AJ143">
        <f t="shared" si="55"/>
        <v>52252.005403083094</v>
      </c>
      <c r="AK143">
        <f t="shared" si="56"/>
        <v>1800</v>
      </c>
      <c r="AL143">
        <f t="shared" si="57"/>
        <v>1499.110236</v>
      </c>
      <c r="AM143">
        <f t="shared" si="58"/>
        <v>0.83283901999999999</v>
      </c>
      <c r="AN143">
        <f t="shared" si="59"/>
        <v>0.15339685180000001</v>
      </c>
      <c r="AO143">
        <v>34.5</v>
      </c>
      <c r="AP143">
        <v>0.5</v>
      </c>
      <c r="AQ143" t="s">
        <v>331</v>
      </c>
      <c r="AR143">
        <v>2</v>
      </c>
      <c r="AS143">
        <v>1690213675.5999999</v>
      </c>
      <c r="AT143">
        <v>399.31900000000002</v>
      </c>
      <c r="AU143">
        <v>799.98400000000004</v>
      </c>
      <c r="AV143">
        <v>28.017600000000002</v>
      </c>
      <c r="AW143">
        <v>5.9660200000000003</v>
      </c>
      <c r="AX143">
        <v>399.54700000000003</v>
      </c>
      <c r="AY143">
        <v>27.826000000000001</v>
      </c>
      <c r="AZ143">
        <v>300.178</v>
      </c>
      <c r="BA143">
        <v>99.093800000000002</v>
      </c>
      <c r="BB143">
        <v>9.9963700000000003E-2</v>
      </c>
      <c r="BC143">
        <v>26.972200000000001</v>
      </c>
      <c r="BD143">
        <v>26.9953</v>
      </c>
      <c r="BE143">
        <v>28.617899999999999</v>
      </c>
      <c r="BF143">
        <v>0</v>
      </c>
      <c r="BG143">
        <v>0</v>
      </c>
      <c r="BH143">
        <v>9970</v>
      </c>
      <c r="BI143">
        <v>1077.26</v>
      </c>
      <c r="BJ143">
        <v>2.0744500000000001</v>
      </c>
      <c r="BK143">
        <v>-400.666</v>
      </c>
      <c r="BL143">
        <v>410.82900000000001</v>
      </c>
      <c r="BM143">
        <v>804.78599999999994</v>
      </c>
      <c r="BN143">
        <v>22.051600000000001</v>
      </c>
      <c r="BO143">
        <v>799.98400000000004</v>
      </c>
      <c r="BP143">
        <v>5.9660200000000003</v>
      </c>
      <c r="BQ143">
        <v>2.77637</v>
      </c>
      <c r="BR143">
        <v>0.59119500000000003</v>
      </c>
      <c r="BS143">
        <v>22.744299999999999</v>
      </c>
      <c r="BT143">
        <v>-0.51216600000000001</v>
      </c>
      <c r="BU143">
        <v>1800</v>
      </c>
      <c r="BV143">
        <v>0.91000400000000004</v>
      </c>
      <c r="BW143">
        <v>3.4007599999999999E-2</v>
      </c>
      <c r="BX143">
        <v>2.1992000000000001E-2</v>
      </c>
      <c r="BY143">
        <v>3.3996400000000003E-2</v>
      </c>
      <c r="BZ143">
        <v>26</v>
      </c>
      <c r="CA143">
        <v>33528.400000000001</v>
      </c>
      <c r="CB143">
        <v>1690211922</v>
      </c>
      <c r="CC143" t="s">
        <v>332</v>
      </c>
      <c r="CD143">
        <v>1690211915</v>
      </c>
      <c r="CE143">
        <v>1690211922</v>
      </c>
      <c r="CF143">
        <v>6</v>
      </c>
      <c r="CG143">
        <v>1.0999999999999999E-2</v>
      </c>
      <c r="CH143">
        <v>8.0000000000000002E-3</v>
      </c>
      <c r="CI143">
        <v>-0.51100000000000001</v>
      </c>
      <c r="CJ143">
        <v>-6.6000000000000003E-2</v>
      </c>
      <c r="CK143">
        <v>800</v>
      </c>
      <c r="CL143">
        <v>6</v>
      </c>
      <c r="CM143">
        <v>0.21</v>
      </c>
      <c r="CN143">
        <v>0.02</v>
      </c>
      <c r="CO143">
        <v>-398.30124999999998</v>
      </c>
      <c r="CP143">
        <v>-13.24315947467038</v>
      </c>
      <c r="CQ143">
        <v>1.276132688046195</v>
      </c>
      <c r="CR143">
        <v>-1</v>
      </c>
      <c r="CS143">
        <v>21.966067500000001</v>
      </c>
      <c r="CT143">
        <v>0.46144502814248811</v>
      </c>
      <c r="CU143">
        <v>4.4395824057561838E-2</v>
      </c>
      <c r="CV143">
        <v>-1</v>
      </c>
      <c r="CW143">
        <v>0</v>
      </c>
      <c r="CX143">
        <v>0</v>
      </c>
      <c r="CY143" t="s">
        <v>333</v>
      </c>
      <c r="CZ143">
        <v>2.3643900000000002</v>
      </c>
      <c r="DA143">
        <v>2.71373</v>
      </c>
      <c r="DB143">
        <v>8.9394500000000002E-2</v>
      </c>
      <c r="DC143">
        <v>0.146062</v>
      </c>
      <c r="DD143">
        <v>0.12689800000000001</v>
      </c>
      <c r="DE143">
        <v>3.9260099999999999E-2</v>
      </c>
      <c r="DF143">
        <v>33228.9</v>
      </c>
      <c r="DG143">
        <v>27493.4</v>
      </c>
      <c r="DH143">
        <v>31152.799999999999</v>
      </c>
      <c r="DI143">
        <v>28055</v>
      </c>
      <c r="DJ143">
        <v>36913.1</v>
      </c>
      <c r="DK143">
        <v>38324.699999999997</v>
      </c>
      <c r="DL143">
        <v>44330.5</v>
      </c>
      <c r="DM143">
        <v>42515.4</v>
      </c>
      <c r="DN143">
        <v>1.38595</v>
      </c>
      <c r="DO143">
        <v>2.0333800000000002</v>
      </c>
      <c r="DP143">
        <v>7.9978300000000002E-2</v>
      </c>
      <c r="DQ143">
        <v>0.186972</v>
      </c>
      <c r="DR143">
        <v>25.6859</v>
      </c>
      <c r="DS143">
        <v>25.560500000000001</v>
      </c>
      <c r="DT143">
        <v>17.8</v>
      </c>
      <c r="DU143">
        <v>29.7</v>
      </c>
      <c r="DV143">
        <v>7.5215899999999998</v>
      </c>
      <c r="DW143">
        <v>61.901200000000003</v>
      </c>
      <c r="DX143">
        <v>36.570500000000003</v>
      </c>
      <c r="DY143">
        <v>1</v>
      </c>
      <c r="DZ143">
        <v>-8.1519300000000003E-2</v>
      </c>
      <c r="EA143">
        <v>-0.26671299999999998</v>
      </c>
      <c r="EB143">
        <v>20.1892</v>
      </c>
      <c r="EC143">
        <v>5.2400500000000001</v>
      </c>
      <c r="ED143">
        <v>12.039899999999999</v>
      </c>
      <c r="EE143">
        <v>5.0168999999999997</v>
      </c>
      <c r="EF143">
        <v>3.2879999999999998</v>
      </c>
      <c r="EG143">
        <v>9999</v>
      </c>
      <c r="EH143">
        <v>9999</v>
      </c>
      <c r="EI143">
        <v>9999</v>
      </c>
      <c r="EJ143">
        <v>999.9</v>
      </c>
      <c r="EK143">
        <v>1.8689100000000001</v>
      </c>
      <c r="EL143">
        <v>1.86467</v>
      </c>
      <c r="EM143">
        <v>1.8691800000000001</v>
      </c>
      <c r="EN143">
        <v>1.8672599999999999</v>
      </c>
      <c r="EO143">
        <v>1.8633999999999999</v>
      </c>
      <c r="EP143">
        <v>1.8645799999999999</v>
      </c>
      <c r="EQ143">
        <v>1.87015</v>
      </c>
      <c r="ER143">
        <v>1.86948</v>
      </c>
      <c r="ES143">
        <v>0</v>
      </c>
      <c r="ET143">
        <v>0</v>
      </c>
      <c r="EU143">
        <v>0</v>
      </c>
      <c r="EV143">
        <v>0</v>
      </c>
      <c r="EW143" t="s">
        <v>334</v>
      </c>
      <c r="EX143" t="s">
        <v>335</v>
      </c>
      <c r="EY143" t="s">
        <v>336</v>
      </c>
      <c r="EZ143" t="s">
        <v>336</v>
      </c>
      <c r="FA143" t="s">
        <v>336</v>
      </c>
      <c r="FB143" t="s">
        <v>336</v>
      </c>
      <c r="FC143">
        <v>0</v>
      </c>
      <c r="FD143">
        <v>100</v>
      </c>
      <c r="FE143">
        <v>100</v>
      </c>
      <c r="FF143">
        <v>-0.22800000000000001</v>
      </c>
      <c r="FG143">
        <v>0.19159999999999999</v>
      </c>
      <c r="FH143">
        <v>4.0020685143421282E-2</v>
      </c>
      <c r="FI143">
        <v>-6.1462078757559423E-4</v>
      </c>
      <c r="FJ143">
        <v>-1.8861989874597051E-7</v>
      </c>
      <c r="FK143">
        <v>1.1980462299894961E-10</v>
      </c>
      <c r="FL143">
        <v>0.19160597004026461</v>
      </c>
      <c r="FM143">
        <v>0</v>
      </c>
      <c r="FN143">
        <v>0</v>
      </c>
      <c r="FO143">
        <v>0</v>
      </c>
      <c r="FP143">
        <v>3</v>
      </c>
      <c r="FQ143">
        <v>2158</v>
      </c>
      <c r="FR143">
        <v>1</v>
      </c>
      <c r="FS143">
        <v>19</v>
      </c>
      <c r="FT143">
        <v>29.3</v>
      </c>
      <c r="FU143">
        <v>29.2</v>
      </c>
      <c r="FV143">
        <v>1.77979</v>
      </c>
      <c r="FW143">
        <v>2.5720200000000002</v>
      </c>
      <c r="FX143">
        <v>1.5490699999999999</v>
      </c>
      <c r="FY143">
        <v>2.3290999999999999</v>
      </c>
      <c r="FZ143">
        <v>1.50146</v>
      </c>
      <c r="GA143">
        <v>2.3999000000000001</v>
      </c>
      <c r="GB143">
        <v>33.850900000000003</v>
      </c>
      <c r="GC143">
        <v>23.991199999999999</v>
      </c>
      <c r="GD143">
        <v>19</v>
      </c>
      <c r="GE143">
        <v>246.84200000000001</v>
      </c>
      <c r="GF143">
        <v>582.28599999999994</v>
      </c>
      <c r="GG143">
        <v>25.483699999999999</v>
      </c>
      <c r="GH143">
        <v>26.361899999999999</v>
      </c>
      <c r="GI143">
        <v>30.0001</v>
      </c>
      <c r="GJ143">
        <v>26.509499999999999</v>
      </c>
      <c r="GK143">
        <v>26.4803</v>
      </c>
      <c r="GL143">
        <v>35.580399999999997</v>
      </c>
      <c r="GM143">
        <v>-30</v>
      </c>
      <c r="GN143">
        <v>-30</v>
      </c>
      <c r="GO143">
        <v>25.4863</v>
      </c>
      <c r="GP143">
        <v>800</v>
      </c>
      <c r="GQ143">
        <v>12.5298</v>
      </c>
      <c r="GR143">
        <v>99.671800000000005</v>
      </c>
      <c r="GS143">
        <v>99.463999999999999</v>
      </c>
    </row>
    <row r="144" spans="1:201" x14ac:dyDescent="0.25">
      <c r="A144">
        <v>128</v>
      </c>
      <c r="B144">
        <v>1690213685.5999999</v>
      </c>
      <c r="C144">
        <v>1418.099999904633</v>
      </c>
      <c r="D144" t="s">
        <v>587</v>
      </c>
      <c r="E144" t="s">
        <v>588</v>
      </c>
      <c r="F144" t="s">
        <v>330</v>
      </c>
      <c r="H144">
        <v>1690213685.5999999</v>
      </c>
      <c r="I144">
        <f t="shared" si="30"/>
        <v>1.9811085159224667E-3</v>
      </c>
      <c r="J144">
        <f t="shared" si="31"/>
        <v>1.9811085159224666</v>
      </c>
      <c r="K144">
        <f t="shared" si="32"/>
        <v>34.276076600164529</v>
      </c>
      <c r="L144">
        <f t="shared" si="33"/>
        <v>397.08199999999999</v>
      </c>
      <c r="M144">
        <f t="shared" si="34"/>
        <v>68.438153679674159</v>
      </c>
      <c r="N144">
        <f t="shared" si="35"/>
        <v>6.7884575248479235</v>
      </c>
      <c r="O144">
        <f t="shared" si="36"/>
        <v>39.387010694331998</v>
      </c>
      <c r="P144">
        <f t="shared" si="37"/>
        <v>0.17614721791452259</v>
      </c>
      <c r="Q144">
        <f t="shared" si="38"/>
        <v>2.0094099701590458</v>
      </c>
      <c r="R144">
        <f t="shared" si="39"/>
        <v>0.16799636653026051</v>
      </c>
      <c r="S144">
        <f t="shared" si="40"/>
        <v>0.10569861556665419</v>
      </c>
      <c r="T144">
        <f t="shared" si="41"/>
        <v>276.11427771000001</v>
      </c>
      <c r="U144">
        <f t="shared" si="42"/>
        <v>28.543883753894558</v>
      </c>
      <c r="V144">
        <f t="shared" si="43"/>
        <v>28.543883753894558</v>
      </c>
      <c r="W144">
        <f t="shared" si="44"/>
        <v>3.9168381557315737</v>
      </c>
      <c r="X144">
        <f t="shared" si="45"/>
        <v>77.992569721554489</v>
      </c>
      <c r="Y144">
        <f t="shared" si="46"/>
        <v>2.7866457365061996</v>
      </c>
      <c r="Z144">
        <f t="shared" si="47"/>
        <v>3.5729630995041646</v>
      </c>
      <c r="AA144">
        <f t="shared" si="48"/>
        <v>1.1301924192253741</v>
      </c>
      <c r="AB144">
        <f t="shared" si="49"/>
        <v>-87.366885552180776</v>
      </c>
      <c r="AC144">
        <f t="shared" si="50"/>
        <v>-170.44672368177478</v>
      </c>
      <c r="AD144">
        <f t="shared" si="51"/>
        <v>-18.445156643476125</v>
      </c>
      <c r="AE144">
        <f t="shared" si="52"/>
        <v>-0.14448816743168891</v>
      </c>
      <c r="AF144">
        <v>33</v>
      </c>
      <c r="AG144">
        <v>11</v>
      </c>
      <c r="AH144">
        <f t="shared" si="53"/>
        <v>1</v>
      </c>
      <c r="AI144">
        <f t="shared" si="54"/>
        <v>0</v>
      </c>
      <c r="AJ144">
        <f t="shared" si="55"/>
        <v>52279.146322210356</v>
      </c>
      <c r="AK144">
        <f t="shared" si="56"/>
        <v>1800</v>
      </c>
      <c r="AL144">
        <f t="shared" si="57"/>
        <v>1499.108958</v>
      </c>
      <c r="AM144">
        <f t="shared" si="58"/>
        <v>0.83283830999999997</v>
      </c>
      <c r="AN144">
        <f t="shared" si="59"/>
        <v>0.15339682095000001</v>
      </c>
      <c r="AO144">
        <v>34.5</v>
      </c>
      <c r="AP144">
        <v>0.5</v>
      </c>
      <c r="AQ144" t="s">
        <v>331</v>
      </c>
      <c r="AR144">
        <v>2</v>
      </c>
      <c r="AS144">
        <v>1690213685.5999999</v>
      </c>
      <c r="AT144">
        <v>397.08199999999999</v>
      </c>
      <c r="AU144">
        <v>800.05499999999995</v>
      </c>
      <c r="AV144">
        <v>28.093699999999998</v>
      </c>
      <c r="AW144">
        <v>5.9646499999999998</v>
      </c>
      <c r="AX144">
        <v>397.30799999999999</v>
      </c>
      <c r="AY144">
        <v>27.902100000000001</v>
      </c>
      <c r="AZ144">
        <v>300.185</v>
      </c>
      <c r="BA144">
        <v>99.091099999999997</v>
      </c>
      <c r="BB144">
        <v>0.100026</v>
      </c>
      <c r="BC144">
        <v>26.970500000000001</v>
      </c>
      <c r="BD144">
        <v>26.9941</v>
      </c>
      <c r="BE144">
        <v>28.6311</v>
      </c>
      <c r="BF144">
        <v>0</v>
      </c>
      <c r="BG144">
        <v>0</v>
      </c>
      <c r="BH144">
        <v>9975.6200000000008</v>
      </c>
      <c r="BI144">
        <v>1077.0999999999999</v>
      </c>
      <c r="BJ144">
        <v>2.0744500000000001</v>
      </c>
      <c r="BK144">
        <v>-402.97300000000001</v>
      </c>
      <c r="BL144">
        <v>408.56</v>
      </c>
      <c r="BM144">
        <v>804.85500000000002</v>
      </c>
      <c r="BN144">
        <v>22.129100000000001</v>
      </c>
      <c r="BO144">
        <v>800.05499999999995</v>
      </c>
      <c r="BP144">
        <v>5.9646499999999998</v>
      </c>
      <c r="BQ144">
        <v>2.7838400000000001</v>
      </c>
      <c r="BR144">
        <v>0.59104400000000001</v>
      </c>
      <c r="BS144">
        <v>22.788599999999999</v>
      </c>
      <c r="BT144">
        <v>-0.51567099999999999</v>
      </c>
      <c r="BU144">
        <v>1800</v>
      </c>
      <c r="BV144">
        <v>0.90999799999999997</v>
      </c>
      <c r="BW144">
        <v>3.4006799999999997E-2</v>
      </c>
      <c r="BX144">
        <v>2.1991500000000001E-2</v>
      </c>
      <c r="BY144">
        <v>3.4003499999999999E-2</v>
      </c>
      <c r="BZ144">
        <v>26</v>
      </c>
      <c r="CA144">
        <v>33528.400000000001</v>
      </c>
      <c r="CB144">
        <v>1690211922</v>
      </c>
      <c r="CC144" t="s">
        <v>332</v>
      </c>
      <c r="CD144">
        <v>1690211915</v>
      </c>
      <c r="CE144">
        <v>1690211922</v>
      </c>
      <c r="CF144">
        <v>6</v>
      </c>
      <c r="CG144">
        <v>1.0999999999999999E-2</v>
      </c>
      <c r="CH144">
        <v>8.0000000000000002E-3</v>
      </c>
      <c r="CI144">
        <v>-0.51100000000000001</v>
      </c>
      <c r="CJ144">
        <v>-6.6000000000000003E-2</v>
      </c>
      <c r="CK144">
        <v>800</v>
      </c>
      <c r="CL144">
        <v>6</v>
      </c>
      <c r="CM144">
        <v>0.21</v>
      </c>
      <c r="CN144">
        <v>0.02</v>
      </c>
      <c r="CO144">
        <v>-400.54365853658533</v>
      </c>
      <c r="CP144">
        <v>-12.954250871080889</v>
      </c>
      <c r="CQ144">
        <v>1.2790877009874539</v>
      </c>
      <c r="CR144">
        <v>-1</v>
      </c>
      <c r="CS144">
        <v>22.043929268292679</v>
      </c>
      <c r="CT144">
        <v>0.45501533101048758</v>
      </c>
      <c r="CU144">
        <v>4.486912809005951E-2</v>
      </c>
      <c r="CV144">
        <v>-1</v>
      </c>
      <c r="CW144">
        <v>0</v>
      </c>
      <c r="CX144">
        <v>0</v>
      </c>
      <c r="CY144" t="s">
        <v>333</v>
      </c>
      <c r="CZ144">
        <v>2.36443</v>
      </c>
      <c r="DA144">
        <v>2.7138</v>
      </c>
      <c r="DB144">
        <v>8.9008900000000002E-2</v>
      </c>
      <c r="DC144">
        <v>0.146067</v>
      </c>
      <c r="DD144">
        <v>0.127134</v>
      </c>
      <c r="DE144">
        <v>3.9252000000000002E-2</v>
      </c>
      <c r="DF144">
        <v>33243.1</v>
      </c>
      <c r="DG144">
        <v>27493.5</v>
      </c>
      <c r="DH144">
        <v>31152.9</v>
      </c>
      <c r="DI144">
        <v>28055.3</v>
      </c>
      <c r="DJ144">
        <v>36903.1</v>
      </c>
      <c r="DK144">
        <v>38325.199999999997</v>
      </c>
      <c r="DL144">
        <v>44330.7</v>
      </c>
      <c r="DM144">
        <v>42515.6</v>
      </c>
      <c r="DN144">
        <v>1.3859300000000001</v>
      </c>
      <c r="DO144">
        <v>2.0333999999999999</v>
      </c>
      <c r="DP144">
        <v>8.00453E-2</v>
      </c>
      <c r="DQ144">
        <v>0.187919</v>
      </c>
      <c r="DR144">
        <v>25.683700000000002</v>
      </c>
      <c r="DS144">
        <v>25.558399999999999</v>
      </c>
      <c r="DT144">
        <v>17.7</v>
      </c>
      <c r="DU144">
        <v>29.7</v>
      </c>
      <c r="DV144">
        <v>7.4797500000000001</v>
      </c>
      <c r="DW144">
        <v>61.801200000000001</v>
      </c>
      <c r="DX144">
        <v>36.7468</v>
      </c>
      <c r="DY144">
        <v>1</v>
      </c>
      <c r="DZ144">
        <v>-8.1646300000000005E-2</v>
      </c>
      <c r="EA144">
        <v>-0.27419399999999999</v>
      </c>
      <c r="EB144">
        <v>20.1891</v>
      </c>
      <c r="EC144">
        <v>5.2404999999999999</v>
      </c>
      <c r="ED144">
        <v>12.039899999999999</v>
      </c>
      <c r="EE144">
        <v>5.0169499999999996</v>
      </c>
      <c r="EF144">
        <v>3.2879999999999998</v>
      </c>
      <c r="EG144">
        <v>9999</v>
      </c>
      <c r="EH144">
        <v>9999</v>
      </c>
      <c r="EI144">
        <v>9999</v>
      </c>
      <c r="EJ144">
        <v>999.9</v>
      </c>
      <c r="EK144">
        <v>1.8689100000000001</v>
      </c>
      <c r="EL144">
        <v>1.8646799999999999</v>
      </c>
      <c r="EM144">
        <v>1.8691899999999999</v>
      </c>
      <c r="EN144">
        <v>1.8672299999999999</v>
      </c>
      <c r="EO144">
        <v>1.8633999999999999</v>
      </c>
      <c r="EP144">
        <v>1.8645799999999999</v>
      </c>
      <c r="EQ144">
        <v>1.8701399999999999</v>
      </c>
      <c r="ER144">
        <v>1.86944</v>
      </c>
      <c r="ES144">
        <v>0</v>
      </c>
      <c r="ET144">
        <v>0</v>
      </c>
      <c r="EU144">
        <v>0</v>
      </c>
      <c r="EV144">
        <v>0</v>
      </c>
      <c r="EW144" t="s">
        <v>334</v>
      </c>
      <c r="EX144" t="s">
        <v>335</v>
      </c>
      <c r="EY144" t="s">
        <v>336</v>
      </c>
      <c r="EZ144" t="s">
        <v>336</v>
      </c>
      <c r="FA144" t="s">
        <v>336</v>
      </c>
      <c r="FB144" t="s">
        <v>336</v>
      </c>
      <c r="FC144">
        <v>0</v>
      </c>
      <c r="FD144">
        <v>100</v>
      </c>
      <c r="FE144">
        <v>100</v>
      </c>
      <c r="FF144">
        <v>-0.22600000000000001</v>
      </c>
      <c r="FG144">
        <v>0.19159999999999999</v>
      </c>
      <c r="FH144">
        <v>4.0020685143421282E-2</v>
      </c>
      <c r="FI144">
        <v>-6.1462078757559423E-4</v>
      </c>
      <c r="FJ144">
        <v>-1.8861989874597051E-7</v>
      </c>
      <c r="FK144">
        <v>1.1980462299894961E-10</v>
      </c>
      <c r="FL144">
        <v>0.19160597004026461</v>
      </c>
      <c r="FM144">
        <v>0</v>
      </c>
      <c r="FN144">
        <v>0</v>
      </c>
      <c r="FO144">
        <v>0</v>
      </c>
      <c r="FP144">
        <v>3</v>
      </c>
      <c r="FQ144">
        <v>2158</v>
      </c>
      <c r="FR144">
        <v>1</v>
      </c>
      <c r="FS144">
        <v>19</v>
      </c>
      <c r="FT144">
        <v>29.5</v>
      </c>
      <c r="FU144">
        <v>29.4</v>
      </c>
      <c r="FV144">
        <v>1.77979</v>
      </c>
      <c r="FW144">
        <v>2.5744600000000002</v>
      </c>
      <c r="FX144">
        <v>1.5490699999999999</v>
      </c>
      <c r="FY144">
        <v>2.3290999999999999</v>
      </c>
      <c r="FZ144">
        <v>1.50146</v>
      </c>
      <c r="GA144">
        <v>2.4072300000000002</v>
      </c>
      <c r="GB144">
        <v>33.850900000000003</v>
      </c>
      <c r="GC144">
        <v>23.982399999999998</v>
      </c>
      <c r="GD144">
        <v>19</v>
      </c>
      <c r="GE144">
        <v>246.827</v>
      </c>
      <c r="GF144">
        <v>582.28200000000004</v>
      </c>
      <c r="GG144">
        <v>25.494199999999999</v>
      </c>
      <c r="GH144">
        <v>26.361899999999999</v>
      </c>
      <c r="GI144">
        <v>29.9999</v>
      </c>
      <c r="GJ144">
        <v>26.507999999999999</v>
      </c>
      <c r="GK144">
        <v>26.478100000000001</v>
      </c>
      <c r="GL144">
        <v>35.5779</v>
      </c>
      <c r="GM144">
        <v>-30</v>
      </c>
      <c r="GN144">
        <v>-30</v>
      </c>
      <c r="GO144">
        <v>25.497199999999999</v>
      </c>
      <c r="GP144">
        <v>800</v>
      </c>
      <c r="GQ144">
        <v>12.5298</v>
      </c>
      <c r="GR144">
        <v>99.672200000000004</v>
      </c>
      <c r="GS144">
        <v>99.4649</v>
      </c>
    </row>
    <row r="145" spans="1:201" x14ac:dyDescent="0.25">
      <c r="A145">
        <v>129</v>
      </c>
      <c r="B145">
        <v>1690213695.5999999</v>
      </c>
      <c r="C145">
        <v>1428.099999904633</v>
      </c>
      <c r="D145" t="s">
        <v>589</v>
      </c>
      <c r="E145" t="s">
        <v>590</v>
      </c>
      <c r="F145" t="s">
        <v>330</v>
      </c>
      <c r="H145">
        <v>1690213695.5999999</v>
      </c>
      <c r="I145">
        <f t="shared" ref="I145:I208" si="60">(J145)/1000</f>
        <v>1.9881142795690012E-3</v>
      </c>
      <c r="J145">
        <f t="shared" ref="J145:J208" si="61">1000*AZ145*AH145*(AV145-AW145)/(100*AO145*(1000-AH145*AV145))</f>
        <v>1.9881142795690012</v>
      </c>
      <c r="K145">
        <f t="shared" ref="K145:K208" si="62">AZ145*AH145*(AU145-AT145*(1000-AH145*AW145)/(1000-AH145*AV145))/(100*AO145)</f>
        <v>34.459277962035976</v>
      </c>
      <c r="L145">
        <f t="shared" ref="L145:L208" si="63">AT145 - IF(AH145&gt;1, K145*AO145*100/(AJ145*BH145), 0)</f>
        <v>394.91399999999999</v>
      </c>
      <c r="M145">
        <f t="shared" ref="M145:M208" si="64">((S145-I145/2)*L145-K145)/(S145+I145/2)</f>
        <v>68.438234324733742</v>
      </c>
      <c r="N145">
        <f t="shared" ref="N145:N208" si="65">M145*(BA145+BB145)/1000</f>
        <v>6.7887936786119534</v>
      </c>
      <c r="O145">
        <f t="shared" ref="O145:O208" si="66">(AT145 - IF(AH145&gt;1, K145*AO145*100/(AJ145*BH145), 0))*(BA145+BB145)/1000</f>
        <v>39.173857906302594</v>
      </c>
      <c r="P145">
        <f t="shared" ref="P145:P208" si="67">2/((1/R145-1/Q145)+SIGN(R145)*SQRT((1/R145-1/Q145)*(1/R145-1/Q145) + 4*AP145/((AP145+1)*(AP145+1))*(2*1/R145*1/Q145-1/Q145*1/Q145)))</f>
        <v>0.17831201544537428</v>
      </c>
      <c r="Q145">
        <f t="shared" ref="Q145:Q208" si="68">IF(LEFT(AQ145,1)&lt;&gt;"0",IF(LEFT(AQ145,1)="1",3,AR145),$D$5+$E$5*(BH145*BA145/($K$5*1000))+$F$5*(BH145*BA145/($K$5*1000))*MAX(MIN(AO145,$J$5),$I$5)*MAX(MIN(AO145,$J$5),$I$5)+$G$5*MAX(MIN(AO145,$J$5),$I$5)*(BH145*BA145/($K$5*1000))+$H$5*(BH145*BA145/($K$5*1000))*(BH145*BA145/($K$5*1000)))</f>
        <v>2.0163190545395127</v>
      </c>
      <c r="R145">
        <f t="shared" ref="R145:R208" si="69">I145*(1000-(1000*0.61365*EXP(17.502*V145/(240.97+V145))/(BA145+BB145)+AV145)/2)/(1000*0.61365*EXP(17.502*V145/(240.97+V145))/(BA145+BB145)-AV145)</f>
        <v>0.16999185971280664</v>
      </c>
      <c r="S145">
        <f t="shared" ref="S145:S208" si="70">1/((AP145+1)/(P145/1.6)+1/(Q145/1.37)) + AP145/((AP145+1)/(P145/1.6) + AP145/(Q145/1.37))</f>
        <v>0.10696008779265756</v>
      </c>
      <c r="T145">
        <f t="shared" ref="T145:T208" si="71">(AK145*AN145)</f>
        <v>276.11430046199996</v>
      </c>
      <c r="U145">
        <f t="shared" ref="U145:U208" si="72">(BC145+(T145+2*0.95*0.0000000567*(((BC145+$B$7)+273)^4-(BC145+273)^4)-44100*I145)/(1.84*29.3*Q145+8*0.95*0.0000000567*(BC145+273)^3))</f>
        <v>28.536745829914011</v>
      </c>
      <c r="V145">
        <f t="shared" ref="V145:V208" si="73">($C$7*BD145+$D$7*BE145+$E$7*U145)</f>
        <v>28.536745829914011</v>
      </c>
      <c r="W145">
        <f t="shared" ref="W145:W208" si="74">0.61365*EXP(17.502*V145/(240.97+V145))</f>
        <v>3.915215159818132</v>
      </c>
      <c r="X145">
        <f t="shared" ref="X145:X208" si="75">(Y145/Z145*100)</f>
        <v>78.205959860714387</v>
      </c>
      <c r="Y145">
        <f t="shared" ref="Y145:Y208" si="76">AV145*(BA145+BB145)/1000</f>
        <v>2.79431933297673</v>
      </c>
      <c r="Z145">
        <f t="shared" ref="Z145:Z208" si="77">0.61365*EXP(17.502*BC145/(240.97+BC145))</f>
        <v>3.5730260685418873</v>
      </c>
      <c r="AA145">
        <f t="shared" ref="AA145:AA208" si="78">(W145-AV145*(BA145+BB145)/1000)</f>
        <v>1.120895826841402</v>
      </c>
      <c r="AB145">
        <f t="shared" ref="AB145:AB208" si="79">(-I145*44100)</f>
        <v>-87.675839728992955</v>
      </c>
      <c r="AC145">
        <f t="shared" ref="AC145:AC208" si="80">2*29.3*Q145*0.92*(BC145-V145)</f>
        <v>-170.22425113800432</v>
      </c>
      <c r="AD145">
        <f t="shared" ref="AD145:AD208" si="81">2*0.95*0.0000000567*(((BC145+$B$7)+273)^4-(V145+273)^4)</f>
        <v>-18.357332823249166</v>
      </c>
      <c r="AE145">
        <f t="shared" ref="AE145:AE208" si="82">T145+AD145+AB145+AC145</f>
        <v>-0.14312322824650892</v>
      </c>
      <c r="AF145">
        <v>33</v>
      </c>
      <c r="AG145">
        <v>11</v>
      </c>
      <c r="AH145">
        <f t="shared" ref="AH145:AH208" si="83">IF(AF145*$H$13&gt;=AJ145,1,(AJ145/(AJ145-AF145*$H$13)))</f>
        <v>1</v>
      </c>
      <c r="AI145">
        <f t="shared" ref="AI145:AI208" si="84">(AH145-1)*100</f>
        <v>0</v>
      </c>
      <c r="AJ145">
        <f t="shared" ref="AJ145:AJ208" si="85">MAX(0,($B$13+$C$13*BH145)/(1+$D$13*BH145)*BA145/(BC145+273)*$E$13)</f>
        <v>52611.218921700507</v>
      </c>
      <c r="AK145">
        <f t="shared" ref="AK145:AK208" si="86">$B$11*BI145+$C$11*BJ145+$D$11*BU145</f>
        <v>1800</v>
      </c>
      <c r="AL145">
        <f t="shared" ref="AL145:AL208" si="87">AK145*AM145</f>
        <v>1499.1074981999998</v>
      </c>
      <c r="AM145">
        <f t="shared" ref="AM145:AM208" si="88">($B$11*$D$9+$C$11*$D$9+$D$11*(BV145*$E$9+BW145*$F$9+BX145*$G$9+BY145*$H$9))/($B$11+$C$11+$D$11)</f>
        <v>0.83283749899999993</v>
      </c>
      <c r="AN145">
        <f t="shared" ref="AN145:AN208" si="89">($B$11*$K$9+$C$11*$K$9+$D$11*(BV145*$L$9+BW145*$M$9+BX145*$N$9+BY145*$O$9))/($B$11+$C$11+$D$11)</f>
        <v>0.15339683358999998</v>
      </c>
      <c r="AO145">
        <v>34.5</v>
      </c>
      <c r="AP145">
        <v>0.5</v>
      </c>
      <c r="AQ145" t="s">
        <v>331</v>
      </c>
      <c r="AR145">
        <v>2</v>
      </c>
      <c r="AS145">
        <v>1690213695.5999999</v>
      </c>
      <c r="AT145">
        <v>394.91399999999999</v>
      </c>
      <c r="AU145">
        <v>799.97900000000004</v>
      </c>
      <c r="AV145">
        <v>28.169699999999999</v>
      </c>
      <c r="AW145">
        <v>5.9639100000000003</v>
      </c>
      <c r="AX145">
        <v>395.13900000000001</v>
      </c>
      <c r="AY145">
        <v>27.978100000000001</v>
      </c>
      <c r="AZ145">
        <v>300.18200000000002</v>
      </c>
      <c r="BA145">
        <v>99.096000000000004</v>
      </c>
      <c r="BB145">
        <v>9.9920900000000007E-2</v>
      </c>
      <c r="BC145">
        <v>26.970800000000001</v>
      </c>
      <c r="BD145">
        <v>27.002600000000001</v>
      </c>
      <c r="BE145">
        <v>28.625800000000002</v>
      </c>
      <c r="BF145">
        <v>0</v>
      </c>
      <c r="BG145">
        <v>0</v>
      </c>
      <c r="BH145">
        <v>10041.200000000001</v>
      </c>
      <c r="BI145">
        <v>1077</v>
      </c>
      <c r="BJ145">
        <v>2.0744500000000001</v>
      </c>
      <c r="BK145">
        <v>-405.065</v>
      </c>
      <c r="BL145">
        <v>406.36099999999999</v>
      </c>
      <c r="BM145">
        <v>804.779</v>
      </c>
      <c r="BN145">
        <v>22.2058</v>
      </c>
      <c r="BO145">
        <v>799.97900000000004</v>
      </c>
      <c r="BP145">
        <v>5.9639100000000003</v>
      </c>
      <c r="BQ145">
        <v>2.7915000000000001</v>
      </c>
      <c r="BR145">
        <v>0.59099999999999997</v>
      </c>
      <c r="BS145">
        <v>22.8339</v>
      </c>
      <c r="BT145">
        <v>-0.51669900000000002</v>
      </c>
      <c r="BU145">
        <v>1800</v>
      </c>
      <c r="BV145">
        <v>0.90998999999999997</v>
      </c>
      <c r="BW145">
        <v>3.4006399999999999E-2</v>
      </c>
      <c r="BX145">
        <v>2.1991199999999999E-2</v>
      </c>
      <c r="BY145">
        <v>3.4012100000000003E-2</v>
      </c>
      <c r="BZ145">
        <v>26</v>
      </c>
      <c r="CA145">
        <v>33528.5</v>
      </c>
      <c r="CB145">
        <v>1690211922</v>
      </c>
      <c r="CC145" t="s">
        <v>332</v>
      </c>
      <c r="CD145">
        <v>1690211915</v>
      </c>
      <c r="CE145">
        <v>1690211922</v>
      </c>
      <c r="CF145">
        <v>6</v>
      </c>
      <c r="CG145">
        <v>1.0999999999999999E-2</v>
      </c>
      <c r="CH145">
        <v>8.0000000000000002E-3</v>
      </c>
      <c r="CI145">
        <v>-0.51100000000000001</v>
      </c>
      <c r="CJ145">
        <v>-6.6000000000000003E-2</v>
      </c>
      <c r="CK145">
        <v>800</v>
      </c>
      <c r="CL145">
        <v>6</v>
      </c>
      <c r="CM145">
        <v>0.21</v>
      </c>
      <c r="CN145">
        <v>0.02</v>
      </c>
      <c r="CO145">
        <v>-402.64155</v>
      </c>
      <c r="CP145">
        <v>-12.93593245778573</v>
      </c>
      <c r="CQ145">
        <v>1.2454305671132351</v>
      </c>
      <c r="CR145">
        <v>-1</v>
      </c>
      <c r="CS145">
        <v>22.118465</v>
      </c>
      <c r="CT145">
        <v>0.46255834896809622</v>
      </c>
      <c r="CU145">
        <v>4.4500407582403097E-2</v>
      </c>
      <c r="CV145">
        <v>-1</v>
      </c>
      <c r="CW145">
        <v>0</v>
      </c>
      <c r="CX145">
        <v>0</v>
      </c>
      <c r="CY145" t="s">
        <v>333</v>
      </c>
      <c r="CZ145">
        <v>2.3644099999999999</v>
      </c>
      <c r="DA145">
        <v>2.7137500000000001</v>
      </c>
      <c r="DB145">
        <v>8.86411E-2</v>
      </c>
      <c r="DC145">
        <v>0.146065</v>
      </c>
      <c r="DD145">
        <v>0.12737899999999999</v>
      </c>
      <c r="DE145">
        <v>3.925E-2</v>
      </c>
      <c r="DF145">
        <v>33257.1</v>
      </c>
      <c r="DG145">
        <v>27493.599999999999</v>
      </c>
      <c r="DH145">
        <v>31153.4</v>
      </c>
      <c r="DI145">
        <v>28055.3</v>
      </c>
      <c r="DJ145">
        <v>36893.199999999997</v>
      </c>
      <c r="DK145">
        <v>38325.4</v>
      </c>
      <c r="DL145">
        <v>44331.4</v>
      </c>
      <c r="DM145">
        <v>42515.7</v>
      </c>
      <c r="DN145">
        <v>1.3865499999999999</v>
      </c>
      <c r="DO145">
        <v>2.0332300000000001</v>
      </c>
      <c r="DP145">
        <v>8.0823900000000004E-2</v>
      </c>
      <c r="DQ145">
        <v>0.187885</v>
      </c>
      <c r="DR145">
        <v>25.679400000000001</v>
      </c>
      <c r="DS145">
        <v>25.5535</v>
      </c>
      <c r="DT145">
        <v>17.8</v>
      </c>
      <c r="DU145">
        <v>29.7</v>
      </c>
      <c r="DV145">
        <v>7.5224900000000003</v>
      </c>
      <c r="DW145">
        <v>61.251199999999997</v>
      </c>
      <c r="DX145">
        <v>36.963099999999997</v>
      </c>
      <c r="DY145">
        <v>1</v>
      </c>
      <c r="DZ145">
        <v>-8.1605700000000003E-2</v>
      </c>
      <c r="EA145">
        <v>-0.26439299999999999</v>
      </c>
      <c r="EB145">
        <v>20.189299999999999</v>
      </c>
      <c r="EC145">
        <v>5.2404999999999999</v>
      </c>
      <c r="ED145">
        <v>12.039899999999999</v>
      </c>
      <c r="EE145">
        <v>5.01715</v>
      </c>
      <c r="EF145">
        <v>3.2879999999999998</v>
      </c>
      <c r="EG145">
        <v>9999</v>
      </c>
      <c r="EH145">
        <v>9999</v>
      </c>
      <c r="EI145">
        <v>9999</v>
      </c>
      <c r="EJ145">
        <v>999.9</v>
      </c>
      <c r="EK145">
        <v>1.8689100000000001</v>
      </c>
      <c r="EL145">
        <v>1.86467</v>
      </c>
      <c r="EM145">
        <v>1.8692</v>
      </c>
      <c r="EN145">
        <v>1.8672299999999999</v>
      </c>
      <c r="EO145">
        <v>1.8633999999999999</v>
      </c>
      <c r="EP145">
        <v>1.8645799999999999</v>
      </c>
      <c r="EQ145">
        <v>1.87015</v>
      </c>
      <c r="ER145">
        <v>1.86947</v>
      </c>
      <c r="ES145">
        <v>0</v>
      </c>
      <c r="ET145">
        <v>0</v>
      </c>
      <c r="EU145">
        <v>0</v>
      </c>
      <c r="EV145">
        <v>0</v>
      </c>
      <c r="EW145" t="s">
        <v>334</v>
      </c>
      <c r="EX145" t="s">
        <v>335</v>
      </c>
      <c r="EY145" t="s">
        <v>336</v>
      </c>
      <c r="EZ145" t="s">
        <v>336</v>
      </c>
      <c r="FA145" t="s">
        <v>336</v>
      </c>
      <c r="FB145" t="s">
        <v>336</v>
      </c>
      <c r="FC145">
        <v>0</v>
      </c>
      <c r="FD145">
        <v>100</v>
      </c>
      <c r="FE145">
        <v>100</v>
      </c>
      <c r="FF145">
        <v>-0.22500000000000001</v>
      </c>
      <c r="FG145">
        <v>0.19159999999999999</v>
      </c>
      <c r="FH145">
        <v>4.0020685143421282E-2</v>
      </c>
      <c r="FI145">
        <v>-6.1462078757559423E-4</v>
      </c>
      <c r="FJ145">
        <v>-1.8861989874597051E-7</v>
      </c>
      <c r="FK145">
        <v>1.1980462299894961E-10</v>
      </c>
      <c r="FL145">
        <v>0.19160597004026461</v>
      </c>
      <c r="FM145">
        <v>0</v>
      </c>
      <c r="FN145">
        <v>0</v>
      </c>
      <c r="FO145">
        <v>0</v>
      </c>
      <c r="FP145">
        <v>3</v>
      </c>
      <c r="FQ145">
        <v>2158</v>
      </c>
      <c r="FR145">
        <v>1</v>
      </c>
      <c r="FS145">
        <v>19</v>
      </c>
      <c r="FT145">
        <v>29.7</v>
      </c>
      <c r="FU145">
        <v>29.6</v>
      </c>
      <c r="FV145">
        <v>1.77979</v>
      </c>
      <c r="FW145">
        <v>2.5744600000000002</v>
      </c>
      <c r="FX145">
        <v>1.5490699999999999</v>
      </c>
      <c r="FY145">
        <v>2.3290999999999999</v>
      </c>
      <c r="FZ145">
        <v>1.50146</v>
      </c>
      <c r="GA145">
        <v>2.3852500000000001</v>
      </c>
      <c r="GB145">
        <v>33.850900000000003</v>
      </c>
      <c r="GC145">
        <v>23.991199999999999</v>
      </c>
      <c r="GD145">
        <v>19</v>
      </c>
      <c r="GE145">
        <v>247.06200000000001</v>
      </c>
      <c r="GF145">
        <v>582.11900000000003</v>
      </c>
      <c r="GG145">
        <v>25.503499999999999</v>
      </c>
      <c r="GH145">
        <v>26.3597</v>
      </c>
      <c r="GI145">
        <v>30</v>
      </c>
      <c r="GJ145">
        <v>26.5062</v>
      </c>
      <c r="GK145">
        <v>26.476400000000002</v>
      </c>
      <c r="GL145">
        <v>35.581299999999999</v>
      </c>
      <c r="GM145">
        <v>-30</v>
      </c>
      <c r="GN145">
        <v>-30</v>
      </c>
      <c r="GO145">
        <v>25.503299999999999</v>
      </c>
      <c r="GP145">
        <v>800</v>
      </c>
      <c r="GQ145">
        <v>12.5298</v>
      </c>
      <c r="GR145">
        <v>99.6738</v>
      </c>
      <c r="GS145">
        <v>99.4649</v>
      </c>
    </row>
    <row r="146" spans="1:201" x14ac:dyDescent="0.25">
      <c r="A146">
        <v>130</v>
      </c>
      <c r="B146">
        <v>1690213705.5999999</v>
      </c>
      <c r="C146">
        <v>1438.099999904633</v>
      </c>
      <c r="D146" t="s">
        <v>591</v>
      </c>
      <c r="E146" t="s">
        <v>592</v>
      </c>
      <c r="F146" t="s">
        <v>330</v>
      </c>
      <c r="H146">
        <v>1690213705.5999999</v>
      </c>
      <c r="I146">
        <f t="shared" si="60"/>
        <v>1.9937780759547393E-3</v>
      </c>
      <c r="J146">
        <f t="shared" si="61"/>
        <v>1.9937780759547394</v>
      </c>
      <c r="K146">
        <f t="shared" si="62"/>
        <v>34.635930695132679</v>
      </c>
      <c r="L146">
        <f t="shared" si="63"/>
        <v>392.78199999999998</v>
      </c>
      <c r="M146">
        <f t="shared" si="64"/>
        <v>67.211955434839581</v>
      </c>
      <c r="N146">
        <f t="shared" si="65"/>
        <v>6.667021302673608</v>
      </c>
      <c r="O146">
        <f t="shared" si="66"/>
        <v>38.961609498856198</v>
      </c>
      <c r="P146">
        <f t="shared" si="67"/>
        <v>0.17978075639007415</v>
      </c>
      <c r="Q146">
        <f t="shared" si="68"/>
        <v>2.0110131283906334</v>
      </c>
      <c r="R146">
        <f t="shared" si="69"/>
        <v>0.17130528698034111</v>
      </c>
      <c r="S146">
        <f t="shared" si="70"/>
        <v>0.10779398846019331</v>
      </c>
      <c r="T146">
        <f t="shared" si="71"/>
        <v>276.11425855800002</v>
      </c>
      <c r="U146">
        <f t="shared" si="72"/>
        <v>28.541491513961144</v>
      </c>
      <c r="V146">
        <f t="shared" si="73"/>
        <v>28.541491513961144</v>
      </c>
      <c r="W146">
        <f t="shared" si="74"/>
        <v>3.916294151310971</v>
      </c>
      <c r="X146">
        <f t="shared" si="75"/>
        <v>78.375604270733476</v>
      </c>
      <c r="Y146">
        <f t="shared" si="76"/>
        <v>2.8008907908571494</v>
      </c>
      <c r="Z146">
        <f t="shared" si="77"/>
        <v>3.5736768053258126</v>
      </c>
      <c r="AA146">
        <f t="shared" si="78"/>
        <v>1.1154033604538216</v>
      </c>
      <c r="AB146">
        <f t="shared" si="79"/>
        <v>-87.925613149604004</v>
      </c>
      <c r="AC146">
        <f t="shared" si="80"/>
        <v>-169.95472883852031</v>
      </c>
      <c r="AD146">
        <f t="shared" si="81"/>
        <v>-18.377344261728112</v>
      </c>
      <c r="AE146">
        <f t="shared" si="82"/>
        <v>-0.14342769185242332</v>
      </c>
      <c r="AF146">
        <v>33</v>
      </c>
      <c r="AG146">
        <v>11</v>
      </c>
      <c r="AH146">
        <f t="shared" si="83"/>
        <v>1</v>
      </c>
      <c r="AI146">
        <f t="shared" si="84"/>
        <v>0</v>
      </c>
      <c r="AJ146">
        <f t="shared" si="85"/>
        <v>52355.512157190438</v>
      </c>
      <c r="AK146">
        <f t="shared" si="86"/>
        <v>1800</v>
      </c>
      <c r="AL146">
        <f t="shared" si="87"/>
        <v>1499.1073038000002</v>
      </c>
      <c r="AM146">
        <f t="shared" si="88"/>
        <v>0.83283739100000009</v>
      </c>
      <c r="AN146">
        <f t="shared" si="89"/>
        <v>0.15339681031000002</v>
      </c>
      <c r="AO146">
        <v>34.5</v>
      </c>
      <c r="AP146">
        <v>0.5</v>
      </c>
      <c r="AQ146" t="s">
        <v>331</v>
      </c>
      <c r="AR146">
        <v>2</v>
      </c>
      <c r="AS146">
        <v>1690213705.5999999</v>
      </c>
      <c r="AT146">
        <v>392.78199999999998</v>
      </c>
      <c r="AU146">
        <v>799.96400000000006</v>
      </c>
      <c r="AV146">
        <v>28.236499999999999</v>
      </c>
      <c r="AW146">
        <v>5.9629700000000003</v>
      </c>
      <c r="AX146">
        <v>393.005</v>
      </c>
      <c r="AY146">
        <v>28.044899999999998</v>
      </c>
      <c r="AZ146">
        <v>300.101</v>
      </c>
      <c r="BA146">
        <v>99.093999999999994</v>
      </c>
      <c r="BB146">
        <v>9.9979100000000001E-2</v>
      </c>
      <c r="BC146">
        <v>26.9739</v>
      </c>
      <c r="BD146">
        <v>26.991</v>
      </c>
      <c r="BE146">
        <v>28.624600000000001</v>
      </c>
      <c r="BF146">
        <v>0</v>
      </c>
      <c r="BG146">
        <v>0</v>
      </c>
      <c r="BH146">
        <v>9990.6200000000008</v>
      </c>
      <c r="BI146">
        <v>1077.04</v>
      </c>
      <c r="BJ146">
        <v>2.0744500000000001</v>
      </c>
      <c r="BK146">
        <v>-407.18299999999999</v>
      </c>
      <c r="BL146">
        <v>404.19499999999999</v>
      </c>
      <c r="BM146">
        <v>804.76300000000003</v>
      </c>
      <c r="BN146">
        <v>22.273599999999998</v>
      </c>
      <c r="BO146">
        <v>799.96400000000006</v>
      </c>
      <c r="BP146">
        <v>5.9629700000000003</v>
      </c>
      <c r="BQ146">
        <v>2.7980700000000001</v>
      </c>
      <c r="BR146">
        <v>0.59089499999999995</v>
      </c>
      <c r="BS146">
        <v>22.872699999999998</v>
      </c>
      <c r="BT146">
        <v>-0.519123</v>
      </c>
      <c r="BU146">
        <v>1800</v>
      </c>
      <c r="BV146">
        <v>0.90998900000000005</v>
      </c>
      <c r="BW146">
        <v>3.4005800000000003E-2</v>
      </c>
      <c r="BX146">
        <v>2.1990800000000001E-2</v>
      </c>
      <c r="BY146">
        <v>3.4014099999999999E-2</v>
      </c>
      <c r="BZ146">
        <v>26</v>
      </c>
      <c r="CA146">
        <v>33528.400000000001</v>
      </c>
      <c r="CB146">
        <v>1690211922</v>
      </c>
      <c r="CC146" t="s">
        <v>332</v>
      </c>
      <c r="CD146">
        <v>1690211915</v>
      </c>
      <c r="CE146">
        <v>1690211922</v>
      </c>
      <c r="CF146">
        <v>6</v>
      </c>
      <c r="CG146">
        <v>1.0999999999999999E-2</v>
      </c>
      <c r="CH146">
        <v>8.0000000000000002E-3</v>
      </c>
      <c r="CI146">
        <v>-0.51100000000000001</v>
      </c>
      <c r="CJ146">
        <v>-6.6000000000000003E-2</v>
      </c>
      <c r="CK146">
        <v>800</v>
      </c>
      <c r="CL146">
        <v>6</v>
      </c>
      <c r="CM146">
        <v>0.21</v>
      </c>
      <c r="CN146">
        <v>0.02</v>
      </c>
      <c r="CO146">
        <v>-404.83565853658541</v>
      </c>
      <c r="CP146">
        <v>-12.636439024391549</v>
      </c>
      <c r="CQ146">
        <v>1.2462488419596061</v>
      </c>
      <c r="CR146">
        <v>-1</v>
      </c>
      <c r="CS146">
        <v>22.196948780487801</v>
      </c>
      <c r="CT146">
        <v>0.45142578397211552</v>
      </c>
      <c r="CU146">
        <v>4.4539120222789552E-2</v>
      </c>
      <c r="CV146">
        <v>-1</v>
      </c>
      <c r="CW146">
        <v>0</v>
      </c>
      <c r="CX146">
        <v>0</v>
      </c>
      <c r="CY146" t="s">
        <v>333</v>
      </c>
      <c r="CZ146">
        <v>2.3641399999999999</v>
      </c>
      <c r="DA146">
        <v>2.7137600000000002</v>
      </c>
      <c r="DB146">
        <v>8.8272100000000006E-2</v>
      </c>
      <c r="DC146">
        <v>0.146061</v>
      </c>
      <c r="DD146">
        <v>0.127586</v>
      </c>
      <c r="DE146">
        <v>3.9244300000000003E-2</v>
      </c>
      <c r="DF146">
        <v>33270.699999999997</v>
      </c>
      <c r="DG146">
        <v>27493.5</v>
      </c>
      <c r="DH146">
        <v>31153.599999999999</v>
      </c>
      <c r="DI146">
        <v>28055.1</v>
      </c>
      <c r="DJ146">
        <v>36884.5</v>
      </c>
      <c r="DK146">
        <v>38325.300000000003</v>
      </c>
      <c r="DL146">
        <v>44331.6</v>
      </c>
      <c r="DM146">
        <v>42515.4</v>
      </c>
      <c r="DN146">
        <v>1.38585</v>
      </c>
      <c r="DO146">
        <v>2.0337000000000001</v>
      </c>
      <c r="DP146">
        <v>8.0246499999999998E-2</v>
      </c>
      <c r="DQ146">
        <v>0.18804100000000001</v>
      </c>
      <c r="DR146">
        <v>25.677199999999999</v>
      </c>
      <c r="DS146">
        <v>25.549800000000001</v>
      </c>
      <c r="DT146">
        <v>17.7</v>
      </c>
      <c r="DU146">
        <v>29.7</v>
      </c>
      <c r="DV146">
        <v>7.4801700000000002</v>
      </c>
      <c r="DW146">
        <v>61.901200000000003</v>
      </c>
      <c r="DX146">
        <v>37.263599999999997</v>
      </c>
      <c r="DY146">
        <v>1</v>
      </c>
      <c r="DZ146">
        <v>-8.1626000000000004E-2</v>
      </c>
      <c r="EA146">
        <v>-0.18321899999999999</v>
      </c>
      <c r="EB146">
        <v>20.189499999999999</v>
      </c>
      <c r="EC146">
        <v>5.2401999999999997</v>
      </c>
      <c r="ED146">
        <v>12.039899999999999</v>
      </c>
      <c r="EE146">
        <v>5.0171000000000001</v>
      </c>
      <c r="EF146">
        <v>3.2879999999999998</v>
      </c>
      <c r="EG146">
        <v>9999</v>
      </c>
      <c r="EH146">
        <v>9999</v>
      </c>
      <c r="EI146">
        <v>9999</v>
      </c>
      <c r="EJ146">
        <v>999.9</v>
      </c>
      <c r="EK146">
        <v>1.8689100000000001</v>
      </c>
      <c r="EL146">
        <v>1.8646499999999999</v>
      </c>
      <c r="EM146">
        <v>1.8692</v>
      </c>
      <c r="EN146">
        <v>1.8672500000000001</v>
      </c>
      <c r="EO146">
        <v>1.8633999999999999</v>
      </c>
      <c r="EP146">
        <v>1.86456</v>
      </c>
      <c r="EQ146">
        <v>1.87016</v>
      </c>
      <c r="ER146">
        <v>1.8694900000000001</v>
      </c>
      <c r="ES146">
        <v>0</v>
      </c>
      <c r="ET146">
        <v>0</v>
      </c>
      <c r="EU146">
        <v>0</v>
      </c>
      <c r="EV146">
        <v>0</v>
      </c>
      <c r="EW146" t="s">
        <v>334</v>
      </c>
      <c r="EX146" t="s">
        <v>335</v>
      </c>
      <c r="EY146" t="s">
        <v>336</v>
      </c>
      <c r="EZ146" t="s">
        <v>336</v>
      </c>
      <c r="FA146" t="s">
        <v>336</v>
      </c>
      <c r="FB146" t="s">
        <v>336</v>
      </c>
      <c r="FC146">
        <v>0</v>
      </c>
      <c r="FD146">
        <v>100</v>
      </c>
      <c r="FE146">
        <v>100</v>
      </c>
      <c r="FF146">
        <v>-0.223</v>
      </c>
      <c r="FG146">
        <v>0.19159999999999999</v>
      </c>
      <c r="FH146">
        <v>4.0020685143421282E-2</v>
      </c>
      <c r="FI146">
        <v>-6.1462078757559423E-4</v>
      </c>
      <c r="FJ146">
        <v>-1.8861989874597051E-7</v>
      </c>
      <c r="FK146">
        <v>1.1980462299894961E-10</v>
      </c>
      <c r="FL146">
        <v>0.19160597004026461</v>
      </c>
      <c r="FM146">
        <v>0</v>
      </c>
      <c r="FN146">
        <v>0</v>
      </c>
      <c r="FO146">
        <v>0</v>
      </c>
      <c r="FP146">
        <v>3</v>
      </c>
      <c r="FQ146">
        <v>2158</v>
      </c>
      <c r="FR146">
        <v>1</v>
      </c>
      <c r="FS146">
        <v>19</v>
      </c>
      <c r="FT146">
        <v>29.8</v>
      </c>
      <c r="FU146">
        <v>29.7</v>
      </c>
      <c r="FV146">
        <v>1.77979</v>
      </c>
      <c r="FW146">
        <v>2.5756800000000002</v>
      </c>
      <c r="FX146">
        <v>1.5490699999999999</v>
      </c>
      <c r="FY146">
        <v>2.3290999999999999</v>
      </c>
      <c r="FZ146">
        <v>1.50146</v>
      </c>
      <c r="GA146">
        <v>2.4072300000000002</v>
      </c>
      <c r="GB146">
        <v>33.850900000000003</v>
      </c>
      <c r="GC146">
        <v>23.991199999999999</v>
      </c>
      <c r="GD146">
        <v>19</v>
      </c>
      <c r="GE146">
        <v>246.791</v>
      </c>
      <c r="GF146">
        <v>582.505</v>
      </c>
      <c r="GG146">
        <v>25.4802</v>
      </c>
      <c r="GH146">
        <v>26.3597</v>
      </c>
      <c r="GI146">
        <v>30.0002</v>
      </c>
      <c r="GJ146">
        <v>26.505800000000001</v>
      </c>
      <c r="GK146">
        <v>26.475899999999999</v>
      </c>
      <c r="GL146">
        <v>35.583199999999998</v>
      </c>
      <c r="GM146">
        <v>-30</v>
      </c>
      <c r="GN146">
        <v>-30</v>
      </c>
      <c r="GO146">
        <v>25.476600000000001</v>
      </c>
      <c r="GP146">
        <v>800</v>
      </c>
      <c r="GQ146">
        <v>12.5298</v>
      </c>
      <c r="GR146">
        <v>99.674400000000006</v>
      </c>
      <c r="GS146">
        <v>99.464299999999994</v>
      </c>
    </row>
    <row r="147" spans="1:201" x14ac:dyDescent="0.25">
      <c r="A147">
        <v>131</v>
      </c>
      <c r="B147">
        <v>1690213715.5999999</v>
      </c>
      <c r="C147">
        <v>1448.099999904633</v>
      </c>
      <c r="D147" t="s">
        <v>593</v>
      </c>
      <c r="E147" t="s">
        <v>594</v>
      </c>
      <c r="F147" t="s">
        <v>330</v>
      </c>
      <c r="H147">
        <v>1690213715.5999999</v>
      </c>
      <c r="I147">
        <f t="shared" si="60"/>
        <v>1.9995211409351735E-3</v>
      </c>
      <c r="J147">
        <f t="shared" si="61"/>
        <v>1.9995211409351734</v>
      </c>
      <c r="K147">
        <f t="shared" si="62"/>
        <v>34.805956492409919</v>
      </c>
      <c r="L147">
        <f t="shared" si="63"/>
        <v>390.91699999999997</v>
      </c>
      <c r="M147">
        <f t="shared" si="64"/>
        <v>66.663840562050851</v>
      </c>
      <c r="N147">
        <f t="shared" si="65"/>
        <v>6.6127328706594488</v>
      </c>
      <c r="O147">
        <f t="shared" si="66"/>
        <v>38.777089255657692</v>
      </c>
      <c r="P147">
        <f t="shared" si="67"/>
        <v>0.1814557717514774</v>
      </c>
      <c r="Q147">
        <f t="shared" si="68"/>
        <v>2.0089946901370124</v>
      </c>
      <c r="R147">
        <f t="shared" si="69"/>
        <v>0.17281748100328495</v>
      </c>
      <c r="S147">
        <f t="shared" si="70"/>
        <v>0.10875276538779101</v>
      </c>
      <c r="T147">
        <f t="shared" si="71"/>
        <v>276.11424831599999</v>
      </c>
      <c r="U147">
        <f t="shared" si="72"/>
        <v>28.538006285484137</v>
      </c>
      <c r="V147">
        <f t="shared" si="73"/>
        <v>28.538006285484137</v>
      </c>
      <c r="W147">
        <f t="shared" si="74"/>
        <v>3.9155017150971925</v>
      </c>
      <c r="X147">
        <f t="shared" si="75"/>
        <v>78.550755995169411</v>
      </c>
      <c r="Y147">
        <f t="shared" si="76"/>
        <v>2.8066884521602598</v>
      </c>
      <c r="Z147">
        <f t="shared" si="77"/>
        <v>3.5730890385483511</v>
      </c>
      <c r="AA147">
        <f t="shared" si="78"/>
        <v>1.1088132629369327</v>
      </c>
      <c r="AB147">
        <f t="shared" si="79"/>
        <v>-88.178882315241154</v>
      </c>
      <c r="AC147">
        <f t="shared" si="80"/>
        <v>-169.70993024005861</v>
      </c>
      <c r="AD147">
        <f t="shared" si="81"/>
        <v>-18.368735200628581</v>
      </c>
      <c r="AE147">
        <f t="shared" si="82"/>
        <v>-0.1432994399283416</v>
      </c>
      <c r="AF147">
        <v>34</v>
      </c>
      <c r="AG147">
        <v>11</v>
      </c>
      <c r="AH147">
        <f t="shared" si="83"/>
        <v>1</v>
      </c>
      <c r="AI147">
        <f t="shared" si="84"/>
        <v>0</v>
      </c>
      <c r="AJ147">
        <f t="shared" si="85"/>
        <v>52259.223361324701</v>
      </c>
      <c r="AK147">
        <f t="shared" si="86"/>
        <v>1800</v>
      </c>
      <c r="AL147">
        <f t="shared" si="87"/>
        <v>1499.1075935999997</v>
      </c>
      <c r="AM147">
        <f t="shared" si="88"/>
        <v>0.83283755199999987</v>
      </c>
      <c r="AN147">
        <f t="shared" si="89"/>
        <v>0.15339680461999999</v>
      </c>
      <c r="AO147">
        <v>34.5</v>
      </c>
      <c r="AP147">
        <v>0.5</v>
      </c>
      <c r="AQ147" t="s">
        <v>331</v>
      </c>
      <c r="AR147">
        <v>2</v>
      </c>
      <c r="AS147">
        <v>1690213715.5999999</v>
      </c>
      <c r="AT147">
        <v>390.91699999999997</v>
      </c>
      <c r="AU147">
        <v>799.97400000000005</v>
      </c>
      <c r="AV147">
        <v>28.294599999999999</v>
      </c>
      <c r="AW147">
        <v>5.9616699999999998</v>
      </c>
      <c r="AX147">
        <v>391.13900000000001</v>
      </c>
      <c r="AY147">
        <v>28.103000000000002</v>
      </c>
      <c r="AZ147">
        <v>300.14699999999999</v>
      </c>
      <c r="BA147">
        <v>99.095200000000006</v>
      </c>
      <c r="BB147">
        <v>9.9998100000000006E-2</v>
      </c>
      <c r="BC147">
        <v>26.9711</v>
      </c>
      <c r="BD147">
        <v>26.9861</v>
      </c>
      <c r="BE147">
        <v>28.621600000000001</v>
      </c>
      <c r="BF147">
        <v>0</v>
      </c>
      <c r="BG147">
        <v>0</v>
      </c>
      <c r="BH147">
        <v>9971.25</v>
      </c>
      <c r="BI147">
        <v>1077.06</v>
      </c>
      <c r="BJ147">
        <v>2.0744500000000001</v>
      </c>
      <c r="BK147">
        <v>-409.05700000000002</v>
      </c>
      <c r="BL147">
        <v>402.3</v>
      </c>
      <c r="BM147">
        <v>804.77200000000005</v>
      </c>
      <c r="BN147">
        <v>22.332899999999999</v>
      </c>
      <c r="BO147">
        <v>799.97400000000005</v>
      </c>
      <c r="BP147">
        <v>5.9616699999999998</v>
      </c>
      <c r="BQ147">
        <v>2.8038599999999998</v>
      </c>
      <c r="BR147">
        <v>0.59077299999999999</v>
      </c>
      <c r="BS147">
        <v>22.9068</v>
      </c>
      <c r="BT147">
        <v>-0.52195499999999995</v>
      </c>
      <c r="BU147">
        <v>1800</v>
      </c>
      <c r="BV147">
        <v>0.90998999999999997</v>
      </c>
      <c r="BW147">
        <v>3.4005399999999998E-2</v>
      </c>
      <c r="BX147">
        <v>2.1990599999999999E-2</v>
      </c>
      <c r="BY147">
        <v>3.4013799999999997E-2</v>
      </c>
      <c r="BZ147">
        <v>26</v>
      </c>
      <c r="CA147">
        <v>33528.5</v>
      </c>
      <c r="CB147">
        <v>1690211922</v>
      </c>
      <c r="CC147" t="s">
        <v>332</v>
      </c>
      <c r="CD147">
        <v>1690211915</v>
      </c>
      <c r="CE147">
        <v>1690211922</v>
      </c>
      <c r="CF147">
        <v>6</v>
      </c>
      <c r="CG147">
        <v>1.0999999999999999E-2</v>
      </c>
      <c r="CH147">
        <v>8.0000000000000002E-3</v>
      </c>
      <c r="CI147">
        <v>-0.51100000000000001</v>
      </c>
      <c r="CJ147">
        <v>-6.6000000000000003E-2</v>
      </c>
      <c r="CK147">
        <v>800</v>
      </c>
      <c r="CL147">
        <v>6</v>
      </c>
      <c r="CM147">
        <v>0.21</v>
      </c>
      <c r="CN147">
        <v>0.02</v>
      </c>
      <c r="CO147">
        <v>-406.92082926829272</v>
      </c>
      <c r="CP147">
        <v>-12.20611149825764</v>
      </c>
      <c r="CQ147">
        <v>1.204248372048887</v>
      </c>
      <c r="CR147">
        <v>-1</v>
      </c>
      <c r="CS147">
        <v>22.266629268292679</v>
      </c>
      <c r="CT147">
        <v>0.38357770034846922</v>
      </c>
      <c r="CU147">
        <v>3.7868148942649248E-2</v>
      </c>
      <c r="CV147">
        <v>-1</v>
      </c>
      <c r="CW147">
        <v>0</v>
      </c>
      <c r="CX147">
        <v>0</v>
      </c>
      <c r="CY147" t="s">
        <v>333</v>
      </c>
      <c r="CZ147">
        <v>2.3642699999999999</v>
      </c>
      <c r="DA147">
        <v>2.7137600000000002</v>
      </c>
      <c r="DB147">
        <v>8.7951600000000005E-2</v>
      </c>
      <c r="DC147">
        <v>0.146064</v>
      </c>
      <c r="DD147">
        <v>0.12776999999999999</v>
      </c>
      <c r="DE147">
        <v>3.9238000000000002E-2</v>
      </c>
      <c r="DF147">
        <v>33281.9</v>
      </c>
      <c r="DG147">
        <v>27493.3</v>
      </c>
      <c r="DH147">
        <v>31153.1</v>
      </c>
      <c r="DI147">
        <v>28055</v>
      </c>
      <c r="DJ147">
        <v>36875.800000000003</v>
      </c>
      <c r="DK147">
        <v>38325.4</v>
      </c>
      <c r="DL147">
        <v>44330.7</v>
      </c>
      <c r="DM147">
        <v>42515.199999999997</v>
      </c>
      <c r="DN147">
        <v>1.3855999999999999</v>
      </c>
      <c r="DO147">
        <v>2.0333199999999998</v>
      </c>
      <c r="DP147">
        <v>7.9948500000000006E-2</v>
      </c>
      <c r="DQ147">
        <v>0.18785499999999999</v>
      </c>
      <c r="DR147">
        <v>25.677199999999999</v>
      </c>
      <c r="DS147">
        <v>25.549800000000001</v>
      </c>
      <c r="DT147">
        <v>17.7</v>
      </c>
      <c r="DU147">
        <v>29.7</v>
      </c>
      <c r="DV147">
        <v>7.4798099999999996</v>
      </c>
      <c r="DW147">
        <v>61.621200000000002</v>
      </c>
      <c r="DX147">
        <v>37.243600000000001</v>
      </c>
      <c r="DY147">
        <v>1</v>
      </c>
      <c r="DZ147">
        <v>-8.2129099999999997E-2</v>
      </c>
      <c r="EA147">
        <v>-0.24738599999999999</v>
      </c>
      <c r="EB147">
        <v>20.189399999999999</v>
      </c>
      <c r="EC147">
        <v>5.2403500000000003</v>
      </c>
      <c r="ED147">
        <v>12.039899999999999</v>
      </c>
      <c r="EE147">
        <v>5.01715</v>
      </c>
      <c r="EF147">
        <v>3.2879999999999998</v>
      </c>
      <c r="EG147">
        <v>9999</v>
      </c>
      <c r="EH147">
        <v>9999</v>
      </c>
      <c r="EI147">
        <v>9999</v>
      </c>
      <c r="EJ147">
        <v>999.9</v>
      </c>
      <c r="EK147">
        <v>1.8689199999999999</v>
      </c>
      <c r="EL147">
        <v>1.86466</v>
      </c>
      <c r="EM147">
        <v>1.8692</v>
      </c>
      <c r="EN147">
        <v>1.8672800000000001</v>
      </c>
      <c r="EO147">
        <v>1.8633999999999999</v>
      </c>
      <c r="EP147">
        <v>1.8645799999999999</v>
      </c>
      <c r="EQ147">
        <v>1.87015</v>
      </c>
      <c r="ER147">
        <v>1.8694900000000001</v>
      </c>
      <c r="ES147">
        <v>0</v>
      </c>
      <c r="ET147">
        <v>0</v>
      </c>
      <c r="EU147">
        <v>0</v>
      </c>
      <c r="EV147">
        <v>0</v>
      </c>
      <c r="EW147" t="s">
        <v>334</v>
      </c>
      <c r="EX147" t="s">
        <v>335</v>
      </c>
      <c r="EY147" t="s">
        <v>336</v>
      </c>
      <c r="EZ147" t="s">
        <v>336</v>
      </c>
      <c r="FA147" t="s">
        <v>336</v>
      </c>
      <c r="FB147" t="s">
        <v>336</v>
      </c>
      <c r="FC147">
        <v>0</v>
      </c>
      <c r="FD147">
        <v>100</v>
      </c>
      <c r="FE147">
        <v>100</v>
      </c>
      <c r="FF147">
        <v>-0.222</v>
      </c>
      <c r="FG147">
        <v>0.19159999999999999</v>
      </c>
      <c r="FH147">
        <v>4.0020685143421282E-2</v>
      </c>
      <c r="FI147">
        <v>-6.1462078757559423E-4</v>
      </c>
      <c r="FJ147">
        <v>-1.8861989874597051E-7</v>
      </c>
      <c r="FK147">
        <v>1.1980462299894961E-10</v>
      </c>
      <c r="FL147">
        <v>0.19160597004026461</v>
      </c>
      <c r="FM147">
        <v>0</v>
      </c>
      <c r="FN147">
        <v>0</v>
      </c>
      <c r="FO147">
        <v>0</v>
      </c>
      <c r="FP147">
        <v>3</v>
      </c>
      <c r="FQ147">
        <v>2158</v>
      </c>
      <c r="FR147">
        <v>1</v>
      </c>
      <c r="FS147">
        <v>19</v>
      </c>
      <c r="FT147">
        <v>30</v>
      </c>
      <c r="FU147">
        <v>29.9</v>
      </c>
      <c r="FV147">
        <v>1.77979</v>
      </c>
      <c r="FW147">
        <v>2.5781200000000002</v>
      </c>
      <c r="FX147">
        <v>1.5490699999999999</v>
      </c>
      <c r="FY147">
        <v>2.3290999999999999</v>
      </c>
      <c r="FZ147">
        <v>1.50146</v>
      </c>
      <c r="GA147">
        <v>2.3962400000000001</v>
      </c>
      <c r="GB147">
        <v>33.850900000000003</v>
      </c>
      <c r="GC147">
        <v>23.991199999999999</v>
      </c>
      <c r="GD147">
        <v>19</v>
      </c>
      <c r="GE147">
        <v>246.685</v>
      </c>
      <c r="GF147">
        <v>582.16999999999996</v>
      </c>
      <c r="GG147">
        <v>25.475100000000001</v>
      </c>
      <c r="GH147">
        <v>26.357500000000002</v>
      </c>
      <c r="GI147">
        <v>30</v>
      </c>
      <c r="GJ147">
        <v>26.503599999999999</v>
      </c>
      <c r="GK147">
        <v>26.473700000000001</v>
      </c>
      <c r="GL147">
        <v>35.581600000000002</v>
      </c>
      <c r="GM147">
        <v>-30</v>
      </c>
      <c r="GN147">
        <v>-30</v>
      </c>
      <c r="GO147">
        <v>25.483899999999998</v>
      </c>
      <c r="GP147">
        <v>800</v>
      </c>
      <c r="GQ147">
        <v>12.5298</v>
      </c>
      <c r="GR147">
        <v>99.672600000000003</v>
      </c>
      <c r="GS147">
        <v>99.463899999999995</v>
      </c>
    </row>
    <row r="148" spans="1:201" x14ac:dyDescent="0.25">
      <c r="A148">
        <v>132</v>
      </c>
      <c r="B148">
        <v>1690213725.5999999</v>
      </c>
      <c r="C148">
        <v>1458.099999904633</v>
      </c>
      <c r="D148" t="s">
        <v>595</v>
      </c>
      <c r="E148" t="s">
        <v>596</v>
      </c>
      <c r="F148" t="s">
        <v>330</v>
      </c>
      <c r="H148">
        <v>1690213725.5999999</v>
      </c>
      <c r="I148">
        <f t="shared" si="60"/>
        <v>2.0047330114761875E-3</v>
      </c>
      <c r="J148">
        <f t="shared" si="61"/>
        <v>2.0047330114761874</v>
      </c>
      <c r="K148">
        <f t="shared" si="62"/>
        <v>34.998555427876866</v>
      </c>
      <c r="L148">
        <f t="shared" si="63"/>
        <v>388.82600000000002</v>
      </c>
      <c r="M148">
        <f t="shared" si="64"/>
        <v>65.739949917901839</v>
      </c>
      <c r="N148">
        <f t="shared" si="65"/>
        <v>6.521272735275125</v>
      </c>
      <c r="O148">
        <f t="shared" si="66"/>
        <v>38.57076854686801</v>
      </c>
      <c r="P148">
        <f t="shared" si="67"/>
        <v>0.18315290567886366</v>
      </c>
      <c r="Q148">
        <f t="shared" si="68"/>
        <v>2.012623399008755</v>
      </c>
      <c r="R148">
        <f t="shared" si="69"/>
        <v>0.17437152455293939</v>
      </c>
      <c r="S148">
        <f t="shared" si="70"/>
        <v>0.10973608146100539</v>
      </c>
      <c r="T148">
        <f t="shared" si="71"/>
        <v>276.11405110800001</v>
      </c>
      <c r="U148">
        <f t="shared" si="72"/>
        <v>28.53174260449687</v>
      </c>
      <c r="V148">
        <f t="shared" si="73"/>
        <v>28.53174260449687</v>
      </c>
      <c r="W148">
        <f t="shared" si="74"/>
        <v>3.9140778938066227</v>
      </c>
      <c r="X148">
        <f t="shared" si="75"/>
        <v>78.715394182823815</v>
      </c>
      <c r="Y148">
        <f t="shared" si="76"/>
        <v>2.8122737301018002</v>
      </c>
      <c r="Z148">
        <f t="shared" si="77"/>
        <v>3.5727112330404305</v>
      </c>
      <c r="AA148">
        <f t="shared" si="78"/>
        <v>1.1018041637048226</v>
      </c>
      <c r="AB148">
        <f t="shared" si="79"/>
        <v>-88.408725806099866</v>
      </c>
      <c r="AC148">
        <f t="shared" si="80"/>
        <v>-169.53213590060653</v>
      </c>
      <c r="AD148">
        <f t="shared" si="81"/>
        <v>-18.31567044426119</v>
      </c>
      <c r="AE148">
        <f t="shared" si="82"/>
        <v>-0.14248104296757447</v>
      </c>
      <c r="AF148">
        <v>33</v>
      </c>
      <c r="AG148">
        <v>11</v>
      </c>
      <c r="AH148">
        <f t="shared" si="83"/>
        <v>1</v>
      </c>
      <c r="AI148">
        <f t="shared" si="84"/>
        <v>0</v>
      </c>
      <c r="AJ148">
        <f t="shared" si="85"/>
        <v>52433.72748714628</v>
      </c>
      <c r="AK148">
        <f t="shared" si="86"/>
        <v>1800</v>
      </c>
      <c r="AL148">
        <f t="shared" si="87"/>
        <v>1499.1077448000003</v>
      </c>
      <c r="AM148">
        <f t="shared" si="88"/>
        <v>0.83283763600000016</v>
      </c>
      <c r="AN148">
        <f t="shared" si="89"/>
        <v>0.15339669506</v>
      </c>
      <c r="AO148">
        <v>34.5</v>
      </c>
      <c r="AP148">
        <v>0.5</v>
      </c>
      <c r="AQ148" t="s">
        <v>331</v>
      </c>
      <c r="AR148">
        <v>2</v>
      </c>
      <c r="AS148">
        <v>1690213725.5999999</v>
      </c>
      <c r="AT148">
        <v>388.82600000000002</v>
      </c>
      <c r="AU148">
        <v>800.08299999999997</v>
      </c>
      <c r="AV148">
        <v>28.350100000000001</v>
      </c>
      <c r="AW148">
        <v>5.9596400000000003</v>
      </c>
      <c r="AX148">
        <v>389.04700000000003</v>
      </c>
      <c r="AY148">
        <v>28.1585</v>
      </c>
      <c r="AZ148">
        <v>300.13900000000001</v>
      </c>
      <c r="BA148">
        <v>99.097999999999999</v>
      </c>
      <c r="BB148">
        <v>0.100018</v>
      </c>
      <c r="BC148">
        <v>26.9693</v>
      </c>
      <c r="BD148">
        <v>26.997599999999998</v>
      </c>
      <c r="BE148">
        <v>28.6205</v>
      </c>
      <c r="BF148">
        <v>0</v>
      </c>
      <c r="BG148">
        <v>0</v>
      </c>
      <c r="BH148">
        <v>10005.6</v>
      </c>
      <c r="BI148">
        <v>1077.07</v>
      </c>
      <c r="BJ148">
        <v>2.0744500000000001</v>
      </c>
      <c r="BK148">
        <v>-411.25700000000001</v>
      </c>
      <c r="BL148">
        <v>400.17099999999999</v>
      </c>
      <c r="BM148">
        <v>804.88</v>
      </c>
      <c r="BN148">
        <v>22.390499999999999</v>
      </c>
      <c r="BO148">
        <v>800.08299999999997</v>
      </c>
      <c r="BP148">
        <v>5.9596400000000003</v>
      </c>
      <c r="BQ148">
        <v>2.8094399999999999</v>
      </c>
      <c r="BR148">
        <v>0.590588</v>
      </c>
      <c r="BS148">
        <v>22.939699999999998</v>
      </c>
      <c r="BT148">
        <v>-0.52625200000000005</v>
      </c>
      <c r="BU148">
        <v>1800</v>
      </c>
      <c r="BV148">
        <v>0.90999300000000005</v>
      </c>
      <c r="BW148">
        <v>3.4004199999999998E-2</v>
      </c>
      <c r="BX148">
        <v>2.19898E-2</v>
      </c>
      <c r="BY148">
        <v>3.4012599999999997E-2</v>
      </c>
      <c r="BZ148">
        <v>26</v>
      </c>
      <c r="CA148">
        <v>33528.5</v>
      </c>
      <c r="CB148">
        <v>1690211922</v>
      </c>
      <c r="CC148" t="s">
        <v>332</v>
      </c>
      <c r="CD148">
        <v>1690211915</v>
      </c>
      <c r="CE148">
        <v>1690211922</v>
      </c>
      <c r="CF148">
        <v>6</v>
      </c>
      <c r="CG148">
        <v>1.0999999999999999E-2</v>
      </c>
      <c r="CH148">
        <v>8.0000000000000002E-3</v>
      </c>
      <c r="CI148">
        <v>-0.51100000000000001</v>
      </c>
      <c r="CJ148">
        <v>-6.6000000000000003E-2</v>
      </c>
      <c r="CK148">
        <v>800</v>
      </c>
      <c r="CL148">
        <v>6</v>
      </c>
      <c r="CM148">
        <v>0.21</v>
      </c>
      <c r="CN148">
        <v>0.02</v>
      </c>
      <c r="CO148">
        <v>-408.90846341463413</v>
      </c>
      <c r="CP148">
        <v>-11.755066202090729</v>
      </c>
      <c r="CQ148">
        <v>1.1624742556301919</v>
      </c>
      <c r="CR148">
        <v>-1</v>
      </c>
      <c r="CS148">
        <v>22.326012195121951</v>
      </c>
      <c r="CT148">
        <v>0.33355818815329502</v>
      </c>
      <c r="CU148">
        <v>3.2919015152280448E-2</v>
      </c>
      <c r="CV148">
        <v>-1</v>
      </c>
      <c r="CW148">
        <v>0</v>
      </c>
      <c r="CX148">
        <v>0</v>
      </c>
      <c r="CY148" t="s">
        <v>333</v>
      </c>
      <c r="CZ148">
        <v>2.3642699999999999</v>
      </c>
      <c r="DA148">
        <v>2.7138100000000001</v>
      </c>
      <c r="DB148">
        <v>8.7592500000000004E-2</v>
      </c>
      <c r="DC148">
        <v>0.14608199999999999</v>
      </c>
      <c r="DD148">
        <v>0.12794800000000001</v>
      </c>
      <c r="DE148">
        <v>3.9228100000000002E-2</v>
      </c>
      <c r="DF148">
        <v>33295.199999999997</v>
      </c>
      <c r="DG148">
        <v>27493.200000000001</v>
      </c>
      <c r="DH148">
        <v>31153.200000000001</v>
      </c>
      <c r="DI148">
        <v>28055.4</v>
      </c>
      <c r="DJ148">
        <v>36868.699999999997</v>
      </c>
      <c r="DK148">
        <v>38326.300000000003</v>
      </c>
      <c r="DL148">
        <v>44331.4</v>
      </c>
      <c r="DM148">
        <v>42515.8</v>
      </c>
      <c r="DN148">
        <v>1.3865700000000001</v>
      </c>
      <c r="DO148">
        <v>2.0336500000000002</v>
      </c>
      <c r="DP148">
        <v>8.0652500000000002E-2</v>
      </c>
      <c r="DQ148">
        <v>0.18779199999999999</v>
      </c>
      <c r="DR148">
        <v>25.677199999999999</v>
      </c>
      <c r="DS148">
        <v>25.549800000000001</v>
      </c>
      <c r="DT148">
        <v>17.8</v>
      </c>
      <c r="DU148">
        <v>29.7</v>
      </c>
      <c r="DV148">
        <v>7.5223199999999997</v>
      </c>
      <c r="DW148">
        <v>61.671199999999999</v>
      </c>
      <c r="DX148">
        <v>37.263599999999997</v>
      </c>
      <c r="DY148">
        <v>1</v>
      </c>
      <c r="DZ148">
        <v>-8.20351E-2</v>
      </c>
      <c r="EA148">
        <v>-0.297236</v>
      </c>
      <c r="EB148">
        <v>20.1891</v>
      </c>
      <c r="EC148">
        <v>5.2408000000000001</v>
      </c>
      <c r="ED148">
        <v>12.039899999999999</v>
      </c>
      <c r="EE148">
        <v>5.0167000000000002</v>
      </c>
      <c r="EF148">
        <v>3.2879999999999998</v>
      </c>
      <c r="EG148">
        <v>9999</v>
      </c>
      <c r="EH148">
        <v>9999</v>
      </c>
      <c r="EI148">
        <v>9999</v>
      </c>
      <c r="EJ148">
        <v>999.9</v>
      </c>
      <c r="EK148">
        <v>1.86894</v>
      </c>
      <c r="EL148">
        <v>1.8646799999999999</v>
      </c>
      <c r="EM148">
        <v>1.8692</v>
      </c>
      <c r="EN148">
        <v>1.8672500000000001</v>
      </c>
      <c r="EO148">
        <v>1.86341</v>
      </c>
      <c r="EP148">
        <v>1.86459</v>
      </c>
      <c r="EQ148">
        <v>1.8701399999999999</v>
      </c>
      <c r="ER148">
        <v>1.8694900000000001</v>
      </c>
      <c r="ES148">
        <v>0</v>
      </c>
      <c r="ET148">
        <v>0</v>
      </c>
      <c r="EU148">
        <v>0</v>
      </c>
      <c r="EV148">
        <v>0</v>
      </c>
      <c r="EW148" t="s">
        <v>334</v>
      </c>
      <c r="EX148" t="s">
        <v>335</v>
      </c>
      <c r="EY148" t="s">
        <v>336</v>
      </c>
      <c r="EZ148" t="s">
        <v>336</v>
      </c>
      <c r="FA148" t="s">
        <v>336</v>
      </c>
      <c r="FB148" t="s">
        <v>336</v>
      </c>
      <c r="FC148">
        <v>0</v>
      </c>
      <c r="FD148">
        <v>100</v>
      </c>
      <c r="FE148">
        <v>100</v>
      </c>
      <c r="FF148">
        <v>-0.221</v>
      </c>
      <c r="FG148">
        <v>0.19159999999999999</v>
      </c>
      <c r="FH148">
        <v>4.0020685143421282E-2</v>
      </c>
      <c r="FI148">
        <v>-6.1462078757559423E-4</v>
      </c>
      <c r="FJ148">
        <v>-1.8861989874597051E-7</v>
      </c>
      <c r="FK148">
        <v>1.1980462299894961E-10</v>
      </c>
      <c r="FL148">
        <v>0.19160597004026461</v>
      </c>
      <c r="FM148">
        <v>0</v>
      </c>
      <c r="FN148">
        <v>0</v>
      </c>
      <c r="FO148">
        <v>0</v>
      </c>
      <c r="FP148">
        <v>3</v>
      </c>
      <c r="FQ148">
        <v>2158</v>
      </c>
      <c r="FR148">
        <v>1</v>
      </c>
      <c r="FS148">
        <v>19</v>
      </c>
      <c r="FT148">
        <v>30.2</v>
      </c>
      <c r="FU148">
        <v>30.1</v>
      </c>
      <c r="FV148">
        <v>1.77979</v>
      </c>
      <c r="FW148">
        <v>2.5744600000000002</v>
      </c>
      <c r="FX148">
        <v>1.5490699999999999</v>
      </c>
      <c r="FY148">
        <v>2.3290999999999999</v>
      </c>
      <c r="FZ148">
        <v>1.50146</v>
      </c>
      <c r="GA148">
        <v>2.3791500000000001</v>
      </c>
      <c r="GB148">
        <v>33.850900000000003</v>
      </c>
      <c r="GC148">
        <v>23.991199999999999</v>
      </c>
      <c r="GD148">
        <v>19</v>
      </c>
      <c r="GE148">
        <v>247.054</v>
      </c>
      <c r="GF148">
        <v>582.43899999999996</v>
      </c>
      <c r="GG148">
        <v>25.494900000000001</v>
      </c>
      <c r="GH148">
        <v>26.357299999999999</v>
      </c>
      <c r="GI148">
        <v>30.0001</v>
      </c>
      <c r="GJ148">
        <v>26.501300000000001</v>
      </c>
      <c r="GK148">
        <v>26.473600000000001</v>
      </c>
      <c r="GL148">
        <v>35.579099999999997</v>
      </c>
      <c r="GM148">
        <v>-30</v>
      </c>
      <c r="GN148">
        <v>-30</v>
      </c>
      <c r="GO148">
        <v>25.503499999999999</v>
      </c>
      <c r="GP148">
        <v>800</v>
      </c>
      <c r="GQ148">
        <v>12.5298</v>
      </c>
      <c r="GR148">
        <v>99.673599999999993</v>
      </c>
      <c r="GS148">
        <v>99.465299999999999</v>
      </c>
    </row>
    <row r="149" spans="1:201" x14ac:dyDescent="0.25">
      <c r="A149">
        <v>133</v>
      </c>
      <c r="B149">
        <v>1690213735.5999999</v>
      </c>
      <c r="C149">
        <v>1468.099999904633</v>
      </c>
      <c r="D149" t="s">
        <v>597</v>
      </c>
      <c r="E149" t="s">
        <v>598</v>
      </c>
      <c r="F149" t="s">
        <v>330</v>
      </c>
      <c r="H149">
        <v>1690213735.5999999</v>
      </c>
      <c r="I149">
        <f t="shared" si="60"/>
        <v>2.0108295695552576E-3</v>
      </c>
      <c r="J149">
        <f t="shared" si="61"/>
        <v>2.0108295695552574</v>
      </c>
      <c r="K149">
        <f t="shared" si="62"/>
        <v>35.146508146467291</v>
      </c>
      <c r="L149">
        <f t="shared" si="63"/>
        <v>387.00799999999998</v>
      </c>
      <c r="M149">
        <f t="shared" si="64"/>
        <v>65.767048587788452</v>
      </c>
      <c r="N149">
        <f t="shared" si="65"/>
        <v>6.5236509752853671</v>
      </c>
      <c r="O149">
        <f t="shared" si="66"/>
        <v>38.388602968447998</v>
      </c>
      <c r="P149">
        <f t="shared" si="67"/>
        <v>0.18504410845557798</v>
      </c>
      <c r="Q149">
        <f t="shared" si="68"/>
        <v>2.014204134994416</v>
      </c>
      <c r="R149">
        <f t="shared" si="69"/>
        <v>0.17609187223183906</v>
      </c>
      <c r="S149">
        <f t="shared" si="70"/>
        <v>0.11082564261494873</v>
      </c>
      <c r="T149">
        <f t="shared" si="71"/>
        <v>276.11458414200001</v>
      </c>
      <c r="U149">
        <f t="shared" si="72"/>
        <v>28.526006730333634</v>
      </c>
      <c r="V149">
        <f t="shared" si="73"/>
        <v>28.526006730333634</v>
      </c>
      <c r="W149">
        <f t="shared" si="74"/>
        <v>3.9127744464340792</v>
      </c>
      <c r="X149">
        <f t="shared" si="75"/>
        <v>78.900746907075927</v>
      </c>
      <c r="Y149">
        <f t="shared" si="76"/>
        <v>2.8184984353451998</v>
      </c>
      <c r="Z149">
        <f t="shared" si="77"/>
        <v>3.5722075466087042</v>
      </c>
      <c r="AA149">
        <f t="shared" si="78"/>
        <v>1.0942760110888794</v>
      </c>
      <c r="AB149">
        <f t="shared" si="79"/>
        <v>-88.677584017386863</v>
      </c>
      <c r="AC149">
        <f t="shared" si="80"/>
        <v>-169.30304643768821</v>
      </c>
      <c r="AD149">
        <f t="shared" si="81"/>
        <v>-18.275823657371536</v>
      </c>
      <c r="AE149">
        <f t="shared" si="82"/>
        <v>-0.14186997044657801</v>
      </c>
      <c r="AF149">
        <v>33</v>
      </c>
      <c r="AG149">
        <v>11</v>
      </c>
      <c r="AH149">
        <f t="shared" si="83"/>
        <v>1</v>
      </c>
      <c r="AI149">
        <f t="shared" si="84"/>
        <v>0</v>
      </c>
      <c r="AJ149">
        <f t="shared" si="85"/>
        <v>52510.037667960911</v>
      </c>
      <c r="AK149">
        <f t="shared" si="86"/>
        <v>1800</v>
      </c>
      <c r="AL149">
        <f t="shared" si="87"/>
        <v>1499.1092081999998</v>
      </c>
      <c r="AM149">
        <f t="shared" si="88"/>
        <v>0.83283844899999993</v>
      </c>
      <c r="AN149">
        <f t="shared" si="89"/>
        <v>0.15339699119</v>
      </c>
      <c r="AO149">
        <v>34.5</v>
      </c>
      <c r="AP149">
        <v>0.5</v>
      </c>
      <c r="AQ149" t="s">
        <v>331</v>
      </c>
      <c r="AR149">
        <v>2</v>
      </c>
      <c r="AS149">
        <v>1690213735.5999999</v>
      </c>
      <c r="AT149">
        <v>387.00799999999998</v>
      </c>
      <c r="AU149">
        <v>799.91099999999994</v>
      </c>
      <c r="AV149">
        <v>28.414200000000001</v>
      </c>
      <c r="AW149">
        <v>5.9592999999999998</v>
      </c>
      <c r="AX149">
        <v>387.22800000000001</v>
      </c>
      <c r="AY149">
        <v>28.2226</v>
      </c>
      <c r="AZ149">
        <v>300.16800000000001</v>
      </c>
      <c r="BA149">
        <v>99.093299999999999</v>
      </c>
      <c r="BB149">
        <v>0.100006</v>
      </c>
      <c r="BC149">
        <v>26.966899999999999</v>
      </c>
      <c r="BD149">
        <v>26.999199999999998</v>
      </c>
      <c r="BE149">
        <v>28.600999999999999</v>
      </c>
      <c r="BF149">
        <v>0</v>
      </c>
      <c r="BG149">
        <v>0</v>
      </c>
      <c r="BH149">
        <v>10021.200000000001</v>
      </c>
      <c r="BI149">
        <v>1077.08</v>
      </c>
      <c r="BJ149">
        <v>2.0744500000000001</v>
      </c>
      <c r="BK149">
        <v>-412.90199999999999</v>
      </c>
      <c r="BL149">
        <v>398.32600000000002</v>
      </c>
      <c r="BM149">
        <v>804.70600000000002</v>
      </c>
      <c r="BN149">
        <v>22.454899999999999</v>
      </c>
      <c r="BO149">
        <v>799.91099999999994</v>
      </c>
      <c r="BP149">
        <v>5.9592999999999998</v>
      </c>
      <c r="BQ149">
        <v>2.8156599999999998</v>
      </c>
      <c r="BR149">
        <v>0.59052700000000002</v>
      </c>
      <c r="BS149">
        <v>22.976199999999999</v>
      </c>
      <c r="BT149">
        <v>-0.527671</v>
      </c>
      <c r="BU149">
        <v>1800</v>
      </c>
      <c r="BV149">
        <v>0.90999200000000002</v>
      </c>
      <c r="BW149">
        <v>3.4003899999999997E-2</v>
      </c>
      <c r="BX149">
        <v>2.19922E-2</v>
      </c>
      <c r="BY149">
        <v>3.4012300000000002E-2</v>
      </c>
      <c r="BZ149">
        <v>26</v>
      </c>
      <c r="CA149">
        <v>33528.400000000001</v>
      </c>
      <c r="CB149">
        <v>1690211922</v>
      </c>
      <c r="CC149" t="s">
        <v>332</v>
      </c>
      <c r="CD149">
        <v>1690211915</v>
      </c>
      <c r="CE149">
        <v>1690211922</v>
      </c>
      <c r="CF149">
        <v>6</v>
      </c>
      <c r="CG149">
        <v>1.0999999999999999E-2</v>
      </c>
      <c r="CH149">
        <v>8.0000000000000002E-3</v>
      </c>
      <c r="CI149">
        <v>-0.51100000000000001</v>
      </c>
      <c r="CJ149">
        <v>-6.6000000000000003E-2</v>
      </c>
      <c r="CK149">
        <v>800</v>
      </c>
      <c r="CL149">
        <v>6</v>
      </c>
      <c r="CM149">
        <v>0.21</v>
      </c>
      <c r="CN149">
        <v>0.02</v>
      </c>
      <c r="CO149">
        <v>-410.89973170731707</v>
      </c>
      <c r="CP149">
        <v>-12.26502439024393</v>
      </c>
      <c r="CQ149">
        <v>1.214080200356253</v>
      </c>
      <c r="CR149">
        <v>-1</v>
      </c>
      <c r="CS149">
        <v>22.38620487804878</v>
      </c>
      <c r="CT149">
        <v>0.38428013937281352</v>
      </c>
      <c r="CU149">
        <v>3.7989869966967342E-2</v>
      </c>
      <c r="CV149">
        <v>-1</v>
      </c>
      <c r="CW149">
        <v>0</v>
      </c>
      <c r="CX149">
        <v>0</v>
      </c>
      <c r="CY149" t="s">
        <v>333</v>
      </c>
      <c r="CZ149">
        <v>2.3643700000000001</v>
      </c>
      <c r="DA149">
        <v>2.7138200000000001</v>
      </c>
      <c r="DB149">
        <v>8.7273100000000006E-2</v>
      </c>
      <c r="DC149">
        <v>0.14605499999999999</v>
      </c>
      <c r="DD149">
        <v>0.12814200000000001</v>
      </c>
      <c r="DE149">
        <v>3.9224700000000001E-2</v>
      </c>
      <c r="DF149">
        <v>33306.9</v>
      </c>
      <c r="DG149">
        <v>27493.7</v>
      </c>
      <c r="DH149">
        <v>31153.3</v>
      </c>
      <c r="DI149">
        <v>28055.1</v>
      </c>
      <c r="DJ149">
        <v>36860.199999999997</v>
      </c>
      <c r="DK149">
        <v>38326</v>
      </c>
      <c r="DL149">
        <v>44331.199999999997</v>
      </c>
      <c r="DM149">
        <v>42515.3</v>
      </c>
      <c r="DN149">
        <v>1.3863300000000001</v>
      </c>
      <c r="DO149">
        <v>2.0337700000000001</v>
      </c>
      <c r="DP149">
        <v>8.0749399999999999E-2</v>
      </c>
      <c r="DQ149">
        <v>0.18646599999999999</v>
      </c>
      <c r="DR149">
        <v>25.677199999999999</v>
      </c>
      <c r="DS149">
        <v>25.5519</v>
      </c>
      <c r="DT149">
        <v>17.7</v>
      </c>
      <c r="DU149">
        <v>29.7</v>
      </c>
      <c r="DV149">
        <v>7.4802299999999997</v>
      </c>
      <c r="DW149">
        <v>61.6312</v>
      </c>
      <c r="DX149">
        <v>37.023200000000003</v>
      </c>
      <c r="DY149">
        <v>1</v>
      </c>
      <c r="DZ149">
        <v>-8.2050300000000007E-2</v>
      </c>
      <c r="EA149">
        <v>-0.28832799999999997</v>
      </c>
      <c r="EB149">
        <v>20.189299999999999</v>
      </c>
      <c r="EC149">
        <v>5.2404999999999999</v>
      </c>
      <c r="ED149">
        <v>12.039899999999999</v>
      </c>
      <c r="EE149">
        <v>5.0167000000000002</v>
      </c>
      <c r="EF149">
        <v>3.2879999999999998</v>
      </c>
      <c r="EG149">
        <v>9999</v>
      </c>
      <c r="EH149">
        <v>9999</v>
      </c>
      <c r="EI149">
        <v>9999</v>
      </c>
      <c r="EJ149">
        <v>999.9</v>
      </c>
      <c r="EK149">
        <v>1.8689499999999999</v>
      </c>
      <c r="EL149">
        <v>1.8646799999999999</v>
      </c>
      <c r="EM149">
        <v>1.8691899999999999</v>
      </c>
      <c r="EN149">
        <v>1.8672500000000001</v>
      </c>
      <c r="EO149">
        <v>1.86341</v>
      </c>
      <c r="EP149">
        <v>1.8645499999999999</v>
      </c>
      <c r="EQ149">
        <v>1.87016</v>
      </c>
      <c r="ER149">
        <v>1.86947</v>
      </c>
      <c r="ES149">
        <v>0</v>
      </c>
      <c r="ET149">
        <v>0</v>
      </c>
      <c r="EU149">
        <v>0</v>
      </c>
      <c r="EV149">
        <v>0</v>
      </c>
      <c r="EW149" t="s">
        <v>334</v>
      </c>
      <c r="EX149" t="s">
        <v>335</v>
      </c>
      <c r="EY149" t="s">
        <v>336</v>
      </c>
      <c r="EZ149" t="s">
        <v>336</v>
      </c>
      <c r="FA149" t="s">
        <v>336</v>
      </c>
      <c r="FB149" t="s">
        <v>336</v>
      </c>
      <c r="FC149">
        <v>0</v>
      </c>
      <c r="FD149">
        <v>100</v>
      </c>
      <c r="FE149">
        <v>100</v>
      </c>
      <c r="FF149">
        <v>-0.22</v>
      </c>
      <c r="FG149">
        <v>0.19159999999999999</v>
      </c>
      <c r="FH149">
        <v>4.0020685143421282E-2</v>
      </c>
      <c r="FI149">
        <v>-6.1462078757559423E-4</v>
      </c>
      <c r="FJ149">
        <v>-1.8861989874597051E-7</v>
      </c>
      <c r="FK149">
        <v>1.1980462299894961E-10</v>
      </c>
      <c r="FL149">
        <v>0.19160597004026461</v>
      </c>
      <c r="FM149">
        <v>0</v>
      </c>
      <c r="FN149">
        <v>0</v>
      </c>
      <c r="FO149">
        <v>0</v>
      </c>
      <c r="FP149">
        <v>3</v>
      </c>
      <c r="FQ149">
        <v>2158</v>
      </c>
      <c r="FR149">
        <v>1</v>
      </c>
      <c r="FS149">
        <v>19</v>
      </c>
      <c r="FT149">
        <v>30.3</v>
      </c>
      <c r="FU149">
        <v>30.2</v>
      </c>
      <c r="FV149">
        <v>1.77979</v>
      </c>
      <c r="FW149">
        <v>2.5793499999999998</v>
      </c>
      <c r="FX149">
        <v>1.5490699999999999</v>
      </c>
      <c r="FY149">
        <v>2.3290999999999999</v>
      </c>
      <c r="FZ149">
        <v>1.50146</v>
      </c>
      <c r="GA149">
        <v>2.36816</v>
      </c>
      <c r="GB149">
        <v>33.850900000000003</v>
      </c>
      <c r="GC149">
        <v>23.991199999999999</v>
      </c>
      <c r="GD149">
        <v>19</v>
      </c>
      <c r="GE149">
        <v>246.95699999999999</v>
      </c>
      <c r="GF149">
        <v>582.51700000000005</v>
      </c>
      <c r="GG149">
        <v>25.512</v>
      </c>
      <c r="GH149">
        <v>26.3553</v>
      </c>
      <c r="GI149">
        <v>30.0001</v>
      </c>
      <c r="GJ149">
        <v>26.501300000000001</v>
      </c>
      <c r="GK149">
        <v>26.471499999999999</v>
      </c>
      <c r="GL149">
        <v>35.583799999999997</v>
      </c>
      <c r="GM149">
        <v>-30</v>
      </c>
      <c r="GN149">
        <v>-30</v>
      </c>
      <c r="GO149">
        <v>25.515899999999998</v>
      </c>
      <c r="GP149">
        <v>800</v>
      </c>
      <c r="GQ149">
        <v>12.5298</v>
      </c>
      <c r="GR149">
        <v>99.673400000000001</v>
      </c>
      <c r="GS149">
        <v>99.464100000000002</v>
      </c>
    </row>
    <row r="150" spans="1:201" x14ac:dyDescent="0.25">
      <c r="A150">
        <v>134</v>
      </c>
      <c r="B150">
        <v>1690213745.5999999</v>
      </c>
      <c r="C150">
        <v>1478.099999904633</v>
      </c>
      <c r="D150" t="s">
        <v>599</v>
      </c>
      <c r="E150" t="s">
        <v>600</v>
      </c>
      <c r="F150" t="s">
        <v>330</v>
      </c>
      <c r="H150">
        <v>1690213745.5999999</v>
      </c>
      <c r="I150">
        <f t="shared" si="60"/>
        <v>2.0150304358759002E-3</v>
      </c>
      <c r="J150">
        <f t="shared" si="61"/>
        <v>2.0150304358759001</v>
      </c>
      <c r="K150">
        <f t="shared" si="62"/>
        <v>35.326704054996441</v>
      </c>
      <c r="L150">
        <f t="shared" si="63"/>
        <v>385.02199999999999</v>
      </c>
      <c r="M150">
        <f t="shared" si="64"/>
        <v>64.086364490178227</v>
      </c>
      <c r="N150">
        <f t="shared" si="65"/>
        <v>6.3568600433557396</v>
      </c>
      <c r="O150">
        <f t="shared" si="66"/>
        <v>38.191134527345802</v>
      </c>
      <c r="P150">
        <f t="shared" si="67"/>
        <v>0.18619352304467598</v>
      </c>
      <c r="Q150">
        <f t="shared" si="68"/>
        <v>2.0136691906952811</v>
      </c>
      <c r="R150">
        <f t="shared" si="69"/>
        <v>0.17713037080839322</v>
      </c>
      <c r="S150">
        <f t="shared" si="70"/>
        <v>0.11148399743732586</v>
      </c>
      <c r="T150">
        <f t="shared" si="71"/>
        <v>276.11674298999998</v>
      </c>
      <c r="U150">
        <f t="shared" si="72"/>
        <v>28.528252318142574</v>
      </c>
      <c r="V150">
        <f t="shared" si="73"/>
        <v>28.528252318142574</v>
      </c>
      <c r="W150">
        <f t="shared" si="74"/>
        <v>3.9132846994037744</v>
      </c>
      <c r="X150">
        <f t="shared" si="75"/>
        <v>79.016442775905531</v>
      </c>
      <c r="Y150">
        <f t="shared" si="76"/>
        <v>2.8231951727534099</v>
      </c>
      <c r="Z150">
        <f t="shared" si="77"/>
        <v>3.5729211206838665</v>
      </c>
      <c r="AA150">
        <f t="shared" si="78"/>
        <v>1.0900895266503645</v>
      </c>
      <c r="AB150">
        <f t="shared" si="79"/>
        <v>-88.862842222127199</v>
      </c>
      <c r="AC150">
        <f t="shared" si="80"/>
        <v>-169.13275786390528</v>
      </c>
      <c r="AD150">
        <f t="shared" si="81"/>
        <v>-18.262805704755419</v>
      </c>
      <c r="AE150">
        <f t="shared" si="82"/>
        <v>-0.1416628007879126</v>
      </c>
      <c r="AF150">
        <v>33</v>
      </c>
      <c r="AG150">
        <v>11</v>
      </c>
      <c r="AH150">
        <f t="shared" si="83"/>
        <v>1</v>
      </c>
      <c r="AI150">
        <f t="shared" si="84"/>
        <v>0</v>
      </c>
      <c r="AJ150">
        <f t="shared" si="85"/>
        <v>52483.69009706947</v>
      </c>
      <c r="AK150">
        <f t="shared" si="86"/>
        <v>1800</v>
      </c>
      <c r="AL150">
        <f t="shared" si="87"/>
        <v>1499.109966</v>
      </c>
      <c r="AM150">
        <f t="shared" si="88"/>
        <v>0.83283887000000001</v>
      </c>
      <c r="AN150">
        <f t="shared" si="89"/>
        <v>0.15339819054999998</v>
      </c>
      <c r="AO150">
        <v>34.5</v>
      </c>
      <c r="AP150">
        <v>0.5</v>
      </c>
      <c r="AQ150" t="s">
        <v>331</v>
      </c>
      <c r="AR150">
        <v>2</v>
      </c>
      <c r="AS150">
        <v>1690213745.5999999</v>
      </c>
      <c r="AT150">
        <v>385.02199999999999</v>
      </c>
      <c r="AU150">
        <v>800.03099999999995</v>
      </c>
      <c r="AV150">
        <v>28.4619</v>
      </c>
      <c r="AW150">
        <v>5.9578199999999999</v>
      </c>
      <c r="AX150">
        <v>385.24</v>
      </c>
      <c r="AY150">
        <v>28.270299999999999</v>
      </c>
      <c r="AZ150">
        <v>300.12299999999999</v>
      </c>
      <c r="BA150">
        <v>99.092100000000002</v>
      </c>
      <c r="BB150">
        <v>9.9983900000000001E-2</v>
      </c>
      <c r="BC150">
        <v>26.970300000000002</v>
      </c>
      <c r="BD150">
        <v>27.002500000000001</v>
      </c>
      <c r="BE150">
        <v>28.632100000000001</v>
      </c>
      <c r="BF150">
        <v>0</v>
      </c>
      <c r="BG150">
        <v>0</v>
      </c>
      <c r="BH150">
        <v>10016.200000000001</v>
      </c>
      <c r="BI150">
        <v>1077.04</v>
      </c>
      <c r="BJ150">
        <v>2.0744500000000001</v>
      </c>
      <c r="BK150">
        <v>-415.01</v>
      </c>
      <c r="BL150">
        <v>396.30099999999999</v>
      </c>
      <c r="BM150">
        <v>804.82600000000002</v>
      </c>
      <c r="BN150">
        <v>22.504100000000001</v>
      </c>
      <c r="BO150">
        <v>800.03099999999995</v>
      </c>
      <c r="BP150">
        <v>5.9578199999999999</v>
      </c>
      <c r="BQ150">
        <v>2.8203499999999999</v>
      </c>
      <c r="BR150">
        <v>0.59037300000000004</v>
      </c>
      <c r="BS150">
        <v>23.003699999999998</v>
      </c>
      <c r="BT150">
        <v>-0.53125500000000003</v>
      </c>
      <c r="BU150">
        <v>1800</v>
      </c>
      <c r="BV150">
        <v>0.90997700000000004</v>
      </c>
      <c r="BW150">
        <v>3.4002499999999998E-2</v>
      </c>
      <c r="BX150">
        <v>2.2009500000000001E-2</v>
      </c>
      <c r="BY150">
        <v>3.4010899999999997E-2</v>
      </c>
      <c r="BZ150">
        <v>26</v>
      </c>
      <c r="CA150">
        <v>33528.199999999997</v>
      </c>
      <c r="CB150">
        <v>1690211922</v>
      </c>
      <c r="CC150" t="s">
        <v>332</v>
      </c>
      <c r="CD150">
        <v>1690211915</v>
      </c>
      <c r="CE150">
        <v>1690211922</v>
      </c>
      <c r="CF150">
        <v>6</v>
      </c>
      <c r="CG150">
        <v>1.0999999999999999E-2</v>
      </c>
      <c r="CH150">
        <v>8.0000000000000002E-3</v>
      </c>
      <c r="CI150">
        <v>-0.51100000000000001</v>
      </c>
      <c r="CJ150">
        <v>-6.6000000000000003E-2</v>
      </c>
      <c r="CK150">
        <v>800</v>
      </c>
      <c r="CL150">
        <v>6</v>
      </c>
      <c r="CM150">
        <v>0.21</v>
      </c>
      <c r="CN150">
        <v>0.02</v>
      </c>
      <c r="CO150">
        <v>-412.85175609756101</v>
      </c>
      <c r="CP150">
        <v>-11.05185365853632</v>
      </c>
      <c r="CQ150">
        <v>1.092352904212216</v>
      </c>
      <c r="CR150">
        <v>-1</v>
      </c>
      <c r="CS150">
        <v>22.446960975609759</v>
      </c>
      <c r="CT150">
        <v>0.34370801393725708</v>
      </c>
      <c r="CU150">
        <v>3.4055957381852242E-2</v>
      </c>
      <c r="CV150">
        <v>-1</v>
      </c>
      <c r="CW150">
        <v>0</v>
      </c>
      <c r="CX150">
        <v>0</v>
      </c>
      <c r="CY150" t="s">
        <v>333</v>
      </c>
      <c r="CZ150">
        <v>2.3642300000000001</v>
      </c>
      <c r="DA150">
        <v>2.7137899999999999</v>
      </c>
      <c r="DB150">
        <v>8.6927099999999993E-2</v>
      </c>
      <c r="DC150">
        <v>0.146068</v>
      </c>
      <c r="DD150">
        <v>0.12828999999999999</v>
      </c>
      <c r="DE150">
        <v>3.9216500000000001E-2</v>
      </c>
      <c r="DF150">
        <v>33319.199999999997</v>
      </c>
      <c r="DG150">
        <v>27493.3</v>
      </c>
      <c r="DH150">
        <v>31153</v>
      </c>
      <c r="DI150">
        <v>28055.1</v>
      </c>
      <c r="DJ150">
        <v>36853.699999999997</v>
      </c>
      <c r="DK150">
        <v>38326.400000000001</v>
      </c>
      <c r="DL150">
        <v>44331</v>
      </c>
      <c r="DM150">
        <v>42515.4</v>
      </c>
      <c r="DN150">
        <v>1.3867</v>
      </c>
      <c r="DO150">
        <v>2.0335800000000002</v>
      </c>
      <c r="DP150">
        <v>8.0820199999999995E-2</v>
      </c>
      <c r="DQ150">
        <v>0.1885</v>
      </c>
      <c r="DR150">
        <v>25.679400000000001</v>
      </c>
      <c r="DS150">
        <v>25.549800000000001</v>
      </c>
      <c r="DT150">
        <v>17.7</v>
      </c>
      <c r="DU150">
        <v>29.7</v>
      </c>
      <c r="DV150">
        <v>7.4795100000000003</v>
      </c>
      <c r="DW150">
        <v>61.471200000000003</v>
      </c>
      <c r="DX150">
        <v>37.0593</v>
      </c>
      <c r="DY150">
        <v>1</v>
      </c>
      <c r="DZ150">
        <v>-8.2052799999999995E-2</v>
      </c>
      <c r="EA150">
        <v>-0.28436600000000001</v>
      </c>
      <c r="EB150">
        <v>20.1892</v>
      </c>
      <c r="EC150">
        <v>5.2403500000000003</v>
      </c>
      <c r="ED150">
        <v>12.039899999999999</v>
      </c>
      <c r="EE150">
        <v>5.0164499999999999</v>
      </c>
      <c r="EF150">
        <v>3.2879999999999998</v>
      </c>
      <c r="EG150">
        <v>9999</v>
      </c>
      <c r="EH150">
        <v>9999</v>
      </c>
      <c r="EI150">
        <v>9999</v>
      </c>
      <c r="EJ150">
        <v>999.9</v>
      </c>
      <c r="EK150">
        <v>1.86894</v>
      </c>
      <c r="EL150">
        <v>1.8646799999999999</v>
      </c>
      <c r="EM150">
        <v>1.8692</v>
      </c>
      <c r="EN150">
        <v>1.86727</v>
      </c>
      <c r="EO150">
        <v>1.8633999999999999</v>
      </c>
      <c r="EP150">
        <v>1.86456</v>
      </c>
      <c r="EQ150">
        <v>1.8701700000000001</v>
      </c>
      <c r="ER150">
        <v>1.8694900000000001</v>
      </c>
      <c r="ES150">
        <v>0</v>
      </c>
      <c r="ET150">
        <v>0</v>
      </c>
      <c r="EU150">
        <v>0</v>
      </c>
      <c r="EV150">
        <v>0</v>
      </c>
      <c r="EW150" t="s">
        <v>334</v>
      </c>
      <c r="EX150" t="s">
        <v>335</v>
      </c>
      <c r="EY150" t="s">
        <v>336</v>
      </c>
      <c r="EZ150" t="s">
        <v>336</v>
      </c>
      <c r="FA150" t="s">
        <v>336</v>
      </c>
      <c r="FB150" t="s">
        <v>336</v>
      </c>
      <c r="FC150">
        <v>0</v>
      </c>
      <c r="FD150">
        <v>100</v>
      </c>
      <c r="FE150">
        <v>100</v>
      </c>
      <c r="FF150">
        <v>-0.218</v>
      </c>
      <c r="FG150">
        <v>0.19159999999999999</v>
      </c>
      <c r="FH150">
        <v>4.0020685143421282E-2</v>
      </c>
      <c r="FI150">
        <v>-6.1462078757559423E-4</v>
      </c>
      <c r="FJ150">
        <v>-1.8861989874597051E-7</v>
      </c>
      <c r="FK150">
        <v>1.1980462299894961E-10</v>
      </c>
      <c r="FL150">
        <v>0.19160597004026461</v>
      </c>
      <c r="FM150">
        <v>0</v>
      </c>
      <c r="FN150">
        <v>0</v>
      </c>
      <c r="FO150">
        <v>0</v>
      </c>
      <c r="FP150">
        <v>3</v>
      </c>
      <c r="FQ150">
        <v>2158</v>
      </c>
      <c r="FR150">
        <v>1</v>
      </c>
      <c r="FS150">
        <v>19</v>
      </c>
      <c r="FT150">
        <v>30.5</v>
      </c>
      <c r="FU150">
        <v>30.4</v>
      </c>
      <c r="FV150">
        <v>1.77979</v>
      </c>
      <c r="FW150">
        <v>2.5769000000000002</v>
      </c>
      <c r="FX150">
        <v>1.5490699999999999</v>
      </c>
      <c r="FY150">
        <v>2.3290999999999999</v>
      </c>
      <c r="FZ150">
        <v>1.50146</v>
      </c>
      <c r="GA150">
        <v>2.36084</v>
      </c>
      <c r="GB150">
        <v>33.850900000000003</v>
      </c>
      <c r="GC150">
        <v>23.982399999999998</v>
      </c>
      <c r="GD150">
        <v>19</v>
      </c>
      <c r="GE150">
        <v>247.09399999999999</v>
      </c>
      <c r="GF150">
        <v>582.33299999999997</v>
      </c>
      <c r="GG150">
        <v>25.520499999999998</v>
      </c>
      <c r="GH150">
        <v>26.354600000000001</v>
      </c>
      <c r="GI150">
        <v>30.0001</v>
      </c>
      <c r="GJ150">
        <v>26.499099999999999</v>
      </c>
      <c r="GK150">
        <v>26.469799999999999</v>
      </c>
      <c r="GL150">
        <v>35.581000000000003</v>
      </c>
      <c r="GM150">
        <v>-30</v>
      </c>
      <c r="GN150">
        <v>-30</v>
      </c>
      <c r="GO150">
        <v>25.524999999999999</v>
      </c>
      <c r="GP150">
        <v>800</v>
      </c>
      <c r="GQ150">
        <v>12.5298</v>
      </c>
      <c r="GR150">
        <v>99.672799999999995</v>
      </c>
      <c r="GS150">
        <v>99.464200000000005</v>
      </c>
    </row>
    <row r="151" spans="1:201" x14ac:dyDescent="0.25">
      <c r="A151">
        <v>135</v>
      </c>
      <c r="B151">
        <v>1690213755.5999999</v>
      </c>
      <c r="C151">
        <v>1488.099999904633</v>
      </c>
      <c r="D151" t="s">
        <v>601</v>
      </c>
      <c r="E151" t="s">
        <v>602</v>
      </c>
      <c r="F151" t="s">
        <v>330</v>
      </c>
      <c r="H151">
        <v>1690213755.5999999</v>
      </c>
      <c r="I151">
        <f t="shared" si="60"/>
        <v>2.01920834391242E-3</v>
      </c>
      <c r="J151">
        <f t="shared" si="61"/>
        <v>2.0192083439124202</v>
      </c>
      <c r="K151">
        <f t="shared" si="62"/>
        <v>35.478189819758597</v>
      </c>
      <c r="L151">
        <f t="shared" si="63"/>
        <v>383.28500000000003</v>
      </c>
      <c r="M151">
        <f t="shared" si="64"/>
        <v>62.824988699572408</v>
      </c>
      <c r="N151">
        <f t="shared" si="65"/>
        <v>6.2317268553396818</v>
      </c>
      <c r="O151">
        <f t="shared" si="66"/>
        <v>38.018748227250008</v>
      </c>
      <c r="P151">
        <f t="shared" si="67"/>
        <v>0.18729775051275008</v>
      </c>
      <c r="Q151">
        <f t="shared" si="68"/>
        <v>2.0129563596696363</v>
      </c>
      <c r="R151">
        <f t="shared" si="69"/>
        <v>0.17812654842969339</v>
      </c>
      <c r="S151">
        <f t="shared" si="70"/>
        <v>0.11211565580274035</v>
      </c>
      <c r="T151">
        <f t="shared" si="71"/>
        <v>276.11660635200002</v>
      </c>
      <c r="U151">
        <f t="shared" si="72"/>
        <v>28.529712295021096</v>
      </c>
      <c r="V151">
        <f t="shared" si="73"/>
        <v>28.529712295021096</v>
      </c>
      <c r="W151">
        <f t="shared" si="74"/>
        <v>3.9136164733132515</v>
      </c>
      <c r="X151">
        <f t="shared" si="75"/>
        <v>79.122624453827669</v>
      </c>
      <c r="Y151">
        <f t="shared" si="76"/>
        <v>2.8274041691400003</v>
      </c>
      <c r="Z151">
        <f t="shared" si="77"/>
        <v>3.5734458868840271</v>
      </c>
      <c r="AA151">
        <f t="shared" si="78"/>
        <v>1.0862123041732512</v>
      </c>
      <c r="AB151">
        <f t="shared" si="79"/>
        <v>-89.047087966537717</v>
      </c>
      <c r="AC151">
        <f t="shared" si="80"/>
        <v>-168.96001961586794</v>
      </c>
      <c r="AD151">
        <f t="shared" si="81"/>
        <v>-18.250974524654605</v>
      </c>
      <c r="AE151">
        <f t="shared" si="82"/>
        <v>-0.1414757550602701</v>
      </c>
      <c r="AF151">
        <v>33</v>
      </c>
      <c r="AG151">
        <v>11</v>
      </c>
      <c r="AH151">
        <f t="shared" si="83"/>
        <v>1</v>
      </c>
      <c r="AI151">
        <f t="shared" si="84"/>
        <v>0</v>
      </c>
      <c r="AJ151">
        <f t="shared" si="85"/>
        <v>52448.98277017357</v>
      </c>
      <c r="AK151">
        <f t="shared" si="86"/>
        <v>1800</v>
      </c>
      <c r="AL151">
        <f t="shared" si="87"/>
        <v>1499.1097031999998</v>
      </c>
      <c r="AM151">
        <f t="shared" si="88"/>
        <v>0.83283872399999992</v>
      </c>
      <c r="AN151">
        <f t="shared" si="89"/>
        <v>0.15339811464</v>
      </c>
      <c r="AO151">
        <v>34.5</v>
      </c>
      <c r="AP151">
        <v>0.5</v>
      </c>
      <c r="AQ151" t="s">
        <v>331</v>
      </c>
      <c r="AR151">
        <v>2</v>
      </c>
      <c r="AS151">
        <v>1690213755.5999999</v>
      </c>
      <c r="AT151">
        <v>383.28500000000003</v>
      </c>
      <c r="AU151">
        <v>799.98299999999995</v>
      </c>
      <c r="AV151">
        <v>28.5044</v>
      </c>
      <c r="AW151">
        <v>5.9562999999999997</v>
      </c>
      <c r="AX151">
        <v>383.50200000000001</v>
      </c>
      <c r="AY151">
        <v>28.312799999999999</v>
      </c>
      <c r="AZ151">
        <v>300.14499999999998</v>
      </c>
      <c r="BA151">
        <v>99.091899999999995</v>
      </c>
      <c r="BB151">
        <v>9.9949999999999997E-2</v>
      </c>
      <c r="BC151">
        <v>26.972799999999999</v>
      </c>
      <c r="BD151">
        <v>26.983799999999999</v>
      </c>
      <c r="BE151">
        <v>28.621600000000001</v>
      </c>
      <c r="BF151">
        <v>0</v>
      </c>
      <c r="BG151">
        <v>0</v>
      </c>
      <c r="BH151">
        <v>10009.4</v>
      </c>
      <c r="BI151">
        <v>1077.02</v>
      </c>
      <c r="BJ151">
        <v>2.0744500000000001</v>
      </c>
      <c r="BK151">
        <v>-416.69799999999998</v>
      </c>
      <c r="BL151">
        <v>394.53100000000001</v>
      </c>
      <c r="BM151">
        <v>804.77599999999995</v>
      </c>
      <c r="BN151">
        <v>22.548100000000002</v>
      </c>
      <c r="BO151">
        <v>799.98299999999995</v>
      </c>
      <c r="BP151">
        <v>5.9562999999999997</v>
      </c>
      <c r="BQ151">
        <v>2.82456</v>
      </c>
      <c r="BR151">
        <v>0.590221</v>
      </c>
      <c r="BS151">
        <v>23.028300000000002</v>
      </c>
      <c r="BT151">
        <v>-0.534779</v>
      </c>
      <c r="BU151">
        <v>1800</v>
      </c>
      <c r="BV151">
        <v>0.90997799999999995</v>
      </c>
      <c r="BW151">
        <v>3.4001999999999998E-2</v>
      </c>
      <c r="BX151">
        <v>2.20092E-2</v>
      </c>
      <c r="BY151">
        <v>3.4010400000000003E-2</v>
      </c>
      <c r="BZ151">
        <v>26</v>
      </c>
      <c r="CA151">
        <v>33528.199999999997</v>
      </c>
      <c r="CB151">
        <v>1690211922</v>
      </c>
      <c r="CC151" t="s">
        <v>332</v>
      </c>
      <c r="CD151">
        <v>1690211915</v>
      </c>
      <c r="CE151">
        <v>1690211922</v>
      </c>
      <c r="CF151">
        <v>6</v>
      </c>
      <c r="CG151">
        <v>1.0999999999999999E-2</v>
      </c>
      <c r="CH151">
        <v>8.0000000000000002E-3</v>
      </c>
      <c r="CI151">
        <v>-0.51100000000000001</v>
      </c>
      <c r="CJ151">
        <v>-6.6000000000000003E-2</v>
      </c>
      <c r="CK151">
        <v>800</v>
      </c>
      <c r="CL151">
        <v>6</v>
      </c>
      <c r="CM151">
        <v>0.21</v>
      </c>
      <c r="CN151">
        <v>0.02</v>
      </c>
      <c r="CO151">
        <v>-414.66862499999991</v>
      </c>
      <c r="CP151">
        <v>-11.567425891181831</v>
      </c>
      <c r="CQ151">
        <v>1.1145522349244079</v>
      </c>
      <c r="CR151">
        <v>-1</v>
      </c>
      <c r="CS151">
        <v>22.49849</v>
      </c>
      <c r="CT151">
        <v>0.28973808630391829</v>
      </c>
      <c r="CU151">
        <v>2.7885558986687049E-2</v>
      </c>
      <c r="CV151">
        <v>-1</v>
      </c>
      <c r="CW151">
        <v>0</v>
      </c>
      <c r="CX151">
        <v>0</v>
      </c>
      <c r="CY151" t="s">
        <v>333</v>
      </c>
      <c r="CZ151">
        <v>2.3643100000000001</v>
      </c>
      <c r="DA151">
        <v>2.7137500000000001</v>
      </c>
      <c r="DB151">
        <v>8.6624800000000002E-2</v>
      </c>
      <c r="DC151">
        <v>0.146062</v>
      </c>
      <c r="DD151">
        <v>0.12842400000000001</v>
      </c>
      <c r="DE151">
        <v>3.9208300000000001E-2</v>
      </c>
      <c r="DF151">
        <v>33331.1</v>
      </c>
      <c r="DG151">
        <v>27494.1</v>
      </c>
      <c r="DH151">
        <v>31153.8</v>
      </c>
      <c r="DI151">
        <v>28055.7</v>
      </c>
      <c r="DJ151">
        <v>36848.6</v>
      </c>
      <c r="DK151">
        <v>38327.599999999999</v>
      </c>
      <c r="DL151">
        <v>44331.8</v>
      </c>
      <c r="DM151">
        <v>42516.3</v>
      </c>
      <c r="DN151">
        <v>1.3861000000000001</v>
      </c>
      <c r="DO151">
        <v>2.0335200000000002</v>
      </c>
      <c r="DP151">
        <v>7.98069E-2</v>
      </c>
      <c r="DQ151">
        <v>0.18798899999999999</v>
      </c>
      <c r="DR151">
        <v>25.677199999999999</v>
      </c>
      <c r="DS151">
        <v>25.547599999999999</v>
      </c>
      <c r="DT151">
        <v>17.7</v>
      </c>
      <c r="DU151">
        <v>29.7</v>
      </c>
      <c r="DV151">
        <v>7.4800899999999997</v>
      </c>
      <c r="DW151">
        <v>61.581200000000003</v>
      </c>
      <c r="DX151">
        <v>36.854999999999997</v>
      </c>
      <c r="DY151">
        <v>1</v>
      </c>
      <c r="DZ151">
        <v>-8.2248500000000002E-2</v>
      </c>
      <c r="EA151">
        <v>-0.26786199999999999</v>
      </c>
      <c r="EB151">
        <v>20.1892</v>
      </c>
      <c r="EC151">
        <v>5.2404999999999999</v>
      </c>
      <c r="ED151">
        <v>12.039899999999999</v>
      </c>
      <c r="EE151">
        <v>5.016</v>
      </c>
      <c r="EF151">
        <v>3.2879999999999998</v>
      </c>
      <c r="EG151">
        <v>9999</v>
      </c>
      <c r="EH151">
        <v>9999</v>
      </c>
      <c r="EI151">
        <v>9999</v>
      </c>
      <c r="EJ151">
        <v>999.9</v>
      </c>
      <c r="EK151">
        <v>1.86893</v>
      </c>
      <c r="EL151">
        <v>1.86467</v>
      </c>
      <c r="EM151">
        <v>1.8692</v>
      </c>
      <c r="EN151">
        <v>1.8672599999999999</v>
      </c>
      <c r="EO151">
        <v>1.8633999999999999</v>
      </c>
      <c r="EP151">
        <v>1.8645799999999999</v>
      </c>
      <c r="EQ151">
        <v>1.87016</v>
      </c>
      <c r="ER151">
        <v>1.86948</v>
      </c>
      <c r="ES151">
        <v>0</v>
      </c>
      <c r="ET151">
        <v>0</v>
      </c>
      <c r="EU151">
        <v>0</v>
      </c>
      <c r="EV151">
        <v>0</v>
      </c>
      <c r="EW151" t="s">
        <v>334</v>
      </c>
      <c r="EX151" t="s">
        <v>335</v>
      </c>
      <c r="EY151" t="s">
        <v>336</v>
      </c>
      <c r="EZ151" t="s">
        <v>336</v>
      </c>
      <c r="FA151" t="s">
        <v>336</v>
      </c>
      <c r="FB151" t="s">
        <v>336</v>
      </c>
      <c r="FC151">
        <v>0</v>
      </c>
      <c r="FD151">
        <v>100</v>
      </c>
      <c r="FE151">
        <v>100</v>
      </c>
      <c r="FF151">
        <v>-0.217</v>
      </c>
      <c r="FG151">
        <v>0.19159999999999999</v>
      </c>
      <c r="FH151">
        <v>4.0020685143421282E-2</v>
      </c>
      <c r="FI151">
        <v>-6.1462078757559423E-4</v>
      </c>
      <c r="FJ151">
        <v>-1.8861989874597051E-7</v>
      </c>
      <c r="FK151">
        <v>1.1980462299894961E-10</v>
      </c>
      <c r="FL151">
        <v>0.19160597004026461</v>
      </c>
      <c r="FM151">
        <v>0</v>
      </c>
      <c r="FN151">
        <v>0</v>
      </c>
      <c r="FO151">
        <v>0</v>
      </c>
      <c r="FP151">
        <v>3</v>
      </c>
      <c r="FQ151">
        <v>2158</v>
      </c>
      <c r="FR151">
        <v>1</v>
      </c>
      <c r="FS151">
        <v>19</v>
      </c>
      <c r="FT151">
        <v>30.7</v>
      </c>
      <c r="FU151">
        <v>30.6</v>
      </c>
      <c r="FV151">
        <v>1.77979</v>
      </c>
      <c r="FW151">
        <v>2.5781200000000002</v>
      </c>
      <c r="FX151">
        <v>1.5490699999999999</v>
      </c>
      <c r="FY151">
        <v>2.3290999999999999</v>
      </c>
      <c r="FZ151">
        <v>1.50024</v>
      </c>
      <c r="GA151">
        <v>2.3584000000000001</v>
      </c>
      <c r="GB151">
        <v>33.850900000000003</v>
      </c>
      <c r="GC151">
        <v>23.982399999999998</v>
      </c>
      <c r="GD151">
        <v>19</v>
      </c>
      <c r="GE151">
        <v>246.85300000000001</v>
      </c>
      <c r="GF151">
        <v>582.28499999999997</v>
      </c>
      <c r="GG151">
        <v>25.5273</v>
      </c>
      <c r="GH151">
        <v>26.353100000000001</v>
      </c>
      <c r="GI151">
        <v>30</v>
      </c>
      <c r="GJ151">
        <v>26.4969</v>
      </c>
      <c r="GK151">
        <v>26.4693</v>
      </c>
      <c r="GL151">
        <v>35.5822</v>
      </c>
      <c r="GM151">
        <v>-30</v>
      </c>
      <c r="GN151">
        <v>-30</v>
      </c>
      <c r="GO151">
        <v>25.526499999999999</v>
      </c>
      <c r="GP151">
        <v>800</v>
      </c>
      <c r="GQ151">
        <v>12.5298</v>
      </c>
      <c r="GR151">
        <v>99.674999999999997</v>
      </c>
      <c r="GS151">
        <v>99.466300000000004</v>
      </c>
    </row>
    <row r="152" spans="1:201" x14ac:dyDescent="0.25">
      <c r="A152">
        <v>136</v>
      </c>
      <c r="B152">
        <v>1690213765.5999999</v>
      </c>
      <c r="C152">
        <v>1498.099999904633</v>
      </c>
      <c r="D152" t="s">
        <v>603</v>
      </c>
      <c r="E152" t="s">
        <v>604</v>
      </c>
      <c r="F152" t="s">
        <v>330</v>
      </c>
      <c r="H152">
        <v>1690213765.5999999</v>
      </c>
      <c r="I152">
        <f t="shared" si="60"/>
        <v>2.0232877375737481E-3</v>
      </c>
      <c r="J152">
        <f t="shared" si="61"/>
        <v>2.0232877375737481</v>
      </c>
      <c r="K152">
        <f t="shared" si="62"/>
        <v>35.665186463888141</v>
      </c>
      <c r="L152">
        <f t="shared" si="63"/>
        <v>381.24200000000002</v>
      </c>
      <c r="M152">
        <f t="shared" si="64"/>
        <v>61.294720588068586</v>
      </c>
      <c r="N152">
        <f t="shared" si="65"/>
        <v>6.0798279322345676</v>
      </c>
      <c r="O152">
        <f t="shared" si="66"/>
        <v>37.815422573150002</v>
      </c>
      <c r="P152">
        <f t="shared" si="67"/>
        <v>0.18862129973448666</v>
      </c>
      <c r="Q152">
        <f t="shared" si="68"/>
        <v>2.0116913433112078</v>
      </c>
      <c r="R152">
        <f t="shared" si="69"/>
        <v>0.17931794158507955</v>
      </c>
      <c r="S152">
        <f t="shared" si="70"/>
        <v>0.11287133333454245</v>
      </c>
      <c r="T152">
        <f t="shared" si="71"/>
        <v>276.11659673999998</v>
      </c>
      <c r="U152">
        <f t="shared" si="72"/>
        <v>28.525403895153477</v>
      </c>
      <c r="V152">
        <f t="shared" si="73"/>
        <v>28.525403895153477</v>
      </c>
      <c r="W152">
        <f t="shared" si="74"/>
        <v>3.9126374772840404</v>
      </c>
      <c r="X152">
        <f t="shared" si="75"/>
        <v>79.254459773265012</v>
      </c>
      <c r="Y152">
        <f t="shared" si="76"/>
        <v>2.8314997189650004</v>
      </c>
      <c r="Z152">
        <f t="shared" si="77"/>
        <v>3.5726692568033291</v>
      </c>
      <c r="AA152">
        <f t="shared" si="78"/>
        <v>1.08113775831904</v>
      </c>
      <c r="AB152">
        <f t="shared" si="79"/>
        <v>-89.226989227002292</v>
      </c>
      <c r="AC152">
        <f t="shared" si="80"/>
        <v>-168.78785529539229</v>
      </c>
      <c r="AD152">
        <f t="shared" si="81"/>
        <v>-18.243113752103788</v>
      </c>
      <c r="AE152">
        <f t="shared" si="82"/>
        <v>-0.14136153449840094</v>
      </c>
      <c r="AF152">
        <v>33</v>
      </c>
      <c r="AG152">
        <v>11</v>
      </c>
      <c r="AH152">
        <f t="shared" si="83"/>
        <v>1</v>
      </c>
      <c r="AI152">
        <f t="shared" si="84"/>
        <v>0</v>
      </c>
      <c r="AJ152">
        <f t="shared" si="85"/>
        <v>52388.821131279277</v>
      </c>
      <c r="AK152">
        <f t="shared" si="86"/>
        <v>1800</v>
      </c>
      <c r="AL152">
        <f t="shared" si="87"/>
        <v>1499.1099839999999</v>
      </c>
      <c r="AM152">
        <f t="shared" si="88"/>
        <v>0.83283887999999995</v>
      </c>
      <c r="AN152">
        <f t="shared" si="89"/>
        <v>0.1533981093</v>
      </c>
      <c r="AO152">
        <v>34.5</v>
      </c>
      <c r="AP152">
        <v>0.5</v>
      </c>
      <c r="AQ152" t="s">
        <v>331</v>
      </c>
      <c r="AR152">
        <v>2</v>
      </c>
      <c r="AS152">
        <v>1690213765.5999999</v>
      </c>
      <c r="AT152">
        <v>381.24200000000002</v>
      </c>
      <c r="AU152">
        <v>800.02499999999998</v>
      </c>
      <c r="AV152">
        <v>28.546199999999999</v>
      </c>
      <c r="AW152">
        <v>5.9554</v>
      </c>
      <c r="AX152">
        <v>381.45699999999999</v>
      </c>
      <c r="AY152">
        <v>28.354600000000001</v>
      </c>
      <c r="AZ152">
        <v>300.17</v>
      </c>
      <c r="BA152">
        <v>99.09</v>
      </c>
      <c r="BB152">
        <v>0.100075</v>
      </c>
      <c r="BC152">
        <v>26.969100000000001</v>
      </c>
      <c r="BD152">
        <v>27.048500000000001</v>
      </c>
      <c r="BE152">
        <v>28.626200000000001</v>
      </c>
      <c r="BF152">
        <v>0</v>
      </c>
      <c r="BG152">
        <v>0</v>
      </c>
      <c r="BH152">
        <v>9997.5</v>
      </c>
      <c r="BI152">
        <v>1077.03</v>
      </c>
      <c r="BJ152">
        <v>2.0744500000000001</v>
      </c>
      <c r="BK152">
        <v>-418.78300000000002</v>
      </c>
      <c r="BL152">
        <v>392.44400000000002</v>
      </c>
      <c r="BM152">
        <v>804.81799999999998</v>
      </c>
      <c r="BN152">
        <v>22.590800000000002</v>
      </c>
      <c r="BO152">
        <v>800.02499999999998</v>
      </c>
      <c r="BP152">
        <v>5.9554</v>
      </c>
      <c r="BQ152">
        <v>2.8286500000000001</v>
      </c>
      <c r="BR152">
        <v>0.59012100000000001</v>
      </c>
      <c r="BS152">
        <v>23.052199999999999</v>
      </c>
      <c r="BT152">
        <v>-0.53710199999999997</v>
      </c>
      <c r="BU152">
        <v>1800</v>
      </c>
      <c r="BV152">
        <v>0.90997899999999998</v>
      </c>
      <c r="BW152">
        <v>3.4001700000000003E-2</v>
      </c>
      <c r="BX152">
        <v>2.2009000000000001E-2</v>
      </c>
      <c r="BY152">
        <v>3.4009999999999999E-2</v>
      </c>
      <c r="BZ152">
        <v>26</v>
      </c>
      <c r="CA152">
        <v>33528.199999999997</v>
      </c>
      <c r="CB152">
        <v>1690211922</v>
      </c>
      <c r="CC152" t="s">
        <v>332</v>
      </c>
      <c r="CD152">
        <v>1690211915</v>
      </c>
      <c r="CE152">
        <v>1690211922</v>
      </c>
      <c r="CF152">
        <v>6</v>
      </c>
      <c r="CG152">
        <v>1.0999999999999999E-2</v>
      </c>
      <c r="CH152">
        <v>8.0000000000000002E-3</v>
      </c>
      <c r="CI152">
        <v>-0.51100000000000001</v>
      </c>
      <c r="CJ152">
        <v>-6.6000000000000003E-2</v>
      </c>
      <c r="CK152">
        <v>800</v>
      </c>
      <c r="CL152">
        <v>6</v>
      </c>
      <c r="CM152">
        <v>0.21</v>
      </c>
      <c r="CN152">
        <v>0.02</v>
      </c>
      <c r="CO152">
        <v>-416.57665853658528</v>
      </c>
      <c r="CP152">
        <v>-10.90691289198646</v>
      </c>
      <c r="CQ152">
        <v>1.0768735145454931</v>
      </c>
      <c r="CR152">
        <v>-1</v>
      </c>
      <c r="CS152">
        <v>22.543860975609761</v>
      </c>
      <c r="CT152">
        <v>0.24793797909406301</v>
      </c>
      <c r="CU152">
        <v>2.4500143135956051E-2</v>
      </c>
      <c r="CV152">
        <v>-1</v>
      </c>
      <c r="CW152">
        <v>0</v>
      </c>
      <c r="CX152">
        <v>0</v>
      </c>
      <c r="CY152" t="s">
        <v>333</v>
      </c>
      <c r="CZ152">
        <v>2.3643800000000001</v>
      </c>
      <c r="DA152">
        <v>2.7138599999999999</v>
      </c>
      <c r="DB152">
        <v>8.6266200000000001E-2</v>
      </c>
      <c r="DC152">
        <v>0.146065</v>
      </c>
      <c r="DD152">
        <v>0.128552</v>
      </c>
      <c r="DE152">
        <v>3.9203000000000002E-2</v>
      </c>
      <c r="DF152">
        <v>33343.9</v>
      </c>
      <c r="DG152">
        <v>27493.7</v>
      </c>
      <c r="DH152">
        <v>31153.5</v>
      </c>
      <c r="DI152">
        <v>28055.4</v>
      </c>
      <c r="DJ152">
        <v>36842.800000000003</v>
      </c>
      <c r="DK152">
        <v>38327.300000000003</v>
      </c>
      <c r="DL152">
        <v>44331.4</v>
      </c>
      <c r="DM152">
        <v>42515.7</v>
      </c>
      <c r="DN152">
        <v>1.3869800000000001</v>
      </c>
      <c r="DO152">
        <v>2.0335000000000001</v>
      </c>
      <c r="DP152">
        <v>8.3830199999999994E-2</v>
      </c>
      <c r="DQ152">
        <v>0.188306</v>
      </c>
      <c r="DR152">
        <v>25.676100000000002</v>
      </c>
      <c r="DS152">
        <v>25.547000000000001</v>
      </c>
      <c r="DT152">
        <v>17.7</v>
      </c>
      <c r="DU152">
        <v>29.7</v>
      </c>
      <c r="DV152">
        <v>7.4791100000000004</v>
      </c>
      <c r="DW152">
        <v>61.811199999999999</v>
      </c>
      <c r="DX152">
        <v>36.602600000000002</v>
      </c>
      <c r="DY152">
        <v>1</v>
      </c>
      <c r="DZ152">
        <v>-8.2474599999999995E-2</v>
      </c>
      <c r="EA152">
        <v>-0.19348599999999999</v>
      </c>
      <c r="EB152">
        <v>20.189499999999999</v>
      </c>
      <c r="EC152">
        <v>5.2404999999999999</v>
      </c>
      <c r="ED152">
        <v>12.039899999999999</v>
      </c>
      <c r="EE152">
        <v>5.0170000000000003</v>
      </c>
      <c r="EF152">
        <v>3.2879999999999998</v>
      </c>
      <c r="EG152">
        <v>9999</v>
      </c>
      <c r="EH152">
        <v>9999</v>
      </c>
      <c r="EI152">
        <v>9999</v>
      </c>
      <c r="EJ152">
        <v>999.9</v>
      </c>
      <c r="EK152">
        <v>1.8689100000000001</v>
      </c>
      <c r="EL152">
        <v>1.86467</v>
      </c>
      <c r="EM152">
        <v>1.8691899999999999</v>
      </c>
      <c r="EN152">
        <v>1.8672599999999999</v>
      </c>
      <c r="EO152">
        <v>1.8633999999999999</v>
      </c>
      <c r="EP152">
        <v>1.8645799999999999</v>
      </c>
      <c r="EQ152">
        <v>1.8701399999999999</v>
      </c>
      <c r="ER152">
        <v>1.8694500000000001</v>
      </c>
      <c r="ES152">
        <v>0</v>
      </c>
      <c r="ET152">
        <v>0</v>
      </c>
      <c r="EU152">
        <v>0</v>
      </c>
      <c r="EV152">
        <v>0</v>
      </c>
      <c r="EW152" t="s">
        <v>334</v>
      </c>
      <c r="EX152" t="s">
        <v>335</v>
      </c>
      <c r="EY152" t="s">
        <v>336</v>
      </c>
      <c r="EZ152" t="s">
        <v>336</v>
      </c>
      <c r="FA152" t="s">
        <v>336</v>
      </c>
      <c r="FB152" t="s">
        <v>336</v>
      </c>
      <c r="FC152">
        <v>0</v>
      </c>
      <c r="FD152">
        <v>100</v>
      </c>
      <c r="FE152">
        <v>100</v>
      </c>
      <c r="FF152">
        <v>-0.215</v>
      </c>
      <c r="FG152">
        <v>0.19159999999999999</v>
      </c>
      <c r="FH152">
        <v>4.0020685143421282E-2</v>
      </c>
      <c r="FI152">
        <v>-6.1462078757559423E-4</v>
      </c>
      <c r="FJ152">
        <v>-1.8861989874597051E-7</v>
      </c>
      <c r="FK152">
        <v>1.1980462299894961E-10</v>
      </c>
      <c r="FL152">
        <v>0.19160597004026461</v>
      </c>
      <c r="FM152">
        <v>0</v>
      </c>
      <c r="FN152">
        <v>0</v>
      </c>
      <c r="FO152">
        <v>0</v>
      </c>
      <c r="FP152">
        <v>3</v>
      </c>
      <c r="FQ152">
        <v>2158</v>
      </c>
      <c r="FR152">
        <v>1</v>
      </c>
      <c r="FS152">
        <v>19</v>
      </c>
      <c r="FT152">
        <v>30.8</v>
      </c>
      <c r="FU152">
        <v>30.7</v>
      </c>
      <c r="FV152">
        <v>1.77979</v>
      </c>
      <c r="FW152">
        <v>2.5817899999999998</v>
      </c>
      <c r="FX152">
        <v>1.5490699999999999</v>
      </c>
      <c r="FY152">
        <v>2.3290999999999999</v>
      </c>
      <c r="FZ152">
        <v>1.50146</v>
      </c>
      <c r="GA152">
        <v>2.32544</v>
      </c>
      <c r="GB152">
        <v>33.850900000000003</v>
      </c>
      <c r="GC152">
        <v>23.982399999999998</v>
      </c>
      <c r="GD152">
        <v>19</v>
      </c>
      <c r="GE152">
        <v>247.19200000000001</v>
      </c>
      <c r="GF152">
        <v>582.24</v>
      </c>
      <c r="GG152">
        <v>25.5322</v>
      </c>
      <c r="GH152">
        <v>26.3508</v>
      </c>
      <c r="GI152">
        <v>30.0002</v>
      </c>
      <c r="GJ152">
        <v>26.4968</v>
      </c>
      <c r="GK152">
        <v>26.467099999999999</v>
      </c>
      <c r="GL152">
        <v>35.5809</v>
      </c>
      <c r="GM152">
        <v>-30</v>
      </c>
      <c r="GN152">
        <v>-30</v>
      </c>
      <c r="GO152">
        <v>25.5047</v>
      </c>
      <c r="GP152">
        <v>800</v>
      </c>
      <c r="GQ152">
        <v>12.5298</v>
      </c>
      <c r="GR152">
        <v>99.674000000000007</v>
      </c>
      <c r="GS152">
        <v>99.465100000000007</v>
      </c>
    </row>
    <row r="153" spans="1:201" x14ac:dyDescent="0.25">
      <c r="A153">
        <v>137</v>
      </c>
      <c r="B153">
        <v>1690213775.5999999</v>
      </c>
      <c r="C153">
        <v>1508.099999904633</v>
      </c>
      <c r="D153" t="s">
        <v>605</v>
      </c>
      <c r="E153" t="s">
        <v>606</v>
      </c>
      <c r="F153" t="s">
        <v>330</v>
      </c>
      <c r="H153">
        <v>1690213775.5999999</v>
      </c>
      <c r="I153">
        <f t="shared" si="60"/>
        <v>2.0271978169538866E-3</v>
      </c>
      <c r="J153">
        <f t="shared" si="61"/>
        <v>2.0271978169538865</v>
      </c>
      <c r="K153">
        <f t="shared" si="62"/>
        <v>35.795888836778765</v>
      </c>
      <c r="L153">
        <f t="shared" si="63"/>
        <v>379.70699999999999</v>
      </c>
      <c r="M153">
        <f t="shared" si="64"/>
        <v>61.158554900633618</v>
      </c>
      <c r="N153">
        <f t="shared" si="65"/>
        <v>6.0663218982355422</v>
      </c>
      <c r="O153">
        <f t="shared" si="66"/>
        <v>37.663167364823707</v>
      </c>
      <c r="P153">
        <f t="shared" si="67"/>
        <v>0.19018814336427092</v>
      </c>
      <c r="Q153">
        <f t="shared" si="68"/>
        <v>2.0141076819108523</v>
      </c>
      <c r="R153">
        <f t="shared" si="69"/>
        <v>0.1807444794683529</v>
      </c>
      <c r="S153">
        <f t="shared" si="70"/>
        <v>0.11377468714595593</v>
      </c>
      <c r="T153">
        <f t="shared" si="71"/>
        <v>276.11667280799998</v>
      </c>
      <c r="U153">
        <f t="shared" si="72"/>
        <v>28.515993161713475</v>
      </c>
      <c r="V153">
        <f t="shared" si="73"/>
        <v>28.515993161713475</v>
      </c>
      <c r="W153">
        <f t="shared" si="74"/>
        <v>3.910499822775233</v>
      </c>
      <c r="X153">
        <f t="shared" si="75"/>
        <v>79.405172985248072</v>
      </c>
      <c r="Y153">
        <f t="shared" si="76"/>
        <v>2.8358344424610902</v>
      </c>
      <c r="Z153">
        <f t="shared" si="77"/>
        <v>3.5713472256875916</v>
      </c>
      <c r="AA153">
        <f t="shared" si="78"/>
        <v>1.0746653803141428</v>
      </c>
      <c r="AB153">
        <f t="shared" si="79"/>
        <v>-89.399423727666402</v>
      </c>
      <c r="AC153">
        <f t="shared" si="80"/>
        <v>-168.65281679041175</v>
      </c>
      <c r="AD153">
        <f t="shared" si="81"/>
        <v>-18.205222407218212</v>
      </c>
      <c r="AE153">
        <f t="shared" si="82"/>
        <v>-0.14079011729640456</v>
      </c>
      <c r="AF153">
        <v>33</v>
      </c>
      <c r="AG153">
        <v>11</v>
      </c>
      <c r="AH153">
        <f t="shared" si="83"/>
        <v>1</v>
      </c>
      <c r="AI153">
        <f t="shared" si="84"/>
        <v>0</v>
      </c>
      <c r="AJ153">
        <f t="shared" si="85"/>
        <v>52506.045871532289</v>
      </c>
      <c r="AK153">
        <f t="shared" si="86"/>
        <v>1800</v>
      </c>
      <c r="AL153">
        <f t="shared" si="87"/>
        <v>1499.1106608</v>
      </c>
      <c r="AM153">
        <f t="shared" si="88"/>
        <v>0.83283925599999997</v>
      </c>
      <c r="AN153">
        <f t="shared" si="89"/>
        <v>0.15339815156</v>
      </c>
      <c r="AO153">
        <v>34.5</v>
      </c>
      <c r="AP153">
        <v>0.5</v>
      </c>
      <c r="AQ153" t="s">
        <v>331</v>
      </c>
      <c r="AR153">
        <v>2</v>
      </c>
      <c r="AS153">
        <v>1690213775.5999999</v>
      </c>
      <c r="AT153">
        <v>379.70699999999999</v>
      </c>
      <c r="AU153">
        <v>800.01</v>
      </c>
      <c r="AV153">
        <v>28.5899</v>
      </c>
      <c r="AW153">
        <v>5.9545000000000003</v>
      </c>
      <c r="AX153">
        <v>379.92099999999999</v>
      </c>
      <c r="AY153">
        <v>28.398299999999999</v>
      </c>
      <c r="AZ153">
        <v>300.14400000000001</v>
      </c>
      <c r="BA153">
        <v>99.090100000000007</v>
      </c>
      <c r="BB153">
        <v>9.9979100000000001E-2</v>
      </c>
      <c r="BC153">
        <v>26.962800000000001</v>
      </c>
      <c r="BD153">
        <v>27.002700000000001</v>
      </c>
      <c r="BE153">
        <v>28.626999999999999</v>
      </c>
      <c r="BF153">
        <v>0</v>
      </c>
      <c r="BG153">
        <v>0</v>
      </c>
      <c r="BH153">
        <v>10020.6</v>
      </c>
      <c r="BI153">
        <v>1077.07</v>
      </c>
      <c r="BJ153">
        <v>2.0744500000000001</v>
      </c>
      <c r="BK153">
        <v>-420.303</v>
      </c>
      <c r="BL153">
        <v>390.88200000000001</v>
      </c>
      <c r="BM153">
        <v>804.80200000000002</v>
      </c>
      <c r="BN153">
        <v>22.635400000000001</v>
      </c>
      <c r="BO153">
        <v>800.01</v>
      </c>
      <c r="BP153">
        <v>5.9545000000000003</v>
      </c>
      <c r="BQ153">
        <v>2.8329800000000001</v>
      </c>
      <c r="BR153">
        <v>0.590032</v>
      </c>
      <c r="BS153">
        <v>23.077500000000001</v>
      </c>
      <c r="BT153">
        <v>-0.53915900000000005</v>
      </c>
      <c r="BU153">
        <v>1800</v>
      </c>
      <c r="BV153">
        <v>0.90998000000000001</v>
      </c>
      <c r="BW153">
        <v>3.4001499999999997E-2</v>
      </c>
      <c r="BX153">
        <v>2.2008799999999999E-2</v>
      </c>
      <c r="BY153">
        <v>3.40098E-2</v>
      </c>
      <c r="BZ153">
        <v>26</v>
      </c>
      <c r="CA153">
        <v>33528.199999999997</v>
      </c>
      <c r="CB153">
        <v>1690211922</v>
      </c>
      <c r="CC153" t="s">
        <v>332</v>
      </c>
      <c r="CD153">
        <v>1690211915</v>
      </c>
      <c r="CE153">
        <v>1690211922</v>
      </c>
      <c r="CF153">
        <v>6</v>
      </c>
      <c r="CG153">
        <v>1.0999999999999999E-2</v>
      </c>
      <c r="CH153">
        <v>8.0000000000000002E-3</v>
      </c>
      <c r="CI153">
        <v>-0.51100000000000001</v>
      </c>
      <c r="CJ153">
        <v>-6.6000000000000003E-2</v>
      </c>
      <c r="CK153">
        <v>800</v>
      </c>
      <c r="CL153">
        <v>6</v>
      </c>
      <c r="CM153">
        <v>0.21</v>
      </c>
      <c r="CN153">
        <v>0.02</v>
      </c>
      <c r="CO153">
        <v>-418.51299999999992</v>
      </c>
      <c r="CP153">
        <v>-10.540863039398699</v>
      </c>
      <c r="CQ153">
        <v>1.0212044604289641</v>
      </c>
      <c r="CR153">
        <v>-1</v>
      </c>
      <c r="CS153">
        <v>22.5899675</v>
      </c>
      <c r="CT153">
        <v>0.27193058161344541</v>
      </c>
      <c r="CU153">
        <v>2.6182192302211589E-2</v>
      </c>
      <c r="CV153">
        <v>-1</v>
      </c>
      <c r="CW153">
        <v>0</v>
      </c>
      <c r="CX153">
        <v>0</v>
      </c>
      <c r="CY153" t="s">
        <v>333</v>
      </c>
      <c r="CZ153">
        <v>2.36429</v>
      </c>
      <c r="DA153">
        <v>2.7137899999999999</v>
      </c>
      <c r="DB153">
        <v>8.5998199999999997E-2</v>
      </c>
      <c r="DC153">
        <v>0.146064</v>
      </c>
      <c r="DD153">
        <v>0.128689</v>
      </c>
      <c r="DE153">
        <v>3.9198299999999998E-2</v>
      </c>
      <c r="DF153">
        <v>33353.5</v>
      </c>
      <c r="DG153">
        <v>27493.8</v>
      </c>
      <c r="DH153">
        <v>31153.3</v>
      </c>
      <c r="DI153">
        <v>28055.5</v>
      </c>
      <c r="DJ153">
        <v>36836.699999999997</v>
      </c>
      <c r="DK153">
        <v>38327.599999999999</v>
      </c>
      <c r="DL153">
        <v>44331.199999999997</v>
      </c>
      <c r="DM153">
        <v>42515.9</v>
      </c>
      <c r="DN153">
        <v>1.3865000000000001</v>
      </c>
      <c r="DO153">
        <v>2.0337499999999999</v>
      </c>
      <c r="DP153">
        <v>8.1431100000000006E-2</v>
      </c>
      <c r="DQ153">
        <v>0.18861900000000001</v>
      </c>
      <c r="DR153">
        <v>25.669499999999999</v>
      </c>
      <c r="DS153">
        <v>25.5427</v>
      </c>
      <c r="DT153">
        <v>17.7</v>
      </c>
      <c r="DU153">
        <v>29.7</v>
      </c>
      <c r="DV153">
        <v>7.4801700000000002</v>
      </c>
      <c r="DW153">
        <v>61.531199999999998</v>
      </c>
      <c r="DX153">
        <v>36.490400000000001</v>
      </c>
      <c r="DY153">
        <v>1</v>
      </c>
      <c r="DZ153">
        <v>-8.2675299999999993E-2</v>
      </c>
      <c r="EA153">
        <v>-0.118023</v>
      </c>
      <c r="EB153">
        <v>20.189499999999999</v>
      </c>
      <c r="EC153">
        <v>5.2409499999999998</v>
      </c>
      <c r="ED153">
        <v>12.039899999999999</v>
      </c>
      <c r="EE153">
        <v>5.01715</v>
      </c>
      <c r="EF153">
        <v>3.2879999999999998</v>
      </c>
      <c r="EG153">
        <v>9999</v>
      </c>
      <c r="EH153">
        <v>9999</v>
      </c>
      <c r="EI153">
        <v>9999</v>
      </c>
      <c r="EJ153">
        <v>999.9</v>
      </c>
      <c r="EK153">
        <v>1.8689100000000001</v>
      </c>
      <c r="EL153">
        <v>1.8647</v>
      </c>
      <c r="EM153">
        <v>1.8691899999999999</v>
      </c>
      <c r="EN153">
        <v>1.8672500000000001</v>
      </c>
      <c r="EO153">
        <v>1.8633999999999999</v>
      </c>
      <c r="EP153">
        <v>1.86456</v>
      </c>
      <c r="EQ153">
        <v>1.8701700000000001</v>
      </c>
      <c r="ER153">
        <v>1.86947</v>
      </c>
      <c r="ES153">
        <v>0</v>
      </c>
      <c r="ET153">
        <v>0</v>
      </c>
      <c r="EU153">
        <v>0</v>
      </c>
      <c r="EV153">
        <v>0</v>
      </c>
      <c r="EW153" t="s">
        <v>334</v>
      </c>
      <c r="EX153" t="s">
        <v>335</v>
      </c>
      <c r="EY153" t="s">
        <v>336</v>
      </c>
      <c r="EZ153" t="s">
        <v>336</v>
      </c>
      <c r="FA153" t="s">
        <v>336</v>
      </c>
      <c r="FB153" t="s">
        <v>336</v>
      </c>
      <c r="FC153">
        <v>0</v>
      </c>
      <c r="FD153">
        <v>100</v>
      </c>
      <c r="FE153">
        <v>100</v>
      </c>
      <c r="FF153">
        <v>-0.214</v>
      </c>
      <c r="FG153">
        <v>0.19159999999999999</v>
      </c>
      <c r="FH153">
        <v>4.0020685143421282E-2</v>
      </c>
      <c r="FI153">
        <v>-6.1462078757559423E-4</v>
      </c>
      <c r="FJ153">
        <v>-1.8861989874597051E-7</v>
      </c>
      <c r="FK153">
        <v>1.1980462299894961E-10</v>
      </c>
      <c r="FL153">
        <v>0.19160597004026461</v>
      </c>
      <c r="FM153">
        <v>0</v>
      </c>
      <c r="FN153">
        <v>0</v>
      </c>
      <c r="FO153">
        <v>0</v>
      </c>
      <c r="FP153">
        <v>3</v>
      </c>
      <c r="FQ153">
        <v>2158</v>
      </c>
      <c r="FR153">
        <v>1</v>
      </c>
      <c r="FS153">
        <v>19</v>
      </c>
      <c r="FT153">
        <v>31</v>
      </c>
      <c r="FU153">
        <v>30.9</v>
      </c>
      <c r="FV153">
        <v>1.77979</v>
      </c>
      <c r="FW153">
        <v>2.5842299999999998</v>
      </c>
      <c r="FX153">
        <v>1.5490699999999999</v>
      </c>
      <c r="FY153">
        <v>2.3290999999999999</v>
      </c>
      <c r="FZ153">
        <v>1.50146</v>
      </c>
      <c r="GA153">
        <v>2.3290999999999999</v>
      </c>
      <c r="GB153">
        <v>33.850900000000003</v>
      </c>
      <c r="GC153">
        <v>23.982399999999998</v>
      </c>
      <c r="GD153">
        <v>19</v>
      </c>
      <c r="GE153">
        <v>247.001</v>
      </c>
      <c r="GF153">
        <v>582.428</v>
      </c>
      <c r="GG153">
        <v>25.4603</v>
      </c>
      <c r="GH153">
        <v>26.3508</v>
      </c>
      <c r="GI153">
        <v>30.0001</v>
      </c>
      <c r="GJ153">
        <v>26.494700000000002</v>
      </c>
      <c r="GK153">
        <v>26.465299999999999</v>
      </c>
      <c r="GL153">
        <v>35.579900000000002</v>
      </c>
      <c r="GM153">
        <v>-30</v>
      </c>
      <c r="GN153">
        <v>-30</v>
      </c>
      <c r="GO153">
        <v>25.4575</v>
      </c>
      <c r="GP153">
        <v>800</v>
      </c>
      <c r="GQ153">
        <v>12.5298</v>
      </c>
      <c r="GR153">
        <v>99.673500000000004</v>
      </c>
      <c r="GS153">
        <v>99.465400000000002</v>
      </c>
    </row>
    <row r="154" spans="1:201" x14ac:dyDescent="0.25">
      <c r="A154">
        <v>138</v>
      </c>
      <c r="B154">
        <v>1690213785.5999999</v>
      </c>
      <c r="C154">
        <v>1518.099999904633</v>
      </c>
      <c r="D154" t="s">
        <v>607</v>
      </c>
      <c r="E154" t="s">
        <v>608</v>
      </c>
      <c r="F154" t="s">
        <v>330</v>
      </c>
      <c r="H154">
        <v>1690213785.5999999</v>
      </c>
      <c r="I154">
        <f t="shared" si="60"/>
        <v>2.0315158003653142E-3</v>
      </c>
      <c r="J154">
        <f t="shared" si="61"/>
        <v>2.0315158003653142</v>
      </c>
      <c r="K154">
        <f t="shared" si="62"/>
        <v>35.962683618502609</v>
      </c>
      <c r="L154">
        <f t="shared" si="63"/>
        <v>377.91899999999998</v>
      </c>
      <c r="M154">
        <f t="shared" si="64"/>
        <v>60.085092947725251</v>
      </c>
      <c r="N154">
        <f t="shared" si="65"/>
        <v>5.9599267117634325</v>
      </c>
      <c r="O154">
        <f t="shared" si="66"/>
        <v>37.486328679602991</v>
      </c>
      <c r="P154">
        <f t="shared" si="67"/>
        <v>0.19155054216699044</v>
      </c>
      <c r="Q154">
        <f t="shared" si="68"/>
        <v>2.011836972782286</v>
      </c>
      <c r="R154">
        <f t="shared" si="69"/>
        <v>0.18196452777610642</v>
      </c>
      <c r="S154">
        <f t="shared" si="70"/>
        <v>0.11454910545538043</v>
      </c>
      <c r="T154">
        <f t="shared" si="71"/>
        <v>276.11654578200006</v>
      </c>
      <c r="U154">
        <f t="shared" si="72"/>
        <v>28.511995760501119</v>
      </c>
      <c r="V154">
        <f t="shared" si="73"/>
        <v>28.511995760501119</v>
      </c>
      <c r="W154">
        <f t="shared" si="74"/>
        <v>3.9095921186560001</v>
      </c>
      <c r="X154">
        <f t="shared" si="75"/>
        <v>79.536601254777523</v>
      </c>
      <c r="Y154">
        <f t="shared" si="76"/>
        <v>2.8398607604536998</v>
      </c>
      <c r="Z154">
        <f t="shared" si="77"/>
        <v>3.5705080625168382</v>
      </c>
      <c r="AA154">
        <f t="shared" si="78"/>
        <v>1.0697313582023003</v>
      </c>
      <c r="AB154">
        <f t="shared" si="79"/>
        <v>-89.589846796110351</v>
      </c>
      <c r="AC154">
        <f t="shared" si="80"/>
        <v>-168.46295912921082</v>
      </c>
      <c r="AD154">
        <f t="shared" si="81"/>
        <v>-18.204526697544612</v>
      </c>
      <c r="AE154">
        <f t="shared" si="82"/>
        <v>-0.14078684086572935</v>
      </c>
      <c r="AF154">
        <v>33</v>
      </c>
      <c r="AG154">
        <v>11</v>
      </c>
      <c r="AH154">
        <f t="shared" si="83"/>
        <v>1</v>
      </c>
      <c r="AI154">
        <f t="shared" si="84"/>
        <v>0</v>
      </c>
      <c r="AJ154">
        <f t="shared" si="85"/>
        <v>52397.643364038318</v>
      </c>
      <c r="AK154">
        <f t="shared" si="86"/>
        <v>1800</v>
      </c>
      <c r="AL154">
        <f t="shared" si="87"/>
        <v>1499.1101171999996</v>
      </c>
      <c r="AM154">
        <f t="shared" si="88"/>
        <v>0.83283895399999985</v>
      </c>
      <c r="AN154">
        <f t="shared" si="89"/>
        <v>0.15339808099000002</v>
      </c>
      <c r="AO154">
        <v>34.5</v>
      </c>
      <c r="AP154">
        <v>0.5</v>
      </c>
      <c r="AQ154" t="s">
        <v>331</v>
      </c>
      <c r="AR154">
        <v>2</v>
      </c>
      <c r="AS154">
        <v>1690213785.5999999</v>
      </c>
      <c r="AT154">
        <v>377.91899999999998</v>
      </c>
      <c r="AU154">
        <v>800.00099999999998</v>
      </c>
      <c r="AV154">
        <v>28.630099999999999</v>
      </c>
      <c r="AW154">
        <v>5.9536199999999999</v>
      </c>
      <c r="AX154">
        <v>378.13200000000001</v>
      </c>
      <c r="AY154">
        <v>28.438500000000001</v>
      </c>
      <c r="AZ154">
        <v>300.226</v>
      </c>
      <c r="BA154">
        <v>99.091399999999993</v>
      </c>
      <c r="BB154">
        <v>0.100037</v>
      </c>
      <c r="BC154">
        <v>26.9588</v>
      </c>
      <c r="BD154">
        <v>26.973299999999998</v>
      </c>
      <c r="BE154">
        <v>28.6098</v>
      </c>
      <c r="BF154">
        <v>0</v>
      </c>
      <c r="BG154">
        <v>0</v>
      </c>
      <c r="BH154">
        <v>9998.75</v>
      </c>
      <c r="BI154">
        <v>1077.0899999999999</v>
      </c>
      <c r="BJ154">
        <v>2.0744500000000001</v>
      </c>
      <c r="BK154">
        <v>-422.08100000000002</v>
      </c>
      <c r="BL154">
        <v>389.05799999999999</v>
      </c>
      <c r="BM154">
        <v>804.79200000000003</v>
      </c>
      <c r="BN154">
        <v>22.676400000000001</v>
      </c>
      <c r="BO154">
        <v>800.00099999999998</v>
      </c>
      <c r="BP154">
        <v>5.9536199999999999</v>
      </c>
      <c r="BQ154">
        <v>2.8369900000000001</v>
      </c>
      <c r="BR154">
        <v>0.58995299999999995</v>
      </c>
      <c r="BS154">
        <v>23.100899999999999</v>
      </c>
      <c r="BT154">
        <v>-0.54099299999999995</v>
      </c>
      <c r="BU154">
        <v>1800</v>
      </c>
      <c r="BV154">
        <v>0.90998000000000001</v>
      </c>
      <c r="BW154">
        <v>3.4001299999999998E-2</v>
      </c>
      <c r="BX154">
        <v>2.2008699999999999E-2</v>
      </c>
      <c r="BY154">
        <v>3.4009699999999997E-2</v>
      </c>
      <c r="BZ154">
        <v>26</v>
      </c>
      <c r="CA154">
        <v>33528.199999999997</v>
      </c>
      <c r="CB154">
        <v>1690211922</v>
      </c>
      <c r="CC154" t="s">
        <v>332</v>
      </c>
      <c r="CD154">
        <v>1690211915</v>
      </c>
      <c r="CE154">
        <v>1690211922</v>
      </c>
      <c r="CF154">
        <v>6</v>
      </c>
      <c r="CG154">
        <v>1.0999999999999999E-2</v>
      </c>
      <c r="CH154">
        <v>8.0000000000000002E-3</v>
      </c>
      <c r="CI154">
        <v>-0.51100000000000001</v>
      </c>
      <c r="CJ154">
        <v>-6.6000000000000003E-2</v>
      </c>
      <c r="CK154">
        <v>800</v>
      </c>
      <c r="CL154">
        <v>6</v>
      </c>
      <c r="CM154">
        <v>0.21</v>
      </c>
      <c r="CN154">
        <v>0.02</v>
      </c>
      <c r="CO154">
        <v>-420.10559999999998</v>
      </c>
      <c r="CP154">
        <v>-10.05579737335731</v>
      </c>
      <c r="CQ154">
        <v>0.97306458675670415</v>
      </c>
      <c r="CR154">
        <v>-1</v>
      </c>
      <c r="CS154">
        <v>22.629375</v>
      </c>
      <c r="CT154">
        <v>0.2525606003751758</v>
      </c>
      <c r="CU154">
        <v>2.4317378045340021E-2</v>
      </c>
      <c r="CV154">
        <v>-1</v>
      </c>
      <c r="CW154">
        <v>0</v>
      </c>
      <c r="CX154">
        <v>0</v>
      </c>
      <c r="CY154" t="s">
        <v>333</v>
      </c>
      <c r="CZ154">
        <v>2.3645800000000001</v>
      </c>
      <c r="DA154">
        <v>2.7138300000000002</v>
      </c>
      <c r="DB154">
        <v>8.5686300000000007E-2</v>
      </c>
      <c r="DC154">
        <v>0.146065</v>
      </c>
      <c r="DD154">
        <v>0.12881600000000001</v>
      </c>
      <c r="DE154">
        <v>3.9194199999999998E-2</v>
      </c>
      <c r="DF154">
        <v>33365.1</v>
      </c>
      <c r="DG154">
        <v>27494.1</v>
      </c>
      <c r="DH154">
        <v>31153.599999999999</v>
      </c>
      <c r="DI154">
        <v>28055.7</v>
      </c>
      <c r="DJ154">
        <v>36831.5</v>
      </c>
      <c r="DK154">
        <v>38328.1</v>
      </c>
      <c r="DL154">
        <v>44331.5</v>
      </c>
      <c r="DM154">
        <v>42516.3</v>
      </c>
      <c r="DN154">
        <v>1.3870800000000001</v>
      </c>
      <c r="DO154">
        <v>2.03363</v>
      </c>
      <c r="DP154">
        <v>8.0194299999999996E-2</v>
      </c>
      <c r="DQ154">
        <v>0.18782499999999999</v>
      </c>
      <c r="DR154">
        <v>25.660299999999999</v>
      </c>
      <c r="DS154">
        <v>25.538399999999999</v>
      </c>
      <c r="DT154">
        <v>17.7</v>
      </c>
      <c r="DU154">
        <v>29.7</v>
      </c>
      <c r="DV154">
        <v>7.47987</v>
      </c>
      <c r="DW154">
        <v>61.641199999999998</v>
      </c>
      <c r="DX154">
        <v>36.253999999999998</v>
      </c>
      <c r="DY154">
        <v>1</v>
      </c>
      <c r="DZ154">
        <v>-8.2703299999999993E-2</v>
      </c>
      <c r="EA154">
        <v>-0.26902799999999999</v>
      </c>
      <c r="EB154">
        <v>20.189399999999999</v>
      </c>
      <c r="EC154">
        <v>5.2403500000000003</v>
      </c>
      <c r="ED154">
        <v>12.039899999999999</v>
      </c>
      <c r="EE154">
        <v>5.0169499999999996</v>
      </c>
      <c r="EF154">
        <v>3.2879999999999998</v>
      </c>
      <c r="EG154">
        <v>9999</v>
      </c>
      <c r="EH154">
        <v>9999</v>
      </c>
      <c r="EI154">
        <v>9999</v>
      </c>
      <c r="EJ154">
        <v>999.9</v>
      </c>
      <c r="EK154">
        <v>1.86893</v>
      </c>
      <c r="EL154">
        <v>1.8646799999999999</v>
      </c>
      <c r="EM154">
        <v>1.8692</v>
      </c>
      <c r="EN154">
        <v>1.8672599999999999</v>
      </c>
      <c r="EO154">
        <v>1.8633999999999999</v>
      </c>
      <c r="EP154">
        <v>1.86459</v>
      </c>
      <c r="EQ154">
        <v>1.8701399999999999</v>
      </c>
      <c r="ER154">
        <v>1.86944</v>
      </c>
      <c r="ES154">
        <v>0</v>
      </c>
      <c r="ET154">
        <v>0</v>
      </c>
      <c r="EU154">
        <v>0</v>
      </c>
      <c r="EV154">
        <v>0</v>
      </c>
      <c r="EW154" t="s">
        <v>334</v>
      </c>
      <c r="EX154" t="s">
        <v>335</v>
      </c>
      <c r="EY154" t="s">
        <v>336</v>
      </c>
      <c r="EZ154" t="s">
        <v>336</v>
      </c>
      <c r="FA154" t="s">
        <v>336</v>
      </c>
      <c r="FB154" t="s">
        <v>336</v>
      </c>
      <c r="FC154">
        <v>0</v>
      </c>
      <c r="FD154">
        <v>100</v>
      </c>
      <c r="FE154">
        <v>100</v>
      </c>
      <c r="FF154">
        <v>-0.21299999999999999</v>
      </c>
      <c r="FG154">
        <v>0.19159999999999999</v>
      </c>
      <c r="FH154">
        <v>4.0020685143421282E-2</v>
      </c>
      <c r="FI154">
        <v>-6.1462078757559423E-4</v>
      </c>
      <c r="FJ154">
        <v>-1.8861989874597051E-7</v>
      </c>
      <c r="FK154">
        <v>1.1980462299894961E-10</v>
      </c>
      <c r="FL154">
        <v>0.19160597004026461</v>
      </c>
      <c r="FM154">
        <v>0</v>
      </c>
      <c r="FN154">
        <v>0</v>
      </c>
      <c r="FO154">
        <v>0</v>
      </c>
      <c r="FP154">
        <v>3</v>
      </c>
      <c r="FQ154">
        <v>2158</v>
      </c>
      <c r="FR154">
        <v>1</v>
      </c>
      <c r="FS154">
        <v>19</v>
      </c>
      <c r="FT154">
        <v>31.2</v>
      </c>
      <c r="FU154">
        <v>31.1</v>
      </c>
      <c r="FV154">
        <v>1.77979</v>
      </c>
      <c r="FW154">
        <v>2.5817899999999998</v>
      </c>
      <c r="FX154">
        <v>1.5490699999999999</v>
      </c>
      <c r="FY154">
        <v>2.3290999999999999</v>
      </c>
      <c r="FZ154">
        <v>1.50146</v>
      </c>
      <c r="GA154">
        <v>2.3034699999999999</v>
      </c>
      <c r="GB154">
        <v>33.850900000000003</v>
      </c>
      <c r="GC154">
        <v>23.982399999999998</v>
      </c>
      <c r="GD154">
        <v>19</v>
      </c>
      <c r="GE154">
        <v>247.215</v>
      </c>
      <c r="GF154">
        <v>582.31799999999998</v>
      </c>
      <c r="GG154">
        <v>25.451599999999999</v>
      </c>
      <c r="GH154">
        <v>26.348600000000001</v>
      </c>
      <c r="GI154">
        <v>29.9999</v>
      </c>
      <c r="GJ154">
        <v>26.4925</v>
      </c>
      <c r="GK154">
        <v>26.4648</v>
      </c>
      <c r="GL154">
        <v>35.578800000000001</v>
      </c>
      <c r="GM154">
        <v>-30</v>
      </c>
      <c r="GN154">
        <v>-30</v>
      </c>
      <c r="GO154">
        <v>25.476500000000001</v>
      </c>
      <c r="GP154">
        <v>800</v>
      </c>
      <c r="GQ154">
        <v>12.5298</v>
      </c>
      <c r="GR154">
        <v>99.674300000000002</v>
      </c>
      <c r="GS154">
        <v>99.466399999999993</v>
      </c>
    </row>
    <row r="155" spans="1:201" x14ac:dyDescent="0.25">
      <c r="A155">
        <v>139</v>
      </c>
      <c r="B155">
        <v>1690213795.5999999</v>
      </c>
      <c r="C155">
        <v>1528.099999904633</v>
      </c>
      <c r="D155" t="s">
        <v>609</v>
      </c>
      <c r="E155" t="s">
        <v>610</v>
      </c>
      <c r="F155" t="s">
        <v>330</v>
      </c>
      <c r="H155">
        <v>1690213795.5999999</v>
      </c>
      <c r="I155">
        <f t="shared" si="60"/>
        <v>2.034404006376726E-3</v>
      </c>
      <c r="J155">
        <f t="shared" si="61"/>
        <v>2.0344040063767261</v>
      </c>
      <c r="K155">
        <f t="shared" si="62"/>
        <v>36.076408359246173</v>
      </c>
      <c r="L155">
        <f t="shared" si="63"/>
        <v>376.4</v>
      </c>
      <c r="M155">
        <f t="shared" si="64"/>
        <v>59.499962759863969</v>
      </c>
      <c r="N155">
        <f t="shared" si="65"/>
        <v>5.9017905485576403</v>
      </c>
      <c r="O155">
        <f t="shared" si="66"/>
        <v>37.335047946879996</v>
      </c>
      <c r="P155">
        <f t="shared" si="67"/>
        <v>0.19276525941236114</v>
      </c>
      <c r="Q155">
        <f t="shared" si="68"/>
        <v>2.0105119441643495</v>
      </c>
      <c r="R155">
        <f t="shared" si="69"/>
        <v>0.18305453881388348</v>
      </c>
      <c r="S155">
        <f t="shared" si="70"/>
        <v>0.11524077747861473</v>
      </c>
      <c r="T155">
        <f t="shared" si="71"/>
        <v>276.11665295399996</v>
      </c>
      <c r="U155">
        <f t="shared" si="72"/>
        <v>28.506767541214128</v>
      </c>
      <c r="V155">
        <f t="shared" si="73"/>
        <v>28.506767541214128</v>
      </c>
      <c r="W155">
        <f t="shared" si="74"/>
        <v>3.9084052056569436</v>
      </c>
      <c r="X155">
        <f t="shared" si="75"/>
        <v>79.664180070517148</v>
      </c>
      <c r="Y155">
        <f t="shared" si="76"/>
        <v>2.8435638178436804</v>
      </c>
      <c r="Z155">
        <f t="shared" si="77"/>
        <v>3.5694383791141941</v>
      </c>
      <c r="AA155">
        <f t="shared" si="78"/>
        <v>1.0648413878132632</v>
      </c>
      <c r="AB155">
        <f t="shared" si="79"/>
        <v>-89.717216681213614</v>
      </c>
      <c r="AC155">
        <f t="shared" si="80"/>
        <v>-168.33810889799778</v>
      </c>
      <c r="AD155">
        <f t="shared" si="81"/>
        <v>-18.20208615376383</v>
      </c>
      <c r="AE155">
        <f t="shared" si="82"/>
        <v>-0.14075877897528244</v>
      </c>
      <c r="AF155">
        <v>33</v>
      </c>
      <c r="AG155">
        <v>11</v>
      </c>
      <c r="AH155">
        <f t="shared" si="83"/>
        <v>1</v>
      </c>
      <c r="AI155">
        <f t="shared" si="84"/>
        <v>0</v>
      </c>
      <c r="AJ155">
        <f t="shared" si="85"/>
        <v>52334.899657383896</v>
      </c>
      <c r="AK155">
        <f t="shared" si="86"/>
        <v>1800</v>
      </c>
      <c r="AL155">
        <f t="shared" si="87"/>
        <v>1499.1112313999997</v>
      </c>
      <c r="AM155">
        <f t="shared" si="88"/>
        <v>0.83283957299999989</v>
      </c>
      <c r="AN155">
        <f t="shared" si="89"/>
        <v>0.15339814052999998</v>
      </c>
      <c r="AO155">
        <v>34.5</v>
      </c>
      <c r="AP155">
        <v>0.5</v>
      </c>
      <c r="AQ155" t="s">
        <v>331</v>
      </c>
      <c r="AR155">
        <v>2</v>
      </c>
      <c r="AS155">
        <v>1690213795.5999999</v>
      </c>
      <c r="AT155">
        <v>376.4</v>
      </c>
      <c r="AU155">
        <v>799.91399999999999</v>
      </c>
      <c r="AV155">
        <v>28.667899999999999</v>
      </c>
      <c r="AW155">
        <v>5.9521199999999999</v>
      </c>
      <c r="AX155">
        <v>376.61200000000002</v>
      </c>
      <c r="AY155">
        <v>28.476299999999998</v>
      </c>
      <c r="AZ155">
        <v>300.12099999999998</v>
      </c>
      <c r="BA155">
        <v>99.0899</v>
      </c>
      <c r="BB155">
        <v>9.99192E-2</v>
      </c>
      <c r="BC155">
        <v>26.953700000000001</v>
      </c>
      <c r="BD155">
        <v>26.994599999999998</v>
      </c>
      <c r="BE155">
        <v>28.595199999999998</v>
      </c>
      <c r="BF155">
        <v>0</v>
      </c>
      <c r="BG155">
        <v>0</v>
      </c>
      <c r="BH155">
        <v>9986.25</v>
      </c>
      <c r="BI155">
        <v>1077.0999999999999</v>
      </c>
      <c r="BJ155">
        <v>2.0744500000000001</v>
      </c>
      <c r="BK155">
        <v>-423.51400000000001</v>
      </c>
      <c r="BL155">
        <v>387.50900000000001</v>
      </c>
      <c r="BM155">
        <v>804.70399999999995</v>
      </c>
      <c r="BN155">
        <v>22.715800000000002</v>
      </c>
      <c r="BO155">
        <v>799.91399999999999</v>
      </c>
      <c r="BP155">
        <v>5.9521199999999999</v>
      </c>
      <c r="BQ155">
        <v>2.8407</v>
      </c>
      <c r="BR155">
        <v>0.58979400000000004</v>
      </c>
      <c r="BS155">
        <v>23.122499999999999</v>
      </c>
      <c r="BT155">
        <v>-0.54468499999999997</v>
      </c>
      <c r="BU155">
        <v>1800</v>
      </c>
      <c r="BV155">
        <v>0.90998199999999996</v>
      </c>
      <c r="BW155">
        <v>3.4000799999999998E-2</v>
      </c>
      <c r="BX155">
        <v>2.2008400000000001E-2</v>
      </c>
      <c r="BY155">
        <v>3.40091E-2</v>
      </c>
      <c r="BZ155">
        <v>26</v>
      </c>
      <c r="CA155">
        <v>33528.199999999997</v>
      </c>
      <c r="CB155">
        <v>1690211922</v>
      </c>
      <c r="CC155" t="s">
        <v>332</v>
      </c>
      <c r="CD155">
        <v>1690211915</v>
      </c>
      <c r="CE155">
        <v>1690211922</v>
      </c>
      <c r="CF155">
        <v>6</v>
      </c>
      <c r="CG155">
        <v>1.0999999999999999E-2</v>
      </c>
      <c r="CH155">
        <v>8.0000000000000002E-3</v>
      </c>
      <c r="CI155">
        <v>-0.51100000000000001</v>
      </c>
      <c r="CJ155">
        <v>-6.6000000000000003E-2</v>
      </c>
      <c r="CK155">
        <v>800</v>
      </c>
      <c r="CL155">
        <v>6</v>
      </c>
      <c r="CM155">
        <v>0.21</v>
      </c>
      <c r="CN155">
        <v>0.02</v>
      </c>
      <c r="CO155">
        <v>-421.8521707317073</v>
      </c>
      <c r="CP155">
        <v>-10.11915679442459</v>
      </c>
      <c r="CQ155">
        <v>0.99947354196826321</v>
      </c>
      <c r="CR155">
        <v>-1</v>
      </c>
      <c r="CS155">
        <v>22.671724390243899</v>
      </c>
      <c r="CT155">
        <v>0.24538118466901579</v>
      </c>
      <c r="CU155">
        <v>2.4201731247163009E-2</v>
      </c>
      <c r="CV155">
        <v>-1</v>
      </c>
      <c r="CW155">
        <v>0</v>
      </c>
      <c r="CX155">
        <v>0</v>
      </c>
      <c r="CY155" t="s">
        <v>333</v>
      </c>
      <c r="CZ155">
        <v>2.36422</v>
      </c>
      <c r="DA155">
        <v>2.7136999999999998</v>
      </c>
      <c r="DB155">
        <v>8.5418099999999997E-2</v>
      </c>
      <c r="DC155">
        <v>0.14605299999999999</v>
      </c>
      <c r="DD155">
        <v>0.12893199999999999</v>
      </c>
      <c r="DE155">
        <v>3.9185699999999997E-2</v>
      </c>
      <c r="DF155">
        <v>33374.9</v>
      </c>
      <c r="DG155">
        <v>27494.7</v>
      </c>
      <c r="DH155">
        <v>31153.599999999999</v>
      </c>
      <c r="DI155">
        <v>28056</v>
      </c>
      <c r="DJ155">
        <v>36826.400000000001</v>
      </c>
      <c r="DK155">
        <v>38329</v>
      </c>
      <c r="DL155">
        <v>44331.4</v>
      </c>
      <c r="DM155">
        <v>42516.9</v>
      </c>
      <c r="DN155">
        <v>1.3868499999999999</v>
      </c>
      <c r="DO155">
        <v>2.0337299999999998</v>
      </c>
      <c r="DP155">
        <v>8.1855800000000006E-2</v>
      </c>
      <c r="DQ155">
        <v>0.18715899999999999</v>
      </c>
      <c r="DR155">
        <v>25.654399999999999</v>
      </c>
      <c r="DS155">
        <v>25.534700000000001</v>
      </c>
      <c r="DT155">
        <v>17.7</v>
      </c>
      <c r="DU155">
        <v>29.7</v>
      </c>
      <c r="DV155">
        <v>7.4789399999999997</v>
      </c>
      <c r="DW155">
        <v>61.931199999999997</v>
      </c>
      <c r="DX155">
        <v>36.157899999999998</v>
      </c>
      <c r="DY155">
        <v>1</v>
      </c>
      <c r="DZ155">
        <v>-8.2761699999999994E-2</v>
      </c>
      <c r="EA155">
        <v>-0.32929199999999997</v>
      </c>
      <c r="EB155">
        <v>20.1892</v>
      </c>
      <c r="EC155">
        <v>5.2411000000000003</v>
      </c>
      <c r="ED155">
        <v>12.039899999999999</v>
      </c>
      <c r="EE155">
        <v>5.0168499999999998</v>
      </c>
      <c r="EF155">
        <v>3.2879999999999998</v>
      </c>
      <c r="EG155">
        <v>9999</v>
      </c>
      <c r="EH155">
        <v>9999</v>
      </c>
      <c r="EI155">
        <v>9999</v>
      </c>
      <c r="EJ155">
        <v>999.9</v>
      </c>
      <c r="EK155">
        <v>1.8689</v>
      </c>
      <c r="EL155">
        <v>1.8646499999999999</v>
      </c>
      <c r="EM155">
        <v>1.8691899999999999</v>
      </c>
      <c r="EN155">
        <v>1.8672599999999999</v>
      </c>
      <c r="EO155">
        <v>1.8633999999999999</v>
      </c>
      <c r="EP155">
        <v>1.8645700000000001</v>
      </c>
      <c r="EQ155">
        <v>1.8701700000000001</v>
      </c>
      <c r="ER155">
        <v>1.86941</v>
      </c>
      <c r="ES155">
        <v>0</v>
      </c>
      <c r="ET155">
        <v>0</v>
      </c>
      <c r="EU155">
        <v>0</v>
      </c>
      <c r="EV155">
        <v>0</v>
      </c>
      <c r="EW155" t="s">
        <v>334</v>
      </c>
      <c r="EX155" t="s">
        <v>335</v>
      </c>
      <c r="EY155" t="s">
        <v>336</v>
      </c>
      <c r="EZ155" t="s">
        <v>336</v>
      </c>
      <c r="FA155" t="s">
        <v>336</v>
      </c>
      <c r="FB155" t="s">
        <v>336</v>
      </c>
      <c r="FC155">
        <v>0</v>
      </c>
      <c r="FD155">
        <v>100</v>
      </c>
      <c r="FE155">
        <v>100</v>
      </c>
      <c r="FF155">
        <v>-0.21199999999999999</v>
      </c>
      <c r="FG155">
        <v>0.19159999999999999</v>
      </c>
      <c r="FH155">
        <v>4.0020685143421282E-2</v>
      </c>
      <c r="FI155">
        <v>-6.1462078757559423E-4</v>
      </c>
      <c r="FJ155">
        <v>-1.8861989874597051E-7</v>
      </c>
      <c r="FK155">
        <v>1.1980462299894961E-10</v>
      </c>
      <c r="FL155">
        <v>0.19160597004026461</v>
      </c>
      <c r="FM155">
        <v>0</v>
      </c>
      <c r="FN155">
        <v>0</v>
      </c>
      <c r="FO155">
        <v>0</v>
      </c>
      <c r="FP155">
        <v>3</v>
      </c>
      <c r="FQ155">
        <v>2158</v>
      </c>
      <c r="FR155">
        <v>1</v>
      </c>
      <c r="FS155">
        <v>19</v>
      </c>
      <c r="FT155">
        <v>31.3</v>
      </c>
      <c r="FU155">
        <v>31.2</v>
      </c>
      <c r="FV155">
        <v>1.77979</v>
      </c>
      <c r="FW155">
        <v>2.5866699999999998</v>
      </c>
      <c r="FX155">
        <v>1.5490699999999999</v>
      </c>
      <c r="FY155">
        <v>2.3290999999999999</v>
      </c>
      <c r="FZ155">
        <v>1.50146</v>
      </c>
      <c r="GA155">
        <v>2.2790499999999998</v>
      </c>
      <c r="GB155">
        <v>33.850900000000003</v>
      </c>
      <c r="GC155">
        <v>23.982399999999998</v>
      </c>
      <c r="GD155">
        <v>19</v>
      </c>
      <c r="GE155">
        <v>247.12700000000001</v>
      </c>
      <c r="GF155">
        <v>582.37599999999998</v>
      </c>
      <c r="GG155">
        <v>25.4969</v>
      </c>
      <c r="GH155">
        <v>26.347899999999999</v>
      </c>
      <c r="GI155">
        <v>30</v>
      </c>
      <c r="GJ155">
        <v>26.4923</v>
      </c>
      <c r="GK155">
        <v>26.462599999999998</v>
      </c>
      <c r="GL155">
        <v>35.582999999999998</v>
      </c>
      <c r="GM155">
        <v>-30</v>
      </c>
      <c r="GN155">
        <v>-30</v>
      </c>
      <c r="GO155">
        <v>25.506799999999998</v>
      </c>
      <c r="GP155">
        <v>800</v>
      </c>
      <c r="GQ155">
        <v>12.5298</v>
      </c>
      <c r="GR155">
        <v>99.674099999999996</v>
      </c>
      <c r="GS155">
        <v>99.467600000000004</v>
      </c>
    </row>
    <row r="156" spans="1:201" x14ac:dyDescent="0.25">
      <c r="A156">
        <v>140</v>
      </c>
      <c r="B156">
        <v>1690213805.5999999</v>
      </c>
      <c r="C156">
        <v>1538.099999904633</v>
      </c>
      <c r="D156" t="s">
        <v>611</v>
      </c>
      <c r="E156" t="s">
        <v>612</v>
      </c>
      <c r="F156" t="s">
        <v>330</v>
      </c>
      <c r="H156">
        <v>1690213805.5999999</v>
      </c>
      <c r="I156">
        <f t="shared" si="60"/>
        <v>2.0387376439241376E-3</v>
      </c>
      <c r="J156">
        <f t="shared" si="61"/>
        <v>2.0387376439241378</v>
      </c>
      <c r="K156">
        <f t="shared" si="62"/>
        <v>36.245512654373101</v>
      </c>
      <c r="L156">
        <f t="shared" si="63"/>
        <v>374.75900000000001</v>
      </c>
      <c r="M156">
        <f t="shared" si="64"/>
        <v>58.252914643882676</v>
      </c>
      <c r="N156">
        <f t="shared" si="65"/>
        <v>5.7782428570940736</v>
      </c>
      <c r="O156">
        <f t="shared" si="66"/>
        <v>37.173221771300994</v>
      </c>
      <c r="P156">
        <f t="shared" si="67"/>
        <v>0.19392335150982429</v>
      </c>
      <c r="Q156">
        <f t="shared" si="68"/>
        <v>2.0141935742993109</v>
      </c>
      <c r="R156">
        <f t="shared" si="69"/>
        <v>0.18411577672288623</v>
      </c>
      <c r="S156">
        <f t="shared" si="70"/>
        <v>0.11591218367388051</v>
      </c>
      <c r="T156">
        <f t="shared" si="71"/>
        <v>276.11654466599998</v>
      </c>
      <c r="U156">
        <f t="shared" si="72"/>
        <v>28.507006177731785</v>
      </c>
      <c r="V156">
        <f t="shared" si="73"/>
        <v>28.507006177731785</v>
      </c>
      <c r="W156">
        <f t="shared" si="74"/>
        <v>3.9084593741943716</v>
      </c>
      <c r="X156">
        <f t="shared" si="75"/>
        <v>79.753684751639028</v>
      </c>
      <c r="Y156">
        <f t="shared" si="76"/>
        <v>2.8474946372051999</v>
      </c>
      <c r="Z156">
        <f t="shared" si="77"/>
        <v>3.5703612266600393</v>
      </c>
      <c r="AA156">
        <f t="shared" si="78"/>
        <v>1.0609647369891717</v>
      </c>
      <c r="AB156">
        <f t="shared" si="79"/>
        <v>-89.908330097054474</v>
      </c>
      <c r="AC156">
        <f t="shared" si="80"/>
        <v>-168.19448887591929</v>
      </c>
      <c r="AD156">
        <f t="shared" si="81"/>
        <v>-18.153733977572077</v>
      </c>
      <c r="AE156">
        <f t="shared" si="82"/>
        <v>-0.14000828454587122</v>
      </c>
      <c r="AF156">
        <v>33</v>
      </c>
      <c r="AG156">
        <v>11</v>
      </c>
      <c r="AH156">
        <f t="shared" si="83"/>
        <v>1</v>
      </c>
      <c r="AI156">
        <f t="shared" si="84"/>
        <v>0</v>
      </c>
      <c r="AJ156">
        <f t="shared" si="85"/>
        <v>52511.048256985421</v>
      </c>
      <c r="AK156">
        <f t="shared" si="86"/>
        <v>1800</v>
      </c>
      <c r="AL156">
        <f t="shared" si="87"/>
        <v>1499.1111035999998</v>
      </c>
      <c r="AM156">
        <f t="shared" si="88"/>
        <v>0.8328395019999999</v>
      </c>
      <c r="AN156">
        <f t="shared" si="89"/>
        <v>0.15339808037</v>
      </c>
      <c r="AO156">
        <v>34.5</v>
      </c>
      <c r="AP156">
        <v>0.5</v>
      </c>
      <c r="AQ156" t="s">
        <v>331</v>
      </c>
      <c r="AR156">
        <v>2</v>
      </c>
      <c r="AS156">
        <v>1690213805.5999999</v>
      </c>
      <c r="AT156">
        <v>374.75900000000001</v>
      </c>
      <c r="AU156">
        <v>800.04700000000003</v>
      </c>
      <c r="AV156">
        <v>28.706800000000001</v>
      </c>
      <c r="AW156">
        <v>5.9515799999999999</v>
      </c>
      <c r="AX156">
        <v>374.96899999999999</v>
      </c>
      <c r="AY156">
        <v>28.5152</v>
      </c>
      <c r="AZ156">
        <v>300.22699999999998</v>
      </c>
      <c r="BA156">
        <v>99.092299999999994</v>
      </c>
      <c r="BB156">
        <v>0.100039</v>
      </c>
      <c r="BC156">
        <v>26.958100000000002</v>
      </c>
      <c r="BD156">
        <v>26.985600000000002</v>
      </c>
      <c r="BE156">
        <v>28.5884</v>
      </c>
      <c r="BF156">
        <v>0</v>
      </c>
      <c r="BG156">
        <v>0</v>
      </c>
      <c r="BH156">
        <v>10021.200000000001</v>
      </c>
      <c r="BI156">
        <v>1077.08</v>
      </c>
      <c r="BJ156">
        <v>2.0744500000000001</v>
      </c>
      <c r="BK156">
        <v>-425.28800000000001</v>
      </c>
      <c r="BL156">
        <v>385.83499999999998</v>
      </c>
      <c r="BM156">
        <v>804.83699999999999</v>
      </c>
      <c r="BN156">
        <v>22.755199999999999</v>
      </c>
      <c r="BO156">
        <v>800.04700000000003</v>
      </c>
      <c r="BP156">
        <v>5.9515799999999999</v>
      </c>
      <c r="BQ156">
        <v>2.8446199999999999</v>
      </c>
      <c r="BR156">
        <v>0.58975599999999995</v>
      </c>
      <c r="BS156">
        <v>23.145399999999999</v>
      </c>
      <c r="BT156">
        <v>-0.54557699999999998</v>
      </c>
      <c r="BU156">
        <v>1800</v>
      </c>
      <c r="BV156">
        <v>0.90998299999999999</v>
      </c>
      <c r="BW156">
        <v>3.4000299999999997E-2</v>
      </c>
      <c r="BX156">
        <v>2.2008099999999999E-2</v>
      </c>
      <c r="BY156">
        <v>3.4008700000000003E-2</v>
      </c>
      <c r="BZ156">
        <v>26</v>
      </c>
      <c r="CA156">
        <v>33528.199999999997</v>
      </c>
      <c r="CB156">
        <v>1690211922</v>
      </c>
      <c r="CC156" t="s">
        <v>332</v>
      </c>
      <c r="CD156">
        <v>1690211915</v>
      </c>
      <c r="CE156">
        <v>1690211922</v>
      </c>
      <c r="CF156">
        <v>6</v>
      </c>
      <c r="CG156">
        <v>1.0999999999999999E-2</v>
      </c>
      <c r="CH156">
        <v>8.0000000000000002E-3</v>
      </c>
      <c r="CI156">
        <v>-0.51100000000000001</v>
      </c>
      <c r="CJ156">
        <v>-6.6000000000000003E-2</v>
      </c>
      <c r="CK156">
        <v>800</v>
      </c>
      <c r="CL156">
        <v>6</v>
      </c>
      <c r="CM156">
        <v>0.21</v>
      </c>
      <c r="CN156">
        <v>0.02</v>
      </c>
      <c r="CO156">
        <v>-423.48595121951229</v>
      </c>
      <c r="CP156">
        <v>-9.6243135888502458</v>
      </c>
      <c r="CQ156">
        <v>0.95174655755383974</v>
      </c>
      <c r="CR156">
        <v>-1</v>
      </c>
      <c r="CS156">
        <v>22.711412195121952</v>
      </c>
      <c r="CT156">
        <v>0.2360926829268335</v>
      </c>
      <c r="CU156">
        <v>2.3313255887144651E-2</v>
      </c>
      <c r="CV156">
        <v>-1</v>
      </c>
      <c r="CW156">
        <v>0</v>
      </c>
      <c r="CX156">
        <v>0</v>
      </c>
      <c r="CY156" t="s">
        <v>333</v>
      </c>
      <c r="CZ156">
        <v>2.36456</v>
      </c>
      <c r="DA156">
        <v>2.7138499999999999</v>
      </c>
      <c r="DB156">
        <v>8.5131700000000005E-2</v>
      </c>
      <c r="DC156">
        <v>0.14607200000000001</v>
      </c>
      <c r="DD156">
        <v>0.12905700000000001</v>
      </c>
      <c r="DE156">
        <v>3.9183799999999998E-2</v>
      </c>
      <c r="DF156">
        <v>33385.599999999999</v>
      </c>
      <c r="DG156">
        <v>27494.2</v>
      </c>
      <c r="DH156">
        <v>31153.7</v>
      </c>
      <c r="DI156">
        <v>28056.1</v>
      </c>
      <c r="DJ156">
        <v>36821.199999999997</v>
      </c>
      <c r="DK156">
        <v>38329.199999999997</v>
      </c>
      <c r="DL156">
        <v>44331.7</v>
      </c>
      <c r="DM156">
        <v>42517</v>
      </c>
      <c r="DN156">
        <v>1.38737</v>
      </c>
      <c r="DO156">
        <v>2.0338500000000002</v>
      </c>
      <c r="DP156">
        <v>8.1501900000000002E-2</v>
      </c>
      <c r="DQ156">
        <v>0.18687200000000001</v>
      </c>
      <c r="DR156">
        <v>25.651199999999999</v>
      </c>
      <c r="DS156">
        <v>25.532499999999999</v>
      </c>
      <c r="DT156">
        <v>17.7</v>
      </c>
      <c r="DU156">
        <v>29.7</v>
      </c>
      <c r="DV156">
        <v>7.4805099999999998</v>
      </c>
      <c r="DW156">
        <v>61.981200000000001</v>
      </c>
      <c r="DX156">
        <v>35.973599999999998</v>
      </c>
      <c r="DY156">
        <v>1</v>
      </c>
      <c r="DZ156">
        <v>-8.2817600000000005E-2</v>
      </c>
      <c r="EA156">
        <v>-0.289883</v>
      </c>
      <c r="EB156">
        <v>20.189299999999999</v>
      </c>
      <c r="EC156">
        <v>5.2411000000000003</v>
      </c>
      <c r="ED156">
        <v>12.039899999999999</v>
      </c>
      <c r="EE156">
        <v>5.0170000000000003</v>
      </c>
      <c r="EF156">
        <v>3.2879999999999998</v>
      </c>
      <c r="EG156">
        <v>9999</v>
      </c>
      <c r="EH156">
        <v>9999</v>
      </c>
      <c r="EI156">
        <v>9999</v>
      </c>
      <c r="EJ156">
        <v>999.9</v>
      </c>
      <c r="EK156">
        <v>1.86893</v>
      </c>
      <c r="EL156">
        <v>1.86466</v>
      </c>
      <c r="EM156">
        <v>1.8692</v>
      </c>
      <c r="EN156">
        <v>1.8672800000000001</v>
      </c>
      <c r="EO156">
        <v>1.8633999999999999</v>
      </c>
      <c r="EP156">
        <v>1.86459</v>
      </c>
      <c r="EQ156">
        <v>1.87016</v>
      </c>
      <c r="ER156">
        <v>1.86947</v>
      </c>
      <c r="ES156">
        <v>0</v>
      </c>
      <c r="ET156">
        <v>0</v>
      </c>
      <c r="EU156">
        <v>0</v>
      </c>
      <c r="EV156">
        <v>0</v>
      </c>
      <c r="EW156" t="s">
        <v>334</v>
      </c>
      <c r="EX156" t="s">
        <v>335</v>
      </c>
      <c r="EY156" t="s">
        <v>336</v>
      </c>
      <c r="EZ156" t="s">
        <v>336</v>
      </c>
      <c r="FA156" t="s">
        <v>336</v>
      </c>
      <c r="FB156" t="s">
        <v>336</v>
      </c>
      <c r="FC156">
        <v>0</v>
      </c>
      <c r="FD156">
        <v>100</v>
      </c>
      <c r="FE156">
        <v>100</v>
      </c>
      <c r="FF156">
        <v>-0.21</v>
      </c>
      <c r="FG156">
        <v>0.19159999999999999</v>
      </c>
      <c r="FH156">
        <v>4.0020685143421282E-2</v>
      </c>
      <c r="FI156">
        <v>-6.1462078757559423E-4</v>
      </c>
      <c r="FJ156">
        <v>-1.8861989874597051E-7</v>
      </c>
      <c r="FK156">
        <v>1.1980462299894961E-10</v>
      </c>
      <c r="FL156">
        <v>0.19160597004026461</v>
      </c>
      <c r="FM156">
        <v>0</v>
      </c>
      <c r="FN156">
        <v>0</v>
      </c>
      <c r="FO156">
        <v>0</v>
      </c>
      <c r="FP156">
        <v>3</v>
      </c>
      <c r="FQ156">
        <v>2158</v>
      </c>
      <c r="FR156">
        <v>1</v>
      </c>
      <c r="FS156">
        <v>19</v>
      </c>
      <c r="FT156">
        <v>31.5</v>
      </c>
      <c r="FU156">
        <v>31.4</v>
      </c>
      <c r="FV156">
        <v>1.77979</v>
      </c>
      <c r="FW156">
        <v>2.5891099999999998</v>
      </c>
      <c r="FX156">
        <v>1.5490699999999999</v>
      </c>
      <c r="FY156">
        <v>2.3290999999999999</v>
      </c>
      <c r="FZ156">
        <v>1.50146</v>
      </c>
      <c r="GA156">
        <v>2.2814899999999998</v>
      </c>
      <c r="GB156">
        <v>33.850900000000003</v>
      </c>
      <c r="GC156">
        <v>23.973700000000001</v>
      </c>
      <c r="GD156">
        <v>19</v>
      </c>
      <c r="GE156">
        <v>247.32300000000001</v>
      </c>
      <c r="GF156">
        <v>582.47900000000004</v>
      </c>
      <c r="GG156">
        <v>25.516500000000001</v>
      </c>
      <c r="GH156">
        <v>26.346399999999999</v>
      </c>
      <c r="GI156">
        <v>30</v>
      </c>
      <c r="GJ156">
        <v>26.490200000000002</v>
      </c>
      <c r="GK156">
        <v>26.462599999999998</v>
      </c>
      <c r="GL156">
        <v>35.5777</v>
      </c>
      <c r="GM156">
        <v>-30</v>
      </c>
      <c r="GN156">
        <v>-30</v>
      </c>
      <c r="GO156">
        <v>25.517700000000001</v>
      </c>
      <c r="GP156">
        <v>800</v>
      </c>
      <c r="GQ156">
        <v>12.5298</v>
      </c>
      <c r="GR156">
        <v>99.674599999999998</v>
      </c>
      <c r="GS156">
        <v>99.4679</v>
      </c>
    </row>
    <row r="157" spans="1:201" x14ac:dyDescent="0.25">
      <c r="A157">
        <v>141</v>
      </c>
      <c r="B157">
        <v>1690213815.5999999</v>
      </c>
      <c r="C157">
        <v>1548.099999904633</v>
      </c>
      <c r="D157" t="s">
        <v>613</v>
      </c>
      <c r="E157" t="s">
        <v>614</v>
      </c>
      <c r="F157" t="s">
        <v>330</v>
      </c>
      <c r="H157">
        <v>1690213815.5999999</v>
      </c>
      <c r="I157">
        <f t="shared" si="60"/>
        <v>2.0413602843853389E-3</v>
      </c>
      <c r="J157">
        <f t="shared" si="61"/>
        <v>2.0413602843853389</v>
      </c>
      <c r="K157">
        <f t="shared" si="62"/>
        <v>36.366285040504579</v>
      </c>
      <c r="L157">
        <f t="shared" si="63"/>
        <v>373.214</v>
      </c>
      <c r="M157">
        <f t="shared" si="64"/>
        <v>57.344755944914979</v>
      </c>
      <c r="N157">
        <f t="shared" si="65"/>
        <v>5.6886819303639813</v>
      </c>
      <c r="O157">
        <f t="shared" si="66"/>
        <v>37.023363391733596</v>
      </c>
      <c r="P157">
        <f t="shared" si="67"/>
        <v>0.19498218358722982</v>
      </c>
      <c r="Q157">
        <f t="shared" si="68"/>
        <v>2.0160540194590189</v>
      </c>
      <c r="R157">
        <f t="shared" si="69"/>
        <v>0.18507880465258086</v>
      </c>
      <c r="S157">
        <f t="shared" si="70"/>
        <v>0.11652210053830411</v>
      </c>
      <c r="T157">
        <f t="shared" si="71"/>
        <v>276.11636731200002</v>
      </c>
      <c r="U157">
        <f t="shared" si="72"/>
        <v>28.503354341654955</v>
      </c>
      <c r="V157">
        <f t="shared" si="73"/>
        <v>28.503354341654955</v>
      </c>
      <c r="W157">
        <f t="shared" si="74"/>
        <v>3.9076305089345977</v>
      </c>
      <c r="X157">
        <f t="shared" si="75"/>
        <v>79.851195705195252</v>
      </c>
      <c r="Y157">
        <f t="shared" si="76"/>
        <v>2.8507416427355596</v>
      </c>
      <c r="Z157">
        <f t="shared" si="77"/>
        <v>3.5700675707603531</v>
      </c>
      <c r="AA157">
        <f t="shared" si="78"/>
        <v>1.0568888661990381</v>
      </c>
      <c r="AB157">
        <f t="shared" si="79"/>
        <v>-90.02398854139345</v>
      </c>
      <c r="AC157">
        <f t="shared" si="80"/>
        <v>-168.10509371339518</v>
      </c>
      <c r="AD157">
        <f t="shared" si="81"/>
        <v>-18.126884544079722</v>
      </c>
      <c r="AE157">
        <f t="shared" si="82"/>
        <v>-0.13959948686832035</v>
      </c>
      <c r="AF157">
        <v>33</v>
      </c>
      <c r="AG157">
        <v>11</v>
      </c>
      <c r="AH157">
        <f t="shared" si="83"/>
        <v>1</v>
      </c>
      <c r="AI157">
        <f t="shared" si="84"/>
        <v>0</v>
      </c>
      <c r="AJ157">
        <f t="shared" si="85"/>
        <v>52601.047249517374</v>
      </c>
      <c r="AK157">
        <f t="shared" si="86"/>
        <v>1800</v>
      </c>
      <c r="AL157">
        <f t="shared" si="87"/>
        <v>1499.1106841999999</v>
      </c>
      <c r="AM157">
        <f t="shared" si="88"/>
        <v>0.83283926899999994</v>
      </c>
      <c r="AN157">
        <f t="shared" si="89"/>
        <v>0.15339798184</v>
      </c>
      <c r="AO157">
        <v>34.5</v>
      </c>
      <c r="AP157">
        <v>0.5</v>
      </c>
      <c r="AQ157" t="s">
        <v>331</v>
      </c>
      <c r="AR157">
        <v>2</v>
      </c>
      <c r="AS157">
        <v>1690213815.5999999</v>
      </c>
      <c r="AT157">
        <v>373.214</v>
      </c>
      <c r="AU157">
        <v>799.92600000000004</v>
      </c>
      <c r="AV157">
        <v>28.736899999999999</v>
      </c>
      <c r="AW157">
        <v>5.9498499999999996</v>
      </c>
      <c r="AX157">
        <v>373.42399999999998</v>
      </c>
      <c r="AY157">
        <v>28.545300000000001</v>
      </c>
      <c r="AZ157">
        <v>300.18400000000003</v>
      </c>
      <c r="BA157">
        <v>99.101500000000001</v>
      </c>
      <c r="BB157">
        <v>9.9932400000000005E-2</v>
      </c>
      <c r="BC157">
        <v>26.956700000000001</v>
      </c>
      <c r="BD157">
        <v>26.988099999999999</v>
      </c>
      <c r="BE157">
        <v>28.596499999999999</v>
      </c>
      <c r="BF157">
        <v>0</v>
      </c>
      <c r="BG157">
        <v>0</v>
      </c>
      <c r="BH157">
        <v>10038.1</v>
      </c>
      <c r="BI157">
        <v>1077.0899999999999</v>
      </c>
      <c r="BJ157">
        <v>2.0744500000000001</v>
      </c>
      <c r="BK157">
        <v>-426.71199999999999</v>
      </c>
      <c r="BL157">
        <v>384.25599999999997</v>
      </c>
      <c r="BM157">
        <v>804.71400000000006</v>
      </c>
      <c r="BN157">
        <v>22.786999999999999</v>
      </c>
      <c r="BO157">
        <v>799.92600000000004</v>
      </c>
      <c r="BP157">
        <v>5.9498499999999996</v>
      </c>
      <c r="BQ157">
        <v>2.8478699999999999</v>
      </c>
      <c r="BR157">
        <v>0.58963900000000002</v>
      </c>
      <c r="BS157">
        <v>23.164200000000001</v>
      </c>
      <c r="BT157">
        <v>-0.54828399999999999</v>
      </c>
      <c r="BU157">
        <v>1800</v>
      </c>
      <c r="BV157">
        <v>0.90998400000000002</v>
      </c>
      <c r="BW157">
        <v>3.3999799999999997E-2</v>
      </c>
      <c r="BX157">
        <v>2.2007700000000002E-2</v>
      </c>
      <c r="BY157">
        <v>3.4008200000000002E-2</v>
      </c>
      <c r="BZ157">
        <v>26</v>
      </c>
      <c r="CA157">
        <v>33528.300000000003</v>
      </c>
      <c r="CB157">
        <v>1690211922</v>
      </c>
      <c r="CC157" t="s">
        <v>332</v>
      </c>
      <c r="CD157">
        <v>1690211915</v>
      </c>
      <c r="CE157">
        <v>1690211922</v>
      </c>
      <c r="CF157">
        <v>6</v>
      </c>
      <c r="CG157">
        <v>1.0999999999999999E-2</v>
      </c>
      <c r="CH157">
        <v>8.0000000000000002E-3</v>
      </c>
      <c r="CI157">
        <v>-0.51100000000000001</v>
      </c>
      <c r="CJ157">
        <v>-6.6000000000000003E-2</v>
      </c>
      <c r="CK157">
        <v>800</v>
      </c>
      <c r="CL157">
        <v>6</v>
      </c>
      <c r="CM157">
        <v>0.21</v>
      </c>
      <c r="CN157">
        <v>0.02</v>
      </c>
      <c r="CO157">
        <v>-425.07202439024388</v>
      </c>
      <c r="CP157">
        <v>-9.6084459930313209</v>
      </c>
      <c r="CQ157">
        <v>0.952767969803333</v>
      </c>
      <c r="CR157">
        <v>-1</v>
      </c>
      <c r="CS157">
        <v>22.749995121951219</v>
      </c>
      <c r="CT157">
        <v>0.22816097560969559</v>
      </c>
      <c r="CU157">
        <v>2.2570485273315021E-2</v>
      </c>
      <c r="CV157">
        <v>-1</v>
      </c>
      <c r="CW157">
        <v>0</v>
      </c>
      <c r="CX157">
        <v>0</v>
      </c>
      <c r="CY157" t="s">
        <v>333</v>
      </c>
      <c r="CZ157">
        <v>2.36442</v>
      </c>
      <c r="DA157">
        <v>2.7137600000000002</v>
      </c>
      <c r="DB157">
        <v>8.4867399999999996E-2</v>
      </c>
      <c r="DC157">
        <v>0.14607200000000001</v>
      </c>
      <c r="DD157">
        <v>0.129162</v>
      </c>
      <c r="DE157">
        <v>3.9178200000000003E-2</v>
      </c>
      <c r="DF157">
        <v>33395.300000000003</v>
      </c>
      <c r="DG157">
        <v>27494.1</v>
      </c>
      <c r="DH157">
        <v>31153.8</v>
      </c>
      <c r="DI157">
        <v>28055.9</v>
      </c>
      <c r="DJ157">
        <v>36816.800000000003</v>
      </c>
      <c r="DK157">
        <v>38329.1</v>
      </c>
      <c r="DL157">
        <v>44331.9</v>
      </c>
      <c r="DM157">
        <v>42516.6</v>
      </c>
      <c r="DN157">
        <v>1.3871500000000001</v>
      </c>
      <c r="DO157">
        <v>2.0335200000000002</v>
      </c>
      <c r="DP157">
        <v>8.1658400000000006E-2</v>
      </c>
      <c r="DQ157">
        <v>0.18737100000000001</v>
      </c>
      <c r="DR157">
        <v>25.651199999999999</v>
      </c>
      <c r="DS157">
        <v>25.532499999999999</v>
      </c>
      <c r="DT157">
        <v>17.7</v>
      </c>
      <c r="DU157">
        <v>29.7</v>
      </c>
      <c r="DV157">
        <v>7.4783600000000003</v>
      </c>
      <c r="DW157">
        <v>61.671199999999999</v>
      </c>
      <c r="DX157">
        <v>35.913499999999999</v>
      </c>
      <c r="DY157">
        <v>1</v>
      </c>
      <c r="DZ157">
        <v>-8.3239300000000002E-2</v>
      </c>
      <c r="EA157">
        <v>-0.313633</v>
      </c>
      <c r="EB157">
        <v>20.189399999999999</v>
      </c>
      <c r="EC157">
        <v>5.2409499999999998</v>
      </c>
      <c r="ED157">
        <v>12.039899999999999</v>
      </c>
      <c r="EE157">
        <v>5.0168999999999997</v>
      </c>
      <c r="EF157">
        <v>3.2879999999999998</v>
      </c>
      <c r="EG157">
        <v>9999</v>
      </c>
      <c r="EH157">
        <v>9999</v>
      </c>
      <c r="EI157">
        <v>9999</v>
      </c>
      <c r="EJ157">
        <v>999.9</v>
      </c>
      <c r="EK157">
        <v>1.8689100000000001</v>
      </c>
      <c r="EL157">
        <v>1.8646799999999999</v>
      </c>
      <c r="EM157">
        <v>1.8691899999999999</v>
      </c>
      <c r="EN157">
        <v>1.8672899999999999</v>
      </c>
      <c r="EO157">
        <v>1.8633999999999999</v>
      </c>
      <c r="EP157">
        <v>1.86456</v>
      </c>
      <c r="EQ157">
        <v>1.87018</v>
      </c>
      <c r="ER157">
        <v>1.86948</v>
      </c>
      <c r="ES157">
        <v>0</v>
      </c>
      <c r="ET157">
        <v>0</v>
      </c>
      <c r="EU157">
        <v>0</v>
      </c>
      <c r="EV157">
        <v>0</v>
      </c>
      <c r="EW157" t="s">
        <v>334</v>
      </c>
      <c r="EX157" t="s">
        <v>335</v>
      </c>
      <c r="EY157" t="s">
        <v>336</v>
      </c>
      <c r="EZ157" t="s">
        <v>336</v>
      </c>
      <c r="FA157" t="s">
        <v>336</v>
      </c>
      <c r="FB157" t="s">
        <v>336</v>
      </c>
      <c r="FC157">
        <v>0</v>
      </c>
      <c r="FD157">
        <v>100</v>
      </c>
      <c r="FE157">
        <v>100</v>
      </c>
      <c r="FF157">
        <v>-0.21</v>
      </c>
      <c r="FG157">
        <v>0.19159999999999999</v>
      </c>
      <c r="FH157">
        <v>4.0020685143421282E-2</v>
      </c>
      <c r="FI157">
        <v>-6.1462078757559423E-4</v>
      </c>
      <c r="FJ157">
        <v>-1.8861989874597051E-7</v>
      </c>
      <c r="FK157">
        <v>1.1980462299894961E-10</v>
      </c>
      <c r="FL157">
        <v>0.19160597004026461</v>
      </c>
      <c r="FM157">
        <v>0</v>
      </c>
      <c r="FN157">
        <v>0</v>
      </c>
      <c r="FO157">
        <v>0</v>
      </c>
      <c r="FP157">
        <v>3</v>
      </c>
      <c r="FQ157">
        <v>2158</v>
      </c>
      <c r="FR157">
        <v>1</v>
      </c>
      <c r="FS157">
        <v>19</v>
      </c>
      <c r="FT157">
        <v>31.7</v>
      </c>
      <c r="FU157">
        <v>31.6</v>
      </c>
      <c r="FV157">
        <v>1.77979</v>
      </c>
      <c r="FW157">
        <v>2.5830099999999998</v>
      </c>
      <c r="FX157">
        <v>1.5490699999999999</v>
      </c>
      <c r="FY157">
        <v>2.3290999999999999</v>
      </c>
      <c r="FZ157">
        <v>1.50146</v>
      </c>
      <c r="GA157">
        <v>2.3083499999999999</v>
      </c>
      <c r="GB157">
        <v>33.850900000000003</v>
      </c>
      <c r="GC157">
        <v>23.982399999999998</v>
      </c>
      <c r="GD157">
        <v>19</v>
      </c>
      <c r="GE157">
        <v>247.227</v>
      </c>
      <c r="GF157">
        <v>582.18600000000004</v>
      </c>
      <c r="GG157">
        <v>25.531099999999999</v>
      </c>
      <c r="GH157">
        <v>26.344100000000001</v>
      </c>
      <c r="GI157">
        <v>30.0001</v>
      </c>
      <c r="GJ157">
        <v>26.488</v>
      </c>
      <c r="GK157">
        <v>26.4604</v>
      </c>
      <c r="GL157">
        <v>35.5839</v>
      </c>
      <c r="GM157">
        <v>-30</v>
      </c>
      <c r="GN157">
        <v>-30</v>
      </c>
      <c r="GO157">
        <v>25.537700000000001</v>
      </c>
      <c r="GP157">
        <v>800</v>
      </c>
      <c r="GQ157">
        <v>12.5298</v>
      </c>
      <c r="GR157">
        <v>99.674999999999997</v>
      </c>
      <c r="GS157">
        <v>99.467200000000005</v>
      </c>
    </row>
    <row r="158" spans="1:201" x14ac:dyDescent="0.25">
      <c r="A158">
        <v>142</v>
      </c>
      <c r="B158">
        <v>1690213825.5999999</v>
      </c>
      <c r="C158">
        <v>1558.099999904633</v>
      </c>
      <c r="D158" t="s">
        <v>615</v>
      </c>
      <c r="E158" t="s">
        <v>616</v>
      </c>
      <c r="F158" t="s">
        <v>330</v>
      </c>
      <c r="H158">
        <v>1690213825.5999999</v>
      </c>
      <c r="I158">
        <f t="shared" si="60"/>
        <v>2.044123172590678E-3</v>
      </c>
      <c r="J158">
        <f t="shared" si="61"/>
        <v>2.0441231725906781</v>
      </c>
      <c r="K158">
        <f t="shared" si="62"/>
        <v>36.516319035325914</v>
      </c>
      <c r="L158">
        <f t="shared" si="63"/>
        <v>371.584</v>
      </c>
      <c r="M158">
        <f t="shared" si="64"/>
        <v>54.778903447331764</v>
      </c>
      <c r="N158">
        <f t="shared" si="65"/>
        <v>5.4336393823057163</v>
      </c>
      <c r="O158">
        <f t="shared" si="66"/>
        <v>36.8582306174848</v>
      </c>
      <c r="P158">
        <f t="shared" si="67"/>
        <v>0.19520073095681645</v>
      </c>
      <c r="Q158">
        <f t="shared" si="68"/>
        <v>2.0132208792310831</v>
      </c>
      <c r="R158">
        <f t="shared" si="69"/>
        <v>0.18526254265358333</v>
      </c>
      <c r="S158">
        <f t="shared" si="70"/>
        <v>0.11663981603470688</v>
      </c>
      <c r="T158">
        <f t="shared" si="71"/>
        <v>276.11637643800003</v>
      </c>
      <c r="U158">
        <f t="shared" si="72"/>
        <v>28.516987346142841</v>
      </c>
      <c r="V158">
        <f t="shared" si="73"/>
        <v>28.516987346142841</v>
      </c>
      <c r="W158">
        <f t="shared" si="74"/>
        <v>3.9107256043123719</v>
      </c>
      <c r="X158">
        <f t="shared" si="75"/>
        <v>79.871383976598892</v>
      </c>
      <c r="Y158">
        <f t="shared" si="76"/>
        <v>2.85359067094651</v>
      </c>
      <c r="Z158">
        <f t="shared" si="77"/>
        <v>3.572732221320428</v>
      </c>
      <c r="AA158">
        <f t="shared" si="78"/>
        <v>1.057134933365862</v>
      </c>
      <c r="AB158">
        <f t="shared" si="79"/>
        <v>-90.145831911248905</v>
      </c>
      <c r="AC158">
        <f t="shared" si="80"/>
        <v>-167.97012262130715</v>
      </c>
      <c r="AD158">
        <f t="shared" si="81"/>
        <v>-18.140201972145071</v>
      </c>
      <c r="AE158">
        <f t="shared" si="82"/>
        <v>-0.13978006670109266</v>
      </c>
      <c r="AF158">
        <v>33</v>
      </c>
      <c r="AG158">
        <v>11</v>
      </c>
      <c r="AH158">
        <f t="shared" si="83"/>
        <v>1</v>
      </c>
      <c r="AI158">
        <f t="shared" si="84"/>
        <v>0</v>
      </c>
      <c r="AJ158">
        <f t="shared" si="85"/>
        <v>52462.297304141532</v>
      </c>
      <c r="AK158">
        <f t="shared" si="86"/>
        <v>1800</v>
      </c>
      <c r="AL158">
        <f t="shared" si="87"/>
        <v>1499.1113807999998</v>
      </c>
      <c r="AM158">
        <f t="shared" si="88"/>
        <v>0.83283965599999987</v>
      </c>
      <c r="AN158">
        <f t="shared" si="89"/>
        <v>0.15339798691000001</v>
      </c>
      <c r="AO158">
        <v>34.5</v>
      </c>
      <c r="AP158">
        <v>0.5</v>
      </c>
      <c r="AQ158" t="s">
        <v>331</v>
      </c>
      <c r="AR158">
        <v>2</v>
      </c>
      <c r="AS158">
        <v>1690213825.5999999</v>
      </c>
      <c r="AT158">
        <v>371.584</v>
      </c>
      <c r="AU158">
        <v>800.03099999999995</v>
      </c>
      <c r="AV158">
        <v>28.7683</v>
      </c>
      <c r="AW158">
        <v>5.9491699999999996</v>
      </c>
      <c r="AX158">
        <v>371.79300000000001</v>
      </c>
      <c r="AY158">
        <v>28.576699999999999</v>
      </c>
      <c r="AZ158">
        <v>300.15800000000002</v>
      </c>
      <c r="BA158">
        <v>99.092200000000005</v>
      </c>
      <c r="BB158">
        <v>9.9989700000000001E-2</v>
      </c>
      <c r="BC158">
        <v>26.9694</v>
      </c>
      <c r="BD158">
        <v>26.991099999999999</v>
      </c>
      <c r="BE158">
        <v>28.6007</v>
      </c>
      <c r="BF158">
        <v>0</v>
      </c>
      <c r="BG158">
        <v>0</v>
      </c>
      <c r="BH158">
        <v>10011.9</v>
      </c>
      <c r="BI158">
        <v>1077.06</v>
      </c>
      <c r="BJ158">
        <v>2.0744500000000001</v>
      </c>
      <c r="BK158">
        <v>-428.447</v>
      </c>
      <c r="BL158">
        <v>382.59100000000001</v>
      </c>
      <c r="BM158">
        <v>804.81899999999996</v>
      </c>
      <c r="BN158">
        <v>22.819099999999999</v>
      </c>
      <c r="BO158">
        <v>800.03099999999995</v>
      </c>
      <c r="BP158">
        <v>5.9491699999999996</v>
      </c>
      <c r="BQ158">
        <v>2.8507099999999999</v>
      </c>
      <c r="BR158">
        <v>0.58951600000000004</v>
      </c>
      <c r="BS158">
        <v>23.180700000000002</v>
      </c>
      <c r="BT158">
        <v>-0.55114700000000005</v>
      </c>
      <c r="BU158">
        <v>1800</v>
      </c>
      <c r="BV158">
        <v>0.90998599999999996</v>
      </c>
      <c r="BW158">
        <v>3.39992E-2</v>
      </c>
      <c r="BX158">
        <v>2.20073E-2</v>
      </c>
      <c r="BY158">
        <v>3.4007500000000003E-2</v>
      </c>
      <c r="BZ158">
        <v>26</v>
      </c>
      <c r="CA158">
        <v>33528.199999999997</v>
      </c>
      <c r="CB158">
        <v>1690211922</v>
      </c>
      <c r="CC158" t="s">
        <v>332</v>
      </c>
      <c r="CD158">
        <v>1690211915</v>
      </c>
      <c r="CE158">
        <v>1690211922</v>
      </c>
      <c r="CF158">
        <v>6</v>
      </c>
      <c r="CG158">
        <v>1.0999999999999999E-2</v>
      </c>
      <c r="CH158">
        <v>8.0000000000000002E-3</v>
      </c>
      <c r="CI158">
        <v>-0.51100000000000001</v>
      </c>
      <c r="CJ158">
        <v>-6.6000000000000003E-2</v>
      </c>
      <c r="CK158">
        <v>800</v>
      </c>
      <c r="CL158">
        <v>6</v>
      </c>
      <c r="CM158">
        <v>0.21</v>
      </c>
      <c r="CN158">
        <v>0.02</v>
      </c>
      <c r="CO158">
        <v>-426.637</v>
      </c>
      <c r="CP158">
        <v>-9.4750919324566372</v>
      </c>
      <c r="CQ158">
        <v>0.91599353163655428</v>
      </c>
      <c r="CR158">
        <v>-1</v>
      </c>
      <c r="CS158">
        <v>22.78369</v>
      </c>
      <c r="CT158">
        <v>0.1848630393995882</v>
      </c>
      <c r="CU158">
        <v>1.7806386494738459E-2</v>
      </c>
      <c r="CV158">
        <v>-1</v>
      </c>
      <c r="CW158">
        <v>0</v>
      </c>
      <c r="CX158">
        <v>0</v>
      </c>
      <c r="CY158" t="s">
        <v>333</v>
      </c>
      <c r="CZ158">
        <v>2.36435</v>
      </c>
      <c r="DA158">
        <v>2.7137899999999999</v>
      </c>
      <c r="DB158">
        <v>8.4571999999999994E-2</v>
      </c>
      <c r="DC158">
        <v>0.14607200000000001</v>
      </c>
      <c r="DD158">
        <v>0.129249</v>
      </c>
      <c r="DE158">
        <v>3.9171200000000003E-2</v>
      </c>
      <c r="DF158">
        <v>33406</v>
      </c>
      <c r="DG158">
        <v>27494.3</v>
      </c>
      <c r="DH158">
        <v>31153.8</v>
      </c>
      <c r="DI158">
        <v>28056.2</v>
      </c>
      <c r="DJ158">
        <v>36813</v>
      </c>
      <c r="DK158">
        <v>38329.699999999997</v>
      </c>
      <c r="DL158">
        <v>44331.7</v>
      </c>
      <c r="DM158">
        <v>42517</v>
      </c>
      <c r="DN158">
        <v>1.3870800000000001</v>
      </c>
      <c r="DO158">
        <v>2.0334500000000002</v>
      </c>
      <c r="DP158">
        <v>8.1971299999999997E-2</v>
      </c>
      <c r="DQ158">
        <v>0.18762799999999999</v>
      </c>
      <c r="DR158">
        <v>25.649100000000001</v>
      </c>
      <c r="DS158">
        <v>25.532499999999999</v>
      </c>
      <c r="DT158">
        <v>17.7</v>
      </c>
      <c r="DU158">
        <v>29.7</v>
      </c>
      <c r="DV158">
        <v>7.4809799999999997</v>
      </c>
      <c r="DW158">
        <v>61.511200000000002</v>
      </c>
      <c r="DX158">
        <v>35.965499999999999</v>
      </c>
      <c r="DY158">
        <v>1</v>
      </c>
      <c r="DZ158">
        <v>-8.3335900000000004E-2</v>
      </c>
      <c r="EA158">
        <v>-0.31706699999999999</v>
      </c>
      <c r="EB158">
        <v>20.1892</v>
      </c>
      <c r="EC158">
        <v>5.2408000000000001</v>
      </c>
      <c r="ED158">
        <v>12.039899999999999</v>
      </c>
      <c r="EE158">
        <v>5.0170500000000002</v>
      </c>
      <c r="EF158">
        <v>3.2879999999999998</v>
      </c>
      <c r="EG158">
        <v>9999</v>
      </c>
      <c r="EH158">
        <v>9999</v>
      </c>
      <c r="EI158">
        <v>9999</v>
      </c>
      <c r="EJ158">
        <v>999.9</v>
      </c>
      <c r="EK158">
        <v>1.8689199999999999</v>
      </c>
      <c r="EL158">
        <v>1.86467</v>
      </c>
      <c r="EM158">
        <v>1.8691899999999999</v>
      </c>
      <c r="EN158">
        <v>1.86724</v>
      </c>
      <c r="EO158">
        <v>1.8633999999999999</v>
      </c>
      <c r="EP158">
        <v>1.86459</v>
      </c>
      <c r="EQ158">
        <v>1.8702099999999999</v>
      </c>
      <c r="ER158">
        <v>1.8694900000000001</v>
      </c>
      <c r="ES158">
        <v>0</v>
      </c>
      <c r="ET158">
        <v>0</v>
      </c>
      <c r="EU158">
        <v>0</v>
      </c>
      <c r="EV158">
        <v>0</v>
      </c>
      <c r="EW158" t="s">
        <v>334</v>
      </c>
      <c r="EX158" t="s">
        <v>335</v>
      </c>
      <c r="EY158" t="s">
        <v>336</v>
      </c>
      <c r="EZ158" t="s">
        <v>336</v>
      </c>
      <c r="FA158" t="s">
        <v>336</v>
      </c>
      <c r="FB158" t="s">
        <v>336</v>
      </c>
      <c r="FC158">
        <v>0</v>
      </c>
      <c r="FD158">
        <v>100</v>
      </c>
      <c r="FE158">
        <v>100</v>
      </c>
      <c r="FF158">
        <v>-0.20899999999999999</v>
      </c>
      <c r="FG158">
        <v>0.19159999999999999</v>
      </c>
      <c r="FH158">
        <v>4.0020685143421282E-2</v>
      </c>
      <c r="FI158">
        <v>-6.1462078757559423E-4</v>
      </c>
      <c r="FJ158">
        <v>-1.8861989874597051E-7</v>
      </c>
      <c r="FK158">
        <v>1.1980462299894961E-10</v>
      </c>
      <c r="FL158">
        <v>0.19160597004026461</v>
      </c>
      <c r="FM158">
        <v>0</v>
      </c>
      <c r="FN158">
        <v>0</v>
      </c>
      <c r="FO158">
        <v>0</v>
      </c>
      <c r="FP158">
        <v>3</v>
      </c>
      <c r="FQ158">
        <v>2158</v>
      </c>
      <c r="FR158">
        <v>1</v>
      </c>
      <c r="FS158">
        <v>19</v>
      </c>
      <c r="FT158">
        <v>31.8</v>
      </c>
      <c r="FU158">
        <v>31.7</v>
      </c>
      <c r="FV158">
        <v>1.77979</v>
      </c>
      <c r="FW158">
        <v>2.5769000000000002</v>
      </c>
      <c r="FX158">
        <v>1.5490699999999999</v>
      </c>
      <c r="FY158">
        <v>2.3290999999999999</v>
      </c>
      <c r="FZ158">
        <v>1.50146</v>
      </c>
      <c r="GA158">
        <v>2.33643</v>
      </c>
      <c r="GB158">
        <v>33.850900000000003</v>
      </c>
      <c r="GC158">
        <v>23.982399999999998</v>
      </c>
      <c r="GD158">
        <v>19</v>
      </c>
      <c r="GE158">
        <v>247.19200000000001</v>
      </c>
      <c r="GF158">
        <v>582.09900000000005</v>
      </c>
      <c r="GG158">
        <v>25.550899999999999</v>
      </c>
      <c r="GH158">
        <v>26.344100000000001</v>
      </c>
      <c r="GI158">
        <v>30</v>
      </c>
      <c r="GJ158">
        <v>26.4862</v>
      </c>
      <c r="GK158">
        <v>26.458200000000001</v>
      </c>
      <c r="GL158">
        <v>35.577300000000001</v>
      </c>
      <c r="GM158">
        <v>-30</v>
      </c>
      <c r="GN158">
        <v>-30</v>
      </c>
      <c r="GO158">
        <v>25.553899999999999</v>
      </c>
      <c r="GP158">
        <v>800</v>
      </c>
      <c r="GQ158">
        <v>12.5298</v>
      </c>
      <c r="GR158">
        <v>99.674800000000005</v>
      </c>
      <c r="GS158">
        <v>99.468100000000007</v>
      </c>
    </row>
    <row r="159" spans="1:201" x14ac:dyDescent="0.25">
      <c r="A159">
        <v>143</v>
      </c>
      <c r="B159">
        <v>1690213835.5999999</v>
      </c>
      <c r="C159">
        <v>1568.099999904633</v>
      </c>
      <c r="D159" t="s">
        <v>617</v>
      </c>
      <c r="E159" t="s">
        <v>618</v>
      </c>
      <c r="F159" t="s">
        <v>330</v>
      </c>
      <c r="H159">
        <v>1690213835.5999999</v>
      </c>
      <c r="I159">
        <f t="shared" si="60"/>
        <v>2.0482515159443433E-3</v>
      </c>
      <c r="J159">
        <f t="shared" si="61"/>
        <v>2.0482515159443433</v>
      </c>
      <c r="K159">
        <f t="shared" si="62"/>
        <v>36.641310560353972</v>
      </c>
      <c r="L159">
        <f t="shared" si="63"/>
        <v>370.13400000000001</v>
      </c>
      <c r="M159">
        <f t="shared" si="64"/>
        <v>54.441455594461296</v>
      </c>
      <c r="N159">
        <f t="shared" si="65"/>
        <v>5.4002022130583143</v>
      </c>
      <c r="O159">
        <f t="shared" si="66"/>
        <v>36.714640049621998</v>
      </c>
      <c r="P159">
        <f t="shared" si="67"/>
        <v>0.19660677995548623</v>
      </c>
      <c r="Q159">
        <f t="shared" si="68"/>
        <v>2.013551198347765</v>
      </c>
      <c r="R159">
        <f t="shared" si="69"/>
        <v>0.18653043666245481</v>
      </c>
      <c r="S159">
        <f t="shared" si="70"/>
        <v>0.11744379104817573</v>
      </c>
      <c r="T159">
        <f t="shared" si="71"/>
        <v>276.11620120800001</v>
      </c>
      <c r="U159">
        <f t="shared" si="72"/>
        <v>28.512845349950553</v>
      </c>
      <c r="V159">
        <f t="shared" si="73"/>
        <v>28.512845349950553</v>
      </c>
      <c r="W159">
        <f t="shared" si="74"/>
        <v>3.9097850225759943</v>
      </c>
      <c r="X159">
        <f t="shared" si="75"/>
        <v>79.998400279247733</v>
      </c>
      <c r="Y159">
        <f t="shared" si="76"/>
        <v>2.8577256801633997</v>
      </c>
      <c r="Z159">
        <f t="shared" si="77"/>
        <v>3.5722285323056866</v>
      </c>
      <c r="AA159">
        <f t="shared" si="78"/>
        <v>1.0520593424125946</v>
      </c>
      <c r="AB159">
        <f t="shared" si="79"/>
        <v>-90.327891853145545</v>
      </c>
      <c r="AC159">
        <f t="shared" si="80"/>
        <v>-167.80858065947285</v>
      </c>
      <c r="AD159">
        <f t="shared" si="81"/>
        <v>-18.119191493239097</v>
      </c>
      <c r="AE159">
        <f t="shared" si="82"/>
        <v>-0.13946279785750448</v>
      </c>
      <c r="AF159">
        <v>33</v>
      </c>
      <c r="AG159">
        <v>11</v>
      </c>
      <c r="AH159">
        <f t="shared" si="83"/>
        <v>1</v>
      </c>
      <c r="AI159">
        <f t="shared" si="84"/>
        <v>0</v>
      </c>
      <c r="AJ159">
        <f t="shared" si="85"/>
        <v>52478.609618210488</v>
      </c>
      <c r="AK159">
        <f t="shared" si="86"/>
        <v>1800</v>
      </c>
      <c r="AL159">
        <f t="shared" si="87"/>
        <v>1499.1112727999998</v>
      </c>
      <c r="AM159">
        <f t="shared" si="88"/>
        <v>0.8328395959999999</v>
      </c>
      <c r="AN159">
        <f t="shared" si="89"/>
        <v>0.15339788956</v>
      </c>
      <c r="AO159">
        <v>34.5</v>
      </c>
      <c r="AP159">
        <v>0.5</v>
      </c>
      <c r="AQ159" t="s">
        <v>331</v>
      </c>
      <c r="AR159">
        <v>2</v>
      </c>
      <c r="AS159">
        <v>1690213835.5999999</v>
      </c>
      <c r="AT159">
        <v>370.13400000000001</v>
      </c>
      <c r="AU159">
        <v>799.94100000000003</v>
      </c>
      <c r="AV159">
        <v>28.809799999999999</v>
      </c>
      <c r="AW159">
        <v>5.94876</v>
      </c>
      <c r="AX159">
        <v>370.34100000000001</v>
      </c>
      <c r="AY159">
        <v>28.618200000000002</v>
      </c>
      <c r="AZ159">
        <v>300.2</v>
      </c>
      <c r="BA159">
        <v>99.092799999999997</v>
      </c>
      <c r="BB159">
        <v>0.100033</v>
      </c>
      <c r="BC159">
        <v>26.966999999999999</v>
      </c>
      <c r="BD159">
        <v>26.984300000000001</v>
      </c>
      <c r="BE159">
        <v>28.606400000000001</v>
      </c>
      <c r="BF159">
        <v>0</v>
      </c>
      <c r="BG159">
        <v>0</v>
      </c>
      <c r="BH159">
        <v>10015</v>
      </c>
      <c r="BI159">
        <v>1077.04</v>
      </c>
      <c r="BJ159">
        <v>2.0744500000000001</v>
      </c>
      <c r="BK159">
        <v>-429.80700000000002</v>
      </c>
      <c r="BL159">
        <v>381.113</v>
      </c>
      <c r="BM159">
        <v>804.72799999999995</v>
      </c>
      <c r="BN159">
        <v>22.861000000000001</v>
      </c>
      <c r="BO159">
        <v>799.94100000000003</v>
      </c>
      <c r="BP159">
        <v>5.94876</v>
      </c>
      <c r="BQ159">
        <v>2.8548399999999998</v>
      </c>
      <c r="BR159">
        <v>0.58948</v>
      </c>
      <c r="BS159">
        <v>23.204699999999999</v>
      </c>
      <c r="BT159">
        <v>-0.55199900000000002</v>
      </c>
      <c r="BU159">
        <v>1800</v>
      </c>
      <c r="BV159">
        <v>0.90998800000000002</v>
      </c>
      <c r="BW159">
        <v>3.3998300000000002E-2</v>
      </c>
      <c r="BX159">
        <v>2.20068E-2</v>
      </c>
      <c r="BY159">
        <v>3.4006599999999998E-2</v>
      </c>
      <c r="BZ159">
        <v>26</v>
      </c>
      <c r="CA159">
        <v>33528.300000000003</v>
      </c>
      <c r="CB159">
        <v>1690211922</v>
      </c>
      <c r="CC159" t="s">
        <v>332</v>
      </c>
      <c r="CD159">
        <v>1690211915</v>
      </c>
      <c r="CE159">
        <v>1690211922</v>
      </c>
      <c r="CF159">
        <v>6</v>
      </c>
      <c r="CG159">
        <v>1.0999999999999999E-2</v>
      </c>
      <c r="CH159">
        <v>8.0000000000000002E-3</v>
      </c>
      <c r="CI159">
        <v>-0.51100000000000001</v>
      </c>
      <c r="CJ159">
        <v>-6.6000000000000003E-2</v>
      </c>
      <c r="CK159">
        <v>800</v>
      </c>
      <c r="CL159">
        <v>6</v>
      </c>
      <c r="CM159">
        <v>0.21</v>
      </c>
      <c r="CN159">
        <v>0.02</v>
      </c>
      <c r="CO159">
        <v>-428.20690243902442</v>
      </c>
      <c r="CP159">
        <v>-8.9276864111495833</v>
      </c>
      <c r="CQ159">
        <v>0.88454173900547273</v>
      </c>
      <c r="CR159">
        <v>-1</v>
      </c>
      <c r="CS159">
        <v>22.817590243902441</v>
      </c>
      <c r="CT159">
        <v>0.21686341463412781</v>
      </c>
      <c r="CU159">
        <v>2.1438622599526141E-2</v>
      </c>
      <c r="CV159">
        <v>-1</v>
      </c>
      <c r="CW159">
        <v>0</v>
      </c>
      <c r="CX159">
        <v>0</v>
      </c>
      <c r="CY159" t="s">
        <v>333</v>
      </c>
      <c r="CZ159">
        <v>2.36449</v>
      </c>
      <c r="DA159">
        <v>2.7138399999999998</v>
      </c>
      <c r="DB159">
        <v>8.4315899999999999E-2</v>
      </c>
      <c r="DC159">
        <v>0.146062</v>
      </c>
      <c r="DD159">
        <v>0.12937899999999999</v>
      </c>
      <c r="DE159">
        <v>3.9169299999999997E-2</v>
      </c>
      <c r="DF159">
        <v>33414.9</v>
      </c>
      <c r="DG159">
        <v>27495.1</v>
      </c>
      <c r="DH159">
        <v>31153.3</v>
      </c>
      <c r="DI159">
        <v>28056.6</v>
      </c>
      <c r="DJ159">
        <v>36807</v>
      </c>
      <c r="DK159">
        <v>38330.400000000001</v>
      </c>
      <c r="DL159">
        <v>44331.3</v>
      </c>
      <c r="DM159">
        <v>42517.7</v>
      </c>
      <c r="DN159">
        <v>1.3869199999999999</v>
      </c>
      <c r="DO159">
        <v>2.03355</v>
      </c>
      <c r="DP159">
        <v>8.1423700000000002E-2</v>
      </c>
      <c r="DQ159">
        <v>0.18797800000000001</v>
      </c>
      <c r="DR159">
        <v>25.651199999999999</v>
      </c>
      <c r="DS159">
        <v>25.532499999999999</v>
      </c>
      <c r="DT159">
        <v>17.7</v>
      </c>
      <c r="DU159">
        <v>29.7</v>
      </c>
      <c r="DV159">
        <v>7.4790200000000002</v>
      </c>
      <c r="DW159">
        <v>61.831200000000003</v>
      </c>
      <c r="DX159">
        <v>36.1218</v>
      </c>
      <c r="DY159">
        <v>1</v>
      </c>
      <c r="DZ159">
        <v>-8.3180900000000002E-2</v>
      </c>
      <c r="EA159">
        <v>-0.32000299999999998</v>
      </c>
      <c r="EB159">
        <v>20.1892</v>
      </c>
      <c r="EC159">
        <v>5.2406499999999996</v>
      </c>
      <c r="ED159">
        <v>12.039899999999999</v>
      </c>
      <c r="EE159">
        <v>5.0168999999999997</v>
      </c>
      <c r="EF159">
        <v>3.2879999999999998</v>
      </c>
      <c r="EG159">
        <v>9999</v>
      </c>
      <c r="EH159">
        <v>9999</v>
      </c>
      <c r="EI159">
        <v>9999</v>
      </c>
      <c r="EJ159">
        <v>999.9</v>
      </c>
      <c r="EK159">
        <v>1.8689</v>
      </c>
      <c r="EL159">
        <v>1.8647400000000001</v>
      </c>
      <c r="EM159">
        <v>1.8692</v>
      </c>
      <c r="EN159">
        <v>1.8672800000000001</v>
      </c>
      <c r="EO159">
        <v>1.8633999999999999</v>
      </c>
      <c r="EP159">
        <v>1.86459</v>
      </c>
      <c r="EQ159">
        <v>1.87019</v>
      </c>
      <c r="ER159">
        <v>1.86948</v>
      </c>
      <c r="ES159">
        <v>0</v>
      </c>
      <c r="ET159">
        <v>0</v>
      </c>
      <c r="EU159">
        <v>0</v>
      </c>
      <c r="EV159">
        <v>0</v>
      </c>
      <c r="EW159" t="s">
        <v>334</v>
      </c>
      <c r="EX159" t="s">
        <v>335</v>
      </c>
      <c r="EY159" t="s">
        <v>336</v>
      </c>
      <c r="EZ159" t="s">
        <v>336</v>
      </c>
      <c r="FA159" t="s">
        <v>336</v>
      </c>
      <c r="FB159" t="s">
        <v>336</v>
      </c>
      <c r="FC159">
        <v>0</v>
      </c>
      <c r="FD159">
        <v>100</v>
      </c>
      <c r="FE159">
        <v>100</v>
      </c>
      <c r="FF159">
        <v>-0.20699999999999999</v>
      </c>
      <c r="FG159">
        <v>0.19159999999999999</v>
      </c>
      <c r="FH159">
        <v>4.0020685143421282E-2</v>
      </c>
      <c r="FI159">
        <v>-6.1462078757559423E-4</v>
      </c>
      <c r="FJ159">
        <v>-1.8861989874597051E-7</v>
      </c>
      <c r="FK159">
        <v>1.1980462299894961E-10</v>
      </c>
      <c r="FL159">
        <v>0.19160597004026461</v>
      </c>
      <c r="FM159">
        <v>0</v>
      </c>
      <c r="FN159">
        <v>0</v>
      </c>
      <c r="FO159">
        <v>0</v>
      </c>
      <c r="FP159">
        <v>3</v>
      </c>
      <c r="FQ159">
        <v>2158</v>
      </c>
      <c r="FR159">
        <v>1</v>
      </c>
      <c r="FS159">
        <v>19</v>
      </c>
      <c r="FT159">
        <v>32</v>
      </c>
      <c r="FU159">
        <v>31.9</v>
      </c>
      <c r="FV159">
        <v>1.77979</v>
      </c>
      <c r="FW159">
        <v>2.5756800000000002</v>
      </c>
      <c r="FX159">
        <v>1.5490699999999999</v>
      </c>
      <c r="FY159">
        <v>2.3290999999999999</v>
      </c>
      <c r="FZ159">
        <v>1.50146</v>
      </c>
      <c r="GA159">
        <v>2.3315399999999999</v>
      </c>
      <c r="GB159">
        <v>33.850900000000003</v>
      </c>
      <c r="GC159">
        <v>23.982399999999998</v>
      </c>
      <c r="GD159">
        <v>19</v>
      </c>
      <c r="GE159">
        <v>247.13300000000001</v>
      </c>
      <c r="GF159">
        <v>582.18200000000002</v>
      </c>
      <c r="GG159">
        <v>25.563700000000001</v>
      </c>
      <c r="GH159">
        <v>26.341899999999999</v>
      </c>
      <c r="GI159">
        <v>30.0002</v>
      </c>
      <c r="GJ159">
        <v>26.485800000000001</v>
      </c>
      <c r="GK159">
        <v>26.458200000000001</v>
      </c>
      <c r="GL159">
        <v>35.582299999999996</v>
      </c>
      <c r="GM159">
        <v>-30</v>
      </c>
      <c r="GN159">
        <v>-30</v>
      </c>
      <c r="GO159">
        <v>25.5685</v>
      </c>
      <c r="GP159">
        <v>800</v>
      </c>
      <c r="GQ159">
        <v>12.5298</v>
      </c>
      <c r="GR159">
        <v>99.673500000000004</v>
      </c>
      <c r="GS159">
        <v>99.469700000000003</v>
      </c>
    </row>
    <row r="160" spans="1:201" x14ac:dyDescent="0.25">
      <c r="A160">
        <v>144</v>
      </c>
      <c r="B160">
        <v>1690213845.5999999</v>
      </c>
      <c r="C160">
        <v>1578.099999904633</v>
      </c>
      <c r="D160" t="s">
        <v>619</v>
      </c>
      <c r="E160" t="s">
        <v>620</v>
      </c>
      <c r="F160" t="s">
        <v>330</v>
      </c>
      <c r="H160">
        <v>1690213845.5999999</v>
      </c>
      <c r="I160">
        <f t="shared" si="60"/>
        <v>2.0513559573476989E-3</v>
      </c>
      <c r="J160">
        <f t="shared" si="61"/>
        <v>2.0513559573476989</v>
      </c>
      <c r="K160">
        <f t="shared" si="62"/>
        <v>36.768836817660542</v>
      </c>
      <c r="L160">
        <f t="shared" si="63"/>
        <v>368.72800000000001</v>
      </c>
      <c r="M160">
        <f t="shared" si="64"/>
        <v>53.135713764296042</v>
      </c>
      <c r="N160">
        <f t="shared" si="65"/>
        <v>5.270598983772719</v>
      </c>
      <c r="O160">
        <f t="shared" si="66"/>
        <v>36.574598973288005</v>
      </c>
      <c r="P160">
        <f t="shared" si="67"/>
        <v>0.19738276126163665</v>
      </c>
      <c r="Q160">
        <f t="shared" si="68"/>
        <v>2.0103307326211697</v>
      </c>
      <c r="R160">
        <f t="shared" si="69"/>
        <v>0.18721356117273275</v>
      </c>
      <c r="S160">
        <f t="shared" si="70"/>
        <v>0.11787846142438896</v>
      </c>
      <c r="T160">
        <f t="shared" si="71"/>
        <v>276.11622955799999</v>
      </c>
      <c r="U160">
        <f t="shared" si="72"/>
        <v>28.51723624992492</v>
      </c>
      <c r="V160">
        <f t="shared" si="73"/>
        <v>28.51723624992492</v>
      </c>
      <c r="W160">
        <f t="shared" si="74"/>
        <v>3.910782132705009</v>
      </c>
      <c r="X160">
        <f t="shared" si="75"/>
        <v>80.074913756108728</v>
      </c>
      <c r="Y160">
        <f t="shared" si="76"/>
        <v>2.8610135059613997</v>
      </c>
      <c r="Z160">
        <f t="shared" si="77"/>
        <v>3.5729211206838665</v>
      </c>
      <c r="AA160">
        <f t="shared" si="78"/>
        <v>1.0497686267436093</v>
      </c>
      <c r="AB160">
        <f t="shared" si="79"/>
        <v>-90.464797719033527</v>
      </c>
      <c r="AC160">
        <f t="shared" si="80"/>
        <v>-167.65842106336214</v>
      </c>
      <c r="AD160">
        <f t="shared" si="81"/>
        <v>-18.132673886061525</v>
      </c>
      <c r="AE160">
        <f t="shared" si="82"/>
        <v>-0.13966311045720659</v>
      </c>
      <c r="AF160">
        <v>33</v>
      </c>
      <c r="AG160">
        <v>11</v>
      </c>
      <c r="AH160">
        <f t="shared" si="83"/>
        <v>1</v>
      </c>
      <c r="AI160">
        <f t="shared" si="84"/>
        <v>0</v>
      </c>
      <c r="AJ160">
        <f t="shared" si="85"/>
        <v>52323.340222313818</v>
      </c>
      <c r="AK160">
        <f t="shared" si="86"/>
        <v>1800</v>
      </c>
      <c r="AL160">
        <f t="shared" si="87"/>
        <v>1499.1114077999998</v>
      </c>
      <c r="AM160">
        <f t="shared" si="88"/>
        <v>0.83283967099999989</v>
      </c>
      <c r="AN160">
        <f t="shared" si="89"/>
        <v>0.15339790531</v>
      </c>
      <c r="AO160">
        <v>34.5</v>
      </c>
      <c r="AP160">
        <v>0.5</v>
      </c>
      <c r="AQ160" t="s">
        <v>331</v>
      </c>
      <c r="AR160">
        <v>2</v>
      </c>
      <c r="AS160">
        <v>1690213845.5999999</v>
      </c>
      <c r="AT160">
        <v>368.72800000000001</v>
      </c>
      <c r="AU160">
        <v>799.995</v>
      </c>
      <c r="AV160">
        <v>28.843399999999999</v>
      </c>
      <c r="AW160">
        <v>5.9477399999999996</v>
      </c>
      <c r="AX160">
        <v>368.93400000000003</v>
      </c>
      <c r="AY160">
        <v>28.651800000000001</v>
      </c>
      <c r="AZ160">
        <v>300.19</v>
      </c>
      <c r="BA160">
        <v>99.091300000000004</v>
      </c>
      <c r="BB160">
        <v>9.9971000000000004E-2</v>
      </c>
      <c r="BC160">
        <v>26.970300000000002</v>
      </c>
      <c r="BD160">
        <v>26.996099999999998</v>
      </c>
      <c r="BE160">
        <v>28.604199999999999</v>
      </c>
      <c r="BF160">
        <v>0</v>
      </c>
      <c r="BG160">
        <v>0</v>
      </c>
      <c r="BH160">
        <v>9984.3799999999992</v>
      </c>
      <c r="BI160">
        <v>1077.07</v>
      </c>
      <c r="BJ160">
        <v>2.0744500000000001</v>
      </c>
      <c r="BK160">
        <v>-431.267</v>
      </c>
      <c r="BL160">
        <v>379.67899999999997</v>
      </c>
      <c r="BM160">
        <v>804.78099999999995</v>
      </c>
      <c r="BN160">
        <v>22.895700000000001</v>
      </c>
      <c r="BO160">
        <v>799.995</v>
      </c>
      <c r="BP160">
        <v>5.9477399999999996</v>
      </c>
      <c r="BQ160">
        <v>2.8581300000000001</v>
      </c>
      <c r="BR160">
        <v>0.58936999999999995</v>
      </c>
      <c r="BS160">
        <v>23.223700000000001</v>
      </c>
      <c r="BT160">
        <v>-0.55455699999999997</v>
      </c>
      <c r="BU160">
        <v>1800</v>
      </c>
      <c r="BV160">
        <v>0.90998800000000002</v>
      </c>
      <c r="BW160">
        <v>3.3998300000000002E-2</v>
      </c>
      <c r="BX160">
        <v>2.20068E-2</v>
      </c>
      <c r="BY160">
        <v>3.4006700000000001E-2</v>
      </c>
      <c r="BZ160">
        <v>26</v>
      </c>
      <c r="CA160">
        <v>33528.300000000003</v>
      </c>
      <c r="CB160">
        <v>1690211922</v>
      </c>
      <c r="CC160" t="s">
        <v>332</v>
      </c>
      <c r="CD160">
        <v>1690211915</v>
      </c>
      <c r="CE160">
        <v>1690211922</v>
      </c>
      <c r="CF160">
        <v>6</v>
      </c>
      <c r="CG160">
        <v>1.0999999999999999E-2</v>
      </c>
      <c r="CH160">
        <v>8.0000000000000002E-3</v>
      </c>
      <c r="CI160">
        <v>-0.51100000000000001</v>
      </c>
      <c r="CJ160">
        <v>-6.6000000000000003E-2</v>
      </c>
      <c r="CK160">
        <v>800</v>
      </c>
      <c r="CL160">
        <v>6</v>
      </c>
      <c r="CM160">
        <v>0.21</v>
      </c>
      <c r="CN160">
        <v>0.02</v>
      </c>
      <c r="CO160">
        <v>-429.62812500000001</v>
      </c>
      <c r="CP160">
        <v>-8.576679174483731</v>
      </c>
      <c r="CQ160">
        <v>0.82660214696974665</v>
      </c>
      <c r="CR160">
        <v>-1</v>
      </c>
      <c r="CS160">
        <v>22.854424999999999</v>
      </c>
      <c r="CT160">
        <v>0.2383452157598443</v>
      </c>
      <c r="CU160">
        <v>2.2949202055844789E-2</v>
      </c>
      <c r="CV160">
        <v>-1</v>
      </c>
      <c r="CW160">
        <v>0</v>
      </c>
      <c r="CX160">
        <v>0</v>
      </c>
      <c r="CY160" t="s">
        <v>333</v>
      </c>
      <c r="CZ160">
        <v>2.36442</v>
      </c>
      <c r="DA160">
        <v>2.7137500000000001</v>
      </c>
      <c r="DB160">
        <v>8.4065899999999999E-2</v>
      </c>
      <c r="DC160">
        <v>0.146067</v>
      </c>
      <c r="DD160">
        <v>0.12948200000000001</v>
      </c>
      <c r="DE160">
        <v>3.9163400000000001E-2</v>
      </c>
      <c r="DF160">
        <v>33424.300000000003</v>
      </c>
      <c r="DG160">
        <v>27495.1</v>
      </c>
      <c r="DH160">
        <v>31153.599999999999</v>
      </c>
      <c r="DI160">
        <v>28056.799999999999</v>
      </c>
      <c r="DJ160">
        <v>36802.9</v>
      </c>
      <c r="DK160">
        <v>38331</v>
      </c>
      <c r="DL160">
        <v>44331.7</v>
      </c>
      <c r="DM160">
        <v>42518.1</v>
      </c>
      <c r="DN160">
        <v>1.3870199999999999</v>
      </c>
      <c r="DO160">
        <v>2.0336500000000002</v>
      </c>
      <c r="DP160">
        <v>8.2146399999999994E-2</v>
      </c>
      <c r="DQ160">
        <v>0.18784400000000001</v>
      </c>
      <c r="DR160">
        <v>25.651199999999999</v>
      </c>
      <c r="DS160">
        <v>25.532499999999999</v>
      </c>
      <c r="DT160">
        <v>17.7</v>
      </c>
      <c r="DU160">
        <v>29.7</v>
      </c>
      <c r="DV160">
        <v>7.4799600000000002</v>
      </c>
      <c r="DW160">
        <v>61.401200000000003</v>
      </c>
      <c r="DX160">
        <v>36.153799999999997</v>
      </c>
      <c r="DY160">
        <v>1</v>
      </c>
      <c r="DZ160">
        <v>-8.3432400000000004E-2</v>
      </c>
      <c r="EA160">
        <v>-0.32143500000000003</v>
      </c>
      <c r="EB160">
        <v>20.189299999999999</v>
      </c>
      <c r="EC160">
        <v>5.2408000000000001</v>
      </c>
      <c r="ED160">
        <v>12.039899999999999</v>
      </c>
      <c r="EE160">
        <v>5.0168999999999997</v>
      </c>
      <c r="EF160">
        <v>3.2879999999999998</v>
      </c>
      <c r="EG160">
        <v>9999</v>
      </c>
      <c r="EH160">
        <v>9999</v>
      </c>
      <c r="EI160">
        <v>9999</v>
      </c>
      <c r="EJ160">
        <v>999.9</v>
      </c>
      <c r="EK160">
        <v>1.8689100000000001</v>
      </c>
      <c r="EL160">
        <v>1.86467</v>
      </c>
      <c r="EM160">
        <v>1.8692</v>
      </c>
      <c r="EN160">
        <v>1.8672800000000001</v>
      </c>
      <c r="EO160">
        <v>1.8633999999999999</v>
      </c>
      <c r="EP160">
        <v>1.86456</v>
      </c>
      <c r="EQ160">
        <v>1.87019</v>
      </c>
      <c r="ER160">
        <v>1.86951</v>
      </c>
      <c r="ES160">
        <v>0</v>
      </c>
      <c r="ET160">
        <v>0</v>
      </c>
      <c r="EU160">
        <v>0</v>
      </c>
      <c r="EV160">
        <v>0</v>
      </c>
      <c r="EW160" t="s">
        <v>334</v>
      </c>
      <c r="EX160" t="s">
        <v>335</v>
      </c>
      <c r="EY160" t="s">
        <v>336</v>
      </c>
      <c r="EZ160" t="s">
        <v>336</v>
      </c>
      <c r="FA160" t="s">
        <v>336</v>
      </c>
      <c r="FB160" t="s">
        <v>336</v>
      </c>
      <c r="FC160">
        <v>0</v>
      </c>
      <c r="FD160">
        <v>100</v>
      </c>
      <c r="FE160">
        <v>100</v>
      </c>
      <c r="FF160">
        <v>-0.20599999999999999</v>
      </c>
      <c r="FG160">
        <v>0.19159999999999999</v>
      </c>
      <c r="FH160">
        <v>4.0020685143421282E-2</v>
      </c>
      <c r="FI160">
        <v>-6.1462078757559423E-4</v>
      </c>
      <c r="FJ160">
        <v>-1.8861989874597051E-7</v>
      </c>
      <c r="FK160">
        <v>1.1980462299894961E-10</v>
      </c>
      <c r="FL160">
        <v>0.19160597004026461</v>
      </c>
      <c r="FM160">
        <v>0</v>
      </c>
      <c r="FN160">
        <v>0</v>
      </c>
      <c r="FO160">
        <v>0</v>
      </c>
      <c r="FP160">
        <v>3</v>
      </c>
      <c r="FQ160">
        <v>2158</v>
      </c>
      <c r="FR160">
        <v>1</v>
      </c>
      <c r="FS160">
        <v>19</v>
      </c>
      <c r="FT160">
        <v>32.200000000000003</v>
      </c>
      <c r="FU160">
        <v>32.1</v>
      </c>
      <c r="FV160">
        <v>1.77979</v>
      </c>
      <c r="FW160">
        <v>2.5744600000000002</v>
      </c>
      <c r="FX160">
        <v>1.5490699999999999</v>
      </c>
      <c r="FY160">
        <v>2.3290999999999999</v>
      </c>
      <c r="FZ160">
        <v>1.50146</v>
      </c>
      <c r="GA160">
        <v>2.31812</v>
      </c>
      <c r="GB160">
        <v>33.850900000000003</v>
      </c>
      <c r="GC160">
        <v>23.991199999999999</v>
      </c>
      <c r="GD160">
        <v>19</v>
      </c>
      <c r="GE160">
        <v>247.16300000000001</v>
      </c>
      <c r="GF160">
        <v>582.23900000000003</v>
      </c>
      <c r="GG160">
        <v>25.579499999999999</v>
      </c>
      <c r="GH160">
        <v>26.341899999999999</v>
      </c>
      <c r="GI160">
        <v>30</v>
      </c>
      <c r="GJ160">
        <v>26.483599999999999</v>
      </c>
      <c r="GK160">
        <v>26.456</v>
      </c>
      <c r="GL160">
        <v>35.580500000000001</v>
      </c>
      <c r="GM160">
        <v>-30</v>
      </c>
      <c r="GN160">
        <v>-30</v>
      </c>
      <c r="GO160">
        <v>25.579599999999999</v>
      </c>
      <c r="GP160">
        <v>800</v>
      </c>
      <c r="GQ160">
        <v>12.5298</v>
      </c>
      <c r="GR160">
        <v>99.674499999999995</v>
      </c>
      <c r="GS160">
        <v>99.470500000000001</v>
      </c>
    </row>
    <row r="161" spans="1:201" x14ac:dyDescent="0.25">
      <c r="A161">
        <v>145</v>
      </c>
      <c r="B161">
        <v>1690213855.5999999</v>
      </c>
      <c r="C161">
        <v>1588.099999904633</v>
      </c>
      <c r="D161" t="s">
        <v>621</v>
      </c>
      <c r="E161" t="s">
        <v>622</v>
      </c>
      <c r="F161" t="s">
        <v>330</v>
      </c>
      <c r="H161">
        <v>1690213855.5999999</v>
      </c>
      <c r="I161">
        <f t="shared" si="60"/>
        <v>2.0546981376450028E-3</v>
      </c>
      <c r="J161">
        <f t="shared" si="61"/>
        <v>2.0546981376450026</v>
      </c>
      <c r="K161">
        <f t="shared" si="62"/>
        <v>36.893363498644227</v>
      </c>
      <c r="L161">
        <f t="shared" si="63"/>
        <v>367.303</v>
      </c>
      <c r="M161">
        <f t="shared" si="64"/>
        <v>52.322483117738102</v>
      </c>
      <c r="N161">
        <f t="shared" si="65"/>
        <v>5.1900058596736711</v>
      </c>
      <c r="O161">
        <f t="shared" si="66"/>
        <v>36.433758657555998</v>
      </c>
      <c r="P161">
        <f t="shared" si="67"/>
        <v>0.19846219756026282</v>
      </c>
      <c r="Q161">
        <f t="shared" si="68"/>
        <v>2.0115889993262077</v>
      </c>
      <c r="R161">
        <f t="shared" si="69"/>
        <v>0.18819064933159671</v>
      </c>
      <c r="S161">
        <f t="shared" si="70"/>
        <v>0.11849769540485934</v>
      </c>
      <c r="T161">
        <f t="shared" si="71"/>
        <v>276.1146350092834</v>
      </c>
      <c r="U161">
        <f t="shared" si="72"/>
        <v>28.517518052981572</v>
      </c>
      <c r="V161">
        <f t="shared" si="73"/>
        <v>28.517518052981572</v>
      </c>
      <c r="W161">
        <f t="shared" si="74"/>
        <v>3.9108461336928895</v>
      </c>
      <c r="X161">
        <f t="shared" si="75"/>
        <v>80.170499253844071</v>
      </c>
      <c r="Y161">
        <f t="shared" si="76"/>
        <v>2.864832578738</v>
      </c>
      <c r="Z161">
        <f t="shared" si="77"/>
        <v>3.5734248949443019</v>
      </c>
      <c r="AA161">
        <f t="shared" si="78"/>
        <v>1.0460135549548895</v>
      </c>
      <c r="AB161">
        <f t="shared" si="79"/>
        <v>-90.612187870144624</v>
      </c>
      <c r="AC161">
        <f t="shared" si="80"/>
        <v>-167.53364264014834</v>
      </c>
      <c r="AD161">
        <f t="shared" si="81"/>
        <v>-18.10808696382437</v>
      </c>
      <c r="AE161">
        <f t="shared" si="82"/>
        <v>-0.13928246483391149</v>
      </c>
      <c r="AF161">
        <v>33</v>
      </c>
      <c r="AG161">
        <v>11</v>
      </c>
      <c r="AH161">
        <f t="shared" si="83"/>
        <v>1</v>
      </c>
      <c r="AI161">
        <f t="shared" si="84"/>
        <v>0</v>
      </c>
      <c r="AJ161">
        <f t="shared" si="85"/>
        <v>52383.336760538616</v>
      </c>
      <c r="AK161">
        <f t="shared" si="86"/>
        <v>1799.99</v>
      </c>
      <c r="AL161">
        <f t="shared" si="87"/>
        <v>1499.1034934009901</v>
      </c>
      <c r="AM161">
        <f t="shared" si="88"/>
        <v>0.83283990100000005</v>
      </c>
      <c r="AN161">
        <f t="shared" si="89"/>
        <v>0.15339787165999999</v>
      </c>
      <c r="AO161">
        <v>34.5</v>
      </c>
      <c r="AP161">
        <v>0.5</v>
      </c>
      <c r="AQ161" t="s">
        <v>331</v>
      </c>
      <c r="AR161">
        <v>2</v>
      </c>
      <c r="AS161">
        <v>1690213855.5999999</v>
      </c>
      <c r="AT161">
        <v>367.303</v>
      </c>
      <c r="AU161">
        <v>800.03499999999997</v>
      </c>
      <c r="AV161">
        <v>28.881499999999999</v>
      </c>
      <c r="AW161">
        <v>5.9466099999999997</v>
      </c>
      <c r="AX161">
        <v>367.50799999999998</v>
      </c>
      <c r="AY161">
        <v>28.689900000000002</v>
      </c>
      <c r="AZ161">
        <v>300.15300000000002</v>
      </c>
      <c r="BA161">
        <v>99.092699999999994</v>
      </c>
      <c r="BB161">
        <v>9.9951999999999999E-2</v>
      </c>
      <c r="BC161">
        <v>26.9727</v>
      </c>
      <c r="BD161">
        <v>26.988700000000001</v>
      </c>
      <c r="BE161">
        <v>28.609300000000001</v>
      </c>
      <c r="BF161">
        <v>0</v>
      </c>
      <c r="BG161">
        <v>0</v>
      </c>
      <c r="BH161">
        <v>9996.25</v>
      </c>
      <c r="BI161">
        <v>1077.0899999999999</v>
      </c>
      <c r="BJ161">
        <v>2.0744500000000001</v>
      </c>
      <c r="BK161">
        <v>-432.73200000000003</v>
      </c>
      <c r="BL161">
        <v>378.22699999999998</v>
      </c>
      <c r="BM161">
        <v>804.82100000000003</v>
      </c>
      <c r="BN161">
        <v>22.934899999999999</v>
      </c>
      <c r="BO161">
        <v>800.03499999999997</v>
      </c>
      <c r="BP161">
        <v>5.9466099999999997</v>
      </c>
      <c r="BQ161">
        <v>2.8619400000000002</v>
      </c>
      <c r="BR161">
        <v>0.58926599999999996</v>
      </c>
      <c r="BS161">
        <v>23.245799999999999</v>
      </c>
      <c r="BT161">
        <v>-0.55697799999999997</v>
      </c>
      <c r="BU161">
        <v>1799.99</v>
      </c>
      <c r="BV161">
        <v>0.90998999999999997</v>
      </c>
      <c r="BW161">
        <v>3.3997600000000003E-2</v>
      </c>
      <c r="BX161">
        <v>2.2006299999999999E-2</v>
      </c>
      <c r="BY161">
        <v>3.4006000000000002E-2</v>
      </c>
      <c r="BZ161">
        <v>26</v>
      </c>
      <c r="CA161">
        <v>33528.199999999997</v>
      </c>
      <c r="CB161">
        <v>1690211922</v>
      </c>
      <c r="CC161" t="s">
        <v>332</v>
      </c>
      <c r="CD161">
        <v>1690211915</v>
      </c>
      <c r="CE161">
        <v>1690211922</v>
      </c>
      <c r="CF161">
        <v>6</v>
      </c>
      <c r="CG161">
        <v>1.0999999999999999E-2</v>
      </c>
      <c r="CH161">
        <v>8.0000000000000002E-3</v>
      </c>
      <c r="CI161">
        <v>-0.51100000000000001</v>
      </c>
      <c r="CJ161">
        <v>-6.6000000000000003E-2</v>
      </c>
      <c r="CK161">
        <v>800</v>
      </c>
      <c r="CL161">
        <v>6</v>
      </c>
      <c r="CM161">
        <v>0.21</v>
      </c>
      <c r="CN161">
        <v>0.02</v>
      </c>
      <c r="CO161">
        <v>-431.08432499999998</v>
      </c>
      <c r="CP161">
        <v>-8.7932195121937653</v>
      </c>
      <c r="CQ161">
        <v>0.84649909590914441</v>
      </c>
      <c r="CR161">
        <v>-1</v>
      </c>
      <c r="CS161">
        <v>22.892447499999999</v>
      </c>
      <c r="CT161">
        <v>0.21800037523446161</v>
      </c>
      <c r="CU161">
        <v>2.097933492153661E-2</v>
      </c>
      <c r="CV161">
        <v>-1</v>
      </c>
      <c r="CW161">
        <v>0</v>
      </c>
      <c r="CX161">
        <v>0</v>
      </c>
      <c r="CY161" t="s">
        <v>333</v>
      </c>
      <c r="CZ161">
        <v>2.3643299999999998</v>
      </c>
      <c r="DA161">
        <v>2.71374</v>
      </c>
      <c r="DB161">
        <v>8.3814100000000002E-2</v>
      </c>
      <c r="DC161">
        <v>0.14607400000000001</v>
      </c>
      <c r="DD161">
        <v>0.12960199999999999</v>
      </c>
      <c r="DE161">
        <v>3.9157999999999998E-2</v>
      </c>
      <c r="DF161">
        <v>33433.599999999999</v>
      </c>
      <c r="DG161">
        <v>27495.1</v>
      </c>
      <c r="DH161">
        <v>31153.7</v>
      </c>
      <c r="DI161">
        <v>28057.1</v>
      </c>
      <c r="DJ161">
        <v>36798</v>
      </c>
      <c r="DK161">
        <v>38331.4</v>
      </c>
      <c r="DL161">
        <v>44332</v>
      </c>
      <c r="DM161">
        <v>42518.3</v>
      </c>
      <c r="DN161">
        <v>1.3875</v>
      </c>
      <c r="DO161">
        <v>2.0336500000000002</v>
      </c>
      <c r="DP161">
        <v>8.1825999999999996E-2</v>
      </c>
      <c r="DQ161">
        <v>0.18815299999999999</v>
      </c>
      <c r="DR161">
        <v>25.649100000000001</v>
      </c>
      <c r="DS161">
        <v>25.532499999999999</v>
      </c>
      <c r="DT161">
        <v>17.7</v>
      </c>
      <c r="DU161">
        <v>29.7</v>
      </c>
      <c r="DV161">
        <v>7.4803800000000003</v>
      </c>
      <c r="DW161">
        <v>61.721200000000003</v>
      </c>
      <c r="DX161">
        <v>36.262</v>
      </c>
      <c r="DY161">
        <v>1</v>
      </c>
      <c r="DZ161">
        <v>-8.3574700000000002E-2</v>
      </c>
      <c r="EA161">
        <v>-0.31313999999999997</v>
      </c>
      <c r="EB161">
        <v>20.1892</v>
      </c>
      <c r="EC161">
        <v>5.2409499999999998</v>
      </c>
      <c r="ED161">
        <v>12.039899999999999</v>
      </c>
      <c r="EE161">
        <v>5.01675</v>
      </c>
      <c r="EF161">
        <v>3.2879999999999998</v>
      </c>
      <c r="EG161">
        <v>9999</v>
      </c>
      <c r="EH161">
        <v>9999</v>
      </c>
      <c r="EI161">
        <v>9999</v>
      </c>
      <c r="EJ161">
        <v>999.9</v>
      </c>
      <c r="EK161">
        <v>1.8689100000000001</v>
      </c>
      <c r="EL161">
        <v>1.8647100000000001</v>
      </c>
      <c r="EM161">
        <v>1.8691800000000001</v>
      </c>
      <c r="EN161">
        <v>1.86724</v>
      </c>
      <c r="EO161">
        <v>1.8633999999999999</v>
      </c>
      <c r="EP161">
        <v>1.8645700000000001</v>
      </c>
      <c r="EQ161">
        <v>1.87018</v>
      </c>
      <c r="ER161">
        <v>1.86947</v>
      </c>
      <c r="ES161">
        <v>0</v>
      </c>
      <c r="ET161">
        <v>0</v>
      </c>
      <c r="EU161">
        <v>0</v>
      </c>
      <c r="EV161">
        <v>0</v>
      </c>
      <c r="EW161" t="s">
        <v>334</v>
      </c>
      <c r="EX161" t="s">
        <v>335</v>
      </c>
      <c r="EY161" t="s">
        <v>336</v>
      </c>
      <c r="EZ161" t="s">
        <v>336</v>
      </c>
      <c r="FA161" t="s">
        <v>336</v>
      </c>
      <c r="FB161" t="s">
        <v>336</v>
      </c>
      <c r="FC161">
        <v>0</v>
      </c>
      <c r="FD161">
        <v>100</v>
      </c>
      <c r="FE161">
        <v>100</v>
      </c>
      <c r="FF161">
        <v>-0.20499999999999999</v>
      </c>
      <c r="FG161">
        <v>0.19159999999999999</v>
      </c>
      <c r="FH161">
        <v>4.0020685143421282E-2</v>
      </c>
      <c r="FI161">
        <v>-6.1462078757559423E-4</v>
      </c>
      <c r="FJ161">
        <v>-1.8861989874597051E-7</v>
      </c>
      <c r="FK161">
        <v>1.1980462299894961E-10</v>
      </c>
      <c r="FL161">
        <v>0.19160597004026461</v>
      </c>
      <c r="FM161">
        <v>0</v>
      </c>
      <c r="FN161">
        <v>0</v>
      </c>
      <c r="FO161">
        <v>0</v>
      </c>
      <c r="FP161">
        <v>3</v>
      </c>
      <c r="FQ161">
        <v>2158</v>
      </c>
      <c r="FR161">
        <v>1</v>
      </c>
      <c r="FS161">
        <v>19</v>
      </c>
      <c r="FT161">
        <v>32.299999999999997</v>
      </c>
      <c r="FU161">
        <v>32.200000000000003</v>
      </c>
      <c r="FV161">
        <v>1.77979</v>
      </c>
      <c r="FW161">
        <v>2.5793499999999998</v>
      </c>
      <c r="FX161">
        <v>1.5490699999999999</v>
      </c>
      <c r="FY161">
        <v>2.3290999999999999</v>
      </c>
      <c r="FZ161">
        <v>1.50146</v>
      </c>
      <c r="GA161">
        <v>2.36572</v>
      </c>
      <c r="GB161">
        <v>33.850900000000003</v>
      </c>
      <c r="GC161">
        <v>23.991199999999999</v>
      </c>
      <c r="GD161">
        <v>19</v>
      </c>
      <c r="GE161">
        <v>247.34700000000001</v>
      </c>
      <c r="GF161">
        <v>582.22</v>
      </c>
      <c r="GG161">
        <v>25.586200000000002</v>
      </c>
      <c r="GH161">
        <v>26.339700000000001</v>
      </c>
      <c r="GI161">
        <v>29.9999</v>
      </c>
      <c r="GJ161">
        <v>26.483599999999999</v>
      </c>
      <c r="GK161">
        <v>26.4543</v>
      </c>
      <c r="GL161">
        <v>35.579300000000003</v>
      </c>
      <c r="GM161">
        <v>-30</v>
      </c>
      <c r="GN161">
        <v>-30</v>
      </c>
      <c r="GO161">
        <v>25.587499999999999</v>
      </c>
      <c r="GP161">
        <v>800</v>
      </c>
      <c r="GQ161">
        <v>12.5298</v>
      </c>
      <c r="GR161">
        <v>99.6751</v>
      </c>
      <c r="GS161">
        <v>99.471199999999996</v>
      </c>
    </row>
    <row r="162" spans="1:201" x14ac:dyDescent="0.25">
      <c r="A162">
        <v>146</v>
      </c>
      <c r="B162">
        <v>1690213865.5999999</v>
      </c>
      <c r="C162">
        <v>1598.099999904633</v>
      </c>
      <c r="D162" t="s">
        <v>623</v>
      </c>
      <c r="E162" t="s">
        <v>624</v>
      </c>
      <c r="F162" t="s">
        <v>330</v>
      </c>
      <c r="H162">
        <v>1690213865.5999999</v>
      </c>
      <c r="I162">
        <f t="shared" si="60"/>
        <v>2.0573058530772106E-3</v>
      </c>
      <c r="J162">
        <f t="shared" si="61"/>
        <v>2.0573058530772106</v>
      </c>
      <c r="K162">
        <f t="shared" si="62"/>
        <v>37.01244519779366</v>
      </c>
      <c r="L162">
        <f t="shared" si="63"/>
        <v>365.92899999999997</v>
      </c>
      <c r="M162">
        <f t="shared" si="64"/>
        <v>51.188989445594714</v>
      </c>
      <c r="N162">
        <f t="shared" si="65"/>
        <v>5.077568084268278</v>
      </c>
      <c r="O162">
        <f t="shared" si="66"/>
        <v>36.297442704607001</v>
      </c>
      <c r="P162">
        <f t="shared" si="67"/>
        <v>0.19928723884410104</v>
      </c>
      <c r="Q162">
        <f t="shared" si="68"/>
        <v>2.0085073854013187</v>
      </c>
      <c r="R162">
        <f t="shared" si="69"/>
        <v>0.18891750554936784</v>
      </c>
      <c r="S162">
        <f t="shared" si="70"/>
        <v>0.11896013720148463</v>
      </c>
      <c r="T162">
        <f t="shared" si="71"/>
        <v>276.11472344279218</v>
      </c>
      <c r="U162">
        <f t="shared" si="72"/>
        <v>28.516603196687356</v>
      </c>
      <c r="V162">
        <f t="shared" si="73"/>
        <v>28.516603196687356</v>
      </c>
      <c r="W162">
        <f t="shared" si="74"/>
        <v>3.9106383617525382</v>
      </c>
      <c r="X162">
        <f t="shared" si="75"/>
        <v>80.250571700869273</v>
      </c>
      <c r="Y162">
        <f t="shared" si="76"/>
        <v>2.8673401582644003</v>
      </c>
      <c r="Z162">
        <f t="shared" si="77"/>
        <v>3.572984089075768</v>
      </c>
      <c r="AA162">
        <f t="shared" si="78"/>
        <v>1.043298203488138</v>
      </c>
      <c r="AB162">
        <f t="shared" si="79"/>
        <v>-90.72718812070498</v>
      </c>
      <c r="AC162">
        <f t="shared" si="80"/>
        <v>-167.40532329585318</v>
      </c>
      <c r="AD162">
        <f t="shared" si="81"/>
        <v>-18.121706698048527</v>
      </c>
      <c r="AE162">
        <f t="shared" si="82"/>
        <v>-0.13949467181447517</v>
      </c>
      <c r="AF162">
        <v>33</v>
      </c>
      <c r="AG162">
        <v>11</v>
      </c>
      <c r="AH162">
        <f t="shared" si="83"/>
        <v>1</v>
      </c>
      <c r="AI162">
        <f t="shared" si="84"/>
        <v>0</v>
      </c>
      <c r="AJ162">
        <f t="shared" si="85"/>
        <v>52235.902847131096</v>
      </c>
      <c r="AK162">
        <f t="shared" si="86"/>
        <v>1799.99</v>
      </c>
      <c r="AL162">
        <f t="shared" si="87"/>
        <v>1499.1041917971099</v>
      </c>
      <c r="AM162">
        <f t="shared" si="88"/>
        <v>0.83284028899999996</v>
      </c>
      <c r="AN162">
        <f t="shared" si="89"/>
        <v>0.15339792079000003</v>
      </c>
      <c r="AO162">
        <v>34.5</v>
      </c>
      <c r="AP162">
        <v>0.5</v>
      </c>
      <c r="AQ162" t="s">
        <v>331</v>
      </c>
      <c r="AR162">
        <v>2</v>
      </c>
      <c r="AS162">
        <v>1690213865.5999999</v>
      </c>
      <c r="AT162">
        <v>365.92899999999997</v>
      </c>
      <c r="AU162">
        <v>799.97500000000002</v>
      </c>
      <c r="AV162">
        <v>28.9068</v>
      </c>
      <c r="AW162">
        <v>5.9451599999999996</v>
      </c>
      <c r="AX162">
        <v>366.13400000000001</v>
      </c>
      <c r="AY162">
        <v>28.715199999999999</v>
      </c>
      <c r="AZ162">
        <v>300.17599999999999</v>
      </c>
      <c r="BA162">
        <v>99.092500000000001</v>
      </c>
      <c r="BB162">
        <v>0.10008300000000001</v>
      </c>
      <c r="BC162">
        <v>26.970600000000001</v>
      </c>
      <c r="BD162">
        <v>27.000900000000001</v>
      </c>
      <c r="BE162">
        <v>28.597799999999999</v>
      </c>
      <c r="BF162">
        <v>0</v>
      </c>
      <c r="BG162">
        <v>0</v>
      </c>
      <c r="BH162">
        <v>9966.8799999999992</v>
      </c>
      <c r="BI162">
        <v>1077.08</v>
      </c>
      <c r="BJ162">
        <v>2.0744500000000001</v>
      </c>
      <c r="BK162">
        <v>-434.04500000000002</v>
      </c>
      <c r="BL162">
        <v>376.822</v>
      </c>
      <c r="BM162">
        <v>804.75900000000001</v>
      </c>
      <c r="BN162">
        <v>22.961600000000001</v>
      </c>
      <c r="BO162">
        <v>799.97500000000002</v>
      </c>
      <c r="BP162">
        <v>5.9451599999999996</v>
      </c>
      <c r="BQ162">
        <v>2.8644400000000001</v>
      </c>
      <c r="BR162">
        <v>0.58912100000000001</v>
      </c>
      <c r="BS162">
        <v>23.260200000000001</v>
      </c>
      <c r="BT162">
        <v>-0.56035199999999996</v>
      </c>
      <c r="BU162">
        <v>1799.99</v>
      </c>
      <c r="BV162">
        <v>0.90999099999999999</v>
      </c>
      <c r="BW162">
        <v>3.3997399999999997E-2</v>
      </c>
      <c r="BX162">
        <v>2.20062E-2</v>
      </c>
      <c r="BY162">
        <v>3.40057E-2</v>
      </c>
      <c r="BZ162">
        <v>26</v>
      </c>
      <c r="CA162">
        <v>33528.199999999997</v>
      </c>
      <c r="CB162">
        <v>1690211922</v>
      </c>
      <c r="CC162" t="s">
        <v>332</v>
      </c>
      <c r="CD162">
        <v>1690211915</v>
      </c>
      <c r="CE162">
        <v>1690211922</v>
      </c>
      <c r="CF162">
        <v>6</v>
      </c>
      <c r="CG162">
        <v>1.0999999999999999E-2</v>
      </c>
      <c r="CH162">
        <v>8.0000000000000002E-3</v>
      </c>
      <c r="CI162">
        <v>-0.51100000000000001</v>
      </c>
      <c r="CJ162">
        <v>-6.6000000000000003E-2</v>
      </c>
      <c r="CK162">
        <v>800</v>
      </c>
      <c r="CL162">
        <v>6</v>
      </c>
      <c r="CM162">
        <v>0.21</v>
      </c>
      <c r="CN162">
        <v>0.02</v>
      </c>
      <c r="CO162">
        <v>-432.57170731707322</v>
      </c>
      <c r="CP162">
        <v>-8.4662717770032518</v>
      </c>
      <c r="CQ162">
        <v>0.83612632503101358</v>
      </c>
      <c r="CR162">
        <v>-1</v>
      </c>
      <c r="CS162">
        <v>22.928590243902441</v>
      </c>
      <c r="CT162">
        <v>0.20326829268292049</v>
      </c>
      <c r="CU162">
        <v>2.015622889717077E-2</v>
      </c>
      <c r="CV162">
        <v>-1</v>
      </c>
      <c r="CW162">
        <v>0</v>
      </c>
      <c r="CX162">
        <v>0</v>
      </c>
      <c r="CY162" t="s">
        <v>333</v>
      </c>
      <c r="CZ162">
        <v>2.3644099999999999</v>
      </c>
      <c r="DA162">
        <v>2.7138499999999999</v>
      </c>
      <c r="DB162">
        <v>8.3569900000000003E-2</v>
      </c>
      <c r="DC162">
        <v>0.146067</v>
      </c>
      <c r="DD162">
        <v>0.12967999999999999</v>
      </c>
      <c r="DE162">
        <v>3.9150200000000003E-2</v>
      </c>
      <c r="DF162">
        <v>33442.800000000003</v>
      </c>
      <c r="DG162">
        <v>27495.5</v>
      </c>
      <c r="DH162">
        <v>31153.9</v>
      </c>
      <c r="DI162">
        <v>28057.200000000001</v>
      </c>
      <c r="DJ162">
        <v>36795</v>
      </c>
      <c r="DK162">
        <v>38332.1</v>
      </c>
      <c r="DL162">
        <v>44332.4</v>
      </c>
      <c r="DM162">
        <v>42518.7</v>
      </c>
      <c r="DN162">
        <v>1.3874500000000001</v>
      </c>
      <c r="DO162">
        <v>2.0335999999999999</v>
      </c>
      <c r="DP162">
        <v>8.2638100000000006E-2</v>
      </c>
      <c r="DQ162">
        <v>0.187449</v>
      </c>
      <c r="DR162">
        <v>25.6479</v>
      </c>
      <c r="DS162">
        <v>25.532499999999999</v>
      </c>
      <c r="DT162">
        <v>17.7</v>
      </c>
      <c r="DU162">
        <v>29.7</v>
      </c>
      <c r="DV162">
        <v>7.4798499999999999</v>
      </c>
      <c r="DW162">
        <v>61.801200000000001</v>
      </c>
      <c r="DX162">
        <v>36.5745</v>
      </c>
      <c r="DY162">
        <v>1</v>
      </c>
      <c r="DZ162">
        <v>-8.3533999999999997E-2</v>
      </c>
      <c r="EA162">
        <v>-0.33327600000000002</v>
      </c>
      <c r="EB162">
        <v>20.1891</v>
      </c>
      <c r="EC162">
        <v>5.2408000000000001</v>
      </c>
      <c r="ED162">
        <v>12.039899999999999</v>
      </c>
      <c r="EE162">
        <v>5.0163000000000002</v>
      </c>
      <c r="EF162">
        <v>3.2879999999999998</v>
      </c>
      <c r="EG162">
        <v>9999</v>
      </c>
      <c r="EH162">
        <v>9999</v>
      </c>
      <c r="EI162">
        <v>9999</v>
      </c>
      <c r="EJ162">
        <v>999.9</v>
      </c>
      <c r="EK162">
        <v>1.8689100000000001</v>
      </c>
      <c r="EL162">
        <v>1.86467</v>
      </c>
      <c r="EM162">
        <v>1.8692</v>
      </c>
      <c r="EN162">
        <v>1.8672299999999999</v>
      </c>
      <c r="EO162">
        <v>1.8633999999999999</v>
      </c>
      <c r="EP162">
        <v>1.8645700000000001</v>
      </c>
      <c r="EQ162">
        <v>1.8701399999999999</v>
      </c>
      <c r="ER162">
        <v>1.8694900000000001</v>
      </c>
      <c r="ES162">
        <v>0</v>
      </c>
      <c r="ET162">
        <v>0</v>
      </c>
      <c r="EU162">
        <v>0</v>
      </c>
      <c r="EV162">
        <v>0</v>
      </c>
      <c r="EW162" t="s">
        <v>334</v>
      </c>
      <c r="EX162" t="s">
        <v>335</v>
      </c>
      <c r="EY162" t="s">
        <v>336</v>
      </c>
      <c r="EZ162" t="s">
        <v>336</v>
      </c>
      <c r="FA162" t="s">
        <v>336</v>
      </c>
      <c r="FB162" t="s">
        <v>336</v>
      </c>
      <c r="FC162">
        <v>0</v>
      </c>
      <c r="FD162">
        <v>100</v>
      </c>
      <c r="FE162">
        <v>100</v>
      </c>
      <c r="FF162">
        <v>-0.20499999999999999</v>
      </c>
      <c r="FG162">
        <v>0.19159999999999999</v>
      </c>
      <c r="FH162">
        <v>4.0020685143421282E-2</v>
      </c>
      <c r="FI162">
        <v>-6.1462078757559423E-4</v>
      </c>
      <c r="FJ162">
        <v>-1.8861989874597051E-7</v>
      </c>
      <c r="FK162">
        <v>1.1980462299894961E-10</v>
      </c>
      <c r="FL162">
        <v>0.19160597004026461</v>
      </c>
      <c r="FM162">
        <v>0</v>
      </c>
      <c r="FN162">
        <v>0</v>
      </c>
      <c r="FO162">
        <v>0</v>
      </c>
      <c r="FP162">
        <v>3</v>
      </c>
      <c r="FQ162">
        <v>2158</v>
      </c>
      <c r="FR162">
        <v>1</v>
      </c>
      <c r="FS162">
        <v>19</v>
      </c>
      <c r="FT162">
        <v>32.5</v>
      </c>
      <c r="FU162">
        <v>32.4</v>
      </c>
      <c r="FV162">
        <v>1.77979</v>
      </c>
      <c r="FW162">
        <v>2.5793499999999998</v>
      </c>
      <c r="FX162">
        <v>1.5490699999999999</v>
      </c>
      <c r="FY162">
        <v>2.3290999999999999</v>
      </c>
      <c r="FZ162">
        <v>1.50146</v>
      </c>
      <c r="GA162">
        <v>2.4011200000000001</v>
      </c>
      <c r="GB162">
        <v>33.850900000000003</v>
      </c>
      <c r="GC162">
        <v>23.991199999999999</v>
      </c>
      <c r="GD162">
        <v>19</v>
      </c>
      <c r="GE162">
        <v>247.31899999999999</v>
      </c>
      <c r="GF162">
        <v>582.173</v>
      </c>
      <c r="GG162">
        <v>25.5975</v>
      </c>
      <c r="GH162">
        <v>26.338999999999999</v>
      </c>
      <c r="GI162">
        <v>29.9999</v>
      </c>
      <c r="GJ162">
        <v>26.481300000000001</v>
      </c>
      <c r="GK162">
        <v>26.453800000000001</v>
      </c>
      <c r="GL162">
        <v>35.581400000000002</v>
      </c>
      <c r="GM162">
        <v>-30</v>
      </c>
      <c r="GN162">
        <v>-30</v>
      </c>
      <c r="GO162">
        <v>25.601700000000001</v>
      </c>
      <c r="GP162">
        <v>800</v>
      </c>
      <c r="GQ162">
        <v>12.5298</v>
      </c>
      <c r="GR162">
        <v>99.675899999999999</v>
      </c>
      <c r="GS162">
        <v>99.471900000000005</v>
      </c>
    </row>
    <row r="163" spans="1:201" x14ac:dyDescent="0.25">
      <c r="A163">
        <v>147</v>
      </c>
      <c r="B163">
        <v>1690213875.5999999</v>
      </c>
      <c r="C163">
        <v>1608.099999904633</v>
      </c>
      <c r="D163" t="s">
        <v>625</v>
      </c>
      <c r="E163" t="s">
        <v>626</v>
      </c>
      <c r="F163" t="s">
        <v>330</v>
      </c>
      <c r="H163">
        <v>1690213875.5999999</v>
      </c>
      <c r="I163">
        <f t="shared" si="60"/>
        <v>2.0593832675662514E-3</v>
      </c>
      <c r="J163">
        <f t="shared" si="61"/>
        <v>2.0593832675662513</v>
      </c>
      <c r="K163">
        <f t="shared" si="62"/>
        <v>37.139222815395421</v>
      </c>
      <c r="L163">
        <f t="shared" si="63"/>
        <v>364.51299999999998</v>
      </c>
      <c r="M163">
        <f t="shared" si="64"/>
        <v>49.932931471124952</v>
      </c>
      <c r="N163">
        <f t="shared" si="65"/>
        <v>4.953165255783353</v>
      </c>
      <c r="O163">
        <f t="shared" si="66"/>
        <v>36.158364303634599</v>
      </c>
      <c r="P163">
        <f t="shared" si="67"/>
        <v>0.20005197992991702</v>
      </c>
      <c r="Q163">
        <f t="shared" si="68"/>
        <v>2.0160731358870869</v>
      </c>
      <c r="R163">
        <f t="shared" si="69"/>
        <v>0.18964176347728393</v>
      </c>
      <c r="S163">
        <f t="shared" si="70"/>
        <v>0.11941625704184924</v>
      </c>
      <c r="T163">
        <f t="shared" si="71"/>
        <v>276.11614913400001</v>
      </c>
      <c r="U163">
        <f t="shared" si="72"/>
        <v>28.513608307101872</v>
      </c>
      <c r="V163">
        <f t="shared" si="73"/>
        <v>28.513608307101872</v>
      </c>
      <c r="W163">
        <f t="shared" si="74"/>
        <v>3.9099582632350902</v>
      </c>
      <c r="X163">
        <f t="shared" si="75"/>
        <v>80.298613188527128</v>
      </c>
      <c r="Y163">
        <f t="shared" si="76"/>
        <v>2.86956234321402</v>
      </c>
      <c r="Z163">
        <f t="shared" si="77"/>
        <v>3.5736138262771595</v>
      </c>
      <c r="AA163">
        <f t="shared" si="78"/>
        <v>1.0403959200210702</v>
      </c>
      <c r="AB163">
        <f t="shared" si="79"/>
        <v>-90.818802099671686</v>
      </c>
      <c r="AC163">
        <f t="shared" si="80"/>
        <v>-167.3843266523406</v>
      </c>
      <c r="AD163">
        <f t="shared" si="81"/>
        <v>-18.051436244062902</v>
      </c>
      <c r="AE163">
        <f t="shared" si="82"/>
        <v>-0.13841586207522028</v>
      </c>
      <c r="AF163">
        <v>33</v>
      </c>
      <c r="AG163">
        <v>11</v>
      </c>
      <c r="AH163">
        <f t="shared" si="83"/>
        <v>1</v>
      </c>
      <c r="AI163">
        <f t="shared" si="84"/>
        <v>0</v>
      </c>
      <c r="AJ163">
        <f t="shared" si="85"/>
        <v>52598.891374053303</v>
      </c>
      <c r="AK163">
        <f t="shared" si="86"/>
        <v>1800</v>
      </c>
      <c r="AL163">
        <f t="shared" si="87"/>
        <v>1499.1123923999999</v>
      </c>
      <c r="AM163">
        <f t="shared" si="88"/>
        <v>0.83284021799999997</v>
      </c>
      <c r="AN163">
        <f t="shared" si="89"/>
        <v>0.15339786063000002</v>
      </c>
      <c r="AO163">
        <v>34.5</v>
      </c>
      <c r="AP163">
        <v>0.5</v>
      </c>
      <c r="AQ163" t="s">
        <v>331</v>
      </c>
      <c r="AR163">
        <v>2</v>
      </c>
      <c r="AS163">
        <v>1690213875.5999999</v>
      </c>
      <c r="AT163">
        <v>364.51299999999998</v>
      </c>
      <c r="AU163">
        <v>799.971</v>
      </c>
      <c r="AV163">
        <v>28.928100000000001</v>
      </c>
      <c r="AW163">
        <v>5.9448499999999997</v>
      </c>
      <c r="AX163">
        <v>364.71699999999998</v>
      </c>
      <c r="AY163">
        <v>28.736499999999999</v>
      </c>
      <c r="AZ163">
        <v>300.19</v>
      </c>
      <c r="BA163">
        <v>99.096400000000003</v>
      </c>
      <c r="BB163">
        <v>9.9964200000000003E-2</v>
      </c>
      <c r="BC163">
        <v>26.973600000000001</v>
      </c>
      <c r="BD163">
        <v>27.007300000000001</v>
      </c>
      <c r="BE163">
        <v>28.611000000000001</v>
      </c>
      <c r="BF163">
        <v>0</v>
      </c>
      <c r="BG163">
        <v>0</v>
      </c>
      <c r="BH163">
        <v>10038.799999999999</v>
      </c>
      <c r="BI163">
        <v>1077.0999999999999</v>
      </c>
      <c r="BJ163">
        <v>2.0744500000000001</v>
      </c>
      <c r="BK163">
        <v>-435.45800000000003</v>
      </c>
      <c r="BL163">
        <v>375.37200000000001</v>
      </c>
      <c r="BM163">
        <v>804.755</v>
      </c>
      <c r="BN163">
        <v>22.9833</v>
      </c>
      <c r="BO163">
        <v>799.971</v>
      </c>
      <c r="BP163">
        <v>5.9448499999999997</v>
      </c>
      <c r="BQ163">
        <v>2.8666700000000001</v>
      </c>
      <c r="BR163">
        <v>0.589113</v>
      </c>
      <c r="BS163">
        <v>23.273099999999999</v>
      </c>
      <c r="BT163">
        <v>-0.56052900000000005</v>
      </c>
      <c r="BU163">
        <v>1800</v>
      </c>
      <c r="BV163">
        <v>0.90999200000000002</v>
      </c>
      <c r="BW163">
        <v>3.3996899999999997E-2</v>
      </c>
      <c r="BX163">
        <v>2.2005899999999998E-2</v>
      </c>
      <c r="BY163">
        <v>3.4005300000000002E-2</v>
      </c>
      <c r="BZ163">
        <v>26</v>
      </c>
      <c r="CA163">
        <v>33528.300000000003</v>
      </c>
      <c r="CB163">
        <v>1690211922</v>
      </c>
      <c r="CC163" t="s">
        <v>332</v>
      </c>
      <c r="CD163">
        <v>1690211915</v>
      </c>
      <c r="CE163">
        <v>1690211922</v>
      </c>
      <c r="CF163">
        <v>6</v>
      </c>
      <c r="CG163">
        <v>1.0999999999999999E-2</v>
      </c>
      <c r="CH163">
        <v>8.0000000000000002E-3</v>
      </c>
      <c r="CI163">
        <v>-0.51100000000000001</v>
      </c>
      <c r="CJ163">
        <v>-6.6000000000000003E-2</v>
      </c>
      <c r="CK163">
        <v>800</v>
      </c>
      <c r="CL163">
        <v>6</v>
      </c>
      <c r="CM163">
        <v>0.21</v>
      </c>
      <c r="CN163">
        <v>0.02</v>
      </c>
      <c r="CO163">
        <v>-433.96419512195121</v>
      </c>
      <c r="CP163">
        <v>-8.0872682926819071</v>
      </c>
      <c r="CQ163">
        <v>0.79884969798843097</v>
      </c>
      <c r="CR163">
        <v>-1</v>
      </c>
      <c r="CS163">
        <v>22.957648780487801</v>
      </c>
      <c r="CT163">
        <v>0.14103554006977989</v>
      </c>
      <c r="CU163">
        <v>1.395176572357318E-2</v>
      </c>
      <c r="CV163">
        <v>-1</v>
      </c>
      <c r="CW163">
        <v>0</v>
      </c>
      <c r="CX163">
        <v>0</v>
      </c>
      <c r="CY163" t="s">
        <v>333</v>
      </c>
      <c r="CZ163">
        <v>2.3644699999999998</v>
      </c>
      <c r="DA163">
        <v>2.7137899999999999</v>
      </c>
      <c r="DB163">
        <v>8.3321199999999998E-2</v>
      </c>
      <c r="DC163">
        <v>0.14607300000000001</v>
      </c>
      <c r="DD163">
        <v>0.12975200000000001</v>
      </c>
      <c r="DE163">
        <v>3.9150299999999999E-2</v>
      </c>
      <c r="DF163">
        <v>33451.9</v>
      </c>
      <c r="DG163">
        <v>27495.4</v>
      </c>
      <c r="DH163">
        <v>31153.9</v>
      </c>
      <c r="DI163">
        <v>28057.3</v>
      </c>
      <c r="DJ163">
        <v>36791.9</v>
      </c>
      <c r="DK163">
        <v>38332.400000000001</v>
      </c>
      <c r="DL163">
        <v>44332.4</v>
      </c>
      <c r="DM163">
        <v>42519.1</v>
      </c>
      <c r="DN163">
        <v>1.38785</v>
      </c>
      <c r="DO163">
        <v>2.03382</v>
      </c>
      <c r="DP163">
        <v>8.3092600000000003E-2</v>
      </c>
      <c r="DQ163">
        <v>0.18822800000000001</v>
      </c>
      <c r="DR163">
        <v>25.646899999999999</v>
      </c>
      <c r="DS163">
        <v>25.533000000000001</v>
      </c>
      <c r="DT163">
        <v>17.7</v>
      </c>
      <c r="DU163">
        <v>29.7</v>
      </c>
      <c r="DV163">
        <v>7.4793599999999998</v>
      </c>
      <c r="DW163">
        <v>60.981200000000001</v>
      </c>
      <c r="DX163">
        <v>36.650599999999997</v>
      </c>
      <c r="DY163">
        <v>1</v>
      </c>
      <c r="DZ163">
        <v>-8.3605200000000005E-2</v>
      </c>
      <c r="EA163">
        <v>-0.149259</v>
      </c>
      <c r="EB163">
        <v>20.189599999999999</v>
      </c>
      <c r="EC163">
        <v>5.2408000000000001</v>
      </c>
      <c r="ED163">
        <v>12.039899999999999</v>
      </c>
      <c r="EE163">
        <v>5.0167000000000002</v>
      </c>
      <c r="EF163">
        <v>3.2879999999999998</v>
      </c>
      <c r="EG163">
        <v>9999</v>
      </c>
      <c r="EH163">
        <v>9999</v>
      </c>
      <c r="EI163">
        <v>9999</v>
      </c>
      <c r="EJ163">
        <v>999.9</v>
      </c>
      <c r="EK163">
        <v>1.8689100000000001</v>
      </c>
      <c r="EL163">
        <v>1.8646799999999999</v>
      </c>
      <c r="EM163">
        <v>1.8692</v>
      </c>
      <c r="EN163">
        <v>1.86727</v>
      </c>
      <c r="EO163">
        <v>1.8633999999999999</v>
      </c>
      <c r="EP163">
        <v>1.86459</v>
      </c>
      <c r="EQ163">
        <v>1.8701700000000001</v>
      </c>
      <c r="ER163">
        <v>1.8694999999999999</v>
      </c>
      <c r="ES163">
        <v>0</v>
      </c>
      <c r="ET163">
        <v>0</v>
      </c>
      <c r="EU163">
        <v>0</v>
      </c>
      <c r="EV163">
        <v>0</v>
      </c>
      <c r="EW163" t="s">
        <v>334</v>
      </c>
      <c r="EX163" t="s">
        <v>335</v>
      </c>
      <c r="EY163" t="s">
        <v>336</v>
      </c>
      <c r="EZ163" t="s">
        <v>336</v>
      </c>
      <c r="FA163" t="s">
        <v>336</v>
      </c>
      <c r="FB163" t="s">
        <v>336</v>
      </c>
      <c r="FC163">
        <v>0</v>
      </c>
      <c r="FD163">
        <v>100</v>
      </c>
      <c r="FE163">
        <v>100</v>
      </c>
      <c r="FF163">
        <v>-0.20399999999999999</v>
      </c>
      <c r="FG163">
        <v>0.19159999999999999</v>
      </c>
      <c r="FH163">
        <v>4.0020685143421282E-2</v>
      </c>
      <c r="FI163">
        <v>-6.1462078757559423E-4</v>
      </c>
      <c r="FJ163">
        <v>-1.8861989874597051E-7</v>
      </c>
      <c r="FK163">
        <v>1.1980462299894961E-10</v>
      </c>
      <c r="FL163">
        <v>0.19160597004026461</v>
      </c>
      <c r="FM163">
        <v>0</v>
      </c>
      <c r="FN163">
        <v>0</v>
      </c>
      <c r="FO163">
        <v>0</v>
      </c>
      <c r="FP163">
        <v>3</v>
      </c>
      <c r="FQ163">
        <v>2158</v>
      </c>
      <c r="FR163">
        <v>1</v>
      </c>
      <c r="FS163">
        <v>19</v>
      </c>
      <c r="FT163">
        <v>32.700000000000003</v>
      </c>
      <c r="FU163">
        <v>32.6</v>
      </c>
      <c r="FV163">
        <v>1.77979</v>
      </c>
      <c r="FW163">
        <v>2.5732400000000002</v>
      </c>
      <c r="FX163">
        <v>1.5490699999999999</v>
      </c>
      <c r="FY163">
        <v>2.3290999999999999</v>
      </c>
      <c r="FZ163">
        <v>1.50146</v>
      </c>
      <c r="GA163">
        <v>2.3864700000000001</v>
      </c>
      <c r="GB163">
        <v>33.850900000000003</v>
      </c>
      <c r="GC163">
        <v>23.991199999999999</v>
      </c>
      <c r="GD163">
        <v>19</v>
      </c>
      <c r="GE163">
        <v>247.46600000000001</v>
      </c>
      <c r="GF163">
        <v>582.33399999999995</v>
      </c>
      <c r="GG163">
        <v>25.540400000000002</v>
      </c>
      <c r="GH163">
        <v>26.337499999999999</v>
      </c>
      <c r="GI163">
        <v>30.0001</v>
      </c>
      <c r="GJ163">
        <v>26.479099999999999</v>
      </c>
      <c r="GK163">
        <v>26.451599999999999</v>
      </c>
      <c r="GL163">
        <v>35.582999999999998</v>
      </c>
      <c r="GM163">
        <v>-30</v>
      </c>
      <c r="GN163">
        <v>-30</v>
      </c>
      <c r="GO163">
        <v>25.532599999999999</v>
      </c>
      <c r="GP163">
        <v>800</v>
      </c>
      <c r="GQ163">
        <v>12.5298</v>
      </c>
      <c r="GR163">
        <v>99.675899999999999</v>
      </c>
      <c r="GS163">
        <v>99.4726</v>
      </c>
    </row>
    <row r="164" spans="1:201" x14ac:dyDescent="0.25">
      <c r="A164">
        <v>148</v>
      </c>
      <c r="B164">
        <v>1690213885.5999999</v>
      </c>
      <c r="C164">
        <v>1618.099999904633</v>
      </c>
      <c r="D164" t="s">
        <v>627</v>
      </c>
      <c r="E164" t="s">
        <v>628</v>
      </c>
      <c r="F164" t="s">
        <v>330</v>
      </c>
      <c r="H164">
        <v>1690213885.5999999</v>
      </c>
      <c r="I164">
        <f t="shared" si="60"/>
        <v>2.061867157656968E-3</v>
      </c>
      <c r="J164">
        <f t="shared" si="61"/>
        <v>2.0618671576569678</v>
      </c>
      <c r="K164">
        <f t="shared" si="62"/>
        <v>37.246605934454649</v>
      </c>
      <c r="L164">
        <f t="shared" si="63"/>
        <v>363.23599999999999</v>
      </c>
      <c r="M164">
        <f t="shared" si="64"/>
        <v>49.053017314324741</v>
      </c>
      <c r="N164">
        <f t="shared" si="65"/>
        <v>4.8655666781281273</v>
      </c>
      <c r="O164">
        <f t="shared" si="66"/>
        <v>36.029363220851998</v>
      </c>
      <c r="P164">
        <f t="shared" si="67"/>
        <v>0.20091715831051982</v>
      </c>
      <c r="Q164">
        <f t="shared" si="68"/>
        <v>2.0138444512247302</v>
      </c>
      <c r="R164">
        <f t="shared" si="69"/>
        <v>0.1904082757598681</v>
      </c>
      <c r="S164">
        <f t="shared" si="70"/>
        <v>0.11990352948006364</v>
      </c>
      <c r="T164">
        <f t="shared" si="71"/>
        <v>276.11758506606162</v>
      </c>
      <c r="U164">
        <f t="shared" si="72"/>
        <v>28.511552360922362</v>
      </c>
      <c r="V164">
        <f t="shared" si="73"/>
        <v>28.511552360922362</v>
      </c>
      <c r="W164">
        <f t="shared" si="74"/>
        <v>3.9094914456592043</v>
      </c>
      <c r="X164">
        <f t="shared" si="75"/>
        <v>80.382782284478566</v>
      </c>
      <c r="Y164">
        <f t="shared" si="76"/>
        <v>2.8721146379048998</v>
      </c>
      <c r="Z164">
        <f t="shared" si="77"/>
        <v>3.5730470584364031</v>
      </c>
      <c r="AA164">
        <f t="shared" si="78"/>
        <v>1.0373768077543044</v>
      </c>
      <c r="AB164">
        <f t="shared" si="79"/>
        <v>-90.928341652672287</v>
      </c>
      <c r="AC164">
        <f t="shared" si="80"/>
        <v>-167.26921543839683</v>
      </c>
      <c r="AD164">
        <f t="shared" si="81"/>
        <v>-18.058557344922065</v>
      </c>
      <c r="AE164">
        <f t="shared" si="82"/>
        <v>-0.13852936992955733</v>
      </c>
      <c r="AF164">
        <v>33</v>
      </c>
      <c r="AG164">
        <v>11</v>
      </c>
      <c r="AH164">
        <f t="shared" si="83"/>
        <v>1</v>
      </c>
      <c r="AI164">
        <f t="shared" si="84"/>
        <v>0</v>
      </c>
      <c r="AJ164">
        <f t="shared" si="85"/>
        <v>52491.964379718964</v>
      </c>
      <c r="AK164">
        <f t="shared" si="86"/>
        <v>1800.01</v>
      </c>
      <c r="AL164">
        <f t="shared" si="87"/>
        <v>1499.12030319986</v>
      </c>
      <c r="AM164">
        <f t="shared" si="88"/>
        <v>0.83283998599999998</v>
      </c>
      <c r="AN164">
        <f t="shared" si="89"/>
        <v>0.15339780616000001</v>
      </c>
      <c r="AO164">
        <v>34.5</v>
      </c>
      <c r="AP164">
        <v>0.5</v>
      </c>
      <c r="AQ164" t="s">
        <v>331</v>
      </c>
      <c r="AR164">
        <v>2</v>
      </c>
      <c r="AS164">
        <v>1690213885.5999999</v>
      </c>
      <c r="AT164">
        <v>363.23599999999999</v>
      </c>
      <c r="AU164">
        <v>799.93299999999999</v>
      </c>
      <c r="AV164">
        <v>28.9557</v>
      </c>
      <c r="AW164">
        <v>5.9440799999999996</v>
      </c>
      <c r="AX164">
        <v>363.43900000000002</v>
      </c>
      <c r="AY164">
        <v>28.764099999999999</v>
      </c>
      <c r="AZ164">
        <v>300.173</v>
      </c>
      <c r="BA164">
        <v>99.0899</v>
      </c>
      <c r="BB164">
        <v>0.10005699999999999</v>
      </c>
      <c r="BC164">
        <v>26.9709</v>
      </c>
      <c r="BD164">
        <v>27.002400000000002</v>
      </c>
      <c r="BE164">
        <v>28.606100000000001</v>
      </c>
      <c r="BF164">
        <v>0</v>
      </c>
      <c r="BG164">
        <v>0</v>
      </c>
      <c r="BH164">
        <v>10018.1</v>
      </c>
      <c r="BI164">
        <v>1077.18</v>
      </c>
      <c r="BJ164">
        <v>2.0744500000000001</v>
      </c>
      <c r="BK164">
        <v>-436.69600000000003</v>
      </c>
      <c r="BL164">
        <v>374.06799999999998</v>
      </c>
      <c r="BM164">
        <v>804.71600000000001</v>
      </c>
      <c r="BN164">
        <v>23.011600000000001</v>
      </c>
      <c r="BO164">
        <v>799.93299999999999</v>
      </c>
      <c r="BP164">
        <v>5.9440799999999996</v>
      </c>
      <c r="BQ164">
        <v>2.8692199999999999</v>
      </c>
      <c r="BR164">
        <v>0.58899800000000002</v>
      </c>
      <c r="BS164">
        <v>23.287800000000001</v>
      </c>
      <c r="BT164">
        <v>-0.563191</v>
      </c>
      <c r="BU164">
        <v>1800.01</v>
      </c>
      <c r="BV164">
        <v>0.90999200000000002</v>
      </c>
      <c r="BW164">
        <v>3.3996800000000001E-2</v>
      </c>
      <c r="BX164">
        <v>2.2005799999999999E-2</v>
      </c>
      <c r="BY164">
        <v>3.4005199999999999E-2</v>
      </c>
      <c r="BZ164">
        <v>26</v>
      </c>
      <c r="CA164">
        <v>33528.400000000001</v>
      </c>
      <c r="CB164">
        <v>1690211922</v>
      </c>
      <c r="CC164" t="s">
        <v>332</v>
      </c>
      <c r="CD164">
        <v>1690211915</v>
      </c>
      <c r="CE164">
        <v>1690211922</v>
      </c>
      <c r="CF164">
        <v>6</v>
      </c>
      <c r="CG164">
        <v>1.0999999999999999E-2</v>
      </c>
      <c r="CH164">
        <v>8.0000000000000002E-3</v>
      </c>
      <c r="CI164">
        <v>-0.51100000000000001</v>
      </c>
      <c r="CJ164">
        <v>-6.6000000000000003E-2</v>
      </c>
      <c r="CK164">
        <v>800</v>
      </c>
      <c r="CL164">
        <v>6</v>
      </c>
      <c r="CM164">
        <v>0.21</v>
      </c>
      <c r="CN164">
        <v>0.02</v>
      </c>
      <c r="CO164">
        <v>-435.2937560975609</v>
      </c>
      <c r="CP164">
        <v>-7.9827595818824557</v>
      </c>
      <c r="CQ164">
        <v>0.78931803786676868</v>
      </c>
      <c r="CR164">
        <v>-1</v>
      </c>
      <c r="CS164">
        <v>22.98215121951219</v>
      </c>
      <c r="CT164">
        <v>0.15129407665501379</v>
      </c>
      <c r="CU164">
        <v>1.4982153968544651E-2</v>
      </c>
      <c r="CV164">
        <v>-1</v>
      </c>
      <c r="CW164">
        <v>0</v>
      </c>
      <c r="CX164">
        <v>0</v>
      </c>
      <c r="CY164" t="s">
        <v>333</v>
      </c>
      <c r="CZ164">
        <v>2.36442</v>
      </c>
      <c r="DA164">
        <v>2.7138599999999999</v>
      </c>
      <c r="DB164">
        <v>8.3087999999999995E-2</v>
      </c>
      <c r="DC164">
        <v>0.14605899999999999</v>
      </c>
      <c r="DD164">
        <v>0.129829</v>
      </c>
      <c r="DE164">
        <v>3.9143600000000001E-2</v>
      </c>
      <c r="DF164">
        <v>33461.1</v>
      </c>
      <c r="DG164">
        <v>27495.9</v>
      </c>
      <c r="DH164">
        <v>31154.6</v>
      </c>
      <c r="DI164">
        <v>28057.3</v>
      </c>
      <c r="DJ164">
        <v>36789.1</v>
      </c>
      <c r="DK164">
        <v>38332.5</v>
      </c>
      <c r="DL164">
        <v>44333.2</v>
      </c>
      <c r="DM164">
        <v>42518.9</v>
      </c>
      <c r="DN164">
        <v>1.3875999999999999</v>
      </c>
      <c r="DO164">
        <v>2.0339499999999999</v>
      </c>
      <c r="DP164">
        <v>8.2664199999999993E-2</v>
      </c>
      <c r="DQ164">
        <v>0.18809000000000001</v>
      </c>
      <c r="DR164">
        <v>25.649100000000001</v>
      </c>
      <c r="DS164">
        <v>25.5304</v>
      </c>
      <c r="DT164">
        <v>17.7</v>
      </c>
      <c r="DU164">
        <v>29.7</v>
      </c>
      <c r="DV164">
        <v>7.4798900000000001</v>
      </c>
      <c r="DW164">
        <v>61.331200000000003</v>
      </c>
      <c r="DX164">
        <v>36.971200000000003</v>
      </c>
      <c r="DY164">
        <v>1</v>
      </c>
      <c r="DZ164">
        <v>-8.3742399999999995E-2</v>
      </c>
      <c r="EA164">
        <v>-0.24399799999999999</v>
      </c>
      <c r="EB164">
        <v>20.189599999999999</v>
      </c>
      <c r="EC164">
        <v>5.2406499999999996</v>
      </c>
      <c r="ED164">
        <v>12.039899999999999</v>
      </c>
      <c r="EE164">
        <v>5.0166000000000004</v>
      </c>
      <c r="EF164">
        <v>3.2879999999999998</v>
      </c>
      <c r="EG164">
        <v>9999</v>
      </c>
      <c r="EH164">
        <v>9999</v>
      </c>
      <c r="EI164">
        <v>9999</v>
      </c>
      <c r="EJ164">
        <v>999.9</v>
      </c>
      <c r="EK164">
        <v>1.8689100000000001</v>
      </c>
      <c r="EL164">
        <v>1.8647</v>
      </c>
      <c r="EM164">
        <v>1.8692</v>
      </c>
      <c r="EN164">
        <v>1.8673</v>
      </c>
      <c r="EO164">
        <v>1.8633999999999999</v>
      </c>
      <c r="EP164">
        <v>1.8645799999999999</v>
      </c>
      <c r="EQ164">
        <v>1.87018</v>
      </c>
      <c r="ER164">
        <v>1.8694599999999999</v>
      </c>
      <c r="ES164">
        <v>0</v>
      </c>
      <c r="ET164">
        <v>0</v>
      </c>
      <c r="EU164">
        <v>0</v>
      </c>
      <c r="EV164">
        <v>0</v>
      </c>
      <c r="EW164" t="s">
        <v>334</v>
      </c>
      <c r="EX164" t="s">
        <v>335</v>
      </c>
      <c r="EY164" t="s">
        <v>336</v>
      </c>
      <c r="EZ164" t="s">
        <v>336</v>
      </c>
      <c r="FA164" t="s">
        <v>336</v>
      </c>
      <c r="FB164" t="s">
        <v>336</v>
      </c>
      <c r="FC164">
        <v>0</v>
      </c>
      <c r="FD164">
        <v>100</v>
      </c>
      <c r="FE164">
        <v>100</v>
      </c>
      <c r="FF164">
        <v>-0.20300000000000001</v>
      </c>
      <c r="FG164">
        <v>0.19159999999999999</v>
      </c>
      <c r="FH164">
        <v>4.0020685143421282E-2</v>
      </c>
      <c r="FI164">
        <v>-6.1462078757559423E-4</v>
      </c>
      <c r="FJ164">
        <v>-1.8861989874597051E-7</v>
      </c>
      <c r="FK164">
        <v>1.1980462299894961E-10</v>
      </c>
      <c r="FL164">
        <v>0.19160597004026461</v>
      </c>
      <c r="FM164">
        <v>0</v>
      </c>
      <c r="FN164">
        <v>0</v>
      </c>
      <c r="FO164">
        <v>0</v>
      </c>
      <c r="FP164">
        <v>3</v>
      </c>
      <c r="FQ164">
        <v>2158</v>
      </c>
      <c r="FR164">
        <v>1</v>
      </c>
      <c r="FS164">
        <v>19</v>
      </c>
      <c r="FT164">
        <v>32.799999999999997</v>
      </c>
      <c r="FU164">
        <v>32.700000000000003</v>
      </c>
      <c r="FV164">
        <v>1.77979</v>
      </c>
      <c r="FW164">
        <v>2.5732400000000002</v>
      </c>
      <c r="FX164">
        <v>1.5490699999999999</v>
      </c>
      <c r="FY164">
        <v>2.3290999999999999</v>
      </c>
      <c r="FZ164">
        <v>1.50146</v>
      </c>
      <c r="GA164">
        <v>2.3864700000000001</v>
      </c>
      <c r="GB164">
        <v>33.850900000000003</v>
      </c>
      <c r="GC164">
        <v>23.991199999999999</v>
      </c>
      <c r="GD164">
        <v>19</v>
      </c>
      <c r="GE164">
        <v>247.36799999999999</v>
      </c>
      <c r="GF164">
        <v>582.43700000000001</v>
      </c>
      <c r="GG164">
        <v>25.5212</v>
      </c>
      <c r="GH164">
        <v>26.3352</v>
      </c>
      <c r="GI164">
        <v>30.0001</v>
      </c>
      <c r="GJ164">
        <v>26.479099999999999</v>
      </c>
      <c r="GK164">
        <v>26.451599999999999</v>
      </c>
      <c r="GL164">
        <v>35.580300000000001</v>
      </c>
      <c r="GM164">
        <v>-30</v>
      </c>
      <c r="GN164">
        <v>-30</v>
      </c>
      <c r="GO164">
        <v>25.5305</v>
      </c>
      <c r="GP164">
        <v>800</v>
      </c>
      <c r="GQ164">
        <v>12.5298</v>
      </c>
      <c r="GR164">
        <v>99.677800000000005</v>
      </c>
      <c r="GS164">
        <v>99.472300000000004</v>
      </c>
    </row>
    <row r="165" spans="1:201" x14ac:dyDescent="0.25">
      <c r="A165">
        <v>149</v>
      </c>
      <c r="B165">
        <v>1690213895.5999999</v>
      </c>
      <c r="C165">
        <v>1628.099999904633</v>
      </c>
      <c r="D165" t="s">
        <v>629</v>
      </c>
      <c r="E165" t="s">
        <v>630</v>
      </c>
      <c r="F165" t="s">
        <v>330</v>
      </c>
      <c r="H165">
        <v>1690213895.5999999</v>
      </c>
      <c r="I165">
        <f t="shared" si="60"/>
        <v>2.0648396063431885E-3</v>
      </c>
      <c r="J165">
        <f t="shared" si="61"/>
        <v>2.0648396063431886</v>
      </c>
      <c r="K165">
        <f t="shared" si="62"/>
        <v>37.370633195788756</v>
      </c>
      <c r="L165">
        <f t="shared" si="63"/>
        <v>361.86099999999999</v>
      </c>
      <c r="M165">
        <f t="shared" si="64"/>
        <v>48.317438696242142</v>
      </c>
      <c r="N165">
        <f t="shared" si="65"/>
        <v>4.792494522197142</v>
      </c>
      <c r="O165">
        <f t="shared" si="66"/>
        <v>35.892152131641403</v>
      </c>
      <c r="P165">
        <f t="shared" si="67"/>
        <v>0.20204899597439743</v>
      </c>
      <c r="Q165">
        <f t="shared" si="68"/>
        <v>2.0102266695694984</v>
      </c>
      <c r="R165">
        <f t="shared" si="69"/>
        <v>0.19140670258939918</v>
      </c>
      <c r="S165">
        <f t="shared" si="70"/>
        <v>0.120538624303365</v>
      </c>
      <c r="T165">
        <f t="shared" si="71"/>
        <v>276.11608856399999</v>
      </c>
      <c r="U165">
        <f t="shared" si="72"/>
        <v>28.506760800601459</v>
      </c>
      <c r="V165">
        <f t="shared" si="73"/>
        <v>28.506760800601459</v>
      </c>
      <c r="W165">
        <f t="shared" si="74"/>
        <v>3.9084036756025151</v>
      </c>
      <c r="X165">
        <f t="shared" si="75"/>
        <v>80.492416747709356</v>
      </c>
      <c r="Y165">
        <f t="shared" si="76"/>
        <v>2.8749845857422196</v>
      </c>
      <c r="Z165">
        <f t="shared" si="77"/>
        <v>3.5717458885020195</v>
      </c>
      <c r="AA165">
        <f t="shared" si="78"/>
        <v>1.0334190898602955</v>
      </c>
      <c r="AB165">
        <f t="shared" si="79"/>
        <v>-91.05942663973461</v>
      </c>
      <c r="AC165">
        <f t="shared" si="80"/>
        <v>-167.12136388942707</v>
      </c>
      <c r="AD165">
        <f t="shared" si="81"/>
        <v>-18.074075510192785</v>
      </c>
      <c r="AE165">
        <f t="shared" si="82"/>
        <v>-0.1387774753545159</v>
      </c>
      <c r="AF165">
        <v>33</v>
      </c>
      <c r="AG165">
        <v>11</v>
      </c>
      <c r="AH165">
        <f t="shared" si="83"/>
        <v>1</v>
      </c>
      <c r="AI165">
        <f t="shared" si="84"/>
        <v>0</v>
      </c>
      <c r="AJ165">
        <f t="shared" si="85"/>
        <v>52319.248289184317</v>
      </c>
      <c r="AK165">
        <f t="shared" si="86"/>
        <v>1800</v>
      </c>
      <c r="AL165">
        <f t="shared" si="87"/>
        <v>1499.1128063999997</v>
      </c>
      <c r="AM165">
        <f t="shared" si="88"/>
        <v>0.8328404479999999</v>
      </c>
      <c r="AN165">
        <f t="shared" si="89"/>
        <v>0.15339782698000001</v>
      </c>
      <c r="AO165">
        <v>34.5</v>
      </c>
      <c r="AP165">
        <v>0.5</v>
      </c>
      <c r="AQ165" t="s">
        <v>331</v>
      </c>
      <c r="AR165">
        <v>2</v>
      </c>
      <c r="AS165">
        <v>1690213895.5999999</v>
      </c>
      <c r="AT165">
        <v>361.86099999999999</v>
      </c>
      <c r="AU165">
        <v>799.93700000000001</v>
      </c>
      <c r="AV165">
        <v>28.985299999999999</v>
      </c>
      <c r="AW165">
        <v>5.94259</v>
      </c>
      <c r="AX165">
        <v>362.06299999999999</v>
      </c>
      <c r="AY165">
        <v>28.793700000000001</v>
      </c>
      <c r="AZ165">
        <v>300.19099999999997</v>
      </c>
      <c r="BA165">
        <v>99.087699999999998</v>
      </c>
      <c r="BB165">
        <v>9.9977399999999994E-2</v>
      </c>
      <c r="BC165">
        <v>26.964700000000001</v>
      </c>
      <c r="BD165">
        <v>26.987400000000001</v>
      </c>
      <c r="BE165">
        <v>28.581600000000002</v>
      </c>
      <c r="BF165">
        <v>0</v>
      </c>
      <c r="BG165">
        <v>0</v>
      </c>
      <c r="BH165">
        <v>9983.75</v>
      </c>
      <c r="BI165">
        <v>1077.1400000000001</v>
      </c>
      <c r="BJ165">
        <v>2.0744500000000001</v>
      </c>
      <c r="BK165">
        <v>-438.07600000000002</v>
      </c>
      <c r="BL165">
        <v>372.66300000000001</v>
      </c>
      <c r="BM165">
        <v>804.71900000000005</v>
      </c>
      <c r="BN165">
        <v>23.0427</v>
      </c>
      <c r="BO165">
        <v>799.93700000000001</v>
      </c>
      <c r="BP165">
        <v>5.94259</v>
      </c>
      <c r="BQ165">
        <v>2.87209</v>
      </c>
      <c r="BR165">
        <v>0.58883799999999997</v>
      </c>
      <c r="BS165">
        <v>23.304400000000001</v>
      </c>
      <c r="BT165">
        <v>-0.56691800000000003</v>
      </c>
      <c r="BU165">
        <v>1800</v>
      </c>
      <c r="BV165">
        <v>0.90999399999999997</v>
      </c>
      <c r="BW165">
        <v>3.3996199999999997E-2</v>
      </c>
      <c r="BX165">
        <v>2.2005400000000001E-2</v>
      </c>
      <c r="BY165">
        <v>3.4004600000000003E-2</v>
      </c>
      <c r="BZ165">
        <v>26</v>
      </c>
      <c r="CA165">
        <v>33528.300000000003</v>
      </c>
      <c r="CB165">
        <v>1690211922</v>
      </c>
      <c r="CC165" t="s">
        <v>332</v>
      </c>
      <c r="CD165">
        <v>1690211915</v>
      </c>
      <c r="CE165">
        <v>1690211922</v>
      </c>
      <c r="CF165">
        <v>6</v>
      </c>
      <c r="CG165">
        <v>1.0999999999999999E-2</v>
      </c>
      <c r="CH165">
        <v>8.0000000000000002E-3</v>
      </c>
      <c r="CI165">
        <v>-0.51100000000000001</v>
      </c>
      <c r="CJ165">
        <v>-6.6000000000000003E-2</v>
      </c>
      <c r="CK165">
        <v>800</v>
      </c>
      <c r="CL165">
        <v>6</v>
      </c>
      <c r="CM165">
        <v>0.21</v>
      </c>
      <c r="CN165">
        <v>0.02</v>
      </c>
      <c r="CO165">
        <v>-436.60914634146337</v>
      </c>
      <c r="CP165">
        <v>-7.8506968641110388</v>
      </c>
      <c r="CQ165">
        <v>0.77634285112095891</v>
      </c>
      <c r="CR165">
        <v>-1</v>
      </c>
      <c r="CS165">
        <v>23.00965853658537</v>
      </c>
      <c r="CT165">
        <v>0.17759790940763559</v>
      </c>
      <c r="CU165">
        <v>1.7524713916592789E-2</v>
      </c>
      <c r="CV165">
        <v>-1</v>
      </c>
      <c r="CW165">
        <v>0</v>
      </c>
      <c r="CX165">
        <v>0</v>
      </c>
      <c r="CY165" t="s">
        <v>333</v>
      </c>
      <c r="CZ165">
        <v>2.3644699999999998</v>
      </c>
      <c r="DA165">
        <v>2.7137500000000001</v>
      </c>
      <c r="DB165">
        <v>8.2840999999999998E-2</v>
      </c>
      <c r="DC165">
        <v>0.14605699999999999</v>
      </c>
      <c r="DD165">
        <v>0.12991900000000001</v>
      </c>
      <c r="DE165">
        <v>3.9135000000000003E-2</v>
      </c>
      <c r="DF165">
        <v>33470.6</v>
      </c>
      <c r="DG165">
        <v>27495.7</v>
      </c>
      <c r="DH165">
        <v>31155</v>
      </c>
      <c r="DI165">
        <v>28057.1</v>
      </c>
      <c r="DJ165">
        <v>36785.699999999997</v>
      </c>
      <c r="DK165">
        <v>38332.6</v>
      </c>
      <c r="DL165">
        <v>44333.7</v>
      </c>
      <c r="DM165">
        <v>42518.5</v>
      </c>
      <c r="DN165">
        <v>1.3881300000000001</v>
      </c>
      <c r="DO165">
        <v>2.0340500000000001</v>
      </c>
      <c r="DP165">
        <v>8.1747799999999995E-2</v>
      </c>
      <c r="DQ165">
        <v>0.186589</v>
      </c>
      <c r="DR165">
        <v>25.649100000000001</v>
      </c>
      <c r="DS165">
        <v>25.5304</v>
      </c>
      <c r="DT165">
        <v>17.7</v>
      </c>
      <c r="DU165">
        <v>29.7</v>
      </c>
      <c r="DV165">
        <v>7.4812099999999999</v>
      </c>
      <c r="DW165">
        <v>61.3812</v>
      </c>
      <c r="DX165">
        <v>36.9071</v>
      </c>
      <c r="DY165">
        <v>1</v>
      </c>
      <c r="DZ165">
        <v>-8.4019300000000005E-2</v>
      </c>
      <c r="EA165">
        <v>-0.25368499999999999</v>
      </c>
      <c r="EB165">
        <v>20.189499999999999</v>
      </c>
      <c r="EC165">
        <v>5.2406499999999996</v>
      </c>
      <c r="ED165">
        <v>12.039899999999999</v>
      </c>
      <c r="EE165">
        <v>5.0167000000000002</v>
      </c>
      <c r="EF165">
        <v>3.2879999999999998</v>
      </c>
      <c r="EG165">
        <v>9999</v>
      </c>
      <c r="EH165">
        <v>9999</v>
      </c>
      <c r="EI165">
        <v>9999</v>
      </c>
      <c r="EJ165">
        <v>999.9</v>
      </c>
      <c r="EK165">
        <v>1.8689199999999999</v>
      </c>
      <c r="EL165">
        <v>1.8646799999999999</v>
      </c>
      <c r="EM165">
        <v>1.8692</v>
      </c>
      <c r="EN165">
        <v>1.8672899999999999</v>
      </c>
      <c r="EO165">
        <v>1.8633999999999999</v>
      </c>
      <c r="EP165">
        <v>1.8645799999999999</v>
      </c>
      <c r="EQ165">
        <v>1.87019</v>
      </c>
      <c r="ER165">
        <v>1.8694500000000001</v>
      </c>
      <c r="ES165">
        <v>0</v>
      </c>
      <c r="ET165">
        <v>0</v>
      </c>
      <c r="EU165">
        <v>0</v>
      </c>
      <c r="EV165">
        <v>0</v>
      </c>
      <c r="EW165" t="s">
        <v>334</v>
      </c>
      <c r="EX165" t="s">
        <v>335</v>
      </c>
      <c r="EY165" t="s">
        <v>336</v>
      </c>
      <c r="EZ165" t="s">
        <v>336</v>
      </c>
      <c r="FA165" t="s">
        <v>336</v>
      </c>
      <c r="FB165" t="s">
        <v>336</v>
      </c>
      <c r="FC165">
        <v>0</v>
      </c>
      <c r="FD165">
        <v>100</v>
      </c>
      <c r="FE165">
        <v>100</v>
      </c>
      <c r="FF165">
        <v>-0.20200000000000001</v>
      </c>
      <c r="FG165">
        <v>0.19159999999999999</v>
      </c>
      <c r="FH165">
        <v>4.0020685143421282E-2</v>
      </c>
      <c r="FI165">
        <v>-6.1462078757559423E-4</v>
      </c>
      <c r="FJ165">
        <v>-1.8861989874597051E-7</v>
      </c>
      <c r="FK165">
        <v>1.1980462299894961E-10</v>
      </c>
      <c r="FL165">
        <v>0.19160597004026461</v>
      </c>
      <c r="FM165">
        <v>0</v>
      </c>
      <c r="FN165">
        <v>0</v>
      </c>
      <c r="FO165">
        <v>0</v>
      </c>
      <c r="FP165">
        <v>3</v>
      </c>
      <c r="FQ165">
        <v>2158</v>
      </c>
      <c r="FR165">
        <v>1</v>
      </c>
      <c r="FS165">
        <v>19</v>
      </c>
      <c r="FT165">
        <v>33</v>
      </c>
      <c r="FU165">
        <v>32.9</v>
      </c>
      <c r="FV165">
        <v>1.77979</v>
      </c>
      <c r="FW165">
        <v>2.5793499999999998</v>
      </c>
      <c r="FX165">
        <v>1.5490699999999999</v>
      </c>
      <c r="FY165">
        <v>2.3290999999999999</v>
      </c>
      <c r="FZ165">
        <v>1.50146</v>
      </c>
      <c r="GA165">
        <v>2.4157700000000002</v>
      </c>
      <c r="GB165">
        <v>33.850900000000003</v>
      </c>
      <c r="GC165">
        <v>23.991199999999999</v>
      </c>
      <c r="GD165">
        <v>19</v>
      </c>
      <c r="GE165">
        <v>247.56399999999999</v>
      </c>
      <c r="GF165">
        <v>582.49400000000003</v>
      </c>
      <c r="GG165">
        <v>25.5245</v>
      </c>
      <c r="GH165">
        <v>26.3352</v>
      </c>
      <c r="GI165">
        <v>30</v>
      </c>
      <c r="GJ165">
        <v>26.476900000000001</v>
      </c>
      <c r="GK165">
        <v>26.449300000000001</v>
      </c>
      <c r="GL165">
        <v>35.582900000000002</v>
      </c>
      <c r="GM165">
        <v>-30</v>
      </c>
      <c r="GN165">
        <v>-30</v>
      </c>
      <c r="GO165">
        <v>25.5258</v>
      </c>
      <c r="GP165">
        <v>800</v>
      </c>
      <c r="GQ165">
        <v>12.5298</v>
      </c>
      <c r="GR165">
        <v>99.679000000000002</v>
      </c>
      <c r="GS165">
        <v>99.471500000000006</v>
      </c>
    </row>
    <row r="166" spans="1:201" x14ac:dyDescent="0.25">
      <c r="A166">
        <v>150</v>
      </c>
      <c r="B166">
        <v>1690213905.5999999</v>
      </c>
      <c r="C166">
        <v>1638.099999904633</v>
      </c>
      <c r="D166" t="s">
        <v>631</v>
      </c>
      <c r="E166" t="s">
        <v>632</v>
      </c>
      <c r="F166" t="s">
        <v>330</v>
      </c>
      <c r="H166">
        <v>1690213905.5999999</v>
      </c>
      <c r="I166">
        <f t="shared" si="60"/>
        <v>2.0672184031890152E-3</v>
      </c>
      <c r="J166">
        <f t="shared" si="61"/>
        <v>2.0672184031890151</v>
      </c>
      <c r="K166">
        <f t="shared" si="62"/>
        <v>37.488625746462183</v>
      </c>
      <c r="L166">
        <f t="shared" si="63"/>
        <v>360.64299999999997</v>
      </c>
      <c r="M166">
        <f t="shared" si="64"/>
        <v>47.333185234303187</v>
      </c>
      <c r="N166">
        <f t="shared" si="65"/>
        <v>4.6949175362483953</v>
      </c>
      <c r="O166">
        <f t="shared" si="66"/>
        <v>35.771713579886999</v>
      </c>
      <c r="P166">
        <f t="shared" si="67"/>
        <v>0.20285567214278163</v>
      </c>
      <c r="Q166">
        <f t="shared" si="68"/>
        <v>2.0107601847938046</v>
      </c>
      <c r="R166">
        <f t="shared" si="69"/>
        <v>0.19213333711979255</v>
      </c>
      <c r="S166">
        <f t="shared" si="70"/>
        <v>0.12099944495483597</v>
      </c>
      <c r="T166">
        <f t="shared" si="71"/>
        <v>276.11603123400005</v>
      </c>
      <c r="U166">
        <f t="shared" si="72"/>
        <v>28.504218799725603</v>
      </c>
      <c r="V166">
        <f t="shared" si="73"/>
        <v>28.504218799725603</v>
      </c>
      <c r="W166">
        <f t="shared" si="74"/>
        <v>3.9078267030307221</v>
      </c>
      <c r="X166">
        <f t="shared" si="75"/>
        <v>80.558557038731806</v>
      </c>
      <c r="Y166">
        <f t="shared" si="76"/>
        <v>2.8771272064793996</v>
      </c>
      <c r="Z166">
        <f t="shared" si="77"/>
        <v>3.5714731150113619</v>
      </c>
      <c r="AA166">
        <f t="shared" si="78"/>
        <v>1.0306994965513225</v>
      </c>
      <c r="AB166">
        <f t="shared" si="79"/>
        <v>-91.164331580635576</v>
      </c>
      <c r="AC166">
        <f t="shared" si="80"/>
        <v>-167.03107999706779</v>
      </c>
      <c r="AD166">
        <f t="shared" si="81"/>
        <v>-18.059172093391222</v>
      </c>
      <c r="AE166">
        <f t="shared" si="82"/>
        <v>-0.13855243709454612</v>
      </c>
      <c r="AF166">
        <v>33</v>
      </c>
      <c r="AG166">
        <v>11</v>
      </c>
      <c r="AH166">
        <f t="shared" si="83"/>
        <v>1</v>
      </c>
      <c r="AI166">
        <f t="shared" si="84"/>
        <v>0</v>
      </c>
      <c r="AJ166">
        <f t="shared" si="85"/>
        <v>52345.090256065152</v>
      </c>
      <c r="AK166">
        <f t="shared" si="86"/>
        <v>1800</v>
      </c>
      <c r="AL166">
        <f t="shared" si="87"/>
        <v>1499.1125453999998</v>
      </c>
      <c r="AM166">
        <f t="shared" si="88"/>
        <v>0.83284030299999989</v>
      </c>
      <c r="AN166">
        <f t="shared" si="89"/>
        <v>0.15339779513000001</v>
      </c>
      <c r="AO166">
        <v>34.5</v>
      </c>
      <c r="AP166">
        <v>0.5</v>
      </c>
      <c r="AQ166" t="s">
        <v>331</v>
      </c>
      <c r="AR166">
        <v>2</v>
      </c>
      <c r="AS166">
        <v>1690213905.5999999</v>
      </c>
      <c r="AT166">
        <v>360.64299999999997</v>
      </c>
      <c r="AU166">
        <v>799.99599999999998</v>
      </c>
      <c r="AV166">
        <v>29.006599999999999</v>
      </c>
      <c r="AW166">
        <v>5.9409999999999998</v>
      </c>
      <c r="AX166">
        <v>360.84399999999999</v>
      </c>
      <c r="AY166">
        <v>28.815000000000001</v>
      </c>
      <c r="AZ166">
        <v>300.23200000000003</v>
      </c>
      <c r="BA166">
        <v>99.0886</v>
      </c>
      <c r="BB166">
        <v>0.100109</v>
      </c>
      <c r="BC166">
        <v>26.9634</v>
      </c>
      <c r="BD166">
        <v>27.0032</v>
      </c>
      <c r="BE166">
        <v>28.604600000000001</v>
      </c>
      <c r="BF166">
        <v>0</v>
      </c>
      <c r="BG166">
        <v>0</v>
      </c>
      <c r="BH166">
        <v>9988.75</v>
      </c>
      <c r="BI166">
        <v>1077.21</v>
      </c>
      <c r="BJ166">
        <v>2.0744500000000001</v>
      </c>
      <c r="BK166">
        <v>-439.35300000000001</v>
      </c>
      <c r="BL166">
        <v>371.41699999999997</v>
      </c>
      <c r="BM166">
        <v>804.77700000000004</v>
      </c>
      <c r="BN166">
        <v>23.0656</v>
      </c>
      <c r="BO166">
        <v>799.99599999999998</v>
      </c>
      <c r="BP166">
        <v>5.9409999999999998</v>
      </c>
      <c r="BQ166">
        <v>2.8742299999999998</v>
      </c>
      <c r="BR166">
        <v>0.58868600000000004</v>
      </c>
      <c r="BS166">
        <v>23.316700000000001</v>
      </c>
      <c r="BT166">
        <v>-0.57047400000000004</v>
      </c>
      <c r="BU166">
        <v>1800</v>
      </c>
      <c r="BV166">
        <v>0.90999399999999997</v>
      </c>
      <c r="BW166">
        <v>3.3996100000000001E-2</v>
      </c>
      <c r="BX166">
        <v>2.2005400000000001E-2</v>
      </c>
      <c r="BY166">
        <v>3.40045E-2</v>
      </c>
      <c r="BZ166">
        <v>26</v>
      </c>
      <c r="CA166">
        <v>33528.300000000003</v>
      </c>
      <c r="CB166">
        <v>1690211922</v>
      </c>
      <c r="CC166" t="s">
        <v>332</v>
      </c>
      <c r="CD166">
        <v>1690211915</v>
      </c>
      <c r="CE166">
        <v>1690211922</v>
      </c>
      <c r="CF166">
        <v>6</v>
      </c>
      <c r="CG166">
        <v>1.0999999999999999E-2</v>
      </c>
      <c r="CH166">
        <v>8.0000000000000002E-3</v>
      </c>
      <c r="CI166">
        <v>-0.51100000000000001</v>
      </c>
      <c r="CJ166">
        <v>-6.6000000000000003E-2</v>
      </c>
      <c r="CK166">
        <v>800</v>
      </c>
      <c r="CL166">
        <v>6</v>
      </c>
      <c r="CM166">
        <v>0.21</v>
      </c>
      <c r="CN166">
        <v>0.02</v>
      </c>
      <c r="CO166">
        <v>-438.04799999999989</v>
      </c>
      <c r="CP166">
        <v>-7.9977185741080898</v>
      </c>
      <c r="CQ166">
        <v>0.77098855374122943</v>
      </c>
      <c r="CR166">
        <v>-1</v>
      </c>
      <c r="CS166">
        <v>23.0411</v>
      </c>
      <c r="CT166">
        <v>0.16771857410877641</v>
      </c>
      <c r="CU166">
        <v>1.6181239136728628E-2</v>
      </c>
      <c r="CV166">
        <v>-1</v>
      </c>
      <c r="CW166">
        <v>0</v>
      </c>
      <c r="CX166">
        <v>0</v>
      </c>
      <c r="CY166" t="s">
        <v>333</v>
      </c>
      <c r="CZ166">
        <v>2.3646099999999999</v>
      </c>
      <c r="DA166">
        <v>2.7138900000000001</v>
      </c>
      <c r="DB166">
        <v>8.2623600000000005E-2</v>
      </c>
      <c r="DC166">
        <v>0.146065</v>
      </c>
      <c r="DD166">
        <v>0.12998699999999999</v>
      </c>
      <c r="DE166">
        <v>3.9126800000000003E-2</v>
      </c>
      <c r="DF166">
        <v>33477.599999999999</v>
      </c>
      <c r="DG166">
        <v>27495.9</v>
      </c>
      <c r="DH166">
        <v>31154.2</v>
      </c>
      <c r="DI166">
        <v>28057.599999999999</v>
      </c>
      <c r="DJ166">
        <v>36782</v>
      </c>
      <c r="DK166">
        <v>38333.4</v>
      </c>
      <c r="DL166">
        <v>44332.7</v>
      </c>
      <c r="DM166">
        <v>42519.1</v>
      </c>
      <c r="DN166">
        <v>1.3879999999999999</v>
      </c>
      <c r="DO166">
        <v>2.0336500000000002</v>
      </c>
      <c r="DP166">
        <v>8.2712599999999997E-2</v>
      </c>
      <c r="DQ166">
        <v>0.188001</v>
      </c>
      <c r="DR166">
        <v>25.649100000000001</v>
      </c>
      <c r="DS166">
        <v>25.5304</v>
      </c>
      <c r="DT166">
        <v>17.7</v>
      </c>
      <c r="DU166">
        <v>29.7</v>
      </c>
      <c r="DV166">
        <v>7.4794099999999997</v>
      </c>
      <c r="DW166">
        <v>61.761200000000002</v>
      </c>
      <c r="DX166">
        <v>37.131399999999999</v>
      </c>
      <c r="DY166">
        <v>1</v>
      </c>
      <c r="DZ166">
        <v>-8.4024399999999999E-2</v>
      </c>
      <c r="EA166">
        <v>-0.30434899999999998</v>
      </c>
      <c r="EB166">
        <v>20.189299999999999</v>
      </c>
      <c r="EC166">
        <v>5.2408000000000001</v>
      </c>
      <c r="ED166">
        <v>12.039899999999999</v>
      </c>
      <c r="EE166">
        <v>5.0170000000000003</v>
      </c>
      <c r="EF166">
        <v>3.2879999999999998</v>
      </c>
      <c r="EG166">
        <v>9999</v>
      </c>
      <c r="EH166">
        <v>9999</v>
      </c>
      <c r="EI166">
        <v>9999</v>
      </c>
      <c r="EJ166">
        <v>999.9</v>
      </c>
      <c r="EK166">
        <v>1.8689199999999999</v>
      </c>
      <c r="EL166">
        <v>1.86467</v>
      </c>
      <c r="EM166">
        <v>1.8692</v>
      </c>
      <c r="EN166">
        <v>1.8672500000000001</v>
      </c>
      <c r="EO166">
        <v>1.8633999999999999</v>
      </c>
      <c r="EP166">
        <v>1.86456</v>
      </c>
      <c r="EQ166">
        <v>1.87018</v>
      </c>
      <c r="ER166">
        <v>1.8694500000000001</v>
      </c>
      <c r="ES166">
        <v>0</v>
      </c>
      <c r="ET166">
        <v>0</v>
      </c>
      <c r="EU166">
        <v>0</v>
      </c>
      <c r="EV166">
        <v>0</v>
      </c>
      <c r="EW166" t="s">
        <v>334</v>
      </c>
      <c r="EX166" t="s">
        <v>335</v>
      </c>
      <c r="EY166" t="s">
        <v>336</v>
      </c>
      <c r="EZ166" t="s">
        <v>336</v>
      </c>
      <c r="FA166" t="s">
        <v>336</v>
      </c>
      <c r="FB166" t="s">
        <v>336</v>
      </c>
      <c r="FC166">
        <v>0</v>
      </c>
      <c r="FD166">
        <v>100</v>
      </c>
      <c r="FE166">
        <v>100</v>
      </c>
      <c r="FF166">
        <v>-0.20100000000000001</v>
      </c>
      <c r="FG166">
        <v>0.19159999999999999</v>
      </c>
      <c r="FH166">
        <v>4.0020685143421282E-2</v>
      </c>
      <c r="FI166">
        <v>-6.1462078757559423E-4</v>
      </c>
      <c r="FJ166">
        <v>-1.8861989874597051E-7</v>
      </c>
      <c r="FK166">
        <v>1.1980462299894961E-10</v>
      </c>
      <c r="FL166">
        <v>0.19160597004026461</v>
      </c>
      <c r="FM166">
        <v>0</v>
      </c>
      <c r="FN166">
        <v>0</v>
      </c>
      <c r="FO166">
        <v>0</v>
      </c>
      <c r="FP166">
        <v>3</v>
      </c>
      <c r="FQ166">
        <v>2158</v>
      </c>
      <c r="FR166">
        <v>1</v>
      </c>
      <c r="FS166">
        <v>19</v>
      </c>
      <c r="FT166">
        <v>33.200000000000003</v>
      </c>
      <c r="FU166">
        <v>33.1</v>
      </c>
      <c r="FV166">
        <v>1.77979</v>
      </c>
      <c r="FW166">
        <v>2.5769000000000002</v>
      </c>
      <c r="FX166">
        <v>1.5490699999999999</v>
      </c>
      <c r="FY166">
        <v>2.3290999999999999</v>
      </c>
      <c r="FZ166">
        <v>1.50146</v>
      </c>
      <c r="GA166">
        <v>2.4072300000000002</v>
      </c>
      <c r="GB166">
        <v>33.850900000000003</v>
      </c>
      <c r="GC166">
        <v>23.991199999999999</v>
      </c>
      <c r="GD166">
        <v>19</v>
      </c>
      <c r="GE166">
        <v>247.51300000000001</v>
      </c>
      <c r="GF166">
        <v>582.16399999999999</v>
      </c>
      <c r="GG166">
        <v>25.535</v>
      </c>
      <c r="GH166">
        <v>26.333100000000002</v>
      </c>
      <c r="GI166">
        <v>30</v>
      </c>
      <c r="GJ166">
        <v>26.476199999999999</v>
      </c>
      <c r="GK166">
        <v>26.449300000000001</v>
      </c>
      <c r="GL166">
        <v>35.579799999999999</v>
      </c>
      <c r="GM166">
        <v>-30</v>
      </c>
      <c r="GN166">
        <v>-30</v>
      </c>
      <c r="GO166">
        <v>25.542000000000002</v>
      </c>
      <c r="GP166">
        <v>800</v>
      </c>
      <c r="GQ166">
        <v>12.5298</v>
      </c>
      <c r="GR166">
        <v>99.676599999999993</v>
      </c>
      <c r="GS166">
        <v>99.472899999999996</v>
      </c>
    </row>
    <row r="167" spans="1:201" x14ac:dyDescent="0.25">
      <c r="A167">
        <v>151</v>
      </c>
      <c r="B167">
        <v>1690213915.5999999</v>
      </c>
      <c r="C167">
        <v>1648.099999904633</v>
      </c>
      <c r="D167" t="s">
        <v>633</v>
      </c>
      <c r="E167" t="s">
        <v>634</v>
      </c>
      <c r="F167" t="s">
        <v>330</v>
      </c>
      <c r="H167">
        <v>1690213915.5999999</v>
      </c>
      <c r="I167">
        <f t="shared" si="60"/>
        <v>2.069007164043307E-3</v>
      </c>
      <c r="J167">
        <f t="shared" si="61"/>
        <v>2.069007164043307</v>
      </c>
      <c r="K167">
        <f t="shared" si="62"/>
        <v>37.589488962174329</v>
      </c>
      <c r="L167">
        <f t="shared" si="63"/>
        <v>359.44799999999998</v>
      </c>
      <c r="M167">
        <f t="shared" si="64"/>
        <v>46.122696237855962</v>
      </c>
      <c r="N167">
        <f t="shared" si="65"/>
        <v>4.5747673517199878</v>
      </c>
      <c r="O167">
        <f t="shared" si="66"/>
        <v>35.652533550096003</v>
      </c>
      <c r="P167">
        <f t="shared" si="67"/>
        <v>0.20340039341477018</v>
      </c>
      <c r="Q167">
        <f t="shared" si="68"/>
        <v>2.0104142306652535</v>
      </c>
      <c r="R167">
        <f t="shared" si="69"/>
        <v>0.19262029015520826</v>
      </c>
      <c r="S167">
        <f t="shared" si="70"/>
        <v>0.12130859794537815</v>
      </c>
      <c r="T167">
        <f t="shared" si="71"/>
        <v>276.11585388000003</v>
      </c>
      <c r="U167">
        <f t="shared" si="72"/>
        <v>28.505896355730737</v>
      </c>
      <c r="V167">
        <f t="shared" si="73"/>
        <v>28.505896355730737</v>
      </c>
      <c r="W167">
        <f t="shared" si="74"/>
        <v>3.9082074592372429</v>
      </c>
      <c r="X167">
        <f t="shared" si="75"/>
        <v>80.608242481414763</v>
      </c>
      <c r="Y167">
        <f t="shared" si="76"/>
        <v>2.8792569033972004</v>
      </c>
      <c r="Z167">
        <f t="shared" si="77"/>
        <v>3.571913758150786</v>
      </c>
      <c r="AA167">
        <f t="shared" si="78"/>
        <v>1.0289505558400425</v>
      </c>
      <c r="AB167">
        <f t="shared" si="79"/>
        <v>-91.243215934309845</v>
      </c>
      <c r="AC167">
        <f t="shared" si="80"/>
        <v>-166.95655528061306</v>
      </c>
      <c r="AD167">
        <f t="shared" si="81"/>
        <v>-18.054560944850056</v>
      </c>
      <c r="AE167">
        <f t="shared" si="82"/>
        <v>-0.13847827977289739</v>
      </c>
      <c r="AF167">
        <v>33</v>
      </c>
      <c r="AG167">
        <v>11</v>
      </c>
      <c r="AH167">
        <f t="shared" si="83"/>
        <v>1</v>
      </c>
      <c r="AI167">
        <f t="shared" si="84"/>
        <v>0</v>
      </c>
      <c r="AJ167">
        <f t="shared" si="85"/>
        <v>52328.088915577799</v>
      </c>
      <c r="AK167">
        <f t="shared" si="86"/>
        <v>1800</v>
      </c>
      <c r="AL167">
        <f t="shared" si="87"/>
        <v>1499.112126</v>
      </c>
      <c r="AM167">
        <f t="shared" si="88"/>
        <v>0.83284007000000004</v>
      </c>
      <c r="AN167">
        <f t="shared" si="89"/>
        <v>0.15339769660000002</v>
      </c>
      <c r="AO167">
        <v>34.5</v>
      </c>
      <c r="AP167">
        <v>0.5</v>
      </c>
      <c r="AQ167" t="s">
        <v>331</v>
      </c>
      <c r="AR167">
        <v>2</v>
      </c>
      <c r="AS167">
        <v>1690213915.5999999</v>
      </c>
      <c r="AT167">
        <v>359.44799999999998</v>
      </c>
      <c r="AU167">
        <v>800.00800000000004</v>
      </c>
      <c r="AV167">
        <v>29.028600000000001</v>
      </c>
      <c r="AW167">
        <v>5.9399499999999996</v>
      </c>
      <c r="AX167">
        <v>359.64800000000002</v>
      </c>
      <c r="AY167">
        <v>28.837</v>
      </c>
      <c r="AZ167">
        <v>300.185</v>
      </c>
      <c r="BA167">
        <v>99.0869</v>
      </c>
      <c r="BB167">
        <v>0.10000199999999999</v>
      </c>
      <c r="BC167">
        <v>26.965499999999999</v>
      </c>
      <c r="BD167">
        <v>26.9956</v>
      </c>
      <c r="BE167">
        <v>28.608799999999999</v>
      </c>
      <c r="BF167">
        <v>0</v>
      </c>
      <c r="BG167">
        <v>0</v>
      </c>
      <c r="BH167">
        <v>9985.6200000000008</v>
      </c>
      <c r="BI167">
        <v>1077.18</v>
      </c>
      <c r="BJ167">
        <v>2.0744500000000001</v>
      </c>
      <c r="BK167">
        <v>-440.55900000000003</v>
      </c>
      <c r="BL167">
        <v>370.19499999999999</v>
      </c>
      <c r="BM167">
        <v>804.78800000000001</v>
      </c>
      <c r="BN167">
        <v>23.088699999999999</v>
      </c>
      <c r="BO167">
        <v>800.00800000000004</v>
      </c>
      <c r="BP167">
        <v>5.9399499999999996</v>
      </c>
      <c r="BQ167">
        <v>2.87635</v>
      </c>
      <c r="BR167">
        <v>0.58857099999999996</v>
      </c>
      <c r="BS167">
        <v>23.328900000000001</v>
      </c>
      <c r="BT167">
        <v>-0.57314799999999999</v>
      </c>
      <c r="BU167">
        <v>1800</v>
      </c>
      <c r="BV167">
        <v>0.909995</v>
      </c>
      <c r="BW167">
        <v>3.3995600000000001E-2</v>
      </c>
      <c r="BX167">
        <v>2.2005E-2</v>
      </c>
      <c r="BY167">
        <v>3.4004E-2</v>
      </c>
      <c r="BZ167">
        <v>26</v>
      </c>
      <c r="CA167">
        <v>33528.400000000001</v>
      </c>
      <c r="CB167">
        <v>1690211922</v>
      </c>
      <c r="CC167" t="s">
        <v>332</v>
      </c>
      <c r="CD167">
        <v>1690211915</v>
      </c>
      <c r="CE167">
        <v>1690211922</v>
      </c>
      <c r="CF167">
        <v>6</v>
      </c>
      <c r="CG167">
        <v>1.0999999999999999E-2</v>
      </c>
      <c r="CH167">
        <v>8.0000000000000002E-3</v>
      </c>
      <c r="CI167">
        <v>-0.51100000000000001</v>
      </c>
      <c r="CJ167">
        <v>-6.6000000000000003E-2</v>
      </c>
      <c r="CK167">
        <v>800</v>
      </c>
      <c r="CL167">
        <v>6</v>
      </c>
      <c r="CM167">
        <v>0.21</v>
      </c>
      <c r="CN167">
        <v>0.02</v>
      </c>
      <c r="CO167">
        <v>-439.24173170731711</v>
      </c>
      <c r="CP167">
        <v>-7.4741184668979201</v>
      </c>
      <c r="CQ167">
        <v>0.73809164030115315</v>
      </c>
      <c r="CR167">
        <v>-1</v>
      </c>
      <c r="CS167">
        <v>23.064270731707321</v>
      </c>
      <c r="CT167">
        <v>0.13446480836241659</v>
      </c>
      <c r="CU167">
        <v>1.33047074724709E-2</v>
      </c>
      <c r="CV167">
        <v>-1</v>
      </c>
      <c r="CW167">
        <v>0</v>
      </c>
      <c r="CX167">
        <v>0</v>
      </c>
      <c r="CY167" t="s">
        <v>333</v>
      </c>
      <c r="CZ167">
        <v>2.3644599999999998</v>
      </c>
      <c r="DA167">
        <v>2.7137799999999999</v>
      </c>
      <c r="DB167">
        <v>8.2408400000000007E-2</v>
      </c>
      <c r="DC167">
        <v>0.146065</v>
      </c>
      <c r="DD167">
        <v>0.130053</v>
      </c>
      <c r="DE167">
        <v>3.9120700000000001E-2</v>
      </c>
      <c r="DF167">
        <v>33485.5</v>
      </c>
      <c r="DG167">
        <v>27495.8</v>
      </c>
      <c r="DH167">
        <v>31154.2</v>
      </c>
      <c r="DI167">
        <v>28057.5</v>
      </c>
      <c r="DJ167">
        <v>36779.1</v>
      </c>
      <c r="DK167">
        <v>38333.4</v>
      </c>
      <c r="DL167">
        <v>44332.7</v>
      </c>
      <c r="DM167">
        <v>42518.8</v>
      </c>
      <c r="DN167">
        <v>1.3876999999999999</v>
      </c>
      <c r="DO167">
        <v>2.0338500000000002</v>
      </c>
      <c r="DP167">
        <v>8.21128E-2</v>
      </c>
      <c r="DQ167">
        <v>0.18822</v>
      </c>
      <c r="DR167">
        <v>25.651199999999999</v>
      </c>
      <c r="DS167">
        <v>25.530999999999999</v>
      </c>
      <c r="DT167">
        <v>17.7</v>
      </c>
      <c r="DU167">
        <v>29.7</v>
      </c>
      <c r="DV167">
        <v>7.4804899999999996</v>
      </c>
      <c r="DW167">
        <v>61.691200000000002</v>
      </c>
      <c r="DX167">
        <v>37.291699999999999</v>
      </c>
      <c r="DY167">
        <v>1</v>
      </c>
      <c r="DZ167">
        <v>-8.4004099999999998E-2</v>
      </c>
      <c r="EA167">
        <v>-0.26183600000000001</v>
      </c>
      <c r="EB167">
        <v>20.189399999999999</v>
      </c>
      <c r="EC167">
        <v>5.2403500000000003</v>
      </c>
      <c r="ED167">
        <v>12.039899999999999</v>
      </c>
      <c r="EE167">
        <v>5.0167999999999999</v>
      </c>
      <c r="EF167">
        <v>3.2879999999999998</v>
      </c>
      <c r="EG167">
        <v>9999</v>
      </c>
      <c r="EH167">
        <v>9999</v>
      </c>
      <c r="EI167">
        <v>9999</v>
      </c>
      <c r="EJ167">
        <v>999.9</v>
      </c>
      <c r="EK167">
        <v>1.8689199999999999</v>
      </c>
      <c r="EL167">
        <v>1.8646799999999999</v>
      </c>
      <c r="EM167">
        <v>1.8692</v>
      </c>
      <c r="EN167">
        <v>1.8672599999999999</v>
      </c>
      <c r="EO167">
        <v>1.8633999999999999</v>
      </c>
      <c r="EP167">
        <v>1.86456</v>
      </c>
      <c r="EQ167">
        <v>1.8701399999999999</v>
      </c>
      <c r="ER167">
        <v>1.86944</v>
      </c>
      <c r="ES167">
        <v>0</v>
      </c>
      <c r="ET167">
        <v>0</v>
      </c>
      <c r="EU167">
        <v>0</v>
      </c>
      <c r="EV167">
        <v>0</v>
      </c>
      <c r="EW167" t="s">
        <v>334</v>
      </c>
      <c r="EX167" t="s">
        <v>335</v>
      </c>
      <c r="EY167" t="s">
        <v>336</v>
      </c>
      <c r="EZ167" t="s">
        <v>336</v>
      </c>
      <c r="FA167" t="s">
        <v>336</v>
      </c>
      <c r="FB167" t="s">
        <v>336</v>
      </c>
      <c r="FC167">
        <v>0</v>
      </c>
      <c r="FD167">
        <v>100</v>
      </c>
      <c r="FE167">
        <v>100</v>
      </c>
      <c r="FF167">
        <v>-0.2</v>
      </c>
      <c r="FG167">
        <v>0.19159999999999999</v>
      </c>
      <c r="FH167">
        <v>4.0020685143421282E-2</v>
      </c>
      <c r="FI167">
        <v>-6.1462078757559423E-4</v>
      </c>
      <c r="FJ167">
        <v>-1.8861989874597051E-7</v>
      </c>
      <c r="FK167">
        <v>1.1980462299894961E-10</v>
      </c>
      <c r="FL167">
        <v>0.19160597004026461</v>
      </c>
      <c r="FM167">
        <v>0</v>
      </c>
      <c r="FN167">
        <v>0</v>
      </c>
      <c r="FO167">
        <v>0</v>
      </c>
      <c r="FP167">
        <v>3</v>
      </c>
      <c r="FQ167">
        <v>2158</v>
      </c>
      <c r="FR167">
        <v>1</v>
      </c>
      <c r="FS167">
        <v>19</v>
      </c>
      <c r="FT167">
        <v>33.299999999999997</v>
      </c>
      <c r="FU167">
        <v>33.200000000000003</v>
      </c>
      <c r="FV167">
        <v>1.77979</v>
      </c>
      <c r="FW167">
        <v>2.5781200000000002</v>
      </c>
      <c r="FX167">
        <v>1.5490699999999999</v>
      </c>
      <c r="FY167">
        <v>2.3290999999999999</v>
      </c>
      <c r="FZ167">
        <v>1.50146</v>
      </c>
      <c r="GA167">
        <v>2.4035600000000001</v>
      </c>
      <c r="GB167">
        <v>33.850900000000003</v>
      </c>
      <c r="GC167">
        <v>23.991199999999999</v>
      </c>
      <c r="GD167">
        <v>19</v>
      </c>
      <c r="GE167">
        <v>247.39099999999999</v>
      </c>
      <c r="GF167">
        <v>582.30499999999995</v>
      </c>
      <c r="GG167">
        <v>25.535299999999999</v>
      </c>
      <c r="GH167">
        <v>26.333100000000002</v>
      </c>
      <c r="GI167">
        <v>30</v>
      </c>
      <c r="GJ167">
        <v>26.474699999999999</v>
      </c>
      <c r="GK167">
        <v>26.447099999999999</v>
      </c>
      <c r="GL167">
        <v>35.579700000000003</v>
      </c>
      <c r="GM167">
        <v>-30</v>
      </c>
      <c r="GN167">
        <v>-30</v>
      </c>
      <c r="GO167">
        <v>25.535399999999999</v>
      </c>
      <c r="GP167">
        <v>800</v>
      </c>
      <c r="GQ167">
        <v>12.5298</v>
      </c>
      <c r="GR167">
        <v>99.676699999999997</v>
      </c>
      <c r="GS167">
        <v>99.472399999999993</v>
      </c>
    </row>
    <row r="168" spans="1:201" x14ac:dyDescent="0.25">
      <c r="A168">
        <v>152</v>
      </c>
      <c r="B168">
        <v>1690213925.5999999</v>
      </c>
      <c r="C168">
        <v>1658.099999904633</v>
      </c>
      <c r="D168" t="s">
        <v>635</v>
      </c>
      <c r="E168" t="s">
        <v>636</v>
      </c>
      <c r="F168" t="s">
        <v>330</v>
      </c>
      <c r="H168">
        <v>1690213925.5999999</v>
      </c>
      <c r="I168">
        <f t="shared" si="60"/>
        <v>2.071440321820453E-3</v>
      </c>
      <c r="J168">
        <f t="shared" si="61"/>
        <v>2.0714403218204529</v>
      </c>
      <c r="K168">
        <f t="shared" si="62"/>
        <v>37.715263407859815</v>
      </c>
      <c r="L168">
        <f t="shared" si="63"/>
        <v>358.16500000000002</v>
      </c>
      <c r="M168">
        <f t="shared" si="64"/>
        <v>44.649112574167042</v>
      </c>
      <c r="N168">
        <f t="shared" si="65"/>
        <v>4.4285709874996888</v>
      </c>
      <c r="O168">
        <f t="shared" si="66"/>
        <v>35.52498664118</v>
      </c>
      <c r="P168">
        <f t="shared" si="67"/>
        <v>0.20395012724953007</v>
      </c>
      <c r="Q168">
        <f t="shared" si="68"/>
        <v>2.0129567776449475</v>
      </c>
      <c r="R168">
        <f t="shared" si="69"/>
        <v>0.19312624882104634</v>
      </c>
      <c r="S168">
        <f t="shared" si="70"/>
        <v>0.12162849678350947</v>
      </c>
      <c r="T168">
        <f t="shared" si="71"/>
        <v>276.1144366863852</v>
      </c>
      <c r="U168">
        <f t="shared" si="72"/>
        <v>28.508526305759574</v>
      </c>
      <c r="V168">
        <f t="shared" si="73"/>
        <v>28.508526305759574</v>
      </c>
      <c r="W168">
        <f t="shared" si="74"/>
        <v>3.9088044461929661</v>
      </c>
      <c r="X168">
        <f t="shared" si="75"/>
        <v>80.642173774708951</v>
      </c>
      <c r="Y168">
        <f t="shared" si="76"/>
        <v>2.8813658912091999</v>
      </c>
      <c r="Z168">
        <f t="shared" si="77"/>
        <v>3.5730260685418873</v>
      </c>
      <c r="AA168">
        <f t="shared" si="78"/>
        <v>1.0274385549837661</v>
      </c>
      <c r="AB168">
        <f t="shared" si="79"/>
        <v>-91.350518192281982</v>
      </c>
      <c r="AC168">
        <f t="shared" si="80"/>
        <v>-166.87794268458759</v>
      </c>
      <c r="AD168">
        <f t="shared" si="81"/>
        <v>-18.023978491989702</v>
      </c>
      <c r="AE168">
        <f t="shared" si="82"/>
        <v>-0.13800268247405256</v>
      </c>
      <c r="AF168">
        <v>33</v>
      </c>
      <c r="AG168">
        <v>11</v>
      </c>
      <c r="AH168">
        <f t="shared" si="83"/>
        <v>1</v>
      </c>
      <c r="AI168">
        <f t="shared" si="84"/>
        <v>0</v>
      </c>
      <c r="AJ168">
        <f t="shared" si="85"/>
        <v>52449.224178190954</v>
      </c>
      <c r="AK168">
        <f t="shared" si="86"/>
        <v>1799.99</v>
      </c>
      <c r="AL168">
        <f t="shared" si="87"/>
        <v>1499.1046309946698</v>
      </c>
      <c r="AM168">
        <f t="shared" si="88"/>
        <v>0.83284053299999994</v>
      </c>
      <c r="AN168">
        <f t="shared" si="89"/>
        <v>0.15339776148000001</v>
      </c>
      <c r="AO168">
        <v>34.5</v>
      </c>
      <c r="AP168">
        <v>0.5</v>
      </c>
      <c r="AQ168" t="s">
        <v>331</v>
      </c>
      <c r="AR168">
        <v>2</v>
      </c>
      <c r="AS168">
        <v>1690213925.5999999</v>
      </c>
      <c r="AT168">
        <v>358.16500000000002</v>
      </c>
      <c r="AU168">
        <v>800.072</v>
      </c>
      <c r="AV168">
        <v>29.0501</v>
      </c>
      <c r="AW168">
        <v>5.9388899999999998</v>
      </c>
      <c r="AX168">
        <v>358.36399999999998</v>
      </c>
      <c r="AY168">
        <v>28.858499999999999</v>
      </c>
      <c r="AZ168">
        <v>300.238</v>
      </c>
      <c r="BA168">
        <v>99.085999999999999</v>
      </c>
      <c r="BB168">
        <v>0.100092</v>
      </c>
      <c r="BC168">
        <v>26.970800000000001</v>
      </c>
      <c r="BD168">
        <v>27.007000000000001</v>
      </c>
      <c r="BE168">
        <v>28.591899999999999</v>
      </c>
      <c r="BF168">
        <v>0</v>
      </c>
      <c r="BG168">
        <v>0</v>
      </c>
      <c r="BH168">
        <v>10010</v>
      </c>
      <c r="BI168">
        <v>1077.26</v>
      </c>
      <c r="BJ168">
        <v>2.0744500000000001</v>
      </c>
      <c r="BK168">
        <v>-441.90699999999998</v>
      </c>
      <c r="BL168">
        <v>368.88099999999997</v>
      </c>
      <c r="BM168">
        <v>804.85199999999998</v>
      </c>
      <c r="BN168">
        <v>23.1112</v>
      </c>
      <c r="BO168">
        <v>800.072</v>
      </c>
      <c r="BP168">
        <v>5.9388899999999998</v>
      </c>
      <c r="BQ168">
        <v>2.87846</v>
      </c>
      <c r="BR168">
        <v>0.58846100000000001</v>
      </c>
      <c r="BS168">
        <v>23.341100000000001</v>
      </c>
      <c r="BT168">
        <v>-0.57570100000000002</v>
      </c>
      <c r="BU168">
        <v>1799.99</v>
      </c>
      <c r="BV168">
        <v>0.90999600000000003</v>
      </c>
      <c r="BW168">
        <v>3.3995400000000002E-2</v>
      </c>
      <c r="BX168">
        <v>2.2004900000000001E-2</v>
      </c>
      <c r="BY168">
        <v>3.4003800000000001E-2</v>
      </c>
      <c r="BZ168">
        <v>26</v>
      </c>
      <c r="CA168">
        <v>33528.199999999997</v>
      </c>
      <c r="CB168">
        <v>1690211922</v>
      </c>
      <c r="CC168" t="s">
        <v>332</v>
      </c>
      <c r="CD168">
        <v>1690211915</v>
      </c>
      <c r="CE168">
        <v>1690211922</v>
      </c>
      <c r="CF168">
        <v>6</v>
      </c>
      <c r="CG168">
        <v>1.0999999999999999E-2</v>
      </c>
      <c r="CH168">
        <v>8.0000000000000002E-3</v>
      </c>
      <c r="CI168">
        <v>-0.51100000000000001</v>
      </c>
      <c r="CJ168">
        <v>-6.6000000000000003E-2</v>
      </c>
      <c r="CK168">
        <v>800</v>
      </c>
      <c r="CL168">
        <v>6</v>
      </c>
      <c r="CM168">
        <v>0.21</v>
      </c>
      <c r="CN168">
        <v>0.02</v>
      </c>
      <c r="CO168">
        <v>-440.4732195121951</v>
      </c>
      <c r="CP168">
        <v>-7.5218885017423363</v>
      </c>
      <c r="CQ168">
        <v>0.74344476764995937</v>
      </c>
      <c r="CR168">
        <v>-1</v>
      </c>
      <c r="CS168">
        <v>23.08580487804878</v>
      </c>
      <c r="CT168">
        <v>0.12907944250869019</v>
      </c>
      <c r="CU168">
        <v>1.274171086302135E-2</v>
      </c>
      <c r="CV168">
        <v>-1</v>
      </c>
      <c r="CW168">
        <v>0</v>
      </c>
      <c r="CX168">
        <v>0</v>
      </c>
      <c r="CY168" t="s">
        <v>333</v>
      </c>
      <c r="CZ168">
        <v>2.36463</v>
      </c>
      <c r="DA168">
        <v>2.7138900000000001</v>
      </c>
      <c r="DB168">
        <v>8.2177600000000003E-2</v>
      </c>
      <c r="DC168">
        <v>0.14607200000000001</v>
      </c>
      <c r="DD168">
        <v>0.13011900000000001</v>
      </c>
      <c r="DE168">
        <v>3.9114799999999998E-2</v>
      </c>
      <c r="DF168">
        <v>33493.9</v>
      </c>
      <c r="DG168">
        <v>27495.5</v>
      </c>
      <c r="DH168">
        <v>31154.1</v>
      </c>
      <c r="DI168">
        <v>28057.4</v>
      </c>
      <c r="DJ168">
        <v>36776.400000000001</v>
      </c>
      <c r="DK168">
        <v>38333.699999999997</v>
      </c>
      <c r="DL168">
        <v>44332.9</v>
      </c>
      <c r="DM168">
        <v>42518.9</v>
      </c>
      <c r="DN168">
        <v>1.38855</v>
      </c>
      <c r="DO168">
        <v>2.0333999999999999</v>
      </c>
      <c r="DP168">
        <v>8.2675399999999996E-2</v>
      </c>
      <c r="DQ168">
        <v>0.18695400000000001</v>
      </c>
      <c r="DR168">
        <v>25.653400000000001</v>
      </c>
      <c r="DS168">
        <v>25.534700000000001</v>
      </c>
      <c r="DT168">
        <v>17.7</v>
      </c>
      <c r="DU168">
        <v>29.7</v>
      </c>
      <c r="DV168">
        <v>7.4809099999999997</v>
      </c>
      <c r="DW168">
        <v>61.621200000000002</v>
      </c>
      <c r="DX168">
        <v>37.207500000000003</v>
      </c>
      <c r="DY168">
        <v>1</v>
      </c>
      <c r="DZ168">
        <v>-8.3770300000000006E-2</v>
      </c>
      <c r="EA168">
        <v>-0.28464600000000001</v>
      </c>
      <c r="EB168">
        <v>20.189399999999999</v>
      </c>
      <c r="EC168">
        <v>5.2409499999999998</v>
      </c>
      <c r="ED168">
        <v>12.039899999999999</v>
      </c>
      <c r="EE168">
        <v>5.0170000000000003</v>
      </c>
      <c r="EF168">
        <v>3.2879999999999998</v>
      </c>
      <c r="EG168">
        <v>9999</v>
      </c>
      <c r="EH168">
        <v>9999</v>
      </c>
      <c r="EI168">
        <v>9999</v>
      </c>
      <c r="EJ168">
        <v>999.9</v>
      </c>
      <c r="EK168">
        <v>1.86893</v>
      </c>
      <c r="EL168">
        <v>1.8647199999999999</v>
      </c>
      <c r="EM168">
        <v>1.8692</v>
      </c>
      <c r="EN168">
        <v>1.8672599999999999</v>
      </c>
      <c r="EO168">
        <v>1.8633999999999999</v>
      </c>
      <c r="EP168">
        <v>1.8645799999999999</v>
      </c>
      <c r="EQ168">
        <v>1.87018</v>
      </c>
      <c r="ER168">
        <v>1.8694900000000001</v>
      </c>
      <c r="ES168">
        <v>0</v>
      </c>
      <c r="ET168">
        <v>0</v>
      </c>
      <c r="EU168">
        <v>0</v>
      </c>
      <c r="EV168">
        <v>0</v>
      </c>
      <c r="EW168" t="s">
        <v>334</v>
      </c>
      <c r="EX168" t="s">
        <v>335</v>
      </c>
      <c r="EY168" t="s">
        <v>336</v>
      </c>
      <c r="EZ168" t="s">
        <v>336</v>
      </c>
      <c r="FA168" t="s">
        <v>336</v>
      </c>
      <c r="FB168" t="s">
        <v>336</v>
      </c>
      <c r="FC168">
        <v>0</v>
      </c>
      <c r="FD168">
        <v>100</v>
      </c>
      <c r="FE168">
        <v>100</v>
      </c>
      <c r="FF168">
        <v>-0.19900000000000001</v>
      </c>
      <c r="FG168">
        <v>0.19159999999999999</v>
      </c>
      <c r="FH168">
        <v>4.0020685143421282E-2</v>
      </c>
      <c r="FI168">
        <v>-6.1462078757559423E-4</v>
      </c>
      <c r="FJ168">
        <v>-1.8861989874597051E-7</v>
      </c>
      <c r="FK168">
        <v>1.1980462299894961E-10</v>
      </c>
      <c r="FL168">
        <v>0.19160597004026461</v>
      </c>
      <c r="FM168">
        <v>0</v>
      </c>
      <c r="FN168">
        <v>0</v>
      </c>
      <c r="FO168">
        <v>0</v>
      </c>
      <c r="FP168">
        <v>3</v>
      </c>
      <c r="FQ168">
        <v>2158</v>
      </c>
      <c r="FR168">
        <v>1</v>
      </c>
      <c r="FS168">
        <v>19</v>
      </c>
      <c r="FT168">
        <v>33.5</v>
      </c>
      <c r="FU168">
        <v>33.4</v>
      </c>
      <c r="FV168">
        <v>1.77979</v>
      </c>
      <c r="FW168">
        <v>2.5781200000000002</v>
      </c>
      <c r="FX168">
        <v>1.5490699999999999</v>
      </c>
      <c r="FY168">
        <v>2.3290999999999999</v>
      </c>
      <c r="FZ168">
        <v>1.50146</v>
      </c>
      <c r="GA168">
        <v>2.3730500000000001</v>
      </c>
      <c r="GB168">
        <v>33.850900000000003</v>
      </c>
      <c r="GC168">
        <v>23.991199999999999</v>
      </c>
      <c r="GD168">
        <v>19</v>
      </c>
      <c r="GE168">
        <v>247.71199999999999</v>
      </c>
      <c r="GF168">
        <v>581.92100000000005</v>
      </c>
      <c r="GG168">
        <v>25.540800000000001</v>
      </c>
      <c r="GH168">
        <v>26.3308</v>
      </c>
      <c r="GI168">
        <v>30.000299999999999</v>
      </c>
      <c r="GJ168">
        <v>26.4724</v>
      </c>
      <c r="GK168">
        <v>26.446000000000002</v>
      </c>
      <c r="GL168">
        <v>35.5792</v>
      </c>
      <c r="GM168">
        <v>-30</v>
      </c>
      <c r="GN168">
        <v>-30</v>
      </c>
      <c r="GO168">
        <v>25.543800000000001</v>
      </c>
      <c r="GP168">
        <v>800</v>
      </c>
      <c r="GQ168">
        <v>12.5298</v>
      </c>
      <c r="GR168">
        <v>99.6768</v>
      </c>
      <c r="GS168">
        <v>99.472399999999993</v>
      </c>
    </row>
    <row r="169" spans="1:201" x14ac:dyDescent="0.25">
      <c r="A169">
        <v>153</v>
      </c>
      <c r="B169">
        <v>1690213935.5999999</v>
      </c>
      <c r="C169">
        <v>1668.099999904633</v>
      </c>
      <c r="D169" t="s">
        <v>637</v>
      </c>
      <c r="E169" t="s">
        <v>638</v>
      </c>
      <c r="F169" t="s">
        <v>330</v>
      </c>
      <c r="H169">
        <v>1690213935.5999999</v>
      </c>
      <c r="I169">
        <f t="shared" si="60"/>
        <v>2.0739591288194636E-3</v>
      </c>
      <c r="J169">
        <f t="shared" si="61"/>
        <v>2.0739591288194634</v>
      </c>
      <c r="K169">
        <f t="shared" si="62"/>
        <v>37.796693389277237</v>
      </c>
      <c r="L169">
        <f t="shared" si="63"/>
        <v>357.17599999999999</v>
      </c>
      <c r="M169">
        <f t="shared" si="64"/>
        <v>44.487179623314049</v>
      </c>
      <c r="N169">
        <f t="shared" si="65"/>
        <v>4.4123438340277898</v>
      </c>
      <c r="O169">
        <f t="shared" si="66"/>
        <v>35.425561579920803</v>
      </c>
      <c r="P169">
        <f t="shared" si="67"/>
        <v>0.20496215451095406</v>
      </c>
      <c r="Q169">
        <f t="shared" si="68"/>
        <v>2.0144231316523258</v>
      </c>
      <c r="R169">
        <f t="shared" si="69"/>
        <v>0.19404118110097701</v>
      </c>
      <c r="S169">
        <f t="shared" si="70"/>
        <v>0.12220843026075653</v>
      </c>
      <c r="T169">
        <f t="shared" si="71"/>
        <v>276.11596954799995</v>
      </c>
      <c r="U169">
        <f t="shared" si="72"/>
        <v>28.50450724155295</v>
      </c>
      <c r="V169">
        <f t="shared" si="73"/>
        <v>28.50450724155295</v>
      </c>
      <c r="W169">
        <f t="shared" si="74"/>
        <v>3.9078921685958554</v>
      </c>
      <c r="X169">
        <f t="shared" si="75"/>
        <v>80.728772152327139</v>
      </c>
      <c r="Y169">
        <f t="shared" si="76"/>
        <v>2.8841042513220403</v>
      </c>
      <c r="Z169">
        <f t="shared" si="77"/>
        <v>3.5725853056206813</v>
      </c>
      <c r="AA169">
        <f t="shared" si="78"/>
        <v>1.0237879172738151</v>
      </c>
      <c r="AB169">
        <f t="shared" si="79"/>
        <v>-91.461597580938346</v>
      </c>
      <c r="AC169">
        <f t="shared" si="80"/>
        <v>-166.79109281402793</v>
      </c>
      <c r="AD169">
        <f t="shared" si="81"/>
        <v>-18.000935088304299</v>
      </c>
      <c r="AE169">
        <f t="shared" si="82"/>
        <v>-0.13765593527062947</v>
      </c>
      <c r="AF169">
        <v>33</v>
      </c>
      <c r="AG169">
        <v>11</v>
      </c>
      <c r="AH169">
        <f t="shared" si="83"/>
        <v>1</v>
      </c>
      <c r="AI169">
        <f t="shared" si="84"/>
        <v>0</v>
      </c>
      <c r="AJ169">
        <f t="shared" si="85"/>
        <v>52520.017806353921</v>
      </c>
      <c r="AK169">
        <f t="shared" si="86"/>
        <v>1800</v>
      </c>
      <c r="AL169">
        <f t="shared" si="87"/>
        <v>1499.1139458</v>
      </c>
      <c r="AM169">
        <f t="shared" si="88"/>
        <v>0.83284108099999998</v>
      </c>
      <c r="AN169">
        <f t="shared" si="89"/>
        <v>0.15339776085999998</v>
      </c>
      <c r="AO169">
        <v>34.5</v>
      </c>
      <c r="AP169">
        <v>0.5</v>
      </c>
      <c r="AQ169" t="s">
        <v>331</v>
      </c>
      <c r="AR169">
        <v>2</v>
      </c>
      <c r="AS169">
        <v>1690213935.5999999</v>
      </c>
      <c r="AT169">
        <v>357.17599999999999</v>
      </c>
      <c r="AU169">
        <v>800.03499999999997</v>
      </c>
      <c r="AV169">
        <v>29.078800000000001</v>
      </c>
      <c r="AW169">
        <v>5.9386299999999999</v>
      </c>
      <c r="AX169">
        <v>357.375</v>
      </c>
      <c r="AY169">
        <v>28.8872</v>
      </c>
      <c r="AZ169">
        <v>300.21800000000002</v>
      </c>
      <c r="BA169">
        <v>99.082400000000007</v>
      </c>
      <c r="BB169">
        <v>9.9968299999999996E-2</v>
      </c>
      <c r="BC169">
        <v>26.968699999999998</v>
      </c>
      <c r="BD169">
        <v>26.988399999999999</v>
      </c>
      <c r="BE169">
        <v>28.585899999999999</v>
      </c>
      <c r="BF169">
        <v>0</v>
      </c>
      <c r="BG169">
        <v>0</v>
      </c>
      <c r="BH169">
        <v>10024.4</v>
      </c>
      <c r="BI169">
        <v>1077.17</v>
      </c>
      <c r="BJ169">
        <v>2.0744500000000001</v>
      </c>
      <c r="BK169">
        <v>-442.85899999999998</v>
      </c>
      <c r="BL169">
        <v>367.87400000000002</v>
      </c>
      <c r="BM169">
        <v>804.81399999999996</v>
      </c>
      <c r="BN169">
        <v>23.1402</v>
      </c>
      <c r="BO169">
        <v>800.03499999999997</v>
      </c>
      <c r="BP169">
        <v>5.9386299999999999</v>
      </c>
      <c r="BQ169">
        <v>2.8812000000000002</v>
      </c>
      <c r="BR169">
        <v>0.58841299999999996</v>
      </c>
      <c r="BS169">
        <v>23.3568</v>
      </c>
      <c r="BT169">
        <v>-0.57681400000000005</v>
      </c>
      <c r="BU169">
        <v>1800</v>
      </c>
      <c r="BV169">
        <v>0.909999</v>
      </c>
      <c r="BW169">
        <v>3.3994400000000001E-2</v>
      </c>
      <c r="BX169">
        <v>2.2004300000000001E-2</v>
      </c>
      <c r="BY169">
        <v>3.40028E-2</v>
      </c>
      <c r="BZ169">
        <v>26</v>
      </c>
      <c r="CA169">
        <v>33528.300000000003</v>
      </c>
      <c r="CB169">
        <v>1690211922</v>
      </c>
      <c r="CC169" t="s">
        <v>332</v>
      </c>
      <c r="CD169">
        <v>1690211915</v>
      </c>
      <c r="CE169">
        <v>1690211922</v>
      </c>
      <c r="CF169">
        <v>6</v>
      </c>
      <c r="CG169">
        <v>1.0999999999999999E-2</v>
      </c>
      <c r="CH169">
        <v>8.0000000000000002E-3</v>
      </c>
      <c r="CI169">
        <v>-0.51100000000000001</v>
      </c>
      <c r="CJ169">
        <v>-6.6000000000000003E-2</v>
      </c>
      <c r="CK169">
        <v>800</v>
      </c>
      <c r="CL169">
        <v>6</v>
      </c>
      <c r="CM169">
        <v>0.21</v>
      </c>
      <c r="CN169">
        <v>0.02</v>
      </c>
      <c r="CO169">
        <v>-441.61349999999999</v>
      </c>
      <c r="CP169">
        <v>-6.8085028142577793</v>
      </c>
      <c r="CQ169">
        <v>0.66126726820552606</v>
      </c>
      <c r="CR169">
        <v>-1</v>
      </c>
      <c r="CS169">
        <v>23.109124999999999</v>
      </c>
      <c r="CT169">
        <v>0.1570829268292086</v>
      </c>
      <c r="CU169">
        <v>1.5188066861848971E-2</v>
      </c>
      <c r="CV169">
        <v>-1</v>
      </c>
      <c r="CW169">
        <v>0</v>
      </c>
      <c r="CX169">
        <v>0</v>
      </c>
      <c r="CY169" t="s">
        <v>333</v>
      </c>
      <c r="CZ169">
        <v>2.36456</v>
      </c>
      <c r="DA169">
        <v>2.7137799999999999</v>
      </c>
      <c r="DB169">
        <v>8.1997100000000003E-2</v>
      </c>
      <c r="DC169">
        <v>0.146062</v>
      </c>
      <c r="DD169">
        <v>0.13020300000000001</v>
      </c>
      <c r="DE169">
        <v>3.9112099999999997E-2</v>
      </c>
      <c r="DF169">
        <v>33500.800000000003</v>
      </c>
      <c r="DG169">
        <v>27496.400000000001</v>
      </c>
      <c r="DH169">
        <v>31154.5</v>
      </c>
      <c r="DI169">
        <v>28058</v>
      </c>
      <c r="DJ169">
        <v>36772.9</v>
      </c>
      <c r="DK169">
        <v>38334.6</v>
      </c>
      <c r="DL169">
        <v>44333</v>
      </c>
      <c r="DM169">
        <v>42519.8</v>
      </c>
      <c r="DN169">
        <v>1.38795</v>
      </c>
      <c r="DO169">
        <v>2.0336500000000002</v>
      </c>
      <c r="DP169">
        <v>8.1539200000000006E-2</v>
      </c>
      <c r="DQ169">
        <v>0.18655099999999999</v>
      </c>
      <c r="DR169">
        <v>25.653400000000001</v>
      </c>
      <c r="DS169">
        <v>25.535299999999999</v>
      </c>
      <c r="DT169">
        <v>17.7</v>
      </c>
      <c r="DU169">
        <v>29.7</v>
      </c>
      <c r="DV169">
        <v>7.4798999999999998</v>
      </c>
      <c r="DW169">
        <v>61.911200000000001</v>
      </c>
      <c r="DX169">
        <v>37.107399999999998</v>
      </c>
      <c r="DY169">
        <v>1</v>
      </c>
      <c r="DZ169">
        <v>-8.3960900000000005E-2</v>
      </c>
      <c r="EA169">
        <v>-0.26486100000000001</v>
      </c>
      <c r="EB169">
        <v>20.189599999999999</v>
      </c>
      <c r="EC169">
        <v>5.2409499999999998</v>
      </c>
      <c r="ED169">
        <v>12.039899999999999</v>
      </c>
      <c r="EE169">
        <v>5.0170000000000003</v>
      </c>
      <c r="EF169">
        <v>3.2879999999999998</v>
      </c>
      <c r="EG169">
        <v>9999</v>
      </c>
      <c r="EH169">
        <v>9999</v>
      </c>
      <c r="EI169">
        <v>9999</v>
      </c>
      <c r="EJ169">
        <v>999.9</v>
      </c>
      <c r="EK169">
        <v>1.86894</v>
      </c>
      <c r="EL169">
        <v>1.86473</v>
      </c>
      <c r="EM169">
        <v>1.8691899999999999</v>
      </c>
      <c r="EN169">
        <v>1.8672500000000001</v>
      </c>
      <c r="EO169">
        <v>1.86341</v>
      </c>
      <c r="EP169">
        <v>1.8645700000000001</v>
      </c>
      <c r="EQ169">
        <v>1.87022</v>
      </c>
      <c r="ER169">
        <v>1.8694900000000001</v>
      </c>
      <c r="ES169">
        <v>0</v>
      </c>
      <c r="ET169">
        <v>0</v>
      </c>
      <c r="EU169">
        <v>0</v>
      </c>
      <c r="EV169">
        <v>0</v>
      </c>
      <c r="EW169" t="s">
        <v>334</v>
      </c>
      <c r="EX169" t="s">
        <v>335</v>
      </c>
      <c r="EY169" t="s">
        <v>336</v>
      </c>
      <c r="EZ169" t="s">
        <v>336</v>
      </c>
      <c r="FA169" t="s">
        <v>336</v>
      </c>
      <c r="FB169" t="s">
        <v>336</v>
      </c>
      <c r="FC169">
        <v>0</v>
      </c>
      <c r="FD169">
        <v>100</v>
      </c>
      <c r="FE169">
        <v>100</v>
      </c>
      <c r="FF169">
        <v>-0.19900000000000001</v>
      </c>
      <c r="FG169">
        <v>0.19159999999999999</v>
      </c>
      <c r="FH169">
        <v>4.0020685143421282E-2</v>
      </c>
      <c r="FI169">
        <v>-6.1462078757559423E-4</v>
      </c>
      <c r="FJ169">
        <v>-1.8861989874597051E-7</v>
      </c>
      <c r="FK169">
        <v>1.1980462299894961E-10</v>
      </c>
      <c r="FL169">
        <v>0.19160597004026461</v>
      </c>
      <c r="FM169">
        <v>0</v>
      </c>
      <c r="FN169">
        <v>0</v>
      </c>
      <c r="FO169">
        <v>0</v>
      </c>
      <c r="FP169">
        <v>3</v>
      </c>
      <c r="FQ169">
        <v>2158</v>
      </c>
      <c r="FR169">
        <v>1</v>
      </c>
      <c r="FS169">
        <v>19</v>
      </c>
      <c r="FT169">
        <v>33.700000000000003</v>
      </c>
      <c r="FU169">
        <v>33.6</v>
      </c>
      <c r="FV169">
        <v>1.77979</v>
      </c>
      <c r="FW169">
        <v>2.5793499999999998</v>
      </c>
      <c r="FX169">
        <v>1.5490699999999999</v>
      </c>
      <c r="FY169">
        <v>2.3290999999999999</v>
      </c>
      <c r="FZ169">
        <v>1.50146</v>
      </c>
      <c r="GA169">
        <v>2.3791500000000001</v>
      </c>
      <c r="GB169">
        <v>33.850900000000003</v>
      </c>
      <c r="GC169">
        <v>23.982399999999998</v>
      </c>
      <c r="GD169">
        <v>19</v>
      </c>
      <c r="GE169">
        <v>247.47900000000001</v>
      </c>
      <c r="GF169">
        <v>582.11400000000003</v>
      </c>
      <c r="GG169">
        <v>25.540299999999998</v>
      </c>
      <c r="GH169">
        <v>26.3308</v>
      </c>
      <c r="GI169">
        <v>30.0001</v>
      </c>
      <c r="GJ169">
        <v>26.4724</v>
      </c>
      <c r="GK169">
        <v>26.444900000000001</v>
      </c>
      <c r="GL169">
        <v>35.579000000000001</v>
      </c>
      <c r="GM169">
        <v>-30</v>
      </c>
      <c r="GN169">
        <v>-30</v>
      </c>
      <c r="GO169">
        <v>25.540400000000002</v>
      </c>
      <c r="GP169">
        <v>800</v>
      </c>
      <c r="GQ169">
        <v>12.5298</v>
      </c>
      <c r="GR169">
        <v>99.677400000000006</v>
      </c>
      <c r="GS169">
        <v>99.474500000000006</v>
      </c>
    </row>
    <row r="170" spans="1:201" x14ac:dyDescent="0.25">
      <c r="A170">
        <v>154</v>
      </c>
      <c r="B170">
        <v>1690213945.5999999</v>
      </c>
      <c r="C170">
        <v>1678.099999904633</v>
      </c>
      <c r="D170" t="s">
        <v>639</v>
      </c>
      <c r="E170" t="s">
        <v>640</v>
      </c>
      <c r="F170" t="s">
        <v>330</v>
      </c>
      <c r="H170">
        <v>1690213945.5999999</v>
      </c>
      <c r="I170">
        <f t="shared" si="60"/>
        <v>2.0747122205479127E-3</v>
      </c>
      <c r="J170">
        <f t="shared" si="61"/>
        <v>2.0747122205479127</v>
      </c>
      <c r="K170">
        <f t="shared" si="62"/>
        <v>37.888649950250901</v>
      </c>
      <c r="L170">
        <f t="shared" si="63"/>
        <v>356.01499999999999</v>
      </c>
      <c r="M170">
        <f t="shared" si="64"/>
        <v>42.732406758227206</v>
      </c>
      <c r="N170">
        <f t="shared" si="65"/>
        <v>4.2384217424551069</v>
      </c>
      <c r="O170">
        <f t="shared" si="66"/>
        <v>35.311414243000499</v>
      </c>
      <c r="P170">
        <f t="shared" si="67"/>
        <v>0.20506011386781395</v>
      </c>
      <c r="Q170">
        <f t="shared" si="68"/>
        <v>2.0133455319315887</v>
      </c>
      <c r="R170">
        <f t="shared" si="69"/>
        <v>0.19412348222363923</v>
      </c>
      <c r="S170">
        <f t="shared" si="70"/>
        <v>0.12226115920697841</v>
      </c>
      <c r="T170">
        <f t="shared" si="71"/>
        <v>276.11574510599996</v>
      </c>
      <c r="U170">
        <f t="shared" si="72"/>
        <v>28.5095646235348</v>
      </c>
      <c r="V170">
        <f t="shared" si="73"/>
        <v>28.5095646235348</v>
      </c>
      <c r="W170">
        <f t="shared" si="74"/>
        <v>3.9090401616071913</v>
      </c>
      <c r="X170">
        <f t="shared" si="75"/>
        <v>80.740339333871631</v>
      </c>
      <c r="Y170">
        <f t="shared" si="76"/>
        <v>2.8852970811029999</v>
      </c>
      <c r="Z170">
        <f t="shared" si="77"/>
        <v>3.5735508481973648</v>
      </c>
      <c r="AA170">
        <f t="shared" si="78"/>
        <v>1.0237430805041914</v>
      </c>
      <c r="AB170">
        <f t="shared" si="79"/>
        <v>-91.494808926162946</v>
      </c>
      <c r="AC170">
        <f t="shared" si="80"/>
        <v>-166.75151507217333</v>
      </c>
      <c r="AD170">
        <f t="shared" si="81"/>
        <v>-18.00716340347757</v>
      </c>
      <c r="AE170">
        <f t="shared" si="82"/>
        <v>-0.13774229581389363</v>
      </c>
      <c r="AF170">
        <v>33</v>
      </c>
      <c r="AG170">
        <v>11</v>
      </c>
      <c r="AH170">
        <f t="shared" si="83"/>
        <v>1</v>
      </c>
      <c r="AI170">
        <f t="shared" si="84"/>
        <v>0</v>
      </c>
      <c r="AJ170">
        <f t="shared" si="85"/>
        <v>52467.454424659431</v>
      </c>
      <c r="AK170">
        <f t="shared" si="86"/>
        <v>1800</v>
      </c>
      <c r="AL170">
        <f t="shared" si="87"/>
        <v>1499.1129755999998</v>
      </c>
      <c r="AM170">
        <f t="shared" si="88"/>
        <v>0.83284054199999991</v>
      </c>
      <c r="AN170">
        <f t="shared" si="89"/>
        <v>0.15339763616999999</v>
      </c>
      <c r="AO170">
        <v>34.5</v>
      </c>
      <c r="AP170">
        <v>0.5</v>
      </c>
      <c r="AQ170" t="s">
        <v>331</v>
      </c>
      <c r="AR170">
        <v>2</v>
      </c>
      <c r="AS170">
        <v>1690213945.5999999</v>
      </c>
      <c r="AT170">
        <v>356.01499999999999</v>
      </c>
      <c r="AU170">
        <v>799.98599999999999</v>
      </c>
      <c r="AV170">
        <v>29.09</v>
      </c>
      <c r="AW170">
        <v>5.9375299999999998</v>
      </c>
      <c r="AX170">
        <v>356.21300000000002</v>
      </c>
      <c r="AY170">
        <v>28.898399999999999</v>
      </c>
      <c r="AZ170">
        <v>300.16399999999999</v>
      </c>
      <c r="BA170">
        <v>99.0852</v>
      </c>
      <c r="BB170">
        <v>9.9986699999999998E-2</v>
      </c>
      <c r="BC170">
        <v>26.973299999999998</v>
      </c>
      <c r="BD170">
        <v>26.997900000000001</v>
      </c>
      <c r="BE170">
        <v>28.601400000000002</v>
      </c>
      <c r="BF170">
        <v>0</v>
      </c>
      <c r="BG170">
        <v>0</v>
      </c>
      <c r="BH170">
        <v>10013.799999999999</v>
      </c>
      <c r="BI170">
        <v>1077.2</v>
      </c>
      <c r="BJ170">
        <v>2.0744500000000001</v>
      </c>
      <c r="BK170">
        <v>-443.97</v>
      </c>
      <c r="BL170">
        <v>366.68200000000002</v>
      </c>
      <c r="BM170">
        <v>804.76400000000001</v>
      </c>
      <c r="BN170">
        <v>23.1525</v>
      </c>
      <c r="BO170">
        <v>799.98599999999999</v>
      </c>
      <c r="BP170">
        <v>5.9375299999999998</v>
      </c>
      <c r="BQ170">
        <v>2.88239</v>
      </c>
      <c r="BR170">
        <v>0.58832099999999998</v>
      </c>
      <c r="BS170">
        <v>23.363700000000001</v>
      </c>
      <c r="BT170">
        <v>-0.57895700000000005</v>
      </c>
      <c r="BU170">
        <v>1800</v>
      </c>
      <c r="BV170">
        <v>0.909999</v>
      </c>
      <c r="BW170">
        <v>3.3994200000000002E-2</v>
      </c>
      <c r="BX170">
        <v>2.2004099999999999E-2</v>
      </c>
      <c r="BY170">
        <v>3.4002499999999998E-2</v>
      </c>
      <c r="BZ170">
        <v>26</v>
      </c>
      <c r="CA170">
        <v>33528.300000000003</v>
      </c>
      <c r="CB170">
        <v>1690211922</v>
      </c>
      <c r="CC170" t="s">
        <v>332</v>
      </c>
      <c r="CD170">
        <v>1690211915</v>
      </c>
      <c r="CE170">
        <v>1690211922</v>
      </c>
      <c r="CF170">
        <v>6</v>
      </c>
      <c r="CG170">
        <v>1.0999999999999999E-2</v>
      </c>
      <c r="CH170">
        <v>8.0000000000000002E-3</v>
      </c>
      <c r="CI170">
        <v>-0.51100000000000001</v>
      </c>
      <c r="CJ170">
        <v>-6.6000000000000003E-2</v>
      </c>
      <c r="CK170">
        <v>800</v>
      </c>
      <c r="CL170">
        <v>6</v>
      </c>
      <c r="CM170">
        <v>0.21</v>
      </c>
      <c r="CN170">
        <v>0.02</v>
      </c>
      <c r="CO170">
        <v>-442.74131707317082</v>
      </c>
      <c r="CP170">
        <v>-6.3035749128919667</v>
      </c>
      <c r="CQ170">
        <v>0.62402499320742666</v>
      </c>
      <c r="CR170">
        <v>-1</v>
      </c>
      <c r="CS170">
        <v>23.134556097560971</v>
      </c>
      <c r="CT170">
        <v>0.1359533101045472</v>
      </c>
      <c r="CU170">
        <v>1.3717623501432991E-2</v>
      </c>
      <c r="CV170">
        <v>-1</v>
      </c>
      <c r="CW170">
        <v>0</v>
      </c>
      <c r="CX170">
        <v>0</v>
      </c>
      <c r="CY170" t="s">
        <v>333</v>
      </c>
      <c r="CZ170">
        <v>2.3643700000000001</v>
      </c>
      <c r="DA170">
        <v>2.7137899999999999</v>
      </c>
      <c r="DB170">
        <v>8.1790699999999994E-2</v>
      </c>
      <c r="DC170">
        <v>0.146061</v>
      </c>
      <c r="DD170">
        <v>0.130242</v>
      </c>
      <c r="DE170">
        <v>3.91074E-2</v>
      </c>
      <c r="DF170">
        <v>33508.699999999997</v>
      </c>
      <c r="DG170">
        <v>27496.3</v>
      </c>
      <c r="DH170">
        <v>31154.799999999999</v>
      </c>
      <c r="DI170">
        <v>28057.8</v>
      </c>
      <c r="DJ170">
        <v>36771.699999999997</v>
      </c>
      <c r="DK170">
        <v>38334.699999999997</v>
      </c>
      <c r="DL170">
        <v>44333.7</v>
      </c>
      <c r="DM170">
        <v>42519.7</v>
      </c>
      <c r="DN170">
        <v>1.38778</v>
      </c>
      <c r="DO170">
        <v>2.0337700000000001</v>
      </c>
      <c r="DP170">
        <v>8.2053200000000007E-2</v>
      </c>
      <c r="DQ170">
        <v>0.187308</v>
      </c>
      <c r="DR170">
        <v>25.654499999999999</v>
      </c>
      <c r="DS170">
        <v>25.538499999999999</v>
      </c>
      <c r="DT170">
        <v>17.7</v>
      </c>
      <c r="DU170">
        <v>29.7</v>
      </c>
      <c r="DV170">
        <v>7.4804700000000004</v>
      </c>
      <c r="DW170">
        <v>61.4512</v>
      </c>
      <c r="DX170">
        <v>37.191499999999998</v>
      </c>
      <c r="DY170">
        <v>1</v>
      </c>
      <c r="DZ170">
        <v>-8.4164100000000006E-2</v>
      </c>
      <c r="EA170">
        <v>-0.297489</v>
      </c>
      <c r="EB170">
        <v>20.1892</v>
      </c>
      <c r="EC170">
        <v>5.2411000000000003</v>
      </c>
      <c r="ED170">
        <v>12.039899999999999</v>
      </c>
      <c r="EE170">
        <v>5.0171999999999999</v>
      </c>
      <c r="EF170">
        <v>3.2879999999999998</v>
      </c>
      <c r="EG170">
        <v>9999</v>
      </c>
      <c r="EH170">
        <v>9999</v>
      </c>
      <c r="EI170">
        <v>9999</v>
      </c>
      <c r="EJ170">
        <v>999.9</v>
      </c>
      <c r="EK170">
        <v>1.86894</v>
      </c>
      <c r="EL170">
        <v>1.8647</v>
      </c>
      <c r="EM170">
        <v>1.8691899999999999</v>
      </c>
      <c r="EN170">
        <v>1.86727</v>
      </c>
      <c r="EO170">
        <v>1.8633999999999999</v>
      </c>
      <c r="EP170">
        <v>1.86459</v>
      </c>
      <c r="EQ170">
        <v>1.87019</v>
      </c>
      <c r="ER170">
        <v>1.8694999999999999</v>
      </c>
      <c r="ES170">
        <v>0</v>
      </c>
      <c r="ET170">
        <v>0</v>
      </c>
      <c r="EU170">
        <v>0</v>
      </c>
      <c r="EV170">
        <v>0</v>
      </c>
      <c r="EW170" t="s">
        <v>334</v>
      </c>
      <c r="EX170" t="s">
        <v>335</v>
      </c>
      <c r="EY170" t="s">
        <v>336</v>
      </c>
      <c r="EZ170" t="s">
        <v>336</v>
      </c>
      <c r="FA170" t="s">
        <v>336</v>
      </c>
      <c r="FB170" t="s">
        <v>336</v>
      </c>
      <c r="FC170">
        <v>0</v>
      </c>
      <c r="FD170">
        <v>100</v>
      </c>
      <c r="FE170">
        <v>100</v>
      </c>
      <c r="FF170">
        <v>-0.19800000000000001</v>
      </c>
      <c r="FG170">
        <v>0.19159999999999999</v>
      </c>
      <c r="FH170">
        <v>4.0020685143421282E-2</v>
      </c>
      <c r="FI170">
        <v>-6.1462078757559423E-4</v>
      </c>
      <c r="FJ170">
        <v>-1.8861989874597051E-7</v>
      </c>
      <c r="FK170">
        <v>1.1980462299894961E-10</v>
      </c>
      <c r="FL170">
        <v>0.19160597004026461</v>
      </c>
      <c r="FM170">
        <v>0</v>
      </c>
      <c r="FN170">
        <v>0</v>
      </c>
      <c r="FO170">
        <v>0</v>
      </c>
      <c r="FP170">
        <v>3</v>
      </c>
      <c r="FQ170">
        <v>2158</v>
      </c>
      <c r="FR170">
        <v>1</v>
      </c>
      <c r="FS170">
        <v>19</v>
      </c>
      <c r="FT170">
        <v>33.799999999999997</v>
      </c>
      <c r="FU170">
        <v>33.700000000000003</v>
      </c>
      <c r="FV170">
        <v>1.77979</v>
      </c>
      <c r="FW170">
        <v>2.5817899999999998</v>
      </c>
      <c r="FX170">
        <v>1.5490699999999999</v>
      </c>
      <c r="FY170">
        <v>2.3290999999999999</v>
      </c>
      <c r="FZ170">
        <v>1.50146</v>
      </c>
      <c r="GA170">
        <v>2.3730500000000001</v>
      </c>
      <c r="GB170">
        <v>33.850900000000003</v>
      </c>
      <c r="GC170">
        <v>23.982399999999998</v>
      </c>
      <c r="GD170">
        <v>19</v>
      </c>
      <c r="GE170">
        <v>247.404</v>
      </c>
      <c r="GF170">
        <v>582.19899999999996</v>
      </c>
      <c r="GG170">
        <v>25.548200000000001</v>
      </c>
      <c r="GH170">
        <v>26.329000000000001</v>
      </c>
      <c r="GI170">
        <v>29.9999</v>
      </c>
      <c r="GJ170">
        <v>26.470199999999998</v>
      </c>
      <c r="GK170">
        <v>26.443200000000001</v>
      </c>
      <c r="GL170">
        <v>35.579599999999999</v>
      </c>
      <c r="GM170">
        <v>-30</v>
      </c>
      <c r="GN170">
        <v>-30</v>
      </c>
      <c r="GO170">
        <v>25.552499999999998</v>
      </c>
      <c r="GP170">
        <v>800</v>
      </c>
      <c r="GQ170">
        <v>12.5298</v>
      </c>
      <c r="GR170">
        <v>99.678799999999995</v>
      </c>
      <c r="GS170">
        <v>99.474199999999996</v>
      </c>
    </row>
    <row r="171" spans="1:201" x14ac:dyDescent="0.25">
      <c r="A171">
        <v>155</v>
      </c>
      <c r="B171">
        <v>1690213956</v>
      </c>
      <c r="C171">
        <v>1688.5</v>
      </c>
      <c r="D171" t="s">
        <v>641</v>
      </c>
      <c r="E171" t="s">
        <v>642</v>
      </c>
      <c r="F171" t="s">
        <v>330</v>
      </c>
      <c r="H171">
        <v>1690213956</v>
      </c>
      <c r="I171">
        <f t="shared" si="60"/>
        <v>2.0766951844376821E-3</v>
      </c>
      <c r="J171">
        <f t="shared" si="61"/>
        <v>2.076695184437682</v>
      </c>
      <c r="K171">
        <f t="shared" si="62"/>
        <v>37.987133493250639</v>
      </c>
      <c r="L171">
        <f t="shared" si="63"/>
        <v>354.91</v>
      </c>
      <c r="M171">
        <f t="shared" si="64"/>
        <v>41.3355558514968</v>
      </c>
      <c r="N171">
        <f t="shared" si="65"/>
        <v>4.0998934378797873</v>
      </c>
      <c r="O171">
        <f t="shared" si="66"/>
        <v>35.201974427670002</v>
      </c>
      <c r="P171">
        <f t="shared" si="67"/>
        <v>0.20541886753228553</v>
      </c>
      <c r="Q171">
        <f t="shared" si="68"/>
        <v>2.0094840629458148</v>
      </c>
      <c r="R171">
        <f t="shared" si="69"/>
        <v>0.19442515895179868</v>
      </c>
      <c r="S171">
        <f t="shared" si="70"/>
        <v>0.1224544117948323</v>
      </c>
      <c r="T171">
        <f t="shared" si="71"/>
        <v>276.11579219399994</v>
      </c>
      <c r="U171">
        <f t="shared" si="72"/>
        <v>28.514397640240656</v>
      </c>
      <c r="V171">
        <f t="shared" si="73"/>
        <v>28.514397640240656</v>
      </c>
      <c r="W171">
        <f t="shared" si="74"/>
        <v>3.9101374999970266</v>
      </c>
      <c r="X171">
        <f t="shared" si="75"/>
        <v>80.774683681739745</v>
      </c>
      <c r="Y171">
        <f t="shared" si="76"/>
        <v>2.8870161732863999</v>
      </c>
      <c r="Z171">
        <f t="shared" si="77"/>
        <v>3.5741596768877852</v>
      </c>
      <c r="AA171">
        <f t="shared" si="78"/>
        <v>1.0231213267106267</v>
      </c>
      <c r="AB171">
        <f t="shared" si="79"/>
        <v>-91.582257633701786</v>
      </c>
      <c r="AC171">
        <f t="shared" si="80"/>
        <v>-166.64111020047312</v>
      </c>
      <c r="AD171">
        <f t="shared" si="81"/>
        <v>-18.030516762453942</v>
      </c>
      <c r="AE171">
        <f t="shared" si="82"/>
        <v>-0.13809240262889944</v>
      </c>
      <c r="AF171">
        <v>33</v>
      </c>
      <c r="AG171">
        <v>11</v>
      </c>
      <c r="AH171">
        <f t="shared" si="83"/>
        <v>1</v>
      </c>
      <c r="AI171">
        <f t="shared" si="84"/>
        <v>0</v>
      </c>
      <c r="AJ171">
        <f t="shared" si="85"/>
        <v>52281.587938757802</v>
      </c>
      <c r="AK171">
        <f t="shared" si="86"/>
        <v>1800</v>
      </c>
      <c r="AL171">
        <f t="shared" si="87"/>
        <v>1499.1135264</v>
      </c>
      <c r="AM171">
        <f t="shared" si="88"/>
        <v>0.83284084800000002</v>
      </c>
      <c r="AN171">
        <f t="shared" si="89"/>
        <v>0.15339766232999996</v>
      </c>
      <c r="AO171">
        <v>34.5</v>
      </c>
      <c r="AP171">
        <v>0.5</v>
      </c>
      <c r="AQ171" t="s">
        <v>331</v>
      </c>
      <c r="AR171">
        <v>2</v>
      </c>
      <c r="AS171">
        <v>1690213956</v>
      </c>
      <c r="AT171">
        <v>354.91</v>
      </c>
      <c r="AU171">
        <v>799.92499999999995</v>
      </c>
      <c r="AV171">
        <v>29.107199999999999</v>
      </c>
      <c r="AW171">
        <v>5.9366399999999997</v>
      </c>
      <c r="AX171">
        <v>355.10700000000003</v>
      </c>
      <c r="AY171">
        <v>28.915600000000001</v>
      </c>
      <c r="AZ171">
        <v>300.21100000000001</v>
      </c>
      <c r="BA171">
        <v>99.085599999999999</v>
      </c>
      <c r="BB171">
        <v>0.100037</v>
      </c>
      <c r="BC171">
        <v>26.976199999999999</v>
      </c>
      <c r="BD171">
        <v>27.006699999999999</v>
      </c>
      <c r="BE171">
        <v>28.597799999999999</v>
      </c>
      <c r="BF171">
        <v>0</v>
      </c>
      <c r="BG171">
        <v>0</v>
      </c>
      <c r="BH171">
        <v>9976.8799999999992</v>
      </c>
      <c r="BI171">
        <v>1077.18</v>
      </c>
      <c r="BJ171">
        <v>2.0744500000000001</v>
      </c>
      <c r="BK171">
        <v>-445.01499999999999</v>
      </c>
      <c r="BL171">
        <v>365.55</v>
      </c>
      <c r="BM171">
        <v>804.702</v>
      </c>
      <c r="BN171">
        <v>23.170500000000001</v>
      </c>
      <c r="BO171">
        <v>799.92499999999995</v>
      </c>
      <c r="BP171">
        <v>5.9366399999999997</v>
      </c>
      <c r="BQ171">
        <v>2.8841000000000001</v>
      </c>
      <c r="BR171">
        <v>0.58823599999999998</v>
      </c>
      <c r="BS171">
        <v>23.3735</v>
      </c>
      <c r="BT171">
        <v>-0.58095200000000002</v>
      </c>
      <c r="BU171">
        <v>1800</v>
      </c>
      <c r="BV171">
        <v>0.91</v>
      </c>
      <c r="BW171">
        <v>3.3993900000000001E-2</v>
      </c>
      <c r="BX171">
        <v>2.20039E-2</v>
      </c>
      <c r="BY171">
        <v>3.4002299999999999E-2</v>
      </c>
      <c r="BZ171">
        <v>26</v>
      </c>
      <c r="CA171">
        <v>33528.400000000001</v>
      </c>
      <c r="CB171">
        <v>1690211922</v>
      </c>
      <c r="CC171" t="s">
        <v>332</v>
      </c>
      <c r="CD171">
        <v>1690211915</v>
      </c>
      <c r="CE171">
        <v>1690211922</v>
      </c>
      <c r="CF171">
        <v>6</v>
      </c>
      <c r="CG171">
        <v>1.0999999999999999E-2</v>
      </c>
      <c r="CH171">
        <v>8.0000000000000002E-3</v>
      </c>
      <c r="CI171">
        <v>-0.51100000000000001</v>
      </c>
      <c r="CJ171">
        <v>-6.6000000000000003E-2</v>
      </c>
      <c r="CK171">
        <v>800</v>
      </c>
      <c r="CL171">
        <v>6</v>
      </c>
      <c r="CM171">
        <v>0.21</v>
      </c>
      <c r="CN171">
        <v>0.02</v>
      </c>
      <c r="CO171">
        <v>-443.96887804878043</v>
      </c>
      <c r="CP171">
        <v>-6.6550471070105868</v>
      </c>
      <c r="CQ171">
        <v>0.65962185009890295</v>
      </c>
      <c r="CR171">
        <v>-1</v>
      </c>
      <c r="CS171">
        <v>23.153792682926831</v>
      </c>
      <c r="CT171">
        <v>7.7720518129914512E-2</v>
      </c>
      <c r="CU171">
        <v>7.7873064394816558E-3</v>
      </c>
      <c r="CV171">
        <v>-1</v>
      </c>
      <c r="CW171">
        <v>0</v>
      </c>
      <c r="CX171">
        <v>0</v>
      </c>
      <c r="CY171" t="s">
        <v>333</v>
      </c>
      <c r="CZ171">
        <v>2.3645499999999999</v>
      </c>
      <c r="DA171">
        <v>2.7138100000000001</v>
      </c>
      <c r="DB171">
        <v>8.1591899999999995E-2</v>
      </c>
      <c r="DC171">
        <v>0.14605399999999999</v>
      </c>
      <c r="DD171">
        <v>0.130296</v>
      </c>
      <c r="DE171">
        <v>3.9102900000000003E-2</v>
      </c>
      <c r="DF171">
        <v>33516</v>
      </c>
      <c r="DG171">
        <v>27496.799999999999</v>
      </c>
      <c r="DH171">
        <v>31154.9</v>
      </c>
      <c r="DI171">
        <v>28058.1</v>
      </c>
      <c r="DJ171">
        <v>36769.300000000003</v>
      </c>
      <c r="DK171">
        <v>38335.199999999997</v>
      </c>
      <c r="DL171">
        <v>44333.599999999999</v>
      </c>
      <c r="DM171">
        <v>42520.1</v>
      </c>
      <c r="DN171">
        <v>1.3880999999999999</v>
      </c>
      <c r="DO171">
        <v>2.0338500000000002</v>
      </c>
      <c r="DP171">
        <v>8.2440700000000006E-2</v>
      </c>
      <c r="DQ171">
        <v>0.18679399999999999</v>
      </c>
      <c r="DR171">
        <v>25.657</v>
      </c>
      <c r="DS171">
        <v>25.543299999999999</v>
      </c>
      <c r="DT171">
        <v>17.7</v>
      </c>
      <c r="DU171">
        <v>29.7</v>
      </c>
      <c r="DV171">
        <v>7.4810600000000003</v>
      </c>
      <c r="DW171">
        <v>61.8812</v>
      </c>
      <c r="DX171">
        <v>36.033700000000003</v>
      </c>
      <c r="DY171">
        <v>1</v>
      </c>
      <c r="DZ171">
        <v>-8.4011699999999995E-2</v>
      </c>
      <c r="EA171">
        <v>-0.28620400000000001</v>
      </c>
      <c r="EB171">
        <v>20.1892</v>
      </c>
      <c r="EC171">
        <v>5.2406499999999996</v>
      </c>
      <c r="ED171">
        <v>12.039899999999999</v>
      </c>
      <c r="EE171">
        <v>5.0170500000000002</v>
      </c>
      <c r="EF171">
        <v>3.2879999999999998</v>
      </c>
      <c r="EG171">
        <v>9999</v>
      </c>
      <c r="EH171">
        <v>9999</v>
      </c>
      <c r="EI171">
        <v>9999</v>
      </c>
      <c r="EJ171">
        <v>999.9</v>
      </c>
      <c r="EK171">
        <v>1.86894</v>
      </c>
      <c r="EL171">
        <v>1.86469</v>
      </c>
      <c r="EM171">
        <v>1.8691899999999999</v>
      </c>
      <c r="EN171">
        <v>1.8672299999999999</v>
      </c>
      <c r="EO171">
        <v>1.8633999999999999</v>
      </c>
      <c r="EP171">
        <v>1.8645799999999999</v>
      </c>
      <c r="EQ171">
        <v>1.8702000000000001</v>
      </c>
      <c r="ER171">
        <v>1.8694900000000001</v>
      </c>
      <c r="ES171">
        <v>0</v>
      </c>
      <c r="ET171">
        <v>0</v>
      </c>
      <c r="EU171">
        <v>0</v>
      </c>
      <c r="EV171">
        <v>0</v>
      </c>
      <c r="EW171" t="s">
        <v>334</v>
      </c>
      <c r="EX171" t="s">
        <v>335</v>
      </c>
      <c r="EY171" t="s">
        <v>336</v>
      </c>
      <c r="EZ171" t="s">
        <v>336</v>
      </c>
      <c r="FA171" t="s">
        <v>336</v>
      </c>
      <c r="FB171" t="s">
        <v>336</v>
      </c>
      <c r="FC171">
        <v>0</v>
      </c>
      <c r="FD171">
        <v>100</v>
      </c>
      <c r="FE171">
        <v>100</v>
      </c>
      <c r="FF171">
        <v>-0.19700000000000001</v>
      </c>
      <c r="FG171">
        <v>0.19159999999999999</v>
      </c>
      <c r="FH171">
        <v>4.0020685143421282E-2</v>
      </c>
      <c r="FI171">
        <v>-6.1462078757559423E-4</v>
      </c>
      <c r="FJ171">
        <v>-1.8861989874597051E-7</v>
      </c>
      <c r="FK171">
        <v>1.1980462299894961E-10</v>
      </c>
      <c r="FL171">
        <v>0.19160597004026461</v>
      </c>
      <c r="FM171">
        <v>0</v>
      </c>
      <c r="FN171">
        <v>0</v>
      </c>
      <c r="FO171">
        <v>0</v>
      </c>
      <c r="FP171">
        <v>3</v>
      </c>
      <c r="FQ171">
        <v>2158</v>
      </c>
      <c r="FR171">
        <v>1</v>
      </c>
      <c r="FS171">
        <v>19</v>
      </c>
      <c r="FT171">
        <v>34</v>
      </c>
      <c r="FU171">
        <v>33.9</v>
      </c>
      <c r="FV171">
        <v>1.77979</v>
      </c>
      <c r="FW171">
        <v>2.5830099999999998</v>
      </c>
      <c r="FX171">
        <v>1.5490699999999999</v>
      </c>
      <c r="FY171">
        <v>2.3290999999999999</v>
      </c>
      <c r="FZ171">
        <v>1.50146</v>
      </c>
      <c r="GA171">
        <v>2.2668499999999998</v>
      </c>
      <c r="GB171">
        <v>33.850900000000003</v>
      </c>
      <c r="GC171">
        <v>23.982399999999998</v>
      </c>
      <c r="GD171">
        <v>19</v>
      </c>
      <c r="GE171">
        <v>247.52699999999999</v>
      </c>
      <c r="GF171">
        <v>582.255</v>
      </c>
      <c r="GG171">
        <v>25.5564</v>
      </c>
      <c r="GH171">
        <v>26.328600000000002</v>
      </c>
      <c r="GI171">
        <v>30.0001</v>
      </c>
      <c r="GJ171">
        <v>26.469200000000001</v>
      </c>
      <c r="GK171">
        <v>26.442699999999999</v>
      </c>
      <c r="GL171">
        <v>35.581000000000003</v>
      </c>
      <c r="GM171">
        <v>-30</v>
      </c>
      <c r="GN171">
        <v>-30</v>
      </c>
      <c r="GO171">
        <v>25.555499999999999</v>
      </c>
      <c r="GP171">
        <v>800</v>
      </c>
      <c r="GQ171">
        <v>12.5298</v>
      </c>
      <c r="GR171">
        <v>99.678700000000006</v>
      </c>
      <c r="GS171">
        <v>99.475099999999998</v>
      </c>
    </row>
    <row r="172" spans="1:201" x14ac:dyDescent="0.25">
      <c r="A172">
        <v>156</v>
      </c>
      <c r="B172">
        <v>1690213966</v>
      </c>
      <c r="C172">
        <v>1698.5</v>
      </c>
      <c r="D172" t="s">
        <v>643</v>
      </c>
      <c r="E172" t="s">
        <v>644</v>
      </c>
      <c r="F172" t="s">
        <v>330</v>
      </c>
      <c r="H172">
        <v>1690213966</v>
      </c>
      <c r="I172">
        <f t="shared" si="60"/>
        <v>2.0777409340358914E-3</v>
      </c>
      <c r="J172">
        <f t="shared" si="61"/>
        <v>2.0777409340358912</v>
      </c>
      <c r="K172">
        <f t="shared" si="62"/>
        <v>38.097511402981986</v>
      </c>
      <c r="L172">
        <f t="shared" si="63"/>
        <v>353.57799999999997</v>
      </c>
      <c r="M172">
        <f t="shared" si="64"/>
        <v>39.950217254002538</v>
      </c>
      <c r="N172">
        <f t="shared" si="65"/>
        <v>3.9624306178159596</v>
      </c>
      <c r="O172">
        <f t="shared" si="66"/>
        <v>35.069353542645999</v>
      </c>
      <c r="P172">
        <f t="shared" si="67"/>
        <v>0.20597621434374752</v>
      </c>
      <c r="Q172">
        <f t="shared" si="68"/>
        <v>2.011565179434446</v>
      </c>
      <c r="R172">
        <f t="shared" si="69"/>
        <v>0.19493526709184042</v>
      </c>
      <c r="S172">
        <f t="shared" si="70"/>
        <v>0.1227771848165987</v>
      </c>
      <c r="T172">
        <f t="shared" si="71"/>
        <v>276.11580132</v>
      </c>
      <c r="U172">
        <f t="shared" si="72"/>
        <v>28.510679260633196</v>
      </c>
      <c r="V172">
        <f t="shared" si="73"/>
        <v>28.510679260633196</v>
      </c>
      <c r="W172">
        <f t="shared" si="74"/>
        <v>3.909293216576188</v>
      </c>
      <c r="X172">
        <f t="shared" si="75"/>
        <v>80.82111224463371</v>
      </c>
      <c r="Y172">
        <f t="shared" si="76"/>
        <v>2.8883532104676997</v>
      </c>
      <c r="Z172">
        <f t="shared" si="77"/>
        <v>3.5737607788978161</v>
      </c>
      <c r="AA172">
        <f t="shared" si="78"/>
        <v>1.0209400061084883</v>
      </c>
      <c r="AB172">
        <f t="shared" si="79"/>
        <v>-91.628375190982808</v>
      </c>
      <c r="AC172">
        <f t="shared" si="80"/>
        <v>-166.61649286909648</v>
      </c>
      <c r="AD172">
        <f t="shared" si="81"/>
        <v>-18.008697065350653</v>
      </c>
      <c r="AE172">
        <f t="shared" si="82"/>
        <v>-0.13776380542992683</v>
      </c>
      <c r="AF172">
        <v>33</v>
      </c>
      <c r="AG172">
        <v>11</v>
      </c>
      <c r="AH172">
        <f t="shared" si="83"/>
        <v>1</v>
      </c>
      <c r="AI172">
        <f t="shared" si="84"/>
        <v>0</v>
      </c>
      <c r="AJ172">
        <f t="shared" si="85"/>
        <v>52381.730463004227</v>
      </c>
      <c r="AK172">
        <f t="shared" si="86"/>
        <v>1800</v>
      </c>
      <c r="AL172">
        <f t="shared" si="87"/>
        <v>1499.1142229999998</v>
      </c>
      <c r="AM172">
        <f t="shared" si="88"/>
        <v>0.83284123499999996</v>
      </c>
      <c r="AN172">
        <f t="shared" si="89"/>
        <v>0.15339766739999999</v>
      </c>
      <c r="AO172">
        <v>34.5</v>
      </c>
      <c r="AP172">
        <v>0.5</v>
      </c>
      <c r="AQ172" t="s">
        <v>331</v>
      </c>
      <c r="AR172">
        <v>2</v>
      </c>
      <c r="AS172">
        <v>1690213966</v>
      </c>
      <c r="AT172">
        <v>353.57799999999997</v>
      </c>
      <c r="AU172">
        <v>799.88</v>
      </c>
      <c r="AV172">
        <v>29.121099999999998</v>
      </c>
      <c r="AW172">
        <v>5.9368100000000004</v>
      </c>
      <c r="AX172">
        <v>353.77300000000002</v>
      </c>
      <c r="AY172">
        <v>28.929500000000001</v>
      </c>
      <c r="AZ172">
        <v>300.18</v>
      </c>
      <c r="BA172">
        <v>99.084199999999996</v>
      </c>
      <c r="BB172">
        <v>0.100007</v>
      </c>
      <c r="BC172">
        <v>26.974299999999999</v>
      </c>
      <c r="BD172">
        <v>27.022400000000001</v>
      </c>
      <c r="BE172">
        <v>28.612400000000001</v>
      </c>
      <c r="BF172">
        <v>0</v>
      </c>
      <c r="BG172">
        <v>0</v>
      </c>
      <c r="BH172">
        <v>9996.8799999999992</v>
      </c>
      <c r="BI172">
        <v>1077.22</v>
      </c>
      <c r="BJ172">
        <v>2.0744500000000001</v>
      </c>
      <c r="BK172">
        <v>-446.303</v>
      </c>
      <c r="BL172">
        <v>364.18299999999999</v>
      </c>
      <c r="BM172">
        <v>804.65800000000002</v>
      </c>
      <c r="BN172">
        <v>23.1843</v>
      </c>
      <c r="BO172">
        <v>799.88</v>
      </c>
      <c r="BP172">
        <v>5.9368100000000004</v>
      </c>
      <c r="BQ172">
        <v>2.88544</v>
      </c>
      <c r="BR172">
        <v>0.58824399999999999</v>
      </c>
      <c r="BS172">
        <v>23.3812</v>
      </c>
      <c r="BT172">
        <v>-0.58074499999999996</v>
      </c>
      <c r="BU172">
        <v>1800</v>
      </c>
      <c r="BV172">
        <v>0.91000199999999998</v>
      </c>
      <c r="BW172">
        <v>3.3993299999999997E-2</v>
      </c>
      <c r="BX172">
        <v>2.2003499999999999E-2</v>
      </c>
      <c r="BY172">
        <v>3.40016E-2</v>
      </c>
      <c r="BZ172">
        <v>26</v>
      </c>
      <c r="CA172">
        <v>33528.400000000001</v>
      </c>
      <c r="CB172">
        <v>1690211922</v>
      </c>
      <c r="CC172" t="s">
        <v>332</v>
      </c>
      <c r="CD172">
        <v>1690211915</v>
      </c>
      <c r="CE172">
        <v>1690211922</v>
      </c>
      <c r="CF172">
        <v>6</v>
      </c>
      <c r="CG172">
        <v>1.0999999999999999E-2</v>
      </c>
      <c r="CH172">
        <v>8.0000000000000002E-3</v>
      </c>
      <c r="CI172">
        <v>-0.51100000000000001</v>
      </c>
      <c r="CJ172">
        <v>-6.6000000000000003E-2</v>
      </c>
      <c r="CK172">
        <v>800</v>
      </c>
      <c r="CL172">
        <v>6</v>
      </c>
      <c r="CM172">
        <v>0.21</v>
      </c>
      <c r="CN172">
        <v>0.02</v>
      </c>
      <c r="CO172">
        <v>-445.11197560975609</v>
      </c>
      <c r="CP172">
        <v>-6.7208284541424597</v>
      </c>
      <c r="CQ172">
        <v>0.66281217174616636</v>
      </c>
      <c r="CR172">
        <v>-1</v>
      </c>
      <c r="CS172">
        <v>23.168514634146341</v>
      </c>
      <c r="CT172">
        <v>9.9301610106633353E-2</v>
      </c>
      <c r="CU172">
        <v>9.8001384006061072E-3</v>
      </c>
      <c r="CV172">
        <v>-1</v>
      </c>
      <c r="CW172">
        <v>0</v>
      </c>
      <c r="CX172">
        <v>0</v>
      </c>
      <c r="CY172" t="s">
        <v>333</v>
      </c>
      <c r="CZ172">
        <v>2.36443</v>
      </c>
      <c r="DA172">
        <v>2.7138</v>
      </c>
      <c r="DB172">
        <v>8.1350400000000003E-2</v>
      </c>
      <c r="DC172">
        <v>0.14604700000000001</v>
      </c>
      <c r="DD172">
        <v>0.13033700000000001</v>
      </c>
      <c r="DE172">
        <v>3.9103499999999999E-2</v>
      </c>
      <c r="DF172">
        <v>33525.300000000003</v>
      </c>
      <c r="DG172">
        <v>27496.799999999999</v>
      </c>
      <c r="DH172">
        <v>31155.200000000001</v>
      </c>
      <c r="DI172">
        <v>28057.9</v>
      </c>
      <c r="DJ172">
        <v>36768.199999999997</v>
      </c>
      <c r="DK172">
        <v>38335.1</v>
      </c>
      <c r="DL172">
        <v>44334.400000000001</v>
      </c>
      <c r="DM172">
        <v>42519.9</v>
      </c>
      <c r="DN172">
        <v>1.3883799999999999</v>
      </c>
      <c r="DO172">
        <v>2.0337700000000001</v>
      </c>
      <c r="DP172">
        <v>8.3304900000000001E-2</v>
      </c>
      <c r="DQ172">
        <v>0.18768799999999999</v>
      </c>
      <c r="DR172">
        <v>25.6586</v>
      </c>
      <c r="DS172">
        <v>25.543299999999999</v>
      </c>
      <c r="DT172">
        <v>17.7</v>
      </c>
      <c r="DU172">
        <v>29.7</v>
      </c>
      <c r="DV172">
        <v>7.4807499999999996</v>
      </c>
      <c r="DW172">
        <v>61.961199999999998</v>
      </c>
      <c r="DX172">
        <v>36.097799999999999</v>
      </c>
      <c r="DY172">
        <v>1</v>
      </c>
      <c r="DZ172">
        <v>-8.4430900000000003E-2</v>
      </c>
      <c r="EA172">
        <v>-0.22591800000000001</v>
      </c>
      <c r="EB172">
        <v>20.1892</v>
      </c>
      <c r="EC172">
        <v>5.2408000000000001</v>
      </c>
      <c r="ED172">
        <v>12.039899999999999</v>
      </c>
      <c r="EE172">
        <v>5.0168999999999997</v>
      </c>
      <c r="EF172">
        <v>3.2879999999999998</v>
      </c>
      <c r="EG172">
        <v>9999</v>
      </c>
      <c r="EH172">
        <v>9999</v>
      </c>
      <c r="EI172">
        <v>9999</v>
      </c>
      <c r="EJ172">
        <v>999.9</v>
      </c>
      <c r="EK172">
        <v>1.86893</v>
      </c>
      <c r="EL172">
        <v>1.8647</v>
      </c>
      <c r="EM172">
        <v>1.8692</v>
      </c>
      <c r="EN172">
        <v>1.8672599999999999</v>
      </c>
      <c r="EO172">
        <v>1.8633999999999999</v>
      </c>
      <c r="EP172">
        <v>1.86459</v>
      </c>
      <c r="EQ172">
        <v>1.87016</v>
      </c>
      <c r="ER172">
        <v>1.86947</v>
      </c>
      <c r="ES172">
        <v>0</v>
      </c>
      <c r="ET172">
        <v>0</v>
      </c>
      <c r="EU172">
        <v>0</v>
      </c>
      <c r="EV172">
        <v>0</v>
      </c>
      <c r="EW172" t="s">
        <v>334</v>
      </c>
      <c r="EX172" t="s">
        <v>335</v>
      </c>
      <c r="EY172" t="s">
        <v>336</v>
      </c>
      <c r="EZ172" t="s">
        <v>336</v>
      </c>
      <c r="FA172" t="s">
        <v>336</v>
      </c>
      <c r="FB172" t="s">
        <v>336</v>
      </c>
      <c r="FC172">
        <v>0</v>
      </c>
      <c r="FD172">
        <v>100</v>
      </c>
      <c r="FE172">
        <v>100</v>
      </c>
      <c r="FF172">
        <v>-0.19500000000000001</v>
      </c>
      <c r="FG172">
        <v>0.19159999999999999</v>
      </c>
      <c r="FH172">
        <v>4.0020685143421282E-2</v>
      </c>
      <c r="FI172">
        <v>-6.1462078757559423E-4</v>
      </c>
      <c r="FJ172">
        <v>-1.8861989874597051E-7</v>
      </c>
      <c r="FK172">
        <v>1.1980462299894961E-10</v>
      </c>
      <c r="FL172">
        <v>0.19160597004026461</v>
      </c>
      <c r="FM172">
        <v>0</v>
      </c>
      <c r="FN172">
        <v>0</v>
      </c>
      <c r="FO172">
        <v>0</v>
      </c>
      <c r="FP172">
        <v>3</v>
      </c>
      <c r="FQ172">
        <v>2158</v>
      </c>
      <c r="FR172">
        <v>1</v>
      </c>
      <c r="FS172">
        <v>19</v>
      </c>
      <c r="FT172">
        <v>34.200000000000003</v>
      </c>
      <c r="FU172">
        <v>34.1</v>
      </c>
      <c r="FV172">
        <v>1.77979</v>
      </c>
      <c r="FW172">
        <v>2.5805699999999998</v>
      </c>
      <c r="FX172">
        <v>1.5490699999999999</v>
      </c>
      <c r="FY172">
        <v>2.3290999999999999</v>
      </c>
      <c r="FZ172">
        <v>1.50146</v>
      </c>
      <c r="GA172">
        <v>2.3303199999999999</v>
      </c>
      <c r="GB172">
        <v>33.850900000000003</v>
      </c>
      <c r="GC172">
        <v>23.982399999999998</v>
      </c>
      <c r="GD172">
        <v>19</v>
      </c>
      <c r="GE172">
        <v>247.62799999999999</v>
      </c>
      <c r="GF172">
        <v>582.17100000000005</v>
      </c>
      <c r="GG172">
        <v>25.546600000000002</v>
      </c>
      <c r="GH172">
        <v>26.3276</v>
      </c>
      <c r="GI172">
        <v>30</v>
      </c>
      <c r="GJ172">
        <v>26.468</v>
      </c>
      <c r="GK172">
        <v>26.4407</v>
      </c>
      <c r="GL172">
        <v>35.5824</v>
      </c>
      <c r="GM172">
        <v>-30</v>
      </c>
      <c r="GN172">
        <v>-30</v>
      </c>
      <c r="GO172">
        <v>25.537400000000002</v>
      </c>
      <c r="GP172">
        <v>800</v>
      </c>
      <c r="GQ172">
        <v>12.5298</v>
      </c>
      <c r="GR172">
        <v>99.680300000000003</v>
      </c>
      <c r="GS172">
        <v>99.474500000000006</v>
      </c>
    </row>
    <row r="173" spans="1:201" x14ac:dyDescent="0.25">
      <c r="A173">
        <v>157</v>
      </c>
      <c r="B173">
        <v>1690213976</v>
      </c>
      <c r="C173">
        <v>1708.5</v>
      </c>
      <c r="D173" t="s">
        <v>645</v>
      </c>
      <c r="E173" t="s">
        <v>646</v>
      </c>
      <c r="F173" t="s">
        <v>330</v>
      </c>
      <c r="H173">
        <v>1690213976</v>
      </c>
      <c r="I173">
        <f t="shared" si="60"/>
        <v>2.0800092968827778E-3</v>
      </c>
      <c r="J173">
        <f t="shared" si="61"/>
        <v>2.0800092968827779</v>
      </c>
      <c r="K173">
        <f t="shared" si="62"/>
        <v>38.173512661273314</v>
      </c>
      <c r="L173">
        <f t="shared" si="63"/>
        <v>352.76299999999998</v>
      </c>
      <c r="M173">
        <f t="shared" si="64"/>
        <v>39.782418968572571</v>
      </c>
      <c r="N173">
        <f t="shared" si="65"/>
        <v>3.9458385397622795</v>
      </c>
      <c r="O173">
        <f t="shared" si="66"/>
        <v>34.988969421436501</v>
      </c>
      <c r="P173">
        <f t="shared" si="67"/>
        <v>0.20683852827065552</v>
      </c>
      <c r="Q173">
        <f t="shared" si="68"/>
        <v>2.0132128323731417</v>
      </c>
      <c r="R173">
        <f t="shared" si="69"/>
        <v>0.19571620822614713</v>
      </c>
      <c r="S173">
        <f t="shared" si="70"/>
        <v>0.12327206242182445</v>
      </c>
      <c r="T173">
        <f t="shared" si="71"/>
        <v>276.11561696400003</v>
      </c>
      <c r="U173">
        <f t="shared" si="72"/>
        <v>28.508809430425821</v>
      </c>
      <c r="V173">
        <f t="shared" si="73"/>
        <v>28.508809430425821</v>
      </c>
      <c r="W173">
        <f t="shared" si="74"/>
        <v>3.908868718974476</v>
      </c>
      <c r="X173">
        <f t="shared" si="75"/>
        <v>80.891618459340435</v>
      </c>
      <c r="Y173">
        <f t="shared" si="76"/>
        <v>2.8908899160286499</v>
      </c>
      <c r="Z173">
        <f t="shared" si="77"/>
        <v>3.5737817725599523</v>
      </c>
      <c r="AA173">
        <f t="shared" si="78"/>
        <v>1.0179788029458261</v>
      </c>
      <c r="AB173">
        <f t="shared" si="79"/>
        <v>-91.728409992530501</v>
      </c>
      <c r="AC173">
        <f t="shared" si="80"/>
        <v>-166.53916863169249</v>
      </c>
      <c r="AD173">
        <f t="shared" si="81"/>
        <v>-17.985448601260885</v>
      </c>
      <c r="AE173">
        <f t="shared" si="82"/>
        <v>-0.13741026148383639</v>
      </c>
      <c r="AF173">
        <v>33</v>
      </c>
      <c r="AG173">
        <v>11</v>
      </c>
      <c r="AH173">
        <f t="shared" si="83"/>
        <v>1</v>
      </c>
      <c r="AI173">
        <f t="shared" si="84"/>
        <v>0</v>
      </c>
      <c r="AJ173">
        <f t="shared" si="85"/>
        <v>52460.890053995732</v>
      </c>
      <c r="AK173">
        <f t="shared" si="86"/>
        <v>1800</v>
      </c>
      <c r="AL173">
        <f t="shared" si="87"/>
        <v>1499.1134184</v>
      </c>
      <c r="AM173">
        <f t="shared" si="88"/>
        <v>0.83284078799999994</v>
      </c>
      <c r="AN173">
        <f t="shared" si="89"/>
        <v>0.15339756498000001</v>
      </c>
      <c r="AO173">
        <v>34.5</v>
      </c>
      <c r="AP173">
        <v>0.5</v>
      </c>
      <c r="AQ173" t="s">
        <v>331</v>
      </c>
      <c r="AR173">
        <v>2</v>
      </c>
      <c r="AS173">
        <v>1690213976</v>
      </c>
      <c r="AT173">
        <v>352.76299999999998</v>
      </c>
      <c r="AU173">
        <v>799.96100000000001</v>
      </c>
      <c r="AV173">
        <v>29.1463</v>
      </c>
      <c r="AW173">
        <v>5.9356</v>
      </c>
      <c r="AX173">
        <v>352.959</v>
      </c>
      <c r="AY173">
        <v>28.954699999999999</v>
      </c>
      <c r="AZ173">
        <v>300.15800000000002</v>
      </c>
      <c r="BA173">
        <v>99.085499999999996</v>
      </c>
      <c r="BB173">
        <v>9.9985500000000005E-2</v>
      </c>
      <c r="BC173">
        <v>26.974399999999999</v>
      </c>
      <c r="BD173">
        <v>27.002800000000001</v>
      </c>
      <c r="BE173">
        <v>28.587</v>
      </c>
      <c r="BF173">
        <v>0</v>
      </c>
      <c r="BG173">
        <v>0</v>
      </c>
      <c r="BH173">
        <v>10012.5</v>
      </c>
      <c r="BI173">
        <v>1077.28</v>
      </c>
      <c r="BJ173">
        <v>2.0744500000000001</v>
      </c>
      <c r="BK173">
        <v>-447.197</v>
      </c>
      <c r="BL173">
        <v>363.35399999999998</v>
      </c>
      <c r="BM173">
        <v>804.73699999999997</v>
      </c>
      <c r="BN173">
        <v>23.210699999999999</v>
      </c>
      <c r="BO173">
        <v>799.96100000000001</v>
      </c>
      <c r="BP173">
        <v>5.9356</v>
      </c>
      <c r="BQ173">
        <v>2.8879700000000001</v>
      </c>
      <c r="BR173">
        <v>0.58813099999999996</v>
      </c>
      <c r="BS173">
        <v>23.395700000000001</v>
      </c>
      <c r="BT173">
        <v>-0.58337600000000001</v>
      </c>
      <c r="BU173">
        <v>1800</v>
      </c>
      <c r="BV173">
        <v>0.91000199999999998</v>
      </c>
      <c r="BW173">
        <v>3.3993000000000002E-2</v>
      </c>
      <c r="BX173">
        <v>2.2003399999999999E-2</v>
      </c>
      <c r="BY173">
        <v>3.4001400000000001E-2</v>
      </c>
      <c r="BZ173">
        <v>26</v>
      </c>
      <c r="CA173">
        <v>33528.400000000001</v>
      </c>
      <c r="CB173">
        <v>1690211922</v>
      </c>
      <c r="CC173" t="s">
        <v>332</v>
      </c>
      <c r="CD173">
        <v>1690211915</v>
      </c>
      <c r="CE173">
        <v>1690211922</v>
      </c>
      <c r="CF173">
        <v>6</v>
      </c>
      <c r="CG173">
        <v>1.0999999999999999E-2</v>
      </c>
      <c r="CH173">
        <v>8.0000000000000002E-3</v>
      </c>
      <c r="CI173">
        <v>-0.51100000000000001</v>
      </c>
      <c r="CJ173">
        <v>-6.6000000000000003E-2</v>
      </c>
      <c r="CK173">
        <v>800</v>
      </c>
      <c r="CL173">
        <v>6</v>
      </c>
      <c r="CM173">
        <v>0.21</v>
      </c>
      <c r="CN173">
        <v>0.02</v>
      </c>
      <c r="CO173">
        <v>-446.09414634146327</v>
      </c>
      <c r="CP173">
        <v>-6.7354329411827889</v>
      </c>
      <c r="CQ173">
        <v>0.66689954488995284</v>
      </c>
      <c r="CR173">
        <v>-1</v>
      </c>
      <c r="CS173">
        <v>23.183931707317068</v>
      </c>
      <c r="CT173">
        <v>0.102070770303493</v>
      </c>
      <c r="CU173">
        <v>1.022816386794098E-2</v>
      </c>
      <c r="CV173">
        <v>-1</v>
      </c>
      <c r="CW173">
        <v>0</v>
      </c>
      <c r="CX173">
        <v>0</v>
      </c>
      <c r="CY173" t="s">
        <v>333</v>
      </c>
      <c r="CZ173">
        <v>2.3643700000000001</v>
      </c>
      <c r="DA173">
        <v>2.7137899999999999</v>
      </c>
      <c r="DB173">
        <v>8.1204499999999999E-2</v>
      </c>
      <c r="DC173">
        <v>0.14605899999999999</v>
      </c>
      <c r="DD173">
        <v>0.13041700000000001</v>
      </c>
      <c r="DE173">
        <v>3.9097399999999997E-2</v>
      </c>
      <c r="DF173">
        <v>33530.400000000001</v>
      </c>
      <c r="DG173">
        <v>27496.6</v>
      </c>
      <c r="DH173">
        <v>31155.1</v>
      </c>
      <c r="DI173">
        <v>28058.1</v>
      </c>
      <c r="DJ173">
        <v>36764.300000000003</v>
      </c>
      <c r="DK173">
        <v>38335.300000000003</v>
      </c>
      <c r="DL173">
        <v>44333.8</v>
      </c>
      <c r="DM173">
        <v>42519.9</v>
      </c>
      <c r="DN173">
        <v>1.38828</v>
      </c>
      <c r="DO173">
        <v>2.0337000000000001</v>
      </c>
      <c r="DP173">
        <v>8.2023399999999996E-2</v>
      </c>
      <c r="DQ173">
        <v>0.18612999999999999</v>
      </c>
      <c r="DR173">
        <v>25.6599</v>
      </c>
      <c r="DS173">
        <v>25.543299999999999</v>
      </c>
      <c r="DT173">
        <v>17.7</v>
      </c>
      <c r="DU173">
        <v>29.7</v>
      </c>
      <c r="DV173">
        <v>7.4808899999999996</v>
      </c>
      <c r="DW173">
        <v>61.621200000000002</v>
      </c>
      <c r="DX173">
        <v>35.973599999999998</v>
      </c>
      <c r="DY173">
        <v>1</v>
      </c>
      <c r="DZ173">
        <v>-8.4314E-2</v>
      </c>
      <c r="EA173">
        <v>-0.27708899999999997</v>
      </c>
      <c r="EB173">
        <v>20.189399999999999</v>
      </c>
      <c r="EC173">
        <v>5.2411000000000003</v>
      </c>
      <c r="ED173">
        <v>12.039899999999999</v>
      </c>
      <c r="EE173">
        <v>5.0163000000000002</v>
      </c>
      <c r="EF173">
        <v>3.2879999999999998</v>
      </c>
      <c r="EG173">
        <v>9999</v>
      </c>
      <c r="EH173">
        <v>9999</v>
      </c>
      <c r="EI173">
        <v>9999</v>
      </c>
      <c r="EJ173">
        <v>999.9</v>
      </c>
      <c r="EK173">
        <v>1.86894</v>
      </c>
      <c r="EL173">
        <v>1.8647100000000001</v>
      </c>
      <c r="EM173">
        <v>1.8692</v>
      </c>
      <c r="EN173">
        <v>1.8672599999999999</v>
      </c>
      <c r="EO173">
        <v>1.8633999999999999</v>
      </c>
      <c r="EP173">
        <v>1.86459</v>
      </c>
      <c r="EQ173">
        <v>1.87018</v>
      </c>
      <c r="ER173">
        <v>1.8694900000000001</v>
      </c>
      <c r="ES173">
        <v>0</v>
      </c>
      <c r="ET173">
        <v>0</v>
      </c>
      <c r="EU173">
        <v>0</v>
      </c>
      <c r="EV173">
        <v>0</v>
      </c>
      <c r="EW173" t="s">
        <v>334</v>
      </c>
      <c r="EX173" t="s">
        <v>335</v>
      </c>
      <c r="EY173" t="s">
        <v>336</v>
      </c>
      <c r="EZ173" t="s">
        <v>336</v>
      </c>
      <c r="FA173" t="s">
        <v>336</v>
      </c>
      <c r="FB173" t="s">
        <v>336</v>
      </c>
      <c r="FC173">
        <v>0</v>
      </c>
      <c r="FD173">
        <v>100</v>
      </c>
      <c r="FE173">
        <v>100</v>
      </c>
      <c r="FF173">
        <v>-0.19600000000000001</v>
      </c>
      <c r="FG173">
        <v>0.19159999999999999</v>
      </c>
      <c r="FH173">
        <v>4.0020685143421282E-2</v>
      </c>
      <c r="FI173">
        <v>-6.1462078757559423E-4</v>
      </c>
      <c r="FJ173">
        <v>-1.8861989874597051E-7</v>
      </c>
      <c r="FK173">
        <v>1.1980462299894961E-10</v>
      </c>
      <c r="FL173">
        <v>0.19160597004026461</v>
      </c>
      <c r="FM173">
        <v>0</v>
      </c>
      <c r="FN173">
        <v>0</v>
      </c>
      <c r="FO173">
        <v>0</v>
      </c>
      <c r="FP173">
        <v>3</v>
      </c>
      <c r="FQ173">
        <v>2158</v>
      </c>
      <c r="FR173">
        <v>1</v>
      </c>
      <c r="FS173">
        <v>19</v>
      </c>
      <c r="FT173">
        <v>34.4</v>
      </c>
      <c r="FU173">
        <v>34.200000000000003</v>
      </c>
      <c r="FV173">
        <v>1.77979</v>
      </c>
      <c r="FW173">
        <v>2.5781200000000002</v>
      </c>
      <c r="FX173">
        <v>1.5490699999999999</v>
      </c>
      <c r="FY173">
        <v>2.3290999999999999</v>
      </c>
      <c r="FZ173">
        <v>1.50146</v>
      </c>
      <c r="GA173">
        <v>2.34619</v>
      </c>
      <c r="GB173">
        <v>33.850900000000003</v>
      </c>
      <c r="GC173">
        <v>23.982399999999998</v>
      </c>
      <c r="GD173">
        <v>19</v>
      </c>
      <c r="GE173">
        <v>247.58600000000001</v>
      </c>
      <c r="GF173">
        <v>582.10599999999999</v>
      </c>
      <c r="GG173">
        <v>25.519200000000001</v>
      </c>
      <c r="GH173">
        <v>26.3264</v>
      </c>
      <c r="GI173">
        <v>30</v>
      </c>
      <c r="GJ173">
        <v>26.466999999999999</v>
      </c>
      <c r="GK173">
        <v>26.4405</v>
      </c>
      <c r="GL173">
        <v>35.583100000000002</v>
      </c>
      <c r="GM173">
        <v>-30</v>
      </c>
      <c r="GN173">
        <v>-30</v>
      </c>
      <c r="GO173">
        <v>25.536100000000001</v>
      </c>
      <c r="GP173">
        <v>800</v>
      </c>
      <c r="GQ173">
        <v>12.5298</v>
      </c>
      <c r="GR173">
        <v>99.679199999999994</v>
      </c>
      <c r="GS173">
        <v>99.474800000000002</v>
      </c>
    </row>
    <row r="174" spans="1:201" x14ac:dyDescent="0.25">
      <c r="A174">
        <v>158</v>
      </c>
      <c r="B174">
        <v>1690213986</v>
      </c>
      <c r="C174">
        <v>1718.5</v>
      </c>
      <c r="D174" t="s">
        <v>647</v>
      </c>
      <c r="E174" t="s">
        <v>648</v>
      </c>
      <c r="F174" t="s">
        <v>330</v>
      </c>
      <c r="H174">
        <v>1690213986</v>
      </c>
      <c r="I174">
        <f t="shared" si="60"/>
        <v>2.0825693937271831E-3</v>
      </c>
      <c r="J174">
        <f t="shared" si="61"/>
        <v>2.0825693937271832</v>
      </c>
      <c r="K174">
        <f t="shared" si="62"/>
        <v>38.265381277372761</v>
      </c>
      <c r="L174">
        <f t="shared" si="63"/>
        <v>351.76900000000001</v>
      </c>
      <c r="M174">
        <f t="shared" si="64"/>
        <v>39.66107967724728</v>
      </c>
      <c r="N174">
        <f t="shared" si="65"/>
        <v>3.9337152607974</v>
      </c>
      <c r="O174">
        <f t="shared" si="66"/>
        <v>34.889596925654899</v>
      </c>
      <c r="P174">
        <f t="shared" si="67"/>
        <v>0.20797925365190223</v>
      </c>
      <c r="Q174">
        <f t="shared" si="68"/>
        <v>2.0092625335453249</v>
      </c>
      <c r="R174">
        <f t="shared" si="69"/>
        <v>0.19671667819493777</v>
      </c>
      <c r="S174">
        <f t="shared" si="70"/>
        <v>0.12390897158021758</v>
      </c>
      <c r="T174">
        <f t="shared" si="71"/>
        <v>276.11568341999998</v>
      </c>
      <c r="U174">
        <f t="shared" si="72"/>
        <v>28.503303863213361</v>
      </c>
      <c r="V174">
        <f t="shared" si="73"/>
        <v>28.503303863213361</v>
      </c>
      <c r="W174">
        <f t="shared" si="74"/>
        <v>3.9076190528061225</v>
      </c>
      <c r="X174">
        <f t="shared" si="75"/>
        <v>81.002243231170951</v>
      </c>
      <c r="Y174">
        <f t="shared" si="76"/>
        <v>2.8936022434840298</v>
      </c>
      <c r="Z174">
        <f t="shared" si="77"/>
        <v>3.5722495181102909</v>
      </c>
      <c r="AA174">
        <f t="shared" si="78"/>
        <v>1.0140168093220927</v>
      </c>
      <c r="AB174">
        <f t="shared" si="79"/>
        <v>-91.841310263368769</v>
      </c>
      <c r="AC174">
        <f t="shared" si="80"/>
        <v>-166.40676673284932</v>
      </c>
      <c r="AD174">
        <f t="shared" si="81"/>
        <v>-18.005332121988861</v>
      </c>
      <c r="AE174">
        <f t="shared" si="82"/>
        <v>-0.13772569820699232</v>
      </c>
      <c r="AF174">
        <v>33</v>
      </c>
      <c r="AG174">
        <v>11</v>
      </c>
      <c r="AH174">
        <f t="shared" si="83"/>
        <v>1</v>
      </c>
      <c r="AI174">
        <f t="shared" si="84"/>
        <v>0</v>
      </c>
      <c r="AJ174">
        <f t="shared" si="85"/>
        <v>52272.505509107796</v>
      </c>
      <c r="AK174">
        <f t="shared" si="86"/>
        <v>1800</v>
      </c>
      <c r="AL174">
        <f t="shared" si="87"/>
        <v>1499.1143759999998</v>
      </c>
      <c r="AM174">
        <f t="shared" si="88"/>
        <v>0.83284131999999989</v>
      </c>
      <c r="AN174">
        <f t="shared" si="89"/>
        <v>0.15339760189999999</v>
      </c>
      <c r="AO174">
        <v>34.5</v>
      </c>
      <c r="AP174">
        <v>0.5</v>
      </c>
      <c r="AQ174" t="s">
        <v>331</v>
      </c>
      <c r="AR174">
        <v>2</v>
      </c>
      <c r="AS174">
        <v>1690213986</v>
      </c>
      <c r="AT174">
        <v>351.76900000000001</v>
      </c>
      <c r="AU174">
        <v>800.01400000000001</v>
      </c>
      <c r="AV174">
        <v>29.174299999999999</v>
      </c>
      <c r="AW174">
        <v>5.9354699999999996</v>
      </c>
      <c r="AX174">
        <v>351.96300000000002</v>
      </c>
      <c r="AY174">
        <v>28.982700000000001</v>
      </c>
      <c r="AZ174">
        <v>300.15499999999997</v>
      </c>
      <c r="BA174">
        <v>99.083299999999994</v>
      </c>
      <c r="BB174">
        <v>9.9962099999999998E-2</v>
      </c>
      <c r="BC174">
        <v>26.967099999999999</v>
      </c>
      <c r="BD174">
        <v>26.9862</v>
      </c>
      <c r="BE174">
        <v>28.598800000000001</v>
      </c>
      <c r="BF174">
        <v>0</v>
      </c>
      <c r="BG174">
        <v>0</v>
      </c>
      <c r="BH174">
        <v>9975</v>
      </c>
      <c r="BI174">
        <v>1077.25</v>
      </c>
      <c r="BJ174">
        <v>2.0744500000000001</v>
      </c>
      <c r="BK174">
        <v>-448.24599999999998</v>
      </c>
      <c r="BL174">
        <v>362.34</v>
      </c>
      <c r="BM174">
        <v>804.79100000000005</v>
      </c>
      <c r="BN174">
        <v>23.238800000000001</v>
      </c>
      <c r="BO174">
        <v>800.01400000000001</v>
      </c>
      <c r="BP174">
        <v>5.9354699999999996</v>
      </c>
      <c r="BQ174">
        <v>2.8906800000000001</v>
      </c>
      <c r="BR174">
        <v>0.58810499999999999</v>
      </c>
      <c r="BS174">
        <v>23.411300000000001</v>
      </c>
      <c r="BT174">
        <v>-0.58398700000000003</v>
      </c>
      <c r="BU174">
        <v>1800</v>
      </c>
      <c r="BV174">
        <v>0.91000400000000004</v>
      </c>
      <c r="BW174">
        <v>3.3992500000000002E-2</v>
      </c>
      <c r="BX174">
        <v>2.2003000000000002E-2</v>
      </c>
      <c r="BY174">
        <v>3.4000799999999998E-2</v>
      </c>
      <c r="BZ174">
        <v>26</v>
      </c>
      <c r="CA174">
        <v>33528.400000000001</v>
      </c>
      <c r="CB174">
        <v>1690211922</v>
      </c>
      <c r="CC174" t="s">
        <v>332</v>
      </c>
      <c r="CD174">
        <v>1690211915</v>
      </c>
      <c r="CE174">
        <v>1690211922</v>
      </c>
      <c r="CF174">
        <v>6</v>
      </c>
      <c r="CG174">
        <v>1.0999999999999999E-2</v>
      </c>
      <c r="CH174">
        <v>8.0000000000000002E-3</v>
      </c>
      <c r="CI174">
        <v>-0.51100000000000001</v>
      </c>
      <c r="CJ174">
        <v>-6.6000000000000003E-2</v>
      </c>
      <c r="CK174">
        <v>800</v>
      </c>
      <c r="CL174">
        <v>6</v>
      </c>
      <c r="CM174">
        <v>0.21</v>
      </c>
      <c r="CN174">
        <v>0.02</v>
      </c>
      <c r="CO174">
        <v>-447.19884999999988</v>
      </c>
      <c r="CP174">
        <v>-5.7956172607867833</v>
      </c>
      <c r="CQ174">
        <v>0.55871833467320753</v>
      </c>
      <c r="CR174">
        <v>-1</v>
      </c>
      <c r="CS174">
        <v>23.20823</v>
      </c>
      <c r="CT174">
        <v>0.1671692307691876</v>
      </c>
      <c r="CU174">
        <v>1.612078161876784E-2</v>
      </c>
      <c r="CV174">
        <v>-1</v>
      </c>
      <c r="CW174">
        <v>0</v>
      </c>
      <c r="CX174">
        <v>0</v>
      </c>
      <c r="CY174" t="s">
        <v>333</v>
      </c>
      <c r="CZ174">
        <v>2.36436</v>
      </c>
      <c r="DA174">
        <v>2.71373</v>
      </c>
      <c r="DB174">
        <v>8.1023100000000001E-2</v>
      </c>
      <c r="DC174">
        <v>0.146063</v>
      </c>
      <c r="DD174">
        <v>0.13050100000000001</v>
      </c>
      <c r="DE174">
        <v>3.9096100000000002E-2</v>
      </c>
      <c r="DF174">
        <v>33537</v>
      </c>
      <c r="DG174">
        <v>27496.3</v>
      </c>
      <c r="DH174">
        <v>31155.1</v>
      </c>
      <c r="DI174">
        <v>28057.8</v>
      </c>
      <c r="DJ174">
        <v>36760.9</v>
      </c>
      <c r="DK174">
        <v>38335.1</v>
      </c>
      <c r="DL174">
        <v>44334.1</v>
      </c>
      <c r="DM174">
        <v>42519.7</v>
      </c>
      <c r="DN174">
        <v>1.3880699999999999</v>
      </c>
      <c r="DO174">
        <v>2.0338699999999998</v>
      </c>
      <c r="DP174">
        <v>8.1010200000000004E-2</v>
      </c>
      <c r="DQ174">
        <v>0.18685299999999999</v>
      </c>
      <c r="DR174">
        <v>25.6599</v>
      </c>
      <c r="DS174">
        <v>25.543299999999999</v>
      </c>
      <c r="DT174">
        <v>17.7</v>
      </c>
      <c r="DU174">
        <v>29.7</v>
      </c>
      <c r="DV174">
        <v>7.4817900000000002</v>
      </c>
      <c r="DW174">
        <v>61.761200000000002</v>
      </c>
      <c r="DX174">
        <v>35.941499999999998</v>
      </c>
      <c r="DY174">
        <v>1</v>
      </c>
      <c r="DZ174">
        <v>-8.4644300000000006E-2</v>
      </c>
      <c r="EA174">
        <v>-0.26224700000000001</v>
      </c>
      <c r="EB174">
        <v>20.189299999999999</v>
      </c>
      <c r="EC174">
        <v>5.2403500000000003</v>
      </c>
      <c r="ED174">
        <v>12.039899999999999</v>
      </c>
      <c r="EE174">
        <v>5.0163500000000001</v>
      </c>
      <c r="EF174">
        <v>3.2879999999999998</v>
      </c>
      <c r="EG174">
        <v>9999</v>
      </c>
      <c r="EH174">
        <v>9999</v>
      </c>
      <c r="EI174">
        <v>9999</v>
      </c>
      <c r="EJ174">
        <v>999.9</v>
      </c>
      <c r="EK174">
        <v>1.8689199999999999</v>
      </c>
      <c r="EL174">
        <v>1.86467</v>
      </c>
      <c r="EM174">
        <v>1.8691899999999999</v>
      </c>
      <c r="EN174">
        <v>1.86727</v>
      </c>
      <c r="EO174">
        <v>1.8633999999999999</v>
      </c>
      <c r="EP174">
        <v>1.8645700000000001</v>
      </c>
      <c r="EQ174">
        <v>1.87018</v>
      </c>
      <c r="ER174">
        <v>1.8694900000000001</v>
      </c>
      <c r="ES174">
        <v>0</v>
      </c>
      <c r="ET174">
        <v>0</v>
      </c>
      <c r="EU174">
        <v>0</v>
      </c>
      <c r="EV174">
        <v>0</v>
      </c>
      <c r="EW174" t="s">
        <v>334</v>
      </c>
      <c r="EX174" t="s">
        <v>335</v>
      </c>
      <c r="EY174" t="s">
        <v>336</v>
      </c>
      <c r="EZ174" t="s">
        <v>336</v>
      </c>
      <c r="FA174" t="s">
        <v>336</v>
      </c>
      <c r="FB174" t="s">
        <v>336</v>
      </c>
      <c r="FC174">
        <v>0</v>
      </c>
      <c r="FD174">
        <v>100</v>
      </c>
      <c r="FE174">
        <v>100</v>
      </c>
      <c r="FF174">
        <v>-0.19400000000000001</v>
      </c>
      <c r="FG174">
        <v>0.19159999999999999</v>
      </c>
      <c r="FH174">
        <v>4.0020685143421282E-2</v>
      </c>
      <c r="FI174">
        <v>-6.1462078757559423E-4</v>
      </c>
      <c r="FJ174">
        <v>-1.8861989874597051E-7</v>
      </c>
      <c r="FK174">
        <v>1.1980462299894961E-10</v>
      </c>
      <c r="FL174">
        <v>0.19160597004026461</v>
      </c>
      <c r="FM174">
        <v>0</v>
      </c>
      <c r="FN174">
        <v>0</v>
      </c>
      <c r="FO174">
        <v>0</v>
      </c>
      <c r="FP174">
        <v>3</v>
      </c>
      <c r="FQ174">
        <v>2158</v>
      </c>
      <c r="FR174">
        <v>1</v>
      </c>
      <c r="FS174">
        <v>19</v>
      </c>
      <c r="FT174">
        <v>34.5</v>
      </c>
      <c r="FU174">
        <v>34.4</v>
      </c>
      <c r="FV174">
        <v>1.77979</v>
      </c>
      <c r="FW174">
        <v>2.5756800000000002</v>
      </c>
      <c r="FX174">
        <v>1.5490699999999999</v>
      </c>
      <c r="FY174">
        <v>2.3290999999999999</v>
      </c>
      <c r="FZ174">
        <v>1.50146</v>
      </c>
      <c r="GA174">
        <v>2.3303199999999999</v>
      </c>
      <c r="GB174">
        <v>33.850900000000003</v>
      </c>
      <c r="GC174">
        <v>23.982399999999998</v>
      </c>
      <c r="GD174">
        <v>19</v>
      </c>
      <c r="GE174">
        <v>247.50399999999999</v>
      </c>
      <c r="GF174">
        <v>582.22500000000002</v>
      </c>
      <c r="GG174">
        <v>25.5304</v>
      </c>
      <c r="GH174">
        <v>26.325800000000001</v>
      </c>
      <c r="GI174">
        <v>29.9998</v>
      </c>
      <c r="GJ174">
        <v>26.465800000000002</v>
      </c>
      <c r="GK174">
        <v>26.438300000000002</v>
      </c>
      <c r="GL174">
        <v>35.581000000000003</v>
      </c>
      <c r="GM174">
        <v>-30</v>
      </c>
      <c r="GN174">
        <v>-30</v>
      </c>
      <c r="GO174">
        <v>25.5307</v>
      </c>
      <c r="GP174">
        <v>800</v>
      </c>
      <c r="GQ174">
        <v>12.5298</v>
      </c>
      <c r="GR174">
        <v>99.679599999999994</v>
      </c>
      <c r="GS174">
        <v>99.474100000000007</v>
      </c>
    </row>
    <row r="175" spans="1:201" x14ac:dyDescent="0.25">
      <c r="A175">
        <v>159</v>
      </c>
      <c r="B175">
        <v>1690213996</v>
      </c>
      <c r="C175">
        <v>1728.5</v>
      </c>
      <c r="D175" t="s">
        <v>649</v>
      </c>
      <c r="E175" t="s">
        <v>650</v>
      </c>
      <c r="F175" t="s">
        <v>330</v>
      </c>
      <c r="H175">
        <v>1690213996</v>
      </c>
      <c r="I175">
        <f t="shared" si="60"/>
        <v>2.0839489000267783E-3</v>
      </c>
      <c r="J175">
        <f t="shared" si="61"/>
        <v>2.0839489000267784</v>
      </c>
      <c r="K175">
        <f t="shared" si="62"/>
        <v>38.350159389794165</v>
      </c>
      <c r="L175">
        <f t="shared" si="63"/>
        <v>350.82799999999997</v>
      </c>
      <c r="M175">
        <f t="shared" si="64"/>
        <v>38.967812018509584</v>
      </c>
      <c r="N175">
        <f t="shared" si="65"/>
        <v>3.8652340302751336</v>
      </c>
      <c r="O175">
        <f t="shared" si="66"/>
        <v>34.798780176039998</v>
      </c>
      <c r="P175">
        <f t="shared" si="67"/>
        <v>0.2085915465451563</v>
      </c>
      <c r="Q175">
        <f t="shared" si="68"/>
        <v>2.0154884460189986</v>
      </c>
      <c r="R175">
        <f t="shared" si="69"/>
        <v>0.19729745363093815</v>
      </c>
      <c r="S175">
        <f t="shared" si="70"/>
        <v>0.12427465306645664</v>
      </c>
      <c r="T175">
        <f t="shared" si="71"/>
        <v>276.11553765600001</v>
      </c>
      <c r="U175">
        <f t="shared" si="72"/>
        <v>28.500107987764107</v>
      </c>
      <c r="V175">
        <f t="shared" si="73"/>
        <v>28.500107987764107</v>
      </c>
      <c r="W175">
        <f t="shared" si="74"/>
        <v>3.9068938055866589</v>
      </c>
      <c r="X175">
        <f t="shared" si="75"/>
        <v>81.037132159452185</v>
      </c>
      <c r="Y175">
        <f t="shared" si="76"/>
        <v>2.8951206756250003</v>
      </c>
      <c r="Z175">
        <f t="shared" si="77"/>
        <v>3.5725853056206813</v>
      </c>
      <c r="AA175">
        <f t="shared" si="78"/>
        <v>1.0117731299616586</v>
      </c>
      <c r="AB175">
        <f t="shared" si="79"/>
        <v>-91.902146491180929</v>
      </c>
      <c r="AC175">
        <f t="shared" si="80"/>
        <v>-166.40128060662508</v>
      </c>
      <c r="AD175">
        <f t="shared" si="81"/>
        <v>-17.948977666901683</v>
      </c>
      <c r="AE175">
        <f t="shared" si="82"/>
        <v>-0.13686710870766206</v>
      </c>
      <c r="AF175">
        <v>33</v>
      </c>
      <c r="AG175">
        <v>11</v>
      </c>
      <c r="AH175">
        <f t="shared" si="83"/>
        <v>1</v>
      </c>
      <c r="AI175">
        <f t="shared" si="84"/>
        <v>0</v>
      </c>
      <c r="AJ175">
        <f t="shared" si="85"/>
        <v>52571.462489273603</v>
      </c>
      <c r="AK175">
        <f t="shared" si="86"/>
        <v>1800</v>
      </c>
      <c r="AL175">
        <f t="shared" si="87"/>
        <v>1499.1134165999999</v>
      </c>
      <c r="AM175">
        <f t="shared" si="88"/>
        <v>0.83284078699999997</v>
      </c>
      <c r="AN175">
        <f t="shared" si="89"/>
        <v>0.15339752092</v>
      </c>
      <c r="AO175">
        <v>34.5</v>
      </c>
      <c r="AP175">
        <v>0.5</v>
      </c>
      <c r="AQ175" t="s">
        <v>331</v>
      </c>
      <c r="AR175">
        <v>2</v>
      </c>
      <c r="AS175">
        <v>1690213996</v>
      </c>
      <c r="AT175">
        <v>350.82799999999997</v>
      </c>
      <c r="AU175">
        <v>800.02300000000002</v>
      </c>
      <c r="AV175">
        <v>29.1875</v>
      </c>
      <c r="AW175">
        <v>5.93398</v>
      </c>
      <c r="AX175">
        <v>351.02100000000002</v>
      </c>
      <c r="AY175">
        <v>28.995899999999999</v>
      </c>
      <c r="AZ175">
        <v>300.16000000000003</v>
      </c>
      <c r="BA175">
        <v>99.090400000000002</v>
      </c>
      <c r="BB175">
        <v>0.10002999999999999</v>
      </c>
      <c r="BC175">
        <v>26.968699999999998</v>
      </c>
      <c r="BD175">
        <v>27.0029</v>
      </c>
      <c r="BE175">
        <v>28.582100000000001</v>
      </c>
      <c r="BF175">
        <v>0</v>
      </c>
      <c r="BG175">
        <v>0</v>
      </c>
      <c r="BH175">
        <v>10033.799999999999</v>
      </c>
      <c r="BI175">
        <v>1077.31</v>
      </c>
      <c r="BJ175">
        <v>2.0744500000000001</v>
      </c>
      <c r="BK175">
        <v>-449.19499999999999</v>
      </c>
      <c r="BL175">
        <v>361.375</v>
      </c>
      <c r="BM175">
        <v>804.79899999999998</v>
      </c>
      <c r="BN175">
        <v>23.253599999999999</v>
      </c>
      <c r="BO175">
        <v>800.02300000000002</v>
      </c>
      <c r="BP175">
        <v>5.93398</v>
      </c>
      <c r="BQ175">
        <v>2.8922099999999999</v>
      </c>
      <c r="BR175">
        <v>0.588001</v>
      </c>
      <c r="BS175">
        <v>23.42</v>
      </c>
      <c r="BT175">
        <v>-0.58642099999999997</v>
      </c>
      <c r="BU175">
        <v>1800</v>
      </c>
      <c r="BV175">
        <v>0.91000300000000001</v>
      </c>
      <c r="BW175">
        <v>3.3992599999999998E-2</v>
      </c>
      <c r="BX175">
        <v>2.2003100000000001E-2</v>
      </c>
      <c r="BY175">
        <v>3.4001000000000003E-2</v>
      </c>
      <c r="BZ175">
        <v>26</v>
      </c>
      <c r="CA175">
        <v>33528.300000000003</v>
      </c>
      <c r="CB175">
        <v>1690211922</v>
      </c>
      <c r="CC175" t="s">
        <v>332</v>
      </c>
      <c r="CD175">
        <v>1690211915</v>
      </c>
      <c r="CE175">
        <v>1690211922</v>
      </c>
      <c r="CF175">
        <v>6</v>
      </c>
      <c r="CG175">
        <v>1.0999999999999999E-2</v>
      </c>
      <c r="CH175">
        <v>8.0000000000000002E-3</v>
      </c>
      <c r="CI175">
        <v>-0.51100000000000001</v>
      </c>
      <c r="CJ175">
        <v>-6.6000000000000003E-2</v>
      </c>
      <c r="CK175">
        <v>800</v>
      </c>
      <c r="CL175">
        <v>6</v>
      </c>
      <c r="CM175">
        <v>0.21</v>
      </c>
      <c r="CN175">
        <v>0.02</v>
      </c>
      <c r="CO175">
        <v>-448.20204878048781</v>
      </c>
      <c r="CP175">
        <v>-6.0463275261326794</v>
      </c>
      <c r="CQ175">
        <v>0.59724481033670196</v>
      </c>
      <c r="CR175">
        <v>-1</v>
      </c>
      <c r="CS175">
        <v>23.234736585365852</v>
      </c>
      <c r="CT175">
        <v>0.13489128919865101</v>
      </c>
      <c r="CU175">
        <v>1.344957622140577E-2</v>
      </c>
      <c r="CV175">
        <v>-1</v>
      </c>
      <c r="CW175">
        <v>0</v>
      </c>
      <c r="CX175">
        <v>0</v>
      </c>
      <c r="CY175" t="s">
        <v>333</v>
      </c>
      <c r="CZ175">
        <v>2.3643700000000001</v>
      </c>
      <c r="DA175">
        <v>2.7138499999999999</v>
      </c>
      <c r="DB175">
        <v>8.08585E-2</v>
      </c>
      <c r="DC175">
        <v>0.14607400000000001</v>
      </c>
      <c r="DD175">
        <v>0.130552</v>
      </c>
      <c r="DE175">
        <v>3.9090899999999998E-2</v>
      </c>
      <c r="DF175">
        <v>33543</v>
      </c>
      <c r="DG175">
        <v>27496.3</v>
      </c>
      <c r="DH175">
        <v>31155</v>
      </c>
      <c r="DI175">
        <v>28058.2</v>
      </c>
      <c r="DJ175">
        <v>36758.5</v>
      </c>
      <c r="DK175">
        <v>38335.800000000003</v>
      </c>
      <c r="DL175">
        <v>44333.8</v>
      </c>
      <c r="DM175">
        <v>42520.2</v>
      </c>
      <c r="DN175">
        <v>1.38842</v>
      </c>
      <c r="DO175">
        <v>2.0339800000000001</v>
      </c>
      <c r="DP175">
        <v>8.2030900000000004E-2</v>
      </c>
      <c r="DQ175">
        <v>0.18595900000000001</v>
      </c>
      <c r="DR175">
        <v>25.6599</v>
      </c>
      <c r="DS175">
        <v>25.5412</v>
      </c>
      <c r="DT175">
        <v>17.7</v>
      </c>
      <c r="DU175">
        <v>29.7</v>
      </c>
      <c r="DV175">
        <v>7.4809200000000002</v>
      </c>
      <c r="DW175">
        <v>61.361199999999997</v>
      </c>
      <c r="DX175">
        <v>36.137799999999999</v>
      </c>
      <c r="DY175">
        <v>1</v>
      </c>
      <c r="DZ175">
        <v>-8.4395300000000006E-2</v>
      </c>
      <c r="EA175">
        <v>-0.299815</v>
      </c>
      <c r="EB175">
        <v>20.1891</v>
      </c>
      <c r="EC175">
        <v>5.2409499999999998</v>
      </c>
      <c r="ED175">
        <v>12.039899999999999</v>
      </c>
      <c r="EE175">
        <v>5.01715</v>
      </c>
      <c r="EF175">
        <v>3.2879999999999998</v>
      </c>
      <c r="EG175">
        <v>9999</v>
      </c>
      <c r="EH175">
        <v>9999</v>
      </c>
      <c r="EI175">
        <v>9999</v>
      </c>
      <c r="EJ175">
        <v>999.9</v>
      </c>
      <c r="EK175">
        <v>1.8689100000000001</v>
      </c>
      <c r="EL175">
        <v>1.86466</v>
      </c>
      <c r="EM175">
        <v>1.8692</v>
      </c>
      <c r="EN175">
        <v>1.86724</v>
      </c>
      <c r="EO175">
        <v>1.8633999999999999</v>
      </c>
      <c r="EP175">
        <v>1.8646</v>
      </c>
      <c r="EQ175">
        <v>1.8701700000000001</v>
      </c>
      <c r="ER175">
        <v>1.86947</v>
      </c>
      <c r="ES175">
        <v>0</v>
      </c>
      <c r="ET175">
        <v>0</v>
      </c>
      <c r="EU175">
        <v>0</v>
      </c>
      <c r="EV175">
        <v>0</v>
      </c>
      <c r="EW175" t="s">
        <v>334</v>
      </c>
      <c r="EX175" t="s">
        <v>335</v>
      </c>
      <c r="EY175" t="s">
        <v>336</v>
      </c>
      <c r="EZ175" t="s">
        <v>336</v>
      </c>
      <c r="FA175" t="s">
        <v>336</v>
      </c>
      <c r="FB175" t="s">
        <v>336</v>
      </c>
      <c r="FC175">
        <v>0</v>
      </c>
      <c r="FD175">
        <v>100</v>
      </c>
      <c r="FE175">
        <v>100</v>
      </c>
      <c r="FF175">
        <v>-0.193</v>
      </c>
      <c r="FG175">
        <v>0.19159999999999999</v>
      </c>
      <c r="FH175">
        <v>4.0020685143421282E-2</v>
      </c>
      <c r="FI175">
        <v>-6.1462078757559423E-4</v>
      </c>
      <c r="FJ175">
        <v>-1.8861989874597051E-7</v>
      </c>
      <c r="FK175">
        <v>1.1980462299894961E-10</v>
      </c>
      <c r="FL175">
        <v>0.19160597004026461</v>
      </c>
      <c r="FM175">
        <v>0</v>
      </c>
      <c r="FN175">
        <v>0</v>
      </c>
      <c r="FO175">
        <v>0</v>
      </c>
      <c r="FP175">
        <v>3</v>
      </c>
      <c r="FQ175">
        <v>2158</v>
      </c>
      <c r="FR175">
        <v>1</v>
      </c>
      <c r="FS175">
        <v>19</v>
      </c>
      <c r="FT175">
        <v>34.700000000000003</v>
      </c>
      <c r="FU175">
        <v>34.6</v>
      </c>
      <c r="FV175">
        <v>1.77979</v>
      </c>
      <c r="FW175">
        <v>2.5744600000000002</v>
      </c>
      <c r="FX175">
        <v>1.5490699999999999</v>
      </c>
      <c r="FY175">
        <v>2.3290999999999999</v>
      </c>
      <c r="FZ175">
        <v>1.50146</v>
      </c>
      <c r="GA175">
        <v>2.34741</v>
      </c>
      <c r="GB175">
        <v>33.850900000000003</v>
      </c>
      <c r="GC175">
        <v>23.982399999999998</v>
      </c>
      <c r="GD175">
        <v>19</v>
      </c>
      <c r="GE175">
        <v>247.63399999999999</v>
      </c>
      <c r="GF175">
        <v>582.30799999999999</v>
      </c>
      <c r="GG175">
        <v>25.540099999999999</v>
      </c>
      <c r="GH175">
        <v>26.324200000000001</v>
      </c>
      <c r="GI175">
        <v>30.0002</v>
      </c>
      <c r="GJ175">
        <v>26.464200000000002</v>
      </c>
      <c r="GK175">
        <v>26.438300000000002</v>
      </c>
      <c r="GL175">
        <v>35.581699999999998</v>
      </c>
      <c r="GM175">
        <v>-30</v>
      </c>
      <c r="GN175">
        <v>-30</v>
      </c>
      <c r="GO175">
        <v>25.544599999999999</v>
      </c>
      <c r="GP175">
        <v>800</v>
      </c>
      <c r="GQ175">
        <v>12.5298</v>
      </c>
      <c r="GR175">
        <v>99.679199999999994</v>
      </c>
      <c r="GS175">
        <v>99.475399999999993</v>
      </c>
    </row>
    <row r="176" spans="1:201" x14ac:dyDescent="0.25">
      <c r="A176">
        <v>160</v>
      </c>
      <c r="B176">
        <v>1690214006</v>
      </c>
      <c r="C176">
        <v>1738.5</v>
      </c>
      <c r="D176" t="s">
        <v>651</v>
      </c>
      <c r="E176" t="s">
        <v>652</v>
      </c>
      <c r="F176" t="s">
        <v>330</v>
      </c>
      <c r="H176">
        <v>1690214006</v>
      </c>
      <c r="I176">
        <f t="shared" si="60"/>
        <v>2.0849658317460989E-3</v>
      </c>
      <c r="J176">
        <f t="shared" si="61"/>
        <v>2.0849658317460991</v>
      </c>
      <c r="K176">
        <f t="shared" si="62"/>
        <v>38.440047126384222</v>
      </c>
      <c r="L176">
        <f t="shared" si="63"/>
        <v>349.774</v>
      </c>
      <c r="M176">
        <f t="shared" si="64"/>
        <v>37.51355229242597</v>
      </c>
      <c r="N176">
        <f t="shared" si="65"/>
        <v>3.7205315700170702</v>
      </c>
      <c r="O176">
        <f t="shared" si="66"/>
        <v>34.690002141809799</v>
      </c>
      <c r="P176">
        <f t="shared" si="67"/>
        <v>0.20881751869528997</v>
      </c>
      <c r="Q176">
        <f t="shared" si="68"/>
        <v>2.0128765051820352</v>
      </c>
      <c r="R176">
        <f t="shared" si="69"/>
        <v>0.19748582454386376</v>
      </c>
      <c r="S176">
        <f t="shared" si="70"/>
        <v>0.12439547841664481</v>
      </c>
      <c r="T176">
        <f t="shared" si="71"/>
        <v>276.11549906400001</v>
      </c>
      <c r="U176">
        <f t="shared" si="72"/>
        <v>28.501129810857712</v>
      </c>
      <c r="V176">
        <f t="shared" si="73"/>
        <v>28.501129810857712</v>
      </c>
      <c r="W176">
        <f t="shared" si="74"/>
        <v>3.9071256774356371</v>
      </c>
      <c r="X176">
        <f t="shared" si="75"/>
        <v>81.062466797392091</v>
      </c>
      <c r="Y176">
        <f t="shared" si="76"/>
        <v>2.8959577256736502</v>
      </c>
      <c r="Z176">
        <f t="shared" si="77"/>
        <v>3.572501356160084</v>
      </c>
      <c r="AA176">
        <f t="shared" si="78"/>
        <v>1.0111679517619869</v>
      </c>
      <c r="AB176">
        <f t="shared" si="79"/>
        <v>-91.946993180002963</v>
      </c>
      <c r="AC176">
        <f t="shared" si="80"/>
        <v>-166.33992914085891</v>
      </c>
      <c r="AD176">
        <f t="shared" si="81"/>
        <v>-17.965698183950675</v>
      </c>
      <c r="AE176">
        <f t="shared" si="82"/>
        <v>-0.13712144081253541</v>
      </c>
      <c r="AF176">
        <v>33</v>
      </c>
      <c r="AG176">
        <v>11</v>
      </c>
      <c r="AH176">
        <f t="shared" si="83"/>
        <v>1</v>
      </c>
      <c r="AI176">
        <f t="shared" si="84"/>
        <v>0</v>
      </c>
      <c r="AJ176">
        <f t="shared" si="85"/>
        <v>52445.638357281692</v>
      </c>
      <c r="AK176">
        <f t="shared" si="86"/>
        <v>1800</v>
      </c>
      <c r="AL176">
        <f t="shared" si="87"/>
        <v>1499.1135714</v>
      </c>
      <c r="AM176">
        <f t="shared" si="88"/>
        <v>0.83284087299999998</v>
      </c>
      <c r="AN176">
        <f t="shared" si="89"/>
        <v>0.15339749948</v>
      </c>
      <c r="AO176">
        <v>34.5</v>
      </c>
      <c r="AP176">
        <v>0.5</v>
      </c>
      <c r="AQ176" t="s">
        <v>331</v>
      </c>
      <c r="AR176">
        <v>2</v>
      </c>
      <c r="AS176">
        <v>1690214006</v>
      </c>
      <c r="AT176">
        <v>349.774</v>
      </c>
      <c r="AU176">
        <v>800.01099999999997</v>
      </c>
      <c r="AV176">
        <v>29.1995</v>
      </c>
      <c r="AW176">
        <v>5.93337</v>
      </c>
      <c r="AX176">
        <v>349.96699999999998</v>
      </c>
      <c r="AY176">
        <v>29.0078</v>
      </c>
      <c r="AZ176">
        <v>300.14</v>
      </c>
      <c r="BA176">
        <v>99.078400000000002</v>
      </c>
      <c r="BB176">
        <v>9.9932699999999999E-2</v>
      </c>
      <c r="BC176">
        <v>26.968299999999999</v>
      </c>
      <c r="BD176">
        <v>26.991099999999999</v>
      </c>
      <c r="BE176">
        <v>28.584099999999999</v>
      </c>
      <c r="BF176">
        <v>0</v>
      </c>
      <c r="BG176">
        <v>0</v>
      </c>
      <c r="BH176">
        <v>10010</v>
      </c>
      <c r="BI176">
        <v>1077.3499999999999</v>
      </c>
      <c r="BJ176">
        <v>2.0744500000000001</v>
      </c>
      <c r="BK176">
        <v>-450.23700000000002</v>
      </c>
      <c r="BL176">
        <v>360.29399999999998</v>
      </c>
      <c r="BM176">
        <v>804.78599999999994</v>
      </c>
      <c r="BN176">
        <v>23.266100000000002</v>
      </c>
      <c r="BO176">
        <v>800.01099999999997</v>
      </c>
      <c r="BP176">
        <v>5.93337</v>
      </c>
      <c r="BQ176">
        <v>2.8930400000000001</v>
      </c>
      <c r="BR176">
        <v>0.58786899999999997</v>
      </c>
      <c r="BS176">
        <v>23.424800000000001</v>
      </c>
      <c r="BT176">
        <v>-0.58948500000000004</v>
      </c>
      <c r="BU176">
        <v>1800</v>
      </c>
      <c r="BV176">
        <v>0.91000400000000004</v>
      </c>
      <c r="BW176">
        <v>3.39922E-2</v>
      </c>
      <c r="BX176">
        <v>2.2002899999999999E-2</v>
      </c>
      <c r="BY176">
        <v>3.4000599999999999E-2</v>
      </c>
      <c r="BZ176">
        <v>26</v>
      </c>
      <c r="CA176">
        <v>33528.400000000001</v>
      </c>
      <c r="CB176">
        <v>1690211922</v>
      </c>
      <c r="CC176" t="s">
        <v>332</v>
      </c>
      <c r="CD176">
        <v>1690211915</v>
      </c>
      <c r="CE176">
        <v>1690211922</v>
      </c>
      <c r="CF176">
        <v>6</v>
      </c>
      <c r="CG176">
        <v>1.0999999999999999E-2</v>
      </c>
      <c r="CH176">
        <v>8.0000000000000002E-3</v>
      </c>
      <c r="CI176">
        <v>-0.51100000000000001</v>
      </c>
      <c r="CJ176">
        <v>-6.6000000000000003E-2</v>
      </c>
      <c r="CK176">
        <v>800</v>
      </c>
      <c r="CL176">
        <v>6</v>
      </c>
      <c r="CM176">
        <v>0.21</v>
      </c>
      <c r="CN176">
        <v>0.02</v>
      </c>
      <c r="CO176">
        <v>-449.09965853658542</v>
      </c>
      <c r="CP176">
        <v>-6.0279303135890574</v>
      </c>
      <c r="CQ176">
        <v>0.59567869100289961</v>
      </c>
      <c r="CR176">
        <v>-1</v>
      </c>
      <c r="CS176">
        <v>23.25154634146341</v>
      </c>
      <c r="CT176">
        <v>8.4459930313608239E-2</v>
      </c>
      <c r="CU176">
        <v>8.4053437578889695E-3</v>
      </c>
      <c r="CV176">
        <v>-1</v>
      </c>
      <c r="CW176">
        <v>0</v>
      </c>
      <c r="CX176">
        <v>0</v>
      </c>
      <c r="CY176" t="s">
        <v>333</v>
      </c>
      <c r="CZ176">
        <v>2.3643000000000001</v>
      </c>
      <c r="DA176">
        <v>2.71373</v>
      </c>
      <c r="DB176">
        <v>8.0657999999999994E-2</v>
      </c>
      <c r="DC176">
        <v>0.14605599999999999</v>
      </c>
      <c r="DD176">
        <v>0.130574</v>
      </c>
      <c r="DE176">
        <v>3.9083199999999998E-2</v>
      </c>
      <c r="DF176">
        <v>33550.800000000003</v>
      </c>
      <c r="DG176">
        <v>27497.200000000001</v>
      </c>
      <c r="DH176">
        <v>31155.4</v>
      </c>
      <c r="DI176">
        <v>28058.6</v>
      </c>
      <c r="DJ176">
        <v>36758.199999999997</v>
      </c>
      <c r="DK176">
        <v>38336.6</v>
      </c>
      <c r="DL176">
        <v>44334.6</v>
      </c>
      <c r="DM176">
        <v>42520.7</v>
      </c>
      <c r="DN176">
        <v>1.3878999999999999</v>
      </c>
      <c r="DO176">
        <v>2.0338500000000002</v>
      </c>
      <c r="DP176">
        <v>8.1226199999999998E-2</v>
      </c>
      <c r="DQ176">
        <v>0.186034</v>
      </c>
      <c r="DR176">
        <v>25.661300000000001</v>
      </c>
      <c r="DS176">
        <v>25.542000000000002</v>
      </c>
      <c r="DT176">
        <v>17.7</v>
      </c>
      <c r="DU176">
        <v>29.7</v>
      </c>
      <c r="DV176">
        <v>7.4806600000000003</v>
      </c>
      <c r="DW176">
        <v>61.981200000000001</v>
      </c>
      <c r="DX176">
        <v>36.265999999999998</v>
      </c>
      <c r="DY176">
        <v>1</v>
      </c>
      <c r="DZ176">
        <v>-8.4720500000000004E-2</v>
      </c>
      <c r="EA176">
        <v>-0.24848000000000001</v>
      </c>
      <c r="EB176">
        <v>20.189299999999999</v>
      </c>
      <c r="EC176">
        <v>5.2409499999999998</v>
      </c>
      <c r="ED176">
        <v>12.039899999999999</v>
      </c>
      <c r="EE176">
        <v>5.0169499999999996</v>
      </c>
      <c r="EF176">
        <v>3.2879999999999998</v>
      </c>
      <c r="EG176">
        <v>9999</v>
      </c>
      <c r="EH176">
        <v>9999</v>
      </c>
      <c r="EI176">
        <v>9999</v>
      </c>
      <c r="EJ176">
        <v>999.9</v>
      </c>
      <c r="EK176">
        <v>1.8689100000000001</v>
      </c>
      <c r="EL176">
        <v>1.86467</v>
      </c>
      <c r="EM176">
        <v>1.8691899999999999</v>
      </c>
      <c r="EN176">
        <v>1.8672500000000001</v>
      </c>
      <c r="EO176">
        <v>1.8633999999999999</v>
      </c>
      <c r="EP176">
        <v>1.8646</v>
      </c>
      <c r="EQ176">
        <v>1.87018</v>
      </c>
      <c r="ER176">
        <v>1.86947</v>
      </c>
      <c r="ES176">
        <v>0</v>
      </c>
      <c r="ET176">
        <v>0</v>
      </c>
      <c r="EU176">
        <v>0</v>
      </c>
      <c r="EV176">
        <v>0</v>
      </c>
      <c r="EW176" t="s">
        <v>334</v>
      </c>
      <c r="EX176" t="s">
        <v>335</v>
      </c>
      <c r="EY176" t="s">
        <v>336</v>
      </c>
      <c r="EZ176" t="s">
        <v>336</v>
      </c>
      <c r="FA176" t="s">
        <v>336</v>
      </c>
      <c r="FB176" t="s">
        <v>336</v>
      </c>
      <c r="FC176">
        <v>0</v>
      </c>
      <c r="FD176">
        <v>100</v>
      </c>
      <c r="FE176">
        <v>100</v>
      </c>
      <c r="FF176">
        <v>-0.193</v>
      </c>
      <c r="FG176">
        <v>0.19170000000000001</v>
      </c>
      <c r="FH176">
        <v>4.0020685143421282E-2</v>
      </c>
      <c r="FI176">
        <v>-6.1462078757559423E-4</v>
      </c>
      <c r="FJ176">
        <v>-1.8861989874597051E-7</v>
      </c>
      <c r="FK176">
        <v>1.1980462299894961E-10</v>
      </c>
      <c r="FL176">
        <v>0.19160597004026461</v>
      </c>
      <c r="FM176">
        <v>0</v>
      </c>
      <c r="FN176">
        <v>0</v>
      </c>
      <c r="FO176">
        <v>0</v>
      </c>
      <c r="FP176">
        <v>3</v>
      </c>
      <c r="FQ176">
        <v>2158</v>
      </c>
      <c r="FR176">
        <v>1</v>
      </c>
      <c r="FS176">
        <v>19</v>
      </c>
      <c r="FT176">
        <v>34.9</v>
      </c>
      <c r="FU176">
        <v>34.700000000000003</v>
      </c>
      <c r="FV176">
        <v>1.77979</v>
      </c>
      <c r="FW176">
        <v>2.5781200000000002</v>
      </c>
      <c r="FX176">
        <v>1.5490699999999999</v>
      </c>
      <c r="FY176">
        <v>2.3290999999999999</v>
      </c>
      <c r="FZ176">
        <v>1.50146</v>
      </c>
      <c r="GA176">
        <v>2.3986800000000001</v>
      </c>
      <c r="GB176">
        <v>33.850900000000003</v>
      </c>
      <c r="GC176">
        <v>23.991199999999999</v>
      </c>
      <c r="GD176">
        <v>19</v>
      </c>
      <c r="GE176">
        <v>247.428</v>
      </c>
      <c r="GF176">
        <v>582.17999999999995</v>
      </c>
      <c r="GG176">
        <v>25.537600000000001</v>
      </c>
      <c r="GH176">
        <v>26.324200000000001</v>
      </c>
      <c r="GI176">
        <v>29.9999</v>
      </c>
      <c r="GJ176">
        <v>26.4636</v>
      </c>
      <c r="GK176">
        <v>26.4361</v>
      </c>
      <c r="GL176">
        <v>35.579300000000003</v>
      </c>
      <c r="GM176">
        <v>-30</v>
      </c>
      <c r="GN176">
        <v>-30</v>
      </c>
      <c r="GO176">
        <v>25.5337</v>
      </c>
      <c r="GP176">
        <v>800</v>
      </c>
      <c r="GQ176">
        <v>12.5298</v>
      </c>
      <c r="GR176">
        <v>99.680800000000005</v>
      </c>
      <c r="GS176">
        <v>99.476699999999994</v>
      </c>
    </row>
    <row r="177" spans="1:201" x14ac:dyDescent="0.25">
      <c r="A177">
        <v>161</v>
      </c>
      <c r="B177">
        <v>1690214016</v>
      </c>
      <c r="C177">
        <v>1748.5</v>
      </c>
      <c r="D177" t="s">
        <v>653</v>
      </c>
      <c r="E177" t="s">
        <v>654</v>
      </c>
      <c r="F177" t="s">
        <v>330</v>
      </c>
      <c r="H177">
        <v>1690214016</v>
      </c>
      <c r="I177">
        <f t="shared" si="60"/>
        <v>2.0858337311124241E-3</v>
      </c>
      <c r="J177">
        <f t="shared" si="61"/>
        <v>2.085833731112424</v>
      </c>
      <c r="K177">
        <f t="shared" si="62"/>
        <v>38.529384612070075</v>
      </c>
      <c r="L177">
        <f t="shared" si="63"/>
        <v>348.84500000000003</v>
      </c>
      <c r="M177">
        <f t="shared" si="64"/>
        <v>36.146384091490923</v>
      </c>
      <c r="N177">
        <f t="shared" si="65"/>
        <v>3.5848022439139897</v>
      </c>
      <c r="O177">
        <f t="shared" si="66"/>
        <v>34.596554267030008</v>
      </c>
      <c r="P177">
        <f t="shared" si="67"/>
        <v>0.20902003174173264</v>
      </c>
      <c r="Q177">
        <f t="shared" si="68"/>
        <v>2.0091695763401525</v>
      </c>
      <c r="R177">
        <f t="shared" si="69"/>
        <v>0.19764726663970927</v>
      </c>
      <c r="S177">
        <f t="shared" si="70"/>
        <v>0.12449974716556952</v>
      </c>
      <c r="T177">
        <f t="shared" si="71"/>
        <v>276.11557513199995</v>
      </c>
      <c r="U177">
        <f t="shared" si="72"/>
        <v>28.501468034976149</v>
      </c>
      <c r="V177">
        <f t="shared" si="73"/>
        <v>28.501468034976149</v>
      </c>
      <c r="W177">
        <f t="shared" si="74"/>
        <v>3.9072024298146601</v>
      </c>
      <c r="X177">
        <f t="shared" si="75"/>
        <v>81.086211655335617</v>
      </c>
      <c r="Y177">
        <f t="shared" si="76"/>
        <v>2.8964826907866001</v>
      </c>
      <c r="Z177">
        <f t="shared" si="77"/>
        <v>3.5721026197380703</v>
      </c>
      <c r="AA177">
        <f t="shared" si="78"/>
        <v>1.01071973902806</v>
      </c>
      <c r="AB177">
        <f t="shared" si="79"/>
        <v>-91.985267542057898</v>
      </c>
      <c r="AC177">
        <f t="shared" si="80"/>
        <v>-166.27603699283554</v>
      </c>
      <c r="AD177">
        <f t="shared" si="81"/>
        <v>-17.991791721575936</v>
      </c>
      <c r="AE177">
        <f t="shared" si="82"/>
        <v>-0.13752112446940146</v>
      </c>
      <c r="AF177">
        <v>33</v>
      </c>
      <c r="AG177">
        <v>11</v>
      </c>
      <c r="AH177">
        <f t="shared" si="83"/>
        <v>1</v>
      </c>
      <c r="AI177">
        <f t="shared" si="84"/>
        <v>0</v>
      </c>
      <c r="AJ177">
        <f t="shared" si="85"/>
        <v>52267.984942479117</v>
      </c>
      <c r="AK177">
        <f t="shared" si="86"/>
        <v>1800</v>
      </c>
      <c r="AL177">
        <f t="shared" si="87"/>
        <v>1499.1142482</v>
      </c>
      <c r="AM177">
        <f t="shared" si="88"/>
        <v>0.83284124900000001</v>
      </c>
      <c r="AN177">
        <f t="shared" si="89"/>
        <v>0.15339754173999998</v>
      </c>
      <c r="AO177">
        <v>34.5</v>
      </c>
      <c r="AP177">
        <v>0.5</v>
      </c>
      <c r="AQ177" t="s">
        <v>331</v>
      </c>
      <c r="AR177">
        <v>2</v>
      </c>
      <c r="AS177">
        <v>1690214016</v>
      </c>
      <c r="AT177">
        <v>348.84500000000003</v>
      </c>
      <c r="AU177">
        <v>800.03599999999994</v>
      </c>
      <c r="AV177">
        <v>29.2059</v>
      </c>
      <c r="AW177">
        <v>5.9330299999999996</v>
      </c>
      <c r="AX177">
        <v>349.03699999999998</v>
      </c>
      <c r="AY177">
        <v>29.014299999999999</v>
      </c>
      <c r="AZ177">
        <v>300.17599999999999</v>
      </c>
      <c r="BA177">
        <v>99.0745</v>
      </c>
      <c r="BB177">
        <v>0.100074</v>
      </c>
      <c r="BC177">
        <v>26.9664</v>
      </c>
      <c r="BD177">
        <v>27</v>
      </c>
      <c r="BE177">
        <v>28.582000000000001</v>
      </c>
      <c r="BF177">
        <v>0</v>
      </c>
      <c r="BG177">
        <v>0</v>
      </c>
      <c r="BH177">
        <v>9975</v>
      </c>
      <c r="BI177">
        <v>1077.45</v>
      </c>
      <c r="BJ177">
        <v>2.0744500000000001</v>
      </c>
      <c r="BK177">
        <v>-451.19200000000001</v>
      </c>
      <c r="BL177">
        <v>359.34</v>
      </c>
      <c r="BM177">
        <v>804.81100000000004</v>
      </c>
      <c r="BN177">
        <v>23.2729</v>
      </c>
      <c r="BO177">
        <v>800.03599999999994</v>
      </c>
      <c r="BP177">
        <v>5.9330299999999996</v>
      </c>
      <c r="BQ177">
        <v>2.8935599999999999</v>
      </c>
      <c r="BR177">
        <v>0.587812</v>
      </c>
      <c r="BS177">
        <v>23.427800000000001</v>
      </c>
      <c r="BT177">
        <v>-0.59082000000000001</v>
      </c>
      <c r="BU177">
        <v>1800</v>
      </c>
      <c r="BV177">
        <v>0.91000499999999995</v>
      </c>
      <c r="BW177">
        <v>3.3992000000000001E-2</v>
      </c>
      <c r="BX177">
        <v>2.20027E-2</v>
      </c>
      <c r="BY177">
        <v>3.40004E-2</v>
      </c>
      <c r="BZ177">
        <v>26</v>
      </c>
      <c r="CA177">
        <v>33528.400000000001</v>
      </c>
      <c r="CB177">
        <v>1690211922</v>
      </c>
      <c r="CC177" t="s">
        <v>332</v>
      </c>
      <c r="CD177">
        <v>1690211915</v>
      </c>
      <c r="CE177">
        <v>1690211922</v>
      </c>
      <c r="CF177">
        <v>6</v>
      </c>
      <c r="CG177">
        <v>1.0999999999999999E-2</v>
      </c>
      <c r="CH177">
        <v>8.0000000000000002E-3</v>
      </c>
      <c r="CI177">
        <v>-0.51100000000000001</v>
      </c>
      <c r="CJ177">
        <v>-6.6000000000000003E-2</v>
      </c>
      <c r="CK177">
        <v>800</v>
      </c>
      <c r="CL177">
        <v>6</v>
      </c>
      <c r="CM177">
        <v>0.21</v>
      </c>
      <c r="CN177">
        <v>0.02</v>
      </c>
      <c r="CO177">
        <v>-450.13578048780488</v>
      </c>
      <c r="CP177">
        <v>-5.4889128919866863</v>
      </c>
      <c r="CQ177">
        <v>0.54463102355116999</v>
      </c>
      <c r="CR177">
        <v>-1</v>
      </c>
      <c r="CS177">
        <v>23.264036585365851</v>
      </c>
      <c r="CT177">
        <v>5.2599303135898189E-2</v>
      </c>
      <c r="CU177">
        <v>5.285034374559538E-3</v>
      </c>
      <c r="CV177">
        <v>-1</v>
      </c>
      <c r="CW177">
        <v>0</v>
      </c>
      <c r="CX177">
        <v>0</v>
      </c>
      <c r="CY177" t="s">
        <v>333</v>
      </c>
      <c r="CZ177">
        <v>2.3644099999999999</v>
      </c>
      <c r="DA177">
        <v>2.7138399999999998</v>
      </c>
      <c r="DB177">
        <v>8.0486500000000002E-2</v>
      </c>
      <c r="DC177">
        <v>0.14605399999999999</v>
      </c>
      <c r="DD177">
        <v>0.13058900000000001</v>
      </c>
      <c r="DE177">
        <v>3.9079900000000001E-2</v>
      </c>
      <c r="DF177">
        <v>33556.699999999997</v>
      </c>
      <c r="DG177">
        <v>27497.3</v>
      </c>
      <c r="DH177">
        <v>31155.200000000001</v>
      </c>
      <c r="DI177">
        <v>28058.6</v>
      </c>
      <c r="DJ177">
        <v>36757.1</v>
      </c>
      <c r="DK177">
        <v>38336.9</v>
      </c>
      <c r="DL177">
        <v>44334.2</v>
      </c>
      <c r="DM177">
        <v>42520.800000000003</v>
      </c>
      <c r="DN177">
        <v>1.38828</v>
      </c>
      <c r="DO177">
        <v>2.0337000000000001</v>
      </c>
      <c r="DP177">
        <v>8.1725400000000004E-2</v>
      </c>
      <c r="DQ177">
        <v>0.18582499999999999</v>
      </c>
      <c r="DR177">
        <v>25.661999999999999</v>
      </c>
      <c r="DS177">
        <v>25.543299999999999</v>
      </c>
      <c r="DT177">
        <v>17.7</v>
      </c>
      <c r="DU177">
        <v>29.7</v>
      </c>
      <c r="DV177">
        <v>7.4813400000000003</v>
      </c>
      <c r="DW177">
        <v>61.761200000000002</v>
      </c>
      <c r="DX177">
        <v>36.370199999999997</v>
      </c>
      <c r="DY177">
        <v>1</v>
      </c>
      <c r="DZ177">
        <v>-8.4728200000000004E-2</v>
      </c>
      <c r="EA177">
        <v>-0.27206200000000003</v>
      </c>
      <c r="EB177">
        <v>20.1889</v>
      </c>
      <c r="EC177">
        <v>5.2406499999999996</v>
      </c>
      <c r="ED177">
        <v>12.039899999999999</v>
      </c>
      <c r="EE177">
        <v>5.0168999999999997</v>
      </c>
      <c r="EF177">
        <v>3.2879999999999998</v>
      </c>
      <c r="EG177">
        <v>9999</v>
      </c>
      <c r="EH177">
        <v>9999</v>
      </c>
      <c r="EI177">
        <v>9999</v>
      </c>
      <c r="EJ177">
        <v>999.9</v>
      </c>
      <c r="EK177">
        <v>1.86893</v>
      </c>
      <c r="EL177">
        <v>1.86467</v>
      </c>
      <c r="EM177">
        <v>1.8691899999999999</v>
      </c>
      <c r="EN177">
        <v>1.86727</v>
      </c>
      <c r="EO177">
        <v>1.8633999999999999</v>
      </c>
      <c r="EP177">
        <v>1.8646</v>
      </c>
      <c r="EQ177">
        <v>1.87022</v>
      </c>
      <c r="ER177">
        <v>1.86947</v>
      </c>
      <c r="ES177">
        <v>0</v>
      </c>
      <c r="ET177">
        <v>0</v>
      </c>
      <c r="EU177">
        <v>0</v>
      </c>
      <c r="EV177">
        <v>0</v>
      </c>
      <c r="EW177" t="s">
        <v>334</v>
      </c>
      <c r="EX177" t="s">
        <v>335</v>
      </c>
      <c r="EY177" t="s">
        <v>336</v>
      </c>
      <c r="EZ177" t="s">
        <v>336</v>
      </c>
      <c r="FA177" t="s">
        <v>336</v>
      </c>
      <c r="FB177" t="s">
        <v>336</v>
      </c>
      <c r="FC177">
        <v>0</v>
      </c>
      <c r="FD177">
        <v>100</v>
      </c>
      <c r="FE177">
        <v>100</v>
      </c>
      <c r="FF177">
        <v>-0.192</v>
      </c>
      <c r="FG177">
        <v>0.19159999999999999</v>
      </c>
      <c r="FH177">
        <v>4.0020685143421282E-2</v>
      </c>
      <c r="FI177">
        <v>-6.1462078757559423E-4</v>
      </c>
      <c r="FJ177">
        <v>-1.8861989874597051E-7</v>
      </c>
      <c r="FK177">
        <v>1.1980462299894961E-10</v>
      </c>
      <c r="FL177">
        <v>0.19160597004026461</v>
      </c>
      <c r="FM177">
        <v>0</v>
      </c>
      <c r="FN177">
        <v>0</v>
      </c>
      <c r="FO177">
        <v>0</v>
      </c>
      <c r="FP177">
        <v>3</v>
      </c>
      <c r="FQ177">
        <v>2158</v>
      </c>
      <c r="FR177">
        <v>1</v>
      </c>
      <c r="FS177">
        <v>19</v>
      </c>
      <c r="FT177">
        <v>35</v>
      </c>
      <c r="FU177">
        <v>34.9</v>
      </c>
      <c r="FV177">
        <v>1.77979</v>
      </c>
      <c r="FW177">
        <v>2.5756800000000002</v>
      </c>
      <c r="FX177">
        <v>1.5490699999999999</v>
      </c>
      <c r="FY177">
        <v>2.3290999999999999</v>
      </c>
      <c r="FZ177">
        <v>1.50146</v>
      </c>
      <c r="GA177">
        <v>2.3950200000000001</v>
      </c>
      <c r="GB177">
        <v>33.850900000000003</v>
      </c>
      <c r="GC177">
        <v>23.991199999999999</v>
      </c>
      <c r="GD177">
        <v>19</v>
      </c>
      <c r="GE177">
        <v>247.565</v>
      </c>
      <c r="GF177">
        <v>582.05600000000004</v>
      </c>
      <c r="GG177">
        <v>25.535900000000002</v>
      </c>
      <c r="GH177">
        <v>26.321899999999999</v>
      </c>
      <c r="GI177">
        <v>30</v>
      </c>
      <c r="GJ177">
        <v>26.461300000000001</v>
      </c>
      <c r="GK177">
        <v>26.4361</v>
      </c>
      <c r="GL177">
        <v>35.581299999999999</v>
      </c>
      <c r="GM177">
        <v>-30</v>
      </c>
      <c r="GN177">
        <v>-30</v>
      </c>
      <c r="GO177">
        <v>25.5379</v>
      </c>
      <c r="GP177">
        <v>800</v>
      </c>
      <c r="GQ177">
        <v>12.5298</v>
      </c>
      <c r="GR177">
        <v>99.679900000000004</v>
      </c>
      <c r="GS177">
        <v>99.476799999999997</v>
      </c>
    </row>
    <row r="178" spans="1:201" x14ac:dyDescent="0.25">
      <c r="A178">
        <v>162</v>
      </c>
      <c r="B178">
        <v>1690214026</v>
      </c>
      <c r="C178">
        <v>1758.5</v>
      </c>
      <c r="D178" t="s">
        <v>655</v>
      </c>
      <c r="E178" t="s">
        <v>656</v>
      </c>
      <c r="F178" t="s">
        <v>330</v>
      </c>
      <c r="H178">
        <v>1690214026</v>
      </c>
      <c r="I178">
        <f t="shared" si="60"/>
        <v>2.0871622115021539E-3</v>
      </c>
      <c r="J178">
        <f t="shared" si="61"/>
        <v>2.0871622115021538</v>
      </c>
      <c r="K178">
        <f t="shared" si="62"/>
        <v>38.60864410865684</v>
      </c>
      <c r="L178">
        <f t="shared" si="63"/>
        <v>347.90699999999998</v>
      </c>
      <c r="M178">
        <f t="shared" si="64"/>
        <v>35.253606957108794</v>
      </c>
      <c r="N178">
        <f t="shared" si="65"/>
        <v>3.4962550146260702</v>
      </c>
      <c r="O178">
        <f t="shared" si="66"/>
        <v>34.503464988799792</v>
      </c>
      <c r="P178">
        <f t="shared" si="67"/>
        <v>0.20948159570610697</v>
      </c>
      <c r="Q178">
        <f t="shared" si="68"/>
        <v>2.0106101936544589</v>
      </c>
      <c r="R178">
        <f t="shared" si="69"/>
        <v>0.19806772617160825</v>
      </c>
      <c r="S178">
        <f t="shared" si="70"/>
        <v>0.12476596815053285</v>
      </c>
      <c r="T178">
        <f t="shared" si="71"/>
        <v>276.11541975599994</v>
      </c>
      <c r="U178">
        <f t="shared" si="72"/>
        <v>28.501982355292451</v>
      </c>
      <c r="V178">
        <f t="shared" si="73"/>
        <v>28.501982355292451</v>
      </c>
      <c r="W178">
        <f t="shared" si="74"/>
        <v>3.9073191457971888</v>
      </c>
      <c r="X178">
        <f t="shared" si="75"/>
        <v>81.122340371944944</v>
      </c>
      <c r="Y178">
        <f t="shared" si="76"/>
        <v>2.8981137352473598</v>
      </c>
      <c r="Z178">
        <f t="shared" si="77"/>
        <v>3.5725223433637927</v>
      </c>
      <c r="AA178">
        <f t="shared" si="78"/>
        <v>1.0092054105498289</v>
      </c>
      <c r="AB178">
        <f t="shared" si="79"/>
        <v>-92.043853527244991</v>
      </c>
      <c r="AC178">
        <f t="shared" si="80"/>
        <v>-166.23421868757978</v>
      </c>
      <c r="AD178">
        <f t="shared" si="81"/>
        <v>-17.974603975597955</v>
      </c>
      <c r="AE178">
        <f t="shared" si="82"/>
        <v>-0.13725643442282376</v>
      </c>
      <c r="AF178">
        <v>32</v>
      </c>
      <c r="AG178">
        <v>11</v>
      </c>
      <c r="AH178">
        <f t="shared" si="83"/>
        <v>1</v>
      </c>
      <c r="AI178">
        <f t="shared" si="84"/>
        <v>0</v>
      </c>
      <c r="AJ178">
        <f t="shared" si="85"/>
        <v>52336.716500720504</v>
      </c>
      <c r="AK178">
        <f t="shared" si="86"/>
        <v>1800</v>
      </c>
      <c r="AL178">
        <f t="shared" si="87"/>
        <v>1499.1135696000001</v>
      </c>
      <c r="AM178">
        <f t="shared" si="88"/>
        <v>0.83284087200000001</v>
      </c>
      <c r="AN178">
        <f t="shared" si="89"/>
        <v>0.15339745541999997</v>
      </c>
      <c r="AO178">
        <v>34.5</v>
      </c>
      <c r="AP178">
        <v>0.5</v>
      </c>
      <c r="AQ178" t="s">
        <v>331</v>
      </c>
      <c r="AR178">
        <v>2</v>
      </c>
      <c r="AS178">
        <v>1690214026</v>
      </c>
      <c r="AT178">
        <v>347.90699999999998</v>
      </c>
      <c r="AU178">
        <v>800.04600000000005</v>
      </c>
      <c r="AV178">
        <v>29.2224</v>
      </c>
      <c r="AW178">
        <v>5.9323100000000002</v>
      </c>
      <c r="AX178">
        <v>348.09899999999999</v>
      </c>
      <c r="AY178">
        <v>29.030799999999999</v>
      </c>
      <c r="AZ178">
        <v>300.14</v>
      </c>
      <c r="BA178">
        <v>99.074399999999997</v>
      </c>
      <c r="BB178">
        <v>9.9991399999999994E-2</v>
      </c>
      <c r="BC178">
        <v>26.968399999999999</v>
      </c>
      <c r="BD178">
        <v>27.005400000000002</v>
      </c>
      <c r="BE178">
        <v>28.589700000000001</v>
      </c>
      <c r="BF178">
        <v>0</v>
      </c>
      <c r="BG178">
        <v>0</v>
      </c>
      <c r="BH178">
        <v>9988.75</v>
      </c>
      <c r="BI178">
        <v>1077.46</v>
      </c>
      <c r="BJ178">
        <v>2.0744500000000001</v>
      </c>
      <c r="BK178">
        <v>-452.13900000000001</v>
      </c>
      <c r="BL178">
        <v>358.38</v>
      </c>
      <c r="BM178">
        <v>804.82100000000003</v>
      </c>
      <c r="BN178">
        <v>23.290099999999999</v>
      </c>
      <c r="BO178">
        <v>800.04600000000005</v>
      </c>
      <c r="BP178">
        <v>5.9323100000000002</v>
      </c>
      <c r="BQ178">
        <v>2.8952</v>
      </c>
      <c r="BR178">
        <v>0.58774000000000004</v>
      </c>
      <c r="BS178">
        <v>23.437100000000001</v>
      </c>
      <c r="BT178">
        <v>-0.59250100000000006</v>
      </c>
      <c r="BU178">
        <v>1800</v>
      </c>
      <c r="BV178">
        <v>0.91000499999999995</v>
      </c>
      <c r="BW178">
        <v>3.3991800000000003E-2</v>
      </c>
      <c r="BX178">
        <v>2.2002600000000001E-2</v>
      </c>
      <c r="BY178">
        <v>3.4000200000000001E-2</v>
      </c>
      <c r="BZ178">
        <v>26</v>
      </c>
      <c r="CA178">
        <v>33528.5</v>
      </c>
      <c r="CB178">
        <v>1690211922</v>
      </c>
      <c r="CC178" t="s">
        <v>332</v>
      </c>
      <c r="CD178">
        <v>1690211915</v>
      </c>
      <c r="CE178">
        <v>1690211922</v>
      </c>
      <c r="CF178">
        <v>6</v>
      </c>
      <c r="CG178">
        <v>1.0999999999999999E-2</v>
      </c>
      <c r="CH178">
        <v>8.0000000000000002E-3</v>
      </c>
      <c r="CI178">
        <v>-0.51100000000000001</v>
      </c>
      <c r="CJ178">
        <v>-6.6000000000000003E-2</v>
      </c>
      <c r="CK178">
        <v>800</v>
      </c>
      <c r="CL178">
        <v>6</v>
      </c>
      <c r="CM178">
        <v>0.21</v>
      </c>
      <c r="CN178">
        <v>0.02</v>
      </c>
      <c r="CO178">
        <v>-451.04017500000009</v>
      </c>
      <c r="CP178">
        <v>-5.7193958724195966</v>
      </c>
      <c r="CQ178">
        <v>0.5535531540647195</v>
      </c>
      <c r="CR178">
        <v>-1</v>
      </c>
      <c r="CS178">
        <v>23.27383</v>
      </c>
      <c r="CT178">
        <v>6.697260787989405E-2</v>
      </c>
      <c r="CU178">
        <v>6.6257905188738158E-3</v>
      </c>
      <c r="CV178">
        <v>-1</v>
      </c>
      <c r="CW178">
        <v>0</v>
      </c>
      <c r="CX178">
        <v>0</v>
      </c>
      <c r="CY178" t="s">
        <v>333</v>
      </c>
      <c r="CZ178">
        <v>2.3643000000000001</v>
      </c>
      <c r="DA178">
        <v>2.7137699999999998</v>
      </c>
      <c r="DB178">
        <v>8.0315899999999996E-2</v>
      </c>
      <c r="DC178">
        <v>0.14605599999999999</v>
      </c>
      <c r="DD178">
        <v>0.13064000000000001</v>
      </c>
      <c r="DE178">
        <v>3.9076199999999998E-2</v>
      </c>
      <c r="DF178">
        <v>33563.300000000003</v>
      </c>
      <c r="DG178">
        <v>27497.4</v>
      </c>
      <c r="DH178">
        <v>31155.5</v>
      </c>
      <c r="DI178">
        <v>28058.7</v>
      </c>
      <c r="DJ178">
        <v>36755.4</v>
      </c>
      <c r="DK178">
        <v>38337.199999999997</v>
      </c>
      <c r="DL178">
        <v>44334.7</v>
      </c>
      <c r="DM178">
        <v>42521</v>
      </c>
      <c r="DN178">
        <v>1.38853</v>
      </c>
      <c r="DO178">
        <v>2.0336699999999999</v>
      </c>
      <c r="DP178">
        <v>8.2053200000000007E-2</v>
      </c>
      <c r="DQ178">
        <v>0.18629399999999999</v>
      </c>
      <c r="DR178">
        <v>25.661999999999999</v>
      </c>
      <c r="DS178">
        <v>25.543299999999999</v>
      </c>
      <c r="DT178">
        <v>17.7</v>
      </c>
      <c r="DU178">
        <v>29.7</v>
      </c>
      <c r="DV178">
        <v>7.4816399999999996</v>
      </c>
      <c r="DW178">
        <v>61.961199999999998</v>
      </c>
      <c r="DX178">
        <v>36.526400000000002</v>
      </c>
      <c r="DY178">
        <v>1</v>
      </c>
      <c r="DZ178">
        <v>-8.5218500000000003E-2</v>
      </c>
      <c r="EA178">
        <v>-0.27288699999999999</v>
      </c>
      <c r="EB178">
        <v>20.1891</v>
      </c>
      <c r="EC178">
        <v>5.2409499999999998</v>
      </c>
      <c r="ED178">
        <v>12.039899999999999</v>
      </c>
      <c r="EE178">
        <v>5.0170500000000002</v>
      </c>
      <c r="EF178">
        <v>3.2879999999999998</v>
      </c>
      <c r="EG178">
        <v>9999</v>
      </c>
      <c r="EH178">
        <v>9999</v>
      </c>
      <c r="EI178">
        <v>9999</v>
      </c>
      <c r="EJ178">
        <v>999.9</v>
      </c>
      <c r="EK178">
        <v>1.8689199999999999</v>
      </c>
      <c r="EL178">
        <v>1.8647</v>
      </c>
      <c r="EM178">
        <v>1.8692</v>
      </c>
      <c r="EN178">
        <v>1.8672800000000001</v>
      </c>
      <c r="EO178">
        <v>1.8633999999999999</v>
      </c>
      <c r="EP178">
        <v>1.8646</v>
      </c>
      <c r="EQ178">
        <v>1.8702000000000001</v>
      </c>
      <c r="ER178">
        <v>1.8694900000000001</v>
      </c>
      <c r="ES178">
        <v>0</v>
      </c>
      <c r="ET178">
        <v>0</v>
      </c>
      <c r="EU178">
        <v>0</v>
      </c>
      <c r="EV178">
        <v>0</v>
      </c>
      <c r="EW178" t="s">
        <v>334</v>
      </c>
      <c r="EX178" t="s">
        <v>335</v>
      </c>
      <c r="EY178" t="s">
        <v>336</v>
      </c>
      <c r="EZ178" t="s">
        <v>336</v>
      </c>
      <c r="FA178" t="s">
        <v>336</v>
      </c>
      <c r="FB178" t="s">
        <v>336</v>
      </c>
      <c r="FC178">
        <v>0</v>
      </c>
      <c r="FD178">
        <v>100</v>
      </c>
      <c r="FE178">
        <v>100</v>
      </c>
      <c r="FF178">
        <v>-0.192</v>
      </c>
      <c r="FG178">
        <v>0.19159999999999999</v>
      </c>
      <c r="FH178">
        <v>4.0020685143421282E-2</v>
      </c>
      <c r="FI178">
        <v>-6.1462078757559423E-4</v>
      </c>
      <c r="FJ178">
        <v>-1.8861989874597051E-7</v>
      </c>
      <c r="FK178">
        <v>1.1980462299894961E-10</v>
      </c>
      <c r="FL178">
        <v>0.19160597004026461</v>
      </c>
      <c r="FM178">
        <v>0</v>
      </c>
      <c r="FN178">
        <v>0</v>
      </c>
      <c r="FO178">
        <v>0</v>
      </c>
      <c r="FP178">
        <v>3</v>
      </c>
      <c r="FQ178">
        <v>2158</v>
      </c>
      <c r="FR178">
        <v>1</v>
      </c>
      <c r="FS178">
        <v>19</v>
      </c>
      <c r="FT178">
        <v>35.200000000000003</v>
      </c>
      <c r="FU178">
        <v>35.1</v>
      </c>
      <c r="FV178">
        <v>1.77979</v>
      </c>
      <c r="FW178">
        <v>2.5769000000000002</v>
      </c>
      <c r="FX178">
        <v>1.5490699999999999</v>
      </c>
      <c r="FY178">
        <v>2.3290999999999999</v>
      </c>
      <c r="FZ178">
        <v>1.50146</v>
      </c>
      <c r="GA178">
        <v>2.3925800000000002</v>
      </c>
      <c r="GB178">
        <v>33.850900000000003</v>
      </c>
      <c r="GC178">
        <v>23.991199999999999</v>
      </c>
      <c r="GD178">
        <v>19</v>
      </c>
      <c r="GE178">
        <v>247.661</v>
      </c>
      <c r="GF178">
        <v>582.01099999999997</v>
      </c>
      <c r="GG178">
        <v>25.5381</v>
      </c>
      <c r="GH178">
        <v>26.321899999999999</v>
      </c>
      <c r="GI178">
        <v>30</v>
      </c>
      <c r="GJ178">
        <v>26.461300000000001</v>
      </c>
      <c r="GK178">
        <v>26.433900000000001</v>
      </c>
      <c r="GL178">
        <v>35.579900000000002</v>
      </c>
      <c r="GM178">
        <v>-30</v>
      </c>
      <c r="GN178">
        <v>-30</v>
      </c>
      <c r="GO178">
        <v>25.538900000000002</v>
      </c>
      <c r="GP178">
        <v>800</v>
      </c>
      <c r="GQ178">
        <v>12.5298</v>
      </c>
      <c r="GR178">
        <v>99.681100000000001</v>
      </c>
      <c r="GS178">
        <v>99.4773</v>
      </c>
    </row>
    <row r="179" spans="1:201" x14ac:dyDescent="0.25">
      <c r="A179">
        <v>163</v>
      </c>
      <c r="B179">
        <v>1690214036</v>
      </c>
      <c r="C179">
        <v>1768.5</v>
      </c>
      <c r="D179" t="s">
        <v>657</v>
      </c>
      <c r="E179" t="s">
        <v>658</v>
      </c>
      <c r="F179" t="s">
        <v>330</v>
      </c>
      <c r="H179">
        <v>1690214036</v>
      </c>
      <c r="I179">
        <f t="shared" si="60"/>
        <v>2.0887257624903196E-3</v>
      </c>
      <c r="J179">
        <f t="shared" si="61"/>
        <v>2.0887257624903195</v>
      </c>
      <c r="K179">
        <f t="shared" si="62"/>
        <v>38.668369602569953</v>
      </c>
      <c r="L179">
        <f t="shared" si="63"/>
        <v>347.19799999999998</v>
      </c>
      <c r="M179">
        <f t="shared" si="64"/>
        <v>34.912667996848612</v>
      </c>
      <c r="N179">
        <f t="shared" si="65"/>
        <v>3.4624460780394508</v>
      </c>
      <c r="O179">
        <f t="shared" si="66"/>
        <v>34.433184926217997</v>
      </c>
      <c r="P179">
        <f t="shared" si="67"/>
        <v>0.21006602745767308</v>
      </c>
      <c r="Q179">
        <f t="shared" si="68"/>
        <v>2.0119881209472865</v>
      </c>
      <c r="R179">
        <f t="shared" si="69"/>
        <v>0.19859765370140364</v>
      </c>
      <c r="S179">
        <f t="shared" si="70"/>
        <v>0.12510171883564294</v>
      </c>
      <c r="T179">
        <f t="shared" si="71"/>
        <v>276.115330836</v>
      </c>
      <c r="U179">
        <f t="shared" si="72"/>
        <v>28.50145743899742</v>
      </c>
      <c r="V179">
        <f t="shared" si="73"/>
        <v>28.50145743899742</v>
      </c>
      <c r="W179">
        <f t="shared" si="74"/>
        <v>3.9072000252749497</v>
      </c>
      <c r="X179">
        <f t="shared" si="75"/>
        <v>81.168732409534613</v>
      </c>
      <c r="Y179">
        <f t="shared" si="76"/>
        <v>2.8999414564328001</v>
      </c>
      <c r="Z179">
        <f t="shared" si="77"/>
        <v>3.572732221320428</v>
      </c>
      <c r="AA179">
        <f t="shared" si="78"/>
        <v>1.0072585688421496</v>
      </c>
      <c r="AB179">
        <f t="shared" si="79"/>
        <v>-92.112806125823099</v>
      </c>
      <c r="AC179">
        <f t="shared" si="80"/>
        <v>-166.18273550470076</v>
      </c>
      <c r="AD179">
        <f t="shared" si="81"/>
        <v>-17.956773261889349</v>
      </c>
      <c r="AE179">
        <f t="shared" si="82"/>
        <v>-0.13698405641321187</v>
      </c>
      <c r="AF179">
        <v>33</v>
      </c>
      <c r="AG179">
        <v>11</v>
      </c>
      <c r="AH179">
        <f t="shared" si="83"/>
        <v>1</v>
      </c>
      <c r="AI179">
        <f t="shared" si="84"/>
        <v>0</v>
      </c>
      <c r="AJ179">
        <f t="shared" si="85"/>
        <v>52402.684841068243</v>
      </c>
      <c r="AK179">
        <f t="shared" si="86"/>
        <v>1800</v>
      </c>
      <c r="AL179">
        <f t="shared" si="87"/>
        <v>1499.1138486000002</v>
      </c>
      <c r="AM179">
        <f t="shared" si="88"/>
        <v>0.83284102700000007</v>
      </c>
      <c r="AN179">
        <f t="shared" si="89"/>
        <v>0.15339740601999999</v>
      </c>
      <c r="AO179">
        <v>34.5</v>
      </c>
      <c r="AP179">
        <v>0.5</v>
      </c>
      <c r="AQ179" t="s">
        <v>331</v>
      </c>
      <c r="AR179">
        <v>2</v>
      </c>
      <c r="AS179">
        <v>1690214036</v>
      </c>
      <c r="AT179">
        <v>347.19799999999998</v>
      </c>
      <c r="AU179">
        <v>800.05499999999995</v>
      </c>
      <c r="AV179">
        <v>29.2408</v>
      </c>
      <c r="AW179">
        <v>5.9315300000000004</v>
      </c>
      <c r="AX179">
        <v>347.38900000000001</v>
      </c>
      <c r="AY179">
        <v>29.049199999999999</v>
      </c>
      <c r="AZ179">
        <v>300.11200000000002</v>
      </c>
      <c r="BA179">
        <v>99.0745</v>
      </c>
      <c r="BB179">
        <v>9.9990999999999997E-2</v>
      </c>
      <c r="BC179">
        <v>26.9694</v>
      </c>
      <c r="BD179">
        <v>26.988800000000001</v>
      </c>
      <c r="BE179">
        <v>28.588000000000001</v>
      </c>
      <c r="BF179">
        <v>0</v>
      </c>
      <c r="BG179">
        <v>0</v>
      </c>
      <c r="BH179">
        <v>10001.9</v>
      </c>
      <c r="BI179">
        <v>1077.3800000000001</v>
      </c>
      <c r="BJ179">
        <v>2.0744500000000001</v>
      </c>
      <c r="BK179">
        <v>-452.85700000000003</v>
      </c>
      <c r="BL179">
        <v>357.65600000000001</v>
      </c>
      <c r="BM179">
        <v>804.82899999999995</v>
      </c>
      <c r="BN179">
        <v>23.3093</v>
      </c>
      <c r="BO179">
        <v>800.05499999999995</v>
      </c>
      <c r="BP179">
        <v>5.9315300000000004</v>
      </c>
      <c r="BQ179">
        <v>2.8970199999999999</v>
      </c>
      <c r="BR179">
        <v>0.58766300000000005</v>
      </c>
      <c r="BS179">
        <v>23.447600000000001</v>
      </c>
      <c r="BT179">
        <v>-0.59429100000000001</v>
      </c>
      <c r="BU179">
        <v>1800</v>
      </c>
      <c r="BV179">
        <v>0.91000700000000001</v>
      </c>
      <c r="BW179">
        <v>3.3991100000000003E-2</v>
      </c>
      <c r="BX179">
        <v>2.20021E-2</v>
      </c>
      <c r="BY179">
        <v>3.3999399999999999E-2</v>
      </c>
      <c r="BZ179">
        <v>26</v>
      </c>
      <c r="CA179">
        <v>33528.300000000003</v>
      </c>
      <c r="CB179">
        <v>1690211922</v>
      </c>
      <c r="CC179" t="s">
        <v>332</v>
      </c>
      <c r="CD179">
        <v>1690211915</v>
      </c>
      <c r="CE179">
        <v>1690211922</v>
      </c>
      <c r="CF179">
        <v>6</v>
      </c>
      <c r="CG179">
        <v>1.0999999999999999E-2</v>
      </c>
      <c r="CH179">
        <v>8.0000000000000002E-3</v>
      </c>
      <c r="CI179">
        <v>-0.51100000000000001</v>
      </c>
      <c r="CJ179">
        <v>-6.6000000000000003E-2</v>
      </c>
      <c r="CK179">
        <v>800</v>
      </c>
      <c r="CL179">
        <v>6</v>
      </c>
      <c r="CM179">
        <v>0.21</v>
      </c>
      <c r="CN179">
        <v>0.02</v>
      </c>
      <c r="CO179">
        <v>-451.91343902439019</v>
      </c>
      <c r="CP179">
        <v>-5.2091707317066653</v>
      </c>
      <c r="CQ179">
        <v>0.51885230046383202</v>
      </c>
      <c r="CR179">
        <v>-1</v>
      </c>
      <c r="CS179">
        <v>23.286934146341469</v>
      </c>
      <c r="CT179">
        <v>0.10178466898959621</v>
      </c>
      <c r="CU179">
        <v>1.007028010258099E-2</v>
      </c>
      <c r="CV179">
        <v>-1</v>
      </c>
      <c r="CW179">
        <v>0</v>
      </c>
      <c r="CX179">
        <v>0</v>
      </c>
      <c r="CY179" t="s">
        <v>333</v>
      </c>
      <c r="CZ179">
        <v>2.3641999999999999</v>
      </c>
      <c r="DA179">
        <v>2.7137799999999999</v>
      </c>
      <c r="DB179">
        <v>8.0187400000000006E-2</v>
      </c>
      <c r="DC179">
        <v>0.14605699999999999</v>
      </c>
      <c r="DD179">
        <v>0.13069700000000001</v>
      </c>
      <c r="DE179">
        <v>3.9072000000000003E-2</v>
      </c>
      <c r="DF179">
        <v>33567.699999999997</v>
      </c>
      <c r="DG179">
        <v>27497.1</v>
      </c>
      <c r="DH179">
        <v>31155.200000000001</v>
      </c>
      <c r="DI179">
        <v>28058.5</v>
      </c>
      <c r="DJ179">
        <v>36752.5</v>
      </c>
      <c r="DK179">
        <v>38336.9</v>
      </c>
      <c r="DL179">
        <v>44334.2</v>
      </c>
      <c r="DM179">
        <v>42520.6</v>
      </c>
      <c r="DN179">
        <v>1.3880300000000001</v>
      </c>
      <c r="DO179">
        <v>2.0337700000000001</v>
      </c>
      <c r="DP179">
        <v>8.0905900000000003E-2</v>
      </c>
      <c r="DQ179">
        <v>0.18606300000000001</v>
      </c>
      <c r="DR179">
        <v>25.664200000000001</v>
      </c>
      <c r="DS179">
        <v>25.545500000000001</v>
      </c>
      <c r="DT179">
        <v>17.7</v>
      </c>
      <c r="DU179">
        <v>29.7</v>
      </c>
      <c r="DV179">
        <v>7.4815500000000004</v>
      </c>
      <c r="DW179">
        <v>61.531199999999998</v>
      </c>
      <c r="DX179">
        <v>36.927100000000003</v>
      </c>
      <c r="DY179">
        <v>1</v>
      </c>
      <c r="DZ179">
        <v>-8.5149900000000001E-2</v>
      </c>
      <c r="EA179">
        <v>-0.25798700000000002</v>
      </c>
      <c r="EB179">
        <v>20.189399999999999</v>
      </c>
      <c r="EC179">
        <v>5.24125</v>
      </c>
      <c r="ED179">
        <v>12.039899999999999</v>
      </c>
      <c r="EE179">
        <v>5.0171999999999999</v>
      </c>
      <c r="EF179">
        <v>3.2879999999999998</v>
      </c>
      <c r="EG179">
        <v>9999</v>
      </c>
      <c r="EH179">
        <v>9999</v>
      </c>
      <c r="EI179">
        <v>9999</v>
      </c>
      <c r="EJ179">
        <v>999.9</v>
      </c>
      <c r="EK179">
        <v>1.8689199999999999</v>
      </c>
      <c r="EL179">
        <v>1.8647</v>
      </c>
      <c r="EM179">
        <v>1.8691899999999999</v>
      </c>
      <c r="EN179">
        <v>1.8672500000000001</v>
      </c>
      <c r="EO179">
        <v>1.8633999999999999</v>
      </c>
      <c r="EP179">
        <v>1.8646</v>
      </c>
      <c r="EQ179">
        <v>1.87019</v>
      </c>
      <c r="ER179">
        <v>1.8694900000000001</v>
      </c>
      <c r="ES179">
        <v>0</v>
      </c>
      <c r="ET179">
        <v>0</v>
      </c>
      <c r="EU179">
        <v>0</v>
      </c>
      <c r="EV179">
        <v>0</v>
      </c>
      <c r="EW179" t="s">
        <v>334</v>
      </c>
      <c r="EX179" t="s">
        <v>335</v>
      </c>
      <c r="EY179" t="s">
        <v>336</v>
      </c>
      <c r="EZ179" t="s">
        <v>336</v>
      </c>
      <c r="FA179" t="s">
        <v>336</v>
      </c>
      <c r="FB179" t="s">
        <v>336</v>
      </c>
      <c r="FC179">
        <v>0</v>
      </c>
      <c r="FD179">
        <v>100</v>
      </c>
      <c r="FE179">
        <v>100</v>
      </c>
      <c r="FF179">
        <v>-0.191</v>
      </c>
      <c r="FG179">
        <v>0.19159999999999999</v>
      </c>
      <c r="FH179">
        <v>4.0020685143421282E-2</v>
      </c>
      <c r="FI179">
        <v>-6.1462078757559423E-4</v>
      </c>
      <c r="FJ179">
        <v>-1.8861989874597051E-7</v>
      </c>
      <c r="FK179">
        <v>1.1980462299894961E-10</v>
      </c>
      <c r="FL179">
        <v>0.19160597004026461</v>
      </c>
      <c r="FM179">
        <v>0</v>
      </c>
      <c r="FN179">
        <v>0</v>
      </c>
      <c r="FO179">
        <v>0</v>
      </c>
      <c r="FP179">
        <v>3</v>
      </c>
      <c r="FQ179">
        <v>2158</v>
      </c>
      <c r="FR179">
        <v>1</v>
      </c>
      <c r="FS179">
        <v>19</v>
      </c>
      <c r="FT179">
        <v>35.4</v>
      </c>
      <c r="FU179">
        <v>35.200000000000003</v>
      </c>
      <c r="FV179">
        <v>1.77979</v>
      </c>
      <c r="FW179">
        <v>2.5769000000000002</v>
      </c>
      <c r="FX179">
        <v>1.5490699999999999</v>
      </c>
      <c r="FY179">
        <v>2.3290999999999999</v>
      </c>
      <c r="FZ179">
        <v>1.50146</v>
      </c>
      <c r="GA179">
        <v>2.4035600000000001</v>
      </c>
      <c r="GB179">
        <v>33.850900000000003</v>
      </c>
      <c r="GC179">
        <v>23.991199999999999</v>
      </c>
      <c r="GD179">
        <v>19</v>
      </c>
      <c r="GE179">
        <v>247.459</v>
      </c>
      <c r="GF179">
        <v>582.09</v>
      </c>
      <c r="GG179">
        <v>25.537099999999999</v>
      </c>
      <c r="GH179">
        <v>26.319800000000001</v>
      </c>
      <c r="GI179">
        <v>30</v>
      </c>
      <c r="GJ179">
        <v>26.459099999999999</v>
      </c>
      <c r="GK179">
        <v>26.433499999999999</v>
      </c>
      <c r="GL179">
        <v>35.5792</v>
      </c>
      <c r="GM179">
        <v>-30</v>
      </c>
      <c r="GN179">
        <v>-30</v>
      </c>
      <c r="GO179">
        <v>25.535</v>
      </c>
      <c r="GP179">
        <v>800</v>
      </c>
      <c r="GQ179">
        <v>12.5298</v>
      </c>
      <c r="GR179">
        <v>99.679900000000004</v>
      </c>
      <c r="GS179">
        <v>99.476299999999995</v>
      </c>
    </row>
    <row r="180" spans="1:201" x14ac:dyDescent="0.25">
      <c r="A180">
        <v>164</v>
      </c>
      <c r="B180">
        <v>1690214046</v>
      </c>
      <c r="C180">
        <v>1778.5</v>
      </c>
      <c r="D180" t="s">
        <v>659</v>
      </c>
      <c r="E180" t="s">
        <v>660</v>
      </c>
      <c r="F180" t="s">
        <v>330</v>
      </c>
      <c r="H180">
        <v>1690214046</v>
      </c>
      <c r="I180">
        <f t="shared" si="60"/>
        <v>2.0909339086078844E-3</v>
      </c>
      <c r="J180">
        <f t="shared" si="61"/>
        <v>2.0909339086078842</v>
      </c>
      <c r="K180">
        <f t="shared" si="62"/>
        <v>38.759485398209442</v>
      </c>
      <c r="L180">
        <f t="shared" si="63"/>
        <v>346.11700000000002</v>
      </c>
      <c r="M180">
        <f t="shared" si="64"/>
        <v>34.200698667477027</v>
      </c>
      <c r="N180">
        <f t="shared" si="65"/>
        <v>3.3918743011758243</v>
      </c>
      <c r="O180">
        <f t="shared" si="66"/>
        <v>34.326355988056697</v>
      </c>
      <c r="P180">
        <f t="shared" si="67"/>
        <v>0.2108229117152515</v>
      </c>
      <c r="Q180">
        <f t="shared" si="68"/>
        <v>2.0140171945045267</v>
      </c>
      <c r="R180">
        <f t="shared" si="69"/>
        <v>0.19928513671520803</v>
      </c>
      <c r="S180">
        <f t="shared" si="70"/>
        <v>0.12553718679345074</v>
      </c>
      <c r="T180">
        <f t="shared" si="71"/>
        <v>276.11532948599995</v>
      </c>
      <c r="U180">
        <f t="shared" si="72"/>
        <v>28.500451416836984</v>
      </c>
      <c r="V180">
        <f t="shared" si="73"/>
        <v>28.500451416836984</v>
      </c>
      <c r="W180">
        <f t="shared" si="74"/>
        <v>3.9069717350896278</v>
      </c>
      <c r="X180">
        <f t="shared" si="75"/>
        <v>81.224138888887381</v>
      </c>
      <c r="Y180">
        <f t="shared" si="76"/>
        <v>2.9021255589887498</v>
      </c>
      <c r="Z180">
        <f t="shared" si="77"/>
        <v>3.572984089075768</v>
      </c>
      <c r="AA180">
        <f t="shared" si="78"/>
        <v>1.004846176100878</v>
      </c>
      <c r="AB180">
        <f t="shared" si="79"/>
        <v>-92.2101853696077</v>
      </c>
      <c r="AC180">
        <f t="shared" si="80"/>
        <v>-166.1108002203749</v>
      </c>
      <c r="AD180">
        <f t="shared" si="81"/>
        <v>-17.930934169370985</v>
      </c>
      <c r="AE180">
        <f t="shared" si="82"/>
        <v>-0.13659027335361884</v>
      </c>
      <c r="AF180">
        <v>33</v>
      </c>
      <c r="AG180">
        <v>11</v>
      </c>
      <c r="AH180">
        <f t="shared" si="83"/>
        <v>1</v>
      </c>
      <c r="AI180">
        <f t="shared" si="84"/>
        <v>0</v>
      </c>
      <c r="AJ180">
        <f t="shared" si="85"/>
        <v>52500.010777427087</v>
      </c>
      <c r="AK180">
        <f t="shared" si="86"/>
        <v>1800</v>
      </c>
      <c r="AL180">
        <f t="shared" si="87"/>
        <v>1499.1128765999999</v>
      </c>
      <c r="AM180">
        <f t="shared" si="88"/>
        <v>0.83284048700000002</v>
      </c>
      <c r="AN180">
        <f t="shared" si="89"/>
        <v>0.15339740526999998</v>
      </c>
      <c r="AO180">
        <v>34.5</v>
      </c>
      <c r="AP180">
        <v>0.5</v>
      </c>
      <c r="AQ180" t="s">
        <v>331</v>
      </c>
      <c r="AR180">
        <v>2</v>
      </c>
      <c r="AS180">
        <v>1690214046</v>
      </c>
      <c r="AT180">
        <v>346.11700000000002</v>
      </c>
      <c r="AU180">
        <v>799.971</v>
      </c>
      <c r="AV180">
        <v>29.262499999999999</v>
      </c>
      <c r="AW180">
        <v>5.9308199999999998</v>
      </c>
      <c r="AX180">
        <v>346.30799999999999</v>
      </c>
      <c r="AY180">
        <v>29.070900000000002</v>
      </c>
      <c r="AZ180">
        <v>300.13400000000001</v>
      </c>
      <c r="BA180">
        <v>99.075599999999994</v>
      </c>
      <c r="BB180">
        <v>9.9985099999999993E-2</v>
      </c>
      <c r="BC180">
        <v>26.970600000000001</v>
      </c>
      <c r="BD180">
        <v>27.001999999999999</v>
      </c>
      <c r="BE180">
        <v>28.595800000000001</v>
      </c>
      <c r="BF180">
        <v>0</v>
      </c>
      <c r="BG180">
        <v>0</v>
      </c>
      <c r="BH180">
        <v>10021.200000000001</v>
      </c>
      <c r="BI180">
        <v>1077.3499999999999</v>
      </c>
      <c r="BJ180">
        <v>2.0744500000000001</v>
      </c>
      <c r="BK180">
        <v>-453.85300000000001</v>
      </c>
      <c r="BL180">
        <v>356.55099999999999</v>
      </c>
      <c r="BM180">
        <v>804.74400000000003</v>
      </c>
      <c r="BN180">
        <v>23.331700000000001</v>
      </c>
      <c r="BO180">
        <v>799.971</v>
      </c>
      <c r="BP180">
        <v>5.9308199999999998</v>
      </c>
      <c r="BQ180">
        <v>2.8992</v>
      </c>
      <c r="BR180">
        <v>0.58760000000000001</v>
      </c>
      <c r="BS180">
        <v>23.46</v>
      </c>
      <c r="BT180">
        <v>-0.59577400000000003</v>
      </c>
      <c r="BU180">
        <v>1800</v>
      </c>
      <c r="BV180">
        <v>0.91000400000000004</v>
      </c>
      <c r="BW180">
        <v>3.3995299999999999E-2</v>
      </c>
      <c r="BX180">
        <v>2.20016E-2</v>
      </c>
      <c r="BY180">
        <v>3.39987E-2</v>
      </c>
      <c r="BZ180">
        <v>26</v>
      </c>
      <c r="CA180">
        <v>33528.400000000001</v>
      </c>
      <c r="CB180">
        <v>1690211922</v>
      </c>
      <c r="CC180" t="s">
        <v>332</v>
      </c>
      <c r="CD180">
        <v>1690211915</v>
      </c>
      <c r="CE180">
        <v>1690211922</v>
      </c>
      <c r="CF180">
        <v>6</v>
      </c>
      <c r="CG180">
        <v>1.0999999999999999E-2</v>
      </c>
      <c r="CH180">
        <v>8.0000000000000002E-3</v>
      </c>
      <c r="CI180">
        <v>-0.51100000000000001</v>
      </c>
      <c r="CJ180">
        <v>-6.6000000000000003E-2</v>
      </c>
      <c r="CK180">
        <v>800</v>
      </c>
      <c r="CL180">
        <v>6</v>
      </c>
      <c r="CM180">
        <v>0.21</v>
      </c>
      <c r="CN180">
        <v>0.02</v>
      </c>
      <c r="CO180">
        <v>-452.86472500000002</v>
      </c>
      <c r="CP180">
        <v>-5.2165215759823269</v>
      </c>
      <c r="CQ180">
        <v>0.50831732153744202</v>
      </c>
      <c r="CR180">
        <v>-1</v>
      </c>
      <c r="CS180">
        <v>23.3081</v>
      </c>
      <c r="CT180">
        <v>0.13053883677296951</v>
      </c>
      <c r="CU180">
        <v>1.260329322042434E-2</v>
      </c>
      <c r="CV180">
        <v>-1</v>
      </c>
      <c r="CW180">
        <v>0</v>
      </c>
      <c r="CX180">
        <v>0</v>
      </c>
      <c r="CY180" t="s">
        <v>333</v>
      </c>
      <c r="CZ180">
        <v>2.3642699999999999</v>
      </c>
      <c r="DA180">
        <v>2.7137899999999999</v>
      </c>
      <c r="DB180">
        <v>7.9991499999999993E-2</v>
      </c>
      <c r="DC180">
        <v>0.14604900000000001</v>
      </c>
      <c r="DD180">
        <v>0.13076599999999999</v>
      </c>
      <c r="DE180">
        <v>3.9068800000000001E-2</v>
      </c>
      <c r="DF180">
        <v>33574.699999999997</v>
      </c>
      <c r="DG180">
        <v>27496.9</v>
      </c>
      <c r="DH180">
        <v>31155</v>
      </c>
      <c r="DI180">
        <v>28058</v>
      </c>
      <c r="DJ180">
        <v>36749.5</v>
      </c>
      <c r="DK180">
        <v>38336.800000000003</v>
      </c>
      <c r="DL180">
        <v>44334.2</v>
      </c>
      <c r="DM180">
        <v>42520.2</v>
      </c>
      <c r="DN180">
        <v>1.3879999999999999</v>
      </c>
      <c r="DO180">
        <v>2.0339</v>
      </c>
      <c r="DP180">
        <v>8.1710500000000005E-2</v>
      </c>
      <c r="DQ180">
        <v>0.18654000000000001</v>
      </c>
      <c r="DR180">
        <v>25.664200000000001</v>
      </c>
      <c r="DS180">
        <v>25.545500000000001</v>
      </c>
      <c r="DT180">
        <v>17.600000000000001</v>
      </c>
      <c r="DU180">
        <v>29.7</v>
      </c>
      <c r="DV180">
        <v>7.4390299999999998</v>
      </c>
      <c r="DW180">
        <v>61.731200000000001</v>
      </c>
      <c r="DX180">
        <v>37.019199999999998</v>
      </c>
      <c r="DY180">
        <v>1</v>
      </c>
      <c r="DZ180">
        <v>-8.5218500000000003E-2</v>
      </c>
      <c r="EA180">
        <v>-0.26705299999999998</v>
      </c>
      <c r="EB180">
        <v>20.1892</v>
      </c>
      <c r="EC180">
        <v>5.24125</v>
      </c>
      <c r="ED180">
        <v>12.039899999999999</v>
      </c>
      <c r="EE180">
        <v>5.01715</v>
      </c>
      <c r="EF180">
        <v>3.2879999999999998</v>
      </c>
      <c r="EG180">
        <v>9999</v>
      </c>
      <c r="EH180">
        <v>9999</v>
      </c>
      <c r="EI180">
        <v>9999</v>
      </c>
      <c r="EJ180">
        <v>999.9</v>
      </c>
      <c r="EK180">
        <v>1.8689199999999999</v>
      </c>
      <c r="EL180">
        <v>1.86469</v>
      </c>
      <c r="EM180">
        <v>1.8692</v>
      </c>
      <c r="EN180">
        <v>1.8672500000000001</v>
      </c>
      <c r="EO180">
        <v>1.8633999999999999</v>
      </c>
      <c r="EP180">
        <v>1.8646</v>
      </c>
      <c r="EQ180">
        <v>1.8702099999999999</v>
      </c>
      <c r="ER180">
        <v>1.86947</v>
      </c>
      <c r="ES180">
        <v>0</v>
      </c>
      <c r="ET180">
        <v>0</v>
      </c>
      <c r="EU180">
        <v>0</v>
      </c>
      <c r="EV180">
        <v>0</v>
      </c>
      <c r="EW180" t="s">
        <v>334</v>
      </c>
      <c r="EX180" t="s">
        <v>335</v>
      </c>
      <c r="EY180" t="s">
        <v>336</v>
      </c>
      <c r="EZ180" t="s">
        <v>336</v>
      </c>
      <c r="FA180" t="s">
        <v>336</v>
      </c>
      <c r="FB180" t="s">
        <v>336</v>
      </c>
      <c r="FC180">
        <v>0</v>
      </c>
      <c r="FD180">
        <v>100</v>
      </c>
      <c r="FE180">
        <v>100</v>
      </c>
      <c r="FF180">
        <v>-0.191</v>
      </c>
      <c r="FG180">
        <v>0.19159999999999999</v>
      </c>
      <c r="FH180">
        <v>4.0020685143421282E-2</v>
      </c>
      <c r="FI180">
        <v>-6.1462078757559423E-4</v>
      </c>
      <c r="FJ180">
        <v>-1.8861989874597051E-7</v>
      </c>
      <c r="FK180">
        <v>1.1980462299894961E-10</v>
      </c>
      <c r="FL180">
        <v>0.19160597004026461</v>
      </c>
      <c r="FM180">
        <v>0</v>
      </c>
      <c r="FN180">
        <v>0</v>
      </c>
      <c r="FO180">
        <v>0</v>
      </c>
      <c r="FP180">
        <v>3</v>
      </c>
      <c r="FQ180">
        <v>2158</v>
      </c>
      <c r="FR180">
        <v>1</v>
      </c>
      <c r="FS180">
        <v>19</v>
      </c>
      <c r="FT180">
        <v>35.5</v>
      </c>
      <c r="FU180">
        <v>35.4</v>
      </c>
      <c r="FV180">
        <v>1.77979</v>
      </c>
      <c r="FW180">
        <v>2.5793499999999998</v>
      </c>
      <c r="FX180">
        <v>1.5490699999999999</v>
      </c>
      <c r="FY180">
        <v>2.3290999999999999</v>
      </c>
      <c r="FZ180">
        <v>1.50146</v>
      </c>
      <c r="GA180">
        <v>2.4047900000000002</v>
      </c>
      <c r="GB180">
        <v>33.850900000000003</v>
      </c>
      <c r="GC180">
        <v>23.991199999999999</v>
      </c>
      <c r="GD180">
        <v>19</v>
      </c>
      <c r="GE180">
        <v>247.45</v>
      </c>
      <c r="GF180">
        <v>582.17200000000003</v>
      </c>
      <c r="GG180">
        <v>25.536200000000001</v>
      </c>
      <c r="GH180">
        <v>26.319700000000001</v>
      </c>
      <c r="GI180">
        <v>30</v>
      </c>
      <c r="GJ180">
        <v>26.459099999999999</v>
      </c>
      <c r="GK180">
        <v>26.431699999999999</v>
      </c>
      <c r="GL180">
        <v>35.581000000000003</v>
      </c>
      <c r="GM180">
        <v>-30</v>
      </c>
      <c r="GN180">
        <v>-30</v>
      </c>
      <c r="GO180">
        <v>25.536300000000001</v>
      </c>
      <c r="GP180">
        <v>800</v>
      </c>
      <c r="GQ180">
        <v>12.5298</v>
      </c>
      <c r="GR180">
        <v>99.679699999999997</v>
      </c>
      <c r="GS180">
        <v>99.475200000000001</v>
      </c>
    </row>
    <row r="181" spans="1:201" x14ac:dyDescent="0.25">
      <c r="A181">
        <v>165</v>
      </c>
      <c r="B181">
        <v>1690214056</v>
      </c>
      <c r="C181">
        <v>1788.5</v>
      </c>
      <c r="D181" t="s">
        <v>661</v>
      </c>
      <c r="E181" t="s">
        <v>662</v>
      </c>
      <c r="F181" t="s">
        <v>330</v>
      </c>
      <c r="H181">
        <v>1690214056</v>
      </c>
      <c r="I181">
        <f t="shared" si="60"/>
        <v>2.0923753637016361E-3</v>
      </c>
      <c r="J181">
        <f t="shared" si="61"/>
        <v>2.092375363701636</v>
      </c>
      <c r="K181">
        <f t="shared" si="62"/>
        <v>38.836081653839862</v>
      </c>
      <c r="L181">
        <f t="shared" si="63"/>
        <v>345.339</v>
      </c>
      <c r="M181">
        <f t="shared" si="64"/>
        <v>33.037871333806521</v>
      </c>
      <c r="N181">
        <f t="shared" si="65"/>
        <v>3.2766021852566003</v>
      </c>
      <c r="O181">
        <f t="shared" si="66"/>
        <v>34.249740566562004</v>
      </c>
      <c r="P181">
        <f t="shared" si="67"/>
        <v>0.21100517674699915</v>
      </c>
      <c r="Q181">
        <f t="shared" si="68"/>
        <v>2.0077533449204141</v>
      </c>
      <c r="R181">
        <f t="shared" si="69"/>
        <v>0.19941410076083649</v>
      </c>
      <c r="S181">
        <f t="shared" si="70"/>
        <v>0.12562213605593475</v>
      </c>
      <c r="T181">
        <f t="shared" si="71"/>
        <v>276.11561511000002</v>
      </c>
      <c r="U181">
        <f t="shared" si="72"/>
        <v>28.50493222406649</v>
      </c>
      <c r="V181">
        <f t="shared" si="73"/>
        <v>28.50493222406649</v>
      </c>
      <c r="W181">
        <f t="shared" si="74"/>
        <v>3.9079886255605598</v>
      </c>
      <c r="X181">
        <f t="shared" si="75"/>
        <v>81.247900455748223</v>
      </c>
      <c r="Y181">
        <f t="shared" si="76"/>
        <v>2.9030939335444002</v>
      </c>
      <c r="Z181">
        <f t="shared" si="77"/>
        <v>3.5731310190908552</v>
      </c>
      <c r="AA181">
        <f t="shared" si="78"/>
        <v>1.0048946920161597</v>
      </c>
      <c r="AB181">
        <f t="shared" si="79"/>
        <v>-92.273753539242151</v>
      </c>
      <c r="AC181">
        <f t="shared" si="80"/>
        <v>-166.00341663830872</v>
      </c>
      <c r="AD181">
        <f t="shared" si="81"/>
        <v>-17.975712958351032</v>
      </c>
      <c r="AE181">
        <f t="shared" si="82"/>
        <v>-0.13726802590187503</v>
      </c>
      <c r="AF181">
        <v>33</v>
      </c>
      <c r="AG181">
        <v>11</v>
      </c>
      <c r="AH181">
        <f t="shared" si="83"/>
        <v>1</v>
      </c>
      <c r="AI181">
        <f t="shared" si="84"/>
        <v>0</v>
      </c>
      <c r="AJ181">
        <f t="shared" si="85"/>
        <v>52199.341005917733</v>
      </c>
      <c r="AK181">
        <f t="shared" si="86"/>
        <v>1800</v>
      </c>
      <c r="AL181">
        <f t="shared" si="87"/>
        <v>1499.113458</v>
      </c>
      <c r="AM181">
        <f t="shared" si="88"/>
        <v>0.83284080999999999</v>
      </c>
      <c r="AN181">
        <f t="shared" si="89"/>
        <v>0.15339756395000001</v>
      </c>
      <c r="AO181">
        <v>34.5</v>
      </c>
      <c r="AP181">
        <v>0.5</v>
      </c>
      <c r="AQ181" t="s">
        <v>331</v>
      </c>
      <c r="AR181">
        <v>2</v>
      </c>
      <c r="AS181">
        <v>1690214056</v>
      </c>
      <c r="AT181">
        <v>345.339</v>
      </c>
      <c r="AU181">
        <v>799.95899999999995</v>
      </c>
      <c r="AV181">
        <v>29.271799999999999</v>
      </c>
      <c r="AW181">
        <v>5.9294700000000002</v>
      </c>
      <c r="AX181">
        <v>345.529</v>
      </c>
      <c r="AY181">
        <v>29.080200000000001</v>
      </c>
      <c r="AZ181">
        <v>300.20100000000002</v>
      </c>
      <c r="BA181">
        <v>99.077100000000002</v>
      </c>
      <c r="BB181">
        <v>0.10005799999999999</v>
      </c>
      <c r="BC181">
        <v>26.971299999999999</v>
      </c>
      <c r="BD181">
        <v>26.993600000000001</v>
      </c>
      <c r="BE181">
        <v>28.589400000000001</v>
      </c>
      <c r="BF181">
        <v>0</v>
      </c>
      <c r="BG181">
        <v>0</v>
      </c>
      <c r="BH181">
        <v>9961.25</v>
      </c>
      <c r="BI181">
        <v>1077.43</v>
      </c>
      <c r="BJ181">
        <v>2.0744500000000001</v>
      </c>
      <c r="BK181">
        <v>-454.62</v>
      </c>
      <c r="BL181">
        <v>355.75200000000001</v>
      </c>
      <c r="BM181">
        <v>804.73</v>
      </c>
      <c r="BN181">
        <v>23.342400000000001</v>
      </c>
      <c r="BO181">
        <v>799.95899999999995</v>
      </c>
      <c r="BP181">
        <v>5.9294700000000002</v>
      </c>
      <c r="BQ181">
        <v>2.9001700000000001</v>
      </c>
      <c r="BR181">
        <v>0.58747499999999997</v>
      </c>
      <c r="BS181">
        <v>23.465599999999998</v>
      </c>
      <c r="BT181">
        <v>-0.59868500000000002</v>
      </c>
      <c r="BU181">
        <v>1800</v>
      </c>
      <c r="BV181">
        <v>0.91000199999999998</v>
      </c>
      <c r="BW181">
        <v>3.3998500000000001E-2</v>
      </c>
      <c r="BX181">
        <v>2.20015E-2</v>
      </c>
      <c r="BY181">
        <v>3.3998500000000001E-2</v>
      </c>
      <c r="BZ181">
        <v>26</v>
      </c>
      <c r="CA181">
        <v>33528.400000000001</v>
      </c>
      <c r="CB181">
        <v>1690211922</v>
      </c>
      <c r="CC181" t="s">
        <v>332</v>
      </c>
      <c r="CD181">
        <v>1690211915</v>
      </c>
      <c r="CE181">
        <v>1690211922</v>
      </c>
      <c r="CF181">
        <v>6</v>
      </c>
      <c r="CG181">
        <v>1.0999999999999999E-2</v>
      </c>
      <c r="CH181">
        <v>8.0000000000000002E-3</v>
      </c>
      <c r="CI181">
        <v>-0.51100000000000001</v>
      </c>
      <c r="CJ181">
        <v>-6.6000000000000003E-2</v>
      </c>
      <c r="CK181">
        <v>800</v>
      </c>
      <c r="CL181">
        <v>6</v>
      </c>
      <c r="CM181">
        <v>0.21</v>
      </c>
      <c r="CN181">
        <v>0.02</v>
      </c>
      <c r="CO181">
        <v>-453.716025</v>
      </c>
      <c r="CP181">
        <v>-5.0943151969965319</v>
      </c>
      <c r="CQ181">
        <v>0.49506325290310332</v>
      </c>
      <c r="CR181">
        <v>-1</v>
      </c>
      <c r="CS181">
        <v>23.327774999999999</v>
      </c>
      <c r="CT181">
        <v>0.1015091932457418</v>
      </c>
      <c r="CU181">
        <v>9.9072132812411794E-3</v>
      </c>
      <c r="CV181">
        <v>-1</v>
      </c>
      <c r="CW181">
        <v>0</v>
      </c>
      <c r="CX181">
        <v>0</v>
      </c>
      <c r="CY181" t="s">
        <v>333</v>
      </c>
      <c r="CZ181">
        <v>2.3645100000000001</v>
      </c>
      <c r="DA181">
        <v>2.7138200000000001</v>
      </c>
      <c r="DB181">
        <v>7.9851000000000005E-2</v>
      </c>
      <c r="DC181">
        <v>0.14605000000000001</v>
      </c>
      <c r="DD181">
        <v>0.130797</v>
      </c>
      <c r="DE181">
        <v>3.9062399999999997E-2</v>
      </c>
      <c r="DF181">
        <v>33580.199999999997</v>
      </c>
      <c r="DG181">
        <v>27496.799999999999</v>
      </c>
      <c r="DH181">
        <v>31155.4</v>
      </c>
      <c r="DI181">
        <v>28057.9</v>
      </c>
      <c r="DJ181">
        <v>36748.5</v>
      </c>
      <c r="DK181">
        <v>38336.9</v>
      </c>
      <c r="DL181">
        <v>44334.6</v>
      </c>
      <c r="DM181">
        <v>42520.1</v>
      </c>
      <c r="DN181">
        <v>1.3881300000000001</v>
      </c>
      <c r="DO181">
        <v>2.0337700000000001</v>
      </c>
      <c r="DP181">
        <v>8.1196400000000002E-2</v>
      </c>
      <c r="DQ181">
        <v>0.18601899999999999</v>
      </c>
      <c r="DR181">
        <v>25.664200000000001</v>
      </c>
      <c r="DS181">
        <v>25.547599999999999</v>
      </c>
      <c r="DT181">
        <v>17.600000000000001</v>
      </c>
      <c r="DU181">
        <v>29.7</v>
      </c>
      <c r="DV181">
        <v>7.4390099999999997</v>
      </c>
      <c r="DW181">
        <v>61.871200000000002</v>
      </c>
      <c r="DX181">
        <v>37.287700000000001</v>
      </c>
      <c r="DY181">
        <v>1</v>
      </c>
      <c r="DZ181">
        <v>-8.4641800000000003E-2</v>
      </c>
      <c r="EA181">
        <v>-0.26846100000000001</v>
      </c>
      <c r="EB181">
        <v>20.189299999999999</v>
      </c>
      <c r="EC181">
        <v>5.2415500000000002</v>
      </c>
      <c r="ED181">
        <v>12.039899999999999</v>
      </c>
      <c r="EE181">
        <v>5.0172499999999998</v>
      </c>
      <c r="EF181">
        <v>3.2879999999999998</v>
      </c>
      <c r="EG181">
        <v>9999</v>
      </c>
      <c r="EH181">
        <v>9999</v>
      </c>
      <c r="EI181">
        <v>9999</v>
      </c>
      <c r="EJ181">
        <v>999.9</v>
      </c>
      <c r="EK181">
        <v>1.8689100000000001</v>
      </c>
      <c r="EL181">
        <v>1.8646400000000001</v>
      </c>
      <c r="EM181">
        <v>1.8692</v>
      </c>
      <c r="EN181">
        <v>1.8672200000000001</v>
      </c>
      <c r="EO181">
        <v>1.8633999999999999</v>
      </c>
      <c r="EP181">
        <v>1.8645700000000001</v>
      </c>
      <c r="EQ181">
        <v>1.87018</v>
      </c>
      <c r="ER181">
        <v>1.8694299999999999</v>
      </c>
      <c r="ES181">
        <v>0</v>
      </c>
      <c r="ET181">
        <v>0</v>
      </c>
      <c r="EU181">
        <v>0</v>
      </c>
      <c r="EV181">
        <v>0</v>
      </c>
      <c r="EW181" t="s">
        <v>334</v>
      </c>
      <c r="EX181" t="s">
        <v>335</v>
      </c>
      <c r="EY181" t="s">
        <v>336</v>
      </c>
      <c r="EZ181" t="s">
        <v>336</v>
      </c>
      <c r="FA181" t="s">
        <v>336</v>
      </c>
      <c r="FB181" t="s">
        <v>336</v>
      </c>
      <c r="FC181">
        <v>0</v>
      </c>
      <c r="FD181">
        <v>100</v>
      </c>
      <c r="FE181">
        <v>100</v>
      </c>
      <c r="FF181">
        <v>-0.19</v>
      </c>
      <c r="FG181">
        <v>0.19159999999999999</v>
      </c>
      <c r="FH181">
        <v>4.0020685143421282E-2</v>
      </c>
      <c r="FI181">
        <v>-6.1462078757559423E-4</v>
      </c>
      <c r="FJ181">
        <v>-1.8861989874597051E-7</v>
      </c>
      <c r="FK181">
        <v>1.1980462299894961E-10</v>
      </c>
      <c r="FL181">
        <v>0.19160597004026461</v>
      </c>
      <c r="FM181">
        <v>0</v>
      </c>
      <c r="FN181">
        <v>0</v>
      </c>
      <c r="FO181">
        <v>0</v>
      </c>
      <c r="FP181">
        <v>3</v>
      </c>
      <c r="FQ181">
        <v>2158</v>
      </c>
      <c r="FR181">
        <v>1</v>
      </c>
      <c r="FS181">
        <v>19</v>
      </c>
      <c r="FT181">
        <v>35.700000000000003</v>
      </c>
      <c r="FU181">
        <v>35.6</v>
      </c>
      <c r="FV181">
        <v>1.77979</v>
      </c>
      <c r="FW181">
        <v>2.5781200000000002</v>
      </c>
      <c r="FX181">
        <v>1.5490699999999999</v>
      </c>
      <c r="FY181">
        <v>2.3290999999999999</v>
      </c>
      <c r="FZ181">
        <v>1.50146</v>
      </c>
      <c r="GA181">
        <v>2.3913600000000002</v>
      </c>
      <c r="GB181">
        <v>33.850900000000003</v>
      </c>
      <c r="GC181">
        <v>23.991199999999999</v>
      </c>
      <c r="GD181">
        <v>19</v>
      </c>
      <c r="GE181">
        <v>247.49</v>
      </c>
      <c r="GF181">
        <v>582.04700000000003</v>
      </c>
      <c r="GG181">
        <v>25.532499999999999</v>
      </c>
      <c r="GH181">
        <v>26.317599999999999</v>
      </c>
      <c r="GI181">
        <v>30.0002</v>
      </c>
      <c r="GJ181">
        <v>26.456900000000001</v>
      </c>
      <c r="GK181">
        <v>26.4297</v>
      </c>
      <c r="GL181">
        <v>35.5807</v>
      </c>
      <c r="GM181">
        <v>-30</v>
      </c>
      <c r="GN181">
        <v>-30</v>
      </c>
      <c r="GO181">
        <v>25.5349</v>
      </c>
      <c r="GP181">
        <v>800</v>
      </c>
      <c r="GQ181">
        <v>12.5298</v>
      </c>
      <c r="GR181">
        <v>99.680700000000002</v>
      </c>
      <c r="GS181">
        <v>99.474900000000005</v>
      </c>
    </row>
    <row r="182" spans="1:201" x14ac:dyDescent="0.25">
      <c r="A182">
        <v>166</v>
      </c>
      <c r="B182">
        <v>1690214066</v>
      </c>
      <c r="C182">
        <v>1798.5</v>
      </c>
      <c r="D182" t="s">
        <v>663</v>
      </c>
      <c r="E182" t="s">
        <v>664</v>
      </c>
      <c r="F182" t="s">
        <v>330</v>
      </c>
      <c r="H182">
        <v>1690214066</v>
      </c>
      <c r="I182">
        <f t="shared" si="60"/>
        <v>2.0940154407944746E-3</v>
      </c>
      <c r="J182">
        <f t="shared" si="61"/>
        <v>2.0940154407944744</v>
      </c>
      <c r="K182">
        <f t="shared" si="62"/>
        <v>38.913690889198392</v>
      </c>
      <c r="L182">
        <f t="shared" si="63"/>
        <v>344.57499999999999</v>
      </c>
      <c r="M182">
        <f t="shared" si="64"/>
        <v>32.39734697633299</v>
      </c>
      <c r="N182">
        <f t="shared" si="65"/>
        <v>3.2130123291321167</v>
      </c>
      <c r="O182">
        <f t="shared" si="66"/>
        <v>34.173283513599998</v>
      </c>
      <c r="P182">
        <f t="shared" si="67"/>
        <v>0.21153226788176313</v>
      </c>
      <c r="Q182">
        <f t="shared" si="68"/>
        <v>2.006286495901314</v>
      </c>
      <c r="R182">
        <f t="shared" si="69"/>
        <v>0.19987691463373775</v>
      </c>
      <c r="S182">
        <f t="shared" si="70"/>
        <v>0.1259167126990951</v>
      </c>
      <c r="T182">
        <f t="shared" si="71"/>
        <v>276.11562794399998</v>
      </c>
      <c r="U182">
        <f t="shared" si="72"/>
        <v>28.50384321078737</v>
      </c>
      <c r="V182">
        <f t="shared" si="73"/>
        <v>28.50384321078737</v>
      </c>
      <c r="W182">
        <f t="shared" si="74"/>
        <v>3.9077414597468825</v>
      </c>
      <c r="X182">
        <f t="shared" si="75"/>
        <v>81.292013773351698</v>
      </c>
      <c r="Y182">
        <f t="shared" si="76"/>
        <v>2.9044142174976</v>
      </c>
      <c r="Z182">
        <f t="shared" si="77"/>
        <v>3.5728161755167327</v>
      </c>
      <c r="AA182">
        <f t="shared" si="78"/>
        <v>1.0033272422492825</v>
      </c>
      <c r="AB182">
        <f t="shared" si="79"/>
        <v>-92.346080939036327</v>
      </c>
      <c r="AC182">
        <f t="shared" si="80"/>
        <v>-165.92658935265888</v>
      </c>
      <c r="AD182">
        <f t="shared" si="81"/>
        <v>-17.98029801307732</v>
      </c>
      <c r="AE182">
        <f t="shared" si="82"/>
        <v>-0.13734036077255496</v>
      </c>
      <c r="AF182">
        <v>33</v>
      </c>
      <c r="AG182">
        <v>11</v>
      </c>
      <c r="AH182">
        <f t="shared" si="83"/>
        <v>1</v>
      </c>
      <c r="AI182">
        <f t="shared" si="84"/>
        <v>0</v>
      </c>
      <c r="AJ182">
        <f t="shared" si="85"/>
        <v>52129.359797017773</v>
      </c>
      <c r="AK182">
        <f t="shared" si="86"/>
        <v>1800</v>
      </c>
      <c r="AL182">
        <f t="shared" si="87"/>
        <v>1499.1125364</v>
      </c>
      <c r="AM182">
        <f t="shared" si="88"/>
        <v>0.83284029800000003</v>
      </c>
      <c r="AN182">
        <f t="shared" si="89"/>
        <v>0.15339757107999999</v>
      </c>
      <c r="AO182">
        <v>34.5</v>
      </c>
      <c r="AP182">
        <v>0.5</v>
      </c>
      <c r="AQ182" t="s">
        <v>331</v>
      </c>
      <c r="AR182">
        <v>2</v>
      </c>
      <c r="AS182">
        <v>1690214066</v>
      </c>
      <c r="AT182">
        <v>344.57499999999999</v>
      </c>
      <c r="AU182">
        <v>800.02800000000002</v>
      </c>
      <c r="AV182">
        <v>29.285699999999999</v>
      </c>
      <c r="AW182">
        <v>5.9278199999999996</v>
      </c>
      <c r="AX182">
        <v>344.76499999999999</v>
      </c>
      <c r="AY182">
        <v>29.094100000000001</v>
      </c>
      <c r="AZ182">
        <v>300.23200000000003</v>
      </c>
      <c r="BA182">
        <v>99.075100000000006</v>
      </c>
      <c r="BB182">
        <v>0.100068</v>
      </c>
      <c r="BC182">
        <v>26.969799999999999</v>
      </c>
      <c r="BD182">
        <v>26.990500000000001</v>
      </c>
      <c r="BE182">
        <v>28.584499999999998</v>
      </c>
      <c r="BF182">
        <v>0</v>
      </c>
      <c r="BG182">
        <v>0</v>
      </c>
      <c r="BH182">
        <v>9947.5</v>
      </c>
      <c r="BI182">
        <v>1077.42</v>
      </c>
      <c r="BJ182">
        <v>2.0744500000000001</v>
      </c>
      <c r="BK182">
        <v>-455.45299999999997</v>
      </c>
      <c r="BL182">
        <v>354.971</v>
      </c>
      <c r="BM182">
        <v>804.79899999999998</v>
      </c>
      <c r="BN182">
        <v>23.357800000000001</v>
      </c>
      <c r="BO182">
        <v>800.02800000000002</v>
      </c>
      <c r="BP182">
        <v>5.9278199999999996</v>
      </c>
      <c r="BQ182">
        <v>2.9014799999999998</v>
      </c>
      <c r="BR182">
        <v>0.58729900000000002</v>
      </c>
      <c r="BS182">
        <v>23.473099999999999</v>
      </c>
      <c r="BT182">
        <v>-0.60277899999999995</v>
      </c>
      <c r="BU182">
        <v>1800</v>
      </c>
      <c r="BV182">
        <v>0.909999</v>
      </c>
      <c r="BW182">
        <v>3.40016E-2</v>
      </c>
      <c r="BX182">
        <v>2.2001400000000001E-2</v>
      </c>
      <c r="BY182">
        <v>3.3998399999999998E-2</v>
      </c>
      <c r="BZ182">
        <v>26</v>
      </c>
      <c r="CA182">
        <v>33528.400000000001</v>
      </c>
      <c r="CB182">
        <v>1690211922</v>
      </c>
      <c r="CC182" t="s">
        <v>332</v>
      </c>
      <c r="CD182">
        <v>1690211915</v>
      </c>
      <c r="CE182">
        <v>1690211922</v>
      </c>
      <c r="CF182">
        <v>6</v>
      </c>
      <c r="CG182">
        <v>1.0999999999999999E-2</v>
      </c>
      <c r="CH182">
        <v>8.0000000000000002E-3</v>
      </c>
      <c r="CI182">
        <v>-0.51100000000000001</v>
      </c>
      <c r="CJ182">
        <v>-6.6000000000000003E-2</v>
      </c>
      <c r="CK182">
        <v>800</v>
      </c>
      <c r="CL182">
        <v>6</v>
      </c>
      <c r="CM182">
        <v>0.21</v>
      </c>
      <c r="CN182">
        <v>0.02</v>
      </c>
      <c r="CO182">
        <v>-454.59053658536601</v>
      </c>
      <c r="CP182">
        <v>-5.156174216029064</v>
      </c>
      <c r="CQ182">
        <v>0.51037184424027127</v>
      </c>
      <c r="CR182">
        <v>-1</v>
      </c>
      <c r="CS182">
        <v>23.342670731707319</v>
      </c>
      <c r="CT182">
        <v>7.5248780487813041E-2</v>
      </c>
      <c r="CU182">
        <v>7.5047056425734133E-3</v>
      </c>
      <c r="CV182">
        <v>-1</v>
      </c>
      <c r="CW182">
        <v>0</v>
      </c>
      <c r="CX182">
        <v>0</v>
      </c>
      <c r="CY182" t="s">
        <v>333</v>
      </c>
      <c r="CZ182">
        <v>2.3646099999999999</v>
      </c>
      <c r="DA182">
        <v>2.7138100000000001</v>
      </c>
      <c r="DB182">
        <v>7.9710400000000001E-2</v>
      </c>
      <c r="DC182">
        <v>0.14605599999999999</v>
      </c>
      <c r="DD182">
        <v>0.13083800000000001</v>
      </c>
      <c r="DE182">
        <v>3.9052700000000003E-2</v>
      </c>
      <c r="DF182">
        <v>33585.5</v>
      </c>
      <c r="DG182">
        <v>27497.200000000001</v>
      </c>
      <c r="DH182">
        <v>31155.599999999999</v>
      </c>
      <c r="DI182">
        <v>28058.5</v>
      </c>
      <c r="DJ182">
        <v>36746.800000000003</v>
      </c>
      <c r="DK182">
        <v>38337.800000000003</v>
      </c>
      <c r="DL182">
        <v>44334.7</v>
      </c>
      <c r="DM182">
        <v>42520.7</v>
      </c>
      <c r="DN182">
        <v>1.3886499999999999</v>
      </c>
      <c r="DO182">
        <v>2.0337299999999998</v>
      </c>
      <c r="DP182">
        <v>8.1010200000000004E-2</v>
      </c>
      <c r="DQ182">
        <v>0.185698</v>
      </c>
      <c r="DR182">
        <v>25.664200000000001</v>
      </c>
      <c r="DS182">
        <v>25.547899999999998</v>
      </c>
      <c r="DT182">
        <v>17.600000000000001</v>
      </c>
      <c r="DU182">
        <v>29.7</v>
      </c>
      <c r="DV182">
        <v>7.4386400000000004</v>
      </c>
      <c r="DW182">
        <v>61.441200000000002</v>
      </c>
      <c r="DX182">
        <v>37.2316</v>
      </c>
      <c r="DY182">
        <v>1</v>
      </c>
      <c r="DZ182">
        <v>-8.5193099999999994E-2</v>
      </c>
      <c r="EA182">
        <v>-0.29510900000000001</v>
      </c>
      <c r="EB182">
        <v>20.1891</v>
      </c>
      <c r="EC182">
        <v>5.24125</v>
      </c>
      <c r="ED182">
        <v>12.039899999999999</v>
      </c>
      <c r="EE182">
        <v>5.01715</v>
      </c>
      <c r="EF182">
        <v>3.2879999999999998</v>
      </c>
      <c r="EG182">
        <v>9999</v>
      </c>
      <c r="EH182">
        <v>9999</v>
      </c>
      <c r="EI182">
        <v>9999</v>
      </c>
      <c r="EJ182">
        <v>999.9</v>
      </c>
      <c r="EK182">
        <v>1.8689100000000001</v>
      </c>
      <c r="EL182">
        <v>1.86466</v>
      </c>
      <c r="EM182">
        <v>1.8692</v>
      </c>
      <c r="EN182">
        <v>1.8672599999999999</v>
      </c>
      <c r="EO182">
        <v>1.8633999999999999</v>
      </c>
      <c r="EP182">
        <v>1.8646100000000001</v>
      </c>
      <c r="EQ182">
        <v>1.87019</v>
      </c>
      <c r="ER182">
        <v>1.86947</v>
      </c>
      <c r="ES182">
        <v>0</v>
      </c>
      <c r="ET182">
        <v>0</v>
      </c>
      <c r="EU182">
        <v>0</v>
      </c>
      <c r="EV182">
        <v>0</v>
      </c>
      <c r="EW182" t="s">
        <v>334</v>
      </c>
      <c r="EX182" t="s">
        <v>335</v>
      </c>
      <c r="EY182" t="s">
        <v>336</v>
      </c>
      <c r="EZ182" t="s">
        <v>336</v>
      </c>
      <c r="FA182" t="s">
        <v>336</v>
      </c>
      <c r="FB182" t="s">
        <v>336</v>
      </c>
      <c r="FC182">
        <v>0</v>
      </c>
      <c r="FD182">
        <v>100</v>
      </c>
      <c r="FE182">
        <v>100</v>
      </c>
      <c r="FF182">
        <v>-0.19</v>
      </c>
      <c r="FG182">
        <v>0.19159999999999999</v>
      </c>
      <c r="FH182">
        <v>4.0020685143421282E-2</v>
      </c>
      <c r="FI182">
        <v>-6.1462078757559423E-4</v>
      </c>
      <c r="FJ182">
        <v>-1.8861989874597051E-7</v>
      </c>
      <c r="FK182">
        <v>1.1980462299894961E-10</v>
      </c>
      <c r="FL182">
        <v>0.19160597004026461</v>
      </c>
      <c r="FM182">
        <v>0</v>
      </c>
      <c r="FN182">
        <v>0</v>
      </c>
      <c r="FO182">
        <v>0</v>
      </c>
      <c r="FP182">
        <v>3</v>
      </c>
      <c r="FQ182">
        <v>2158</v>
      </c>
      <c r="FR182">
        <v>1</v>
      </c>
      <c r="FS182">
        <v>19</v>
      </c>
      <c r="FT182">
        <v>35.9</v>
      </c>
      <c r="FU182">
        <v>35.700000000000003</v>
      </c>
      <c r="FV182">
        <v>1.77979</v>
      </c>
      <c r="FW182">
        <v>2.5817899999999998</v>
      </c>
      <c r="FX182">
        <v>1.5490699999999999</v>
      </c>
      <c r="FY182">
        <v>2.3290999999999999</v>
      </c>
      <c r="FZ182">
        <v>1.50146</v>
      </c>
      <c r="GA182">
        <v>2.3864700000000001</v>
      </c>
      <c r="GB182">
        <v>33.850900000000003</v>
      </c>
      <c r="GC182">
        <v>23.991199999999999</v>
      </c>
      <c r="GD182">
        <v>19</v>
      </c>
      <c r="GE182">
        <v>247.68799999999999</v>
      </c>
      <c r="GF182">
        <v>582.00199999999995</v>
      </c>
      <c r="GG182">
        <v>25.541799999999999</v>
      </c>
      <c r="GH182">
        <v>26.317399999999999</v>
      </c>
      <c r="GI182">
        <v>30</v>
      </c>
      <c r="GJ182">
        <v>26.455300000000001</v>
      </c>
      <c r="GK182">
        <v>26.429400000000001</v>
      </c>
      <c r="GL182">
        <v>35.5777</v>
      </c>
      <c r="GM182">
        <v>-30</v>
      </c>
      <c r="GN182">
        <v>-30</v>
      </c>
      <c r="GO182">
        <v>25.545200000000001</v>
      </c>
      <c r="GP182">
        <v>800</v>
      </c>
      <c r="GQ182">
        <v>12.5298</v>
      </c>
      <c r="GR182">
        <v>99.681100000000001</v>
      </c>
      <c r="GS182">
        <v>99.476500000000001</v>
      </c>
    </row>
    <row r="183" spans="1:201" x14ac:dyDescent="0.25">
      <c r="A183">
        <v>167</v>
      </c>
      <c r="B183">
        <v>1690214076</v>
      </c>
      <c r="C183">
        <v>1808.5</v>
      </c>
      <c r="D183" t="s">
        <v>665</v>
      </c>
      <c r="E183" t="s">
        <v>666</v>
      </c>
      <c r="F183" t="s">
        <v>330</v>
      </c>
      <c r="H183">
        <v>1690214076</v>
      </c>
      <c r="I183">
        <f t="shared" si="60"/>
        <v>2.0951155813660836E-3</v>
      </c>
      <c r="J183">
        <f t="shared" si="61"/>
        <v>2.0951155813660836</v>
      </c>
      <c r="K183">
        <f t="shared" si="62"/>
        <v>38.978435798203556</v>
      </c>
      <c r="L183">
        <f t="shared" si="63"/>
        <v>343.77300000000002</v>
      </c>
      <c r="M183">
        <f t="shared" si="64"/>
        <v>31.867354255381887</v>
      </c>
      <c r="N183">
        <f t="shared" si="65"/>
        <v>3.1604858715624253</v>
      </c>
      <c r="O183">
        <f t="shared" si="66"/>
        <v>34.094129710851007</v>
      </c>
      <c r="P183">
        <f t="shared" si="67"/>
        <v>0.21206420992098754</v>
      </c>
      <c r="Q183">
        <f t="shared" si="68"/>
        <v>2.0103022648492974</v>
      </c>
      <c r="R183">
        <f t="shared" si="69"/>
        <v>0.20037391739534724</v>
      </c>
      <c r="S183">
        <f t="shared" si="70"/>
        <v>0.12623029212506032</v>
      </c>
      <c r="T183">
        <f t="shared" si="71"/>
        <v>276.11543287800004</v>
      </c>
      <c r="U183">
        <f t="shared" si="72"/>
        <v>28.499671405707552</v>
      </c>
      <c r="V183">
        <f t="shared" si="73"/>
        <v>28.499671405707552</v>
      </c>
      <c r="W183">
        <f t="shared" si="74"/>
        <v>3.9067947401516703</v>
      </c>
      <c r="X183">
        <f t="shared" si="75"/>
        <v>81.32491176802624</v>
      </c>
      <c r="Y183">
        <f t="shared" si="76"/>
        <v>2.9054189158085002</v>
      </c>
      <c r="Z183">
        <f t="shared" si="77"/>
        <v>3.5726062932548999</v>
      </c>
      <c r="AA183">
        <f t="shared" si="78"/>
        <v>1.0013758243431701</v>
      </c>
      <c r="AB183">
        <f t="shared" si="79"/>
        <v>-92.394597138244279</v>
      </c>
      <c r="AC183">
        <f t="shared" si="80"/>
        <v>-165.91494846633387</v>
      </c>
      <c r="AD183">
        <f t="shared" si="81"/>
        <v>-17.94265841469911</v>
      </c>
      <c r="AE183">
        <f t="shared" si="82"/>
        <v>-0.13677114127722234</v>
      </c>
      <c r="AF183">
        <v>33</v>
      </c>
      <c r="AG183">
        <v>11</v>
      </c>
      <c r="AH183">
        <f t="shared" si="83"/>
        <v>1</v>
      </c>
      <c r="AI183">
        <f t="shared" si="84"/>
        <v>0</v>
      </c>
      <c r="AJ183">
        <f t="shared" si="85"/>
        <v>52321.915416538555</v>
      </c>
      <c r="AK183">
        <f t="shared" si="86"/>
        <v>1800</v>
      </c>
      <c r="AL183">
        <f t="shared" si="87"/>
        <v>1499.1113448000001</v>
      </c>
      <c r="AM183">
        <f t="shared" si="88"/>
        <v>0.83283963599999999</v>
      </c>
      <c r="AN183">
        <f t="shared" si="89"/>
        <v>0.15339746271000002</v>
      </c>
      <c r="AO183">
        <v>34.5</v>
      </c>
      <c r="AP183">
        <v>0.5</v>
      </c>
      <c r="AQ183" t="s">
        <v>331</v>
      </c>
      <c r="AR183">
        <v>2</v>
      </c>
      <c r="AS183">
        <v>1690214076</v>
      </c>
      <c r="AT183">
        <v>343.77300000000002</v>
      </c>
      <c r="AU183">
        <v>799.952</v>
      </c>
      <c r="AV183">
        <v>29.295500000000001</v>
      </c>
      <c r="AW183">
        <v>5.9257400000000002</v>
      </c>
      <c r="AX183">
        <v>343.96199999999999</v>
      </c>
      <c r="AY183">
        <v>29.103899999999999</v>
      </c>
      <c r="AZ183">
        <v>300.23399999999998</v>
      </c>
      <c r="BA183">
        <v>99.076300000000003</v>
      </c>
      <c r="BB183">
        <v>9.9987000000000006E-2</v>
      </c>
      <c r="BC183">
        <v>26.968800000000002</v>
      </c>
      <c r="BD183">
        <v>27.0245</v>
      </c>
      <c r="BE183">
        <v>28.593699999999998</v>
      </c>
      <c r="BF183">
        <v>0</v>
      </c>
      <c r="BG183">
        <v>0</v>
      </c>
      <c r="BH183">
        <v>9985.6200000000008</v>
      </c>
      <c r="BI183">
        <v>1077.4100000000001</v>
      </c>
      <c r="BJ183">
        <v>2.0744500000000001</v>
      </c>
      <c r="BK183">
        <v>-456.17899999999997</v>
      </c>
      <c r="BL183">
        <v>354.14800000000002</v>
      </c>
      <c r="BM183">
        <v>804.721</v>
      </c>
      <c r="BN183">
        <v>23.369800000000001</v>
      </c>
      <c r="BO183">
        <v>799.952</v>
      </c>
      <c r="BP183">
        <v>5.9257400000000002</v>
      </c>
      <c r="BQ183">
        <v>2.9024899999999998</v>
      </c>
      <c r="BR183">
        <v>0.58710099999999998</v>
      </c>
      <c r="BS183">
        <v>23.478899999999999</v>
      </c>
      <c r="BT183">
        <v>-0.60741299999999998</v>
      </c>
      <c r="BU183">
        <v>1800</v>
      </c>
      <c r="BV183">
        <v>0.90999799999999997</v>
      </c>
      <c r="BW183">
        <v>3.4002299999999999E-2</v>
      </c>
      <c r="BX183">
        <v>2.2001300000000001E-2</v>
      </c>
      <c r="BY183">
        <v>3.3998100000000003E-2</v>
      </c>
      <c r="BZ183">
        <v>26</v>
      </c>
      <c r="CA183">
        <v>33528.400000000001</v>
      </c>
      <c r="CB183">
        <v>1690211922</v>
      </c>
      <c r="CC183" t="s">
        <v>332</v>
      </c>
      <c r="CD183">
        <v>1690211915</v>
      </c>
      <c r="CE183">
        <v>1690211922</v>
      </c>
      <c r="CF183">
        <v>6</v>
      </c>
      <c r="CG183">
        <v>1.0999999999999999E-2</v>
      </c>
      <c r="CH183">
        <v>8.0000000000000002E-3</v>
      </c>
      <c r="CI183">
        <v>-0.51100000000000001</v>
      </c>
      <c r="CJ183">
        <v>-6.6000000000000003E-2</v>
      </c>
      <c r="CK183">
        <v>800</v>
      </c>
      <c r="CL183">
        <v>6</v>
      </c>
      <c r="CM183">
        <v>0.21</v>
      </c>
      <c r="CN183">
        <v>0.02</v>
      </c>
      <c r="CO183">
        <v>-455.31241463414642</v>
      </c>
      <c r="CP183">
        <v>-4.5749477351898271</v>
      </c>
      <c r="CQ183">
        <v>0.45542951989382602</v>
      </c>
      <c r="CR183">
        <v>-1</v>
      </c>
      <c r="CS183">
        <v>23.354565853658531</v>
      </c>
      <c r="CT183">
        <v>8.6032055749180797E-2</v>
      </c>
      <c r="CU183">
        <v>8.5497000305699584E-3</v>
      </c>
      <c r="CV183">
        <v>-1</v>
      </c>
      <c r="CW183">
        <v>0</v>
      </c>
      <c r="CX183">
        <v>0</v>
      </c>
      <c r="CY183" t="s">
        <v>333</v>
      </c>
      <c r="CZ183">
        <v>2.3646199999999999</v>
      </c>
      <c r="DA183">
        <v>2.7137699999999998</v>
      </c>
      <c r="DB183">
        <v>7.9564800000000005E-2</v>
      </c>
      <c r="DC183">
        <v>0.14604900000000001</v>
      </c>
      <c r="DD183">
        <v>0.13086999999999999</v>
      </c>
      <c r="DE183">
        <v>3.9042199999999999E-2</v>
      </c>
      <c r="DF183">
        <v>33591.199999999997</v>
      </c>
      <c r="DG183">
        <v>27497.4</v>
      </c>
      <c r="DH183">
        <v>31155.9</v>
      </c>
      <c r="DI183">
        <v>28058.5</v>
      </c>
      <c r="DJ183">
        <v>36745.9</v>
      </c>
      <c r="DK183">
        <v>38338.400000000001</v>
      </c>
      <c r="DL183">
        <v>44335.3</v>
      </c>
      <c r="DM183">
        <v>42520.9</v>
      </c>
      <c r="DN183">
        <v>1.38862</v>
      </c>
      <c r="DO183">
        <v>2.0339499999999999</v>
      </c>
      <c r="DP183">
        <v>8.3088899999999993E-2</v>
      </c>
      <c r="DQ183">
        <v>0.186279</v>
      </c>
      <c r="DR183">
        <v>25.664200000000001</v>
      </c>
      <c r="DS183">
        <v>25.547599999999999</v>
      </c>
      <c r="DT183">
        <v>17.600000000000001</v>
      </c>
      <c r="DU183">
        <v>29.7</v>
      </c>
      <c r="DV183">
        <v>7.4388500000000004</v>
      </c>
      <c r="DW183">
        <v>61.251199999999997</v>
      </c>
      <c r="DX183">
        <v>37.287700000000001</v>
      </c>
      <c r="DY183">
        <v>1</v>
      </c>
      <c r="DZ183">
        <v>-8.5223599999999997E-2</v>
      </c>
      <c r="EA183">
        <v>-0.25975199999999998</v>
      </c>
      <c r="EB183">
        <v>20.1891</v>
      </c>
      <c r="EC183">
        <v>5.2411000000000003</v>
      </c>
      <c r="ED183">
        <v>12.039899999999999</v>
      </c>
      <c r="EE183">
        <v>5.0171999999999999</v>
      </c>
      <c r="EF183">
        <v>3.2879999999999998</v>
      </c>
      <c r="EG183">
        <v>9999</v>
      </c>
      <c r="EH183">
        <v>9999</v>
      </c>
      <c r="EI183">
        <v>9999</v>
      </c>
      <c r="EJ183">
        <v>999.9</v>
      </c>
      <c r="EK183">
        <v>1.8689100000000001</v>
      </c>
      <c r="EL183">
        <v>1.86466</v>
      </c>
      <c r="EM183">
        <v>1.8691899999999999</v>
      </c>
      <c r="EN183">
        <v>1.86727</v>
      </c>
      <c r="EO183">
        <v>1.8633999999999999</v>
      </c>
      <c r="EP183">
        <v>1.8646</v>
      </c>
      <c r="EQ183">
        <v>1.87015</v>
      </c>
      <c r="ER183">
        <v>1.86947</v>
      </c>
      <c r="ES183">
        <v>0</v>
      </c>
      <c r="ET183">
        <v>0</v>
      </c>
      <c r="EU183">
        <v>0</v>
      </c>
      <c r="EV183">
        <v>0</v>
      </c>
      <c r="EW183" t="s">
        <v>334</v>
      </c>
      <c r="EX183" t="s">
        <v>335</v>
      </c>
      <c r="EY183" t="s">
        <v>336</v>
      </c>
      <c r="EZ183" t="s">
        <v>336</v>
      </c>
      <c r="FA183" t="s">
        <v>336</v>
      </c>
      <c r="FB183" t="s">
        <v>336</v>
      </c>
      <c r="FC183">
        <v>0</v>
      </c>
      <c r="FD183">
        <v>100</v>
      </c>
      <c r="FE183">
        <v>100</v>
      </c>
      <c r="FF183">
        <v>-0.189</v>
      </c>
      <c r="FG183">
        <v>0.19159999999999999</v>
      </c>
      <c r="FH183">
        <v>4.0020685143421282E-2</v>
      </c>
      <c r="FI183">
        <v>-6.1462078757559423E-4</v>
      </c>
      <c r="FJ183">
        <v>-1.8861989874597051E-7</v>
      </c>
      <c r="FK183">
        <v>1.1980462299894961E-10</v>
      </c>
      <c r="FL183">
        <v>0.19160597004026461</v>
      </c>
      <c r="FM183">
        <v>0</v>
      </c>
      <c r="FN183">
        <v>0</v>
      </c>
      <c r="FO183">
        <v>0</v>
      </c>
      <c r="FP183">
        <v>3</v>
      </c>
      <c r="FQ183">
        <v>2158</v>
      </c>
      <c r="FR183">
        <v>1</v>
      </c>
      <c r="FS183">
        <v>19</v>
      </c>
      <c r="FT183">
        <v>36</v>
      </c>
      <c r="FU183">
        <v>35.9</v>
      </c>
      <c r="FV183">
        <v>1.77979</v>
      </c>
      <c r="FW183">
        <v>2.5793499999999998</v>
      </c>
      <c r="FX183">
        <v>1.5490699999999999</v>
      </c>
      <c r="FY183">
        <v>2.3290999999999999</v>
      </c>
      <c r="FZ183">
        <v>1.50146</v>
      </c>
      <c r="GA183">
        <v>2.3815900000000001</v>
      </c>
      <c r="GB183">
        <v>33.850900000000003</v>
      </c>
      <c r="GC183">
        <v>23.991199999999999</v>
      </c>
      <c r="GD183">
        <v>19</v>
      </c>
      <c r="GE183">
        <v>247.67599999999999</v>
      </c>
      <c r="GF183">
        <v>582.16300000000001</v>
      </c>
      <c r="GG183">
        <v>25.5488</v>
      </c>
      <c r="GH183">
        <v>26.315899999999999</v>
      </c>
      <c r="GI183">
        <v>30.0001</v>
      </c>
      <c r="GJ183">
        <v>26.454699999999999</v>
      </c>
      <c r="GK183">
        <v>26.427299999999999</v>
      </c>
      <c r="GL183">
        <v>35.580800000000004</v>
      </c>
      <c r="GM183">
        <v>-30</v>
      </c>
      <c r="GN183">
        <v>-30</v>
      </c>
      <c r="GO183">
        <v>25.541799999999999</v>
      </c>
      <c r="GP183">
        <v>800</v>
      </c>
      <c r="GQ183">
        <v>12.5298</v>
      </c>
      <c r="GR183">
        <v>99.682299999999998</v>
      </c>
      <c r="GS183">
        <v>99.476699999999994</v>
      </c>
    </row>
    <row r="184" spans="1:201" x14ac:dyDescent="0.25">
      <c r="A184">
        <v>168</v>
      </c>
      <c r="B184">
        <v>1690214086</v>
      </c>
      <c r="C184">
        <v>1818.5</v>
      </c>
      <c r="D184" t="s">
        <v>667</v>
      </c>
      <c r="E184" t="s">
        <v>668</v>
      </c>
      <c r="F184" t="s">
        <v>330</v>
      </c>
      <c r="H184">
        <v>1690214086</v>
      </c>
      <c r="I184">
        <f t="shared" si="60"/>
        <v>2.0958532811690793E-3</v>
      </c>
      <c r="J184">
        <f t="shared" si="61"/>
        <v>2.0958532811690791</v>
      </c>
      <c r="K184">
        <f t="shared" si="62"/>
        <v>39.033030837479544</v>
      </c>
      <c r="L184">
        <f t="shared" si="63"/>
        <v>343.077</v>
      </c>
      <c r="M184">
        <f t="shared" si="64"/>
        <v>31.651416421565912</v>
      </c>
      <c r="N184">
        <f t="shared" si="65"/>
        <v>3.1391027498491462</v>
      </c>
      <c r="O184">
        <f t="shared" si="66"/>
        <v>34.025458442870992</v>
      </c>
      <c r="P184">
        <f t="shared" si="67"/>
        <v>0.21271162068350744</v>
      </c>
      <c r="Q184">
        <f t="shared" si="68"/>
        <v>2.010378855632259</v>
      </c>
      <c r="R184">
        <f t="shared" si="69"/>
        <v>0.20095238688170117</v>
      </c>
      <c r="S184">
        <f t="shared" si="70"/>
        <v>0.1265975591183317</v>
      </c>
      <c r="T184">
        <f t="shared" si="71"/>
        <v>276.11566014599998</v>
      </c>
      <c r="U184">
        <f t="shared" si="72"/>
        <v>28.495155788270701</v>
      </c>
      <c r="V184">
        <f t="shared" si="73"/>
        <v>28.495155788270701</v>
      </c>
      <c r="W184">
        <f t="shared" si="74"/>
        <v>3.9057702237058605</v>
      </c>
      <c r="X184">
        <f t="shared" si="75"/>
        <v>81.386925572838209</v>
      </c>
      <c r="Y184">
        <f t="shared" si="76"/>
        <v>2.9069170903268997</v>
      </c>
      <c r="Z184">
        <f t="shared" si="77"/>
        <v>3.5717249052801723</v>
      </c>
      <c r="AA184">
        <f t="shared" si="78"/>
        <v>0.99885313337896076</v>
      </c>
      <c r="AB184">
        <f t="shared" si="79"/>
        <v>-92.427129699556403</v>
      </c>
      <c r="AC184">
        <f t="shared" si="80"/>
        <v>-165.88706194618769</v>
      </c>
      <c r="AD184">
        <f t="shared" si="81"/>
        <v>-17.938179333856677</v>
      </c>
      <c r="AE184">
        <f t="shared" si="82"/>
        <v>-0.13671083360080161</v>
      </c>
      <c r="AF184">
        <v>33</v>
      </c>
      <c r="AG184">
        <v>11</v>
      </c>
      <c r="AH184">
        <f t="shared" si="83"/>
        <v>1</v>
      </c>
      <c r="AI184">
        <f t="shared" si="84"/>
        <v>0</v>
      </c>
      <c r="AJ184">
        <f t="shared" si="85"/>
        <v>52326.343411095309</v>
      </c>
      <c r="AK184">
        <f t="shared" si="86"/>
        <v>1800</v>
      </c>
      <c r="AL184">
        <f t="shared" si="87"/>
        <v>1499.1120215999999</v>
      </c>
      <c r="AM184">
        <f t="shared" si="88"/>
        <v>0.83284001199999991</v>
      </c>
      <c r="AN184">
        <f t="shared" si="89"/>
        <v>0.15339758897</v>
      </c>
      <c r="AO184">
        <v>34.5</v>
      </c>
      <c r="AP184">
        <v>0.5</v>
      </c>
      <c r="AQ184" t="s">
        <v>331</v>
      </c>
      <c r="AR184">
        <v>2</v>
      </c>
      <c r="AS184">
        <v>1690214086</v>
      </c>
      <c r="AT184">
        <v>343.077</v>
      </c>
      <c r="AU184">
        <v>800.00800000000004</v>
      </c>
      <c r="AV184">
        <v>29.310300000000002</v>
      </c>
      <c r="AW184">
        <v>5.9255800000000001</v>
      </c>
      <c r="AX184">
        <v>343.26499999999999</v>
      </c>
      <c r="AY184">
        <v>29.1187</v>
      </c>
      <c r="AZ184">
        <v>300.14299999999997</v>
      </c>
      <c r="BA184">
        <v>99.077299999999994</v>
      </c>
      <c r="BB184">
        <v>0.100023</v>
      </c>
      <c r="BC184">
        <v>26.964600000000001</v>
      </c>
      <c r="BD184">
        <v>26.9925</v>
      </c>
      <c r="BE184">
        <v>28.573599999999999</v>
      </c>
      <c r="BF184">
        <v>0</v>
      </c>
      <c r="BG184">
        <v>0</v>
      </c>
      <c r="BH184">
        <v>9986.25</v>
      </c>
      <c r="BI184">
        <v>1077.4000000000001</v>
      </c>
      <c r="BJ184">
        <v>2.0744500000000001</v>
      </c>
      <c r="BK184">
        <v>-456.93200000000002</v>
      </c>
      <c r="BL184">
        <v>353.43599999999998</v>
      </c>
      <c r="BM184">
        <v>804.77700000000004</v>
      </c>
      <c r="BN184">
        <v>23.384699999999999</v>
      </c>
      <c r="BO184">
        <v>800.00800000000004</v>
      </c>
      <c r="BP184">
        <v>5.9255800000000001</v>
      </c>
      <c r="BQ184">
        <v>2.9039899999999998</v>
      </c>
      <c r="BR184">
        <v>0.58709</v>
      </c>
      <c r="BS184">
        <v>23.487400000000001</v>
      </c>
      <c r="BT184">
        <v>-0.607653</v>
      </c>
      <c r="BU184">
        <v>1800</v>
      </c>
      <c r="BV184">
        <v>0.90999699999999994</v>
      </c>
      <c r="BW184">
        <v>3.40045E-2</v>
      </c>
      <c r="BX184">
        <v>2.2001099999999999E-2</v>
      </c>
      <c r="BY184">
        <v>3.3997899999999998E-2</v>
      </c>
      <c r="BZ184">
        <v>26</v>
      </c>
      <c r="CA184">
        <v>33528.300000000003</v>
      </c>
      <c r="CB184">
        <v>1690211922</v>
      </c>
      <c r="CC184" t="s">
        <v>332</v>
      </c>
      <c r="CD184">
        <v>1690211915</v>
      </c>
      <c r="CE184">
        <v>1690211922</v>
      </c>
      <c r="CF184">
        <v>6</v>
      </c>
      <c r="CG184">
        <v>1.0999999999999999E-2</v>
      </c>
      <c r="CH184">
        <v>8.0000000000000002E-3</v>
      </c>
      <c r="CI184">
        <v>-0.51100000000000001</v>
      </c>
      <c r="CJ184">
        <v>-6.6000000000000003E-2</v>
      </c>
      <c r="CK184">
        <v>800</v>
      </c>
      <c r="CL184">
        <v>6</v>
      </c>
      <c r="CM184">
        <v>0.21</v>
      </c>
      <c r="CN184">
        <v>0.02</v>
      </c>
      <c r="CO184">
        <v>-456.12447500000002</v>
      </c>
      <c r="CP184">
        <v>-4.7181500938075231</v>
      </c>
      <c r="CQ184">
        <v>0.46350285800089602</v>
      </c>
      <c r="CR184">
        <v>-1</v>
      </c>
      <c r="CS184">
        <v>23.369140000000002</v>
      </c>
      <c r="CT184">
        <v>7.5613508442745558E-2</v>
      </c>
      <c r="CU184">
        <v>7.3240630800125101E-3</v>
      </c>
      <c r="CV184">
        <v>-1</v>
      </c>
      <c r="CW184">
        <v>0</v>
      </c>
      <c r="CX184">
        <v>0</v>
      </c>
      <c r="CY184" t="s">
        <v>333</v>
      </c>
      <c r="CZ184">
        <v>2.3643299999999998</v>
      </c>
      <c r="DA184">
        <v>2.7138</v>
      </c>
      <c r="DB184">
        <v>7.9438700000000001E-2</v>
      </c>
      <c r="DC184">
        <v>0.14605699999999999</v>
      </c>
      <c r="DD184">
        <v>0.13091700000000001</v>
      </c>
      <c r="DE184">
        <v>3.9041699999999999E-2</v>
      </c>
      <c r="DF184">
        <v>33595.9</v>
      </c>
      <c r="DG184">
        <v>27497.3</v>
      </c>
      <c r="DH184">
        <v>31156</v>
      </c>
      <c r="DI184">
        <v>28058.6</v>
      </c>
      <c r="DJ184">
        <v>36743.9</v>
      </c>
      <c r="DK184">
        <v>38338.699999999997</v>
      </c>
      <c r="DL184">
        <v>44335.4</v>
      </c>
      <c r="DM184">
        <v>42521.2</v>
      </c>
      <c r="DN184">
        <v>1.3884000000000001</v>
      </c>
      <c r="DO184">
        <v>2.0337499999999999</v>
      </c>
      <c r="DP184">
        <v>8.1129400000000004E-2</v>
      </c>
      <c r="DQ184">
        <v>0.18513199999999999</v>
      </c>
      <c r="DR184">
        <v>25.664200000000001</v>
      </c>
      <c r="DS184">
        <v>25.546199999999999</v>
      </c>
      <c r="DT184">
        <v>17.600000000000001</v>
      </c>
      <c r="DU184">
        <v>29.7</v>
      </c>
      <c r="DV184">
        <v>7.4386400000000004</v>
      </c>
      <c r="DW184">
        <v>61.601199999999999</v>
      </c>
      <c r="DX184">
        <v>37.147399999999998</v>
      </c>
      <c r="DY184">
        <v>1</v>
      </c>
      <c r="DZ184">
        <v>-8.5302299999999998E-2</v>
      </c>
      <c r="EA184">
        <v>-0.19938500000000001</v>
      </c>
      <c r="EB184">
        <v>20.189299999999999</v>
      </c>
      <c r="EC184">
        <v>5.2411000000000003</v>
      </c>
      <c r="ED184">
        <v>12.039899999999999</v>
      </c>
      <c r="EE184">
        <v>5.0172499999999998</v>
      </c>
      <c r="EF184">
        <v>3.2879999999999998</v>
      </c>
      <c r="EG184">
        <v>9999</v>
      </c>
      <c r="EH184">
        <v>9999</v>
      </c>
      <c r="EI184">
        <v>9999</v>
      </c>
      <c r="EJ184">
        <v>999.9</v>
      </c>
      <c r="EK184">
        <v>1.8689100000000001</v>
      </c>
      <c r="EL184">
        <v>1.86467</v>
      </c>
      <c r="EM184">
        <v>1.8692</v>
      </c>
      <c r="EN184">
        <v>1.8672599999999999</v>
      </c>
      <c r="EO184">
        <v>1.8633999999999999</v>
      </c>
      <c r="EP184">
        <v>1.86459</v>
      </c>
      <c r="EQ184">
        <v>1.87016</v>
      </c>
      <c r="ER184">
        <v>1.86948</v>
      </c>
      <c r="ES184">
        <v>0</v>
      </c>
      <c r="ET184">
        <v>0</v>
      </c>
      <c r="EU184">
        <v>0</v>
      </c>
      <c r="EV184">
        <v>0</v>
      </c>
      <c r="EW184" t="s">
        <v>334</v>
      </c>
      <c r="EX184" t="s">
        <v>335</v>
      </c>
      <c r="EY184" t="s">
        <v>336</v>
      </c>
      <c r="EZ184" t="s">
        <v>336</v>
      </c>
      <c r="FA184" t="s">
        <v>336</v>
      </c>
      <c r="FB184" t="s">
        <v>336</v>
      </c>
      <c r="FC184">
        <v>0</v>
      </c>
      <c r="FD184">
        <v>100</v>
      </c>
      <c r="FE184">
        <v>100</v>
      </c>
      <c r="FF184">
        <v>-0.188</v>
      </c>
      <c r="FG184">
        <v>0.19159999999999999</v>
      </c>
      <c r="FH184">
        <v>4.0020685143421282E-2</v>
      </c>
      <c r="FI184">
        <v>-6.1462078757559423E-4</v>
      </c>
      <c r="FJ184">
        <v>-1.8861989874597051E-7</v>
      </c>
      <c r="FK184">
        <v>1.1980462299894961E-10</v>
      </c>
      <c r="FL184">
        <v>0.19160597004026461</v>
      </c>
      <c r="FM184">
        <v>0</v>
      </c>
      <c r="FN184">
        <v>0</v>
      </c>
      <c r="FO184">
        <v>0</v>
      </c>
      <c r="FP184">
        <v>3</v>
      </c>
      <c r="FQ184">
        <v>2158</v>
      </c>
      <c r="FR184">
        <v>1</v>
      </c>
      <c r="FS184">
        <v>19</v>
      </c>
      <c r="FT184">
        <v>36.200000000000003</v>
      </c>
      <c r="FU184">
        <v>36.1</v>
      </c>
      <c r="FV184">
        <v>1.77979</v>
      </c>
      <c r="FW184">
        <v>2.5817899999999998</v>
      </c>
      <c r="FX184">
        <v>1.5490699999999999</v>
      </c>
      <c r="FY184">
        <v>2.3290999999999999</v>
      </c>
      <c r="FZ184">
        <v>1.50146</v>
      </c>
      <c r="GA184">
        <v>2.34619</v>
      </c>
      <c r="GB184">
        <v>33.850900000000003</v>
      </c>
      <c r="GC184">
        <v>23.991199999999999</v>
      </c>
      <c r="GD184">
        <v>19</v>
      </c>
      <c r="GE184">
        <v>247.58</v>
      </c>
      <c r="GF184">
        <v>581.99800000000005</v>
      </c>
      <c r="GG184">
        <v>25.515000000000001</v>
      </c>
      <c r="GH184">
        <v>26.315300000000001</v>
      </c>
      <c r="GI184">
        <v>30</v>
      </c>
      <c r="GJ184">
        <v>26.452400000000001</v>
      </c>
      <c r="GK184">
        <v>26.427299999999999</v>
      </c>
      <c r="GL184">
        <v>35.581000000000003</v>
      </c>
      <c r="GM184">
        <v>-30</v>
      </c>
      <c r="GN184">
        <v>-30</v>
      </c>
      <c r="GO184">
        <v>25.513000000000002</v>
      </c>
      <c r="GP184">
        <v>800</v>
      </c>
      <c r="GQ184">
        <v>12.5298</v>
      </c>
      <c r="GR184">
        <v>99.682599999999994</v>
      </c>
      <c r="GS184">
        <v>99.477400000000003</v>
      </c>
    </row>
    <row r="185" spans="1:201" x14ac:dyDescent="0.25">
      <c r="A185">
        <v>169</v>
      </c>
      <c r="B185">
        <v>1690214096</v>
      </c>
      <c r="C185">
        <v>1828.5</v>
      </c>
      <c r="D185" t="s">
        <v>669</v>
      </c>
      <c r="E185" t="s">
        <v>670</v>
      </c>
      <c r="F185" t="s">
        <v>330</v>
      </c>
      <c r="H185">
        <v>1690214096</v>
      </c>
      <c r="I185">
        <f t="shared" si="60"/>
        <v>2.0975627994678147E-3</v>
      </c>
      <c r="J185">
        <f t="shared" si="61"/>
        <v>2.0975627994678145</v>
      </c>
      <c r="K185">
        <f t="shared" si="62"/>
        <v>39.112070137072827</v>
      </c>
      <c r="L185">
        <f t="shared" si="63"/>
        <v>342.19099999999997</v>
      </c>
      <c r="M185">
        <f t="shared" si="64"/>
        <v>30.785575629907374</v>
      </c>
      <c r="N185">
        <f t="shared" si="65"/>
        <v>3.0531049818628717</v>
      </c>
      <c r="O185">
        <f t="shared" si="66"/>
        <v>33.936186849587301</v>
      </c>
      <c r="P185">
        <f t="shared" si="67"/>
        <v>0.21316516650137818</v>
      </c>
      <c r="Q185">
        <f t="shared" si="68"/>
        <v>2.0104026249466482</v>
      </c>
      <c r="R185">
        <f t="shared" si="69"/>
        <v>0.20135735856247575</v>
      </c>
      <c r="S185">
        <f t="shared" si="70"/>
        <v>0.12685469789756115</v>
      </c>
      <c r="T185">
        <f t="shared" si="71"/>
        <v>276.11541239399997</v>
      </c>
      <c r="U185">
        <f t="shared" si="72"/>
        <v>28.497205211414013</v>
      </c>
      <c r="V185">
        <f t="shared" si="73"/>
        <v>28.497205211414013</v>
      </c>
      <c r="W185">
        <f t="shared" si="74"/>
        <v>3.9062351737558343</v>
      </c>
      <c r="X185">
        <f t="shared" si="75"/>
        <v>81.422018469947062</v>
      </c>
      <c r="Y185">
        <f t="shared" si="76"/>
        <v>2.9086318368226403</v>
      </c>
      <c r="Z185">
        <f t="shared" si="77"/>
        <v>3.572291490042363</v>
      </c>
      <c r="AA185">
        <f t="shared" si="78"/>
        <v>0.99760333693319403</v>
      </c>
      <c r="AB185">
        <f t="shared" si="79"/>
        <v>-92.502519456530635</v>
      </c>
      <c r="AC185">
        <f t="shared" si="80"/>
        <v>-165.8185106192401</v>
      </c>
      <c r="AD185">
        <f t="shared" si="81"/>
        <v>-17.930979213618471</v>
      </c>
      <c r="AE185">
        <f t="shared" si="82"/>
        <v>-0.13659689538923203</v>
      </c>
      <c r="AF185">
        <v>33</v>
      </c>
      <c r="AG185">
        <v>11</v>
      </c>
      <c r="AH185">
        <f t="shared" si="83"/>
        <v>1</v>
      </c>
      <c r="AI185">
        <f t="shared" si="84"/>
        <v>0</v>
      </c>
      <c r="AJ185">
        <f t="shared" si="85"/>
        <v>52326.926977558702</v>
      </c>
      <c r="AK185">
        <f t="shared" si="86"/>
        <v>1800</v>
      </c>
      <c r="AL185">
        <f t="shared" si="87"/>
        <v>1499.1103044000001</v>
      </c>
      <c r="AM185">
        <f t="shared" si="88"/>
        <v>0.83283905800000002</v>
      </c>
      <c r="AN185">
        <f t="shared" si="89"/>
        <v>0.15339745132999999</v>
      </c>
      <c r="AO185">
        <v>34.5</v>
      </c>
      <c r="AP185">
        <v>0.5</v>
      </c>
      <c r="AQ185" t="s">
        <v>331</v>
      </c>
      <c r="AR185">
        <v>2</v>
      </c>
      <c r="AS185">
        <v>1690214096</v>
      </c>
      <c r="AT185">
        <v>342.19099999999997</v>
      </c>
      <c r="AU185">
        <v>800.02200000000005</v>
      </c>
      <c r="AV185">
        <v>29.328800000000001</v>
      </c>
      <c r="AW185">
        <v>5.9251399999999999</v>
      </c>
      <c r="AX185">
        <v>342.37900000000002</v>
      </c>
      <c r="AY185">
        <v>29.1372</v>
      </c>
      <c r="AZ185">
        <v>300.13900000000001</v>
      </c>
      <c r="BA185">
        <v>99.073300000000003</v>
      </c>
      <c r="BB185">
        <v>9.99303E-2</v>
      </c>
      <c r="BC185">
        <v>26.967300000000002</v>
      </c>
      <c r="BD185">
        <v>27.011199999999999</v>
      </c>
      <c r="BE185">
        <v>28.602799999999998</v>
      </c>
      <c r="BF185">
        <v>0</v>
      </c>
      <c r="BG185">
        <v>0</v>
      </c>
      <c r="BH185">
        <v>9986.8799999999992</v>
      </c>
      <c r="BI185">
        <v>1077.4100000000001</v>
      </c>
      <c r="BJ185">
        <v>2.0744500000000001</v>
      </c>
      <c r="BK185">
        <v>-457.83100000000002</v>
      </c>
      <c r="BL185">
        <v>352.53100000000001</v>
      </c>
      <c r="BM185">
        <v>804.79</v>
      </c>
      <c r="BN185">
        <v>23.403700000000001</v>
      </c>
      <c r="BO185">
        <v>800.02200000000005</v>
      </c>
      <c r="BP185">
        <v>5.9251399999999999</v>
      </c>
      <c r="BQ185">
        <v>2.9056999999999999</v>
      </c>
      <c r="BR185">
        <v>0.58702299999999996</v>
      </c>
      <c r="BS185">
        <v>23.497199999999999</v>
      </c>
      <c r="BT185">
        <v>-0.60921999999999998</v>
      </c>
      <c r="BU185">
        <v>1800</v>
      </c>
      <c r="BV185">
        <v>0.909995</v>
      </c>
      <c r="BW185">
        <v>3.4006000000000002E-2</v>
      </c>
      <c r="BX185">
        <v>2.20009E-2</v>
      </c>
      <c r="BY185">
        <v>3.3997699999999999E-2</v>
      </c>
      <c r="BZ185">
        <v>26</v>
      </c>
      <c r="CA185">
        <v>33528.400000000001</v>
      </c>
      <c r="CB185">
        <v>1690211922</v>
      </c>
      <c r="CC185" t="s">
        <v>332</v>
      </c>
      <c r="CD185">
        <v>1690211915</v>
      </c>
      <c r="CE185">
        <v>1690211922</v>
      </c>
      <c r="CF185">
        <v>6</v>
      </c>
      <c r="CG185">
        <v>1.0999999999999999E-2</v>
      </c>
      <c r="CH185">
        <v>8.0000000000000002E-3</v>
      </c>
      <c r="CI185">
        <v>-0.51100000000000001</v>
      </c>
      <c r="CJ185">
        <v>-6.6000000000000003E-2</v>
      </c>
      <c r="CK185">
        <v>800</v>
      </c>
      <c r="CL185">
        <v>6</v>
      </c>
      <c r="CM185">
        <v>0.21</v>
      </c>
      <c r="CN185">
        <v>0.02</v>
      </c>
      <c r="CO185">
        <v>-456.84868292682921</v>
      </c>
      <c r="CP185">
        <v>-5.1779581881526466</v>
      </c>
      <c r="CQ185">
        <v>0.52078971174059774</v>
      </c>
      <c r="CR185">
        <v>-1</v>
      </c>
      <c r="CS185">
        <v>23.383282926829271</v>
      </c>
      <c r="CT185">
        <v>0.1051296167247546</v>
      </c>
      <c r="CU185">
        <v>1.042723690545342E-2</v>
      </c>
      <c r="CV185">
        <v>-1</v>
      </c>
      <c r="CW185">
        <v>0</v>
      </c>
      <c r="CX185">
        <v>0</v>
      </c>
      <c r="CY185" t="s">
        <v>333</v>
      </c>
      <c r="CZ185">
        <v>2.3643000000000001</v>
      </c>
      <c r="DA185">
        <v>2.7137099999999998</v>
      </c>
      <c r="DB185">
        <v>7.9273399999999994E-2</v>
      </c>
      <c r="DC185">
        <v>0.14605399999999999</v>
      </c>
      <c r="DD185">
        <v>0.130969</v>
      </c>
      <c r="DE185">
        <v>3.9038099999999999E-2</v>
      </c>
      <c r="DF185">
        <v>33602.400000000001</v>
      </c>
      <c r="DG185">
        <v>27497.9</v>
      </c>
      <c r="DH185">
        <v>31156.400000000001</v>
      </c>
      <c r="DI185">
        <v>28059.1</v>
      </c>
      <c r="DJ185">
        <v>36742.300000000003</v>
      </c>
      <c r="DK185">
        <v>38339.599999999999</v>
      </c>
      <c r="DL185">
        <v>44336</v>
      </c>
      <c r="DM185">
        <v>42522</v>
      </c>
      <c r="DN185">
        <v>1.3882000000000001</v>
      </c>
      <c r="DO185">
        <v>2.03382</v>
      </c>
      <c r="DP185">
        <v>8.2410899999999995E-2</v>
      </c>
      <c r="DQ185">
        <v>0.18709899999999999</v>
      </c>
      <c r="DR185">
        <v>25.661999999999999</v>
      </c>
      <c r="DS185">
        <v>25.543299999999999</v>
      </c>
      <c r="DT185">
        <v>17.600000000000001</v>
      </c>
      <c r="DU185">
        <v>29.7</v>
      </c>
      <c r="DV185">
        <v>7.4398200000000001</v>
      </c>
      <c r="DW185">
        <v>61.891199999999998</v>
      </c>
      <c r="DX185">
        <v>36.927100000000003</v>
      </c>
      <c r="DY185">
        <v>1</v>
      </c>
      <c r="DZ185">
        <v>-8.5889199999999999E-2</v>
      </c>
      <c r="EA185">
        <v>-0.26129400000000003</v>
      </c>
      <c r="EB185">
        <v>20.189399999999999</v>
      </c>
      <c r="EC185">
        <v>5.2418500000000003</v>
      </c>
      <c r="ED185">
        <v>12.039899999999999</v>
      </c>
      <c r="EE185">
        <v>5.0174500000000002</v>
      </c>
      <c r="EF185">
        <v>3.2879999999999998</v>
      </c>
      <c r="EG185">
        <v>9999</v>
      </c>
      <c r="EH185">
        <v>9999</v>
      </c>
      <c r="EI185">
        <v>9999</v>
      </c>
      <c r="EJ185">
        <v>999.9</v>
      </c>
      <c r="EK185">
        <v>1.8689100000000001</v>
      </c>
      <c r="EL185">
        <v>1.8646799999999999</v>
      </c>
      <c r="EM185">
        <v>1.8692</v>
      </c>
      <c r="EN185">
        <v>1.86724</v>
      </c>
      <c r="EO185">
        <v>1.8633999999999999</v>
      </c>
      <c r="EP185">
        <v>1.8646</v>
      </c>
      <c r="EQ185">
        <v>1.87019</v>
      </c>
      <c r="ER185">
        <v>1.8694900000000001</v>
      </c>
      <c r="ES185">
        <v>0</v>
      </c>
      <c r="ET185">
        <v>0</v>
      </c>
      <c r="EU185">
        <v>0</v>
      </c>
      <c r="EV185">
        <v>0</v>
      </c>
      <c r="EW185" t="s">
        <v>334</v>
      </c>
      <c r="EX185" t="s">
        <v>335</v>
      </c>
      <c r="EY185" t="s">
        <v>336</v>
      </c>
      <c r="EZ185" t="s">
        <v>336</v>
      </c>
      <c r="FA185" t="s">
        <v>336</v>
      </c>
      <c r="FB185" t="s">
        <v>336</v>
      </c>
      <c r="FC185">
        <v>0</v>
      </c>
      <c r="FD185">
        <v>100</v>
      </c>
      <c r="FE185">
        <v>100</v>
      </c>
      <c r="FF185">
        <v>-0.188</v>
      </c>
      <c r="FG185">
        <v>0.19159999999999999</v>
      </c>
      <c r="FH185">
        <v>4.0020685143421282E-2</v>
      </c>
      <c r="FI185">
        <v>-6.1462078757559423E-4</v>
      </c>
      <c r="FJ185">
        <v>-1.8861989874597051E-7</v>
      </c>
      <c r="FK185">
        <v>1.1980462299894961E-10</v>
      </c>
      <c r="FL185">
        <v>0.19160597004026461</v>
      </c>
      <c r="FM185">
        <v>0</v>
      </c>
      <c r="FN185">
        <v>0</v>
      </c>
      <c r="FO185">
        <v>0</v>
      </c>
      <c r="FP185">
        <v>3</v>
      </c>
      <c r="FQ185">
        <v>2158</v>
      </c>
      <c r="FR185">
        <v>1</v>
      </c>
      <c r="FS185">
        <v>19</v>
      </c>
      <c r="FT185">
        <v>36.4</v>
      </c>
      <c r="FU185">
        <v>36.200000000000003</v>
      </c>
      <c r="FV185">
        <v>1.77979</v>
      </c>
      <c r="FW185">
        <v>2.5817899999999998</v>
      </c>
      <c r="FX185">
        <v>1.5490699999999999</v>
      </c>
      <c r="FY185">
        <v>2.3290999999999999</v>
      </c>
      <c r="FZ185">
        <v>1.50146</v>
      </c>
      <c r="GA185">
        <v>2.36328</v>
      </c>
      <c r="GB185">
        <v>33.850900000000003</v>
      </c>
      <c r="GC185">
        <v>23.982399999999998</v>
      </c>
      <c r="GD185">
        <v>19</v>
      </c>
      <c r="GE185">
        <v>247.50299999999999</v>
      </c>
      <c r="GF185">
        <v>582.03499999999997</v>
      </c>
      <c r="GG185">
        <v>25.522500000000001</v>
      </c>
      <c r="GH185">
        <v>26.314299999999999</v>
      </c>
      <c r="GI185">
        <v>29.9999</v>
      </c>
      <c r="GJ185">
        <v>26.452400000000001</v>
      </c>
      <c r="GK185">
        <v>26.425000000000001</v>
      </c>
      <c r="GL185">
        <v>35.578899999999997</v>
      </c>
      <c r="GM185">
        <v>-30</v>
      </c>
      <c r="GN185">
        <v>-30</v>
      </c>
      <c r="GO185">
        <v>25.522200000000002</v>
      </c>
      <c r="GP185">
        <v>800</v>
      </c>
      <c r="GQ185">
        <v>12.5298</v>
      </c>
      <c r="GR185">
        <v>99.683999999999997</v>
      </c>
      <c r="GS185">
        <v>99.479200000000006</v>
      </c>
    </row>
    <row r="186" spans="1:201" x14ac:dyDescent="0.25">
      <c r="A186">
        <v>170</v>
      </c>
      <c r="B186">
        <v>1690214106</v>
      </c>
      <c r="C186">
        <v>1838.5</v>
      </c>
      <c r="D186" t="s">
        <v>671</v>
      </c>
      <c r="E186" t="s">
        <v>672</v>
      </c>
      <c r="F186" t="s">
        <v>330</v>
      </c>
      <c r="H186">
        <v>1690214106</v>
      </c>
      <c r="I186">
        <f t="shared" si="60"/>
        <v>2.0986047098853922E-3</v>
      </c>
      <c r="J186">
        <f t="shared" si="61"/>
        <v>2.0986047098853922</v>
      </c>
      <c r="K186">
        <f t="shared" si="62"/>
        <v>39.166851124458937</v>
      </c>
      <c r="L186">
        <f t="shared" si="63"/>
        <v>341.56200000000001</v>
      </c>
      <c r="M186">
        <f t="shared" si="64"/>
        <v>30.101217848541776</v>
      </c>
      <c r="N186">
        <f t="shared" si="65"/>
        <v>2.9852729857003419</v>
      </c>
      <c r="O186">
        <f t="shared" si="66"/>
        <v>33.8742378023478</v>
      </c>
      <c r="P186">
        <f t="shared" si="67"/>
        <v>0.21341994319778931</v>
      </c>
      <c r="Q186">
        <f t="shared" si="68"/>
        <v>2.0121136747964101</v>
      </c>
      <c r="R186">
        <f t="shared" si="69"/>
        <v>0.20159419969574499</v>
      </c>
      <c r="S186">
        <f t="shared" si="70"/>
        <v>0.12700423450088541</v>
      </c>
      <c r="T186">
        <f t="shared" si="71"/>
        <v>276.1139796869241</v>
      </c>
      <c r="U186">
        <f t="shared" si="72"/>
        <v>28.499430094207145</v>
      </c>
      <c r="V186">
        <f t="shared" si="73"/>
        <v>28.499430094207145</v>
      </c>
      <c r="W186">
        <f t="shared" si="74"/>
        <v>3.9067399847673689</v>
      </c>
      <c r="X186">
        <f t="shared" si="75"/>
        <v>81.436799175755951</v>
      </c>
      <c r="Y186">
        <f t="shared" si="76"/>
        <v>2.9098093446935698</v>
      </c>
      <c r="Z186">
        <f t="shared" si="77"/>
        <v>3.5730890385483511</v>
      </c>
      <c r="AA186">
        <f t="shared" si="78"/>
        <v>0.99693064007379917</v>
      </c>
      <c r="AB186">
        <f t="shared" si="79"/>
        <v>-92.548467705945797</v>
      </c>
      <c r="AC186">
        <f t="shared" si="80"/>
        <v>-165.78877433485269</v>
      </c>
      <c r="AD186">
        <f t="shared" si="81"/>
        <v>-17.913056390122165</v>
      </c>
      <c r="AE186">
        <f t="shared" si="82"/>
        <v>-0.1363187439965543</v>
      </c>
      <c r="AF186">
        <v>33</v>
      </c>
      <c r="AG186">
        <v>11</v>
      </c>
      <c r="AH186">
        <f t="shared" si="83"/>
        <v>1</v>
      </c>
      <c r="AI186">
        <f t="shared" si="84"/>
        <v>0</v>
      </c>
      <c r="AJ186">
        <f t="shared" si="85"/>
        <v>52408.41759217174</v>
      </c>
      <c r="AK186">
        <f t="shared" si="86"/>
        <v>1799.99</v>
      </c>
      <c r="AL186">
        <f t="shared" si="87"/>
        <v>1499.1017528106602</v>
      </c>
      <c r="AM186">
        <f t="shared" si="88"/>
        <v>0.83283893400000009</v>
      </c>
      <c r="AN186">
        <f t="shared" si="89"/>
        <v>0.15339750759000001</v>
      </c>
      <c r="AO186">
        <v>34.5</v>
      </c>
      <c r="AP186">
        <v>0.5</v>
      </c>
      <c r="AQ186" t="s">
        <v>331</v>
      </c>
      <c r="AR186">
        <v>2</v>
      </c>
      <c r="AS186">
        <v>1690214106</v>
      </c>
      <c r="AT186">
        <v>341.56200000000001</v>
      </c>
      <c r="AU186">
        <v>800.03300000000002</v>
      </c>
      <c r="AV186">
        <v>29.340299999999999</v>
      </c>
      <c r="AW186">
        <v>5.9241999999999999</v>
      </c>
      <c r="AX186">
        <v>341.74900000000002</v>
      </c>
      <c r="AY186">
        <v>29.148700000000002</v>
      </c>
      <c r="AZ186">
        <v>300.125</v>
      </c>
      <c r="BA186">
        <v>99.0745</v>
      </c>
      <c r="BB186">
        <v>9.9991899999999995E-2</v>
      </c>
      <c r="BC186">
        <v>26.9711</v>
      </c>
      <c r="BD186">
        <v>26.9923</v>
      </c>
      <c r="BE186">
        <v>28.5825</v>
      </c>
      <c r="BF186">
        <v>0</v>
      </c>
      <c r="BG186">
        <v>0</v>
      </c>
      <c r="BH186">
        <v>10003.1</v>
      </c>
      <c r="BI186">
        <v>1077.45</v>
      </c>
      <c r="BJ186">
        <v>1.6623600000000001</v>
      </c>
      <c r="BK186">
        <v>-458.471</v>
      </c>
      <c r="BL186">
        <v>351.88600000000002</v>
      </c>
      <c r="BM186">
        <v>804.8</v>
      </c>
      <c r="BN186">
        <v>23.4161</v>
      </c>
      <c r="BO186">
        <v>800.03300000000002</v>
      </c>
      <c r="BP186">
        <v>5.9241999999999999</v>
      </c>
      <c r="BQ186">
        <v>2.9068800000000001</v>
      </c>
      <c r="BR186">
        <v>0.58693700000000004</v>
      </c>
      <c r="BS186">
        <v>23.503900000000002</v>
      </c>
      <c r="BT186">
        <v>-0.61121700000000001</v>
      </c>
      <c r="BU186">
        <v>1799.99</v>
      </c>
      <c r="BV186">
        <v>0.90999300000000005</v>
      </c>
      <c r="BW186">
        <v>3.4008900000000002E-2</v>
      </c>
      <c r="BX186">
        <v>2.2000700000000002E-2</v>
      </c>
      <c r="BY186">
        <v>3.3997300000000001E-2</v>
      </c>
      <c r="BZ186">
        <v>26</v>
      </c>
      <c r="CA186">
        <v>33528.199999999997</v>
      </c>
      <c r="CB186">
        <v>1690211922</v>
      </c>
      <c r="CC186" t="s">
        <v>332</v>
      </c>
      <c r="CD186">
        <v>1690211915</v>
      </c>
      <c r="CE186">
        <v>1690211922</v>
      </c>
      <c r="CF186">
        <v>6</v>
      </c>
      <c r="CG186">
        <v>1.0999999999999999E-2</v>
      </c>
      <c r="CH186">
        <v>8.0000000000000002E-3</v>
      </c>
      <c r="CI186">
        <v>-0.51100000000000001</v>
      </c>
      <c r="CJ186">
        <v>-6.6000000000000003E-2</v>
      </c>
      <c r="CK186">
        <v>800</v>
      </c>
      <c r="CL186">
        <v>6</v>
      </c>
      <c r="CM186">
        <v>0.21</v>
      </c>
      <c r="CN186">
        <v>0.02</v>
      </c>
      <c r="CO186">
        <v>-457.666</v>
      </c>
      <c r="CP186">
        <v>-4.4295984990611634</v>
      </c>
      <c r="CQ186">
        <v>0.43871442875747851</v>
      </c>
      <c r="CR186">
        <v>-1</v>
      </c>
      <c r="CS186">
        <v>23.40166</v>
      </c>
      <c r="CT186">
        <v>9.7263039399601209E-2</v>
      </c>
      <c r="CU186">
        <v>9.4191241631056966E-3</v>
      </c>
      <c r="CV186">
        <v>-1</v>
      </c>
      <c r="CW186">
        <v>0</v>
      </c>
      <c r="CX186">
        <v>0</v>
      </c>
      <c r="CY186" t="s">
        <v>333</v>
      </c>
      <c r="CZ186">
        <v>2.3642699999999999</v>
      </c>
      <c r="DA186">
        <v>2.7137799999999999</v>
      </c>
      <c r="DB186">
        <v>7.9159499999999994E-2</v>
      </c>
      <c r="DC186">
        <v>0.14605699999999999</v>
      </c>
      <c r="DD186">
        <v>0.13100700000000001</v>
      </c>
      <c r="DE186">
        <v>3.9033499999999999E-2</v>
      </c>
      <c r="DF186">
        <v>33606.300000000003</v>
      </c>
      <c r="DG186">
        <v>27497.599999999999</v>
      </c>
      <c r="DH186">
        <v>31156.2</v>
      </c>
      <c r="DI186">
        <v>28059</v>
      </c>
      <c r="DJ186">
        <v>36740.5</v>
      </c>
      <c r="DK186">
        <v>38339.5</v>
      </c>
      <c r="DL186">
        <v>44335.9</v>
      </c>
      <c r="DM186">
        <v>42521.8</v>
      </c>
      <c r="DN186">
        <v>1.38828</v>
      </c>
      <c r="DO186">
        <v>2.0339299999999998</v>
      </c>
      <c r="DP186">
        <v>8.1382700000000002E-2</v>
      </c>
      <c r="DQ186">
        <v>0.18607099999999999</v>
      </c>
      <c r="DR186">
        <v>25.6599</v>
      </c>
      <c r="DS186">
        <v>25.5398</v>
      </c>
      <c r="DT186">
        <v>17.600000000000001</v>
      </c>
      <c r="DU186">
        <v>29.7</v>
      </c>
      <c r="DV186">
        <v>7.4386200000000002</v>
      </c>
      <c r="DW186">
        <v>61.581200000000003</v>
      </c>
      <c r="DX186">
        <v>36.911099999999998</v>
      </c>
      <c r="DY186">
        <v>1</v>
      </c>
      <c r="DZ186">
        <v>-8.5683400000000007E-2</v>
      </c>
      <c r="EA186">
        <v>-0.262928</v>
      </c>
      <c r="EB186">
        <v>20.1892</v>
      </c>
      <c r="EC186">
        <v>5.24125</v>
      </c>
      <c r="ED186">
        <v>12.039899999999999</v>
      </c>
      <c r="EE186">
        <v>5.0171000000000001</v>
      </c>
      <c r="EF186">
        <v>3.2879999999999998</v>
      </c>
      <c r="EG186">
        <v>9999</v>
      </c>
      <c r="EH186">
        <v>9999</v>
      </c>
      <c r="EI186">
        <v>9999</v>
      </c>
      <c r="EJ186">
        <v>999.9</v>
      </c>
      <c r="EK186">
        <v>1.8689</v>
      </c>
      <c r="EL186">
        <v>1.8646499999999999</v>
      </c>
      <c r="EM186">
        <v>1.8691899999999999</v>
      </c>
      <c r="EN186">
        <v>1.8672299999999999</v>
      </c>
      <c r="EO186">
        <v>1.8633999999999999</v>
      </c>
      <c r="EP186">
        <v>1.8645799999999999</v>
      </c>
      <c r="EQ186">
        <v>1.87015</v>
      </c>
      <c r="ER186">
        <v>1.8694500000000001</v>
      </c>
      <c r="ES186">
        <v>0</v>
      </c>
      <c r="ET186">
        <v>0</v>
      </c>
      <c r="EU186">
        <v>0</v>
      </c>
      <c r="EV186">
        <v>0</v>
      </c>
      <c r="EW186" t="s">
        <v>334</v>
      </c>
      <c r="EX186" t="s">
        <v>335</v>
      </c>
      <c r="EY186" t="s">
        <v>336</v>
      </c>
      <c r="EZ186" t="s">
        <v>336</v>
      </c>
      <c r="FA186" t="s">
        <v>336</v>
      </c>
      <c r="FB186" t="s">
        <v>336</v>
      </c>
      <c r="FC186">
        <v>0</v>
      </c>
      <c r="FD186">
        <v>100</v>
      </c>
      <c r="FE186">
        <v>100</v>
      </c>
      <c r="FF186">
        <v>-0.187</v>
      </c>
      <c r="FG186">
        <v>0.19159999999999999</v>
      </c>
      <c r="FH186">
        <v>4.0020685143421282E-2</v>
      </c>
      <c r="FI186">
        <v>-6.1462078757559423E-4</v>
      </c>
      <c r="FJ186">
        <v>-1.8861989874597051E-7</v>
      </c>
      <c r="FK186">
        <v>1.1980462299894961E-10</v>
      </c>
      <c r="FL186">
        <v>0.19160597004026461</v>
      </c>
      <c r="FM186">
        <v>0</v>
      </c>
      <c r="FN186">
        <v>0</v>
      </c>
      <c r="FO186">
        <v>0</v>
      </c>
      <c r="FP186">
        <v>3</v>
      </c>
      <c r="FQ186">
        <v>2158</v>
      </c>
      <c r="FR186">
        <v>1</v>
      </c>
      <c r="FS186">
        <v>19</v>
      </c>
      <c r="FT186">
        <v>36.5</v>
      </c>
      <c r="FU186">
        <v>36.4</v>
      </c>
      <c r="FV186">
        <v>1.77979</v>
      </c>
      <c r="FW186">
        <v>2.5805699999999998</v>
      </c>
      <c r="FX186">
        <v>1.5490699999999999</v>
      </c>
      <c r="FY186">
        <v>2.3290999999999999</v>
      </c>
      <c r="FZ186">
        <v>1.50146</v>
      </c>
      <c r="GA186">
        <v>2.3168899999999999</v>
      </c>
      <c r="GB186">
        <v>33.850900000000003</v>
      </c>
      <c r="GC186">
        <v>23.982399999999998</v>
      </c>
      <c r="GD186">
        <v>19</v>
      </c>
      <c r="GE186">
        <v>247.524</v>
      </c>
      <c r="GF186">
        <v>582.11699999999996</v>
      </c>
      <c r="GG186">
        <v>25.5093</v>
      </c>
      <c r="GH186">
        <v>26.312999999999999</v>
      </c>
      <c r="GI186">
        <v>30.0001</v>
      </c>
      <c r="GJ186">
        <v>26.450199999999999</v>
      </c>
      <c r="GK186">
        <v>26.425000000000001</v>
      </c>
      <c r="GL186">
        <v>35.578099999999999</v>
      </c>
      <c r="GM186">
        <v>-30</v>
      </c>
      <c r="GN186">
        <v>-30</v>
      </c>
      <c r="GO186">
        <v>25.517399999999999</v>
      </c>
      <c r="GP186">
        <v>800</v>
      </c>
      <c r="GQ186">
        <v>12.5298</v>
      </c>
      <c r="GR186">
        <v>99.683400000000006</v>
      </c>
      <c r="GS186">
        <v>99.478700000000003</v>
      </c>
    </row>
    <row r="187" spans="1:201" x14ac:dyDescent="0.25">
      <c r="A187">
        <v>171</v>
      </c>
      <c r="B187">
        <v>1690214116</v>
      </c>
      <c r="C187">
        <v>1848.5</v>
      </c>
      <c r="D187" t="s">
        <v>673</v>
      </c>
      <c r="E187" t="s">
        <v>674</v>
      </c>
      <c r="F187" t="s">
        <v>330</v>
      </c>
      <c r="H187">
        <v>1690214116</v>
      </c>
      <c r="I187">
        <f t="shared" si="60"/>
        <v>2.1000499744507801E-3</v>
      </c>
      <c r="J187">
        <f t="shared" si="61"/>
        <v>2.1000499744507803</v>
      </c>
      <c r="K187">
        <f t="shared" si="62"/>
        <v>39.227032793734729</v>
      </c>
      <c r="L187">
        <f t="shared" si="63"/>
        <v>340.91399999999999</v>
      </c>
      <c r="M187">
        <f t="shared" si="64"/>
        <v>30.27411092838182</v>
      </c>
      <c r="N187">
        <f t="shared" si="65"/>
        <v>3.0023962216521562</v>
      </c>
      <c r="O187">
        <f t="shared" si="66"/>
        <v>33.809709818719796</v>
      </c>
      <c r="P187">
        <f t="shared" si="67"/>
        <v>0.21432434280165977</v>
      </c>
      <c r="Q187">
        <f t="shared" si="68"/>
        <v>2.0174592933405333</v>
      </c>
      <c r="R187">
        <f t="shared" si="69"/>
        <v>0.20243087630821818</v>
      </c>
      <c r="S187">
        <f t="shared" si="70"/>
        <v>0.12753284745101379</v>
      </c>
      <c r="T187">
        <f t="shared" si="71"/>
        <v>276.11543435400006</v>
      </c>
      <c r="U187">
        <f t="shared" si="72"/>
        <v>28.488464450774416</v>
      </c>
      <c r="V187">
        <f t="shared" si="73"/>
        <v>28.488464450774416</v>
      </c>
      <c r="W187">
        <f t="shared" si="74"/>
        <v>3.9042525044527663</v>
      </c>
      <c r="X187">
        <f t="shared" si="75"/>
        <v>81.495915782712814</v>
      </c>
      <c r="Y187">
        <f t="shared" si="76"/>
        <v>2.9107586199170701</v>
      </c>
      <c r="Z187">
        <f t="shared" si="77"/>
        <v>3.5716619562602792</v>
      </c>
      <c r="AA187">
        <f t="shared" si="78"/>
        <v>0.9934938845356962</v>
      </c>
      <c r="AB187">
        <f t="shared" si="79"/>
        <v>-92.612203873279398</v>
      </c>
      <c r="AC187">
        <f t="shared" si="80"/>
        <v>-165.77615103613215</v>
      </c>
      <c r="AD187">
        <f t="shared" si="81"/>
        <v>-17.862648705469326</v>
      </c>
      <c r="AE187">
        <f t="shared" si="82"/>
        <v>-0.1355692608807999</v>
      </c>
      <c r="AF187">
        <v>32</v>
      </c>
      <c r="AG187">
        <v>11</v>
      </c>
      <c r="AH187">
        <f t="shared" si="83"/>
        <v>1</v>
      </c>
      <c r="AI187">
        <f t="shared" si="84"/>
        <v>0</v>
      </c>
      <c r="AJ187">
        <f t="shared" si="85"/>
        <v>52666.81290033555</v>
      </c>
      <c r="AK187">
        <f t="shared" si="86"/>
        <v>1800</v>
      </c>
      <c r="AL187">
        <f t="shared" si="87"/>
        <v>1499.1100793999999</v>
      </c>
      <c r="AM187">
        <f t="shared" si="88"/>
        <v>0.83283893299999989</v>
      </c>
      <c r="AN187">
        <f t="shared" si="89"/>
        <v>0.15339746353000003</v>
      </c>
      <c r="AO187">
        <v>34.5</v>
      </c>
      <c r="AP187">
        <v>0.5</v>
      </c>
      <c r="AQ187" t="s">
        <v>331</v>
      </c>
      <c r="AR187">
        <v>2</v>
      </c>
      <c r="AS187">
        <v>1690214116</v>
      </c>
      <c r="AT187">
        <v>340.91399999999999</v>
      </c>
      <c r="AU187">
        <v>799.97199999999998</v>
      </c>
      <c r="AV187">
        <v>29.350100000000001</v>
      </c>
      <c r="AW187">
        <v>5.9229500000000002</v>
      </c>
      <c r="AX187">
        <v>341.101</v>
      </c>
      <c r="AY187">
        <v>29.1585</v>
      </c>
      <c r="AZ187">
        <v>300.18700000000001</v>
      </c>
      <c r="BA187">
        <v>99.073800000000006</v>
      </c>
      <c r="BB187">
        <v>9.9920700000000001E-2</v>
      </c>
      <c r="BC187">
        <v>26.964300000000001</v>
      </c>
      <c r="BD187">
        <v>26.976600000000001</v>
      </c>
      <c r="BE187">
        <v>28.572299999999998</v>
      </c>
      <c r="BF187">
        <v>0</v>
      </c>
      <c r="BG187">
        <v>0</v>
      </c>
      <c r="BH187">
        <v>10054.4</v>
      </c>
      <c r="BI187">
        <v>1077.43</v>
      </c>
      <c r="BJ187">
        <v>1.9370799999999999</v>
      </c>
      <c r="BK187">
        <v>-459.05799999999999</v>
      </c>
      <c r="BL187">
        <v>351.22199999999998</v>
      </c>
      <c r="BM187">
        <v>804.73800000000006</v>
      </c>
      <c r="BN187">
        <v>23.427199999999999</v>
      </c>
      <c r="BO187">
        <v>799.97199999999998</v>
      </c>
      <c r="BP187">
        <v>5.9229500000000002</v>
      </c>
      <c r="BQ187">
        <v>2.9078300000000001</v>
      </c>
      <c r="BR187">
        <v>0.58680900000000003</v>
      </c>
      <c r="BS187">
        <v>23.5093</v>
      </c>
      <c r="BT187">
        <v>-0.61421800000000004</v>
      </c>
      <c r="BU187">
        <v>1800</v>
      </c>
      <c r="BV187">
        <v>0.90999399999999997</v>
      </c>
      <c r="BW187">
        <v>3.4008499999999997E-2</v>
      </c>
      <c r="BX187">
        <v>2.20004E-2</v>
      </c>
      <c r="BY187">
        <v>3.3996899999999997E-2</v>
      </c>
      <c r="BZ187">
        <v>26</v>
      </c>
      <c r="CA187">
        <v>33528.300000000003</v>
      </c>
      <c r="CB187">
        <v>1690211922</v>
      </c>
      <c r="CC187" t="s">
        <v>332</v>
      </c>
      <c r="CD187">
        <v>1690211915</v>
      </c>
      <c r="CE187">
        <v>1690211922</v>
      </c>
      <c r="CF187">
        <v>6</v>
      </c>
      <c r="CG187">
        <v>1.0999999999999999E-2</v>
      </c>
      <c r="CH187">
        <v>8.0000000000000002E-3</v>
      </c>
      <c r="CI187">
        <v>-0.51100000000000001</v>
      </c>
      <c r="CJ187">
        <v>-6.6000000000000003E-2</v>
      </c>
      <c r="CK187">
        <v>800</v>
      </c>
      <c r="CL187">
        <v>6</v>
      </c>
      <c r="CM187">
        <v>0.21</v>
      </c>
      <c r="CN187">
        <v>0.02</v>
      </c>
      <c r="CO187">
        <v>-458.38852500000002</v>
      </c>
      <c r="CP187">
        <v>-4.2138574108803626</v>
      </c>
      <c r="CQ187">
        <v>0.41058269492880373</v>
      </c>
      <c r="CR187">
        <v>-1</v>
      </c>
      <c r="CS187">
        <v>23.414697499999999</v>
      </c>
      <c r="CT187">
        <v>6.1869793620984291E-2</v>
      </c>
      <c r="CU187">
        <v>6.1026833237519448E-3</v>
      </c>
      <c r="CV187">
        <v>-1</v>
      </c>
      <c r="CW187">
        <v>0</v>
      </c>
      <c r="CX187">
        <v>0</v>
      </c>
      <c r="CY187" t="s">
        <v>333</v>
      </c>
      <c r="CZ187">
        <v>2.3644599999999998</v>
      </c>
      <c r="DA187">
        <v>2.7137600000000002</v>
      </c>
      <c r="DB187">
        <v>7.9040100000000002E-2</v>
      </c>
      <c r="DC187">
        <v>0.14604900000000001</v>
      </c>
      <c r="DD187">
        <v>0.13103600000000001</v>
      </c>
      <c r="DE187">
        <v>3.9026699999999998E-2</v>
      </c>
      <c r="DF187">
        <v>33610.9</v>
      </c>
      <c r="DG187">
        <v>27498</v>
      </c>
      <c r="DH187">
        <v>31156.400000000001</v>
      </c>
      <c r="DI187">
        <v>28059.1</v>
      </c>
      <c r="DJ187">
        <v>36739.5</v>
      </c>
      <c r="DK187">
        <v>38339.9</v>
      </c>
      <c r="DL187">
        <v>44336.3</v>
      </c>
      <c r="DM187">
        <v>42521.8</v>
      </c>
      <c r="DN187">
        <v>1.3888</v>
      </c>
      <c r="DO187">
        <v>2.0339299999999998</v>
      </c>
      <c r="DP187">
        <v>8.0421599999999996E-2</v>
      </c>
      <c r="DQ187">
        <v>0.18548999999999999</v>
      </c>
      <c r="DR187">
        <v>25.6599</v>
      </c>
      <c r="DS187">
        <v>25.539000000000001</v>
      </c>
      <c r="DT187">
        <v>17.600000000000001</v>
      </c>
      <c r="DU187">
        <v>29.7</v>
      </c>
      <c r="DV187">
        <v>7.4389799999999999</v>
      </c>
      <c r="DW187">
        <v>61.121200000000002</v>
      </c>
      <c r="DX187">
        <v>36.622599999999998</v>
      </c>
      <c r="DY187">
        <v>1</v>
      </c>
      <c r="DZ187">
        <v>-8.5914599999999994E-2</v>
      </c>
      <c r="EA187">
        <v>-0.305531</v>
      </c>
      <c r="EB187">
        <v>20.1892</v>
      </c>
      <c r="EC187">
        <v>5.2415500000000002</v>
      </c>
      <c r="ED187">
        <v>12.039899999999999</v>
      </c>
      <c r="EE187">
        <v>5.0172499999999998</v>
      </c>
      <c r="EF187">
        <v>3.2879999999999998</v>
      </c>
      <c r="EG187">
        <v>9999</v>
      </c>
      <c r="EH187">
        <v>9999</v>
      </c>
      <c r="EI187">
        <v>9999</v>
      </c>
      <c r="EJ187">
        <v>999.9</v>
      </c>
      <c r="EK187">
        <v>1.8689100000000001</v>
      </c>
      <c r="EL187">
        <v>1.86466</v>
      </c>
      <c r="EM187">
        <v>1.8692</v>
      </c>
      <c r="EN187">
        <v>1.8672500000000001</v>
      </c>
      <c r="EO187">
        <v>1.8633999999999999</v>
      </c>
      <c r="EP187">
        <v>1.8646</v>
      </c>
      <c r="EQ187">
        <v>1.87019</v>
      </c>
      <c r="ER187">
        <v>1.8694500000000001</v>
      </c>
      <c r="ES187">
        <v>0</v>
      </c>
      <c r="ET187">
        <v>0</v>
      </c>
      <c r="EU187">
        <v>0</v>
      </c>
      <c r="EV187">
        <v>0</v>
      </c>
      <c r="EW187" t="s">
        <v>334</v>
      </c>
      <c r="EX187" t="s">
        <v>335</v>
      </c>
      <c r="EY187" t="s">
        <v>336</v>
      </c>
      <c r="EZ187" t="s">
        <v>336</v>
      </c>
      <c r="FA187" t="s">
        <v>336</v>
      </c>
      <c r="FB187" t="s">
        <v>336</v>
      </c>
      <c r="FC187">
        <v>0</v>
      </c>
      <c r="FD187">
        <v>100</v>
      </c>
      <c r="FE187">
        <v>100</v>
      </c>
      <c r="FF187">
        <v>-0.187</v>
      </c>
      <c r="FG187">
        <v>0.19159999999999999</v>
      </c>
      <c r="FH187">
        <v>4.0020685143421282E-2</v>
      </c>
      <c r="FI187">
        <v>-6.1462078757559423E-4</v>
      </c>
      <c r="FJ187">
        <v>-1.8861989874597051E-7</v>
      </c>
      <c r="FK187">
        <v>1.1980462299894961E-10</v>
      </c>
      <c r="FL187">
        <v>0.19160597004026461</v>
      </c>
      <c r="FM187">
        <v>0</v>
      </c>
      <c r="FN187">
        <v>0</v>
      </c>
      <c r="FO187">
        <v>0</v>
      </c>
      <c r="FP187">
        <v>3</v>
      </c>
      <c r="FQ187">
        <v>2158</v>
      </c>
      <c r="FR187">
        <v>1</v>
      </c>
      <c r="FS187">
        <v>19</v>
      </c>
      <c r="FT187">
        <v>36.700000000000003</v>
      </c>
      <c r="FU187">
        <v>36.6</v>
      </c>
      <c r="FV187">
        <v>1.77979</v>
      </c>
      <c r="FW187">
        <v>2.5830099999999998</v>
      </c>
      <c r="FX187">
        <v>1.5490699999999999</v>
      </c>
      <c r="FY187">
        <v>2.3290999999999999</v>
      </c>
      <c r="FZ187">
        <v>1.50146</v>
      </c>
      <c r="GA187">
        <v>2.3107899999999999</v>
      </c>
      <c r="GB187">
        <v>33.850900000000003</v>
      </c>
      <c r="GC187">
        <v>23.982399999999998</v>
      </c>
      <c r="GD187">
        <v>19</v>
      </c>
      <c r="GE187">
        <v>247.727</v>
      </c>
      <c r="GF187">
        <v>582.09299999999996</v>
      </c>
      <c r="GG187">
        <v>25.525600000000001</v>
      </c>
      <c r="GH187">
        <v>26.311499999999999</v>
      </c>
      <c r="GI187">
        <v>29.9999</v>
      </c>
      <c r="GJ187">
        <v>26.450199999999999</v>
      </c>
      <c r="GK187">
        <v>26.422799999999999</v>
      </c>
      <c r="GL187">
        <v>35.577100000000002</v>
      </c>
      <c r="GM187">
        <v>-30</v>
      </c>
      <c r="GN187">
        <v>-30</v>
      </c>
      <c r="GO187">
        <v>25.533300000000001</v>
      </c>
      <c r="GP187">
        <v>800</v>
      </c>
      <c r="GQ187">
        <v>12.5298</v>
      </c>
      <c r="GR187">
        <v>99.684200000000004</v>
      </c>
      <c r="GS187">
        <v>99.478999999999999</v>
      </c>
    </row>
    <row r="188" spans="1:201" x14ac:dyDescent="0.25">
      <c r="A188">
        <v>172</v>
      </c>
      <c r="B188">
        <v>1690214126</v>
      </c>
      <c r="C188">
        <v>1858.5</v>
      </c>
      <c r="D188" t="s">
        <v>675</v>
      </c>
      <c r="E188" t="s">
        <v>676</v>
      </c>
      <c r="F188" t="s">
        <v>330</v>
      </c>
      <c r="H188">
        <v>1690214126</v>
      </c>
      <c r="I188">
        <f t="shared" si="60"/>
        <v>2.1027161332052503E-3</v>
      </c>
      <c r="J188">
        <f t="shared" si="61"/>
        <v>2.1027161332052504</v>
      </c>
      <c r="K188">
        <f t="shared" si="62"/>
        <v>39.293138472040901</v>
      </c>
      <c r="L188">
        <f t="shared" si="63"/>
        <v>340.21100000000001</v>
      </c>
      <c r="M188">
        <f t="shared" si="64"/>
        <v>30.048828859070586</v>
      </c>
      <c r="N188">
        <f t="shared" si="65"/>
        <v>2.9800871933091306</v>
      </c>
      <c r="O188">
        <f t="shared" si="66"/>
        <v>33.740364687020005</v>
      </c>
      <c r="P188">
        <f t="shared" si="67"/>
        <v>0.21507888049443868</v>
      </c>
      <c r="Q188">
        <f t="shared" si="68"/>
        <v>2.0110721853054399</v>
      </c>
      <c r="R188">
        <f t="shared" si="69"/>
        <v>0.20306828366205346</v>
      </c>
      <c r="S188">
        <f t="shared" si="70"/>
        <v>0.12794085746781853</v>
      </c>
      <c r="T188">
        <f t="shared" si="71"/>
        <v>276.11543435400006</v>
      </c>
      <c r="U188">
        <f t="shared" si="72"/>
        <v>28.491657086797957</v>
      </c>
      <c r="V188">
        <f t="shared" si="73"/>
        <v>28.491657086797957</v>
      </c>
      <c r="W188">
        <f t="shared" si="74"/>
        <v>3.9049765892458481</v>
      </c>
      <c r="X188">
        <f t="shared" si="75"/>
        <v>81.569416745190594</v>
      </c>
      <c r="Y188">
        <f t="shared" si="76"/>
        <v>2.9133495948379999</v>
      </c>
      <c r="Z188">
        <f t="shared" si="77"/>
        <v>3.5716199907850559</v>
      </c>
      <c r="AA188">
        <f t="shared" si="78"/>
        <v>0.99162699440784818</v>
      </c>
      <c r="AB188">
        <f t="shared" si="79"/>
        <v>-92.72978147435154</v>
      </c>
      <c r="AC188">
        <f t="shared" si="80"/>
        <v>-165.61915028513363</v>
      </c>
      <c r="AD188">
        <f t="shared" si="81"/>
        <v>-17.902676898648785</v>
      </c>
      <c r="AE188">
        <f t="shared" si="82"/>
        <v>-0.13617430413390252</v>
      </c>
      <c r="AF188">
        <v>32</v>
      </c>
      <c r="AG188">
        <v>11</v>
      </c>
      <c r="AH188">
        <f t="shared" si="83"/>
        <v>1</v>
      </c>
      <c r="AI188">
        <f t="shared" si="84"/>
        <v>0</v>
      </c>
      <c r="AJ188">
        <f t="shared" si="85"/>
        <v>52359.644309995077</v>
      </c>
      <c r="AK188">
        <f t="shared" si="86"/>
        <v>1800</v>
      </c>
      <c r="AL188">
        <f t="shared" si="87"/>
        <v>1499.1100793999999</v>
      </c>
      <c r="AM188">
        <f t="shared" si="88"/>
        <v>0.83283893299999989</v>
      </c>
      <c r="AN188">
        <f t="shared" si="89"/>
        <v>0.15339746353000003</v>
      </c>
      <c r="AO188">
        <v>34.5</v>
      </c>
      <c r="AP188">
        <v>0.5</v>
      </c>
      <c r="AQ188" t="s">
        <v>331</v>
      </c>
      <c r="AR188">
        <v>2</v>
      </c>
      <c r="AS188">
        <v>1690214126</v>
      </c>
      <c r="AT188">
        <v>340.21100000000001</v>
      </c>
      <c r="AU188">
        <v>799.96400000000006</v>
      </c>
      <c r="AV188">
        <v>29.375900000000001</v>
      </c>
      <c r="AW188">
        <v>5.9226000000000001</v>
      </c>
      <c r="AX188">
        <v>340.39699999999999</v>
      </c>
      <c r="AY188">
        <v>29.184200000000001</v>
      </c>
      <c r="AZ188">
        <v>300.22500000000002</v>
      </c>
      <c r="BA188">
        <v>99.074799999999996</v>
      </c>
      <c r="BB188">
        <v>0.10002</v>
      </c>
      <c r="BC188">
        <v>26.964099999999998</v>
      </c>
      <c r="BD188">
        <v>26.9925</v>
      </c>
      <c r="BE188">
        <v>28.581199999999999</v>
      </c>
      <c r="BF188">
        <v>0</v>
      </c>
      <c r="BG188">
        <v>0</v>
      </c>
      <c r="BH188">
        <v>9993.1200000000008</v>
      </c>
      <c r="BI188">
        <v>1077.4000000000001</v>
      </c>
      <c r="BJ188">
        <v>2.0744500000000001</v>
      </c>
      <c r="BK188">
        <v>-459.75299999999999</v>
      </c>
      <c r="BL188">
        <v>350.50700000000001</v>
      </c>
      <c r="BM188">
        <v>804.73</v>
      </c>
      <c r="BN188">
        <v>23.453299999999999</v>
      </c>
      <c r="BO188">
        <v>799.96400000000006</v>
      </c>
      <c r="BP188">
        <v>5.9226000000000001</v>
      </c>
      <c r="BQ188">
        <v>2.9104100000000002</v>
      </c>
      <c r="BR188">
        <v>0.58677999999999997</v>
      </c>
      <c r="BS188">
        <v>23.524000000000001</v>
      </c>
      <c r="BT188">
        <v>-0.61488399999999999</v>
      </c>
      <c r="BU188">
        <v>1800</v>
      </c>
      <c r="BV188">
        <v>0.90999399999999997</v>
      </c>
      <c r="BW188">
        <v>3.4008499999999997E-2</v>
      </c>
      <c r="BX188">
        <v>2.20004E-2</v>
      </c>
      <c r="BY188">
        <v>3.3996899999999997E-2</v>
      </c>
      <c r="BZ188">
        <v>26</v>
      </c>
      <c r="CA188">
        <v>33528.300000000003</v>
      </c>
      <c r="CB188">
        <v>1690211922</v>
      </c>
      <c r="CC188" t="s">
        <v>332</v>
      </c>
      <c r="CD188">
        <v>1690211915</v>
      </c>
      <c r="CE188">
        <v>1690211922</v>
      </c>
      <c r="CF188">
        <v>6</v>
      </c>
      <c r="CG188">
        <v>1.0999999999999999E-2</v>
      </c>
      <c r="CH188">
        <v>8.0000000000000002E-3</v>
      </c>
      <c r="CI188">
        <v>-0.51100000000000001</v>
      </c>
      <c r="CJ188">
        <v>-6.6000000000000003E-2</v>
      </c>
      <c r="CK188">
        <v>800</v>
      </c>
      <c r="CL188">
        <v>6</v>
      </c>
      <c r="CM188">
        <v>0.21</v>
      </c>
      <c r="CN188">
        <v>0.02</v>
      </c>
      <c r="CO188">
        <v>-459.04048780487813</v>
      </c>
      <c r="CP188">
        <v>-4.0791428571428323</v>
      </c>
      <c r="CQ188">
        <v>0.40568371207324039</v>
      </c>
      <c r="CR188">
        <v>-1</v>
      </c>
      <c r="CS188">
        <v>23.426831707317071</v>
      </c>
      <c r="CT188">
        <v>9.5272473867627411E-2</v>
      </c>
      <c r="CU188">
        <v>9.7210467925839417E-3</v>
      </c>
      <c r="CV188">
        <v>-1</v>
      </c>
      <c r="CW188">
        <v>0</v>
      </c>
      <c r="CX188">
        <v>0</v>
      </c>
      <c r="CY188" t="s">
        <v>333</v>
      </c>
      <c r="CZ188">
        <v>2.3646099999999999</v>
      </c>
      <c r="DA188">
        <v>2.7138100000000001</v>
      </c>
      <c r="DB188">
        <v>7.8912399999999994E-2</v>
      </c>
      <c r="DC188">
        <v>0.14605000000000001</v>
      </c>
      <c r="DD188">
        <v>0.13111800000000001</v>
      </c>
      <c r="DE188">
        <v>3.9025200000000003E-2</v>
      </c>
      <c r="DF188">
        <v>33615.599999999999</v>
      </c>
      <c r="DG188">
        <v>27498.400000000001</v>
      </c>
      <c r="DH188">
        <v>31156.400000000001</v>
      </c>
      <c r="DI188">
        <v>28059.599999999999</v>
      </c>
      <c r="DJ188">
        <v>36736.300000000003</v>
      </c>
      <c r="DK188">
        <v>38340.5</v>
      </c>
      <c r="DL188">
        <v>44336.5</v>
      </c>
      <c r="DM188">
        <v>42522.5</v>
      </c>
      <c r="DN188">
        <v>1.3892</v>
      </c>
      <c r="DO188">
        <v>2.03382</v>
      </c>
      <c r="DP188">
        <v>8.1263500000000002E-2</v>
      </c>
      <c r="DQ188">
        <v>0.186056</v>
      </c>
      <c r="DR188">
        <v>25.661999999999999</v>
      </c>
      <c r="DS188">
        <v>25.538699999999999</v>
      </c>
      <c r="DT188">
        <v>17.600000000000001</v>
      </c>
      <c r="DU188">
        <v>29.7</v>
      </c>
      <c r="DV188">
        <v>7.4398600000000004</v>
      </c>
      <c r="DW188">
        <v>61.471200000000003</v>
      </c>
      <c r="DX188">
        <v>36.454300000000003</v>
      </c>
      <c r="DY188">
        <v>1</v>
      </c>
      <c r="DZ188">
        <v>-8.58791E-2</v>
      </c>
      <c r="EA188">
        <v>-0.31302600000000003</v>
      </c>
      <c r="EB188">
        <v>20.188700000000001</v>
      </c>
      <c r="EC188">
        <v>5.2411000000000003</v>
      </c>
      <c r="ED188">
        <v>12.039899999999999</v>
      </c>
      <c r="EE188">
        <v>5.0171000000000001</v>
      </c>
      <c r="EF188">
        <v>3.2879999999999998</v>
      </c>
      <c r="EG188">
        <v>9999</v>
      </c>
      <c r="EH188">
        <v>9999</v>
      </c>
      <c r="EI188">
        <v>9999</v>
      </c>
      <c r="EJ188">
        <v>999.9</v>
      </c>
      <c r="EK188">
        <v>1.8689100000000001</v>
      </c>
      <c r="EL188">
        <v>1.86466</v>
      </c>
      <c r="EM188">
        <v>1.8692</v>
      </c>
      <c r="EN188">
        <v>1.86724</v>
      </c>
      <c r="EO188">
        <v>1.8633999999999999</v>
      </c>
      <c r="EP188">
        <v>1.8645799999999999</v>
      </c>
      <c r="EQ188">
        <v>1.87019</v>
      </c>
      <c r="ER188">
        <v>1.8694900000000001</v>
      </c>
      <c r="ES188">
        <v>0</v>
      </c>
      <c r="ET188">
        <v>0</v>
      </c>
      <c r="EU188">
        <v>0</v>
      </c>
      <c r="EV188">
        <v>0</v>
      </c>
      <c r="EW188" t="s">
        <v>334</v>
      </c>
      <c r="EX188" t="s">
        <v>335</v>
      </c>
      <c r="EY188" t="s">
        <v>336</v>
      </c>
      <c r="EZ188" t="s">
        <v>336</v>
      </c>
      <c r="FA188" t="s">
        <v>336</v>
      </c>
      <c r="FB188" t="s">
        <v>336</v>
      </c>
      <c r="FC188">
        <v>0</v>
      </c>
      <c r="FD188">
        <v>100</v>
      </c>
      <c r="FE188">
        <v>100</v>
      </c>
      <c r="FF188">
        <v>-0.186</v>
      </c>
      <c r="FG188">
        <v>0.19170000000000001</v>
      </c>
      <c r="FH188">
        <v>4.0020685143421282E-2</v>
      </c>
      <c r="FI188">
        <v>-6.1462078757559423E-4</v>
      </c>
      <c r="FJ188">
        <v>-1.8861989874597051E-7</v>
      </c>
      <c r="FK188">
        <v>1.1980462299894961E-10</v>
      </c>
      <c r="FL188">
        <v>0.19160597004026461</v>
      </c>
      <c r="FM188">
        <v>0</v>
      </c>
      <c r="FN188">
        <v>0</v>
      </c>
      <c r="FO188">
        <v>0</v>
      </c>
      <c r="FP188">
        <v>3</v>
      </c>
      <c r="FQ188">
        <v>2158</v>
      </c>
      <c r="FR188">
        <v>1</v>
      </c>
      <c r="FS188">
        <v>19</v>
      </c>
      <c r="FT188">
        <v>36.9</v>
      </c>
      <c r="FU188">
        <v>36.700000000000003</v>
      </c>
      <c r="FV188">
        <v>1.77979</v>
      </c>
      <c r="FW188">
        <v>2.5866699999999998</v>
      </c>
      <c r="FX188">
        <v>1.5490699999999999</v>
      </c>
      <c r="FY188">
        <v>2.3290999999999999</v>
      </c>
      <c r="FZ188">
        <v>1.50146</v>
      </c>
      <c r="GA188">
        <v>2.2973599999999998</v>
      </c>
      <c r="GB188">
        <v>33.850900000000003</v>
      </c>
      <c r="GC188">
        <v>23.982399999999998</v>
      </c>
      <c r="GD188">
        <v>19</v>
      </c>
      <c r="GE188">
        <v>247.87299999999999</v>
      </c>
      <c r="GF188">
        <v>582.00699999999995</v>
      </c>
      <c r="GG188">
        <v>25.5489</v>
      </c>
      <c r="GH188">
        <v>26.3109</v>
      </c>
      <c r="GI188">
        <v>30</v>
      </c>
      <c r="GJ188">
        <v>26.448</v>
      </c>
      <c r="GK188">
        <v>26.422499999999999</v>
      </c>
      <c r="GL188">
        <v>35.582599999999999</v>
      </c>
      <c r="GM188">
        <v>-30</v>
      </c>
      <c r="GN188">
        <v>-30</v>
      </c>
      <c r="GO188">
        <v>25.549600000000002</v>
      </c>
      <c r="GP188">
        <v>800</v>
      </c>
      <c r="GQ188">
        <v>12.5298</v>
      </c>
      <c r="GR188">
        <v>99.684600000000003</v>
      </c>
      <c r="GS188">
        <v>99.480599999999995</v>
      </c>
    </row>
    <row r="189" spans="1:201" x14ac:dyDescent="0.25">
      <c r="A189">
        <v>173</v>
      </c>
      <c r="B189">
        <v>1690214136</v>
      </c>
      <c r="C189">
        <v>1868.5</v>
      </c>
      <c r="D189" t="s">
        <v>677</v>
      </c>
      <c r="E189" t="s">
        <v>678</v>
      </c>
      <c r="F189" t="s">
        <v>330</v>
      </c>
      <c r="H189">
        <v>1690214136</v>
      </c>
      <c r="I189">
        <f t="shared" si="60"/>
        <v>2.1040597510550837E-3</v>
      </c>
      <c r="J189">
        <f t="shared" si="61"/>
        <v>2.1040597510550838</v>
      </c>
      <c r="K189">
        <f t="shared" si="62"/>
        <v>39.345635637018688</v>
      </c>
      <c r="L189">
        <f t="shared" si="63"/>
        <v>339.56</v>
      </c>
      <c r="M189">
        <f t="shared" si="64"/>
        <v>29.79328445728607</v>
      </c>
      <c r="N189">
        <f t="shared" si="65"/>
        <v>2.9547163624048647</v>
      </c>
      <c r="O189">
        <f t="shared" si="66"/>
        <v>33.675491181799998</v>
      </c>
      <c r="P189">
        <f t="shared" si="67"/>
        <v>0.21563866325726683</v>
      </c>
      <c r="Q189">
        <f t="shared" si="68"/>
        <v>2.0155018919541328</v>
      </c>
      <c r="R189">
        <f t="shared" si="69"/>
        <v>0.20359228839906168</v>
      </c>
      <c r="S189">
        <f t="shared" si="70"/>
        <v>0.1282713872511361</v>
      </c>
      <c r="T189">
        <f t="shared" si="71"/>
        <v>276.11554152599996</v>
      </c>
      <c r="U189">
        <f t="shared" si="72"/>
        <v>28.491427844805912</v>
      </c>
      <c r="V189">
        <f t="shared" si="73"/>
        <v>28.491427844805912</v>
      </c>
      <c r="W189">
        <f t="shared" si="74"/>
        <v>3.9049245936222556</v>
      </c>
      <c r="X189">
        <f t="shared" si="75"/>
        <v>81.60643257562019</v>
      </c>
      <c r="Y189">
        <f t="shared" si="76"/>
        <v>2.9152367722559998</v>
      </c>
      <c r="Z189">
        <f t="shared" si="77"/>
        <v>3.5723124761698291</v>
      </c>
      <c r="AA189">
        <f t="shared" si="78"/>
        <v>0.98968782136625588</v>
      </c>
      <c r="AB189">
        <f t="shared" si="79"/>
        <v>-92.789035021529187</v>
      </c>
      <c r="AC189">
        <f t="shared" si="80"/>
        <v>-165.60046631983846</v>
      </c>
      <c r="AD189">
        <f t="shared" si="81"/>
        <v>-17.861587901077563</v>
      </c>
      <c r="AE189">
        <f t="shared" si="82"/>
        <v>-0.13554771644521679</v>
      </c>
      <c r="AF189">
        <v>33</v>
      </c>
      <c r="AG189">
        <v>11</v>
      </c>
      <c r="AH189">
        <f t="shared" si="83"/>
        <v>1</v>
      </c>
      <c r="AI189">
        <f t="shared" si="84"/>
        <v>0</v>
      </c>
      <c r="AJ189">
        <f t="shared" si="85"/>
        <v>52571.972522718163</v>
      </c>
      <c r="AK189">
        <f t="shared" si="86"/>
        <v>1800</v>
      </c>
      <c r="AL189">
        <f t="shared" si="87"/>
        <v>1499.1111936</v>
      </c>
      <c r="AM189">
        <f t="shared" si="88"/>
        <v>0.83283955199999993</v>
      </c>
      <c r="AN189">
        <f t="shared" si="89"/>
        <v>0.15339752306999999</v>
      </c>
      <c r="AO189">
        <v>34.5</v>
      </c>
      <c r="AP189">
        <v>0.5</v>
      </c>
      <c r="AQ189" t="s">
        <v>331</v>
      </c>
      <c r="AR189">
        <v>2</v>
      </c>
      <c r="AS189">
        <v>1690214136</v>
      </c>
      <c r="AT189">
        <v>339.56</v>
      </c>
      <c r="AU189">
        <v>800.00699999999995</v>
      </c>
      <c r="AV189">
        <v>29.395199999999999</v>
      </c>
      <c r="AW189">
        <v>5.9222200000000003</v>
      </c>
      <c r="AX189">
        <v>339.74599999999998</v>
      </c>
      <c r="AY189">
        <v>29.203600000000002</v>
      </c>
      <c r="AZ189">
        <v>300.15899999999999</v>
      </c>
      <c r="BA189">
        <v>99.073899999999995</v>
      </c>
      <c r="BB189">
        <v>0.100005</v>
      </c>
      <c r="BC189">
        <v>26.967400000000001</v>
      </c>
      <c r="BD189">
        <v>27.002400000000002</v>
      </c>
      <c r="BE189">
        <v>28.594799999999999</v>
      </c>
      <c r="BF189">
        <v>0</v>
      </c>
      <c r="BG189">
        <v>0</v>
      </c>
      <c r="BH189">
        <v>10035.6</v>
      </c>
      <c r="BI189">
        <v>1077.4000000000001</v>
      </c>
      <c r="BJ189">
        <v>2.0744500000000001</v>
      </c>
      <c r="BK189">
        <v>-460.447</v>
      </c>
      <c r="BL189">
        <v>349.84300000000002</v>
      </c>
      <c r="BM189">
        <v>804.77300000000002</v>
      </c>
      <c r="BN189">
        <v>23.472999999999999</v>
      </c>
      <c r="BO189">
        <v>800.00699999999995</v>
      </c>
      <c r="BP189">
        <v>5.9222200000000003</v>
      </c>
      <c r="BQ189">
        <v>2.9123000000000001</v>
      </c>
      <c r="BR189">
        <v>0.58673799999999998</v>
      </c>
      <c r="BS189">
        <v>23.534800000000001</v>
      </c>
      <c r="BT189">
        <v>-0.61587899999999995</v>
      </c>
      <c r="BU189">
        <v>1800</v>
      </c>
      <c r="BV189">
        <v>0.90999600000000003</v>
      </c>
      <c r="BW189">
        <v>3.4007999999999997E-2</v>
      </c>
      <c r="BX189">
        <v>2.2000100000000002E-2</v>
      </c>
      <c r="BY189">
        <v>3.39963E-2</v>
      </c>
      <c r="BZ189">
        <v>26</v>
      </c>
      <c r="CA189">
        <v>33528.400000000001</v>
      </c>
      <c r="CB189">
        <v>1690211922</v>
      </c>
      <c r="CC189" t="s">
        <v>332</v>
      </c>
      <c r="CD189">
        <v>1690211915</v>
      </c>
      <c r="CE189">
        <v>1690211922</v>
      </c>
      <c r="CF189">
        <v>6</v>
      </c>
      <c r="CG189">
        <v>1.0999999999999999E-2</v>
      </c>
      <c r="CH189">
        <v>8.0000000000000002E-3</v>
      </c>
      <c r="CI189">
        <v>-0.51100000000000001</v>
      </c>
      <c r="CJ189">
        <v>-6.6000000000000003E-2</v>
      </c>
      <c r="CK189">
        <v>800</v>
      </c>
      <c r="CL189">
        <v>6</v>
      </c>
      <c r="CM189">
        <v>0.21</v>
      </c>
      <c r="CN189">
        <v>0.02</v>
      </c>
      <c r="CO189">
        <v>-459.76431707317062</v>
      </c>
      <c r="CP189">
        <v>-3.995226480836235</v>
      </c>
      <c r="CQ189">
        <v>0.39566938890728509</v>
      </c>
      <c r="CR189">
        <v>-1</v>
      </c>
      <c r="CS189">
        <v>23.450275609756101</v>
      </c>
      <c r="CT189">
        <v>0.15169337979100189</v>
      </c>
      <c r="CU189">
        <v>1.5054045408619659E-2</v>
      </c>
      <c r="CV189">
        <v>-1</v>
      </c>
      <c r="CW189">
        <v>0</v>
      </c>
      <c r="CX189">
        <v>0</v>
      </c>
      <c r="CY189" t="s">
        <v>333</v>
      </c>
      <c r="CZ189">
        <v>2.3643999999999998</v>
      </c>
      <c r="DA189">
        <v>2.7138300000000002</v>
      </c>
      <c r="DB189">
        <v>7.8792000000000001E-2</v>
      </c>
      <c r="DC189">
        <v>0.14605399999999999</v>
      </c>
      <c r="DD189">
        <v>0.13117599999999999</v>
      </c>
      <c r="DE189">
        <v>3.9023000000000002E-2</v>
      </c>
      <c r="DF189">
        <v>33619.4</v>
      </c>
      <c r="DG189">
        <v>27498.799999999999</v>
      </c>
      <c r="DH189">
        <v>31155.9</v>
      </c>
      <c r="DI189">
        <v>28060</v>
      </c>
      <c r="DJ189">
        <v>36733</v>
      </c>
      <c r="DK189">
        <v>38341.300000000003</v>
      </c>
      <c r="DL189">
        <v>44335.6</v>
      </c>
      <c r="DM189">
        <v>42523.199999999997</v>
      </c>
      <c r="DN189">
        <v>1.3886000000000001</v>
      </c>
      <c r="DO189">
        <v>2.0339</v>
      </c>
      <c r="DP189">
        <v>8.2001099999999993E-2</v>
      </c>
      <c r="DQ189">
        <v>0.18686800000000001</v>
      </c>
      <c r="DR189">
        <v>25.6599</v>
      </c>
      <c r="DS189">
        <v>25.539000000000001</v>
      </c>
      <c r="DT189">
        <v>17.600000000000001</v>
      </c>
      <c r="DU189">
        <v>29.7</v>
      </c>
      <c r="DV189">
        <v>7.4388500000000004</v>
      </c>
      <c r="DW189">
        <v>61.011200000000002</v>
      </c>
      <c r="DX189">
        <v>36.350200000000001</v>
      </c>
      <c r="DY189">
        <v>1</v>
      </c>
      <c r="DZ189">
        <v>-8.5889199999999999E-2</v>
      </c>
      <c r="EA189">
        <v>-0.226046</v>
      </c>
      <c r="EB189">
        <v>20.1892</v>
      </c>
      <c r="EC189">
        <v>5.2411000000000003</v>
      </c>
      <c r="ED189">
        <v>12.039899999999999</v>
      </c>
      <c r="EE189">
        <v>5.01715</v>
      </c>
      <c r="EF189">
        <v>3.2879999999999998</v>
      </c>
      <c r="EG189">
        <v>9999</v>
      </c>
      <c r="EH189">
        <v>9999</v>
      </c>
      <c r="EI189">
        <v>9999</v>
      </c>
      <c r="EJ189">
        <v>999.9</v>
      </c>
      <c r="EK189">
        <v>1.8689100000000001</v>
      </c>
      <c r="EL189">
        <v>1.86466</v>
      </c>
      <c r="EM189">
        <v>1.8692</v>
      </c>
      <c r="EN189">
        <v>1.8672599999999999</v>
      </c>
      <c r="EO189">
        <v>1.8633999999999999</v>
      </c>
      <c r="EP189">
        <v>1.86459</v>
      </c>
      <c r="EQ189">
        <v>1.87018</v>
      </c>
      <c r="ER189">
        <v>1.8694599999999999</v>
      </c>
      <c r="ES189">
        <v>0</v>
      </c>
      <c r="ET189">
        <v>0</v>
      </c>
      <c r="EU189">
        <v>0</v>
      </c>
      <c r="EV189">
        <v>0</v>
      </c>
      <c r="EW189" t="s">
        <v>334</v>
      </c>
      <c r="EX189" t="s">
        <v>335</v>
      </c>
      <c r="EY189" t="s">
        <v>336</v>
      </c>
      <c r="EZ189" t="s">
        <v>336</v>
      </c>
      <c r="FA189" t="s">
        <v>336</v>
      </c>
      <c r="FB189" t="s">
        <v>336</v>
      </c>
      <c r="FC189">
        <v>0</v>
      </c>
      <c r="FD189">
        <v>100</v>
      </c>
      <c r="FE189">
        <v>100</v>
      </c>
      <c r="FF189">
        <v>-0.186</v>
      </c>
      <c r="FG189">
        <v>0.19159999999999999</v>
      </c>
      <c r="FH189">
        <v>4.0020685143421282E-2</v>
      </c>
      <c r="FI189">
        <v>-6.1462078757559423E-4</v>
      </c>
      <c r="FJ189">
        <v>-1.8861989874597051E-7</v>
      </c>
      <c r="FK189">
        <v>1.1980462299894961E-10</v>
      </c>
      <c r="FL189">
        <v>0.19160597004026461</v>
      </c>
      <c r="FM189">
        <v>0</v>
      </c>
      <c r="FN189">
        <v>0</v>
      </c>
      <c r="FO189">
        <v>0</v>
      </c>
      <c r="FP189">
        <v>3</v>
      </c>
      <c r="FQ189">
        <v>2158</v>
      </c>
      <c r="FR189">
        <v>1</v>
      </c>
      <c r="FS189">
        <v>19</v>
      </c>
      <c r="FT189">
        <v>37</v>
      </c>
      <c r="FU189">
        <v>36.9</v>
      </c>
      <c r="FV189">
        <v>1.77979</v>
      </c>
      <c r="FW189">
        <v>2.5866699999999998</v>
      </c>
      <c r="FX189">
        <v>1.5490699999999999</v>
      </c>
      <c r="FY189">
        <v>2.3290999999999999</v>
      </c>
      <c r="FZ189">
        <v>1.50146</v>
      </c>
      <c r="GA189">
        <v>2.2839399999999999</v>
      </c>
      <c r="GB189">
        <v>33.850900000000003</v>
      </c>
      <c r="GC189">
        <v>23.982399999999998</v>
      </c>
      <c r="GD189">
        <v>19</v>
      </c>
      <c r="GE189">
        <v>247.64099999999999</v>
      </c>
      <c r="GF189">
        <v>582.04700000000003</v>
      </c>
      <c r="GG189">
        <v>25.553999999999998</v>
      </c>
      <c r="GH189">
        <v>26.308700000000002</v>
      </c>
      <c r="GI189">
        <v>30</v>
      </c>
      <c r="GJ189">
        <v>26.448</v>
      </c>
      <c r="GK189">
        <v>26.4207</v>
      </c>
      <c r="GL189">
        <v>35.5807</v>
      </c>
      <c r="GM189">
        <v>-30</v>
      </c>
      <c r="GN189">
        <v>-30</v>
      </c>
      <c r="GO189">
        <v>25.536999999999999</v>
      </c>
      <c r="GP189">
        <v>800</v>
      </c>
      <c r="GQ189">
        <v>12.5298</v>
      </c>
      <c r="GR189">
        <v>99.682699999999997</v>
      </c>
      <c r="GS189">
        <v>99.482200000000006</v>
      </c>
    </row>
    <row r="190" spans="1:201" x14ac:dyDescent="0.25">
      <c r="A190">
        <v>174</v>
      </c>
      <c r="B190">
        <v>1690214146</v>
      </c>
      <c r="C190">
        <v>1878.5</v>
      </c>
      <c r="D190" t="s">
        <v>679</v>
      </c>
      <c r="E190" t="s">
        <v>680</v>
      </c>
      <c r="F190" t="s">
        <v>330</v>
      </c>
      <c r="H190">
        <v>1690214146</v>
      </c>
      <c r="I190">
        <f t="shared" si="60"/>
        <v>2.1055057817667522E-3</v>
      </c>
      <c r="J190">
        <f t="shared" si="61"/>
        <v>2.1055057817667522</v>
      </c>
      <c r="K190">
        <f t="shared" si="62"/>
        <v>39.41852729040108</v>
      </c>
      <c r="L190">
        <f t="shared" si="63"/>
        <v>338.79199999999997</v>
      </c>
      <c r="M190">
        <f t="shared" si="64"/>
        <v>28.618178777456503</v>
      </c>
      <c r="N190">
        <f t="shared" si="65"/>
        <v>2.8382892989728701</v>
      </c>
      <c r="O190">
        <f t="shared" si="66"/>
        <v>33.600660463239997</v>
      </c>
      <c r="P190">
        <f t="shared" si="67"/>
        <v>0.21578325920878499</v>
      </c>
      <c r="Q190">
        <f t="shared" si="68"/>
        <v>2.008679689821093</v>
      </c>
      <c r="R190">
        <f t="shared" si="69"/>
        <v>0.20368270789818615</v>
      </c>
      <c r="S190">
        <f t="shared" si="70"/>
        <v>0.12833229852009179</v>
      </c>
      <c r="T190">
        <f t="shared" si="71"/>
        <v>276.1138896514243</v>
      </c>
      <c r="U190">
        <f t="shared" si="72"/>
        <v>28.497753178562665</v>
      </c>
      <c r="V190">
        <f t="shared" si="73"/>
        <v>28.497753178562665</v>
      </c>
      <c r="W190">
        <f t="shared" si="74"/>
        <v>3.906359498552614</v>
      </c>
      <c r="X190">
        <f t="shared" si="75"/>
        <v>81.628552847465357</v>
      </c>
      <c r="Y190">
        <f t="shared" si="76"/>
        <v>2.9164038745009999</v>
      </c>
      <c r="Z190">
        <f t="shared" si="77"/>
        <v>3.5727741982033154</v>
      </c>
      <c r="AA190">
        <f t="shared" si="78"/>
        <v>0.98995562405161408</v>
      </c>
      <c r="AB190">
        <f t="shared" si="79"/>
        <v>-92.85280497591377</v>
      </c>
      <c r="AC190">
        <f t="shared" si="80"/>
        <v>-165.48667146433715</v>
      </c>
      <c r="AD190">
        <f t="shared" si="81"/>
        <v>-17.910698982939756</v>
      </c>
      <c r="AE190">
        <f t="shared" si="82"/>
        <v>-0.13628577176640988</v>
      </c>
      <c r="AF190">
        <v>32</v>
      </c>
      <c r="AG190">
        <v>11</v>
      </c>
      <c r="AH190">
        <f t="shared" si="83"/>
        <v>1</v>
      </c>
      <c r="AI190">
        <f t="shared" si="84"/>
        <v>0</v>
      </c>
      <c r="AJ190">
        <f t="shared" si="85"/>
        <v>52244.021451645167</v>
      </c>
      <c r="AK190">
        <f t="shared" si="86"/>
        <v>1799.99</v>
      </c>
      <c r="AL190">
        <f t="shared" si="87"/>
        <v>1499.1030182036302</v>
      </c>
      <c r="AM190">
        <f t="shared" si="88"/>
        <v>0.83283963700000008</v>
      </c>
      <c r="AN190">
        <f t="shared" si="89"/>
        <v>0.15339745757000001</v>
      </c>
      <c r="AO190">
        <v>34.5</v>
      </c>
      <c r="AP190">
        <v>0.5</v>
      </c>
      <c r="AQ190" t="s">
        <v>331</v>
      </c>
      <c r="AR190">
        <v>2</v>
      </c>
      <c r="AS190">
        <v>1690214146</v>
      </c>
      <c r="AT190">
        <v>338.79199999999997</v>
      </c>
      <c r="AU190">
        <v>799.96400000000006</v>
      </c>
      <c r="AV190">
        <v>29.405799999999999</v>
      </c>
      <c r="AW190">
        <v>5.9220300000000003</v>
      </c>
      <c r="AX190">
        <v>338.97800000000001</v>
      </c>
      <c r="AY190">
        <v>29.214200000000002</v>
      </c>
      <c r="AZ190">
        <v>300.22399999999999</v>
      </c>
      <c r="BA190">
        <v>99.077799999999996</v>
      </c>
      <c r="BB190">
        <v>0.100045</v>
      </c>
      <c r="BC190">
        <v>26.9696</v>
      </c>
      <c r="BD190">
        <v>27.0044</v>
      </c>
      <c r="BE190">
        <v>28.5962</v>
      </c>
      <c r="BF190">
        <v>0</v>
      </c>
      <c r="BG190">
        <v>0</v>
      </c>
      <c r="BH190">
        <v>9970</v>
      </c>
      <c r="BI190">
        <v>1077.3399999999999</v>
      </c>
      <c r="BJ190">
        <v>2.0744500000000001</v>
      </c>
      <c r="BK190">
        <v>-461.17200000000003</v>
      </c>
      <c r="BL190">
        <v>349.05700000000002</v>
      </c>
      <c r="BM190">
        <v>804.73</v>
      </c>
      <c r="BN190">
        <v>23.483699999999999</v>
      </c>
      <c r="BO190">
        <v>799.96400000000006</v>
      </c>
      <c r="BP190">
        <v>5.9220300000000003</v>
      </c>
      <c r="BQ190">
        <v>2.9134600000000002</v>
      </c>
      <c r="BR190">
        <v>0.58674199999999999</v>
      </c>
      <c r="BS190">
        <v>23.541399999999999</v>
      </c>
      <c r="BT190">
        <v>-0.61578500000000003</v>
      </c>
      <c r="BU190">
        <v>1799.99</v>
      </c>
      <c r="BV190">
        <v>0.90999799999999997</v>
      </c>
      <c r="BW190">
        <v>3.4007200000000001E-2</v>
      </c>
      <c r="BX190">
        <v>2.1999600000000001E-2</v>
      </c>
      <c r="BY190">
        <v>3.3995499999999998E-2</v>
      </c>
      <c r="BZ190">
        <v>26</v>
      </c>
      <c r="CA190">
        <v>33528.199999999997</v>
      </c>
      <c r="CB190">
        <v>1690211922</v>
      </c>
      <c r="CC190" t="s">
        <v>332</v>
      </c>
      <c r="CD190">
        <v>1690211915</v>
      </c>
      <c r="CE190">
        <v>1690211922</v>
      </c>
      <c r="CF190">
        <v>6</v>
      </c>
      <c r="CG190">
        <v>1.0999999999999999E-2</v>
      </c>
      <c r="CH190">
        <v>8.0000000000000002E-3</v>
      </c>
      <c r="CI190">
        <v>-0.51100000000000001</v>
      </c>
      <c r="CJ190">
        <v>-6.6000000000000003E-2</v>
      </c>
      <c r="CK190">
        <v>800</v>
      </c>
      <c r="CL190">
        <v>6</v>
      </c>
      <c r="CM190">
        <v>0.21</v>
      </c>
      <c r="CN190">
        <v>0.02</v>
      </c>
      <c r="CO190">
        <v>-460.44726829268291</v>
      </c>
      <c r="CP190">
        <v>-4.4148501742163564</v>
      </c>
      <c r="CQ190">
        <v>0.435877641389116</v>
      </c>
      <c r="CR190">
        <v>-1</v>
      </c>
      <c r="CS190">
        <v>23.47118048780488</v>
      </c>
      <c r="CT190">
        <v>9.4093379791011025E-2</v>
      </c>
      <c r="CU190">
        <v>9.3676979891383714E-3</v>
      </c>
      <c r="CV190">
        <v>-1</v>
      </c>
      <c r="CW190">
        <v>0</v>
      </c>
      <c r="CX190">
        <v>0</v>
      </c>
      <c r="CY190" t="s">
        <v>333</v>
      </c>
      <c r="CZ190">
        <v>2.3645999999999998</v>
      </c>
      <c r="DA190">
        <v>2.7138100000000001</v>
      </c>
      <c r="DB190">
        <v>7.8654500000000002E-2</v>
      </c>
      <c r="DC190">
        <v>0.14605499999999999</v>
      </c>
      <c r="DD190">
        <v>0.131214</v>
      </c>
      <c r="DE190">
        <v>3.9023599999999999E-2</v>
      </c>
      <c r="DF190">
        <v>33624.9</v>
      </c>
      <c r="DG190">
        <v>27498.400000000001</v>
      </c>
      <c r="DH190">
        <v>31156.3</v>
      </c>
      <c r="DI190">
        <v>28059.7</v>
      </c>
      <c r="DJ190">
        <v>36731.800000000003</v>
      </c>
      <c r="DK190">
        <v>38341</v>
      </c>
      <c r="DL190">
        <v>44336.2</v>
      </c>
      <c r="DM190">
        <v>42522.9</v>
      </c>
      <c r="DN190">
        <v>1.389</v>
      </c>
      <c r="DO190">
        <v>2.0337499999999999</v>
      </c>
      <c r="DP190">
        <v>8.2254400000000005E-2</v>
      </c>
      <c r="DQ190">
        <v>0.18695700000000001</v>
      </c>
      <c r="DR190">
        <v>25.657699999999998</v>
      </c>
      <c r="DS190">
        <v>25.539000000000001</v>
      </c>
      <c r="DT190">
        <v>17.600000000000001</v>
      </c>
      <c r="DU190">
        <v>29.7</v>
      </c>
      <c r="DV190">
        <v>7.4391100000000003</v>
      </c>
      <c r="DW190">
        <v>61.661200000000001</v>
      </c>
      <c r="DX190">
        <v>36.029600000000002</v>
      </c>
      <c r="DY190">
        <v>1</v>
      </c>
      <c r="DZ190">
        <v>-8.5970500000000005E-2</v>
      </c>
      <c r="EA190">
        <v>-0.256936</v>
      </c>
      <c r="EB190">
        <v>20.189499999999999</v>
      </c>
      <c r="EC190">
        <v>5.2413999999999996</v>
      </c>
      <c r="ED190">
        <v>12.039899999999999</v>
      </c>
      <c r="EE190">
        <v>5.0173500000000004</v>
      </c>
      <c r="EF190">
        <v>3.2879999999999998</v>
      </c>
      <c r="EG190">
        <v>9999</v>
      </c>
      <c r="EH190">
        <v>9999</v>
      </c>
      <c r="EI190">
        <v>9999</v>
      </c>
      <c r="EJ190">
        <v>999.9</v>
      </c>
      <c r="EK190">
        <v>1.8689100000000001</v>
      </c>
      <c r="EL190">
        <v>1.8646400000000001</v>
      </c>
      <c r="EM190">
        <v>1.8692</v>
      </c>
      <c r="EN190">
        <v>1.86724</v>
      </c>
      <c r="EO190">
        <v>1.8633999999999999</v>
      </c>
      <c r="EP190">
        <v>1.86456</v>
      </c>
      <c r="EQ190">
        <v>1.8702000000000001</v>
      </c>
      <c r="ER190">
        <v>1.86947</v>
      </c>
      <c r="ES190">
        <v>0</v>
      </c>
      <c r="ET190">
        <v>0</v>
      </c>
      <c r="EU190">
        <v>0</v>
      </c>
      <c r="EV190">
        <v>0</v>
      </c>
      <c r="EW190" t="s">
        <v>334</v>
      </c>
      <c r="EX190" t="s">
        <v>335</v>
      </c>
      <c r="EY190" t="s">
        <v>336</v>
      </c>
      <c r="EZ190" t="s">
        <v>336</v>
      </c>
      <c r="FA190" t="s">
        <v>336</v>
      </c>
      <c r="FB190" t="s">
        <v>336</v>
      </c>
      <c r="FC190">
        <v>0</v>
      </c>
      <c r="FD190">
        <v>100</v>
      </c>
      <c r="FE190">
        <v>100</v>
      </c>
      <c r="FF190">
        <v>-0.186</v>
      </c>
      <c r="FG190">
        <v>0.19159999999999999</v>
      </c>
      <c r="FH190">
        <v>4.0020685143421282E-2</v>
      </c>
      <c r="FI190">
        <v>-6.1462078757559423E-4</v>
      </c>
      <c r="FJ190">
        <v>-1.8861989874597051E-7</v>
      </c>
      <c r="FK190">
        <v>1.1980462299894961E-10</v>
      </c>
      <c r="FL190">
        <v>0.19160597004026461</v>
      </c>
      <c r="FM190">
        <v>0</v>
      </c>
      <c r="FN190">
        <v>0</v>
      </c>
      <c r="FO190">
        <v>0</v>
      </c>
      <c r="FP190">
        <v>3</v>
      </c>
      <c r="FQ190">
        <v>2158</v>
      </c>
      <c r="FR190">
        <v>1</v>
      </c>
      <c r="FS190">
        <v>19</v>
      </c>
      <c r="FT190">
        <v>37.200000000000003</v>
      </c>
      <c r="FU190">
        <v>37.1</v>
      </c>
      <c r="FV190">
        <v>1.77979</v>
      </c>
      <c r="FW190">
        <v>2.5842299999999998</v>
      </c>
      <c r="FX190">
        <v>1.5490699999999999</v>
      </c>
      <c r="FY190">
        <v>2.3290999999999999</v>
      </c>
      <c r="FZ190">
        <v>1.50146</v>
      </c>
      <c r="GA190">
        <v>2.2570800000000002</v>
      </c>
      <c r="GB190">
        <v>33.850900000000003</v>
      </c>
      <c r="GC190">
        <v>23.982399999999998</v>
      </c>
      <c r="GD190">
        <v>19</v>
      </c>
      <c r="GE190">
        <v>247.78800000000001</v>
      </c>
      <c r="GF190">
        <v>581.91399999999999</v>
      </c>
      <c r="GG190">
        <v>25.531400000000001</v>
      </c>
      <c r="GH190">
        <v>26.308599999999998</v>
      </c>
      <c r="GI190">
        <v>30</v>
      </c>
      <c r="GJ190">
        <v>26.445799999999998</v>
      </c>
      <c r="GK190">
        <v>26.419799999999999</v>
      </c>
      <c r="GL190">
        <v>35.580599999999997</v>
      </c>
      <c r="GM190">
        <v>-30</v>
      </c>
      <c r="GN190">
        <v>-30</v>
      </c>
      <c r="GO190">
        <v>25.535399999999999</v>
      </c>
      <c r="GP190">
        <v>800</v>
      </c>
      <c r="GQ190">
        <v>12.5298</v>
      </c>
      <c r="GR190">
        <v>99.683999999999997</v>
      </c>
      <c r="GS190">
        <v>99.481399999999994</v>
      </c>
    </row>
    <row r="191" spans="1:201" x14ac:dyDescent="0.25">
      <c r="A191">
        <v>175</v>
      </c>
      <c r="B191">
        <v>1690214156</v>
      </c>
      <c r="C191">
        <v>1888.5</v>
      </c>
      <c r="D191" t="s">
        <v>681</v>
      </c>
      <c r="E191" t="s">
        <v>682</v>
      </c>
      <c r="F191" t="s">
        <v>330</v>
      </c>
      <c r="H191">
        <v>1690214156</v>
      </c>
      <c r="I191">
        <f t="shared" si="60"/>
        <v>2.1055253593794902E-3</v>
      </c>
      <c r="J191">
        <f t="shared" si="61"/>
        <v>2.1055253593794903</v>
      </c>
      <c r="K191">
        <f t="shared" si="62"/>
        <v>39.473496335776382</v>
      </c>
      <c r="L191">
        <f t="shared" si="63"/>
        <v>338.096</v>
      </c>
      <c r="M191">
        <f t="shared" si="64"/>
        <v>27.958756423606033</v>
      </c>
      <c r="N191">
        <f t="shared" si="65"/>
        <v>2.7730194484523256</v>
      </c>
      <c r="O191">
        <f t="shared" si="66"/>
        <v>33.533207601907201</v>
      </c>
      <c r="P191">
        <f t="shared" si="67"/>
        <v>0.21609260908194067</v>
      </c>
      <c r="Q191">
        <f t="shared" si="68"/>
        <v>2.0127954021021122</v>
      </c>
      <c r="R191">
        <f t="shared" si="69"/>
        <v>0.20398170402414834</v>
      </c>
      <c r="S191">
        <f t="shared" si="70"/>
        <v>0.12852008569633111</v>
      </c>
      <c r="T191">
        <f t="shared" si="71"/>
        <v>276.11519855400002</v>
      </c>
      <c r="U191">
        <f t="shared" si="72"/>
        <v>28.49483481252388</v>
      </c>
      <c r="V191">
        <f t="shared" si="73"/>
        <v>28.49483481252388</v>
      </c>
      <c r="W191">
        <f t="shared" si="74"/>
        <v>3.9056974087141767</v>
      </c>
      <c r="X191">
        <f t="shared" si="75"/>
        <v>81.649522829933474</v>
      </c>
      <c r="Y191">
        <f t="shared" si="76"/>
        <v>2.9171359476177599</v>
      </c>
      <c r="Z191">
        <f t="shared" si="77"/>
        <v>3.5727532097080554</v>
      </c>
      <c r="AA191">
        <f t="shared" si="78"/>
        <v>0.98856146109641685</v>
      </c>
      <c r="AB191">
        <f t="shared" si="79"/>
        <v>-92.853668348635523</v>
      </c>
      <c r="AC191">
        <f t="shared" si="80"/>
        <v>-165.51991600801142</v>
      </c>
      <c r="AD191">
        <f t="shared" si="81"/>
        <v>-17.877396790057475</v>
      </c>
      <c r="AE191">
        <f t="shared" si="82"/>
        <v>-0.13578259270437343</v>
      </c>
      <c r="AF191">
        <v>33</v>
      </c>
      <c r="AG191">
        <v>11</v>
      </c>
      <c r="AH191">
        <f t="shared" si="83"/>
        <v>1</v>
      </c>
      <c r="AI191">
        <f t="shared" si="84"/>
        <v>0</v>
      </c>
      <c r="AJ191">
        <f t="shared" si="85"/>
        <v>52441.622711368604</v>
      </c>
      <c r="AK191">
        <f t="shared" si="86"/>
        <v>1800</v>
      </c>
      <c r="AL191">
        <f t="shared" si="87"/>
        <v>1499.1103854</v>
      </c>
      <c r="AM191">
        <f t="shared" si="88"/>
        <v>0.83283910299999997</v>
      </c>
      <c r="AN191">
        <f t="shared" si="89"/>
        <v>0.15339733253000001</v>
      </c>
      <c r="AO191">
        <v>34.5</v>
      </c>
      <c r="AP191">
        <v>0.5</v>
      </c>
      <c r="AQ191" t="s">
        <v>331</v>
      </c>
      <c r="AR191">
        <v>2</v>
      </c>
      <c r="AS191">
        <v>1690214156</v>
      </c>
      <c r="AT191">
        <v>338.096</v>
      </c>
      <c r="AU191">
        <v>800.02599999999995</v>
      </c>
      <c r="AV191">
        <v>29.411799999999999</v>
      </c>
      <c r="AW191">
        <v>5.9206799999999999</v>
      </c>
      <c r="AX191">
        <v>338.28100000000001</v>
      </c>
      <c r="AY191">
        <v>29.220199999999998</v>
      </c>
      <c r="AZ191">
        <v>300.13099999999997</v>
      </c>
      <c r="BA191">
        <v>99.082599999999999</v>
      </c>
      <c r="BB191">
        <v>9.9903199999999998E-2</v>
      </c>
      <c r="BC191">
        <v>26.9695</v>
      </c>
      <c r="BD191">
        <v>26.9895</v>
      </c>
      <c r="BE191">
        <v>28.5793</v>
      </c>
      <c r="BF191">
        <v>0</v>
      </c>
      <c r="BG191">
        <v>0</v>
      </c>
      <c r="BH191">
        <v>10008.799999999999</v>
      </c>
      <c r="BI191">
        <v>1077.3499999999999</v>
      </c>
      <c r="BJ191">
        <v>2.0744500000000001</v>
      </c>
      <c r="BK191">
        <v>-461.93</v>
      </c>
      <c r="BL191">
        <v>348.34100000000001</v>
      </c>
      <c r="BM191">
        <v>804.79100000000005</v>
      </c>
      <c r="BN191">
        <v>23.491099999999999</v>
      </c>
      <c r="BO191">
        <v>800.02599999999995</v>
      </c>
      <c r="BP191">
        <v>5.9206799999999999</v>
      </c>
      <c r="BQ191">
        <v>2.9141900000000001</v>
      </c>
      <c r="BR191">
        <v>0.58663600000000005</v>
      </c>
      <c r="BS191">
        <v>23.5456</v>
      </c>
      <c r="BT191">
        <v>-0.61824500000000004</v>
      </c>
      <c r="BU191">
        <v>1800</v>
      </c>
      <c r="BV191">
        <v>0.90999799999999997</v>
      </c>
      <c r="BW191">
        <v>3.40069E-2</v>
      </c>
      <c r="BX191">
        <v>2.1999399999999999E-2</v>
      </c>
      <c r="BY191">
        <v>3.3995299999999999E-2</v>
      </c>
      <c r="BZ191">
        <v>26</v>
      </c>
      <c r="CA191">
        <v>33528.300000000003</v>
      </c>
      <c r="CB191">
        <v>1690211922</v>
      </c>
      <c r="CC191" t="s">
        <v>332</v>
      </c>
      <c r="CD191">
        <v>1690211915</v>
      </c>
      <c r="CE191">
        <v>1690211922</v>
      </c>
      <c r="CF191">
        <v>6</v>
      </c>
      <c r="CG191">
        <v>1.0999999999999999E-2</v>
      </c>
      <c r="CH191">
        <v>8.0000000000000002E-3</v>
      </c>
      <c r="CI191">
        <v>-0.51100000000000001</v>
      </c>
      <c r="CJ191">
        <v>-6.6000000000000003E-2</v>
      </c>
      <c r="CK191">
        <v>800</v>
      </c>
      <c r="CL191">
        <v>6</v>
      </c>
      <c r="CM191">
        <v>0.21</v>
      </c>
      <c r="CN191">
        <v>0.02</v>
      </c>
      <c r="CO191">
        <v>-461.04256097560977</v>
      </c>
      <c r="CP191">
        <v>-3.8044390243912951</v>
      </c>
      <c r="CQ191">
        <v>0.37957222705338978</v>
      </c>
      <c r="CR191">
        <v>-1</v>
      </c>
      <c r="CS191">
        <v>23.482221951219511</v>
      </c>
      <c r="CT191">
        <v>5.6356097560948067E-2</v>
      </c>
      <c r="CU191">
        <v>5.681098837163715E-3</v>
      </c>
      <c r="CV191">
        <v>-1</v>
      </c>
      <c r="CW191">
        <v>0</v>
      </c>
      <c r="CX191">
        <v>0</v>
      </c>
      <c r="CY191" t="s">
        <v>333</v>
      </c>
      <c r="CZ191">
        <v>2.3642699999999999</v>
      </c>
      <c r="DA191">
        <v>2.7136999999999998</v>
      </c>
      <c r="DB191">
        <v>7.8530100000000005E-2</v>
      </c>
      <c r="DC191">
        <v>0.14607000000000001</v>
      </c>
      <c r="DD191">
        <v>0.13123899999999999</v>
      </c>
      <c r="DE191">
        <v>3.9018299999999999E-2</v>
      </c>
      <c r="DF191">
        <v>33629.800000000003</v>
      </c>
      <c r="DG191">
        <v>27497.7</v>
      </c>
      <c r="DH191">
        <v>31156.7</v>
      </c>
      <c r="DI191">
        <v>28059.5</v>
      </c>
      <c r="DJ191">
        <v>36731.300000000003</v>
      </c>
      <c r="DK191">
        <v>38340.699999999997</v>
      </c>
      <c r="DL191">
        <v>44336.9</v>
      </c>
      <c r="DM191">
        <v>42522.3</v>
      </c>
      <c r="DN191">
        <v>1.38855</v>
      </c>
      <c r="DO191">
        <v>2.0337299999999998</v>
      </c>
      <c r="DP191">
        <v>8.1293299999999999E-2</v>
      </c>
      <c r="DQ191">
        <v>0.185922</v>
      </c>
      <c r="DR191">
        <v>25.6586</v>
      </c>
      <c r="DS191">
        <v>25.539000000000001</v>
      </c>
      <c r="DT191">
        <v>17.600000000000001</v>
      </c>
      <c r="DU191">
        <v>29.7</v>
      </c>
      <c r="DV191">
        <v>7.4389000000000003</v>
      </c>
      <c r="DW191">
        <v>61.711199999999998</v>
      </c>
      <c r="DX191">
        <v>36.350200000000001</v>
      </c>
      <c r="DY191">
        <v>1</v>
      </c>
      <c r="DZ191">
        <v>-8.6117899999999997E-2</v>
      </c>
      <c r="EA191">
        <v>-0.26271800000000001</v>
      </c>
      <c r="EB191">
        <v>20.1892</v>
      </c>
      <c r="EC191">
        <v>5.2411000000000003</v>
      </c>
      <c r="ED191">
        <v>12.039899999999999</v>
      </c>
      <c r="EE191">
        <v>5.0172499999999998</v>
      </c>
      <c r="EF191">
        <v>3.2879999999999998</v>
      </c>
      <c r="EG191">
        <v>9999</v>
      </c>
      <c r="EH191">
        <v>9999</v>
      </c>
      <c r="EI191">
        <v>9999</v>
      </c>
      <c r="EJ191">
        <v>999.9</v>
      </c>
      <c r="EK191">
        <v>1.8689100000000001</v>
      </c>
      <c r="EL191">
        <v>1.8646499999999999</v>
      </c>
      <c r="EM191">
        <v>1.8691899999999999</v>
      </c>
      <c r="EN191">
        <v>1.86724</v>
      </c>
      <c r="EO191">
        <v>1.8633999999999999</v>
      </c>
      <c r="EP191">
        <v>1.8645799999999999</v>
      </c>
      <c r="EQ191">
        <v>1.8702000000000001</v>
      </c>
      <c r="ER191">
        <v>1.8694599999999999</v>
      </c>
      <c r="ES191">
        <v>0</v>
      </c>
      <c r="ET191">
        <v>0</v>
      </c>
      <c r="EU191">
        <v>0</v>
      </c>
      <c r="EV191">
        <v>0</v>
      </c>
      <c r="EW191" t="s">
        <v>334</v>
      </c>
      <c r="EX191" t="s">
        <v>335</v>
      </c>
      <c r="EY191" t="s">
        <v>336</v>
      </c>
      <c r="EZ191" t="s">
        <v>336</v>
      </c>
      <c r="FA191" t="s">
        <v>336</v>
      </c>
      <c r="FB191" t="s">
        <v>336</v>
      </c>
      <c r="FC191">
        <v>0</v>
      </c>
      <c r="FD191">
        <v>100</v>
      </c>
      <c r="FE191">
        <v>100</v>
      </c>
      <c r="FF191">
        <v>-0.185</v>
      </c>
      <c r="FG191">
        <v>0.19159999999999999</v>
      </c>
      <c r="FH191">
        <v>4.0020685143421282E-2</v>
      </c>
      <c r="FI191">
        <v>-6.1462078757559423E-4</v>
      </c>
      <c r="FJ191">
        <v>-1.8861989874597051E-7</v>
      </c>
      <c r="FK191">
        <v>1.1980462299894961E-10</v>
      </c>
      <c r="FL191">
        <v>0.19160597004026461</v>
      </c>
      <c r="FM191">
        <v>0</v>
      </c>
      <c r="FN191">
        <v>0</v>
      </c>
      <c r="FO191">
        <v>0</v>
      </c>
      <c r="FP191">
        <v>3</v>
      </c>
      <c r="FQ191">
        <v>2158</v>
      </c>
      <c r="FR191">
        <v>1</v>
      </c>
      <c r="FS191">
        <v>19</v>
      </c>
      <c r="FT191">
        <v>37.4</v>
      </c>
      <c r="FU191">
        <v>37.200000000000003</v>
      </c>
      <c r="FV191">
        <v>1.77979</v>
      </c>
      <c r="FW191">
        <v>2.5817899999999998</v>
      </c>
      <c r="FX191">
        <v>1.5490699999999999</v>
      </c>
      <c r="FY191">
        <v>2.3290999999999999</v>
      </c>
      <c r="FZ191">
        <v>1.50146</v>
      </c>
      <c r="GA191">
        <v>2.2900399999999999</v>
      </c>
      <c r="GB191">
        <v>33.850900000000003</v>
      </c>
      <c r="GC191">
        <v>23.982399999999998</v>
      </c>
      <c r="GD191">
        <v>19</v>
      </c>
      <c r="GE191">
        <v>247.61</v>
      </c>
      <c r="GF191">
        <v>581.87800000000004</v>
      </c>
      <c r="GG191">
        <v>25.532599999999999</v>
      </c>
      <c r="GH191">
        <v>26.307600000000001</v>
      </c>
      <c r="GI191">
        <v>30</v>
      </c>
      <c r="GJ191">
        <v>26.444800000000001</v>
      </c>
      <c r="GK191">
        <v>26.418399999999998</v>
      </c>
      <c r="GL191">
        <v>35.579000000000001</v>
      </c>
      <c r="GM191">
        <v>-30</v>
      </c>
      <c r="GN191">
        <v>-30</v>
      </c>
      <c r="GO191">
        <v>25.533200000000001</v>
      </c>
      <c r="GP191">
        <v>800</v>
      </c>
      <c r="GQ191">
        <v>12.5298</v>
      </c>
      <c r="GR191">
        <v>99.685400000000001</v>
      </c>
      <c r="GS191">
        <v>99.480199999999996</v>
      </c>
    </row>
    <row r="192" spans="1:201" x14ac:dyDescent="0.25">
      <c r="A192">
        <v>176</v>
      </c>
      <c r="B192">
        <v>1690214166</v>
      </c>
      <c r="C192">
        <v>1898.5</v>
      </c>
      <c r="D192" t="s">
        <v>683</v>
      </c>
      <c r="E192" t="s">
        <v>684</v>
      </c>
      <c r="F192" t="s">
        <v>330</v>
      </c>
      <c r="H192">
        <v>1690214166</v>
      </c>
      <c r="I192">
        <f t="shared" si="60"/>
        <v>2.1077259956105089E-3</v>
      </c>
      <c r="J192">
        <f t="shared" si="61"/>
        <v>2.107725995610509</v>
      </c>
      <c r="K192">
        <f t="shared" si="62"/>
        <v>39.5179837633126</v>
      </c>
      <c r="L192">
        <f t="shared" si="63"/>
        <v>337.60300000000001</v>
      </c>
      <c r="M192">
        <f t="shared" si="64"/>
        <v>28.045307647560815</v>
      </c>
      <c r="N192">
        <f t="shared" si="65"/>
        <v>2.7813562203051494</v>
      </c>
      <c r="O192">
        <f t="shared" si="66"/>
        <v>33.4813301335044</v>
      </c>
      <c r="P192">
        <f t="shared" si="67"/>
        <v>0.21679144226993621</v>
      </c>
      <c r="Q192">
        <f t="shared" si="68"/>
        <v>2.0091611252684487</v>
      </c>
      <c r="R192">
        <f t="shared" si="69"/>
        <v>0.20458373779265457</v>
      </c>
      <c r="S192">
        <f t="shared" si="70"/>
        <v>0.12890433018062925</v>
      </c>
      <c r="T192">
        <f t="shared" si="71"/>
        <v>276.11544236399999</v>
      </c>
      <c r="U192">
        <f t="shared" si="72"/>
        <v>28.493024511606023</v>
      </c>
      <c r="V192">
        <f t="shared" si="73"/>
        <v>28.493024511606023</v>
      </c>
      <c r="W192">
        <f t="shared" si="74"/>
        <v>3.9052867548515584</v>
      </c>
      <c r="X192">
        <f t="shared" si="75"/>
        <v>81.710129353325797</v>
      </c>
      <c r="Y192">
        <f t="shared" si="76"/>
        <v>2.9187010840989602</v>
      </c>
      <c r="Z192">
        <f t="shared" si="77"/>
        <v>3.57201868017868</v>
      </c>
      <c r="AA192">
        <f t="shared" si="78"/>
        <v>0.98658567075259818</v>
      </c>
      <c r="AB192">
        <f t="shared" si="79"/>
        <v>-92.950716406423439</v>
      </c>
      <c r="AC192">
        <f t="shared" si="80"/>
        <v>-165.40408007757392</v>
      </c>
      <c r="AD192">
        <f t="shared" si="81"/>
        <v>-17.896726807725397</v>
      </c>
      <c r="AE192">
        <f t="shared" si="82"/>
        <v>-0.13608092772275882</v>
      </c>
      <c r="AF192">
        <v>32</v>
      </c>
      <c r="AG192">
        <v>11</v>
      </c>
      <c r="AH192">
        <f t="shared" si="83"/>
        <v>1</v>
      </c>
      <c r="AI192">
        <f t="shared" si="84"/>
        <v>0</v>
      </c>
      <c r="AJ192">
        <f t="shared" si="85"/>
        <v>52267.632590510228</v>
      </c>
      <c r="AK192">
        <f t="shared" si="86"/>
        <v>1800</v>
      </c>
      <c r="AL192">
        <f t="shared" si="87"/>
        <v>1499.1117623999999</v>
      </c>
      <c r="AM192">
        <f t="shared" si="88"/>
        <v>0.83283986799999998</v>
      </c>
      <c r="AN192">
        <f t="shared" si="89"/>
        <v>0.15339746798000001</v>
      </c>
      <c r="AO192">
        <v>34.5</v>
      </c>
      <c r="AP192">
        <v>0.5</v>
      </c>
      <c r="AQ192" t="s">
        <v>331</v>
      </c>
      <c r="AR192">
        <v>2</v>
      </c>
      <c r="AS192">
        <v>1690214166</v>
      </c>
      <c r="AT192">
        <v>337.60300000000001</v>
      </c>
      <c r="AU192">
        <v>799.92700000000002</v>
      </c>
      <c r="AV192">
        <v>29.430199999999999</v>
      </c>
      <c r="AW192">
        <v>5.9207700000000001</v>
      </c>
      <c r="AX192">
        <v>337.78800000000001</v>
      </c>
      <c r="AY192">
        <v>29.238600000000002</v>
      </c>
      <c r="AZ192">
        <v>300.20499999999998</v>
      </c>
      <c r="BA192">
        <v>99.073700000000002</v>
      </c>
      <c r="BB192">
        <v>9.9974800000000003E-2</v>
      </c>
      <c r="BC192">
        <v>26.966000000000001</v>
      </c>
      <c r="BD192">
        <v>26.996200000000002</v>
      </c>
      <c r="BE192">
        <v>28.5747</v>
      </c>
      <c r="BF192">
        <v>0</v>
      </c>
      <c r="BG192">
        <v>0</v>
      </c>
      <c r="BH192">
        <v>9975</v>
      </c>
      <c r="BI192">
        <v>1077.3499999999999</v>
      </c>
      <c r="BJ192">
        <v>2.0744500000000001</v>
      </c>
      <c r="BK192">
        <v>-462.32400000000001</v>
      </c>
      <c r="BL192">
        <v>347.84100000000001</v>
      </c>
      <c r="BM192">
        <v>804.69100000000003</v>
      </c>
      <c r="BN192">
        <v>23.509499999999999</v>
      </c>
      <c r="BO192">
        <v>799.92700000000002</v>
      </c>
      <c r="BP192">
        <v>5.9207700000000001</v>
      </c>
      <c r="BQ192">
        <v>2.9157600000000001</v>
      </c>
      <c r="BR192">
        <v>0.58659300000000003</v>
      </c>
      <c r="BS192">
        <v>23.554500000000001</v>
      </c>
      <c r="BT192">
        <v>-0.61926199999999998</v>
      </c>
      <c r="BU192">
        <v>1800</v>
      </c>
      <c r="BV192">
        <v>0.909999</v>
      </c>
      <c r="BW192">
        <v>3.40069E-2</v>
      </c>
      <c r="BX192">
        <v>2.1999399999999999E-2</v>
      </c>
      <c r="BY192">
        <v>3.3995200000000003E-2</v>
      </c>
      <c r="BZ192">
        <v>26</v>
      </c>
      <c r="CA192">
        <v>33528.300000000003</v>
      </c>
      <c r="CB192">
        <v>1690211922</v>
      </c>
      <c r="CC192" t="s">
        <v>332</v>
      </c>
      <c r="CD192">
        <v>1690211915</v>
      </c>
      <c r="CE192">
        <v>1690211922</v>
      </c>
      <c r="CF192">
        <v>6</v>
      </c>
      <c r="CG192">
        <v>1.0999999999999999E-2</v>
      </c>
      <c r="CH192">
        <v>8.0000000000000002E-3</v>
      </c>
      <c r="CI192">
        <v>-0.51100000000000001</v>
      </c>
      <c r="CJ192">
        <v>-6.6000000000000003E-2</v>
      </c>
      <c r="CK192">
        <v>800</v>
      </c>
      <c r="CL192">
        <v>6</v>
      </c>
      <c r="CM192">
        <v>0.21</v>
      </c>
      <c r="CN192">
        <v>0.02</v>
      </c>
      <c r="CO192">
        <v>-461.74902500000007</v>
      </c>
      <c r="CP192">
        <v>-4.0005140712945044</v>
      </c>
      <c r="CQ192">
        <v>0.39201227579630649</v>
      </c>
      <c r="CR192">
        <v>-1</v>
      </c>
      <c r="CS192">
        <v>23.492245</v>
      </c>
      <c r="CT192">
        <v>6.3404127579690342E-2</v>
      </c>
      <c r="CU192">
        <v>6.2883602791190488E-3</v>
      </c>
      <c r="CV192">
        <v>-1</v>
      </c>
      <c r="CW192">
        <v>0</v>
      </c>
      <c r="CX192">
        <v>0</v>
      </c>
      <c r="CY192" t="s">
        <v>333</v>
      </c>
      <c r="CZ192">
        <v>2.3645299999999998</v>
      </c>
      <c r="DA192">
        <v>2.71374</v>
      </c>
      <c r="DB192">
        <v>7.84329E-2</v>
      </c>
      <c r="DC192">
        <v>0.14604500000000001</v>
      </c>
      <c r="DD192">
        <v>0.13128500000000001</v>
      </c>
      <c r="DE192">
        <v>3.9015500000000002E-2</v>
      </c>
      <c r="DF192">
        <v>33633.699999999997</v>
      </c>
      <c r="DG192">
        <v>27498.6</v>
      </c>
      <c r="DH192">
        <v>31157</v>
      </c>
      <c r="DI192">
        <v>28059.5</v>
      </c>
      <c r="DJ192">
        <v>36729.4</v>
      </c>
      <c r="DK192">
        <v>38341</v>
      </c>
      <c r="DL192">
        <v>44337</v>
      </c>
      <c r="DM192">
        <v>42522.6</v>
      </c>
      <c r="DN192">
        <v>1.3894299999999999</v>
      </c>
      <c r="DO192">
        <v>2.0341499999999999</v>
      </c>
      <c r="DP192">
        <v>8.1621100000000002E-2</v>
      </c>
      <c r="DQ192">
        <v>0.18577299999999999</v>
      </c>
      <c r="DR192">
        <v>25.6599</v>
      </c>
      <c r="DS192">
        <v>25.536899999999999</v>
      </c>
      <c r="DT192">
        <v>17.600000000000001</v>
      </c>
      <c r="DU192">
        <v>29.7</v>
      </c>
      <c r="DV192">
        <v>7.4395800000000003</v>
      </c>
      <c r="DW192">
        <v>61.671199999999999</v>
      </c>
      <c r="DX192">
        <v>36.021599999999999</v>
      </c>
      <c r="DY192">
        <v>1</v>
      </c>
      <c r="DZ192">
        <v>-8.6420200000000003E-2</v>
      </c>
      <c r="EA192">
        <v>-0.286746</v>
      </c>
      <c r="EB192">
        <v>20.1892</v>
      </c>
      <c r="EC192">
        <v>5.2411000000000003</v>
      </c>
      <c r="ED192">
        <v>12.039899999999999</v>
      </c>
      <c r="EE192">
        <v>5.0172999999999996</v>
      </c>
      <c r="EF192">
        <v>3.2879999999999998</v>
      </c>
      <c r="EG192">
        <v>9999</v>
      </c>
      <c r="EH192">
        <v>9999</v>
      </c>
      <c r="EI192">
        <v>9999</v>
      </c>
      <c r="EJ192">
        <v>999.9</v>
      </c>
      <c r="EK192">
        <v>1.8689100000000001</v>
      </c>
      <c r="EL192">
        <v>1.86467</v>
      </c>
      <c r="EM192">
        <v>1.8692</v>
      </c>
      <c r="EN192">
        <v>1.8672299999999999</v>
      </c>
      <c r="EO192">
        <v>1.8633999999999999</v>
      </c>
      <c r="EP192">
        <v>1.8645799999999999</v>
      </c>
      <c r="EQ192">
        <v>1.87015</v>
      </c>
      <c r="ER192">
        <v>1.8694599999999999</v>
      </c>
      <c r="ES192">
        <v>0</v>
      </c>
      <c r="ET192">
        <v>0</v>
      </c>
      <c r="EU192">
        <v>0</v>
      </c>
      <c r="EV192">
        <v>0</v>
      </c>
      <c r="EW192" t="s">
        <v>334</v>
      </c>
      <c r="EX192" t="s">
        <v>335</v>
      </c>
      <c r="EY192" t="s">
        <v>336</v>
      </c>
      <c r="EZ192" t="s">
        <v>336</v>
      </c>
      <c r="FA192" t="s">
        <v>336</v>
      </c>
      <c r="FB192" t="s">
        <v>336</v>
      </c>
      <c r="FC192">
        <v>0</v>
      </c>
      <c r="FD192">
        <v>100</v>
      </c>
      <c r="FE192">
        <v>100</v>
      </c>
      <c r="FF192">
        <v>-0.185</v>
      </c>
      <c r="FG192">
        <v>0.19159999999999999</v>
      </c>
      <c r="FH192">
        <v>4.0020685143421282E-2</v>
      </c>
      <c r="FI192">
        <v>-6.1462078757559423E-4</v>
      </c>
      <c r="FJ192">
        <v>-1.8861989874597051E-7</v>
      </c>
      <c r="FK192">
        <v>1.1980462299894961E-10</v>
      </c>
      <c r="FL192">
        <v>0.19160597004026461</v>
      </c>
      <c r="FM192">
        <v>0</v>
      </c>
      <c r="FN192">
        <v>0</v>
      </c>
      <c r="FO192">
        <v>0</v>
      </c>
      <c r="FP192">
        <v>3</v>
      </c>
      <c r="FQ192">
        <v>2158</v>
      </c>
      <c r="FR192">
        <v>1</v>
      </c>
      <c r="FS192">
        <v>19</v>
      </c>
      <c r="FT192">
        <v>37.5</v>
      </c>
      <c r="FU192">
        <v>37.4</v>
      </c>
      <c r="FV192">
        <v>1.77979</v>
      </c>
      <c r="FW192">
        <v>2.5805699999999998</v>
      </c>
      <c r="FX192">
        <v>1.5490699999999999</v>
      </c>
      <c r="FY192">
        <v>2.3290999999999999</v>
      </c>
      <c r="FZ192">
        <v>1.50146</v>
      </c>
      <c r="GA192">
        <v>2.323</v>
      </c>
      <c r="GB192">
        <v>33.850900000000003</v>
      </c>
      <c r="GC192">
        <v>23.982399999999998</v>
      </c>
      <c r="GD192">
        <v>19</v>
      </c>
      <c r="GE192">
        <v>247.94499999999999</v>
      </c>
      <c r="GF192">
        <v>582.21900000000005</v>
      </c>
      <c r="GG192">
        <v>25.539300000000001</v>
      </c>
      <c r="GH192">
        <v>26.3064</v>
      </c>
      <c r="GI192">
        <v>29.9999</v>
      </c>
      <c r="GJ192">
        <v>26.4435</v>
      </c>
      <c r="GK192">
        <v>26.4175</v>
      </c>
      <c r="GL192">
        <v>35.580399999999997</v>
      </c>
      <c r="GM192">
        <v>-30</v>
      </c>
      <c r="GN192">
        <v>-30</v>
      </c>
      <c r="GO192">
        <v>25.541799999999999</v>
      </c>
      <c r="GP192">
        <v>800</v>
      </c>
      <c r="GQ192">
        <v>12.5298</v>
      </c>
      <c r="GR192">
        <v>99.686000000000007</v>
      </c>
      <c r="GS192">
        <v>99.480599999999995</v>
      </c>
    </row>
    <row r="193" spans="1:201" x14ac:dyDescent="0.25">
      <c r="A193">
        <v>177</v>
      </c>
      <c r="B193">
        <v>1690214176</v>
      </c>
      <c r="C193">
        <v>1908.5</v>
      </c>
      <c r="D193" t="s">
        <v>685</v>
      </c>
      <c r="E193" t="s">
        <v>686</v>
      </c>
      <c r="F193" t="s">
        <v>330</v>
      </c>
      <c r="H193">
        <v>1690214176</v>
      </c>
      <c r="I193">
        <f t="shared" si="60"/>
        <v>2.1088998684976089E-3</v>
      </c>
      <c r="J193">
        <f t="shared" si="61"/>
        <v>2.108899868497609</v>
      </c>
      <c r="K193">
        <f t="shared" si="62"/>
        <v>39.568534651193744</v>
      </c>
      <c r="L193">
        <f t="shared" si="63"/>
        <v>337.10399999999998</v>
      </c>
      <c r="M193">
        <f t="shared" si="64"/>
        <v>27.323825468231355</v>
      </c>
      <c r="N193">
        <f t="shared" si="65"/>
        <v>2.7099565771825009</v>
      </c>
      <c r="O193">
        <f t="shared" si="66"/>
        <v>33.433722633628797</v>
      </c>
      <c r="P193">
        <f t="shared" si="67"/>
        <v>0.21689971133447167</v>
      </c>
      <c r="Q193">
        <f t="shared" si="68"/>
        <v>2.0110547857166208</v>
      </c>
      <c r="R193">
        <f t="shared" si="69"/>
        <v>0.20469099023319903</v>
      </c>
      <c r="S193">
        <f t="shared" si="70"/>
        <v>0.12897147342687648</v>
      </c>
      <c r="T193">
        <f t="shared" si="71"/>
        <v>276.11541338400002</v>
      </c>
      <c r="U193">
        <f t="shared" si="72"/>
        <v>28.500580731164295</v>
      </c>
      <c r="V193">
        <f t="shared" si="73"/>
        <v>28.500580731164295</v>
      </c>
      <c r="W193">
        <f t="shared" si="74"/>
        <v>3.9070010789126148</v>
      </c>
      <c r="X193">
        <f t="shared" si="75"/>
        <v>81.711441627508535</v>
      </c>
      <c r="Y193">
        <f t="shared" si="76"/>
        <v>2.92034299895422</v>
      </c>
      <c r="Z193">
        <f t="shared" si="77"/>
        <v>3.5739707203636861</v>
      </c>
      <c r="AA193">
        <f t="shared" si="78"/>
        <v>0.98665807995839483</v>
      </c>
      <c r="AB193">
        <f t="shared" si="79"/>
        <v>-93.002484200744547</v>
      </c>
      <c r="AC193">
        <f t="shared" si="80"/>
        <v>-165.37091492031291</v>
      </c>
      <c r="AD193">
        <f t="shared" si="81"/>
        <v>-17.877792452639678</v>
      </c>
      <c r="AE193">
        <f t="shared" si="82"/>
        <v>-0.1357781896971062</v>
      </c>
      <c r="AF193">
        <v>32</v>
      </c>
      <c r="AG193">
        <v>11</v>
      </c>
      <c r="AH193">
        <f t="shared" si="83"/>
        <v>1</v>
      </c>
      <c r="AI193">
        <f t="shared" si="84"/>
        <v>0</v>
      </c>
      <c r="AJ193">
        <f t="shared" si="85"/>
        <v>52356.951138853583</v>
      </c>
      <c r="AK193">
        <f t="shared" si="86"/>
        <v>1800</v>
      </c>
      <c r="AL193">
        <f t="shared" si="87"/>
        <v>1499.1116364</v>
      </c>
      <c r="AM193">
        <f t="shared" si="88"/>
        <v>0.83283979799999996</v>
      </c>
      <c r="AN193">
        <f t="shared" si="89"/>
        <v>0.15339745188000001</v>
      </c>
      <c r="AO193">
        <v>34.5</v>
      </c>
      <c r="AP193">
        <v>0.5</v>
      </c>
      <c r="AQ193" t="s">
        <v>331</v>
      </c>
      <c r="AR193">
        <v>2</v>
      </c>
      <c r="AS193">
        <v>1690214176</v>
      </c>
      <c r="AT193">
        <v>337.10399999999998</v>
      </c>
      <c r="AU193">
        <v>800.06</v>
      </c>
      <c r="AV193">
        <v>29.4451</v>
      </c>
      <c r="AW193">
        <v>5.9199599999999997</v>
      </c>
      <c r="AX193">
        <v>337.28800000000001</v>
      </c>
      <c r="AY193">
        <v>29.253499999999999</v>
      </c>
      <c r="AZ193">
        <v>300.16699999999997</v>
      </c>
      <c r="BA193">
        <v>99.079300000000003</v>
      </c>
      <c r="BB193">
        <v>9.9952200000000005E-2</v>
      </c>
      <c r="BC193">
        <v>26.975300000000001</v>
      </c>
      <c r="BD193">
        <v>26.9986</v>
      </c>
      <c r="BE193">
        <v>28.581499999999998</v>
      </c>
      <c r="BF193">
        <v>0</v>
      </c>
      <c r="BG193">
        <v>0</v>
      </c>
      <c r="BH193">
        <v>9992.5</v>
      </c>
      <c r="BI193">
        <v>1077.3399999999999</v>
      </c>
      <c r="BJ193">
        <v>2.0744500000000001</v>
      </c>
      <c r="BK193">
        <v>-462.95600000000002</v>
      </c>
      <c r="BL193">
        <v>347.33100000000002</v>
      </c>
      <c r="BM193">
        <v>804.82399999999996</v>
      </c>
      <c r="BN193">
        <v>23.525099999999998</v>
      </c>
      <c r="BO193">
        <v>800.06</v>
      </c>
      <c r="BP193">
        <v>5.9199599999999997</v>
      </c>
      <c r="BQ193">
        <v>2.9174000000000002</v>
      </c>
      <c r="BR193">
        <v>0.58654600000000001</v>
      </c>
      <c r="BS193">
        <v>23.563800000000001</v>
      </c>
      <c r="BT193">
        <v>-0.62036000000000002</v>
      </c>
      <c r="BU193">
        <v>1800</v>
      </c>
      <c r="BV193">
        <v>0.909999</v>
      </c>
      <c r="BW193">
        <v>3.4006799999999997E-2</v>
      </c>
      <c r="BX193">
        <v>2.1999399999999999E-2</v>
      </c>
      <c r="BY193">
        <v>3.3995200000000003E-2</v>
      </c>
      <c r="BZ193">
        <v>26</v>
      </c>
      <c r="CA193">
        <v>33528.400000000001</v>
      </c>
      <c r="CB193">
        <v>1690211922</v>
      </c>
      <c r="CC193" t="s">
        <v>332</v>
      </c>
      <c r="CD193">
        <v>1690211915</v>
      </c>
      <c r="CE193">
        <v>1690211922</v>
      </c>
      <c r="CF193">
        <v>6</v>
      </c>
      <c r="CG193">
        <v>1.0999999999999999E-2</v>
      </c>
      <c r="CH193">
        <v>8.0000000000000002E-3</v>
      </c>
      <c r="CI193">
        <v>-0.51100000000000001</v>
      </c>
      <c r="CJ193">
        <v>-6.6000000000000003E-2</v>
      </c>
      <c r="CK193">
        <v>800</v>
      </c>
      <c r="CL193">
        <v>6</v>
      </c>
      <c r="CM193">
        <v>0.21</v>
      </c>
      <c r="CN193">
        <v>0.02</v>
      </c>
      <c r="CO193">
        <v>-462.32119999999998</v>
      </c>
      <c r="CP193">
        <v>-2.891324577859987</v>
      </c>
      <c r="CQ193">
        <v>0.28641318056262888</v>
      </c>
      <c r="CR193">
        <v>-1</v>
      </c>
      <c r="CS193">
        <v>23.507967499999999</v>
      </c>
      <c r="CT193">
        <v>0.1210187617260384</v>
      </c>
      <c r="CU193">
        <v>1.175424152168046E-2</v>
      </c>
      <c r="CV193">
        <v>-1</v>
      </c>
      <c r="CW193">
        <v>0</v>
      </c>
      <c r="CX193">
        <v>0</v>
      </c>
      <c r="CY193" t="s">
        <v>333</v>
      </c>
      <c r="CZ193">
        <v>2.3643999999999998</v>
      </c>
      <c r="DA193">
        <v>2.71374</v>
      </c>
      <c r="DB193">
        <v>7.8345300000000007E-2</v>
      </c>
      <c r="DC193">
        <v>0.14607000000000001</v>
      </c>
      <c r="DD193">
        <v>0.13133800000000001</v>
      </c>
      <c r="DE193">
        <v>3.9013399999999997E-2</v>
      </c>
      <c r="DF193">
        <v>33636.400000000001</v>
      </c>
      <c r="DG193">
        <v>27497.599999999999</v>
      </c>
      <c r="DH193">
        <v>31156.5</v>
      </c>
      <c r="DI193">
        <v>28059.3</v>
      </c>
      <c r="DJ193">
        <v>36726.800000000003</v>
      </c>
      <c r="DK193">
        <v>38340.800000000003</v>
      </c>
      <c r="DL193">
        <v>44336.6</v>
      </c>
      <c r="DM193">
        <v>42522.3</v>
      </c>
      <c r="DN193">
        <v>1.38883</v>
      </c>
      <c r="DO193">
        <v>2.0337999999999998</v>
      </c>
      <c r="DP193">
        <v>8.1636E-2</v>
      </c>
      <c r="DQ193">
        <v>0.18618999999999999</v>
      </c>
      <c r="DR193">
        <v>25.661999999999999</v>
      </c>
      <c r="DS193">
        <v>25.536899999999999</v>
      </c>
      <c r="DT193">
        <v>17.600000000000001</v>
      </c>
      <c r="DU193">
        <v>29.7</v>
      </c>
      <c r="DV193">
        <v>7.4392199999999997</v>
      </c>
      <c r="DW193">
        <v>61.391199999999998</v>
      </c>
      <c r="DX193">
        <v>36.105800000000002</v>
      </c>
      <c r="DY193">
        <v>1</v>
      </c>
      <c r="DZ193">
        <v>-8.6239800000000005E-2</v>
      </c>
      <c r="EA193">
        <v>-0.28755700000000001</v>
      </c>
      <c r="EB193">
        <v>20.189299999999999</v>
      </c>
      <c r="EC193">
        <v>5.24125</v>
      </c>
      <c r="ED193">
        <v>12.039899999999999</v>
      </c>
      <c r="EE193">
        <v>5.0174000000000003</v>
      </c>
      <c r="EF193">
        <v>3.2879999999999998</v>
      </c>
      <c r="EG193">
        <v>9999</v>
      </c>
      <c r="EH193">
        <v>9999</v>
      </c>
      <c r="EI193">
        <v>9999</v>
      </c>
      <c r="EJ193">
        <v>999.9</v>
      </c>
      <c r="EK193">
        <v>1.8689</v>
      </c>
      <c r="EL193">
        <v>1.8646400000000001</v>
      </c>
      <c r="EM193">
        <v>1.8691899999999999</v>
      </c>
      <c r="EN193">
        <v>1.8672500000000001</v>
      </c>
      <c r="EO193">
        <v>1.8633999999999999</v>
      </c>
      <c r="EP193">
        <v>1.8645499999999999</v>
      </c>
      <c r="EQ193">
        <v>1.8701700000000001</v>
      </c>
      <c r="ER193">
        <v>1.8694200000000001</v>
      </c>
      <c r="ES193">
        <v>0</v>
      </c>
      <c r="ET193">
        <v>0</v>
      </c>
      <c r="EU193">
        <v>0</v>
      </c>
      <c r="EV193">
        <v>0</v>
      </c>
      <c r="EW193" t="s">
        <v>334</v>
      </c>
      <c r="EX193" t="s">
        <v>335</v>
      </c>
      <c r="EY193" t="s">
        <v>336</v>
      </c>
      <c r="EZ193" t="s">
        <v>336</v>
      </c>
      <c r="FA193" t="s">
        <v>336</v>
      </c>
      <c r="FB193" t="s">
        <v>336</v>
      </c>
      <c r="FC193">
        <v>0</v>
      </c>
      <c r="FD193">
        <v>100</v>
      </c>
      <c r="FE193">
        <v>100</v>
      </c>
      <c r="FF193">
        <v>-0.184</v>
      </c>
      <c r="FG193">
        <v>0.19159999999999999</v>
      </c>
      <c r="FH193">
        <v>4.0020685143421282E-2</v>
      </c>
      <c r="FI193">
        <v>-6.1462078757559423E-4</v>
      </c>
      <c r="FJ193">
        <v>-1.8861989874597051E-7</v>
      </c>
      <c r="FK193">
        <v>1.1980462299894961E-10</v>
      </c>
      <c r="FL193">
        <v>0.19160597004026461</v>
      </c>
      <c r="FM193">
        <v>0</v>
      </c>
      <c r="FN193">
        <v>0</v>
      </c>
      <c r="FO193">
        <v>0</v>
      </c>
      <c r="FP193">
        <v>3</v>
      </c>
      <c r="FQ193">
        <v>2158</v>
      </c>
      <c r="FR193">
        <v>1</v>
      </c>
      <c r="FS193">
        <v>19</v>
      </c>
      <c r="FT193">
        <v>37.700000000000003</v>
      </c>
      <c r="FU193">
        <v>37.6</v>
      </c>
      <c r="FV193">
        <v>1.77979</v>
      </c>
      <c r="FW193">
        <v>2.5769000000000002</v>
      </c>
      <c r="FX193">
        <v>1.5490699999999999</v>
      </c>
      <c r="FY193">
        <v>2.3290999999999999</v>
      </c>
      <c r="FZ193">
        <v>1.50146</v>
      </c>
      <c r="GA193">
        <v>2.33765</v>
      </c>
      <c r="GB193">
        <v>33.850900000000003</v>
      </c>
      <c r="GC193">
        <v>23.982399999999998</v>
      </c>
      <c r="GD193">
        <v>19</v>
      </c>
      <c r="GE193">
        <v>247.71100000000001</v>
      </c>
      <c r="GF193">
        <v>581.91499999999996</v>
      </c>
      <c r="GG193">
        <v>25.5472</v>
      </c>
      <c r="GH193">
        <v>26.3064</v>
      </c>
      <c r="GI193">
        <v>30.0002</v>
      </c>
      <c r="GJ193">
        <v>26.4435</v>
      </c>
      <c r="GK193">
        <v>26.4162</v>
      </c>
      <c r="GL193">
        <v>35.580500000000001</v>
      </c>
      <c r="GM193">
        <v>-30</v>
      </c>
      <c r="GN193">
        <v>-30</v>
      </c>
      <c r="GO193">
        <v>25.548300000000001</v>
      </c>
      <c r="GP193">
        <v>800</v>
      </c>
      <c r="GQ193">
        <v>12.5298</v>
      </c>
      <c r="GR193">
        <v>99.684899999999999</v>
      </c>
      <c r="GS193">
        <v>99.48</v>
      </c>
    </row>
    <row r="194" spans="1:201" x14ac:dyDescent="0.25">
      <c r="A194">
        <v>178</v>
      </c>
      <c r="B194">
        <v>1690214186</v>
      </c>
      <c r="C194">
        <v>1918.5</v>
      </c>
      <c r="D194" t="s">
        <v>687</v>
      </c>
      <c r="E194" t="s">
        <v>688</v>
      </c>
      <c r="F194" t="s">
        <v>330</v>
      </c>
      <c r="H194">
        <v>1690214186</v>
      </c>
      <c r="I194">
        <f t="shared" si="60"/>
        <v>2.109388979757524E-3</v>
      </c>
      <c r="J194">
        <f t="shared" si="61"/>
        <v>2.109388979757524</v>
      </c>
      <c r="K194">
        <f t="shared" si="62"/>
        <v>39.62585375259156</v>
      </c>
      <c r="L194">
        <f t="shared" si="63"/>
        <v>336.39600000000002</v>
      </c>
      <c r="M194">
        <f t="shared" si="64"/>
        <v>26.625324418194634</v>
      </c>
      <c r="N194">
        <f t="shared" si="65"/>
        <v>2.6407247036014967</v>
      </c>
      <c r="O194">
        <f t="shared" si="66"/>
        <v>33.364071492240001</v>
      </c>
      <c r="P194">
        <f t="shared" si="67"/>
        <v>0.21723328122895777</v>
      </c>
      <c r="Q194">
        <f t="shared" si="68"/>
        <v>2.0096966401318102</v>
      </c>
      <c r="R194">
        <f t="shared" si="69"/>
        <v>0.20498034344250965</v>
      </c>
      <c r="S194">
        <f t="shared" si="70"/>
        <v>0.12915596438565494</v>
      </c>
      <c r="T194">
        <f t="shared" si="71"/>
        <v>276.11523603000001</v>
      </c>
      <c r="U194">
        <f t="shared" si="72"/>
        <v>28.496936827745891</v>
      </c>
      <c r="V194">
        <f t="shared" si="73"/>
        <v>28.496936827745891</v>
      </c>
      <c r="W194">
        <f t="shared" si="74"/>
        <v>3.9061742831438155</v>
      </c>
      <c r="X194">
        <f t="shared" si="75"/>
        <v>81.741450285015475</v>
      </c>
      <c r="Y194">
        <f t="shared" si="76"/>
        <v>2.9206604849320001</v>
      </c>
      <c r="Z194">
        <f t="shared" si="77"/>
        <v>3.5730470584364031</v>
      </c>
      <c r="AA194">
        <f t="shared" si="78"/>
        <v>0.98551379821181539</v>
      </c>
      <c r="AB194">
        <f t="shared" si="79"/>
        <v>-93.024054007306816</v>
      </c>
      <c r="AC194">
        <f t="shared" si="80"/>
        <v>-165.3411539581509</v>
      </c>
      <c r="AD194">
        <f t="shared" si="81"/>
        <v>-17.885937148618606</v>
      </c>
      <c r="AE194">
        <f t="shared" si="82"/>
        <v>-0.13590908407630309</v>
      </c>
      <c r="AF194">
        <v>32</v>
      </c>
      <c r="AG194">
        <v>11</v>
      </c>
      <c r="AH194">
        <f t="shared" si="83"/>
        <v>1</v>
      </c>
      <c r="AI194">
        <f t="shared" si="84"/>
        <v>0</v>
      </c>
      <c r="AJ194">
        <f t="shared" si="85"/>
        <v>52292.603410181429</v>
      </c>
      <c r="AK194">
        <f t="shared" si="86"/>
        <v>1800</v>
      </c>
      <c r="AL194">
        <f t="shared" si="87"/>
        <v>1499.1112169999999</v>
      </c>
      <c r="AM194">
        <f t="shared" si="88"/>
        <v>0.832839565</v>
      </c>
      <c r="AN194">
        <f t="shared" si="89"/>
        <v>0.15339735334999999</v>
      </c>
      <c r="AO194">
        <v>34.5</v>
      </c>
      <c r="AP194">
        <v>0.5</v>
      </c>
      <c r="AQ194" t="s">
        <v>331</v>
      </c>
      <c r="AR194">
        <v>2</v>
      </c>
      <c r="AS194">
        <v>1690214186</v>
      </c>
      <c r="AT194">
        <v>336.39600000000002</v>
      </c>
      <c r="AU194">
        <v>799.97699999999998</v>
      </c>
      <c r="AV194">
        <v>29.447800000000001</v>
      </c>
      <c r="AW194">
        <v>5.9182100000000002</v>
      </c>
      <c r="AX194">
        <v>336.58</v>
      </c>
      <c r="AY194">
        <v>29.2562</v>
      </c>
      <c r="AZ194">
        <v>300.17899999999997</v>
      </c>
      <c r="BA194">
        <v>99.0809</v>
      </c>
      <c r="BB194">
        <v>0.10004</v>
      </c>
      <c r="BC194">
        <v>26.9709</v>
      </c>
      <c r="BD194">
        <v>27.006799999999998</v>
      </c>
      <c r="BE194">
        <v>28.592099999999999</v>
      </c>
      <c r="BF194">
        <v>0</v>
      </c>
      <c r="BG194">
        <v>0</v>
      </c>
      <c r="BH194">
        <v>9979.3799999999992</v>
      </c>
      <c r="BI194">
        <v>1077.45</v>
      </c>
      <c r="BJ194">
        <v>2.0688399999999998</v>
      </c>
      <c r="BK194">
        <v>-463.58100000000002</v>
      </c>
      <c r="BL194">
        <v>346.60300000000001</v>
      </c>
      <c r="BM194">
        <v>804.74</v>
      </c>
      <c r="BN194">
        <v>23.529599999999999</v>
      </c>
      <c r="BO194">
        <v>799.97699999999998</v>
      </c>
      <c r="BP194">
        <v>5.9182100000000002</v>
      </c>
      <c r="BQ194">
        <v>2.91771</v>
      </c>
      <c r="BR194">
        <v>0.58638100000000004</v>
      </c>
      <c r="BS194">
        <v>23.5656</v>
      </c>
      <c r="BT194">
        <v>-0.62419899999999995</v>
      </c>
      <c r="BU194">
        <v>1800</v>
      </c>
      <c r="BV194">
        <v>0.91</v>
      </c>
      <c r="BW194">
        <v>3.4006300000000003E-2</v>
      </c>
      <c r="BX194">
        <v>2.1999000000000001E-2</v>
      </c>
      <c r="BY194">
        <v>3.3994700000000003E-2</v>
      </c>
      <c r="BZ194">
        <v>26</v>
      </c>
      <c r="CA194">
        <v>33528.300000000003</v>
      </c>
      <c r="CB194">
        <v>1690211922</v>
      </c>
      <c r="CC194" t="s">
        <v>332</v>
      </c>
      <c r="CD194">
        <v>1690211915</v>
      </c>
      <c r="CE194">
        <v>1690211922</v>
      </c>
      <c r="CF194">
        <v>6</v>
      </c>
      <c r="CG194">
        <v>1.0999999999999999E-2</v>
      </c>
      <c r="CH194">
        <v>8.0000000000000002E-3</v>
      </c>
      <c r="CI194">
        <v>-0.51100000000000001</v>
      </c>
      <c r="CJ194">
        <v>-6.6000000000000003E-2</v>
      </c>
      <c r="CK194">
        <v>800</v>
      </c>
      <c r="CL194">
        <v>6</v>
      </c>
      <c r="CM194">
        <v>0.21</v>
      </c>
      <c r="CN194">
        <v>0.02</v>
      </c>
      <c r="CO194">
        <v>-462.85784999999998</v>
      </c>
      <c r="CP194">
        <v>-3.6433395872419418</v>
      </c>
      <c r="CQ194">
        <v>0.3555676131202018</v>
      </c>
      <c r="CR194">
        <v>-1</v>
      </c>
      <c r="CS194">
        <v>23.522839999999999</v>
      </c>
      <c r="CT194">
        <v>5.4439024390223349E-2</v>
      </c>
      <c r="CU194">
        <v>5.6392730027905119E-3</v>
      </c>
      <c r="CV194">
        <v>-1</v>
      </c>
      <c r="CW194">
        <v>0</v>
      </c>
      <c r="CX194">
        <v>0</v>
      </c>
      <c r="CY194" t="s">
        <v>333</v>
      </c>
      <c r="CZ194">
        <v>2.3644599999999998</v>
      </c>
      <c r="DA194">
        <v>2.7138100000000001</v>
      </c>
      <c r="DB194">
        <v>7.8216300000000002E-2</v>
      </c>
      <c r="DC194">
        <v>0.146062</v>
      </c>
      <c r="DD194">
        <v>0.13134899999999999</v>
      </c>
      <c r="DE194">
        <v>3.90046E-2</v>
      </c>
      <c r="DF194">
        <v>33641.300000000003</v>
      </c>
      <c r="DG194">
        <v>27498.400000000001</v>
      </c>
      <c r="DH194">
        <v>31156.7</v>
      </c>
      <c r="DI194">
        <v>28059.9</v>
      </c>
      <c r="DJ194">
        <v>36726.400000000001</v>
      </c>
      <c r="DK194">
        <v>38341.9</v>
      </c>
      <c r="DL194">
        <v>44336.7</v>
      </c>
      <c r="DM194">
        <v>42523.1</v>
      </c>
      <c r="DN194">
        <v>1.3889199999999999</v>
      </c>
      <c r="DO194">
        <v>2.0338699999999998</v>
      </c>
      <c r="DP194">
        <v>8.1986199999999995E-2</v>
      </c>
      <c r="DQ194">
        <v>0.186585</v>
      </c>
      <c r="DR194">
        <v>25.6646</v>
      </c>
      <c r="DS194">
        <v>25.541</v>
      </c>
      <c r="DT194">
        <v>17.600000000000001</v>
      </c>
      <c r="DU194">
        <v>29.7</v>
      </c>
      <c r="DV194">
        <v>7.4378299999999999</v>
      </c>
      <c r="DW194">
        <v>61.651200000000003</v>
      </c>
      <c r="DX194">
        <v>36.021599999999999</v>
      </c>
      <c r="DY194">
        <v>1</v>
      </c>
      <c r="DZ194">
        <v>-8.6277900000000005E-2</v>
      </c>
      <c r="EA194">
        <v>-0.29474699999999998</v>
      </c>
      <c r="EB194">
        <v>20.1892</v>
      </c>
      <c r="EC194">
        <v>5.2413999999999996</v>
      </c>
      <c r="ED194">
        <v>12.039899999999999</v>
      </c>
      <c r="EE194">
        <v>5.0172499999999998</v>
      </c>
      <c r="EF194">
        <v>3.2879999999999998</v>
      </c>
      <c r="EG194">
        <v>9999</v>
      </c>
      <c r="EH194">
        <v>9999</v>
      </c>
      <c r="EI194">
        <v>9999</v>
      </c>
      <c r="EJ194">
        <v>999.9</v>
      </c>
      <c r="EK194">
        <v>1.8689199999999999</v>
      </c>
      <c r="EL194">
        <v>1.86466</v>
      </c>
      <c r="EM194">
        <v>1.8692</v>
      </c>
      <c r="EN194">
        <v>1.8672599999999999</v>
      </c>
      <c r="EO194">
        <v>1.8633999999999999</v>
      </c>
      <c r="EP194">
        <v>1.86459</v>
      </c>
      <c r="EQ194">
        <v>1.8701700000000001</v>
      </c>
      <c r="ER194">
        <v>1.8694500000000001</v>
      </c>
      <c r="ES194">
        <v>0</v>
      </c>
      <c r="ET194">
        <v>0</v>
      </c>
      <c r="EU194">
        <v>0</v>
      </c>
      <c r="EV194">
        <v>0</v>
      </c>
      <c r="EW194" t="s">
        <v>334</v>
      </c>
      <c r="EX194" t="s">
        <v>335</v>
      </c>
      <c r="EY194" t="s">
        <v>336</v>
      </c>
      <c r="EZ194" t="s">
        <v>336</v>
      </c>
      <c r="FA194" t="s">
        <v>336</v>
      </c>
      <c r="FB194" t="s">
        <v>336</v>
      </c>
      <c r="FC194">
        <v>0</v>
      </c>
      <c r="FD194">
        <v>100</v>
      </c>
      <c r="FE194">
        <v>100</v>
      </c>
      <c r="FF194">
        <v>-0.184</v>
      </c>
      <c r="FG194">
        <v>0.19159999999999999</v>
      </c>
      <c r="FH194">
        <v>4.0020685143421282E-2</v>
      </c>
      <c r="FI194">
        <v>-6.1462078757559423E-4</v>
      </c>
      <c r="FJ194">
        <v>-1.8861989874597051E-7</v>
      </c>
      <c r="FK194">
        <v>1.1980462299894961E-10</v>
      </c>
      <c r="FL194">
        <v>0.19160597004026461</v>
      </c>
      <c r="FM194">
        <v>0</v>
      </c>
      <c r="FN194">
        <v>0</v>
      </c>
      <c r="FO194">
        <v>0</v>
      </c>
      <c r="FP194">
        <v>3</v>
      </c>
      <c r="FQ194">
        <v>2158</v>
      </c>
      <c r="FR194">
        <v>1</v>
      </c>
      <c r="FS194">
        <v>19</v>
      </c>
      <c r="FT194">
        <v>37.9</v>
      </c>
      <c r="FU194">
        <v>37.700000000000003</v>
      </c>
      <c r="FV194">
        <v>1.77979</v>
      </c>
      <c r="FW194">
        <v>2.5756800000000002</v>
      </c>
      <c r="FX194">
        <v>1.5490699999999999</v>
      </c>
      <c r="FY194">
        <v>2.3290999999999999</v>
      </c>
      <c r="FZ194">
        <v>1.50146</v>
      </c>
      <c r="GA194">
        <v>2.3327599999999999</v>
      </c>
      <c r="GB194">
        <v>33.850900000000003</v>
      </c>
      <c r="GC194">
        <v>23.982399999999998</v>
      </c>
      <c r="GD194">
        <v>19</v>
      </c>
      <c r="GE194">
        <v>247.74199999999999</v>
      </c>
      <c r="GF194">
        <v>581.97699999999998</v>
      </c>
      <c r="GG194">
        <v>25.551200000000001</v>
      </c>
      <c r="GH194">
        <v>26.304200000000002</v>
      </c>
      <c r="GI194">
        <v>30.0001</v>
      </c>
      <c r="GJ194">
        <v>26.441299999999998</v>
      </c>
      <c r="GK194">
        <v>26.4162</v>
      </c>
      <c r="GL194">
        <v>35.5794</v>
      </c>
      <c r="GM194">
        <v>-30</v>
      </c>
      <c r="GN194">
        <v>-30</v>
      </c>
      <c r="GO194">
        <v>25.554600000000001</v>
      </c>
      <c r="GP194">
        <v>800</v>
      </c>
      <c r="GQ194">
        <v>12.5298</v>
      </c>
      <c r="GR194">
        <v>99.685199999999995</v>
      </c>
      <c r="GS194">
        <v>99.481899999999996</v>
      </c>
    </row>
    <row r="195" spans="1:201" x14ac:dyDescent="0.25">
      <c r="A195">
        <v>179</v>
      </c>
      <c r="B195">
        <v>1690214196</v>
      </c>
      <c r="C195">
        <v>1928.5</v>
      </c>
      <c r="D195" t="s">
        <v>689</v>
      </c>
      <c r="E195" t="s">
        <v>690</v>
      </c>
      <c r="F195" t="s">
        <v>330</v>
      </c>
      <c r="H195">
        <v>1690214196</v>
      </c>
      <c r="I195">
        <f t="shared" si="60"/>
        <v>2.1101956085385416E-3</v>
      </c>
      <c r="J195">
        <f t="shared" si="61"/>
        <v>2.1101956085385418</v>
      </c>
      <c r="K195">
        <f t="shared" si="62"/>
        <v>39.6584812019221</v>
      </c>
      <c r="L195">
        <f t="shared" si="63"/>
        <v>335.99400000000003</v>
      </c>
      <c r="M195">
        <f t="shared" si="64"/>
        <v>26.015814433178932</v>
      </c>
      <c r="N195">
        <f t="shared" si="65"/>
        <v>2.5803010274278413</v>
      </c>
      <c r="O195">
        <f t="shared" si="66"/>
        <v>33.324563627880003</v>
      </c>
      <c r="P195">
        <f t="shared" si="67"/>
        <v>0.2172724248501415</v>
      </c>
      <c r="Q195">
        <f t="shared" si="68"/>
        <v>2.0076737605663668</v>
      </c>
      <c r="R195">
        <f t="shared" si="69"/>
        <v>0.20500360322716665</v>
      </c>
      <c r="S195">
        <f t="shared" si="70"/>
        <v>0.12917178958589354</v>
      </c>
      <c r="T195">
        <f t="shared" si="71"/>
        <v>276.11373953225831</v>
      </c>
      <c r="U195">
        <f t="shared" si="72"/>
        <v>28.502309606042417</v>
      </c>
      <c r="V195">
        <f t="shared" si="73"/>
        <v>28.502309606042417</v>
      </c>
      <c r="W195">
        <f t="shared" si="74"/>
        <v>3.9073934112029791</v>
      </c>
      <c r="X195">
        <f t="shared" si="75"/>
        <v>81.747503617809969</v>
      </c>
      <c r="Y195">
        <f t="shared" si="76"/>
        <v>2.9216146813420001</v>
      </c>
      <c r="Z195">
        <f t="shared" si="77"/>
        <v>3.5739497257326409</v>
      </c>
      <c r="AA195">
        <f t="shared" si="78"/>
        <v>0.98577872986097903</v>
      </c>
      <c r="AB195">
        <f t="shared" si="79"/>
        <v>-93.059626336549684</v>
      </c>
      <c r="AC195">
        <f t="shared" si="80"/>
        <v>-165.29084328632149</v>
      </c>
      <c r="AD195">
        <f t="shared" si="81"/>
        <v>-17.899374363794948</v>
      </c>
      <c r="AE195">
        <f t="shared" si="82"/>
        <v>-0.13610445440781405</v>
      </c>
      <c r="AF195">
        <v>32</v>
      </c>
      <c r="AG195">
        <v>11</v>
      </c>
      <c r="AH195">
        <f t="shared" si="83"/>
        <v>1</v>
      </c>
      <c r="AI195">
        <f t="shared" si="84"/>
        <v>0</v>
      </c>
      <c r="AJ195">
        <f t="shared" si="85"/>
        <v>52194.954876512318</v>
      </c>
      <c r="AK195">
        <f t="shared" si="86"/>
        <v>1799.99</v>
      </c>
      <c r="AL195">
        <f t="shared" si="87"/>
        <v>1499.1037201997299</v>
      </c>
      <c r="AM195">
        <f t="shared" si="88"/>
        <v>0.83284002699999993</v>
      </c>
      <c r="AN195">
        <f t="shared" si="89"/>
        <v>0.15339737416999999</v>
      </c>
      <c r="AO195">
        <v>34.5</v>
      </c>
      <c r="AP195">
        <v>0.5</v>
      </c>
      <c r="AQ195" t="s">
        <v>331</v>
      </c>
      <c r="AR195">
        <v>2</v>
      </c>
      <c r="AS195">
        <v>1690214196</v>
      </c>
      <c r="AT195">
        <v>335.99400000000003</v>
      </c>
      <c r="AU195">
        <v>799.96500000000003</v>
      </c>
      <c r="AV195">
        <v>29.457100000000001</v>
      </c>
      <c r="AW195">
        <v>5.9176399999999996</v>
      </c>
      <c r="AX195">
        <v>336.17700000000002</v>
      </c>
      <c r="AY195">
        <v>29.265499999999999</v>
      </c>
      <c r="AZ195">
        <v>300.16500000000002</v>
      </c>
      <c r="BA195">
        <v>99.081999999999994</v>
      </c>
      <c r="BB195">
        <v>0.10002</v>
      </c>
      <c r="BC195">
        <v>26.975200000000001</v>
      </c>
      <c r="BD195">
        <v>26.994</v>
      </c>
      <c r="BE195">
        <v>28.599799999999998</v>
      </c>
      <c r="BF195">
        <v>0</v>
      </c>
      <c r="BG195">
        <v>0</v>
      </c>
      <c r="BH195">
        <v>9960</v>
      </c>
      <c r="BI195">
        <v>1077.26</v>
      </c>
      <c r="BJ195">
        <v>2.0744500000000001</v>
      </c>
      <c r="BK195">
        <v>-463.971</v>
      </c>
      <c r="BL195">
        <v>346.19200000000001</v>
      </c>
      <c r="BM195">
        <v>804.72699999999998</v>
      </c>
      <c r="BN195">
        <v>23.5395</v>
      </c>
      <c r="BO195">
        <v>799.96500000000003</v>
      </c>
      <c r="BP195">
        <v>5.9176399999999996</v>
      </c>
      <c r="BQ195">
        <v>2.9186700000000001</v>
      </c>
      <c r="BR195">
        <v>0.58633199999999996</v>
      </c>
      <c r="BS195">
        <v>23.571100000000001</v>
      </c>
      <c r="BT195">
        <v>-0.62534500000000004</v>
      </c>
      <c r="BU195">
        <v>1799.99</v>
      </c>
      <c r="BV195">
        <v>0.91000199999999998</v>
      </c>
      <c r="BW195">
        <v>3.40057E-2</v>
      </c>
      <c r="BX195">
        <v>2.19986E-2</v>
      </c>
      <c r="BY195">
        <v>3.3994099999999999E-2</v>
      </c>
      <c r="BZ195">
        <v>26</v>
      </c>
      <c r="CA195">
        <v>33528.199999999997</v>
      </c>
      <c r="CB195">
        <v>1690211922</v>
      </c>
      <c r="CC195" t="s">
        <v>332</v>
      </c>
      <c r="CD195">
        <v>1690211915</v>
      </c>
      <c r="CE195">
        <v>1690211922</v>
      </c>
      <c r="CF195">
        <v>6</v>
      </c>
      <c r="CG195">
        <v>1.0999999999999999E-2</v>
      </c>
      <c r="CH195">
        <v>8.0000000000000002E-3</v>
      </c>
      <c r="CI195">
        <v>-0.51100000000000001</v>
      </c>
      <c r="CJ195">
        <v>-6.6000000000000003E-2</v>
      </c>
      <c r="CK195">
        <v>800</v>
      </c>
      <c r="CL195">
        <v>6</v>
      </c>
      <c r="CM195">
        <v>0.21</v>
      </c>
      <c r="CN195">
        <v>0.02</v>
      </c>
      <c r="CO195">
        <v>-463.41453658536568</v>
      </c>
      <c r="CP195">
        <v>-3.2297351916373942</v>
      </c>
      <c r="CQ195">
        <v>0.32478323709904228</v>
      </c>
      <c r="CR195">
        <v>-1</v>
      </c>
      <c r="CS195">
        <v>23.52999512195122</v>
      </c>
      <c r="CT195">
        <v>4.1688501742117051E-2</v>
      </c>
      <c r="CU195">
        <v>4.2642559308354883E-3</v>
      </c>
      <c r="CV195">
        <v>-1</v>
      </c>
      <c r="CW195">
        <v>0</v>
      </c>
      <c r="CX195">
        <v>0</v>
      </c>
      <c r="CY195" t="s">
        <v>333</v>
      </c>
      <c r="CZ195">
        <v>2.36442</v>
      </c>
      <c r="DA195">
        <v>2.7137799999999999</v>
      </c>
      <c r="DB195">
        <v>7.8143199999999996E-2</v>
      </c>
      <c r="DC195">
        <v>0.146063</v>
      </c>
      <c r="DD195">
        <v>0.13138</v>
      </c>
      <c r="DE195">
        <v>3.90024E-2</v>
      </c>
      <c r="DF195">
        <v>33643.699999999997</v>
      </c>
      <c r="DG195">
        <v>27498.2</v>
      </c>
      <c r="DH195">
        <v>31156.400000000001</v>
      </c>
      <c r="DI195">
        <v>28059.7</v>
      </c>
      <c r="DJ195">
        <v>36724.6</v>
      </c>
      <c r="DK195">
        <v>38341.800000000003</v>
      </c>
      <c r="DL195">
        <v>44336.2</v>
      </c>
      <c r="DM195">
        <v>42522.8</v>
      </c>
      <c r="DN195">
        <v>1.3891500000000001</v>
      </c>
      <c r="DO195">
        <v>2.03417</v>
      </c>
      <c r="DP195">
        <v>8.10921E-2</v>
      </c>
      <c r="DQ195">
        <v>0.186861</v>
      </c>
      <c r="DR195">
        <v>25.666399999999999</v>
      </c>
      <c r="DS195">
        <v>25.5442</v>
      </c>
      <c r="DT195">
        <v>17.600000000000001</v>
      </c>
      <c r="DU195">
        <v>29.7</v>
      </c>
      <c r="DV195">
        <v>7.4387699999999999</v>
      </c>
      <c r="DW195">
        <v>61.8812</v>
      </c>
      <c r="DX195">
        <v>36.053699999999999</v>
      </c>
      <c r="DY195">
        <v>1</v>
      </c>
      <c r="DZ195">
        <v>-8.6262699999999998E-2</v>
      </c>
      <c r="EA195">
        <v>-0.24723000000000001</v>
      </c>
      <c r="EB195">
        <v>20.1892</v>
      </c>
      <c r="EC195">
        <v>5.2411000000000003</v>
      </c>
      <c r="ED195">
        <v>12.039899999999999</v>
      </c>
      <c r="EE195">
        <v>5.01715</v>
      </c>
      <c r="EF195">
        <v>3.2879999999999998</v>
      </c>
      <c r="EG195">
        <v>9999</v>
      </c>
      <c r="EH195">
        <v>9999</v>
      </c>
      <c r="EI195">
        <v>9999</v>
      </c>
      <c r="EJ195">
        <v>999.9</v>
      </c>
      <c r="EK195">
        <v>1.86894</v>
      </c>
      <c r="EL195">
        <v>1.8646799999999999</v>
      </c>
      <c r="EM195">
        <v>1.8692</v>
      </c>
      <c r="EN195">
        <v>1.8672500000000001</v>
      </c>
      <c r="EO195">
        <v>1.8633999999999999</v>
      </c>
      <c r="EP195">
        <v>1.86459</v>
      </c>
      <c r="EQ195">
        <v>1.87019</v>
      </c>
      <c r="ER195">
        <v>1.86947</v>
      </c>
      <c r="ES195">
        <v>0</v>
      </c>
      <c r="ET195">
        <v>0</v>
      </c>
      <c r="EU195">
        <v>0</v>
      </c>
      <c r="EV195">
        <v>0</v>
      </c>
      <c r="EW195" t="s">
        <v>334</v>
      </c>
      <c r="EX195" t="s">
        <v>335</v>
      </c>
      <c r="EY195" t="s">
        <v>336</v>
      </c>
      <c r="EZ195" t="s">
        <v>336</v>
      </c>
      <c r="FA195" t="s">
        <v>336</v>
      </c>
      <c r="FB195" t="s">
        <v>336</v>
      </c>
      <c r="FC195">
        <v>0</v>
      </c>
      <c r="FD195">
        <v>100</v>
      </c>
      <c r="FE195">
        <v>100</v>
      </c>
      <c r="FF195">
        <v>-0.183</v>
      </c>
      <c r="FG195">
        <v>0.19159999999999999</v>
      </c>
      <c r="FH195">
        <v>4.0020685143421282E-2</v>
      </c>
      <c r="FI195">
        <v>-6.1462078757559423E-4</v>
      </c>
      <c r="FJ195">
        <v>-1.8861989874597051E-7</v>
      </c>
      <c r="FK195">
        <v>1.1980462299894961E-10</v>
      </c>
      <c r="FL195">
        <v>0.19160597004026461</v>
      </c>
      <c r="FM195">
        <v>0</v>
      </c>
      <c r="FN195">
        <v>0</v>
      </c>
      <c r="FO195">
        <v>0</v>
      </c>
      <c r="FP195">
        <v>3</v>
      </c>
      <c r="FQ195">
        <v>2158</v>
      </c>
      <c r="FR195">
        <v>1</v>
      </c>
      <c r="FS195">
        <v>19</v>
      </c>
      <c r="FT195">
        <v>38</v>
      </c>
      <c r="FU195">
        <v>37.9</v>
      </c>
      <c r="FV195">
        <v>1.77979</v>
      </c>
      <c r="FW195">
        <v>2.5756800000000002</v>
      </c>
      <c r="FX195">
        <v>1.5490699999999999</v>
      </c>
      <c r="FY195">
        <v>2.3290999999999999</v>
      </c>
      <c r="FZ195">
        <v>1.50146</v>
      </c>
      <c r="GA195">
        <v>2.3803700000000001</v>
      </c>
      <c r="GB195">
        <v>33.850900000000003</v>
      </c>
      <c r="GC195">
        <v>23.982399999999998</v>
      </c>
      <c r="GD195">
        <v>19</v>
      </c>
      <c r="GE195">
        <v>247.82900000000001</v>
      </c>
      <c r="GF195">
        <v>582.19899999999996</v>
      </c>
      <c r="GG195">
        <v>25.543399999999998</v>
      </c>
      <c r="GH195">
        <v>26.304200000000002</v>
      </c>
      <c r="GI195">
        <v>30.0001</v>
      </c>
      <c r="GJ195">
        <v>26.441299999999998</v>
      </c>
      <c r="GK195">
        <v>26.414000000000001</v>
      </c>
      <c r="GL195">
        <v>35.580399999999997</v>
      </c>
      <c r="GM195">
        <v>-30</v>
      </c>
      <c r="GN195">
        <v>-30</v>
      </c>
      <c r="GO195">
        <v>25.540700000000001</v>
      </c>
      <c r="GP195">
        <v>800</v>
      </c>
      <c r="GQ195">
        <v>12.5298</v>
      </c>
      <c r="GR195">
        <v>99.684100000000001</v>
      </c>
      <c r="GS195">
        <v>99.481200000000001</v>
      </c>
    </row>
    <row r="196" spans="1:201" x14ac:dyDescent="0.25">
      <c r="A196">
        <v>180</v>
      </c>
      <c r="B196">
        <v>1690214206</v>
      </c>
      <c r="C196">
        <v>1938.5</v>
      </c>
      <c r="D196" t="s">
        <v>691</v>
      </c>
      <c r="E196" t="s">
        <v>692</v>
      </c>
      <c r="F196" t="s">
        <v>330</v>
      </c>
      <c r="H196">
        <v>1690214206</v>
      </c>
      <c r="I196">
        <f t="shared" si="60"/>
        <v>2.1108207537389469E-3</v>
      </c>
      <c r="J196">
        <f t="shared" si="61"/>
        <v>2.1108207537389467</v>
      </c>
      <c r="K196">
        <f t="shared" si="62"/>
        <v>39.718089360553641</v>
      </c>
      <c r="L196">
        <f t="shared" si="63"/>
        <v>335.41</v>
      </c>
      <c r="M196">
        <f t="shared" si="64"/>
        <v>25.492885224800911</v>
      </c>
      <c r="N196">
        <f t="shared" si="65"/>
        <v>2.5282423102392819</v>
      </c>
      <c r="O196">
        <f t="shared" si="66"/>
        <v>33.26409489548</v>
      </c>
      <c r="P196">
        <f t="shared" si="67"/>
        <v>0.21761895772906131</v>
      </c>
      <c r="Q196">
        <f t="shared" si="68"/>
        <v>2.013555379832725</v>
      </c>
      <c r="R196">
        <f t="shared" si="69"/>
        <v>0.2053459309851329</v>
      </c>
      <c r="S196">
        <f t="shared" si="70"/>
        <v>0.12938617488017129</v>
      </c>
      <c r="T196">
        <f t="shared" si="71"/>
        <v>276.11359328307083</v>
      </c>
      <c r="U196">
        <f t="shared" si="72"/>
        <v>28.49675193360023</v>
      </c>
      <c r="V196">
        <f t="shared" si="73"/>
        <v>28.49675193360023</v>
      </c>
      <c r="W196">
        <f t="shared" si="74"/>
        <v>3.9061323350308554</v>
      </c>
      <c r="X196">
        <f t="shared" si="75"/>
        <v>81.758311746426131</v>
      </c>
      <c r="Y196">
        <f t="shared" si="76"/>
        <v>2.9217778233079996</v>
      </c>
      <c r="Z196">
        <f t="shared" si="77"/>
        <v>3.5736768053258126</v>
      </c>
      <c r="AA196">
        <f t="shared" si="78"/>
        <v>0.98435451172285582</v>
      </c>
      <c r="AB196">
        <f t="shared" si="79"/>
        <v>-93.087195239887564</v>
      </c>
      <c r="AC196">
        <f t="shared" si="80"/>
        <v>-165.31288348391223</v>
      </c>
      <c r="AD196">
        <f t="shared" si="81"/>
        <v>-17.848858686324412</v>
      </c>
      <c r="AE196">
        <f t="shared" si="82"/>
        <v>-0.1353441270534006</v>
      </c>
      <c r="AF196">
        <v>32</v>
      </c>
      <c r="AG196">
        <v>11</v>
      </c>
      <c r="AH196">
        <f t="shared" si="83"/>
        <v>1</v>
      </c>
      <c r="AI196">
        <f t="shared" si="84"/>
        <v>0</v>
      </c>
      <c r="AJ196">
        <f t="shared" si="85"/>
        <v>52477.201487233549</v>
      </c>
      <c r="AK196">
        <f t="shared" si="86"/>
        <v>1799.99</v>
      </c>
      <c r="AL196">
        <f t="shared" si="87"/>
        <v>1499.10373819963</v>
      </c>
      <c r="AM196">
        <f t="shared" si="88"/>
        <v>0.83284003699999998</v>
      </c>
      <c r="AN196">
        <f t="shared" si="89"/>
        <v>0.15339729292000001</v>
      </c>
      <c r="AO196">
        <v>34.5</v>
      </c>
      <c r="AP196">
        <v>0.5</v>
      </c>
      <c r="AQ196" t="s">
        <v>331</v>
      </c>
      <c r="AR196">
        <v>2</v>
      </c>
      <c r="AS196">
        <v>1690214206</v>
      </c>
      <c r="AT196">
        <v>335.41</v>
      </c>
      <c r="AU196">
        <v>799.99400000000003</v>
      </c>
      <c r="AV196">
        <v>29.460999999999999</v>
      </c>
      <c r="AW196">
        <v>5.9177200000000001</v>
      </c>
      <c r="AX196">
        <v>335.59300000000002</v>
      </c>
      <c r="AY196">
        <v>29.269400000000001</v>
      </c>
      <c r="AZ196">
        <v>300.20400000000001</v>
      </c>
      <c r="BA196">
        <v>99.074399999999997</v>
      </c>
      <c r="BB196">
        <v>0.10002800000000001</v>
      </c>
      <c r="BC196">
        <v>26.9739</v>
      </c>
      <c r="BD196">
        <v>27.002400000000002</v>
      </c>
      <c r="BE196">
        <v>28.5854</v>
      </c>
      <c r="BF196">
        <v>0</v>
      </c>
      <c r="BG196">
        <v>0</v>
      </c>
      <c r="BH196">
        <v>10016.9</v>
      </c>
      <c r="BI196">
        <v>1077.3</v>
      </c>
      <c r="BJ196">
        <v>2.0520200000000002</v>
      </c>
      <c r="BK196">
        <v>-464.58300000000003</v>
      </c>
      <c r="BL196">
        <v>345.59199999999998</v>
      </c>
      <c r="BM196">
        <v>804.75599999999997</v>
      </c>
      <c r="BN196">
        <v>23.543299999999999</v>
      </c>
      <c r="BO196">
        <v>799.99400000000003</v>
      </c>
      <c r="BP196">
        <v>5.9177200000000001</v>
      </c>
      <c r="BQ196">
        <v>2.9188299999999998</v>
      </c>
      <c r="BR196">
        <v>0.58629399999999998</v>
      </c>
      <c r="BS196">
        <v>23.571999999999999</v>
      </c>
      <c r="BT196">
        <v>-0.62624500000000005</v>
      </c>
      <c r="BU196">
        <v>1799.99</v>
      </c>
      <c r="BV196">
        <v>0.91000400000000004</v>
      </c>
      <c r="BW196">
        <v>3.4004899999999998E-2</v>
      </c>
      <c r="BX196">
        <v>2.19981E-2</v>
      </c>
      <c r="BY196">
        <v>3.3993200000000001E-2</v>
      </c>
      <c r="BZ196">
        <v>26</v>
      </c>
      <c r="CA196">
        <v>33528.300000000003</v>
      </c>
      <c r="CB196">
        <v>1690211922</v>
      </c>
      <c r="CC196" t="s">
        <v>332</v>
      </c>
      <c r="CD196">
        <v>1690211915</v>
      </c>
      <c r="CE196">
        <v>1690211922</v>
      </c>
      <c r="CF196">
        <v>6</v>
      </c>
      <c r="CG196">
        <v>1.0999999999999999E-2</v>
      </c>
      <c r="CH196">
        <v>8.0000000000000002E-3</v>
      </c>
      <c r="CI196">
        <v>-0.51100000000000001</v>
      </c>
      <c r="CJ196">
        <v>-6.6000000000000003E-2</v>
      </c>
      <c r="CK196">
        <v>800</v>
      </c>
      <c r="CL196">
        <v>6</v>
      </c>
      <c r="CM196">
        <v>0.21</v>
      </c>
      <c r="CN196">
        <v>0.02</v>
      </c>
      <c r="CO196">
        <v>-464.0197</v>
      </c>
      <c r="CP196">
        <v>-3.2194221388356961</v>
      </c>
      <c r="CQ196">
        <v>0.31465061576294262</v>
      </c>
      <c r="CR196">
        <v>-1</v>
      </c>
      <c r="CS196">
        <v>23.537812500000001</v>
      </c>
      <c r="CT196">
        <v>4.5479549718572057E-2</v>
      </c>
      <c r="CU196">
        <v>4.6230502647064018E-3</v>
      </c>
      <c r="CV196">
        <v>-1</v>
      </c>
      <c r="CW196">
        <v>0</v>
      </c>
      <c r="CX196">
        <v>0</v>
      </c>
      <c r="CY196" t="s">
        <v>333</v>
      </c>
      <c r="CZ196">
        <v>2.3645399999999999</v>
      </c>
      <c r="DA196">
        <v>2.7138300000000002</v>
      </c>
      <c r="DB196">
        <v>7.8029699999999994E-2</v>
      </c>
      <c r="DC196">
        <v>0.14605499999999999</v>
      </c>
      <c r="DD196">
        <v>0.131382</v>
      </c>
      <c r="DE196">
        <v>3.8999600000000002E-2</v>
      </c>
      <c r="DF196">
        <v>33648.300000000003</v>
      </c>
      <c r="DG196">
        <v>27498.400000000001</v>
      </c>
      <c r="DH196">
        <v>31156.799999999999</v>
      </c>
      <c r="DI196">
        <v>28059.7</v>
      </c>
      <c r="DJ196">
        <v>36725.199999999997</v>
      </c>
      <c r="DK196">
        <v>38342</v>
      </c>
      <c r="DL196">
        <v>44337</v>
      </c>
      <c r="DM196">
        <v>42523</v>
      </c>
      <c r="DN196">
        <v>1.3888799999999999</v>
      </c>
      <c r="DO196">
        <v>2.0339999999999998</v>
      </c>
      <c r="DP196">
        <v>8.1554100000000004E-2</v>
      </c>
      <c r="DQ196">
        <v>0.18577299999999999</v>
      </c>
      <c r="DR196">
        <v>25.667300000000001</v>
      </c>
      <c r="DS196">
        <v>25.547599999999999</v>
      </c>
      <c r="DT196">
        <v>17.600000000000001</v>
      </c>
      <c r="DU196">
        <v>29.7</v>
      </c>
      <c r="DV196">
        <v>7.4400500000000003</v>
      </c>
      <c r="DW196">
        <v>61.841200000000001</v>
      </c>
      <c r="DX196">
        <v>36.125799999999998</v>
      </c>
      <c r="DY196">
        <v>1</v>
      </c>
      <c r="DZ196">
        <v>-8.6524400000000001E-2</v>
      </c>
      <c r="EA196">
        <v>-0.27745599999999998</v>
      </c>
      <c r="EB196">
        <v>20.189399999999999</v>
      </c>
      <c r="EC196">
        <v>5.2411000000000003</v>
      </c>
      <c r="ED196">
        <v>12.039899999999999</v>
      </c>
      <c r="EE196">
        <v>5.0172499999999998</v>
      </c>
      <c r="EF196">
        <v>3.2879999999999998</v>
      </c>
      <c r="EG196">
        <v>9999</v>
      </c>
      <c r="EH196">
        <v>9999</v>
      </c>
      <c r="EI196">
        <v>9999</v>
      </c>
      <c r="EJ196">
        <v>999.9</v>
      </c>
      <c r="EK196">
        <v>1.8689199999999999</v>
      </c>
      <c r="EL196">
        <v>1.8646400000000001</v>
      </c>
      <c r="EM196">
        <v>1.8691899999999999</v>
      </c>
      <c r="EN196">
        <v>1.8672500000000001</v>
      </c>
      <c r="EO196">
        <v>1.8633999999999999</v>
      </c>
      <c r="EP196">
        <v>1.8646100000000001</v>
      </c>
      <c r="EQ196">
        <v>1.87018</v>
      </c>
      <c r="ER196">
        <v>1.8694500000000001</v>
      </c>
      <c r="ES196">
        <v>0</v>
      </c>
      <c r="ET196">
        <v>0</v>
      </c>
      <c r="EU196">
        <v>0</v>
      </c>
      <c r="EV196">
        <v>0</v>
      </c>
      <c r="EW196" t="s">
        <v>334</v>
      </c>
      <c r="EX196" t="s">
        <v>335</v>
      </c>
      <c r="EY196" t="s">
        <v>336</v>
      </c>
      <c r="EZ196" t="s">
        <v>336</v>
      </c>
      <c r="FA196" t="s">
        <v>336</v>
      </c>
      <c r="FB196" t="s">
        <v>336</v>
      </c>
      <c r="FC196">
        <v>0</v>
      </c>
      <c r="FD196">
        <v>100</v>
      </c>
      <c r="FE196">
        <v>100</v>
      </c>
      <c r="FF196">
        <v>-0.183</v>
      </c>
      <c r="FG196">
        <v>0.19159999999999999</v>
      </c>
      <c r="FH196">
        <v>4.0020685143421282E-2</v>
      </c>
      <c r="FI196">
        <v>-6.1462078757559423E-4</v>
      </c>
      <c r="FJ196">
        <v>-1.8861989874597051E-7</v>
      </c>
      <c r="FK196">
        <v>1.1980462299894961E-10</v>
      </c>
      <c r="FL196">
        <v>0.19160597004026461</v>
      </c>
      <c r="FM196">
        <v>0</v>
      </c>
      <c r="FN196">
        <v>0</v>
      </c>
      <c r="FO196">
        <v>0</v>
      </c>
      <c r="FP196">
        <v>3</v>
      </c>
      <c r="FQ196">
        <v>2158</v>
      </c>
      <c r="FR196">
        <v>1</v>
      </c>
      <c r="FS196">
        <v>19</v>
      </c>
      <c r="FT196">
        <v>38.200000000000003</v>
      </c>
      <c r="FU196">
        <v>38.1</v>
      </c>
      <c r="FV196">
        <v>1.77979</v>
      </c>
      <c r="FW196">
        <v>2.5708000000000002</v>
      </c>
      <c r="FX196">
        <v>1.5490699999999999</v>
      </c>
      <c r="FY196">
        <v>2.3290999999999999</v>
      </c>
      <c r="FZ196">
        <v>1.50146</v>
      </c>
      <c r="GA196">
        <v>2.3986800000000001</v>
      </c>
      <c r="GB196">
        <v>33.850900000000003</v>
      </c>
      <c r="GC196">
        <v>23.991199999999999</v>
      </c>
      <c r="GD196">
        <v>19</v>
      </c>
      <c r="GE196">
        <v>247.714</v>
      </c>
      <c r="GF196">
        <v>582.05499999999995</v>
      </c>
      <c r="GG196">
        <v>25.541799999999999</v>
      </c>
      <c r="GH196">
        <v>26.304200000000002</v>
      </c>
      <c r="GI196">
        <v>29.9999</v>
      </c>
      <c r="GJ196">
        <v>26.4391</v>
      </c>
      <c r="GK196">
        <v>26.414000000000001</v>
      </c>
      <c r="GL196">
        <v>35.580399999999997</v>
      </c>
      <c r="GM196">
        <v>-30</v>
      </c>
      <c r="GN196">
        <v>-30</v>
      </c>
      <c r="GO196">
        <v>25.544899999999998</v>
      </c>
      <c r="GP196">
        <v>800</v>
      </c>
      <c r="GQ196">
        <v>12.5298</v>
      </c>
      <c r="GR196">
        <v>99.685699999999997</v>
      </c>
      <c r="GS196">
        <v>99.481499999999997</v>
      </c>
    </row>
    <row r="197" spans="1:201" x14ac:dyDescent="0.25">
      <c r="A197">
        <v>181</v>
      </c>
      <c r="B197">
        <v>1690214216</v>
      </c>
      <c r="C197">
        <v>1948.5</v>
      </c>
      <c r="D197" t="s">
        <v>693</v>
      </c>
      <c r="E197" t="s">
        <v>694</v>
      </c>
      <c r="F197" t="s">
        <v>330</v>
      </c>
      <c r="H197">
        <v>1690214216</v>
      </c>
      <c r="I197">
        <f t="shared" si="60"/>
        <v>2.1120087701415723E-3</v>
      </c>
      <c r="J197">
        <f t="shared" si="61"/>
        <v>2.1120087701415722</v>
      </c>
      <c r="K197">
        <f t="shared" si="62"/>
        <v>39.760548620833511</v>
      </c>
      <c r="L197">
        <f t="shared" si="63"/>
        <v>334.935</v>
      </c>
      <c r="M197">
        <f t="shared" si="64"/>
        <v>25.718976311122724</v>
      </c>
      <c r="N197">
        <f t="shared" si="65"/>
        <v>2.5507022883875843</v>
      </c>
      <c r="O197">
        <f t="shared" si="66"/>
        <v>33.217475712345006</v>
      </c>
      <c r="P197">
        <f t="shared" si="67"/>
        <v>0.21840187874077263</v>
      </c>
      <c r="Q197">
        <f t="shared" si="68"/>
        <v>2.0096427673330028</v>
      </c>
      <c r="R197">
        <f t="shared" si="69"/>
        <v>0.20602047914076224</v>
      </c>
      <c r="S197">
        <f t="shared" si="70"/>
        <v>0.12981669035916518</v>
      </c>
      <c r="T197">
        <f t="shared" si="71"/>
        <v>276.11668957908671</v>
      </c>
      <c r="U197">
        <f t="shared" si="72"/>
        <v>28.490830604053219</v>
      </c>
      <c r="V197">
        <f t="shared" si="73"/>
        <v>28.490830604053219</v>
      </c>
      <c r="W197">
        <f t="shared" si="74"/>
        <v>3.9047891330333484</v>
      </c>
      <c r="X197">
        <f t="shared" si="75"/>
        <v>81.834448183683776</v>
      </c>
      <c r="Y197">
        <f t="shared" si="76"/>
        <v>2.9230902582605998</v>
      </c>
      <c r="Z197">
        <f t="shared" si="77"/>
        <v>3.5719557266391004</v>
      </c>
      <c r="AA197">
        <f t="shared" si="78"/>
        <v>0.98169887477274864</v>
      </c>
      <c r="AB197">
        <f t="shared" si="79"/>
        <v>-93.139586763243344</v>
      </c>
      <c r="AC197">
        <f t="shared" si="80"/>
        <v>-165.23853797786822</v>
      </c>
      <c r="AD197">
        <f t="shared" si="81"/>
        <v>-17.874307581600888</v>
      </c>
      <c r="AE197">
        <f t="shared" si="82"/>
        <v>-0.13574274362574101</v>
      </c>
      <c r="AF197">
        <v>33</v>
      </c>
      <c r="AG197">
        <v>11</v>
      </c>
      <c r="AH197">
        <f t="shared" si="83"/>
        <v>1</v>
      </c>
      <c r="AI197">
        <f t="shared" si="84"/>
        <v>0</v>
      </c>
      <c r="AJ197">
        <f t="shared" si="85"/>
        <v>52290.8182104527</v>
      </c>
      <c r="AK197">
        <f t="shared" si="86"/>
        <v>1800.01</v>
      </c>
      <c r="AL197">
        <f t="shared" si="87"/>
        <v>1499.12053000112</v>
      </c>
      <c r="AM197">
        <f t="shared" si="88"/>
        <v>0.83284011199999997</v>
      </c>
      <c r="AN197">
        <f t="shared" si="89"/>
        <v>0.15339730867000001</v>
      </c>
      <c r="AO197">
        <v>34.5</v>
      </c>
      <c r="AP197">
        <v>0.5</v>
      </c>
      <c r="AQ197" t="s">
        <v>331</v>
      </c>
      <c r="AR197">
        <v>2</v>
      </c>
      <c r="AS197">
        <v>1690214216</v>
      </c>
      <c r="AT197">
        <v>334.935</v>
      </c>
      <c r="AU197">
        <v>800</v>
      </c>
      <c r="AV197">
        <v>29.473800000000001</v>
      </c>
      <c r="AW197">
        <v>5.9175800000000001</v>
      </c>
      <c r="AX197">
        <v>335.11799999999999</v>
      </c>
      <c r="AY197">
        <v>29.2822</v>
      </c>
      <c r="AZ197">
        <v>300.20400000000001</v>
      </c>
      <c r="BA197">
        <v>99.075800000000001</v>
      </c>
      <c r="BB197">
        <v>0.100087</v>
      </c>
      <c r="BC197">
        <v>26.965699999999998</v>
      </c>
      <c r="BD197">
        <v>27.0014</v>
      </c>
      <c r="BE197">
        <v>28.59</v>
      </c>
      <c r="BF197">
        <v>0</v>
      </c>
      <c r="BG197">
        <v>0</v>
      </c>
      <c r="BH197">
        <v>9979.3799999999992</v>
      </c>
      <c r="BI197">
        <v>1077.43</v>
      </c>
      <c r="BJ197">
        <v>2.0324</v>
      </c>
      <c r="BK197">
        <v>-465.065</v>
      </c>
      <c r="BL197">
        <v>345.10700000000003</v>
      </c>
      <c r="BM197">
        <v>804.76300000000003</v>
      </c>
      <c r="BN197">
        <v>23.5562</v>
      </c>
      <c r="BO197">
        <v>800</v>
      </c>
      <c r="BP197">
        <v>5.9175800000000001</v>
      </c>
      <c r="BQ197">
        <v>2.92014</v>
      </c>
      <c r="BR197">
        <v>0.58628899999999995</v>
      </c>
      <c r="BS197">
        <v>23.5794</v>
      </c>
      <c r="BT197">
        <v>-0.62635300000000005</v>
      </c>
      <c r="BU197">
        <v>1800.01</v>
      </c>
      <c r="BV197">
        <v>0.91000400000000004</v>
      </c>
      <c r="BW197">
        <v>3.4004899999999998E-2</v>
      </c>
      <c r="BX197">
        <v>2.19981E-2</v>
      </c>
      <c r="BY197">
        <v>3.3993299999999997E-2</v>
      </c>
      <c r="BZ197">
        <v>26</v>
      </c>
      <c r="CA197">
        <v>33528.5</v>
      </c>
      <c r="CB197">
        <v>1690211922</v>
      </c>
      <c r="CC197" t="s">
        <v>332</v>
      </c>
      <c r="CD197">
        <v>1690211915</v>
      </c>
      <c r="CE197">
        <v>1690211922</v>
      </c>
      <c r="CF197">
        <v>6</v>
      </c>
      <c r="CG197">
        <v>1.0999999999999999E-2</v>
      </c>
      <c r="CH197">
        <v>8.0000000000000002E-3</v>
      </c>
      <c r="CI197">
        <v>-0.51100000000000001</v>
      </c>
      <c r="CJ197">
        <v>-6.6000000000000003E-2</v>
      </c>
      <c r="CK197">
        <v>800</v>
      </c>
      <c r="CL197">
        <v>6</v>
      </c>
      <c r="CM197">
        <v>0.21</v>
      </c>
      <c r="CN197">
        <v>0.02</v>
      </c>
      <c r="CO197">
        <v>-464.5844146341463</v>
      </c>
      <c r="CP197">
        <v>-3.2519581881532802</v>
      </c>
      <c r="CQ197">
        <v>0.32436564550051039</v>
      </c>
      <c r="CR197">
        <v>-1</v>
      </c>
      <c r="CS197">
        <v>23.544953658536581</v>
      </c>
      <c r="CT197">
        <v>3.939721254358973E-2</v>
      </c>
      <c r="CU197">
        <v>4.208301758225238E-3</v>
      </c>
      <c r="CV197">
        <v>-1</v>
      </c>
      <c r="CW197">
        <v>0</v>
      </c>
      <c r="CX197">
        <v>0</v>
      </c>
      <c r="CY197" t="s">
        <v>333</v>
      </c>
      <c r="CZ197">
        <v>2.3645499999999999</v>
      </c>
      <c r="DA197">
        <v>2.7138599999999999</v>
      </c>
      <c r="DB197">
        <v>7.7943100000000001E-2</v>
      </c>
      <c r="DC197">
        <v>0.14605899999999999</v>
      </c>
      <c r="DD197">
        <v>0.13142300000000001</v>
      </c>
      <c r="DE197">
        <v>3.8999699999999998E-2</v>
      </c>
      <c r="DF197">
        <v>33651.4</v>
      </c>
      <c r="DG197">
        <v>27498.400000000001</v>
      </c>
      <c r="DH197">
        <v>31156.799999999999</v>
      </c>
      <c r="DI197">
        <v>28059.8</v>
      </c>
      <c r="DJ197">
        <v>36723.300000000003</v>
      </c>
      <c r="DK197">
        <v>38342.199999999997</v>
      </c>
      <c r="DL197">
        <v>44336.9</v>
      </c>
      <c r="DM197">
        <v>42523.199999999997</v>
      </c>
      <c r="DN197">
        <v>1.38863</v>
      </c>
      <c r="DO197">
        <v>2.0337999999999998</v>
      </c>
      <c r="DP197">
        <v>8.1412499999999999E-2</v>
      </c>
      <c r="DQ197">
        <v>0.185922</v>
      </c>
      <c r="DR197">
        <v>25.668600000000001</v>
      </c>
      <c r="DS197">
        <v>25.549800000000001</v>
      </c>
      <c r="DT197">
        <v>17.600000000000001</v>
      </c>
      <c r="DU197">
        <v>29.7</v>
      </c>
      <c r="DV197">
        <v>7.4400500000000003</v>
      </c>
      <c r="DW197">
        <v>61.7712</v>
      </c>
      <c r="DX197">
        <v>36.410299999999999</v>
      </c>
      <c r="DY197">
        <v>1</v>
      </c>
      <c r="DZ197">
        <v>-8.6590399999999998E-2</v>
      </c>
      <c r="EA197">
        <v>-0.290626</v>
      </c>
      <c r="EB197">
        <v>20.1892</v>
      </c>
      <c r="EC197">
        <v>5.2411000000000003</v>
      </c>
      <c r="ED197">
        <v>12.039899999999999</v>
      </c>
      <c r="EE197">
        <v>5.0173500000000004</v>
      </c>
      <c r="EF197">
        <v>3.2879999999999998</v>
      </c>
      <c r="EG197">
        <v>9999</v>
      </c>
      <c r="EH197">
        <v>9999</v>
      </c>
      <c r="EI197">
        <v>9999</v>
      </c>
      <c r="EJ197">
        <v>999.9</v>
      </c>
      <c r="EK197">
        <v>1.86894</v>
      </c>
      <c r="EL197">
        <v>1.86466</v>
      </c>
      <c r="EM197">
        <v>1.8691899999999999</v>
      </c>
      <c r="EN197">
        <v>1.8672599999999999</v>
      </c>
      <c r="EO197">
        <v>1.8633999999999999</v>
      </c>
      <c r="EP197">
        <v>1.86459</v>
      </c>
      <c r="EQ197">
        <v>1.87022</v>
      </c>
      <c r="ER197">
        <v>1.86947</v>
      </c>
      <c r="ES197">
        <v>0</v>
      </c>
      <c r="ET197">
        <v>0</v>
      </c>
      <c r="EU197">
        <v>0</v>
      </c>
      <c r="EV197">
        <v>0</v>
      </c>
      <c r="EW197" t="s">
        <v>334</v>
      </c>
      <c r="EX197" t="s">
        <v>335</v>
      </c>
      <c r="EY197" t="s">
        <v>336</v>
      </c>
      <c r="EZ197" t="s">
        <v>336</v>
      </c>
      <c r="FA197" t="s">
        <v>336</v>
      </c>
      <c r="FB197" t="s">
        <v>336</v>
      </c>
      <c r="FC197">
        <v>0</v>
      </c>
      <c r="FD197">
        <v>100</v>
      </c>
      <c r="FE197">
        <v>100</v>
      </c>
      <c r="FF197">
        <v>-0.183</v>
      </c>
      <c r="FG197">
        <v>0.19159999999999999</v>
      </c>
      <c r="FH197">
        <v>4.0020685143421282E-2</v>
      </c>
      <c r="FI197">
        <v>-6.1462078757559423E-4</v>
      </c>
      <c r="FJ197">
        <v>-1.8861989874597051E-7</v>
      </c>
      <c r="FK197">
        <v>1.1980462299894961E-10</v>
      </c>
      <c r="FL197">
        <v>0.19160597004026461</v>
      </c>
      <c r="FM197">
        <v>0</v>
      </c>
      <c r="FN197">
        <v>0</v>
      </c>
      <c r="FO197">
        <v>0</v>
      </c>
      <c r="FP197">
        <v>3</v>
      </c>
      <c r="FQ197">
        <v>2158</v>
      </c>
      <c r="FR197">
        <v>1</v>
      </c>
      <c r="FS197">
        <v>19</v>
      </c>
      <c r="FT197">
        <v>38.4</v>
      </c>
      <c r="FU197">
        <v>38.200000000000003</v>
      </c>
      <c r="FV197">
        <v>1.77979</v>
      </c>
      <c r="FW197">
        <v>2.5793499999999998</v>
      </c>
      <c r="FX197">
        <v>1.5490699999999999</v>
      </c>
      <c r="FY197">
        <v>2.3290999999999999</v>
      </c>
      <c r="FZ197">
        <v>1.50146</v>
      </c>
      <c r="GA197">
        <v>2.3828100000000001</v>
      </c>
      <c r="GB197">
        <v>33.850900000000003</v>
      </c>
      <c r="GC197">
        <v>23.991199999999999</v>
      </c>
      <c r="GD197">
        <v>19</v>
      </c>
      <c r="GE197">
        <v>247.61699999999999</v>
      </c>
      <c r="GF197">
        <v>581.86500000000001</v>
      </c>
      <c r="GG197">
        <v>25.547000000000001</v>
      </c>
      <c r="GH197">
        <v>26.3019</v>
      </c>
      <c r="GI197">
        <v>29.9999</v>
      </c>
      <c r="GJ197">
        <v>26.4391</v>
      </c>
      <c r="GK197">
        <v>26.411799999999999</v>
      </c>
      <c r="GL197">
        <v>35.580199999999998</v>
      </c>
      <c r="GM197">
        <v>-30</v>
      </c>
      <c r="GN197">
        <v>-30</v>
      </c>
      <c r="GO197">
        <v>25.5504</v>
      </c>
      <c r="GP197">
        <v>800</v>
      </c>
      <c r="GQ197">
        <v>12.5298</v>
      </c>
      <c r="GR197">
        <v>99.685599999999994</v>
      </c>
      <c r="GS197">
        <v>99.481899999999996</v>
      </c>
    </row>
    <row r="198" spans="1:201" x14ac:dyDescent="0.25">
      <c r="A198">
        <v>182</v>
      </c>
      <c r="B198">
        <v>1690214226</v>
      </c>
      <c r="C198">
        <v>1958.5</v>
      </c>
      <c r="D198" t="s">
        <v>695</v>
      </c>
      <c r="E198" t="s">
        <v>696</v>
      </c>
      <c r="F198" t="s">
        <v>330</v>
      </c>
      <c r="H198">
        <v>1690214226</v>
      </c>
      <c r="I198">
        <f t="shared" si="60"/>
        <v>2.1124534703880855E-3</v>
      </c>
      <c r="J198">
        <f t="shared" si="61"/>
        <v>2.1124534703880853</v>
      </c>
      <c r="K198">
        <f t="shared" si="62"/>
        <v>39.811899238431259</v>
      </c>
      <c r="L198">
        <f t="shared" si="63"/>
        <v>334.29599999999999</v>
      </c>
      <c r="M198">
        <f t="shared" si="64"/>
        <v>25.074172465045852</v>
      </c>
      <c r="N198">
        <f t="shared" si="65"/>
        <v>2.4867024771865642</v>
      </c>
      <c r="O198">
        <f t="shared" si="66"/>
        <v>33.153424802848797</v>
      </c>
      <c r="P198">
        <f t="shared" si="67"/>
        <v>0.21866151513528687</v>
      </c>
      <c r="Q198">
        <f t="shared" si="68"/>
        <v>2.0136754595861102</v>
      </c>
      <c r="R198">
        <f t="shared" si="69"/>
        <v>0.20627489934584303</v>
      </c>
      <c r="S198">
        <f t="shared" si="70"/>
        <v>0.1299761919875366</v>
      </c>
      <c r="T198">
        <f t="shared" si="71"/>
        <v>276.11499061799998</v>
      </c>
      <c r="U198">
        <f t="shared" si="72"/>
        <v>28.489492200459608</v>
      </c>
      <c r="V198">
        <f t="shared" si="73"/>
        <v>28.489492200459608</v>
      </c>
      <c r="W198">
        <f t="shared" si="74"/>
        <v>3.9044855836709527</v>
      </c>
      <c r="X198">
        <f t="shared" si="75"/>
        <v>81.847016273910995</v>
      </c>
      <c r="Y198">
        <f t="shared" si="76"/>
        <v>2.9238139972065103</v>
      </c>
      <c r="Z198">
        <f t="shared" si="77"/>
        <v>3.572291490042363</v>
      </c>
      <c r="AA198">
        <f t="shared" si="78"/>
        <v>0.98067158646444241</v>
      </c>
      <c r="AB198">
        <f t="shared" si="79"/>
        <v>-93.159198044114575</v>
      </c>
      <c r="AC198">
        <f t="shared" si="80"/>
        <v>-165.25112056236227</v>
      </c>
      <c r="AD198">
        <f t="shared" si="81"/>
        <v>-17.839892757367018</v>
      </c>
      <c r="AE198">
        <f t="shared" si="82"/>
        <v>-0.13522074584389543</v>
      </c>
      <c r="AF198">
        <v>33</v>
      </c>
      <c r="AG198">
        <v>11</v>
      </c>
      <c r="AH198">
        <f t="shared" si="83"/>
        <v>1</v>
      </c>
      <c r="AI198">
        <f t="shared" si="84"/>
        <v>0</v>
      </c>
      <c r="AJ198">
        <f t="shared" si="85"/>
        <v>52484.118397197897</v>
      </c>
      <c r="AK198">
        <f t="shared" si="86"/>
        <v>1800</v>
      </c>
      <c r="AL198">
        <f t="shared" si="87"/>
        <v>1499.1118038</v>
      </c>
      <c r="AM198">
        <f t="shared" si="88"/>
        <v>0.832839891</v>
      </c>
      <c r="AN198">
        <f t="shared" si="89"/>
        <v>0.15339721700999998</v>
      </c>
      <c r="AO198">
        <v>34.5</v>
      </c>
      <c r="AP198">
        <v>0.5</v>
      </c>
      <c r="AQ198" t="s">
        <v>331</v>
      </c>
      <c r="AR198">
        <v>2</v>
      </c>
      <c r="AS198">
        <v>1690214226</v>
      </c>
      <c r="AT198">
        <v>334.29599999999999</v>
      </c>
      <c r="AU198">
        <v>800.01800000000003</v>
      </c>
      <c r="AV198">
        <v>29.4817</v>
      </c>
      <c r="AW198">
        <v>5.9166299999999996</v>
      </c>
      <c r="AX198">
        <v>334.47800000000001</v>
      </c>
      <c r="AY198">
        <v>29.290099999999999</v>
      </c>
      <c r="AZ198">
        <v>300.15199999999999</v>
      </c>
      <c r="BA198">
        <v>99.073899999999995</v>
      </c>
      <c r="BB198">
        <v>9.9960300000000002E-2</v>
      </c>
      <c r="BC198">
        <v>26.967300000000002</v>
      </c>
      <c r="BD198">
        <v>26.997800000000002</v>
      </c>
      <c r="BE198">
        <v>28.605499999999999</v>
      </c>
      <c r="BF198">
        <v>0</v>
      </c>
      <c r="BG198">
        <v>0</v>
      </c>
      <c r="BH198">
        <v>10018.1</v>
      </c>
      <c r="BI198">
        <v>1077.45</v>
      </c>
      <c r="BJ198">
        <v>2.0267900000000001</v>
      </c>
      <c r="BK198">
        <v>-465.72199999999998</v>
      </c>
      <c r="BL198">
        <v>344.45100000000002</v>
      </c>
      <c r="BM198">
        <v>804.78</v>
      </c>
      <c r="BN198">
        <v>23.565000000000001</v>
      </c>
      <c r="BO198">
        <v>800.01800000000003</v>
      </c>
      <c r="BP198">
        <v>5.9166299999999996</v>
      </c>
      <c r="BQ198">
        <v>2.9208599999999998</v>
      </c>
      <c r="BR198">
        <v>0.58618400000000004</v>
      </c>
      <c r="BS198">
        <v>23.583500000000001</v>
      </c>
      <c r="BT198">
        <v>-0.62881699999999996</v>
      </c>
      <c r="BU198">
        <v>1800</v>
      </c>
      <c r="BV198">
        <v>0.91000499999999995</v>
      </c>
      <c r="BW198">
        <v>3.4004399999999997E-2</v>
      </c>
      <c r="BX198">
        <v>2.1997800000000001E-2</v>
      </c>
      <c r="BY198">
        <v>3.3992700000000001E-2</v>
      </c>
      <c r="BZ198">
        <v>26</v>
      </c>
      <c r="CA198">
        <v>33528.5</v>
      </c>
      <c r="CB198">
        <v>1690211922</v>
      </c>
      <c r="CC198" t="s">
        <v>332</v>
      </c>
      <c r="CD198">
        <v>1690211915</v>
      </c>
      <c r="CE198">
        <v>1690211922</v>
      </c>
      <c r="CF198">
        <v>6</v>
      </c>
      <c r="CG198">
        <v>1.0999999999999999E-2</v>
      </c>
      <c r="CH198">
        <v>8.0000000000000002E-3</v>
      </c>
      <c r="CI198">
        <v>-0.51100000000000001</v>
      </c>
      <c r="CJ198">
        <v>-6.6000000000000003E-2</v>
      </c>
      <c r="CK198">
        <v>800</v>
      </c>
      <c r="CL198">
        <v>6</v>
      </c>
      <c r="CM198">
        <v>0.21</v>
      </c>
      <c r="CN198">
        <v>0.02</v>
      </c>
      <c r="CO198">
        <v>-465.08368292682928</v>
      </c>
      <c r="CP198">
        <v>-3.389101045296103</v>
      </c>
      <c r="CQ198">
        <v>0.33889659110797687</v>
      </c>
      <c r="CR198">
        <v>-1</v>
      </c>
      <c r="CS198">
        <v>23.553302439024389</v>
      </c>
      <c r="CT198">
        <v>7.3691289198640667E-2</v>
      </c>
      <c r="CU198">
        <v>7.3038742744528026E-3</v>
      </c>
      <c r="CV198">
        <v>-1</v>
      </c>
      <c r="CW198">
        <v>0</v>
      </c>
      <c r="CX198">
        <v>0</v>
      </c>
      <c r="CY198" t="s">
        <v>333</v>
      </c>
      <c r="CZ198">
        <v>2.3643800000000001</v>
      </c>
      <c r="DA198">
        <v>2.7137699999999998</v>
      </c>
      <c r="DB198">
        <v>7.7823799999999999E-2</v>
      </c>
      <c r="DC198">
        <v>0.14605799999999999</v>
      </c>
      <c r="DD198">
        <v>0.13144500000000001</v>
      </c>
      <c r="DE198">
        <v>3.8993899999999998E-2</v>
      </c>
      <c r="DF198">
        <v>33655.9</v>
      </c>
      <c r="DG198">
        <v>27498.6</v>
      </c>
      <c r="DH198">
        <v>31157</v>
      </c>
      <c r="DI198">
        <v>28060</v>
      </c>
      <c r="DJ198">
        <v>36722.6</v>
      </c>
      <c r="DK198">
        <v>38342.6</v>
      </c>
      <c r="DL198">
        <v>44337.2</v>
      </c>
      <c r="DM198">
        <v>42523.4</v>
      </c>
      <c r="DN198">
        <v>1.3887</v>
      </c>
      <c r="DO198">
        <v>2.0339299999999998</v>
      </c>
      <c r="DP198">
        <v>8.1188999999999997E-2</v>
      </c>
      <c r="DQ198">
        <v>0.18686800000000001</v>
      </c>
      <c r="DR198">
        <v>25.668600000000001</v>
      </c>
      <c r="DS198">
        <v>25.549800000000001</v>
      </c>
      <c r="DT198">
        <v>17.600000000000001</v>
      </c>
      <c r="DU198">
        <v>29.7</v>
      </c>
      <c r="DV198">
        <v>7.4390299999999998</v>
      </c>
      <c r="DW198">
        <v>61.641199999999998</v>
      </c>
      <c r="DX198">
        <v>36.782899999999998</v>
      </c>
      <c r="DY198">
        <v>1</v>
      </c>
      <c r="DZ198">
        <v>-8.6524400000000001E-2</v>
      </c>
      <c r="EA198">
        <v>-0.26435999999999998</v>
      </c>
      <c r="EB198">
        <v>20.1892</v>
      </c>
      <c r="EC198">
        <v>5.2408000000000001</v>
      </c>
      <c r="ED198">
        <v>12.039899999999999</v>
      </c>
      <c r="EE198">
        <v>5.0171000000000001</v>
      </c>
      <c r="EF198">
        <v>3.2879999999999998</v>
      </c>
      <c r="EG198">
        <v>9999</v>
      </c>
      <c r="EH198">
        <v>9999</v>
      </c>
      <c r="EI198">
        <v>9999</v>
      </c>
      <c r="EJ198">
        <v>999.9</v>
      </c>
      <c r="EK198">
        <v>1.8689100000000001</v>
      </c>
      <c r="EL198">
        <v>1.8646499999999999</v>
      </c>
      <c r="EM198">
        <v>1.8691899999999999</v>
      </c>
      <c r="EN198">
        <v>1.8672599999999999</v>
      </c>
      <c r="EO198">
        <v>1.8633999999999999</v>
      </c>
      <c r="EP198">
        <v>1.8646100000000001</v>
      </c>
      <c r="EQ198">
        <v>1.87018</v>
      </c>
      <c r="ER198">
        <v>1.86948</v>
      </c>
      <c r="ES198">
        <v>0</v>
      </c>
      <c r="ET198">
        <v>0</v>
      </c>
      <c r="EU198">
        <v>0</v>
      </c>
      <c r="EV198">
        <v>0</v>
      </c>
      <c r="EW198" t="s">
        <v>334</v>
      </c>
      <c r="EX198" t="s">
        <v>335</v>
      </c>
      <c r="EY198" t="s">
        <v>336</v>
      </c>
      <c r="EZ198" t="s">
        <v>336</v>
      </c>
      <c r="FA198" t="s">
        <v>336</v>
      </c>
      <c r="FB198" t="s">
        <v>336</v>
      </c>
      <c r="FC198">
        <v>0</v>
      </c>
      <c r="FD198">
        <v>100</v>
      </c>
      <c r="FE198">
        <v>100</v>
      </c>
      <c r="FF198">
        <v>-0.182</v>
      </c>
      <c r="FG198">
        <v>0.19159999999999999</v>
      </c>
      <c r="FH198">
        <v>4.0020685143421282E-2</v>
      </c>
      <c r="FI198">
        <v>-6.1462078757559423E-4</v>
      </c>
      <c r="FJ198">
        <v>-1.8861989874597051E-7</v>
      </c>
      <c r="FK198">
        <v>1.1980462299894961E-10</v>
      </c>
      <c r="FL198">
        <v>0.19160597004026461</v>
      </c>
      <c r="FM198">
        <v>0</v>
      </c>
      <c r="FN198">
        <v>0</v>
      </c>
      <c r="FO198">
        <v>0</v>
      </c>
      <c r="FP198">
        <v>3</v>
      </c>
      <c r="FQ198">
        <v>2158</v>
      </c>
      <c r="FR198">
        <v>1</v>
      </c>
      <c r="FS198">
        <v>19</v>
      </c>
      <c r="FT198">
        <v>38.5</v>
      </c>
      <c r="FU198">
        <v>38.4</v>
      </c>
      <c r="FV198">
        <v>1.77979</v>
      </c>
      <c r="FW198">
        <v>2.5793499999999998</v>
      </c>
      <c r="FX198">
        <v>1.5490699999999999</v>
      </c>
      <c r="FY198">
        <v>2.3290999999999999</v>
      </c>
      <c r="FZ198">
        <v>1.50146</v>
      </c>
      <c r="GA198">
        <v>2.4096700000000002</v>
      </c>
      <c r="GB198">
        <v>33.850900000000003</v>
      </c>
      <c r="GC198">
        <v>23.991199999999999</v>
      </c>
      <c r="GD198">
        <v>19</v>
      </c>
      <c r="GE198">
        <v>247.63800000000001</v>
      </c>
      <c r="GF198">
        <v>581.96799999999996</v>
      </c>
      <c r="GG198">
        <v>25.550799999999999</v>
      </c>
      <c r="GH198">
        <v>26.3019</v>
      </c>
      <c r="GI198">
        <v>30</v>
      </c>
      <c r="GJ198">
        <v>26.436900000000001</v>
      </c>
      <c r="GK198">
        <v>26.411799999999999</v>
      </c>
      <c r="GL198">
        <v>35.579300000000003</v>
      </c>
      <c r="GM198">
        <v>-30</v>
      </c>
      <c r="GN198">
        <v>-30</v>
      </c>
      <c r="GO198">
        <v>25.547000000000001</v>
      </c>
      <c r="GP198">
        <v>800</v>
      </c>
      <c r="GQ198">
        <v>12.5298</v>
      </c>
      <c r="GR198">
        <v>99.686199999999999</v>
      </c>
      <c r="GS198">
        <v>99.482399999999998</v>
      </c>
    </row>
    <row r="199" spans="1:201" x14ac:dyDescent="0.25">
      <c r="A199">
        <v>183</v>
      </c>
      <c r="B199">
        <v>1690214236</v>
      </c>
      <c r="C199">
        <v>1968.5</v>
      </c>
      <c r="D199" t="s">
        <v>697</v>
      </c>
      <c r="E199" t="s">
        <v>698</v>
      </c>
      <c r="F199" t="s">
        <v>330</v>
      </c>
      <c r="H199">
        <v>1690214236</v>
      </c>
      <c r="I199">
        <f t="shared" si="60"/>
        <v>2.113558606509473E-3</v>
      </c>
      <c r="J199">
        <f t="shared" si="61"/>
        <v>2.1135586065094731</v>
      </c>
      <c r="K199">
        <f t="shared" si="62"/>
        <v>39.846922075194946</v>
      </c>
      <c r="L199">
        <f t="shared" si="63"/>
        <v>333.87299999999999</v>
      </c>
      <c r="M199">
        <f t="shared" si="64"/>
        <v>24.296461801205542</v>
      </c>
      <c r="N199">
        <f t="shared" si="65"/>
        <v>2.409531576731649</v>
      </c>
      <c r="O199">
        <f t="shared" si="66"/>
        <v>33.110892553014004</v>
      </c>
      <c r="P199">
        <f t="shared" si="67"/>
        <v>0.21860675357804549</v>
      </c>
      <c r="Q199">
        <f t="shared" si="68"/>
        <v>2.011043663760022</v>
      </c>
      <c r="R199">
        <f t="shared" si="69"/>
        <v>0.2062109367535466</v>
      </c>
      <c r="S199">
        <f t="shared" si="70"/>
        <v>0.12993694025886937</v>
      </c>
      <c r="T199">
        <f t="shared" si="71"/>
        <v>276.11492092200001</v>
      </c>
      <c r="U199">
        <f t="shared" si="72"/>
        <v>28.497275255477156</v>
      </c>
      <c r="V199">
        <f t="shared" si="73"/>
        <v>28.497275255477156</v>
      </c>
      <c r="W199">
        <f t="shared" si="74"/>
        <v>3.9062510654174405</v>
      </c>
      <c r="X199">
        <f t="shared" si="75"/>
        <v>81.843673717457008</v>
      </c>
      <c r="Y199">
        <f t="shared" si="76"/>
        <v>2.9247940212678003</v>
      </c>
      <c r="Z199">
        <f t="shared" si="77"/>
        <v>3.5736348191857261</v>
      </c>
      <c r="AA199">
        <f t="shared" si="78"/>
        <v>0.98145704414964019</v>
      </c>
      <c r="AB199">
        <f t="shared" si="79"/>
        <v>-93.207934547067765</v>
      </c>
      <c r="AC199">
        <f t="shared" si="80"/>
        <v>-165.18509372458661</v>
      </c>
      <c r="AD199">
        <f t="shared" si="81"/>
        <v>-17.857365416275574</v>
      </c>
      <c r="AE199">
        <f t="shared" si="82"/>
        <v>-0.13547276592993285</v>
      </c>
      <c r="AF199">
        <v>32</v>
      </c>
      <c r="AG199">
        <v>11</v>
      </c>
      <c r="AH199">
        <f t="shared" si="83"/>
        <v>1</v>
      </c>
      <c r="AI199">
        <f t="shared" si="84"/>
        <v>0</v>
      </c>
      <c r="AJ199">
        <f t="shared" si="85"/>
        <v>52356.541787955284</v>
      </c>
      <c r="AK199">
        <f t="shared" si="86"/>
        <v>1800</v>
      </c>
      <c r="AL199">
        <f t="shared" si="87"/>
        <v>1499.1115212</v>
      </c>
      <c r="AM199">
        <f t="shared" si="88"/>
        <v>0.832839734</v>
      </c>
      <c r="AN199">
        <f t="shared" si="89"/>
        <v>0.15339717828999999</v>
      </c>
      <c r="AO199">
        <v>34.5</v>
      </c>
      <c r="AP199">
        <v>0.5</v>
      </c>
      <c r="AQ199" t="s">
        <v>331</v>
      </c>
      <c r="AR199">
        <v>2</v>
      </c>
      <c r="AS199">
        <v>1690214236</v>
      </c>
      <c r="AT199">
        <v>333.87299999999999</v>
      </c>
      <c r="AU199">
        <v>799.976</v>
      </c>
      <c r="AV199">
        <v>29.492100000000001</v>
      </c>
      <c r="AW199">
        <v>5.9157400000000004</v>
      </c>
      <c r="AX199">
        <v>334.05500000000001</v>
      </c>
      <c r="AY199">
        <v>29.3005</v>
      </c>
      <c r="AZ199">
        <v>300.16199999999998</v>
      </c>
      <c r="BA199">
        <v>99.072100000000006</v>
      </c>
      <c r="BB199">
        <v>0.100018</v>
      </c>
      <c r="BC199">
        <v>26.973700000000001</v>
      </c>
      <c r="BD199">
        <v>27.002500000000001</v>
      </c>
      <c r="BE199">
        <v>28.604399999999998</v>
      </c>
      <c r="BF199">
        <v>0</v>
      </c>
      <c r="BG199">
        <v>0</v>
      </c>
      <c r="BH199">
        <v>9993.1200000000008</v>
      </c>
      <c r="BI199">
        <v>1077.42</v>
      </c>
      <c r="BJ199">
        <v>2.0183800000000001</v>
      </c>
      <c r="BK199">
        <v>-466.10300000000001</v>
      </c>
      <c r="BL199">
        <v>344.01900000000001</v>
      </c>
      <c r="BM199">
        <v>804.73599999999999</v>
      </c>
      <c r="BN199">
        <v>23.5764</v>
      </c>
      <c r="BO199">
        <v>799.976</v>
      </c>
      <c r="BP199">
        <v>5.9157400000000004</v>
      </c>
      <c r="BQ199">
        <v>2.9218500000000001</v>
      </c>
      <c r="BR199">
        <v>0.58608499999999997</v>
      </c>
      <c r="BS199">
        <v>23.589099999999998</v>
      </c>
      <c r="BT199">
        <v>-0.63112400000000002</v>
      </c>
      <c r="BU199">
        <v>1800</v>
      </c>
      <c r="BV199">
        <v>0.91000499999999995</v>
      </c>
      <c r="BW199">
        <v>3.4004300000000001E-2</v>
      </c>
      <c r="BX199">
        <v>2.1997699999999999E-2</v>
      </c>
      <c r="BY199">
        <v>3.3992700000000001E-2</v>
      </c>
      <c r="BZ199">
        <v>26</v>
      </c>
      <c r="CA199">
        <v>33528.300000000003</v>
      </c>
      <c r="CB199">
        <v>1690211922</v>
      </c>
      <c r="CC199" t="s">
        <v>332</v>
      </c>
      <c r="CD199">
        <v>1690211915</v>
      </c>
      <c r="CE199">
        <v>1690211922</v>
      </c>
      <c r="CF199">
        <v>6</v>
      </c>
      <c r="CG199">
        <v>1.0999999999999999E-2</v>
      </c>
      <c r="CH199">
        <v>8.0000000000000002E-3</v>
      </c>
      <c r="CI199">
        <v>-0.51100000000000001</v>
      </c>
      <c r="CJ199">
        <v>-6.6000000000000003E-2</v>
      </c>
      <c r="CK199">
        <v>800</v>
      </c>
      <c r="CL199">
        <v>6</v>
      </c>
      <c r="CM199">
        <v>0.21</v>
      </c>
      <c r="CN199">
        <v>0.02</v>
      </c>
      <c r="CO199">
        <v>-465.66107499999998</v>
      </c>
      <c r="CP199">
        <v>-3.236048780487403</v>
      </c>
      <c r="CQ199">
        <v>0.31587310644466149</v>
      </c>
      <c r="CR199">
        <v>-1</v>
      </c>
      <c r="CS199">
        <v>23.565917500000001</v>
      </c>
      <c r="CT199">
        <v>6.4945215759803804E-2</v>
      </c>
      <c r="CU199">
        <v>6.2854947100447001E-3</v>
      </c>
      <c r="CV199">
        <v>-1</v>
      </c>
      <c r="CW199">
        <v>0</v>
      </c>
      <c r="CX199">
        <v>0</v>
      </c>
      <c r="CY199" t="s">
        <v>333</v>
      </c>
      <c r="CZ199">
        <v>2.3644099999999999</v>
      </c>
      <c r="DA199">
        <v>2.7138</v>
      </c>
      <c r="DB199">
        <v>7.7744199999999999E-2</v>
      </c>
      <c r="DC199">
        <v>0.14605099999999999</v>
      </c>
      <c r="DD199">
        <v>0.13147500000000001</v>
      </c>
      <c r="DE199">
        <v>3.8988399999999999E-2</v>
      </c>
      <c r="DF199">
        <v>33659.1</v>
      </c>
      <c r="DG199">
        <v>27499</v>
      </c>
      <c r="DH199">
        <v>31157.200000000001</v>
      </c>
      <c r="DI199">
        <v>28060.1</v>
      </c>
      <c r="DJ199">
        <v>36721.599999999999</v>
      </c>
      <c r="DK199">
        <v>38342.9</v>
      </c>
      <c r="DL199">
        <v>44337.5</v>
      </c>
      <c r="DM199">
        <v>42523.5</v>
      </c>
      <c r="DN199">
        <v>1.3892</v>
      </c>
      <c r="DO199">
        <v>2.0341200000000002</v>
      </c>
      <c r="DP199">
        <v>8.1479499999999996E-2</v>
      </c>
      <c r="DQ199">
        <v>0.18680099999999999</v>
      </c>
      <c r="DR199">
        <v>25.668600000000001</v>
      </c>
      <c r="DS199">
        <v>25.549800000000001</v>
      </c>
      <c r="DT199">
        <v>17.600000000000001</v>
      </c>
      <c r="DU199">
        <v>29.7</v>
      </c>
      <c r="DV199">
        <v>7.4394299999999998</v>
      </c>
      <c r="DW199">
        <v>61.421199999999999</v>
      </c>
      <c r="DX199">
        <v>37.119399999999999</v>
      </c>
      <c r="DY199">
        <v>1</v>
      </c>
      <c r="DZ199">
        <v>-8.6402400000000004E-2</v>
      </c>
      <c r="EA199">
        <v>-0.2707</v>
      </c>
      <c r="EB199">
        <v>20.1892</v>
      </c>
      <c r="EC199">
        <v>5.2415500000000002</v>
      </c>
      <c r="ED199">
        <v>12.039899999999999</v>
      </c>
      <c r="EE199">
        <v>5.0171999999999999</v>
      </c>
      <c r="EF199">
        <v>3.2879999999999998</v>
      </c>
      <c r="EG199">
        <v>9999</v>
      </c>
      <c r="EH199">
        <v>9999</v>
      </c>
      <c r="EI199">
        <v>9999</v>
      </c>
      <c r="EJ199">
        <v>999.9</v>
      </c>
      <c r="EK199">
        <v>1.8689199999999999</v>
      </c>
      <c r="EL199">
        <v>1.8646499999999999</v>
      </c>
      <c r="EM199">
        <v>1.8692</v>
      </c>
      <c r="EN199">
        <v>1.86724</v>
      </c>
      <c r="EO199">
        <v>1.8633999999999999</v>
      </c>
      <c r="EP199">
        <v>1.8646</v>
      </c>
      <c r="EQ199">
        <v>1.87018</v>
      </c>
      <c r="ER199">
        <v>1.86948</v>
      </c>
      <c r="ES199">
        <v>0</v>
      </c>
      <c r="ET199">
        <v>0</v>
      </c>
      <c r="EU199">
        <v>0</v>
      </c>
      <c r="EV199">
        <v>0</v>
      </c>
      <c r="EW199" t="s">
        <v>334</v>
      </c>
      <c r="EX199" t="s">
        <v>335</v>
      </c>
      <c r="EY199" t="s">
        <v>336</v>
      </c>
      <c r="EZ199" t="s">
        <v>336</v>
      </c>
      <c r="FA199" t="s">
        <v>336</v>
      </c>
      <c r="FB199" t="s">
        <v>336</v>
      </c>
      <c r="FC199">
        <v>0</v>
      </c>
      <c r="FD199">
        <v>100</v>
      </c>
      <c r="FE199">
        <v>100</v>
      </c>
      <c r="FF199">
        <v>-0.182</v>
      </c>
      <c r="FG199">
        <v>0.19159999999999999</v>
      </c>
      <c r="FH199">
        <v>4.0020685143421282E-2</v>
      </c>
      <c r="FI199">
        <v>-6.1462078757559423E-4</v>
      </c>
      <c r="FJ199">
        <v>-1.8861989874597051E-7</v>
      </c>
      <c r="FK199">
        <v>1.1980462299894961E-10</v>
      </c>
      <c r="FL199">
        <v>0.19160597004026461</v>
      </c>
      <c r="FM199">
        <v>0</v>
      </c>
      <c r="FN199">
        <v>0</v>
      </c>
      <c r="FO199">
        <v>0</v>
      </c>
      <c r="FP199">
        <v>3</v>
      </c>
      <c r="FQ199">
        <v>2158</v>
      </c>
      <c r="FR199">
        <v>1</v>
      </c>
      <c r="FS199">
        <v>19</v>
      </c>
      <c r="FT199">
        <v>38.700000000000003</v>
      </c>
      <c r="FU199">
        <v>38.6</v>
      </c>
      <c r="FV199">
        <v>1.77979</v>
      </c>
      <c r="FW199">
        <v>2.5781200000000002</v>
      </c>
      <c r="FX199">
        <v>1.5490699999999999</v>
      </c>
      <c r="FY199">
        <v>2.3290999999999999</v>
      </c>
      <c r="FZ199">
        <v>1.50146</v>
      </c>
      <c r="GA199">
        <v>2.3925800000000002</v>
      </c>
      <c r="GB199">
        <v>33.850900000000003</v>
      </c>
      <c r="GC199">
        <v>23.991199999999999</v>
      </c>
      <c r="GD199">
        <v>19</v>
      </c>
      <c r="GE199">
        <v>247.833</v>
      </c>
      <c r="GF199">
        <v>582.13</v>
      </c>
      <c r="GG199">
        <v>25.547999999999998</v>
      </c>
      <c r="GH199">
        <v>26.3019</v>
      </c>
      <c r="GI199">
        <v>30.0001</v>
      </c>
      <c r="GJ199">
        <v>26.436900000000001</v>
      </c>
      <c r="GK199">
        <v>26.4114</v>
      </c>
      <c r="GL199">
        <v>35.578099999999999</v>
      </c>
      <c r="GM199">
        <v>-30</v>
      </c>
      <c r="GN199">
        <v>-30</v>
      </c>
      <c r="GO199">
        <v>25.547999999999998</v>
      </c>
      <c r="GP199">
        <v>800</v>
      </c>
      <c r="GQ199">
        <v>12.5298</v>
      </c>
      <c r="GR199">
        <v>99.686899999999994</v>
      </c>
      <c r="GS199">
        <v>99.482699999999994</v>
      </c>
    </row>
    <row r="200" spans="1:201" x14ac:dyDescent="0.25">
      <c r="A200">
        <v>184</v>
      </c>
      <c r="B200">
        <v>1690214246</v>
      </c>
      <c r="C200">
        <v>1978.5</v>
      </c>
      <c r="D200" t="s">
        <v>699</v>
      </c>
      <c r="E200" t="s">
        <v>700</v>
      </c>
      <c r="F200" t="s">
        <v>330</v>
      </c>
      <c r="H200">
        <v>1690214246</v>
      </c>
      <c r="I200">
        <f t="shared" si="60"/>
        <v>2.1135117571857574E-3</v>
      </c>
      <c r="J200">
        <f t="shared" si="61"/>
        <v>2.1135117571857576</v>
      </c>
      <c r="K200">
        <f t="shared" si="62"/>
        <v>39.883528195896666</v>
      </c>
      <c r="L200">
        <f t="shared" si="63"/>
        <v>333.38</v>
      </c>
      <c r="M200">
        <f t="shared" si="64"/>
        <v>23.469905571415467</v>
      </c>
      <c r="N200">
        <f t="shared" si="65"/>
        <v>2.3276005191352329</v>
      </c>
      <c r="O200">
        <f t="shared" si="66"/>
        <v>33.06257277892</v>
      </c>
      <c r="P200">
        <f t="shared" si="67"/>
        <v>0.21855549664241281</v>
      </c>
      <c r="Q200">
        <f t="shared" si="68"/>
        <v>2.0119074797950001</v>
      </c>
      <c r="R200">
        <f t="shared" si="69"/>
        <v>0.20617031135437328</v>
      </c>
      <c r="S200">
        <f t="shared" si="70"/>
        <v>0.12991068104966877</v>
      </c>
      <c r="T200">
        <f t="shared" si="71"/>
        <v>276.11490106799999</v>
      </c>
      <c r="U200">
        <f t="shared" si="72"/>
        <v>28.498498844296368</v>
      </c>
      <c r="V200">
        <f t="shared" si="73"/>
        <v>28.498498844296368</v>
      </c>
      <c r="W200">
        <f t="shared" si="74"/>
        <v>3.9065286834732262</v>
      </c>
      <c r="X200">
        <f t="shared" si="75"/>
        <v>81.837546103380859</v>
      </c>
      <c r="Y200">
        <f t="shared" si="76"/>
        <v>2.9248842992449999</v>
      </c>
      <c r="Z200">
        <f t="shared" si="77"/>
        <v>3.5740127099487502</v>
      </c>
      <c r="AA200">
        <f t="shared" si="78"/>
        <v>0.98164438422822631</v>
      </c>
      <c r="AB200">
        <f t="shared" si="79"/>
        <v>-93.205868491891906</v>
      </c>
      <c r="AC200">
        <f t="shared" si="80"/>
        <v>-165.19352571072895</v>
      </c>
      <c r="AD200">
        <f t="shared" si="81"/>
        <v>-17.850878592993674</v>
      </c>
      <c r="AE200">
        <f t="shared" si="82"/>
        <v>-0.13537172761456873</v>
      </c>
      <c r="AF200">
        <v>32</v>
      </c>
      <c r="AG200">
        <v>11</v>
      </c>
      <c r="AH200">
        <f t="shared" si="83"/>
        <v>1</v>
      </c>
      <c r="AI200">
        <f t="shared" si="84"/>
        <v>0</v>
      </c>
      <c r="AJ200">
        <f t="shared" si="85"/>
        <v>52397.731632319068</v>
      </c>
      <c r="AK200">
        <f t="shared" si="86"/>
        <v>1800</v>
      </c>
      <c r="AL200">
        <f t="shared" si="87"/>
        <v>1499.1120918000001</v>
      </c>
      <c r="AM200">
        <f t="shared" si="88"/>
        <v>0.83284005100000003</v>
      </c>
      <c r="AN200">
        <f t="shared" si="89"/>
        <v>0.15339716725999999</v>
      </c>
      <c r="AO200">
        <v>34.5</v>
      </c>
      <c r="AP200">
        <v>0.5</v>
      </c>
      <c r="AQ200" t="s">
        <v>331</v>
      </c>
      <c r="AR200">
        <v>2</v>
      </c>
      <c r="AS200">
        <v>1690214246</v>
      </c>
      <c r="AT200">
        <v>333.38</v>
      </c>
      <c r="AU200">
        <v>799.93200000000002</v>
      </c>
      <c r="AV200">
        <v>29.4925</v>
      </c>
      <c r="AW200">
        <v>5.9146299999999998</v>
      </c>
      <c r="AX200">
        <v>333.56099999999998</v>
      </c>
      <c r="AY200">
        <v>29.300899999999999</v>
      </c>
      <c r="AZ200">
        <v>300.13600000000002</v>
      </c>
      <c r="BA200">
        <v>99.073800000000006</v>
      </c>
      <c r="BB200">
        <v>0.100034</v>
      </c>
      <c r="BC200">
        <v>26.9755</v>
      </c>
      <c r="BD200">
        <v>27.016500000000001</v>
      </c>
      <c r="BE200">
        <v>28.610199999999999</v>
      </c>
      <c r="BF200">
        <v>0</v>
      </c>
      <c r="BG200">
        <v>0</v>
      </c>
      <c r="BH200">
        <v>10001.200000000001</v>
      </c>
      <c r="BI200">
        <v>1077.4000000000001</v>
      </c>
      <c r="BJ200">
        <v>2.0183800000000001</v>
      </c>
      <c r="BK200">
        <v>-466.55200000000002</v>
      </c>
      <c r="BL200">
        <v>343.51100000000002</v>
      </c>
      <c r="BM200">
        <v>804.69100000000003</v>
      </c>
      <c r="BN200">
        <v>23.5779</v>
      </c>
      <c r="BO200">
        <v>799.93200000000002</v>
      </c>
      <c r="BP200">
        <v>5.9146299999999998</v>
      </c>
      <c r="BQ200">
        <v>2.9219300000000001</v>
      </c>
      <c r="BR200">
        <v>0.58598399999999995</v>
      </c>
      <c r="BS200">
        <v>23.589600000000001</v>
      </c>
      <c r="BT200">
        <v>-0.63347600000000004</v>
      </c>
      <c r="BU200">
        <v>1800</v>
      </c>
      <c r="BV200">
        <v>0.91000700000000001</v>
      </c>
      <c r="BW200">
        <v>3.4003600000000002E-2</v>
      </c>
      <c r="BX200">
        <v>2.1997300000000001E-2</v>
      </c>
      <c r="BY200">
        <v>3.3992000000000001E-2</v>
      </c>
      <c r="BZ200">
        <v>26</v>
      </c>
      <c r="CA200">
        <v>33528.5</v>
      </c>
      <c r="CB200">
        <v>1690211922</v>
      </c>
      <c r="CC200" t="s">
        <v>332</v>
      </c>
      <c r="CD200">
        <v>1690211915</v>
      </c>
      <c r="CE200">
        <v>1690211922</v>
      </c>
      <c r="CF200">
        <v>6</v>
      </c>
      <c r="CG200">
        <v>1.0999999999999999E-2</v>
      </c>
      <c r="CH200">
        <v>8.0000000000000002E-3</v>
      </c>
      <c r="CI200">
        <v>-0.51100000000000001</v>
      </c>
      <c r="CJ200">
        <v>-6.6000000000000003E-2</v>
      </c>
      <c r="CK200">
        <v>800</v>
      </c>
      <c r="CL200">
        <v>6</v>
      </c>
      <c r="CM200">
        <v>0.21</v>
      </c>
      <c r="CN200">
        <v>0.02</v>
      </c>
      <c r="CO200">
        <v>-466.09387499999991</v>
      </c>
      <c r="CP200">
        <v>-2.258600375233887</v>
      </c>
      <c r="CQ200">
        <v>0.22084940428943459</v>
      </c>
      <c r="CR200">
        <v>-1</v>
      </c>
      <c r="CS200">
        <v>23.573987500000001</v>
      </c>
      <c r="CT200">
        <v>3.3592120075008447E-2</v>
      </c>
      <c r="CU200">
        <v>3.7142420155395189E-3</v>
      </c>
      <c r="CV200">
        <v>-1</v>
      </c>
      <c r="CW200">
        <v>0</v>
      </c>
      <c r="CX200">
        <v>0</v>
      </c>
      <c r="CY200" t="s">
        <v>333</v>
      </c>
      <c r="CZ200">
        <v>2.3643299999999998</v>
      </c>
      <c r="DA200">
        <v>2.7138300000000002</v>
      </c>
      <c r="DB200">
        <v>7.7654500000000001E-2</v>
      </c>
      <c r="DC200">
        <v>0.14604800000000001</v>
      </c>
      <c r="DD200">
        <v>0.13147900000000001</v>
      </c>
      <c r="DE200">
        <v>3.8983200000000003E-2</v>
      </c>
      <c r="DF200">
        <v>33662</v>
      </c>
      <c r="DG200">
        <v>27499.200000000001</v>
      </c>
      <c r="DH200">
        <v>31156.9</v>
      </c>
      <c r="DI200">
        <v>28060.2</v>
      </c>
      <c r="DJ200">
        <v>36720.800000000003</v>
      </c>
      <c r="DK200">
        <v>38343.4</v>
      </c>
      <c r="DL200">
        <v>44336.7</v>
      </c>
      <c r="DM200">
        <v>42523.8</v>
      </c>
      <c r="DN200">
        <v>1.3891</v>
      </c>
      <c r="DO200">
        <v>2.0342500000000001</v>
      </c>
      <c r="DP200">
        <v>8.2202300000000006E-2</v>
      </c>
      <c r="DQ200">
        <v>0.18701000000000001</v>
      </c>
      <c r="DR200">
        <v>25.6707</v>
      </c>
      <c r="DS200">
        <v>25.552299999999999</v>
      </c>
      <c r="DT200">
        <v>17.600000000000001</v>
      </c>
      <c r="DU200">
        <v>29.7</v>
      </c>
      <c r="DV200">
        <v>7.4388500000000004</v>
      </c>
      <c r="DW200">
        <v>61.801200000000001</v>
      </c>
      <c r="DX200">
        <v>37.207500000000003</v>
      </c>
      <c r="DY200">
        <v>1</v>
      </c>
      <c r="DZ200">
        <v>-8.6664099999999994E-2</v>
      </c>
      <c r="EA200">
        <v>-0.22609799999999999</v>
      </c>
      <c r="EB200">
        <v>20.1892</v>
      </c>
      <c r="EC200">
        <v>5.24125</v>
      </c>
      <c r="ED200">
        <v>12.039899999999999</v>
      </c>
      <c r="EE200">
        <v>5.0171000000000001</v>
      </c>
      <c r="EF200">
        <v>3.2879999999999998</v>
      </c>
      <c r="EG200">
        <v>9999</v>
      </c>
      <c r="EH200">
        <v>9999</v>
      </c>
      <c r="EI200">
        <v>9999</v>
      </c>
      <c r="EJ200">
        <v>999.9</v>
      </c>
      <c r="EK200">
        <v>1.8689199999999999</v>
      </c>
      <c r="EL200">
        <v>1.8646499999999999</v>
      </c>
      <c r="EM200">
        <v>1.8691899999999999</v>
      </c>
      <c r="EN200">
        <v>1.86724</v>
      </c>
      <c r="EO200">
        <v>1.8633999999999999</v>
      </c>
      <c r="EP200">
        <v>1.8646199999999999</v>
      </c>
      <c r="EQ200">
        <v>1.8701700000000001</v>
      </c>
      <c r="ER200">
        <v>1.8694900000000001</v>
      </c>
      <c r="ES200">
        <v>0</v>
      </c>
      <c r="ET200">
        <v>0</v>
      </c>
      <c r="EU200">
        <v>0</v>
      </c>
      <c r="EV200">
        <v>0</v>
      </c>
      <c r="EW200" t="s">
        <v>334</v>
      </c>
      <c r="EX200" t="s">
        <v>335</v>
      </c>
      <c r="EY200" t="s">
        <v>336</v>
      </c>
      <c r="EZ200" t="s">
        <v>336</v>
      </c>
      <c r="FA200" t="s">
        <v>336</v>
      </c>
      <c r="FB200" t="s">
        <v>336</v>
      </c>
      <c r="FC200">
        <v>0</v>
      </c>
      <c r="FD200">
        <v>100</v>
      </c>
      <c r="FE200">
        <v>100</v>
      </c>
      <c r="FF200">
        <v>-0.18099999999999999</v>
      </c>
      <c r="FG200">
        <v>0.19159999999999999</v>
      </c>
      <c r="FH200">
        <v>4.0020685143421282E-2</v>
      </c>
      <c r="FI200">
        <v>-6.1462078757559423E-4</v>
      </c>
      <c r="FJ200">
        <v>-1.8861989874597051E-7</v>
      </c>
      <c r="FK200">
        <v>1.1980462299894961E-10</v>
      </c>
      <c r="FL200">
        <v>0.19160597004026461</v>
      </c>
      <c r="FM200">
        <v>0</v>
      </c>
      <c r="FN200">
        <v>0</v>
      </c>
      <c r="FO200">
        <v>0</v>
      </c>
      <c r="FP200">
        <v>3</v>
      </c>
      <c r="FQ200">
        <v>2158</v>
      </c>
      <c r="FR200">
        <v>1</v>
      </c>
      <c r="FS200">
        <v>19</v>
      </c>
      <c r="FT200">
        <v>38.9</v>
      </c>
      <c r="FU200">
        <v>38.700000000000003</v>
      </c>
      <c r="FV200">
        <v>1.77979</v>
      </c>
      <c r="FW200">
        <v>2.5805699999999998</v>
      </c>
      <c r="FX200">
        <v>1.5490699999999999</v>
      </c>
      <c r="FY200">
        <v>2.3290999999999999</v>
      </c>
      <c r="FZ200">
        <v>1.50146</v>
      </c>
      <c r="GA200">
        <v>2.3742700000000001</v>
      </c>
      <c r="GB200">
        <v>33.850900000000003</v>
      </c>
      <c r="GC200">
        <v>23.991199999999999</v>
      </c>
      <c r="GD200">
        <v>19</v>
      </c>
      <c r="GE200">
        <v>247.786</v>
      </c>
      <c r="GF200">
        <v>582.21199999999999</v>
      </c>
      <c r="GG200">
        <v>25.543099999999999</v>
      </c>
      <c r="GH200">
        <v>26.299700000000001</v>
      </c>
      <c r="GI200">
        <v>30.0001</v>
      </c>
      <c r="GJ200">
        <v>26.4346</v>
      </c>
      <c r="GK200">
        <v>26.409600000000001</v>
      </c>
      <c r="GL200">
        <v>35.581899999999997</v>
      </c>
      <c r="GM200">
        <v>-30</v>
      </c>
      <c r="GN200">
        <v>-30</v>
      </c>
      <c r="GO200">
        <v>25.533799999999999</v>
      </c>
      <c r="GP200">
        <v>800</v>
      </c>
      <c r="GQ200">
        <v>12.5298</v>
      </c>
      <c r="GR200">
        <v>99.685500000000005</v>
      </c>
      <c r="GS200">
        <v>99.483400000000003</v>
      </c>
    </row>
    <row r="201" spans="1:201" x14ac:dyDescent="0.25">
      <c r="A201">
        <v>185</v>
      </c>
      <c r="B201">
        <v>1690214256</v>
      </c>
      <c r="C201">
        <v>1988.5</v>
      </c>
      <c r="D201" t="s">
        <v>701</v>
      </c>
      <c r="E201" t="s">
        <v>702</v>
      </c>
      <c r="F201" t="s">
        <v>330</v>
      </c>
      <c r="H201">
        <v>1690214256</v>
      </c>
      <c r="I201">
        <f t="shared" si="60"/>
        <v>2.1155656146906736E-3</v>
      </c>
      <c r="J201">
        <f t="shared" si="61"/>
        <v>2.1155656146906736</v>
      </c>
      <c r="K201">
        <f t="shared" si="62"/>
        <v>39.928248200748371</v>
      </c>
      <c r="L201">
        <f t="shared" si="63"/>
        <v>332.91300000000001</v>
      </c>
      <c r="M201">
        <f t="shared" si="64"/>
        <v>23.380139050570943</v>
      </c>
      <c r="N201">
        <f t="shared" si="65"/>
        <v>2.3186658977731431</v>
      </c>
      <c r="O201">
        <f t="shared" si="66"/>
        <v>33.015801076106101</v>
      </c>
      <c r="P201">
        <f t="shared" si="67"/>
        <v>0.21910933542598787</v>
      </c>
      <c r="Q201">
        <f t="shared" si="68"/>
        <v>2.0084263275157888</v>
      </c>
      <c r="R201">
        <f t="shared" si="69"/>
        <v>0.20664296393534148</v>
      </c>
      <c r="S201">
        <f t="shared" si="70"/>
        <v>0.13021276265784312</v>
      </c>
      <c r="T201">
        <f t="shared" si="71"/>
        <v>276.11352247146419</v>
      </c>
      <c r="U201">
        <f t="shared" si="72"/>
        <v>28.501413767463418</v>
      </c>
      <c r="V201">
        <f t="shared" si="73"/>
        <v>28.501413767463418</v>
      </c>
      <c r="W201">
        <f t="shared" si="74"/>
        <v>3.9071901149310202</v>
      </c>
      <c r="X201">
        <f t="shared" si="75"/>
        <v>81.886764803740178</v>
      </c>
      <c r="Y201">
        <f t="shared" si="76"/>
        <v>2.9268668858801297</v>
      </c>
      <c r="Z201">
        <f t="shared" si="77"/>
        <v>3.5742856527486664</v>
      </c>
      <c r="AA201">
        <f t="shared" si="78"/>
        <v>0.98032322905089053</v>
      </c>
      <c r="AB201">
        <f t="shared" si="79"/>
        <v>-93.296443607858706</v>
      </c>
      <c r="AC201">
        <f t="shared" si="80"/>
        <v>-165.08255666296614</v>
      </c>
      <c r="AD201">
        <f t="shared" si="81"/>
        <v>-17.870182825592494</v>
      </c>
      <c r="AE201">
        <f t="shared" si="82"/>
        <v>-0.13566062495314668</v>
      </c>
      <c r="AF201">
        <v>32</v>
      </c>
      <c r="AG201">
        <v>11</v>
      </c>
      <c r="AH201">
        <f t="shared" si="83"/>
        <v>1</v>
      </c>
      <c r="AI201">
        <f t="shared" si="84"/>
        <v>0</v>
      </c>
      <c r="AJ201">
        <f t="shared" si="85"/>
        <v>52230.517427866063</v>
      </c>
      <c r="AK201">
        <f t="shared" si="86"/>
        <v>1799.99</v>
      </c>
      <c r="AL201">
        <f t="shared" si="87"/>
        <v>1499.1044419957198</v>
      </c>
      <c r="AM201">
        <f t="shared" si="88"/>
        <v>0.83284042799999991</v>
      </c>
      <c r="AN201">
        <f t="shared" si="89"/>
        <v>0.15339725358</v>
      </c>
      <c r="AO201">
        <v>34.5</v>
      </c>
      <c r="AP201">
        <v>0.5</v>
      </c>
      <c r="AQ201" t="s">
        <v>331</v>
      </c>
      <c r="AR201">
        <v>2</v>
      </c>
      <c r="AS201">
        <v>1690214256</v>
      </c>
      <c r="AT201">
        <v>332.91300000000001</v>
      </c>
      <c r="AU201">
        <v>799.96</v>
      </c>
      <c r="AV201">
        <v>29.512899999999998</v>
      </c>
      <c r="AW201">
        <v>5.9134000000000002</v>
      </c>
      <c r="AX201">
        <v>333.09399999999999</v>
      </c>
      <c r="AY201">
        <v>29.321300000000001</v>
      </c>
      <c r="AZ201">
        <v>300.14600000000002</v>
      </c>
      <c r="BA201">
        <v>99.072500000000005</v>
      </c>
      <c r="BB201">
        <v>9.9959699999999999E-2</v>
      </c>
      <c r="BC201">
        <v>26.976800000000001</v>
      </c>
      <c r="BD201">
        <v>27.0046</v>
      </c>
      <c r="BE201">
        <v>28.603200000000001</v>
      </c>
      <c r="BF201">
        <v>0</v>
      </c>
      <c r="BG201">
        <v>0</v>
      </c>
      <c r="BH201">
        <v>9968.1200000000008</v>
      </c>
      <c r="BI201">
        <v>1077.43</v>
      </c>
      <c r="BJ201">
        <v>2.0183800000000001</v>
      </c>
      <c r="BK201">
        <v>-467.04700000000003</v>
      </c>
      <c r="BL201">
        <v>343.03699999999998</v>
      </c>
      <c r="BM201">
        <v>804.71799999999996</v>
      </c>
      <c r="BN201">
        <v>23.599499999999999</v>
      </c>
      <c r="BO201">
        <v>799.96</v>
      </c>
      <c r="BP201">
        <v>5.9134000000000002</v>
      </c>
      <c r="BQ201">
        <v>2.9239199999999999</v>
      </c>
      <c r="BR201">
        <v>0.58585500000000001</v>
      </c>
      <c r="BS201">
        <v>23.600899999999999</v>
      </c>
      <c r="BT201">
        <v>-0.63650099999999998</v>
      </c>
      <c r="BU201">
        <v>1799.99</v>
      </c>
      <c r="BV201">
        <v>0.91000700000000001</v>
      </c>
      <c r="BW201">
        <v>3.4003800000000001E-2</v>
      </c>
      <c r="BX201">
        <v>2.19974E-2</v>
      </c>
      <c r="BY201">
        <v>3.39922E-2</v>
      </c>
      <c r="BZ201">
        <v>26</v>
      </c>
      <c r="CA201">
        <v>33528.300000000003</v>
      </c>
      <c r="CB201">
        <v>1690211922</v>
      </c>
      <c r="CC201" t="s">
        <v>332</v>
      </c>
      <c r="CD201">
        <v>1690211915</v>
      </c>
      <c r="CE201">
        <v>1690211922</v>
      </c>
      <c r="CF201">
        <v>6</v>
      </c>
      <c r="CG201">
        <v>1.0999999999999999E-2</v>
      </c>
      <c r="CH201">
        <v>8.0000000000000002E-3</v>
      </c>
      <c r="CI201">
        <v>-0.51100000000000001</v>
      </c>
      <c r="CJ201">
        <v>-6.6000000000000003E-2</v>
      </c>
      <c r="CK201">
        <v>800</v>
      </c>
      <c r="CL201">
        <v>6</v>
      </c>
      <c r="CM201">
        <v>0.21</v>
      </c>
      <c r="CN201">
        <v>0.02</v>
      </c>
      <c r="CO201">
        <v>-466.589225</v>
      </c>
      <c r="CP201">
        <v>-3.690968105065259</v>
      </c>
      <c r="CQ201">
        <v>0.36024252160870512</v>
      </c>
      <c r="CR201">
        <v>-1</v>
      </c>
      <c r="CS201">
        <v>23.581767500000002</v>
      </c>
      <c r="CT201">
        <v>6.3229643527201146E-2</v>
      </c>
      <c r="CU201">
        <v>6.9456600658254868E-3</v>
      </c>
      <c r="CV201">
        <v>-1</v>
      </c>
      <c r="CW201">
        <v>0</v>
      </c>
      <c r="CX201">
        <v>0</v>
      </c>
      <c r="CY201" t="s">
        <v>333</v>
      </c>
      <c r="CZ201">
        <v>2.3643399999999999</v>
      </c>
      <c r="DA201">
        <v>2.7137199999999999</v>
      </c>
      <c r="DB201">
        <v>7.7567200000000003E-2</v>
      </c>
      <c r="DC201">
        <v>0.14605000000000001</v>
      </c>
      <c r="DD201">
        <v>0.13154099999999999</v>
      </c>
      <c r="DE201">
        <v>3.89761E-2</v>
      </c>
      <c r="DF201">
        <v>33664.800000000003</v>
      </c>
      <c r="DG201">
        <v>27499.4</v>
      </c>
      <c r="DH201">
        <v>31156.5</v>
      </c>
      <c r="DI201">
        <v>28060.5</v>
      </c>
      <c r="DJ201">
        <v>36718.1</v>
      </c>
      <c r="DK201">
        <v>38344</v>
      </c>
      <c r="DL201">
        <v>44336.7</v>
      </c>
      <c r="DM201">
        <v>42524.1</v>
      </c>
      <c r="DN201">
        <v>1.38897</v>
      </c>
      <c r="DO201">
        <v>2.03417</v>
      </c>
      <c r="DP201">
        <v>8.1255999999999995E-2</v>
      </c>
      <c r="DQ201">
        <v>0.18646599999999999</v>
      </c>
      <c r="DR201">
        <v>25.674299999999999</v>
      </c>
      <c r="DS201">
        <v>25.554099999999998</v>
      </c>
      <c r="DT201">
        <v>17.600000000000001</v>
      </c>
      <c r="DU201">
        <v>29.7</v>
      </c>
      <c r="DV201">
        <v>7.4400300000000001</v>
      </c>
      <c r="DW201">
        <v>62.031199999999998</v>
      </c>
      <c r="DX201">
        <v>37.207500000000003</v>
      </c>
      <c r="DY201">
        <v>1</v>
      </c>
      <c r="DZ201">
        <v>-8.6620900000000001E-2</v>
      </c>
      <c r="EA201">
        <v>-0.18413399999999999</v>
      </c>
      <c r="EB201">
        <v>20.189299999999999</v>
      </c>
      <c r="EC201">
        <v>5.2408000000000001</v>
      </c>
      <c r="ED201">
        <v>12.039899999999999</v>
      </c>
      <c r="EE201">
        <v>5.0171000000000001</v>
      </c>
      <c r="EF201">
        <v>3.2879999999999998</v>
      </c>
      <c r="EG201">
        <v>9999</v>
      </c>
      <c r="EH201">
        <v>9999</v>
      </c>
      <c r="EI201">
        <v>9999</v>
      </c>
      <c r="EJ201">
        <v>999.9</v>
      </c>
      <c r="EK201">
        <v>1.86894</v>
      </c>
      <c r="EL201">
        <v>1.8646400000000001</v>
      </c>
      <c r="EM201">
        <v>1.86917</v>
      </c>
      <c r="EN201">
        <v>1.86724</v>
      </c>
      <c r="EO201">
        <v>1.8633999999999999</v>
      </c>
      <c r="EP201">
        <v>1.86459</v>
      </c>
      <c r="EQ201">
        <v>1.87018</v>
      </c>
      <c r="ER201">
        <v>1.86947</v>
      </c>
      <c r="ES201">
        <v>0</v>
      </c>
      <c r="ET201">
        <v>0</v>
      </c>
      <c r="EU201">
        <v>0</v>
      </c>
      <c r="EV201">
        <v>0</v>
      </c>
      <c r="EW201" t="s">
        <v>334</v>
      </c>
      <c r="EX201" t="s">
        <v>335</v>
      </c>
      <c r="EY201" t="s">
        <v>336</v>
      </c>
      <c r="EZ201" t="s">
        <v>336</v>
      </c>
      <c r="FA201" t="s">
        <v>336</v>
      </c>
      <c r="FB201" t="s">
        <v>336</v>
      </c>
      <c r="FC201">
        <v>0</v>
      </c>
      <c r="FD201">
        <v>100</v>
      </c>
      <c r="FE201">
        <v>100</v>
      </c>
      <c r="FF201">
        <v>-0.18099999999999999</v>
      </c>
      <c r="FG201">
        <v>0.19159999999999999</v>
      </c>
      <c r="FH201">
        <v>4.0020685143421282E-2</v>
      </c>
      <c r="FI201">
        <v>-6.1462078757559423E-4</v>
      </c>
      <c r="FJ201">
        <v>-1.8861989874597051E-7</v>
      </c>
      <c r="FK201">
        <v>1.1980462299894961E-10</v>
      </c>
      <c r="FL201">
        <v>0.19160597004026461</v>
      </c>
      <c r="FM201">
        <v>0</v>
      </c>
      <c r="FN201">
        <v>0</v>
      </c>
      <c r="FO201">
        <v>0</v>
      </c>
      <c r="FP201">
        <v>3</v>
      </c>
      <c r="FQ201">
        <v>2158</v>
      </c>
      <c r="FR201">
        <v>1</v>
      </c>
      <c r="FS201">
        <v>19</v>
      </c>
      <c r="FT201">
        <v>39</v>
      </c>
      <c r="FU201">
        <v>38.9</v>
      </c>
      <c r="FV201">
        <v>1.77979</v>
      </c>
      <c r="FW201">
        <v>2.5817899999999998</v>
      </c>
      <c r="FX201">
        <v>1.5490699999999999</v>
      </c>
      <c r="FY201">
        <v>2.3290999999999999</v>
      </c>
      <c r="FZ201">
        <v>1.50146</v>
      </c>
      <c r="GA201">
        <v>2.34375</v>
      </c>
      <c r="GB201">
        <v>33.850900000000003</v>
      </c>
      <c r="GC201">
        <v>23.982399999999998</v>
      </c>
      <c r="GD201">
        <v>19</v>
      </c>
      <c r="GE201">
        <v>247.738</v>
      </c>
      <c r="GF201">
        <v>582.15</v>
      </c>
      <c r="GG201">
        <v>25.5151</v>
      </c>
      <c r="GH201">
        <v>26.299700000000001</v>
      </c>
      <c r="GI201">
        <v>30.0001</v>
      </c>
      <c r="GJ201">
        <v>26.4346</v>
      </c>
      <c r="GK201">
        <v>26.409600000000001</v>
      </c>
      <c r="GL201">
        <v>35.581800000000001</v>
      </c>
      <c r="GM201">
        <v>-30</v>
      </c>
      <c r="GN201">
        <v>-30</v>
      </c>
      <c r="GO201">
        <v>25.508099999999999</v>
      </c>
      <c r="GP201">
        <v>800</v>
      </c>
      <c r="GQ201">
        <v>12.5298</v>
      </c>
      <c r="GR201">
        <v>99.685000000000002</v>
      </c>
      <c r="GS201">
        <v>99.484200000000001</v>
      </c>
    </row>
    <row r="202" spans="1:201" x14ac:dyDescent="0.25">
      <c r="A202">
        <v>186</v>
      </c>
      <c r="B202">
        <v>1690214266</v>
      </c>
      <c r="C202">
        <v>1998.5</v>
      </c>
      <c r="D202" t="s">
        <v>703</v>
      </c>
      <c r="E202" t="s">
        <v>704</v>
      </c>
      <c r="F202" t="s">
        <v>330</v>
      </c>
      <c r="H202">
        <v>1690214266</v>
      </c>
      <c r="I202">
        <f t="shared" si="60"/>
        <v>2.1166740151132841E-3</v>
      </c>
      <c r="J202">
        <f t="shared" si="61"/>
        <v>2.1166740151132841</v>
      </c>
      <c r="K202">
        <f t="shared" si="62"/>
        <v>39.985578041113847</v>
      </c>
      <c r="L202">
        <f t="shared" si="63"/>
        <v>332.34500000000003</v>
      </c>
      <c r="M202">
        <f t="shared" si="64"/>
        <v>23.320153789441829</v>
      </c>
      <c r="N202">
        <f t="shared" si="65"/>
        <v>2.312805530520976</v>
      </c>
      <c r="O202">
        <f t="shared" si="66"/>
        <v>32.960732634147497</v>
      </c>
      <c r="P202">
        <f t="shared" si="67"/>
        <v>0.21978291112848111</v>
      </c>
      <c r="Q202">
        <f t="shared" si="68"/>
        <v>2.0138992670036773</v>
      </c>
      <c r="R202">
        <f t="shared" si="69"/>
        <v>0.20727412779614252</v>
      </c>
      <c r="S202">
        <f t="shared" si="70"/>
        <v>0.13061082994008305</v>
      </c>
      <c r="T202">
        <f t="shared" si="71"/>
        <v>276.11480302199999</v>
      </c>
      <c r="U202">
        <f t="shared" si="72"/>
        <v>28.495078690388159</v>
      </c>
      <c r="V202">
        <f t="shared" si="73"/>
        <v>28.495078690388159</v>
      </c>
      <c r="W202">
        <f t="shared" si="74"/>
        <v>3.9057527335483906</v>
      </c>
      <c r="X202">
        <f t="shared" si="75"/>
        <v>81.925180872661755</v>
      </c>
      <c r="Y202">
        <f t="shared" si="76"/>
        <v>2.9278615796198997</v>
      </c>
      <c r="Z202">
        <f t="shared" si="77"/>
        <v>3.5738237602071874</v>
      </c>
      <c r="AA202">
        <f t="shared" si="78"/>
        <v>0.97789115392849091</v>
      </c>
      <c r="AB202">
        <f t="shared" si="79"/>
        <v>-93.345324066495834</v>
      </c>
      <c r="AC202">
        <f t="shared" si="80"/>
        <v>-165.08344568267509</v>
      </c>
      <c r="AD202">
        <f t="shared" si="81"/>
        <v>-17.820955800152046</v>
      </c>
      <c r="AE202">
        <f t="shared" si="82"/>
        <v>-0.13492252732297061</v>
      </c>
      <c r="AF202">
        <v>32</v>
      </c>
      <c r="AG202">
        <v>11</v>
      </c>
      <c r="AH202">
        <f t="shared" si="83"/>
        <v>1</v>
      </c>
      <c r="AI202">
        <f t="shared" si="84"/>
        <v>0</v>
      </c>
      <c r="AJ202">
        <f t="shared" si="85"/>
        <v>52493.655059069832</v>
      </c>
      <c r="AK202">
        <f t="shared" si="86"/>
        <v>1800</v>
      </c>
      <c r="AL202">
        <f t="shared" si="87"/>
        <v>1499.1116742000002</v>
      </c>
      <c r="AM202">
        <f t="shared" si="88"/>
        <v>0.83283981900000004</v>
      </c>
      <c r="AN202">
        <f t="shared" si="89"/>
        <v>0.15339711278999998</v>
      </c>
      <c r="AO202">
        <v>34.5</v>
      </c>
      <c r="AP202">
        <v>0.5</v>
      </c>
      <c r="AQ202" t="s">
        <v>331</v>
      </c>
      <c r="AR202">
        <v>2</v>
      </c>
      <c r="AS202">
        <v>1690214266</v>
      </c>
      <c r="AT202">
        <v>332.34500000000003</v>
      </c>
      <c r="AU202">
        <v>800.00400000000002</v>
      </c>
      <c r="AV202">
        <v>29.521799999999999</v>
      </c>
      <c r="AW202">
        <v>5.9120400000000002</v>
      </c>
      <c r="AX202">
        <v>332.52600000000001</v>
      </c>
      <c r="AY202">
        <v>29.330200000000001</v>
      </c>
      <c r="AZ202">
        <v>300.17</v>
      </c>
      <c r="BA202">
        <v>99.076300000000003</v>
      </c>
      <c r="BB202">
        <v>9.9955500000000003E-2</v>
      </c>
      <c r="BC202">
        <v>26.974599999999999</v>
      </c>
      <c r="BD202">
        <v>26.987200000000001</v>
      </c>
      <c r="BE202">
        <v>28.578800000000001</v>
      </c>
      <c r="BF202">
        <v>0</v>
      </c>
      <c r="BG202">
        <v>0</v>
      </c>
      <c r="BH202">
        <v>10020</v>
      </c>
      <c r="BI202">
        <v>1077.3699999999999</v>
      </c>
      <c r="BJ202">
        <v>2.0183800000000001</v>
      </c>
      <c r="BK202">
        <v>-467.65899999999999</v>
      </c>
      <c r="BL202">
        <v>342.45499999999998</v>
      </c>
      <c r="BM202">
        <v>804.76199999999994</v>
      </c>
      <c r="BN202">
        <v>23.6098</v>
      </c>
      <c r="BO202">
        <v>800.00400000000002</v>
      </c>
      <c r="BP202">
        <v>5.9120400000000002</v>
      </c>
      <c r="BQ202">
        <v>2.9249100000000001</v>
      </c>
      <c r="BR202">
        <v>0.58574300000000001</v>
      </c>
      <c r="BS202">
        <v>23.6065</v>
      </c>
      <c r="BT202">
        <v>-0.63912400000000003</v>
      </c>
      <c r="BU202">
        <v>1800</v>
      </c>
      <c r="BV202">
        <v>0.91000700000000001</v>
      </c>
      <c r="BW202">
        <v>3.4003499999999999E-2</v>
      </c>
      <c r="BX202">
        <v>2.1997200000000001E-2</v>
      </c>
      <c r="BY202">
        <v>3.3991899999999999E-2</v>
      </c>
      <c r="BZ202">
        <v>26</v>
      </c>
      <c r="CA202">
        <v>33528.5</v>
      </c>
      <c r="CB202">
        <v>1690211922</v>
      </c>
      <c r="CC202" t="s">
        <v>332</v>
      </c>
      <c r="CD202">
        <v>1690211915</v>
      </c>
      <c r="CE202">
        <v>1690211922</v>
      </c>
      <c r="CF202">
        <v>6</v>
      </c>
      <c r="CG202">
        <v>1.0999999999999999E-2</v>
      </c>
      <c r="CH202">
        <v>8.0000000000000002E-3</v>
      </c>
      <c r="CI202">
        <v>-0.51100000000000001</v>
      </c>
      <c r="CJ202">
        <v>-6.6000000000000003E-2</v>
      </c>
      <c r="CK202">
        <v>800</v>
      </c>
      <c r="CL202">
        <v>6</v>
      </c>
      <c r="CM202">
        <v>0.21</v>
      </c>
      <c r="CN202">
        <v>0.02</v>
      </c>
      <c r="CO202">
        <v>-467.14924390243903</v>
      </c>
      <c r="CP202">
        <v>-2.9531498257832922</v>
      </c>
      <c r="CQ202">
        <v>0.30257349685556362</v>
      </c>
      <c r="CR202">
        <v>-1</v>
      </c>
      <c r="CS202">
        <v>23.59578780487805</v>
      </c>
      <c r="CT202">
        <v>0.1010508710801496</v>
      </c>
      <c r="CU202">
        <v>1.015007377413913E-2</v>
      </c>
      <c r="CV202">
        <v>-1</v>
      </c>
      <c r="CW202">
        <v>0</v>
      </c>
      <c r="CX202">
        <v>0</v>
      </c>
      <c r="CY202" t="s">
        <v>333</v>
      </c>
      <c r="CZ202">
        <v>2.36443</v>
      </c>
      <c r="DA202">
        <v>2.7137600000000002</v>
      </c>
      <c r="DB202">
        <v>7.74648E-2</v>
      </c>
      <c r="DC202">
        <v>0.146061</v>
      </c>
      <c r="DD202">
        <v>0.131573</v>
      </c>
      <c r="DE202">
        <v>3.8970499999999998E-2</v>
      </c>
      <c r="DF202">
        <v>33668.5</v>
      </c>
      <c r="DG202">
        <v>27499.3</v>
      </c>
      <c r="DH202">
        <v>31156.5</v>
      </c>
      <c r="DI202">
        <v>28060.799999999999</v>
      </c>
      <c r="DJ202">
        <v>36716.6</v>
      </c>
      <c r="DK202">
        <v>38344.5</v>
      </c>
      <c r="DL202">
        <v>44336.5</v>
      </c>
      <c r="DM202">
        <v>42524.5</v>
      </c>
      <c r="DN202">
        <v>1.3891800000000001</v>
      </c>
      <c r="DO202">
        <v>2.0340199999999999</v>
      </c>
      <c r="DP202">
        <v>8.0063899999999993E-2</v>
      </c>
      <c r="DQ202">
        <v>0.18484100000000001</v>
      </c>
      <c r="DR202">
        <v>25.676500000000001</v>
      </c>
      <c r="DS202">
        <v>25.5562</v>
      </c>
      <c r="DT202">
        <v>17.600000000000001</v>
      </c>
      <c r="DU202">
        <v>29.7</v>
      </c>
      <c r="DV202">
        <v>7.43879</v>
      </c>
      <c r="DW202">
        <v>61.421199999999999</v>
      </c>
      <c r="DX202">
        <v>36.878999999999998</v>
      </c>
      <c r="DY202">
        <v>1</v>
      </c>
      <c r="DZ202">
        <v>-8.6669200000000002E-2</v>
      </c>
      <c r="EA202">
        <v>-0.30103999999999997</v>
      </c>
      <c r="EB202">
        <v>20.1892</v>
      </c>
      <c r="EC202">
        <v>5.2408000000000001</v>
      </c>
      <c r="ED202">
        <v>12.039899999999999</v>
      </c>
      <c r="EE202">
        <v>5.01715</v>
      </c>
      <c r="EF202">
        <v>3.2879999999999998</v>
      </c>
      <c r="EG202">
        <v>9999</v>
      </c>
      <c r="EH202">
        <v>9999</v>
      </c>
      <c r="EI202">
        <v>9999</v>
      </c>
      <c r="EJ202">
        <v>999.9</v>
      </c>
      <c r="EK202">
        <v>1.86893</v>
      </c>
      <c r="EL202">
        <v>1.8646499999999999</v>
      </c>
      <c r="EM202">
        <v>1.8692</v>
      </c>
      <c r="EN202">
        <v>1.8672299999999999</v>
      </c>
      <c r="EO202">
        <v>1.8633999999999999</v>
      </c>
      <c r="EP202">
        <v>1.86459</v>
      </c>
      <c r="EQ202">
        <v>1.87019</v>
      </c>
      <c r="ER202">
        <v>1.8694599999999999</v>
      </c>
      <c r="ES202">
        <v>0</v>
      </c>
      <c r="ET202">
        <v>0</v>
      </c>
      <c r="EU202">
        <v>0</v>
      </c>
      <c r="EV202">
        <v>0</v>
      </c>
      <c r="EW202" t="s">
        <v>334</v>
      </c>
      <c r="EX202" t="s">
        <v>335</v>
      </c>
      <c r="EY202" t="s">
        <v>336</v>
      </c>
      <c r="EZ202" t="s">
        <v>336</v>
      </c>
      <c r="FA202" t="s">
        <v>336</v>
      </c>
      <c r="FB202" t="s">
        <v>336</v>
      </c>
      <c r="FC202">
        <v>0</v>
      </c>
      <c r="FD202">
        <v>100</v>
      </c>
      <c r="FE202">
        <v>100</v>
      </c>
      <c r="FF202">
        <v>-0.18099999999999999</v>
      </c>
      <c r="FG202">
        <v>0.19159999999999999</v>
      </c>
      <c r="FH202">
        <v>4.0020685143421282E-2</v>
      </c>
      <c r="FI202">
        <v>-6.1462078757559423E-4</v>
      </c>
      <c r="FJ202">
        <v>-1.8861989874597051E-7</v>
      </c>
      <c r="FK202">
        <v>1.1980462299894961E-10</v>
      </c>
      <c r="FL202">
        <v>0.19160597004026461</v>
      </c>
      <c r="FM202">
        <v>0</v>
      </c>
      <c r="FN202">
        <v>0</v>
      </c>
      <c r="FO202">
        <v>0</v>
      </c>
      <c r="FP202">
        <v>3</v>
      </c>
      <c r="FQ202">
        <v>2158</v>
      </c>
      <c r="FR202">
        <v>1</v>
      </c>
      <c r="FS202">
        <v>19</v>
      </c>
      <c r="FT202">
        <v>39.200000000000003</v>
      </c>
      <c r="FU202">
        <v>39.1</v>
      </c>
      <c r="FV202">
        <v>1.77979</v>
      </c>
      <c r="FW202">
        <v>2.5842299999999998</v>
      </c>
      <c r="FX202">
        <v>1.5490699999999999</v>
      </c>
      <c r="FY202">
        <v>2.3290999999999999</v>
      </c>
      <c r="FZ202">
        <v>1.50146</v>
      </c>
      <c r="GA202">
        <v>2.3156699999999999</v>
      </c>
      <c r="GB202">
        <v>33.850900000000003</v>
      </c>
      <c r="GC202">
        <v>23.982399999999998</v>
      </c>
      <c r="GD202">
        <v>19</v>
      </c>
      <c r="GE202">
        <v>247.815</v>
      </c>
      <c r="GF202">
        <v>582.00099999999998</v>
      </c>
      <c r="GG202">
        <v>25.501000000000001</v>
      </c>
      <c r="GH202">
        <v>26.299700000000001</v>
      </c>
      <c r="GI202">
        <v>30.0001</v>
      </c>
      <c r="GJ202">
        <v>26.4346</v>
      </c>
      <c r="GK202">
        <v>26.407399999999999</v>
      </c>
      <c r="GL202">
        <v>35.58</v>
      </c>
      <c r="GM202">
        <v>-30</v>
      </c>
      <c r="GN202">
        <v>-30</v>
      </c>
      <c r="GO202">
        <v>25.523399999999999</v>
      </c>
      <c r="GP202">
        <v>800</v>
      </c>
      <c r="GQ202">
        <v>12.5298</v>
      </c>
      <c r="GR202">
        <v>99.684700000000007</v>
      </c>
      <c r="GS202">
        <v>99.485100000000003</v>
      </c>
    </row>
    <row r="203" spans="1:201" x14ac:dyDescent="0.25">
      <c r="A203">
        <v>187</v>
      </c>
      <c r="B203">
        <v>1690214276</v>
      </c>
      <c r="C203">
        <v>2008.5</v>
      </c>
      <c r="D203" t="s">
        <v>705</v>
      </c>
      <c r="E203" t="s">
        <v>706</v>
      </c>
      <c r="F203" t="s">
        <v>330</v>
      </c>
      <c r="H203">
        <v>1690214276</v>
      </c>
      <c r="I203">
        <f t="shared" si="60"/>
        <v>2.1175479186712289E-3</v>
      </c>
      <c r="J203">
        <f t="shared" si="61"/>
        <v>2.1175479186712289</v>
      </c>
      <c r="K203">
        <f t="shared" si="62"/>
        <v>40.030209117373225</v>
      </c>
      <c r="L203">
        <f t="shared" si="63"/>
        <v>331.92599999999999</v>
      </c>
      <c r="M203">
        <f t="shared" si="64"/>
        <v>23.193878996095698</v>
      </c>
      <c r="N203">
        <f t="shared" si="65"/>
        <v>2.3001772770881779</v>
      </c>
      <c r="O203">
        <f t="shared" si="66"/>
        <v>32.917678108232401</v>
      </c>
      <c r="P203">
        <f t="shared" si="67"/>
        <v>0.22027531066725672</v>
      </c>
      <c r="Q203">
        <f t="shared" si="68"/>
        <v>2.0103867792911654</v>
      </c>
      <c r="R203">
        <f t="shared" si="69"/>
        <v>0.20769153103051577</v>
      </c>
      <c r="S203">
        <f t="shared" si="70"/>
        <v>0.13087786481791353</v>
      </c>
      <c r="T203">
        <f t="shared" si="71"/>
        <v>276.11493854399998</v>
      </c>
      <c r="U203">
        <f t="shared" si="72"/>
        <v>28.490168097482389</v>
      </c>
      <c r="V203">
        <f t="shared" si="73"/>
        <v>28.490168097482389</v>
      </c>
      <c r="W203">
        <f t="shared" si="74"/>
        <v>3.9046388742539575</v>
      </c>
      <c r="X203">
        <f t="shared" si="75"/>
        <v>81.97263236708045</v>
      </c>
      <c r="Y203">
        <f t="shared" si="76"/>
        <v>2.9283529791209397</v>
      </c>
      <c r="Z203">
        <f t="shared" si="77"/>
        <v>3.5723544487476322</v>
      </c>
      <c r="AA203">
        <f t="shared" si="78"/>
        <v>0.97628589513301778</v>
      </c>
      <c r="AB203">
        <f t="shared" si="79"/>
        <v>-93.383863213401199</v>
      </c>
      <c r="AC203">
        <f t="shared" si="80"/>
        <v>-165.02197811436125</v>
      </c>
      <c r="AD203">
        <f t="shared" si="81"/>
        <v>-17.84438513744567</v>
      </c>
      <c r="AE203">
        <f t="shared" si="82"/>
        <v>-0.13528792120811772</v>
      </c>
      <c r="AF203">
        <v>32</v>
      </c>
      <c r="AG203">
        <v>11</v>
      </c>
      <c r="AH203">
        <f t="shared" si="83"/>
        <v>1</v>
      </c>
      <c r="AI203">
        <f t="shared" si="84"/>
        <v>0</v>
      </c>
      <c r="AJ203">
        <f t="shared" si="85"/>
        <v>52326.082400127096</v>
      </c>
      <c r="AK203">
        <f t="shared" si="86"/>
        <v>1800</v>
      </c>
      <c r="AL203">
        <f t="shared" si="87"/>
        <v>1499.1129234</v>
      </c>
      <c r="AM203">
        <f t="shared" si="88"/>
        <v>0.83284051300000006</v>
      </c>
      <c r="AN203">
        <f t="shared" si="89"/>
        <v>0.15339718808</v>
      </c>
      <c r="AO203">
        <v>34.5</v>
      </c>
      <c r="AP203">
        <v>0.5</v>
      </c>
      <c r="AQ203" t="s">
        <v>331</v>
      </c>
      <c r="AR203">
        <v>2</v>
      </c>
      <c r="AS203">
        <v>1690214276</v>
      </c>
      <c r="AT203">
        <v>331.92599999999999</v>
      </c>
      <c r="AU203">
        <v>800.04899999999998</v>
      </c>
      <c r="AV203">
        <v>29.528099999999998</v>
      </c>
      <c r="AW203">
        <v>5.9108700000000001</v>
      </c>
      <c r="AX203">
        <v>332.10599999999999</v>
      </c>
      <c r="AY203">
        <v>29.336500000000001</v>
      </c>
      <c r="AZ203">
        <v>300.197</v>
      </c>
      <c r="BA203">
        <v>99.071799999999996</v>
      </c>
      <c r="BB203">
        <v>9.9937399999999996E-2</v>
      </c>
      <c r="BC203">
        <v>26.967600000000001</v>
      </c>
      <c r="BD203">
        <v>27.0062</v>
      </c>
      <c r="BE203">
        <v>28.5901</v>
      </c>
      <c r="BF203">
        <v>0</v>
      </c>
      <c r="BG203">
        <v>0</v>
      </c>
      <c r="BH203">
        <v>9986.8799999999992</v>
      </c>
      <c r="BI203">
        <v>1077.3900000000001</v>
      </c>
      <c r="BJ203">
        <v>2.0183800000000001</v>
      </c>
      <c r="BK203">
        <v>-468.12299999999999</v>
      </c>
      <c r="BL203">
        <v>342.02499999999998</v>
      </c>
      <c r="BM203">
        <v>804.80600000000004</v>
      </c>
      <c r="BN203">
        <v>23.6172</v>
      </c>
      <c r="BO203">
        <v>800.04899999999998</v>
      </c>
      <c r="BP203">
        <v>5.9108700000000001</v>
      </c>
      <c r="BQ203">
        <v>2.9253999999999998</v>
      </c>
      <c r="BR203">
        <v>0.58560100000000004</v>
      </c>
      <c r="BS203">
        <v>23.609300000000001</v>
      </c>
      <c r="BT203">
        <v>-0.64244199999999996</v>
      </c>
      <c r="BU203">
        <v>1800</v>
      </c>
      <c r="BV203">
        <v>0.91000899999999996</v>
      </c>
      <c r="BW203">
        <v>3.4002999999999999E-2</v>
      </c>
      <c r="BX203">
        <v>2.19969E-2</v>
      </c>
      <c r="BY203">
        <v>3.3991399999999998E-2</v>
      </c>
      <c r="BZ203">
        <v>26</v>
      </c>
      <c r="CA203">
        <v>33528.5</v>
      </c>
      <c r="CB203">
        <v>1690211922</v>
      </c>
      <c r="CC203" t="s">
        <v>332</v>
      </c>
      <c r="CD203">
        <v>1690211915</v>
      </c>
      <c r="CE203">
        <v>1690211922</v>
      </c>
      <c r="CF203">
        <v>6</v>
      </c>
      <c r="CG203">
        <v>1.0999999999999999E-2</v>
      </c>
      <c r="CH203">
        <v>8.0000000000000002E-3</v>
      </c>
      <c r="CI203">
        <v>-0.51100000000000001</v>
      </c>
      <c r="CJ203">
        <v>-6.6000000000000003E-2</v>
      </c>
      <c r="CK203">
        <v>800</v>
      </c>
      <c r="CL203">
        <v>6</v>
      </c>
      <c r="CM203">
        <v>0.21</v>
      </c>
      <c r="CN203">
        <v>0.02</v>
      </c>
      <c r="CO203">
        <v>-467.56775609756102</v>
      </c>
      <c r="CP203">
        <v>-2.9214982578399029</v>
      </c>
      <c r="CQ203">
        <v>0.29490881438892691</v>
      </c>
      <c r="CR203">
        <v>-1</v>
      </c>
      <c r="CS203">
        <v>23.608619512195119</v>
      </c>
      <c r="CT203">
        <v>6.4802090592331815E-2</v>
      </c>
      <c r="CU203">
        <v>6.412077761963053E-3</v>
      </c>
      <c r="CV203">
        <v>-1</v>
      </c>
      <c r="CW203">
        <v>0</v>
      </c>
      <c r="CX203">
        <v>0</v>
      </c>
      <c r="CY203" t="s">
        <v>333</v>
      </c>
      <c r="CZ203">
        <v>2.3645299999999998</v>
      </c>
      <c r="DA203">
        <v>2.7137199999999999</v>
      </c>
      <c r="DB203">
        <v>7.7383999999999994E-2</v>
      </c>
      <c r="DC203">
        <v>0.14606</v>
      </c>
      <c r="DD203">
        <v>0.13158700000000001</v>
      </c>
      <c r="DE203">
        <v>3.8962499999999997E-2</v>
      </c>
      <c r="DF203">
        <v>33671.800000000003</v>
      </c>
      <c r="DG203">
        <v>27499.5</v>
      </c>
      <c r="DH203">
        <v>31156.799999999999</v>
      </c>
      <c r="DI203">
        <v>28061</v>
      </c>
      <c r="DJ203">
        <v>36716.199999999997</v>
      </c>
      <c r="DK203">
        <v>38345</v>
      </c>
      <c r="DL203">
        <v>44336.9</v>
      </c>
      <c r="DM203">
        <v>42524.7</v>
      </c>
      <c r="DN203">
        <v>1.3891800000000001</v>
      </c>
      <c r="DO203">
        <v>2.0339800000000001</v>
      </c>
      <c r="DP203">
        <v>8.1308199999999997E-2</v>
      </c>
      <c r="DQ203">
        <v>0.185415</v>
      </c>
      <c r="DR203">
        <v>25.675000000000001</v>
      </c>
      <c r="DS203">
        <v>25.558199999999999</v>
      </c>
      <c r="DT203">
        <v>17.600000000000001</v>
      </c>
      <c r="DU203">
        <v>29.7</v>
      </c>
      <c r="DV203">
        <v>7.43933</v>
      </c>
      <c r="DW203">
        <v>61.621200000000002</v>
      </c>
      <c r="DX203">
        <v>36.5304</v>
      </c>
      <c r="DY203">
        <v>1</v>
      </c>
      <c r="DZ203">
        <v>-8.6905499999999997E-2</v>
      </c>
      <c r="EA203">
        <v>-0.27041399999999999</v>
      </c>
      <c r="EB203">
        <v>20.1891</v>
      </c>
      <c r="EC203">
        <v>5.24125</v>
      </c>
      <c r="ED203">
        <v>12.039899999999999</v>
      </c>
      <c r="EE203">
        <v>5.0175000000000001</v>
      </c>
      <c r="EF203">
        <v>3.2879999999999998</v>
      </c>
      <c r="EG203">
        <v>9999</v>
      </c>
      <c r="EH203">
        <v>9999</v>
      </c>
      <c r="EI203">
        <v>9999</v>
      </c>
      <c r="EJ203">
        <v>999.9</v>
      </c>
      <c r="EK203">
        <v>1.8689199999999999</v>
      </c>
      <c r="EL203">
        <v>1.86466</v>
      </c>
      <c r="EM203">
        <v>1.86917</v>
      </c>
      <c r="EN203">
        <v>1.86727</v>
      </c>
      <c r="EO203">
        <v>1.8633999999999999</v>
      </c>
      <c r="EP203">
        <v>1.8646</v>
      </c>
      <c r="EQ203">
        <v>1.8701700000000001</v>
      </c>
      <c r="ER203">
        <v>1.8694900000000001</v>
      </c>
      <c r="ES203">
        <v>0</v>
      </c>
      <c r="ET203">
        <v>0</v>
      </c>
      <c r="EU203">
        <v>0</v>
      </c>
      <c r="EV203">
        <v>0</v>
      </c>
      <c r="EW203" t="s">
        <v>334</v>
      </c>
      <c r="EX203" t="s">
        <v>335</v>
      </c>
      <c r="EY203" t="s">
        <v>336</v>
      </c>
      <c r="EZ203" t="s">
        <v>336</v>
      </c>
      <c r="FA203" t="s">
        <v>336</v>
      </c>
      <c r="FB203" t="s">
        <v>336</v>
      </c>
      <c r="FC203">
        <v>0</v>
      </c>
      <c r="FD203">
        <v>100</v>
      </c>
      <c r="FE203">
        <v>100</v>
      </c>
      <c r="FF203">
        <v>-0.18</v>
      </c>
      <c r="FG203">
        <v>0.19159999999999999</v>
      </c>
      <c r="FH203">
        <v>4.0020685143421282E-2</v>
      </c>
      <c r="FI203">
        <v>-6.1462078757559423E-4</v>
      </c>
      <c r="FJ203">
        <v>-1.8861989874597051E-7</v>
      </c>
      <c r="FK203">
        <v>1.1980462299894961E-10</v>
      </c>
      <c r="FL203">
        <v>0.19160597004026461</v>
      </c>
      <c r="FM203">
        <v>0</v>
      </c>
      <c r="FN203">
        <v>0</v>
      </c>
      <c r="FO203">
        <v>0</v>
      </c>
      <c r="FP203">
        <v>3</v>
      </c>
      <c r="FQ203">
        <v>2158</v>
      </c>
      <c r="FR203">
        <v>1</v>
      </c>
      <c r="FS203">
        <v>19</v>
      </c>
      <c r="FT203">
        <v>39.4</v>
      </c>
      <c r="FU203">
        <v>39.200000000000003</v>
      </c>
      <c r="FV203">
        <v>1.77979</v>
      </c>
      <c r="FW203">
        <v>2.5891099999999998</v>
      </c>
      <c r="FX203">
        <v>1.5490699999999999</v>
      </c>
      <c r="FY203">
        <v>2.3290999999999999</v>
      </c>
      <c r="FZ203">
        <v>1.50146</v>
      </c>
      <c r="GA203">
        <v>2.3156699999999999</v>
      </c>
      <c r="GB203">
        <v>33.850900000000003</v>
      </c>
      <c r="GC203">
        <v>23.982399999999998</v>
      </c>
      <c r="GD203">
        <v>19</v>
      </c>
      <c r="GE203">
        <v>247.80699999999999</v>
      </c>
      <c r="GF203">
        <v>581.96</v>
      </c>
      <c r="GG203">
        <v>25.530899999999999</v>
      </c>
      <c r="GH203">
        <v>26.299299999999999</v>
      </c>
      <c r="GI203">
        <v>30.0001</v>
      </c>
      <c r="GJ203">
        <v>26.432500000000001</v>
      </c>
      <c r="GK203">
        <v>26.407399999999999</v>
      </c>
      <c r="GL203">
        <v>35.578800000000001</v>
      </c>
      <c r="GM203">
        <v>-30</v>
      </c>
      <c r="GN203">
        <v>-30</v>
      </c>
      <c r="GO203">
        <v>25.525600000000001</v>
      </c>
      <c r="GP203">
        <v>800</v>
      </c>
      <c r="GQ203">
        <v>12.5298</v>
      </c>
      <c r="GR203">
        <v>99.685500000000005</v>
      </c>
      <c r="GS203">
        <v>99.485600000000005</v>
      </c>
    </row>
    <row r="204" spans="1:201" x14ac:dyDescent="0.25">
      <c r="A204">
        <v>188</v>
      </c>
      <c r="B204">
        <v>1690214286</v>
      </c>
      <c r="C204">
        <v>2018.5</v>
      </c>
      <c r="D204" t="s">
        <v>707</v>
      </c>
      <c r="E204" t="s">
        <v>708</v>
      </c>
      <c r="F204" t="s">
        <v>330</v>
      </c>
      <c r="H204">
        <v>1690214286</v>
      </c>
      <c r="I204">
        <f t="shared" si="60"/>
        <v>2.1177544957275262E-3</v>
      </c>
      <c r="J204">
        <f t="shared" si="61"/>
        <v>2.1177544957275263</v>
      </c>
      <c r="K204">
        <f t="shared" si="62"/>
        <v>40.068780814207066</v>
      </c>
      <c r="L204">
        <f t="shared" si="63"/>
        <v>331.44499999999999</v>
      </c>
      <c r="M204">
        <f t="shared" si="64"/>
        <v>22.345338916140449</v>
      </c>
      <c r="N204">
        <f t="shared" si="65"/>
        <v>2.2160916510334627</v>
      </c>
      <c r="O204">
        <f t="shared" si="66"/>
        <v>32.870949061606503</v>
      </c>
      <c r="P204">
        <f t="shared" si="67"/>
        <v>0.22022088112625812</v>
      </c>
      <c r="Q204">
        <f t="shared" si="68"/>
        <v>2.0089744157186544</v>
      </c>
      <c r="R204">
        <f t="shared" si="69"/>
        <v>0.20763482895448315</v>
      </c>
      <c r="S204">
        <f t="shared" si="70"/>
        <v>0.13084259365663614</v>
      </c>
      <c r="T204">
        <f t="shared" si="71"/>
        <v>276.11470386000002</v>
      </c>
      <c r="U204">
        <f t="shared" si="72"/>
        <v>28.492654425050105</v>
      </c>
      <c r="V204">
        <f t="shared" si="73"/>
        <v>28.492654425050105</v>
      </c>
      <c r="W204">
        <f t="shared" si="74"/>
        <v>3.9052028079902383</v>
      </c>
      <c r="X204">
        <f t="shared" si="75"/>
        <v>81.969851286042513</v>
      </c>
      <c r="Y204">
        <f t="shared" si="76"/>
        <v>2.9285288806293002</v>
      </c>
      <c r="Z204">
        <f t="shared" si="77"/>
        <v>3.5726902448680642</v>
      </c>
      <c r="AA204">
        <f t="shared" si="78"/>
        <v>0.97667392736093817</v>
      </c>
      <c r="AB204">
        <f t="shared" si="79"/>
        <v>-93.392973261583904</v>
      </c>
      <c r="AC204">
        <f t="shared" si="80"/>
        <v>-165.00204090092512</v>
      </c>
      <c r="AD204">
        <f t="shared" si="81"/>
        <v>-17.855136883020105</v>
      </c>
      <c r="AE204">
        <f t="shared" si="82"/>
        <v>-0.13544718552913082</v>
      </c>
      <c r="AF204">
        <v>32</v>
      </c>
      <c r="AG204">
        <v>11</v>
      </c>
      <c r="AH204">
        <f t="shared" si="83"/>
        <v>1</v>
      </c>
      <c r="AI204">
        <f t="shared" si="84"/>
        <v>0</v>
      </c>
      <c r="AJ204">
        <f t="shared" si="85"/>
        <v>52258.148068992901</v>
      </c>
      <c r="AK204">
        <f t="shared" si="86"/>
        <v>1800</v>
      </c>
      <c r="AL204">
        <f t="shared" si="87"/>
        <v>1499.1122430000003</v>
      </c>
      <c r="AM204">
        <f t="shared" si="88"/>
        <v>0.83284013500000009</v>
      </c>
      <c r="AN204">
        <f t="shared" si="89"/>
        <v>0.15339705770000001</v>
      </c>
      <c r="AO204">
        <v>34.5</v>
      </c>
      <c r="AP204">
        <v>0.5</v>
      </c>
      <c r="AQ204" t="s">
        <v>331</v>
      </c>
      <c r="AR204">
        <v>2</v>
      </c>
      <c r="AS204">
        <v>1690214286</v>
      </c>
      <c r="AT204">
        <v>331.44499999999999</v>
      </c>
      <c r="AU204">
        <v>799.99099999999999</v>
      </c>
      <c r="AV204">
        <v>29.529</v>
      </c>
      <c r="AW204">
        <v>5.9099599999999999</v>
      </c>
      <c r="AX204">
        <v>331.625</v>
      </c>
      <c r="AY204">
        <v>29.337399999999999</v>
      </c>
      <c r="AZ204">
        <v>300.20299999999997</v>
      </c>
      <c r="BA204">
        <v>99.074700000000007</v>
      </c>
      <c r="BB204">
        <v>9.9971699999999997E-2</v>
      </c>
      <c r="BC204">
        <v>26.969200000000001</v>
      </c>
      <c r="BD204">
        <v>27.006399999999999</v>
      </c>
      <c r="BE204">
        <v>28.5977</v>
      </c>
      <c r="BF204">
        <v>0</v>
      </c>
      <c r="BG204">
        <v>0</v>
      </c>
      <c r="BH204">
        <v>9973.1200000000008</v>
      </c>
      <c r="BI204">
        <v>1077.4000000000001</v>
      </c>
      <c r="BJ204">
        <v>2.0183800000000001</v>
      </c>
      <c r="BK204">
        <v>-468.54700000000003</v>
      </c>
      <c r="BL204">
        <v>341.53</v>
      </c>
      <c r="BM204">
        <v>804.74699999999996</v>
      </c>
      <c r="BN204">
        <v>23.6191</v>
      </c>
      <c r="BO204">
        <v>799.99099999999999</v>
      </c>
      <c r="BP204">
        <v>5.9099599999999999</v>
      </c>
      <c r="BQ204">
        <v>2.9255800000000001</v>
      </c>
      <c r="BR204">
        <v>0.58552700000000002</v>
      </c>
      <c r="BS204">
        <v>23.610299999999999</v>
      </c>
      <c r="BT204">
        <v>-0.64417500000000005</v>
      </c>
      <c r="BU204">
        <v>1800</v>
      </c>
      <c r="BV204">
        <v>0.91000999999999999</v>
      </c>
      <c r="BW204">
        <v>3.4002400000000002E-2</v>
      </c>
      <c r="BX204">
        <v>2.1996499999999999E-2</v>
      </c>
      <c r="BY204">
        <v>3.3990800000000002E-2</v>
      </c>
      <c r="BZ204">
        <v>26</v>
      </c>
      <c r="CA204">
        <v>33528.5</v>
      </c>
      <c r="CB204">
        <v>1690211922</v>
      </c>
      <c r="CC204" t="s">
        <v>332</v>
      </c>
      <c r="CD204">
        <v>1690211915</v>
      </c>
      <c r="CE204">
        <v>1690211922</v>
      </c>
      <c r="CF204">
        <v>6</v>
      </c>
      <c r="CG204">
        <v>1.0999999999999999E-2</v>
      </c>
      <c r="CH204">
        <v>8.0000000000000002E-3</v>
      </c>
      <c r="CI204">
        <v>-0.51100000000000001</v>
      </c>
      <c r="CJ204">
        <v>-6.6000000000000003E-2</v>
      </c>
      <c r="CK204">
        <v>800</v>
      </c>
      <c r="CL204">
        <v>6</v>
      </c>
      <c r="CM204">
        <v>0.21</v>
      </c>
      <c r="CN204">
        <v>0.02</v>
      </c>
      <c r="CO204">
        <v>-468.045525</v>
      </c>
      <c r="CP204">
        <v>-2.467643527201548</v>
      </c>
      <c r="CQ204">
        <v>0.24143601507438969</v>
      </c>
      <c r="CR204">
        <v>-1</v>
      </c>
      <c r="CS204">
        <v>23.6162475</v>
      </c>
      <c r="CT204">
        <v>2.2861913695927341E-2</v>
      </c>
      <c r="CU204">
        <v>2.602977861987989E-3</v>
      </c>
      <c r="CV204">
        <v>-1</v>
      </c>
      <c r="CW204">
        <v>0</v>
      </c>
      <c r="CX204">
        <v>0</v>
      </c>
      <c r="CY204" t="s">
        <v>333</v>
      </c>
      <c r="CZ204">
        <v>2.3645299999999998</v>
      </c>
      <c r="DA204">
        <v>2.71374</v>
      </c>
      <c r="DB204">
        <v>7.7296799999999999E-2</v>
      </c>
      <c r="DC204">
        <v>0.14605699999999999</v>
      </c>
      <c r="DD204">
        <v>0.13159299999999999</v>
      </c>
      <c r="DE204">
        <v>3.8958600000000003E-2</v>
      </c>
      <c r="DF204">
        <v>33675.5</v>
      </c>
      <c r="DG204">
        <v>27499.599999999999</v>
      </c>
      <c r="DH204">
        <v>31157.200000000001</v>
      </c>
      <c r="DI204">
        <v>28060.9</v>
      </c>
      <c r="DJ204">
        <v>36716.5</v>
      </c>
      <c r="DK204">
        <v>38345</v>
      </c>
      <c r="DL204">
        <v>44337.5</v>
      </c>
      <c r="DM204">
        <v>42524.5</v>
      </c>
      <c r="DN204">
        <v>1.3894</v>
      </c>
      <c r="DO204">
        <v>2.0340799999999999</v>
      </c>
      <c r="DP204">
        <v>8.1300700000000004E-2</v>
      </c>
      <c r="DQ204">
        <v>0.18578</v>
      </c>
      <c r="DR204">
        <v>25.6754</v>
      </c>
      <c r="DS204">
        <v>25.559799999999999</v>
      </c>
      <c r="DT204">
        <v>17.600000000000001</v>
      </c>
      <c r="DU204">
        <v>29.7</v>
      </c>
      <c r="DV204">
        <v>7.4394099999999996</v>
      </c>
      <c r="DW204">
        <v>61.761200000000002</v>
      </c>
      <c r="DX204">
        <v>36.225999999999999</v>
      </c>
      <c r="DY204">
        <v>1</v>
      </c>
      <c r="DZ204">
        <v>-8.7050299999999997E-2</v>
      </c>
      <c r="EA204">
        <v>-0.23299600000000001</v>
      </c>
      <c r="EB204">
        <v>20.1891</v>
      </c>
      <c r="EC204">
        <v>5.2413999999999996</v>
      </c>
      <c r="ED204">
        <v>12.039899999999999</v>
      </c>
      <c r="EE204">
        <v>5.0174500000000002</v>
      </c>
      <c r="EF204">
        <v>3.2879999999999998</v>
      </c>
      <c r="EG204">
        <v>9999</v>
      </c>
      <c r="EH204">
        <v>9999</v>
      </c>
      <c r="EI204">
        <v>9999</v>
      </c>
      <c r="EJ204">
        <v>999.9</v>
      </c>
      <c r="EK204">
        <v>1.86894</v>
      </c>
      <c r="EL204">
        <v>1.86463</v>
      </c>
      <c r="EM204">
        <v>1.86917</v>
      </c>
      <c r="EN204">
        <v>1.86724</v>
      </c>
      <c r="EO204">
        <v>1.8633999999999999</v>
      </c>
      <c r="EP204">
        <v>1.8646</v>
      </c>
      <c r="EQ204">
        <v>1.8702000000000001</v>
      </c>
      <c r="ER204">
        <v>1.86944</v>
      </c>
      <c r="ES204">
        <v>0</v>
      </c>
      <c r="ET204">
        <v>0</v>
      </c>
      <c r="EU204">
        <v>0</v>
      </c>
      <c r="EV204">
        <v>0</v>
      </c>
      <c r="EW204" t="s">
        <v>334</v>
      </c>
      <c r="EX204" t="s">
        <v>335</v>
      </c>
      <c r="EY204" t="s">
        <v>336</v>
      </c>
      <c r="EZ204" t="s">
        <v>336</v>
      </c>
      <c r="FA204" t="s">
        <v>336</v>
      </c>
      <c r="FB204" t="s">
        <v>336</v>
      </c>
      <c r="FC204">
        <v>0</v>
      </c>
      <c r="FD204">
        <v>100</v>
      </c>
      <c r="FE204">
        <v>100</v>
      </c>
      <c r="FF204">
        <v>-0.18</v>
      </c>
      <c r="FG204">
        <v>0.19159999999999999</v>
      </c>
      <c r="FH204">
        <v>4.0020685143421282E-2</v>
      </c>
      <c r="FI204">
        <v>-6.1462078757559423E-4</v>
      </c>
      <c r="FJ204">
        <v>-1.8861989874597051E-7</v>
      </c>
      <c r="FK204">
        <v>1.1980462299894961E-10</v>
      </c>
      <c r="FL204">
        <v>0.19160597004026461</v>
      </c>
      <c r="FM204">
        <v>0</v>
      </c>
      <c r="FN204">
        <v>0</v>
      </c>
      <c r="FO204">
        <v>0</v>
      </c>
      <c r="FP204">
        <v>3</v>
      </c>
      <c r="FQ204">
        <v>2158</v>
      </c>
      <c r="FR204">
        <v>1</v>
      </c>
      <c r="FS204">
        <v>19</v>
      </c>
      <c r="FT204">
        <v>39.5</v>
      </c>
      <c r="FU204">
        <v>39.4</v>
      </c>
      <c r="FV204">
        <v>1.77979</v>
      </c>
      <c r="FW204">
        <v>2.5805699999999998</v>
      </c>
      <c r="FX204">
        <v>1.5490699999999999</v>
      </c>
      <c r="FY204">
        <v>2.3290999999999999</v>
      </c>
      <c r="FZ204">
        <v>1.50146</v>
      </c>
      <c r="GA204">
        <v>2.2766099999999998</v>
      </c>
      <c r="GB204">
        <v>33.850900000000003</v>
      </c>
      <c r="GC204">
        <v>23.982399999999998</v>
      </c>
      <c r="GD204">
        <v>19</v>
      </c>
      <c r="GE204">
        <v>247.89400000000001</v>
      </c>
      <c r="GF204">
        <v>582.04300000000001</v>
      </c>
      <c r="GG204">
        <v>25.520900000000001</v>
      </c>
      <c r="GH204">
        <v>26.297499999999999</v>
      </c>
      <c r="GI204">
        <v>30</v>
      </c>
      <c r="GJ204">
        <v>26.432500000000001</v>
      </c>
      <c r="GK204">
        <v>26.407399999999999</v>
      </c>
      <c r="GL204">
        <v>35.579500000000003</v>
      </c>
      <c r="GM204">
        <v>-30</v>
      </c>
      <c r="GN204">
        <v>-30</v>
      </c>
      <c r="GO204">
        <v>25.517700000000001</v>
      </c>
      <c r="GP204">
        <v>800</v>
      </c>
      <c r="GQ204">
        <v>12.5298</v>
      </c>
      <c r="GR204">
        <v>99.686899999999994</v>
      </c>
      <c r="GS204">
        <v>99.485299999999995</v>
      </c>
    </row>
    <row r="205" spans="1:201" x14ac:dyDescent="0.25">
      <c r="A205">
        <v>189</v>
      </c>
      <c r="B205">
        <v>1690214296</v>
      </c>
      <c r="C205">
        <v>2028.5</v>
      </c>
      <c r="D205" t="s">
        <v>709</v>
      </c>
      <c r="E205" t="s">
        <v>710</v>
      </c>
      <c r="F205" t="s">
        <v>330</v>
      </c>
      <c r="H205">
        <v>1690214296</v>
      </c>
      <c r="I205">
        <f t="shared" si="60"/>
        <v>2.117966470799401E-3</v>
      </c>
      <c r="J205">
        <f t="shared" si="61"/>
        <v>2.1179664707994008</v>
      </c>
      <c r="K205">
        <f t="shared" si="62"/>
        <v>40.100801262499594</v>
      </c>
      <c r="L205">
        <f t="shared" si="63"/>
        <v>330.99700000000001</v>
      </c>
      <c r="M205">
        <f t="shared" si="64"/>
        <v>21.881827864122094</v>
      </c>
      <c r="N205">
        <f t="shared" si="65"/>
        <v>2.1701441690086365</v>
      </c>
      <c r="O205">
        <f t="shared" si="66"/>
        <v>32.826837591895604</v>
      </c>
      <c r="P205">
        <f t="shared" si="67"/>
        <v>0.22036536621384467</v>
      </c>
      <c r="Q205">
        <f t="shared" si="68"/>
        <v>2.0128479858138935</v>
      </c>
      <c r="R205">
        <f t="shared" si="69"/>
        <v>0.20778606632296531</v>
      </c>
      <c r="S205">
        <f t="shared" si="70"/>
        <v>0.1309366141612221</v>
      </c>
      <c r="T205">
        <f t="shared" si="71"/>
        <v>276.11480190600003</v>
      </c>
      <c r="U205">
        <f t="shared" si="72"/>
        <v>28.492425803461003</v>
      </c>
      <c r="V205">
        <f t="shared" si="73"/>
        <v>28.492425803461003</v>
      </c>
      <c r="W205">
        <f t="shared" si="74"/>
        <v>3.9051509504626725</v>
      </c>
      <c r="X205">
        <f t="shared" si="75"/>
        <v>81.973319995166889</v>
      </c>
      <c r="Y205">
        <f t="shared" si="76"/>
        <v>2.92908295087364</v>
      </c>
      <c r="Z205">
        <f t="shared" si="77"/>
        <v>3.5732149814675527</v>
      </c>
      <c r="AA205">
        <f t="shared" si="78"/>
        <v>0.97606799958903245</v>
      </c>
      <c r="AB205">
        <f t="shared" si="79"/>
        <v>-93.402321362253588</v>
      </c>
      <c r="AC205">
        <f t="shared" si="80"/>
        <v>-165.02408589687022</v>
      </c>
      <c r="AD205">
        <f t="shared" si="81"/>
        <v>-17.823358502751976</v>
      </c>
      <c r="AE205">
        <f t="shared" si="82"/>
        <v>-0.13496385587578175</v>
      </c>
      <c r="AF205">
        <v>32</v>
      </c>
      <c r="AG205">
        <v>11</v>
      </c>
      <c r="AH205">
        <f t="shared" si="83"/>
        <v>1</v>
      </c>
      <c r="AI205">
        <f t="shared" si="84"/>
        <v>0</v>
      </c>
      <c r="AJ205">
        <f t="shared" si="85"/>
        <v>52443.614729726309</v>
      </c>
      <c r="AK205">
        <f t="shared" si="86"/>
        <v>1800</v>
      </c>
      <c r="AL205">
        <f t="shared" si="87"/>
        <v>1499.1126606</v>
      </c>
      <c r="AM205">
        <f t="shared" si="88"/>
        <v>0.83284036699999997</v>
      </c>
      <c r="AN205">
        <f t="shared" si="89"/>
        <v>0.15339711217000002</v>
      </c>
      <c r="AO205">
        <v>34.5</v>
      </c>
      <c r="AP205">
        <v>0.5</v>
      </c>
      <c r="AQ205" t="s">
        <v>331</v>
      </c>
      <c r="AR205">
        <v>2</v>
      </c>
      <c r="AS205">
        <v>1690214296</v>
      </c>
      <c r="AT205">
        <v>330.99700000000001</v>
      </c>
      <c r="AU205">
        <v>799.97900000000004</v>
      </c>
      <c r="AV205">
        <v>29.534300000000002</v>
      </c>
      <c r="AW205">
        <v>5.90909</v>
      </c>
      <c r="AX205">
        <v>331.17700000000002</v>
      </c>
      <c r="AY205">
        <v>29.342700000000001</v>
      </c>
      <c r="AZ205">
        <v>300.15300000000002</v>
      </c>
      <c r="BA205">
        <v>99.075699999999998</v>
      </c>
      <c r="BB205">
        <v>9.9934800000000004E-2</v>
      </c>
      <c r="BC205">
        <v>26.971699999999998</v>
      </c>
      <c r="BD205">
        <v>27.003</v>
      </c>
      <c r="BE205">
        <v>28.601600000000001</v>
      </c>
      <c r="BF205">
        <v>0</v>
      </c>
      <c r="BG205">
        <v>0</v>
      </c>
      <c r="BH205">
        <v>10010</v>
      </c>
      <c r="BI205">
        <v>1077.3900000000001</v>
      </c>
      <c r="BJ205">
        <v>2.0183800000000001</v>
      </c>
      <c r="BK205">
        <v>-468.98200000000003</v>
      </c>
      <c r="BL205">
        <v>341.07</v>
      </c>
      <c r="BM205">
        <v>804.73400000000004</v>
      </c>
      <c r="BN205">
        <v>23.6252</v>
      </c>
      <c r="BO205">
        <v>799.97900000000004</v>
      </c>
      <c r="BP205">
        <v>5.90909</v>
      </c>
      <c r="BQ205">
        <v>2.9261300000000001</v>
      </c>
      <c r="BR205">
        <v>0.58544799999999997</v>
      </c>
      <c r="BS205">
        <v>23.613399999999999</v>
      </c>
      <c r="BT205">
        <v>-0.64602099999999996</v>
      </c>
      <c r="BU205">
        <v>1800</v>
      </c>
      <c r="BV205">
        <v>0.91000999999999999</v>
      </c>
      <c r="BW205">
        <v>3.4002499999999998E-2</v>
      </c>
      <c r="BX205">
        <v>2.1996600000000002E-2</v>
      </c>
      <c r="BY205">
        <v>3.3990899999999998E-2</v>
      </c>
      <c r="BZ205">
        <v>26</v>
      </c>
      <c r="CA205">
        <v>33528.400000000001</v>
      </c>
      <c r="CB205">
        <v>1690211922</v>
      </c>
      <c r="CC205" t="s">
        <v>332</v>
      </c>
      <c r="CD205">
        <v>1690211915</v>
      </c>
      <c r="CE205">
        <v>1690211922</v>
      </c>
      <c r="CF205">
        <v>6</v>
      </c>
      <c r="CG205">
        <v>1.0999999999999999E-2</v>
      </c>
      <c r="CH205">
        <v>8.0000000000000002E-3</v>
      </c>
      <c r="CI205">
        <v>-0.51100000000000001</v>
      </c>
      <c r="CJ205">
        <v>-6.6000000000000003E-2</v>
      </c>
      <c r="CK205">
        <v>800</v>
      </c>
      <c r="CL205">
        <v>6</v>
      </c>
      <c r="CM205">
        <v>0.21</v>
      </c>
      <c r="CN205">
        <v>0.02</v>
      </c>
      <c r="CO205">
        <v>-468.43365853658543</v>
      </c>
      <c r="CP205">
        <v>-2.4884738675960381</v>
      </c>
      <c r="CQ205">
        <v>0.25015269578322802</v>
      </c>
      <c r="CR205">
        <v>-1</v>
      </c>
      <c r="CS205">
        <v>23.619129268292681</v>
      </c>
      <c r="CT205">
        <v>1.9691289198611961E-2</v>
      </c>
      <c r="CU205">
        <v>2.1110907945073661E-3</v>
      </c>
      <c r="CV205">
        <v>-1</v>
      </c>
      <c r="CW205">
        <v>0</v>
      </c>
      <c r="CX205">
        <v>0</v>
      </c>
      <c r="CY205" t="s">
        <v>333</v>
      </c>
      <c r="CZ205">
        <v>2.3643700000000001</v>
      </c>
      <c r="DA205">
        <v>2.71373</v>
      </c>
      <c r="DB205">
        <v>7.7214599999999994E-2</v>
      </c>
      <c r="DC205">
        <v>0.14605799999999999</v>
      </c>
      <c r="DD205">
        <v>0.13161100000000001</v>
      </c>
      <c r="DE205">
        <v>3.8954500000000003E-2</v>
      </c>
      <c r="DF205">
        <v>33678.5</v>
      </c>
      <c r="DG205">
        <v>27499.4</v>
      </c>
      <c r="DH205">
        <v>31157.200000000001</v>
      </c>
      <c r="DI205">
        <v>28060.799999999999</v>
      </c>
      <c r="DJ205">
        <v>36715.800000000003</v>
      </c>
      <c r="DK205">
        <v>38345.1</v>
      </c>
      <c r="DL205">
        <v>44337.599999999999</v>
      </c>
      <c r="DM205">
        <v>42524.4</v>
      </c>
      <c r="DN205">
        <v>1.3894</v>
      </c>
      <c r="DO205">
        <v>2.0341</v>
      </c>
      <c r="DP205">
        <v>8.0980399999999994E-2</v>
      </c>
      <c r="DQ205">
        <v>0.185974</v>
      </c>
      <c r="DR205">
        <v>25.677199999999999</v>
      </c>
      <c r="DS205">
        <v>25.560500000000001</v>
      </c>
      <c r="DT205">
        <v>17.600000000000001</v>
      </c>
      <c r="DU205">
        <v>29.7</v>
      </c>
      <c r="DV205">
        <v>7.43858</v>
      </c>
      <c r="DW205">
        <v>61.571199999999997</v>
      </c>
      <c r="DX205">
        <v>36.041699999999999</v>
      </c>
      <c r="DY205">
        <v>1</v>
      </c>
      <c r="DZ205">
        <v>-8.6681900000000006E-2</v>
      </c>
      <c r="EA205">
        <v>-0.22601299999999999</v>
      </c>
      <c r="EB205">
        <v>20.1892</v>
      </c>
      <c r="EC205">
        <v>5.2415500000000002</v>
      </c>
      <c r="ED205">
        <v>12.039899999999999</v>
      </c>
      <c r="EE205">
        <v>5.0174000000000003</v>
      </c>
      <c r="EF205">
        <v>3.2879999999999998</v>
      </c>
      <c r="EG205">
        <v>9999</v>
      </c>
      <c r="EH205">
        <v>9999</v>
      </c>
      <c r="EI205">
        <v>9999</v>
      </c>
      <c r="EJ205">
        <v>999.9</v>
      </c>
      <c r="EK205">
        <v>1.8689100000000001</v>
      </c>
      <c r="EL205">
        <v>1.86466</v>
      </c>
      <c r="EM205">
        <v>1.8691899999999999</v>
      </c>
      <c r="EN205">
        <v>1.86724</v>
      </c>
      <c r="EO205">
        <v>1.8633999999999999</v>
      </c>
      <c r="EP205">
        <v>1.8646</v>
      </c>
      <c r="EQ205">
        <v>1.8702000000000001</v>
      </c>
      <c r="ER205">
        <v>1.86948</v>
      </c>
      <c r="ES205">
        <v>0</v>
      </c>
      <c r="ET205">
        <v>0</v>
      </c>
      <c r="EU205">
        <v>0</v>
      </c>
      <c r="EV205">
        <v>0</v>
      </c>
      <c r="EW205" t="s">
        <v>334</v>
      </c>
      <c r="EX205" t="s">
        <v>335</v>
      </c>
      <c r="EY205" t="s">
        <v>336</v>
      </c>
      <c r="EZ205" t="s">
        <v>336</v>
      </c>
      <c r="FA205" t="s">
        <v>336</v>
      </c>
      <c r="FB205" t="s">
        <v>336</v>
      </c>
      <c r="FC205">
        <v>0</v>
      </c>
      <c r="FD205">
        <v>100</v>
      </c>
      <c r="FE205">
        <v>100</v>
      </c>
      <c r="FF205">
        <v>-0.18</v>
      </c>
      <c r="FG205">
        <v>0.19159999999999999</v>
      </c>
      <c r="FH205">
        <v>4.0020685143421282E-2</v>
      </c>
      <c r="FI205">
        <v>-6.1462078757559423E-4</v>
      </c>
      <c r="FJ205">
        <v>-1.8861989874597051E-7</v>
      </c>
      <c r="FK205">
        <v>1.1980462299894961E-10</v>
      </c>
      <c r="FL205">
        <v>0.19160597004026461</v>
      </c>
      <c r="FM205">
        <v>0</v>
      </c>
      <c r="FN205">
        <v>0</v>
      </c>
      <c r="FO205">
        <v>0</v>
      </c>
      <c r="FP205">
        <v>3</v>
      </c>
      <c r="FQ205">
        <v>2158</v>
      </c>
      <c r="FR205">
        <v>1</v>
      </c>
      <c r="FS205">
        <v>19</v>
      </c>
      <c r="FT205">
        <v>39.700000000000003</v>
      </c>
      <c r="FU205">
        <v>39.6</v>
      </c>
      <c r="FV205">
        <v>1.77979</v>
      </c>
      <c r="FW205">
        <v>2.5769000000000002</v>
      </c>
      <c r="FX205">
        <v>1.5490699999999999</v>
      </c>
      <c r="FY205">
        <v>2.3290999999999999</v>
      </c>
      <c r="FZ205">
        <v>1.50146</v>
      </c>
      <c r="GA205">
        <v>2.33765</v>
      </c>
      <c r="GB205">
        <v>33.850900000000003</v>
      </c>
      <c r="GC205">
        <v>23.982399999999998</v>
      </c>
      <c r="GD205">
        <v>19</v>
      </c>
      <c r="GE205">
        <v>247.89400000000001</v>
      </c>
      <c r="GF205">
        <v>582.05399999999997</v>
      </c>
      <c r="GG205">
        <v>25.51</v>
      </c>
      <c r="GH205">
        <v>26.297499999999999</v>
      </c>
      <c r="GI205">
        <v>30.0001</v>
      </c>
      <c r="GJ205">
        <v>26.432500000000001</v>
      </c>
      <c r="GK205">
        <v>26.406500000000001</v>
      </c>
      <c r="GL205">
        <v>35.580199999999998</v>
      </c>
      <c r="GM205">
        <v>-30</v>
      </c>
      <c r="GN205">
        <v>-30</v>
      </c>
      <c r="GO205">
        <v>25.508600000000001</v>
      </c>
      <c r="GP205">
        <v>800</v>
      </c>
      <c r="GQ205">
        <v>12.5298</v>
      </c>
      <c r="GR205">
        <v>99.687100000000001</v>
      </c>
      <c r="GS205">
        <v>99.484999999999999</v>
      </c>
    </row>
    <row r="206" spans="1:201" x14ac:dyDescent="0.25">
      <c r="A206">
        <v>190</v>
      </c>
      <c r="B206">
        <v>1690214306</v>
      </c>
      <c r="C206">
        <v>2038.5</v>
      </c>
      <c r="D206" t="s">
        <v>711</v>
      </c>
      <c r="E206" t="s">
        <v>712</v>
      </c>
      <c r="F206" t="s">
        <v>330</v>
      </c>
      <c r="H206">
        <v>1690214306</v>
      </c>
      <c r="I206">
        <f t="shared" si="60"/>
        <v>2.1205658610807293E-3</v>
      </c>
      <c r="J206">
        <f t="shared" si="61"/>
        <v>2.1205658610807294</v>
      </c>
      <c r="K206">
        <f t="shared" si="62"/>
        <v>40.131712976914805</v>
      </c>
      <c r="L206">
        <f t="shared" si="63"/>
        <v>330.63200000000001</v>
      </c>
      <c r="M206">
        <f t="shared" si="64"/>
        <v>22.617193597958277</v>
      </c>
      <c r="N206">
        <f t="shared" si="65"/>
        <v>2.2430839118221928</v>
      </c>
      <c r="O206">
        <f t="shared" si="66"/>
        <v>32.790775598283993</v>
      </c>
      <c r="P206">
        <f t="shared" si="67"/>
        <v>0.22138571308019631</v>
      </c>
      <c r="Q206">
        <f t="shared" si="68"/>
        <v>2.0111518945006113</v>
      </c>
      <c r="R206">
        <f t="shared" si="69"/>
        <v>0.20868320909024182</v>
      </c>
      <c r="S206">
        <f t="shared" si="70"/>
        <v>0.13150749972143341</v>
      </c>
      <c r="T206">
        <f t="shared" si="71"/>
        <v>276.11487797400002</v>
      </c>
      <c r="U206">
        <f t="shared" si="72"/>
        <v>28.48923486429085</v>
      </c>
      <c r="V206">
        <f t="shared" si="73"/>
        <v>28.48923486429085</v>
      </c>
      <c r="W206">
        <f t="shared" si="74"/>
        <v>3.9044272222971292</v>
      </c>
      <c r="X206">
        <f t="shared" si="75"/>
        <v>82.053610007084487</v>
      </c>
      <c r="Y206">
        <f t="shared" si="76"/>
        <v>2.9313663302813997</v>
      </c>
      <c r="Z206">
        <f t="shared" si="77"/>
        <v>3.572501356160084</v>
      </c>
      <c r="AA206">
        <f t="shared" si="78"/>
        <v>0.97306089201572954</v>
      </c>
      <c r="AB206">
        <f t="shared" si="79"/>
        <v>-93.516954473660164</v>
      </c>
      <c r="AC206">
        <f t="shared" si="80"/>
        <v>-164.90769869048276</v>
      </c>
      <c r="AD206">
        <f t="shared" si="81"/>
        <v>-17.825222783971785</v>
      </c>
      <c r="AE206">
        <f t="shared" si="82"/>
        <v>-0.13499797411472514</v>
      </c>
      <c r="AF206">
        <v>32</v>
      </c>
      <c r="AG206">
        <v>11</v>
      </c>
      <c r="AH206">
        <f t="shared" si="83"/>
        <v>1</v>
      </c>
      <c r="AI206">
        <f t="shared" si="84"/>
        <v>0</v>
      </c>
      <c r="AJ206">
        <f t="shared" si="85"/>
        <v>52362.764745527253</v>
      </c>
      <c r="AK206">
        <f t="shared" si="86"/>
        <v>1800</v>
      </c>
      <c r="AL206">
        <f t="shared" si="87"/>
        <v>1499.1133374000001</v>
      </c>
      <c r="AM206">
        <f t="shared" si="88"/>
        <v>0.83284074299999999</v>
      </c>
      <c r="AN206">
        <f t="shared" si="89"/>
        <v>0.15339715443000002</v>
      </c>
      <c r="AO206">
        <v>34.5</v>
      </c>
      <c r="AP206">
        <v>0.5</v>
      </c>
      <c r="AQ206" t="s">
        <v>331</v>
      </c>
      <c r="AR206">
        <v>2</v>
      </c>
      <c r="AS206">
        <v>1690214306</v>
      </c>
      <c r="AT206">
        <v>330.63200000000001</v>
      </c>
      <c r="AU206">
        <v>799.88900000000001</v>
      </c>
      <c r="AV206">
        <v>29.557200000000002</v>
      </c>
      <c r="AW206">
        <v>5.9076500000000003</v>
      </c>
      <c r="AX206">
        <v>330.81200000000001</v>
      </c>
      <c r="AY206">
        <v>29.365600000000001</v>
      </c>
      <c r="AZ206">
        <v>300.20499999999998</v>
      </c>
      <c r="BA206">
        <v>99.076099999999997</v>
      </c>
      <c r="BB206">
        <v>9.9949499999999997E-2</v>
      </c>
      <c r="BC206">
        <v>26.968299999999999</v>
      </c>
      <c r="BD206">
        <v>27.006499999999999</v>
      </c>
      <c r="BE206">
        <v>28.602399999999999</v>
      </c>
      <c r="BF206">
        <v>0</v>
      </c>
      <c r="BG206">
        <v>0</v>
      </c>
      <c r="BH206">
        <v>9993.75</v>
      </c>
      <c r="BI206">
        <v>1077.4100000000001</v>
      </c>
      <c r="BJ206">
        <v>2.0183800000000001</v>
      </c>
      <c r="BK206">
        <v>-469.25700000000001</v>
      </c>
      <c r="BL206">
        <v>340.702</v>
      </c>
      <c r="BM206">
        <v>804.64300000000003</v>
      </c>
      <c r="BN206">
        <v>23.6496</v>
      </c>
      <c r="BO206">
        <v>799.88900000000001</v>
      </c>
      <c r="BP206">
        <v>5.9076500000000003</v>
      </c>
      <c r="BQ206">
        <v>2.92842</v>
      </c>
      <c r="BR206">
        <v>0.58530700000000002</v>
      </c>
      <c r="BS206">
        <v>23.6264</v>
      </c>
      <c r="BT206">
        <v>-0.64932100000000004</v>
      </c>
      <c r="BU206">
        <v>1800</v>
      </c>
      <c r="BV206">
        <v>0.91001100000000001</v>
      </c>
      <c r="BW206">
        <v>3.4002299999999999E-2</v>
      </c>
      <c r="BX206">
        <v>2.1996399999999999E-2</v>
      </c>
      <c r="BY206">
        <v>3.3990699999999999E-2</v>
      </c>
      <c r="BZ206">
        <v>26</v>
      </c>
      <c r="CA206">
        <v>33528.400000000001</v>
      </c>
      <c r="CB206">
        <v>1690211922</v>
      </c>
      <c r="CC206" t="s">
        <v>332</v>
      </c>
      <c r="CD206">
        <v>1690211915</v>
      </c>
      <c r="CE206">
        <v>1690211922</v>
      </c>
      <c r="CF206">
        <v>6</v>
      </c>
      <c r="CG206">
        <v>1.0999999999999999E-2</v>
      </c>
      <c r="CH206">
        <v>8.0000000000000002E-3</v>
      </c>
      <c r="CI206">
        <v>-0.51100000000000001</v>
      </c>
      <c r="CJ206">
        <v>-6.6000000000000003E-2</v>
      </c>
      <c r="CK206">
        <v>800</v>
      </c>
      <c r="CL206">
        <v>6</v>
      </c>
      <c r="CM206">
        <v>0.21</v>
      </c>
      <c r="CN206">
        <v>0.02</v>
      </c>
      <c r="CO206">
        <v>-468.89443902439029</v>
      </c>
      <c r="CP206">
        <v>-2.3451219512218828</v>
      </c>
      <c r="CQ206">
        <v>0.23602511738811369</v>
      </c>
      <c r="CR206">
        <v>-1</v>
      </c>
      <c r="CS206">
        <v>23.629139024390241</v>
      </c>
      <c r="CT206">
        <v>9.5696864111502564E-2</v>
      </c>
      <c r="CU206">
        <v>9.9521018260215911E-3</v>
      </c>
      <c r="CV206">
        <v>-1</v>
      </c>
      <c r="CW206">
        <v>0</v>
      </c>
      <c r="CX206">
        <v>0</v>
      </c>
      <c r="CY206" t="s">
        <v>333</v>
      </c>
      <c r="CZ206">
        <v>2.3645499999999999</v>
      </c>
      <c r="DA206">
        <v>2.71374</v>
      </c>
      <c r="DB206">
        <v>7.7147099999999996E-2</v>
      </c>
      <c r="DC206">
        <v>0.14604800000000001</v>
      </c>
      <c r="DD206">
        <v>0.13168199999999999</v>
      </c>
      <c r="DE206">
        <v>3.8947000000000002E-2</v>
      </c>
      <c r="DF206">
        <v>33680.6</v>
      </c>
      <c r="DG206">
        <v>27499.7</v>
      </c>
      <c r="DH206">
        <v>31156.9</v>
      </c>
      <c r="DI206">
        <v>28060.7</v>
      </c>
      <c r="DJ206">
        <v>36712.300000000003</v>
      </c>
      <c r="DK206">
        <v>38345.599999999999</v>
      </c>
      <c r="DL206">
        <v>44337.1</v>
      </c>
      <c r="DM206">
        <v>42524.6</v>
      </c>
      <c r="DN206">
        <v>1.3898200000000001</v>
      </c>
      <c r="DO206">
        <v>2.0339</v>
      </c>
      <c r="DP206">
        <v>8.1196400000000002E-2</v>
      </c>
      <c r="DQ206">
        <v>0.186026</v>
      </c>
      <c r="DR206">
        <v>25.677199999999999</v>
      </c>
      <c r="DS206">
        <v>25.560500000000001</v>
      </c>
      <c r="DT206">
        <v>17.600000000000001</v>
      </c>
      <c r="DU206">
        <v>29.7</v>
      </c>
      <c r="DV206">
        <v>7.4387699999999999</v>
      </c>
      <c r="DW206">
        <v>61.741199999999999</v>
      </c>
      <c r="DX206">
        <v>36.085700000000003</v>
      </c>
      <c r="DY206">
        <v>1</v>
      </c>
      <c r="DZ206">
        <v>-8.6935999999999999E-2</v>
      </c>
      <c r="EA206">
        <v>-0.27035100000000001</v>
      </c>
      <c r="EB206">
        <v>20.189299999999999</v>
      </c>
      <c r="EC206">
        <v>5.24125</v>
      </c>
      <c r="ED206">
        <v>12.039899999999999</v>
      </c>
      <c r="EE206">
        <v>5.0172999999999996</v>
      </c>
      <c r="EF206">
        <v>3.2879999999999998</v>
      </c>
      <c r="EG206">
        <v>9999</v>
      </c>
      <c r="EH206">
        <v>9999</v>
      </c>
      <c r="EI206">
        <v>9999</v>
      </c>
      <c r="EJ206">
        <v>999.9</v>
      </c>
      <c r="EK206">
        <v>1.8689100000000001</v>
      </c>
      <c r="EL206">
        <v>1.86466</v>
      </c>
      <c r="EM206">
        <v>1.8691899999999999</v>
      </c>
      <c r="EN206">
        <v>1.8672299999999999</v>
      </c>
      <c r="EO206">
        <v>1.8633999999999999</v>
      </c>
      <c r="EP206">
        <v>1.86456</v>
      </c>
      <c r="EQ206">
        <v>1.87019</v>
      </c>
      <c r="ER206">
        <v>1.8694500000000001</v>
      </c>
      <c r="ES206">
        <v>0</v>
      </c>
      <c r="ET206">
        <v>0</v>
      </c>
      <c r="EU206">
        <v>0</v>
      </c>
      <c r="EV206">
        <v>0</v>
      </c>
      <c r="EW206" t="s">
        <v>334</v>
      </c>
      <c r="EX206" t="s">
        <v>335</v>
      </c>
      <c r="EY206" t="s">
        <v>336</v>
      </c>
      <c r="EZ206" t="s">
        <v>336</v>
      </c>
      <c r="FA206" t="s">
        <v>336</v>
      </c>
      <c r="FB206" t="s">
        <v>336</v>
      </c>
      <c r="FC206">
        <v>0</v>
      </c>
      <c r="FD206">
        <v>100</v>
      </c>
      <c r="FE206">
        <v>100</v>
      </c>
      <c r="FF206">
        <v>-0.18</v>
      </c>
      <c r="FG206">
        <v>0.19159999999999999</v>
      </c>
      <c r="FH206">
        <v>4.0020685143421282E-2</v>
      </c>
      <c r="FI206">
        <v>-6.1462078757559423E-4</v>
      </c>
      <c r="FJ206">
        <v>-1.8861989874597051E-7</v>
      </c>
      <c r="FK206">
        <v>1.1980462299894961E-10</v>
      </c>
      <c r="FL206">
        <v>0.19160597004026461</v>
      </c>
      <c r="FM206">
        <v>0</v>
      </c>
      <c r="FN206">
        <v>0</v>
      </c>
      <c r="FO206">
        <v>0</v>
      </c>
      <c r="FP206">
        <v>3</v>
      </c>
      <c r="FQ206">
        <v>2158</v>
      </c>
      <c r="FR206">
        <v>1</v>
      </c>
      <c r="FS206">
        <v>19</v>
      </c>
      <c r="FT206">
        <v>39.9</v>
      </c>
      <c r="FU206">
        <v>39.700000000000003</v>
      </c>
      <c r="FV206">
        <v>1.77979</v>
      </c>
      <c r="FW206">
        <v>2.5744600000000002</v>
      </c>
      <c r="FX206">
        <v>1.5490699999999999</v>
      </c>
      <c r="FY206">
        <v>2.3290999999999999</v>
      </c>
      <c r="FZ206">
        <v>1.50146</v>
      </c>
      <c r="GA206">
        <v>2.36938</v>
      </c>
      <c r="GB206">
        <v>33.850900000000003</v>
      </c>
      <c r="GC206">
        <v>23.991199999999999</v>
      </c>
      <c r="GD206">
        <v>19</v>
      </c>
      <c r="GE206">
        <v>248.059</v>
      </c>
      <c r="GF206">
        <v>581.87300000000005</v>
      </c>
      <c r="GG206">
        <v>25.506</v>
      </c>
      <c r="GH206">
        <v>26.297499999999999</v>
      </c>
      <c r="GI206">
        <v>30</v>
      </c>
      <c r="GJ206">
        <v>26.432500000000001</v>
      </c>
      <c r="GK206">
        <v>26.405200000000001</v>
      </c>
      <c r="GL206">
        <v>35.583199999999998</v>
      </c>
      <c r="GM206">
        <v>-30</v>
      </c>
      <c r="GN206">
        <v>-30</v>
      </c>
      <c r="GO206">
        <v>25.5152</v>
      </c>
      <c r="GP206">
        <v>800</v>
      </c>
      <c r="GQ206">
        <v>12.5298</v>
      </c>
      <c r="GR206">
        <v>99.686000000000007</v>
      </c>
      <c r="GS206">
        <v>99.485200000000006</v>
      </c>
    </row>
    <row r="207" spans="1:201" x14ac:dyDescent="0.25">
      <c r="A207">
        <v>191</v>
      </c>
      <c r="B207">
        <v>1690214316</v>
      </c>
      <c r="C207">
        <v>2048.5</v>
      </c>
      <c r="D207" t="s">
        <v>713</v>
      </c>
      <c r="E207" t="s">
        <v>714</v>
      </c>
      <c r="F207" t="s">
        <v>330</v>
      </c>
      <c r="H207">
        <v>1690214316</v>
      </c>
      <c r="I207">
        <f t="shared" si="60"/>
        <v>2.1217678678452714E-3</v>
      </c>
      <c r="J207">
        <f t="shared" si="61"/>
        <v>2.1217678678452714</v>
      </c>
      <c r="K207">
        <f t="shared" si="62"/>
        <v>40.179830248009949</v>
      </c>
      <c r="L207">
        <f t="shared" si="63"/>
        <v>330.089</v>
      </c>
      <c r="M207">
        <f t="shared" si="64"/>
        <v>22.123293747341496</v>
      </c>
      <c r="N207">
        <f t="shared" si="65"/>
        <v>2.1939844939902935</v>
      </c>
      <c r="O207">
        <f t="shared" si="66"/>
        <v>32.735186537212101</v>
      </c>
      <c r="P207">
        <f t="shared" si="67"/>
        <v>0.22170002634516511</v>
      </c>
      <c r="Q207">
        <f t="shared" si="68"/>
        <v>2.0101791809378438</v>
      </c>
      <c r="R207">
        <f t="shared" si="69"/>
        <v>0.20895675834246635</v>
      </c>
      <c r="S207">
        <f t="shared" si="70"/>
        <v>0.13168182621770885</v>
      </c>
      <c r="T207">
        <f t="shared" si="71"/>
        <v>276.11309058186362</v>
      </c>
      <c r="U207">
        <f t="shared" si="72"/>
        <v>28.492638167004344</v>
      </c>
      <c r="V207">
        <f t="shared" si="73"/>
        <v>28.492638167004344</v>
      </c>
      <c r="W207">
        <f t="shared" si="74"/>
        <v>3.9051991202081942</v>
      </c>
      <c r="X207">
        <f t="shared" si="75"/>
        <v>82.081849836842011</v>
      </c>
      <c r="Y207">
        <f t="shared" si="76"/>
        <v>2.9329264963230504</v>
      </c>
      <c r="Z207">
        <f t="shared" si="77"/>
        <v>3.573173000063921</v>
      </c>
      <c r="AA207">
        <f t="shared" si="78"/>
        <v>0.97227262388514379</v>
      </c>
      <c r="AB207">
        <f t="shared" si="79"/>
        <v>-93.569962971976466</v>
      </c>
      <c r="AC207">
        <f t="shared" si="80"/>
        <v>-164.84997192650422</v>
      </c>
      <c r="AD207">
        <f t="shared" si="81"/>
        <v>-17.828192687295545</v>
      </c>
      <c r="AE207">
        <f t="shared" si="82"/>
        <v>-0.13503700391260054</v>
      </c>
      <c r="AF207">
        <v>32</v>
      </c>
      <c r="AG207">
        <v>11</v>
      </c>
      <c r="AH207">
        <f t="shared" si="83"/>
        <v>1</v>
      </c>
      <c r="AI207">
        <f t="shared" si="84"/>
        <v>0</v>
      </c>
      <c r="AJ207">
        <f t="shared" si="85"/>
        <v>52315.423163319341</v>
      </c>
      <c r="AK207">
        <f t="shared" si="86"/>
        <v>1799.99</v>
      </c>
      <c r="AL207">
        <f t="shared" si="87"/>
        <v>1499.1039127986598</v>
      </c>
      <c r="AM207">
        <f t="shared" si="88"/>
        <v>0.8328401339999999</v>
      </c>
      <c r="AN207">
        <f t="shared" si="89"/>
        <v>0.15339701364</v>
      </c>
      <c r="AO207">
        <v>34.5</v>
      </c>
      <c r="AP207">
        <v>0.5</v>
      </c>
      <c r="AQ207" t="s">
        <v>331</v>
      </c>
      <c r="AR207">
        <v>2</v>
      </c>
      <c r="AS207">
        <v>1690214316</v>
      </c>
      <c r="AT207">
        <v>330.089</v>
      </c>
      <c r="AU207">
        <v>800.00300000000004</v>
      </c>
      <c r="AV207">
        <v>29.5745</v>
      </c>
      <c r="AW207">
        <v>5.9062900000000003</v>
      </c>
      <c r="AX207">
        <v>330.26799999999997</v>
      </c>
      <c r="AY207">
        <v>29.382899999999999</v>
      </c>
      <c r="AZ207">
        <v>300.13299999999998</v>
      </c>
      <c r="BA207">
        <v>99.070800000000006</v>
      </c>
      <c r="BB207">
        <v>9.9988900000000006E-2</v>
      </c>
      <c r="BC207">
        <v>26.971499999999999</v>
      </c>
      <c r="BD207">
        <v>26.9984</v>
      </c>
      <c r="BE207">
        <v>28.605799999999999</v>
      </c>
      <c r="BF207">
        <v>0</v>
      </c>
      <c r="BG207">
        <v>0</v>
      </c>
      <c r="BH207">
        <v>9985</v>
      </c>
      <c r="BI207">
        <v>1077.42</v>
      </c>
      <c r="BJ207">
        <v>2.0183800000000001</v>
      </c>
      <c r="BK207">
        <v>-469.91399999999999</v>
      </c>
      <c r="BL207">
        <v>340.14800000000002</v>
      </c>
      <c r="BM207">
        <v>804.75599999999997</v>
      </c>
      <c r="BN207">
        <v>23.668199999999999</v>
      </c>
      <c r="BO207">
        <v>800.00300000000004</v>
      </c>
      <c r="BP207">
        <v>5.9062900000000003</v>
      </c>
      <c r="BQ207">
        <v>2.92997</v>
      </c>
      <c r="BR207">
        <v>0.58514100000000002</v>
      </c>
      <c r="BS207">
        <v>23.635200000000001</v>
      </c>
      <c r="BT207">
        <v>-0.65320800000000001</v>
      </c>
      <c r="BU207">
        <v>1799.99</v>
      </c>
      <c r="BV207">
        <v>0.91001100000000001</v>
      </c>
      <c r="BW207">
        <v>3.4001999999999998E-2</v>
      </c>
      <c r="BX207">
        <v>2.19962E-2</v>
      </c>
      <c r="BY207">
        <v>3.3990399999999997E-2</v>
      </c>
      <c r="BZ207">
        <v>26</v>
      </c>
      <c r="CA207">
        <v>33528.300000000003</v>
      </c>
      <c r="CB207">
        <v>1690211922</v>
      </c>
      <c r="CC207" t="s">
        <v>332</v>
      </c>
      <c r="CD207">
        <v>1690211915</v>
      </c>
      <c r="CE207">
        <v>1690211922</v>
      </c>
      <c r="CF207">
        <v>6</v>
      </c>
      <c r="CG207">
        <v>1.0999999999999999E-2</v>
      </c>
      <c r="CH207">
        <v>8.0000000000000002E-3</v>
      </c>
      <c r="CI207">
        <v>-0.51100000000000001</v>
      </c>
      <c r="CJ207">
        <v>-6.6000000000000003E-2</v>
      </c>
      <c r="CK207">
        <v>800</v>
      </c>
      <c r="CL207">
        <v>6</v>
      </c>
      <c r="CM207">
        <v>0.21</v>
      </c>
      <c r="CN207">
        <v>0.02</v>
      </c>
      <c r="CO207">
        <v>-469.33878048780491</v>
      </c>
      <c r="CP207">
        <v>-2.697428571428361</v>
      </c>
      <c r="CQ207">
        <v>0.27428723703403091</v>
      </c>
      <c r="CR207">
        <v>-1</v>
      </c>
      <c r="CS207">
        <v>23.647985365853661</v>
      </c>
      <c r="CT207">
        <v>0.13353658536580529</v>
      </c>
      <c r="CU207">
        <v>1.3249511007554751E-2</v>
      </c>
      <c r="CV207">
        <v>-1</v>
      </c>
      <c r="CW207">
        <v>0</v>
      </c>
      <c r="CX207">
        <v>0</v>
      </c>
      <c r="CY207" t="s">
        <v>333</v>
      </c>
      <c r="CZ207">
        <v>2.3643000000000001</v>
      </c>
      <c r="DA207">
        <v>2.7137699999999998</v>
      </c>
      <c r="DB207">
        <v>7.7042600000000003E-2</v>
      </c>
      <c r="DC207">
        <v>0.14605399999999999</v>
      </c>
      <c r="DD207">
        <v>0.13172900000000001</v>
      </c>
      <c r="DE207">
        <v>3.8937600000000003E-2</v>
      </c>
      <c r="DF207">
        <v>33684.5</v>
      </c>
      <c r="DG207">
        <v>27499.599999999999</v>
      </c>
      <c r="DH207">
        <v>31157</v>
      </c>
      <c r="DI207">
        <v>28060.799999999999</v>
      </c>
      <c r="DJ207">
        <v>36710.400000000001</v>
      </c>
      <c r="DK207">
        <v>38345.800000000003</v>
      </c>
      <c r="DL207">
        <v>44337.2</v>
      </c>
      <c r="DM207">
        <v>42524.5</v>
      </c>
      <c r="DN207">
        <v>1.3895</v>
      </c>
      <c r="DO207">
        <v>2.0342199999999999</v>
      </c>
      <c r="DP207">
        <v>8.0682299999999998E-2</v>
      </c>
      <c r="DQ207">
        <v>0.18623500000000001</v>
      </c>
      <c r="DR207">
        <v>25.677600000000002</v>
      </c>
      <c r="DS207">
        <v>25.560500000000001</v>
      </c>
      <c r="DT207">
        <v>17.600000000000001</v>
      </c>
      <c r="DU207">
        <v>29.7</v>
      </c>
      <c r="DV207">
        <v>7.4396500000000003</v>
      </c>
      <c r="DW207">
        <v>61.611199999999997</v>
      </c>
      <c r="DX207">
        <v>36.25</v>
      </c>
      <c r="DY207">
        <v>1</v>
      </c>
      <c r="DZ207">
        <v>-8.6758100000000005E-2</v>
      </c>
      <c r="EA207">
        <v>-0.247748</v>
      </c>
      <c r="EB207">
        <v>20.1892</v>
      </c>
      <c r="EC207">
        <v>5.2416999999999998</v>
      </c>
      <c r="ED207">
        <v>12.039899999999999</v>
      </c>
      <c r="EE207">
        <v>5.0174000000000003</v>
      </c>
      <c r="EF207">
        <v>3.2879999999999998</v>
      </c>
      <c r="EG207">
        <v>9999</v>
      </c>
      <c r="EH207">
        <v>9999</v>
      </c>
      <c r="EI207">
        <v>9999</v>
      </c>
      <c r="EJ207">
        <v>999.9</v>
      </c>
      <c r="EK207">
        <v>1.8689100000000001</v>
      </c>
      <c r="EL207">
        <v>1.8646499999999999</v>
      </c>
      <c r="EM207">
        <v>1.8692</v>
      </c>
      <c r="EN207">
        <v>1.8672299999999999</v>
      </c>
      <c r="EO207">
        <v>1.8633999999999999</v>
      </c>
      <c r="EP207">
        <v>1.8645799999999999</v>
      </c>
      <c r="EQ207">
        <v>1.87018</v>
      </c>
      <c r="ER207">
        <v>1.86948</v>
      </c>
      <c r="ES207">
        <v>0</v>
      </c>
      <c r="ET207">
        <v>0</v>
      </c>
      <c r="EU207">
        <v>0</v>
      </c>
      <c r="EV207">
        <v>0</v>
      </c>
      <c r="EW207" t="s">
        <v>334</v>
      </c>
      <c r="EX207" t="s">
        <v>335</v>
      </c>
      <c r="EY207" t="s">
        <v>336</v>
      </c>
      <c r="EZ207" t="s">
        <v>336</v>
      </c>
      <c r="FA207" t="s">
        <v>336</v>
      </c>
      <c r="FB207" t="s">
        <v>336</v>
      </c>
      <c r="FC207">
        <v>0</v>
      </c>
      <c r="FD207">
        <v>100</v>
      </c>
      <c r="FE207">
        <v>100</v>
      </c>
      <c r="FF207">
        <v>-0.17899999999999999</v>
      </c>
      <c r="FG207">
        <v>0.19159999999999999</v>
      </c>
      <c r="FH207">
        <v>4.0020685143421282E-2</v>
      </c>
      <c r="FI207">
        <v>-6.1462078757559423E-4</v>
      </c>
      <c r="FJ207">
        <v>-1.8861989874597051E-7</v>
      </c>
      <c r="FK207">
        <v>1.1980462299894961E-10</v>
      </c>
      <c r="FL207">
        <v>0.19160597004026461</v>
      </c>
      <c r="FM207">
        <v>0</v>
      </c>
      <c r="FN207">
        <v>0</v>
      </c>
      <c r="FO207">
        <v>0</v>
      </c>
      <c r="FP207">
        <v>3</v>
      </c>
      <c r="FQ207">
        <v>2158</v>
      </c>
      <c r="FR207">
        <v>1</v>
      </c>
      <c r="FS207">
        <v>19</v>
      </c>
      <c r="FT207">
        <v>40</v>
      </c>
      <c r="FU207">
        <v>39.9</v>
      </c>
      <c r="FV207">
        <v>1.77979</v>
      </c>
      <c r="FW207">
        <v>2.5732400000000002</v>
      </c>
      <c r="FX207">
        <v>1.5490699999999999</v>
      </c>
      <c r="FY207">
        <v>2.3290999999999999</v>
      </c>
      <c r="FZ207">
        <v>1.50146</v>
      </c>
      <c r="GA207">
        <v>2.3864700000000001</v>
      </c>
      <c r="GB207">
        <v>33.850900000000003</v>
      </c>
      <c r="GC207">
        <v>23.991199999999999</v>
      </c>
      <c r="GD207">
        <v>19</v>
      </c>
      <c r="GE207">
        <v>247.92400000000001</v>
      </c>
      <c r="GF207">
        <v>582.14099999999996</v>
      </c>
      <c r="GG207">
        <v>25.513100000000001</v>
      </c>
      <c r="GH207">
        <v>26.297499999999999</v>
      </c>
      <c r="GI207">
        <v>30.0001</v>
      </c>
      <c r="GJ207">
        <v>26.430199999999999</v>
      </c>
      <c r="GK207">
        <v>26.405200000000001</v>
      </c>
      <c r="GL207">
        <v>35.581200000000003</v>
      </c>
      <c r="GM207">
        <v>-30</v>
      </c>
      <c r="GN207">
        <v>-30</v>
      </c>
      <c r="GO207">
        <v>25.5122</v>
      </c>
      <c r="GP207">
        <v>800</v>
      </c>
      <c r="GQ207">
        <v>12.5298</v>
      </c>
      <c r="GR207">
        <v>99.686199999999999</v>
      </c>
      <c r="GS207">
        <v>99.485100000000003</v>
      </c>
    </row>
    <row r="208" spans="1:201" x14ac:dyDescent="0.25">
      <c r="A208">
        <v>192</v>
      </c>
      <c r="B208">
        <v>1690214326</v>
      </c>
      <c r="C208">
        <v>2058.5</v>
      </c>
      <c r="D208" t="s">
        <v>715</v>
      </c>
      <c r="E208" t="s">
        <v>716</v>
      </c>
      <c r="F208" t="s">
        <v>330</v>
      </c>
      <c r="H208">
        <v>1690214326</v>
      </c>
      <c r="I208">
        <f t="shared" si="60"/>
        <v>2.1225557016665399E-3</v>
      </c>
      <c r="J208">
        <f t="shared" si="61"/>
        <v>2.1225557016665397</v>
      </c>
      <c r="K208">
        <f t="shared" si="62"/>
        <v>40.200837364797842</v>
      </c>
      <c r="L208">
        <f t="shared" si="63"/>
        <v>329.90100000000001</v>
      </c>
      <c r="M208">
        <f t="shared" si="64"/>
        <v>22.947184269034139</v>
      </c>
      <c r="N208">
        <f t="shared" si="65"/>
        <v>2.2758325752841375</v>
      </c>
      <c r="O208">
        <f t="shared" si="66"/>
        <v>32.718586891376098</v>
      </c>
      <c r="P208">
        <f t="shared" si="67"/>
        <v>0.22256709881943457</v>
      </c>
      <c r="Q208">
        <f t="shared" si="68"/>
        <v>2.0150131318332436</v>
      </c>
      <c r="R208">
        <f t="shared" si="69"/>
        <v>0.20975595563975996</v>
      </c>
      <c r="S208">
        <f t="shared" si="70"/>
        <v>0.13218701070988517</v>
      </c>
      <c r="T208">
        <f t="shared" si="71"/>
        <v>276.11469424799998</v>
      </c>
      <c r="U208">
        <f t="shared" si="72"/>
        <v>28.480379151259527</v>
      </c>
      <c r="V208">
        <f t="shared" si="73"/>
        <v>28.480379151259527</v>
      </c>
      <c r="W208">
        <f t="shared" si="74"/>
        <v>3.9024192951257355</v>
      </c>
      <c r="X208">
        <f t="shared" si="75"/>
        <v>82.137553105231561</v>
      </c>
      <c r="Y208">
        <f t="shared" si="76"/>
        <v>2.9334172240713596</v>
      </c>
      <c r="Z208">
        <f t="shared" si="77"/>
        <v>3.5713472256875916</v>
      </c>
      <c r="AA208">
        <f t="shared" si="78"/>
        <v>0.96900207105437586</v>
      </c>
      <c r="AB208">
        <f t="shared" si="79"/>
        <v>-93.604706443494408</v>
      </c>
      <c r="AC208">
        <f t="shared" si="80"/>
        <v>-164.85976470393393</v>
      </c>
      <c r="AD208">
        <f t="shared" si="81"/>
        <v>-17.784620104819442</v>
      </c>
      <c r="AE208">
        <f t="shared" si="82"/>
        <v>-0.13439700424783041</v>
      </c>
      <c r="AF208">
        <v>32</v>
      </c>
      <c r="AG208">
        <v>11</v>
      </c>
      <c r="AH208">
        <f t="shared" si="83"/>
        <v>1</v>
      </c>
      <c r="AI208">
        <f t="shared" si="84"/>
        <v>0</v>
      </c>
      <c r="AJ208">
        <f t="shared" si="85"/>
        <v>52549.320946992484</v>
      </c>
      <c r="AK208">
        <f t="shared" si="86"/>
        <v>1800</v>
      </c>
      <c r="AL208">
        <f t="shared" si="87"/>
        <v>1499.1125238</v>
      </c>
      <c r="AM208">
        <f t="shared" si="88"/>
        <v>0.83284029100000001</v>
      </c>
      <c r="AN208">
        <f t="shared" si="89"/>
        <v>0.15339705235999998</v>
      </c>
      <c r="AO208">
        <v>34.5</v>
      </c>
      <c r="AP208">
        <v>0.5</v>
      </c>
      <c r="AQ208" t="s">
        <v>331</v>
      </c>
      <c r="AR208">
        <v>2</v>
      </c>
      <c r="AS208">
        <v>1690214326</v>
      </c>
      <c r="AT208">
        <v>329.90100000000001</v>
      </c>
      <c r="AU208">
        <v>799.97500000000002</v>
      </c>
      <c r="AV208">
        <v>29.5776</v>
      </c>
      <c r="AW208">
        <v>5.9047000000000001</v>
      </c>
      <c r="AX208">
        <v>330.08</v>
      </c>
      <c r="AY208">
        <v>29.385999999999999</v>
      </c>
      <c r="AZ208">
        <v>300.18400000000003</v>
      </c>
      <c r="BA208">
        <v>99.076999999999998</v>
      </c>
      <c r="BB208">
        <v>9.9986099999999994E-2</v>
      </c>
      <c r="BC208">
        <v>26.962800000000001</v>
      </c>
      <c r="BD208">
        <v>27.001799999999999</v>
      </c>
      <c r="BE208">
        <v>28.595300000000002</v>
      </c>
      <c r="BF208">
        <v>0</v>
      </c>
      <c r="BG208">
        <v>0</v>
      </c>
      <c r="BH208">
        <v>10030.6</v>
      </c>
      <c r="BI208">
        <v>1077.42</v>
      </c>
      <c r="BJ208">
        <v>2.0183800000000001</v>
      </c>
      <c r="BK208">
        <v>-470.07400000000001</v>
      </c>
      <c r="BL208">
        <v>339.95600000000002</v>
      </c>
      <c r="BM208">
        <v>804.72699999999998</v>
      </c>
      <c r="BN208">
        <v>23.672899999999998</v>
      </c>
      <c r="BO208">
        <v>799.97500000000002</v>
      </c>
      <c r="BP208">
        <v>5.9047000000000001</v>
      </c>
      <c r="BQ208">
        <v>2.9304600000000001</v>
      </c>
      <c r="BR208">
        <v>0.58501999999999998</v>
      </c>
      <c r="BS208">
        <v>23.638000000000002</v>
      </c>
      <c r="BT208">
        <v>-0.65603299999999998</v>
      </c>
      <c r="BU208">
        <v>1800</v>
      </c>
      <c r="BV208">
        <v>0.91001100000000001</v>
      </c>
      <c r="BW208">
        <v>3.40021E-2</v>
      </c>
      <c r="BX208">
        <v>2.19963E-2</v>
      </c>
      <c r="BY208">
        <v>3.3990399999999997E-2</v>
      </c>
      <c r="BZ208">
        <v>26</v>
      </c>
      <c r="CA208">
        <v>33528.5</v>
      </c>
      <c r="CB208">
        <v>1690211922</v>
      </c>
      <c r="CC208" t="s">
        <v>332</v>
      </c>
      <c r="CD208">
        <v>1690211915</v>
      </c>
      <c r="CE208">
        <v>1690211922</v>
      </c>
      <c r="CF208">
        <v>6</v>
      </c>
      <c r="CG208">
        <v>1.0999999999999999E-2</v>
      </c>
      <c r="CH208">
        <v>8.0000000000000002E-3</v>
      </c>
      <c r="CI208">
        <v>-0.51100000000000001</v>
      </c>
      <c r="CJ208">
        <v>-6.6000000000000003E-2</v>
      </c>
      <c r="CK208">
        <v>800</v>
      </c>
      <c r="CL208">
        <v>6</v>
      </c>
      <c r="CM208">
        <v>0.21</v>
      </c>
      <c r="CN208">
        <v>0.02</v>
      </c>
      <c r="CO208">
        <v>-469.7964634146341</v>
      </c>
      <c r="CP208">
        <v>-2.5352822299657851</v>
      </c>
      <c r="CQ208">
        <v>0.25928542494390139</v>
      </c>
      <c r="CR208">
        <v>-1</v>
      </c>
      <c r="CS208">
        <v>23.664999999999999</v>
      </c>
      <c r="CT208">
        <v>7.1981184669064724E-2</v>
      </c>
      <c r="CU208">
        <v>7.3894123334773227E-3</v>
      </c>
      <c r="CV208">
        <v>-1</v>
      </c>
      <c r="CW208">
        <v>0</v>
      </c>
      <c r="CX208">
        <v>0</v>
      </c>
      <c r="CY208" t="s">
        <v>333</v>
      </c>
      <c r="CZ208">
        <v>2.3644599999999998</v>
      </c>
      <c r="DA208">
        <v>2.7138</v>
      </c>
      <c r="DB208">
        <v>7.7012399999999995E-2</v>
      </c>
      <c r="DC208">
        <v>0.14606</v>
      </c>
      <c r="DD208">
        <v>0.131746</v>
      </c>
      <c r="DE208">
        <v>3.8931399999999998E-2</v>
      </c>
      <c r="DF208">
        <v>33685.4</v>
      </c>
      <c r="DG208">
        <v>27499.5</v>
      </c>
      <c r="DH208">
        <v>31156.799999999999</v>
      </c>
      <c r="DI208">
        <v>28060.9</v>
      </c>
      <c r="DJ208">
        <v>36709.599999999999</v>
      </c>
      <c r="DK208">
        <v>38346.400000000001</v>
      </c>
      <c r="DL208">
        <v>44337.2</v>
      </c>
      <c r="DM208">
        <v>42524.800000000003</v>
      </c>
      <c r="DN208">
        <v>1.38948</v>
      </c>
      <c r="DO208">
        <v>2.0340199999999999</v>
      </c>
      <c r="DP208">
        <v>8.0905900000000003E-2</v>
      </c>
      <c r="DQ208">
        <v>0.18567600000000001</v>
      </c>
      <c r="DR208">
        <v>25.677199999999999</v>
      </c>
      <c r="DS208">
        <v>25.559200000000001</v>
      </c>
      <c r="DT208">
        <v>17.600000000000001</v>
      </c>
      <c r="DU208">
        <v>29.7</v>
      </c>
      <c r="DV208">
        <v>7.4386599999999996</v>
      </c>
      <c r="DW208">
        <v>61.421199999999999</v>
      </c>
      <c r="DX208">
        <v>36.582500000000003</v>
      </c>
      <c r="DY208">
        <v>1</v>
      </c>
      <c r="DZ208">
        <v>-8.6979200000000007E-2</v>
      </c>
      <c r="EA208">
        <v>-0.24987999999999999</v>
      </c>
      <c r="EB208">
        <v>20.189299999999999</v>
      </c>
      <c r="EC208">
        <v>5.2415500000000002</v>
      </c>
      <c r="ED208">
        <v>12.039899999999999</v>
      </c>
      <c r="EE208">
        <v>5.0172499999999998</v>
      </c>
      <c r="EF208">
        <v>3.2879999999999998</v>
      </c>
      <c r="EG208">
        <v>9999</v>
      </c>
      <c r="EH208">
        <v>9999</v>
      </c>
      <c r="EI208">
        <v>9999</v>
      </c>
      <c r="EJ208">
        <v>999.9</v>
      </c>
      <c r="EK208">
        <v>1.8689199999999999</v>
      </c>
      <c r="EL208">
        <v>1.8646799999999999</v>
      </c>
      <c r="EM208">
        <v>1.8691899999999999</v>
      </c>
      <c r="EN208">
        <v>1.8672299999999999</v>
      </c>
      <c r="EO208">
        <v>1.8633999999999999</v>
      </c>
      <c r="EP208">
        <v>1.8646</v>
      </c>
      <c r="EQ208">
        <v>1.8701700000000001</v>
      </c>
      <c r="ER208">
        <v>1.86944</v>
      </c>
      <c r="ES208">
        <v>0</v>
      </c>
      <c r="ET208">
        <v>0</v>
      </c>
      <c r="EU208">
        <v>0</v>
      </c>
      <c r="EV208">
        <v>0</v>
      </c>
      <c r="EW208" t="s">
        <v>334</v>
      </c>
      <c r="EX208" t="s">
        <v>335</v>
      </c>
      <c r="EY208" t="s">
        <v>336</v>
      </c>
      <c r="EZ208" t="s">
        <v>336</v>
      </c>
      <c r="FA208" t="s">
        <v>336</v>
      </c>
      <c r="FB208" t="s">
        <v>336</v>
      </c>
      <c r="FC208">
        <v>0</v>
      </c>
      <c r="FD208">
        <v>100</v>
      </c>
      <c r="FE208">
        <v>100</v>
      </c>
      <c r="FF208">
        <v>-0.17899999999999999</v>
      </c>
      <c r="FG208">
        <v>0.19159999999999999</v>
      </c>
      <c r="FH208">
        <v>4.0020685143421282E-2</v>
      </c>
      <c r="FI208">
        <v>-6.1462078757559423E-4</v>
      </c>
      <c r="FJ208">
        <v>-1.8861989874597051E-7</v>
      </c>
      <c r="FK208">
        <v>1.1980462299894961E-10</v>
      </c>
      <c r="FL208">
        <v>0.19160597004026461</v>
      </c>
      <c r="FM208">
        <v>0</v>
      </c>
      <c r="FN208">
        <v>0</v>
      </c>
      <c r="FO208">
        <v>0</v>
      </c>
      <c r="FP208">
        <v>3</v>
      </c>
      <c r="FQ208">
        <v>2158</v>
      </c>
      <c r="FR208">
        <v>1</v>
      </c>
      <c r="FS208">
        <v>19</v>
      </c>
      <c r="FT208">
        <v>40.200000000000003</v>
      </c>
      <c r="FU208">
        <v>40.1</v>
      </c>
      <c r="FV208">
        <v>1.77979</v>
      </c>
      <c r="FW208">
        <v>2.5769000000000002</v>
      </c>
      <c r="FX208">
        <v>1.5490699999999999</v>
      </c>
      <c r="FY208">
        <v>2.3303199999999999</v>
      </c>
      <c r="FZ208">
        <v>1.50146</v>
      </c>
      <c r="GA208">
        <v>2.3999000000000001</v>
      </c>
      <c r="GB208">
        <v>33.850900000000003</v>
      </c>
      <c r="GC208">
        <v>23.991199999999999</v>
      </c>
      <c r="GD208">
        <v>19</v>
      </c>
      <c r="GE208">
        <v>247.91399999999999</v>
      </c>
      <c r="GF208">
        <v>581.976</v>
      </c>
      <c r="GG208">
        <v>25.513300000000001</v>
      </c>
      <c r="GH208">
        <v>26.297499999999999</v>
      </c>
      <c r="GI208">
        <v>30.0001</v>
      </c>
      <c r="GJ208">
        <v>26.430199999999999</v>
      </c>
      <c r="GK208">
        <v>26.405200000000001</v>
      </c>
      <c r="GL208">
        <v>35.580399999999997</v>
      </c>
      <c r="GM208">
        <v>-30</v>
      </c>
      <c r="GN208">
        <v>-30</v>
      </c>
      <c r="GO208">
        <v>25.5137</v>
      </c>
      <c r="GP208">
        <v>800</v>
      </c>
      <c r="GQ208">
        <v>12.5298</v>
      </c>
      <c r="GR208">
        <v>99.686000000000007</v>
      </c>
      <c r="GS208">
        <v>99.485699999999994</v>
      </c>
    </row>
    <row r="209" spans="1:201" x14ac:dyDescent="0.25">
      <c r="A209">
        <v>193</v>
      </c>
      <c r="B209">
        <v>1690214336</v>
      </c>
      <c r="C209">
        <v>2068.5</v>
      </c>
      <c r="D209" t="s">
        <v>717</v>
      </c>
      <c r="E209" t="s">
        <v>718</v>
      </c>
      <c r="F209" t="s">
        <v>330</v>
      </c>
      <c r="H209">
        <v>1690214336</v>
      </c>
      <c r="I209">
        <f t="shared" ref="I209:I272" si="90">(J209)/1000</f>
        <v>2.1231719547806587E-3</v>
      </c>
      <c r="J209">
        <f t="shared" ref="J209:J231" si="91">1000*AZ209*AH209*(AV209-AW209)/(100*AO209*(1000-AH209*AV209))</f>
        <v>2.1231719547806587</v>
      </c>
      <c r="K209">
        <f t="shared" ref="K209:K231" si="92">AZ209*AH209*(AU209-AT209*(1000-AH209*AW209)/(1000-AH209*AV209))/(100*AO209)</f>
        <v>40.222209051879787</v>
      </c>
      <c r="L209">
        <f t="shared" ref="L209:L272" si="93">AT209 - IF(AH209&gt;1, K209*AO209*100/(AJ209*BH209), 0)</f>
        <v>329.58600000000001</v>
      </c>
      <c r="M209">
        <f t="shared" ref="M209:M272" si="94">((S209-I209/2)*L209-K209)/(S209+I209/2)</f>
        <v>22.347238998179641</v>
      </c>
      <c r="N209">
        <f t="shared" ref="N209:N272" si="95">M209*(BA209+BB209)/1000</f>
        <v>2.2162613372429356</v>
      </c>
      <c r="O209">
        <f t="shared" ref="O209:O231" si="96">(AT209 - IF(AH209&gt;1, K209*AO209*100/(AJ209*BH209), 0))*(BA209+BB209)/1000</f>
        <v>32.686306758344998</v>
      </c>
      <c r="P209">
        <f t="shared" ref="P209:P272" si="97">2/((1/R209-1/Q209)+SIGN(R209)*SQRT((1/R209-1/Q209)*(1/R209-1/Q209) + 4*AP209/((AP209+1)*(AP209+1))*(2*1/R209*1/Q209-1/Q209*1/Q209)))</f>
        <v>0.22248039206267162</v>
      </c>
      <c r="Q209">
        <f t="shared" ref="Q209:Q231" si="98">IF(LEFT(AQ209,1)&lt;&gt;"0",IF(LEFT(AQ209,1)="1",3,AR209),$D$5+$E$5*(BH209*BA209/($K$5*1000))+$F$5*(BH209*BA209/($K$5*1000))*MAX(MIN(AO209,$J$5),$I$5)*MAX(MIN(AO209,$J$5),$I$5)+$G$5*MAX(MIN(AO209,$J$5),$I$5)*(BH209*BA209/($K$5*1000))+$H$5*(BH209*BA209/($K$5*1000))*(BH209*BA209/($K$5*1000)))</f>
        <v>2.0128916992948627</v>
      </c>
      <c r="R209">
        <f t="shared" ref="R209:R231" si="99">I209*(1000-(1000*0.61365*EXP(17.502*V209/(240.97+V209))/(BA209+BB209)+AV209)/2)/(1000*0.61365*EXP(17.502*V209/(240.97+V209))/(BA209+BB209)-AV209)</f>
        <v>0.20966626296801791</v>
      </c>
      <c r="S209">
        <f t="shared" ref="S209:S231" si="100">1/((AP209+1)/(P209/1.6)+1/(Q209/1.37)) + AP209/((AP209+1)/(P209/1.6) + AP209/(Q209/1.37))</f>
        <v>0.13213116831680391</v>
      </c>
      <c r="T209">
        <f t="shared" ref="T209:T231" si="101">(AK209*AN209)</f>
        <v>276.11472259799996</v>
      </c>
      <c r="U209">
        <f t="shared" ref="U209:U272" si="102">(BC209+(T209+2*0.95*0.0000000567*(((BC209+$B$7)+273)^4-(BC209+273)^4)-44100*I209)/(1.84*29.3*Q209+8*0.95*0.0000000567*(BC209+273)^3))</f>
        <v>28.487389255517094</v>
      </c>
      <c r="V209">
        <f t="shared" ref="V209:V272" si="103">($C$7*BD209+$D$7*BE209+$E$7*U209)</f>
        <v>28.487389255517094</v>
      </c>
      <c r="W209">
        <f t="shared" ref="W209:W272" si="104">0.61365*EXP(17.502*V209/(240.97+V209))</f>
        <v>3.9040086782332475</v>
      </c>
      <c r="X209">
        <f t="shared" ref="X209:X272" si="105">(Y209/Z209*100)</f>
        <v>82.135830029658763</v>
      </c>
      <c r="Y209">
        <f t="shared" ref="Y209:Y231" si="106">AV209*(BA209+BB209)/1000</f>
        <v>2.9343553560099997</v>
      </c>
      <c r="Z209">
        <f t="shared" ref="Z209:Z231" si="107">0.61365*EXP(17.502*BC209/(240.97+BC209))</f>
        <v>3.5725643180940905</v>
      </c>
      <c r="AA209">
        <f t="shared" ref="AA209:AA231" si="108">(W209-AV209*(BA209+BB209)/1000)</f>
        <v>0.96965332222324774</v>
      </c>
      <c r="AB209">
        <f t="shared" ref="AB209:AB231" si="109">(-I209*44100)</f>
        <v>-93.631883205827052</v>
      </c>
      <c r="AC209">
        <f t="shared" ref="AC209:AC231" si="110">2*29.3*Q209*0.92*(BC209-V209)</f>
        <v>-164.81751748294769</v>
      </c>
      <c r="AD209">
        <f t="shared" ref="AD209:AD231" si="111">2*0.95*0.0000000567*(((BC209+$B$7)+273)^4-(V209+273)^4)</f>
        <v>-17.799938891536318</v>
      </c>
      <c r="AE209">
        <f t="shared" ref="AE209:AE272" si="112">T209+AD209+AB209+AC209</f>
        <v>-0.13461698231111541</v>
      </c>
      <c r="AF209">
        <v>32</v>
      </c>
      <c r="AG209">
        <v>11</v>
      </c>
      <c r="AH209">
        <f t="shared" ref="AH209:AH231" si="113">IF(AF209*$H$13&gt;=AJ209,1,(AJ209/(AJ209-AF209*$H$13)))</f>
        <v>1</v>
      </c>
      <c r="AI209">
        <f t="shared" ref="AI209:AI272" si="114">(AH209-1)*100</f>
        <v>0</v>
      </c>
      <c r="AJ209">
        <f t="shared" ref="AJ209:AJ231" si="115">MAX(0,($B$13+$C$13*BH209)/(1+$D$13*BH209)*BA209/(BC209+273)*$E$13)</f>
        <v>52446.218086919143</v>
      </c>
      <c r="AK209">
        <f t="shared" ref="AK209:AK231" si="116">$B$11*BI209+$C$11*BJ209+$D$11*BU209</f>
        <v>1800</v>
      </c>
      <c r="AL209">
        <f t="shared" ref="AL209:AL272" si="117">AK209*AM209</f>
        <v>1499.1126588</v>
      </c>
      <c r="AM209">
        <f t="shared" ref="AM209:AM231" si="118">($B$11*$D$9+$C$11*$D$9+$D$11*(BV209*$E$9+BW209*$F$9+BX209*$G$9+BY209*$H$9))/($B$11+$C$11+$D$11)</f>
        <v>0.832840366</v>
      </c>
      <c r="AN209">
        <f t="shared" ref="AN209:AN231" si="119">($B$11*$K$9+$C$11*$K$9+$D$11*(BV209*$L$9+BW209*$M$9+BX209*$N$9+BY209*$O$9))/($B$11+$C$11+$D$11)</f>
        <v>0.15339706810999998</v>
      </c>
      <c r="AO209">
        <v>34.5</v>
      </c>
      <c r="AP209">
        <v>0.5</v>
      </c>
      <c r="AQ209" t="s">
        <v>331</v>
      </c>
      <c r="AR209">
        <v>2</v>
      </c>
      <c r="AS209">
        <v>1690214336</v>
      </c>
      <c r="AT209">
        <v>329.58600000000001</v>
      </c>
      <c r="AU209">
        <v>799.99900000000002</v>
      </c>
      <c r="AV209">
        <v>29.588000000000001</v>
      </c>
      <c r="AW209">
        <v>5.9035099999999998</v>
      </c>
      <c r="AX209">
        <v>329.76499999999999</v>
      </c>
      <c r="AY209">
        <v>29.3964</v>
      </c>
      <c r="AZ209">
        <v>300.12099999999998</v>
      </c>
      <c r="BA209">
        <v>99.073899999999995</v>
      </c>
      <c r="BB209">
        <v>9.9932499999999994E-2</v>
      </c>
      <c r="BC209">
        <v>26.968599999999999</v>
      </c>
      <c r="BD209">
        <v>26.9941</v>
      </c>
      <c r="BE209">
        <v>28.592600000000001</v>
      </c>
      <c r="BF209">
        <v>0</v>
      </c>
      <c r="BG209">
        <v>0</v>
      </c>
      <c r="BH209">
        <v>10010.6</v>
      </c>
      <c r="BI209">
        <v>1077.4000000000001</v>
      </c>
      <c r="BJ209">
        <v>2.0183800000000001</v>
      </c>
      <c r="BK209">
        <v>-470.41300000000001</v>
      </c>
      <c r="BL209">
        <v>339.63499999999999</v>
      </c>
      <c r="BM209">
        <v>804.75</v>
      </c>
      <c r="BN209">
        <v>23.6845</v>
      </c>
      <c r="BO209">
        <v>799.99900000000002</v>
      </c>
      <c r="BP209">
        <v>5.9035099999999998</v>
      </c>
      <c r="BQ209">
        <v>2.9314</v>
      </c>
      <c r="BR209">
        <v>0.58488399999999996</v>
      </c>
      <c r="BS209">
        <v>23.6433</v>
      </c>
      <c r="BT209">
        <v>-0.65921300000000005</v>
      </c>
      <c r="BU209">
        <v>1800</v>
      </c>
      <c r="BV209">
        <v>0.91001100000000001</v>
      </c>
      <c r="BW209">
        <v>3.40021E-2</v>
      </c>
      <c r="BX209">
        <v>2.19963E-2</v>
      </c>
      <c r="BY209">
        <v>3.39905E-2</v>
      </c>
      <c r="BZ209">
        <v>26</v>
      </c>
      <c r="CA209">
        <v>33528.5</v>
      </c>
      <c r="CB209">
        <v>1690211922</v>
      </c>
      <c r="CC209" t="s">
        <v>332</v>
      </c>
      <c r="CD209">
        <v>1690211915</v>
      </c>
      <c r="CE209">
        <v>1690211922</v>
      </c>
      <c r="CF209">
        <v>6</v>
      </c>
      <c r="CG209">
        <v>1.0999999999999999E-2</v>
      </c>
      <c r="CH209">
        <v>8.0000000000000002E-3</v>
      </c>
      <c r="CI209">
        <v>-0.51100000000000001</v>
      </c>
      <c r="CJ209">
        <v>-6.6000000000000003E-2</v>
      </c>
      <c r="CK209">
        <v>800</v>
      </c>
      <c r="CL209">
        <v>6</v>
      </c>
      <c r="CM209">
        <v>0.21</v>
      </c>
      <c r="CN209">
        <v>0.02</v>
      </c>
      <c r="CO209">
        <v>-470.07668292682928</v>
      </c>
      <c r="CP209">
        <v>-1.294682926828912</v>
      </c>
      <c r="CQ209">
        <v>0.14807124834536989</v>
      </c>
      <c r="CR209">
        <v>-1</v>
      </c>
      <c r="CS209">
        <v>23.673285365853658</v>
      </c>
      <c r="CT209">
        <v>3.776445993029779E-2</v>
      </c>
      <c r="CU209">
        <v>3.8166874269360911E-3</v>
      </c>
      <c r="CV209">
        <v>-1</v>
      </c>
      <c r="CW209">
        <v>0</v>
      </c>
      <c r="CX209">
        <v>0</v>
      </c>
      <c r="CY209" t="s">
        <v>333</v>
      </c>
      <c r="CZ209">
        <v>2.3642699999999999</v>
      </c>
      <c r="DA209">
        <v>2.71373</v>
      </c>
      <c r="DB209">
        <v>7.6951400000000003E-2</v>
      </c>
      <c r="DC209">
        <v>0.14605899999999999</v>
      </c>
      <c r="DD209">
        <v>0.131774</v>
      </c>
      <c r="DE209">
        <v>3.8924100000000003E-2</v>
      </c>
      <c r="DF209">
        <v>33687.4</v>
      </c>
      <c r="DG209">
        <v>27499.4</v>
      </c>
      <c r="DH209">
        <v>31156.6</v>
      </c>
      <c r="DI209">
        <v>28060.799999999999</v>
      </c>
      <c r="DJ209">
        <v>36708.1</v>
      </c>
      <c r="DK209">
        <v>38346.5</v>
      </c>
      <c r="DL209">
        <v>44336.800000000003</v>
      </c>
      <c r="DM209">
        <v>42524.6</v>
      </c>
      <c r="DN209">
        <v>1.3896500000000001</v>
      </c>
      <c r="DO209">
        <v>2.0341200000000002</v>
      </c>
      <c r="DP209">
        <v>8.0436499999999994E-2</v>
      </c>
      <c r="DQ209">
        <v>0.185557</v>
      </c>
      <c r="DR209">
        <v>25.677199999999999</v>
      </c>
      <c r="DS209">
        <v>25.558399999999999</v>
      </c>
      <c r="DT209">
        <v>17.600000000000001</v>
      </c>
      <c r="DU209">
        <v>29.7</v>
      </c>
      <c r="DV209">
        <v>7.4381000000000004</v>
      </c>
      <c r="DW209">
        <v>61.501199999999997</v>
      </c>
      <c r="DX209">
        <v>36.927100000000003</v>
      </c>
      <c r="DY209">
        <v>1</v>
      </c>
      <c r="DZ209">
        <v>-8.6529499999999995E-2</v>
      </c>
      <c r="EA209">
        <v>-0.24691199999999999</v>
      </c>
      <c r="EB209">
        <v>20.189</v>
      </c>
      <c r="EC209">
        <v>5.2411000000000003</v>
      </c>
      <c r="ED209">
        <v>12.039899999999999</v>
      </c>
      <c r="EE209">
        <v>5.0173500000000004</v>
      </c>
      <c r="EF209">
        <v>3.2879999999999998</v>
      </c>
      <c r="EG209">
        <v>9999</v>
      </c>
      <c r="EH209">
        <v>9999</v>
      </c>
      <c r="EI209">
        <v>9999</v>
      </c>
      <c r="EJ209">
        <v>999.9</v>
      </c>
      <c r="EK209">
        <v>1.86893</v>
      </c>
      <c r="EL209">
        <v>1.86466</v>
      </c>
      <c r="EM209">
        <v>1.8691899999999999</v>
      </c>
      <c r="EN209">
        <v>1.8672200000000001</v>
      </c>
      <c r="EO209">
        <v>1.8633999999999999</v>
      </c>
      <c r="EP209">
        <v>1.8646100000000001</v>
      </c>
      <c r="EQ209">
        <v>1.8702000000000001</v>
      </c>
      <c r="ER209">
        <v>1.8694500000000001</v>
      </c>
      <c r="ES209">
        <v>0</v>
      </c>
      <c r="ET209">
        <v>0</v>
      </c>
      <c r="EU209">
        <v>0</v>
      </c>
      <c r="EV209">
        <v>0</v>
      </c>
      <c r="EW209" t="s">
        <v>334</v>
      </c>
      <c r="EX209" t="s">
        <v>335</v>
      </c>
      <c r="EY209" t="s">
        <v>336</v>
      </c>
      <c r="EZ209" t="s">
        <v>336</v>
      </c>
      <c r="FA209" t="s">
        <v>336</v>
      </c>
      <c r="FB209" t="s">
        <v>336</v>
      </c>
      <c r="FC209">
        <v>0</v>
      </c>
      <c r="FD209">
        <v>100</v>
      </c>
      <c r="FE209">
        <v>100</v>
      </c>
      <c r="FF209">
        <v>-0.17899999999999999</v>
      </c>
      <c r="FG209">
        <v>0.19159999999999999</v>
      </c>
      <c r="FH209">
        <v>4.0020685143421282E-2</v>
      </c>
      <c r="FI209">
        <v>-6.1462078757559423E-4</v>
      </c>
      <c r="FJ209">
        <v>-1.8861989874597051E-7</v>
      </c>
      <c r="FK209">
        <v>1.1980462299894961E-10</v>
      </c>
      <c r="FL209">
        <v>0.19160597004026461</v>
      </c>
      <c r="FM209">
        <v>0</v>
      </c>
      <c r="FN209">
        <v>0</v>
      </c>
      <c r="FO209">
        <v>0</v>
      </c>
      <c r="FP209">
        <v>3</v>
      </c>
      <c r="FQ209">
        <v>2158</v>
      </c>
      <c r="FR209">
        <v>1</v>
      </c>
      <c r="FS209">
        <v>19</v>
      </c>
      <c r="FT209">
        <v>40.4</v>
      </c>
      <c r="FU209">
        <v>40.200000000000003</v>
      </c>
      <c r="FV209">
        <v>1.77979</v>
      </c>
      <c r="FW209">
        <v>2.5805699999999998</v>
      </c>
      <c r="FX209">
        <v>1.5490699999999999</v>
      </c>
      <c r="FY209">
        <v>2.3303199999999999</v>
      </c>
      <c r="FZ209">
        <v>1.50146</v>
      </c>
      <c r="GA209">
        <v>2.3950200000000001</v>
      </c>
      <c r="GB209">
        <v>33.850900000000003</v>
      </c>
      <c r="GC209">
        <v>23.991199999999999</v>
      </c>
      <c r="GD209">
        <v>19</v>
      </c>
      <c r="GE209">
        <v>247.982</v>
      </c>
      <c r="GF209">
        <v>582.03399999999999</v>
      </c>
      <c r="GG209">
        <v>25.513400000000001</v>
      </c>
      <c r="GH209">
        <v>26.297499999999999</v>
      </c>
      <c r="GI209">
        <v>30.0001</v>
      </c>
      <c r="GJ209">
        <v>26.430199999999999</v>
      </c>
      <c r="GK209">
        <v>26.402999999999999</v>
      </c>
      <c r="GL209">
        <v>35.579300000000003</v>
      </c>
      <c r="GM209">
        <v>-30</v>
      </c>
      <c r="GN209">
        <v>-30</v>
      </c>
      <c r="GO209">
        <v>25.513400000000001</v>
      </c>
      <c r="GP209">
        <v>800</v>
      </c>
      <c r="GQ209">
        <v>12.5298</v>
      </c>
      <c r="GR209">
        <v>99.685199999999995</v>
      </c>
      <c r="GS209">
        <v>99.485200000000006</v>
      </c>
    </row>
    <row r="210" spans="1:201" x14ac:dyDescent="0.25">
      <c r="A210">
        <v>194</v>
      </c>
      <c r="B210">
        <v>1690214346</v>
      </c>
      <c r="C210">
        <v>2078.5</v>
      </c>
      <c r="D210" t="s">
        <v>719</v>
      </c>
      <c r="E210" t="s">
        <v>720</v>
      </c>
      <c r="F210" t="s">
        <v>330</v>
      </c>
      <c r="H210">
        <v>1690214346</v>
      </c>
      <c r="I210">
        <f t="shared" si="90"/>
        <v>2.1249622719854283E-3</v>
      </c>
      <c r="J210">
        <f t="shared" si="91"/>
        <v>2.1249622719854284</v>
      </c>
      <c r="K210">
        <f t="shared" si="92"/>
        <v>40.265865159927223</v>
      </c>
      <c r="L210">
        <f t="shared" si="93"/>
        <v>329.03699999999998</v>
      </c>
      <c r="M210">
        <f t="shared" si="94"/>
        <v>22.443645736437507</v>
      </c>
      <c r="N210">
        <f t="shared" si="95"/>
        <v>2.2258237432390051</v>
      </c>
      <c r="O210">
        <f t="shared" si="96"/>
        <v>32.631880560077995</v>
      </c>
      <c r="P210">
        <f t="shared" si="97"/>
        <v>0.22322003554921396</v>
      </c>
      <c r="Q210">
        <f t="shared" si="98"/>
        <v>2.0136754595861102</v>
      </c>
      <c r="R210">
        <f t="shared" si="99"/>
        <v>0.21032792200418374</v>
      </c>
      <c r="S210">
        <f t="shared" si="100"/>
        <v>0.13255116639205825</v>
      </c>
      <c r="T210">
        <f t="shared" si="101"/>
        <v>276.114662028</v>
      </c>
      <c r="U210">
        <f t="shared" si="102"/>
        <v>28.486597340284131</v>
      </c>
      <c r="V210">
        <f t="shared" si="103"/>
        <v>28.486597340284131</v>
      </c>
      <c r="W210">
        <f t="shared" si="104"/>
        <v>3.9038291010227604</v>
      </c>
      <c r="X210">
        <f t="shared" si="105"/>
        <v>82.191690076882608</v>
      </c>
      <c r="Y210">
        <f t="shared" si="106"/>
        <v>2.9364199926671994</v>
      </c>
      <c r="Z210">
        <f t="shared" si="107"/>
        <v>3.5726482688462231</v>
      </c>
      <c r="AA210">
        <f t="shared" si="108"/>
        <v>0.96740910835556093</v>
      </c>
      <c r="AB210">
        <f t="shared" si="109"/>
        <v>-93.710836194557388</v>
      </c>
      <c r="AC210">
        <f t="shared" si="110"/>
        <v>-164.75229669991205</v>
      </c>
      <c r="AD210">
        <f t="shared" si="111"/>
        <v>-17.785934911465446</v>
      </c>
      <c r="AE210">
        <f t="shared" si="112"/>
        <v>-0.13440577793488728</v>
      </c>
      <c r="AF210">
        <v>32</v>
      </c>
      <c r="AG210">
        <v>11</v>
      </c>
      <c r="AH210">
        <f t="shared" si="113"/>
        <v>1</v>
      </c>
      <c r="AI210">
        <f t="shared" si="114"/>
        <v>0</v>
      </c>
      <c r="AJ210">
        <f t="shared" si="115"/>
        <v>52483.820956458119</v>
      </c>
      <c r="AK210">
        <f t="shared" si="116"/>
        <v>1800</v>
      </c>
      <c r="AL210">
        <f t="shared" si="117"/>
        <v>1499.1130728000001</v>
      </c>
      <c r="AM210">
        <f t="shared" si="118"/>
        <v>0.83284059600000004</v>
      </c>
      <c r="AN210">
        <f t="shared" si="119"/>
        <v>0.15339703446</v>
      </c>
      <c r="AO210">
        <v>34.5</v>
      </c>
      <c r="AP210">
        <v>0.5</v>
      </c>
      <c r="AQ210" t="s">
        <v>331</v>
      </c>
      <c r="AR210">
        <v>2</v>
      </c>
      <c r="AS210">
        <v>1690214346</v>
      </c>
      <c r="AT210">
        <v>329.03699999999998</v>
      </c>
      <c r="AU210">
        <v>799.99699999999996</v>
      </c>
      <c r="AV210">
        <v>29.608799999999999</v>
      </c>
      <c r="AW210">
        <v>5.9022399999999999</v>
      </c>
      <c r="AX210">
        <v>329.21499999999997</v>
      </c>
      <c r="AY210">
        <v>29.417100000000001</v>
      </c>
      <c r="AZ210">
        <v>300.08800000000002</v>
      </c>
      <c r="BA210">
        <v>99.073899999999995</v>
      </c>
      <c r="BB210">
        <v>9.9994E-2</v>
      </c>
      <c r="BC210">
        <v>26.969000000000001</v>
      </c>
      <c r="BD210">
        <v>26.994800000000001</v>
      </c>
      <c r="BE210">
        <v>28.5748</v>
      </c>
      <c r="BF210">
        <v>0</v>
      </c>
      <c r="BG210">
        <v>0</v>
      </c>
      <c r="BH210">
        <v>10018.1</v>
      </c>
      <c r="BI210">
        <v>1077.32</v>
      </c>
      <c r="BJ210">
        <v>2.0183800000000001</v>
      </c>
      <c r="BK210">
        <v>-470.96100000000001</v>
      </c>
      <c r="BL210">
        <v>339.07600000000002</v>
      </c>
      <c r="BM210">
        <v>804.74699999999996</v>
      </c>
      <c r="BN210">
        <v>23.706499999999998</v>
      </c>
      <c r="BO210">
        <v>799.99699999999996</v>
      </c>
      <c r="BP210">
        <v>5.9022399999999999</v>
      </c>
      <c r="BQ210">
        <v>2.9334500000000001</v>
      </c>
      <c r="BR210">
        <v>0.584758</v>
      </c>
      <c r="BS210">
        <v>23.654900000000001</v>
      </c>
      <c r="BT210">
        <v>-0.662165</v>
      </c>
      <c r="BU210">
        <v>1800</v>
      </c>
      <c r="BV210">
        <v>0.91001299999999996</v>
      </c>
      <c r="BW210">
        <v>3.4001400000000001E-2</v>
      </c>
      <c r="BX210">
        <v>2.1995799999999999E-2</v>
      </c>
      <c r="BY210">
        <v>3.3989800000000001E-2</v>
      </c>
      <c r="BZ210">
        <v>26</v>
      </c>
      <c r="CA210">
        <v>33528.5</v>
      </c>
      <c r="CB210">
        <v>1690211922</v>
      </c>
      <c r="CC210" t="s">
        <v>332</v>
      </c>
      <c r="CD210">
        <v>1690211915</v>
      </c>
      <c r="CE210">
        <v>1690211922</v>
      </c>
      <c r="CF210">
        <v>6</v>
      </c>
      <c r="CG210">
        <v>1.0999999999999999E-2</v>
      </c>
      <c r="CH210">
        <v>8.0000000000000002E-3</v>
      </c>
      <c r="CI210">
        <v>-0.51100000000000001</v>
      </c>
      <c r="CJ210">
        <v>-6.6000000000000003E-2</v>
      </c>
      <c r="CK210">
        <v>800</v>
      </c>
      <c r="CL210">
        <v>6</v>
      </c>
      <c r="CM210">
        <v>0.21</v>
      </c>
      <c r="CN210">
        <v>0.02</v>
      </c>
      <c r="CO210">
        <v>-470.38740000000013</v>
      </c>
      <c r="CP210">
        <v>-2.597403377110469</v>
      </c>
      <c r="CQ210">
        <v>0.25594323589421403</v>
      </c>
      <c r="CR210">
        <v>-1</v>
      </c>
      <c r="CS210">
        <v>23.684964999999998</v>
      </c>
      <c r="CT210">
        <v>9.6695684802914045E-2</v>
      </c>
      <c r="CU210">
        <v>9.4633384701172767E-3</v>
      </c>
      <c r="CV210">
        <v>-1</v>
      </c>
      <c r="CW210">
        <v>0</v>
      </c>
      <c r="CX210">
        <v>0</v>
      </c>
      <c r="CY210" t="s">
        <v>333</v>
      </c>
      <c r="CZ210">
        <v>2.3641700000000001</v>
      </c>
      <c r="DA210">
        <v>2.7138</v>
      </c>
      <c r="DB210">
        <v>7.6849299999999995E-2</v>
      </c>
      <c r="DC210">
        <v>0.14605799999999999</v>
      </c>
      <c r="DD210">
        <v>0.13183800000000001</v>
      </c>
      <c r="DE210">
        <v>3.8917199999999999E-2</v>
      </c>
      <c r="DF210">
        <v>33691.599999999999</v>
      </c>
      <c r="DG210">
        <v>27500.1</v>
      </c>
      <c r="DH210">
        <v>31157</v>
      </c>
      <c r="DI210">
        <v>28061.5</v>
      </c>
      <c r="DJ210">
        <v>36705.9</v>
      </c>
      <c r="DK210">
        <v>38347.699999999997</v>
      </c>
      <c r="DL210">
        <v>44337.4</v>
      </c>
      <c r="DM210">
        <v>42525.599999999999</v>
      </c>
      <c r="DN210">
        <v>1.3889499999999999</v>
      </c>
      <c r="DO210">
        <v>2.03417</v>
      </c>
      <c r="DP210">
        <v>8.0615300000000001E-2</v>
      </c>
      <c r="DQ210">
        <v>0.18446100000000001</v>
      </c>
      <c r="DR210">
        <v>25.675000000000001</v>
      </c>
      <c r="DS210">
        <v>25.558399999999999</v>
      </c>
      <c r="DT210">
        <v>17.600000000000001</v>
      </c>
      <c r="DU210">
        <v>29.7</v>
      </c>
      <c r="DV210">
        <v>7.4391999999999996</v>
      </c>
      <c r="DW210">
        <v>61.401200000000003</v>
      </c>
      <c r="DX210">
        <v>37.147399999999998</v>
      </c>
      <c r="DY210">
        <v>1</v>
      </c>
      <c r="DZ210">
        <v>-8.6806400000000006E-2</v>
      </c>
      <c r="EA210">
        <v>-0.27899200000000002</v>
      </c>
      <c r="EB210">
        <v>20.1892</v>
      </c>
      <c r="EC210">
        <v>5.2411000000000003</v>
      </c>
      <c r="ED210">
        <v>12.039899999999999</v>
      </c>
      <c r="EE210">
        <v>5.01675</v>
      </c>
      <c r="EF210">
        <v>3.2879999999999998</v>
      </c>
      <c r="EG210">
        <v>9999</v>
      </c>
      <c r="EH210">
        <v>9999</v>
      </c>
      <c r="EI210">
        <v>9999</v>
      </c>
      <c r="EJ210">
        <v>999.9</v>
      </c>
      <c r="EK210">
        <v>1.86893</v>
      </c>
      <c r="EL210">
        <v>1.8646499999999999</v>
      </c>
      <c r="EM210">
        <v>1.8692</v>
      </c>
      <c r="EN210">
        <v>1.8672299999999999</v>
      </c>
      <c r="EO210">
        <v>1.8633999999999999</v>
      </c>
      <c r="EP210">
        <v>1.8645799999999999</v>
      </c>
      <c r="EQ210">
        <v>1.8702099999999999</v>
      </c>
      <c r="ER210">
        <v>1.86947</v>
      </c>
      <c r="ES210">
        <v>0</v>
      </c>
      <c r="ET210">
        <v>0</v>
      </c>
      <c r="EU210">
        <v>0</v>
      </c>
      <c r="EV210">
        <v>0</v>
      </c>
      <c r="EW210" t="s">
        <v>334</v>
      </c>
      <c r="EX210" t="s">
        <v>335</v>
      </c>
      <c r="EY210" t="s">
        <v>336</v>
      </c>
      <c r="EZ210" t="s">
        <v>336</v>
      </c>
      <c r="FA210" t="s">
        <v>336</v>
      </c>
      <c r="FB210" t="s">
        <v>336</v>
      </c>
      <c r="FC210">
        <v>0</v>
      </c>
      <c r="FD210">
        <v>100</v>
      </c>
      <c r="FE210">
        <v>100</v>
      </c>
      <c r="FF210">
        <v>-0.17799999999999999</v>
      </c>
      <c r="FG210">
        <v>0.19170000000000001</v>
      </c>
      <c r="FH210">
        <v>4.0020685143421282E-2</v>
      </c>
      <c r="FI210">
        <v>-6.1462078757559423E-4</v>
      </c>
      <c r="FJ210">
        <v>-1.8861989874597051E-7</v>
      </c>
      <c r="FK210">
        <v>1.1980462299894961E-10</v>
      </c>
      <c r="FL210">
        <v>0.19160597004026461</v>
      </c>
      <c r="FM210">
        <v>0</v>
      </c>
      <c r="FN210">
        <v>0</v>
      </c>
      <c r="FO210">
        <v>0</v>
      </c>
      <c r="FP210">
        <v>3</v>
      </c>
      <c r="FQ210">
        <v>2158</v>
      </c>
      <c r="FR210">
        <v>1</v>
      </c>
      <c r="FS210">
        <v>19</v>
      </c>
      <c r="FT210">
        <v>40.5</v>
      </c>
      <c r="FU210">
        <v>40.4</v>
      </c>
      <c r="FV210">
        <v>1.77979</v>
      </c>
      <c r="FW210">
        <v>2.5805699999999998</v>
      </c>
      <c r="FX210">
        <v>1.5490699999999999</v>
      </c>
      <c r="FY210">
        <v>2.3290999999999999</v>
      </c>
      <c r="FZ210">
        <v>1.50146</v>
      </c>
      <c r="GA210">
        <v>2.3999000000000001</v>
      </c>
      <c r="GB210">
        <v>33.850900000000003</v>
      </c>
      <c r="GC210">
        <v>23.991199999999999</v>
      </c>
      <c r="GD210">
        <v>19</v>
      </c>
      <c r="GE210">
        <v>247.71100000000001</v>
      </c>
      <c r="GF210">
        <v>582.07500000000005</v>
      </c>
      <c r="GG210">
        <v>25.5197</v>
      </c>
      <c r="GH210">
        <v>26.295999999999999</v>
      </c>
      <c r="GI210">
        <v>30.0001</v>
      </c>
      <c r="GJ210">
        <v>26.430199999999999</v>
      </c>
      <c r="GK210">
        <v>26.402999999999999</v>
      </c>
      <c r="GL210">
        <v>35.58</v>
      </c>
      <c r="GM210">
        <v>-30</v>
      </c>
      <c r="GN210">
        <v>-30</v>
      </c>
      <c r="GO210">
        <v>25.525200000000002</v>
      </c>
      <c r="GP210">
        <v>800</v>
      </c>
      <c r="GQ210">
        <v>12.5298</v>
      </c>
      <c r="GR210">
        <v>99.686499999999995</v>
      </c>
      <c r="GS210">
        <v>99.487700000000004</v>
      </c>
    </row>
    <row r="211" spans="1:201" x14ac:dyDescent="0.25">
      <c r="A211">
        <v>195</v>
      </c>
      <c r="B211">
        <v>1690214356</v>
      </c>
      <c r="C211">
        <v>2088.5</v>
      </c>
      <c r="D211" t="s">
        <v>721</v>
      </c>
      <c r="E211" t="s">
        <v>722</v>
      </c>
      <c r="F211" t="s">
        <v>330</v>
      </c>
      <c r="H211">
        <v>1690214356</v>
      </c>
      <c r="I211">
        <f t="shared" si="90"/>
        <v>2.1267339054817699E-3</v>
      </c>
      <c r="J211">
        <f t="shared" si="91"/>
        <v>2.1267339054817698</v>
      </c>
      <c r="K211">
        <f t="shared" si="92"/>
        <v>40.301232975415822</v>
      </c>
      <c r="L211">
        <f t="shared" si="93"/>
        <v>328.75599999999997</v>
      </c>
      <c r="M211">
        <f t="shared" si="94"/>
        <v>22.565795569534309</v>
      </c>
      <c r="N211">
        <f t="shared" si="95"/>
        <v>2.238016872590284</v>
      </c>
      <c r="O211">
        <f t="shared" si="96"/>
        <v>32.605164426758797</v>
      </c>
      <c r="P211">
        <f t="shared" si="97"/>
        <v>0.22375029398465859</v>
      </c>
      <c r="Q211">
        <f t="shared" si="98"/>
        <v>2.0110347159866802</v>
      </c>
      <c r="R211">
        <f t="shared" si="99"/>
        <v>0.21078281550672373</v>
      </c>
      <c r="S211">
        <f t="shared" si="100"/>
        <v>0.13284166630431549</v>
      </c>
      <c r="T211">
        <f t="shared" si="101"/>
        <v>276.114662028</v>
      </c>
      <c r="U211">
        <f t="shared" si="102"/>
        <v>28.485948908396448</v>
      </c>
      <c r="V211">
        <f t="shared" si="103"/>
        <v>28.485948908396448</v>
      </c>
      <c r="W211">
        <f t="shared" si="104"/>
        <v>3.9036820659157692</v>
      </c>
      <c r="X211">
        <f t="shared" si="105"/>
        <v>82.231326255422218</v>
      </c>
      <c r="Y211">
        <f t="shared" si="106"/>
        <v>2.9375254128889701</v>
      </c>
      <c r="Z211">
        <f t="shared" si="107"/>
        <v>3.5722705040225149</v>
      </c>
      <c r="AA211">
        <f t="shared" si="108"/>
        <v>0.96615665302679909</v>
      </c>
      <c r="AB211">
        <f t="shared" si="109"/>
        <v>-93.788965231746047</v>
      </c>
      <c r="AC211">
        <f t="shared" si="110"/>
        <v>-164.66109150460593</v>
      </c>
      <c r="AD211">
        <f t="shared" si="111"/>
        <v>-17.799213855339794</v>
      </c>
      <c r="AE211">
        <f t="shared" si="112"/>
        <v>-0.13460856369178487</v>
      </c>
      <c r="AF211">
        <v>32</v>
      </c>
      <c r="AG211">
        <v>11</v>
      </c>
      <c r="AH211">
        <f t="shared" si="113"/>
        <v>1</v>
      </c>
      <c r="AI211">
        <f t="shared" si="114"/>
        <v>0</v>
      </c>
      <c r="AJ211">
        <f t="shared" si="115"/>
        <v>52357.360877856976</v>
      </c>
      <c r="AK211">
        <f t="shared" si="116"/>
        <v>1800</v>
      </c>
      <c r="AL211">
        <f t="shared" si="117"/>
        <v>1499.1130728000001</v>
      </c>
      <c r="AM211">
        <f t="shared" si="118"/>
        <v>0.83284059600000004</v>
      </c>
      <c r="AN211">
        <f t="shared" si="119"/>
        <v>0.15339703446</v>
      </c>
      <c r="AO211">
        <v>34.5</v>
      </c>
      <c r="AP211">
        <v>0.5</v>
      </c>
      <c r="AQ211" t="s">
        <v>331</v>
      </c>
      <c r="AR211">
        <v>2</v>
      </c>
      <c r="AS211">
        <v>1690214356</v>
      </c>
      <c r="AT211">
        <v>328.75599999999997</v>
      </c>
      <c r="AU211">
        <v>799.95600000000002</v>
      </c>
      <c r="AV211">
        <v>29.6189</v>
      </c>
      <c r="AW211">
        <v>5.9012000000000002</v>
      </c>
      <c r="AX211">
        <v>328.93400000000003</v>
      </c>
      <c r="AY211">
        <v>29.427299999999999</v>
      </c>
      <c r="AZ211">
        <v>300.19400000000002</v>
      </c>
      <c r="BA211">
        <v>99.077399999999997</v>
      </c>
      <c r="BB211">
        <v>9.9997299999999997E-2</v>
      </c>
      <c r="BC211">
        <v>26.967199999999998</v>
      </c>
      <c r="BD211">
        <v>27.012</v>
      </c>
      <c r="BE211">
        <v>28.588000000000001</v>
      </c>
      <c r="BF211">
        <v>0</v>
      </c>
      <c r="BG211">
        <v>0</v>
      </c>
      <c r="BH211">
        <v>9992.5</v>
      </c>
      <c r="BI211">
        <v>1077.33</v>
      </c>
      <c r="BJ211">
        <v>2.0183800000000001</v>
      </c>
      <c r="BK211">
        <v>-471.20100000000002</v>
      </c>
      <c r="BL211">
        <v>338.79</v>
      </c>
      <c r="BM211">
        <v>804.70500000000004</v>
      </c>
      <c r="BN211">
        <v>23.717700000000001</v>
      </c>
      <c r="BO211">
        <v>799.95600000000002</v>
      </c>
      <c r="BP211">
        <v>5.9012000000000002</v>
      </c>
      <c r="BQ211">
        <v>2.9345599999999998</v>
      </c>
      <c r="BR211">
        <v>0.58467499999999994</v>
      </c>
      <c r="BS211">
        <v>23.661200000000001</v>
      </c>
      <c r="BT211">
        <v>-0.66410599999999997</v>
      </c>
      <c r="BU211">
        <v>1800</v>
      </c>
      <c r="BV211">
        <v>0.91001299999999996</v>
      </c>
      <c r="BW211">
        <v>3.4001400000000001E-2</v>
      </c>
      <c r="BX211">
        <v>2.1995799999999999E-2</v>
      </c>
      <c r="BY211">
        <v>3.3989800000000001E-2</v>
      </c>
      <c r="BZ211">
        <v>26</v>
      </c>
      <c r="CA211">
        <v>33528.5</v>
      </c>
      <c r="CB211">
        <v>1690211922</v>
      </c>
      <c r="CC211" t="s">
        <v>332</v>
      </c>
      <c r="CD211">
        <v>1690211915</v>
      </c>
      <c r="CE211">
        <v>1690211922</v>
      </c>
      <c r="CF211">
        <v>6</v>
      </c>
      <c r="CG211">
        <v>1.0999999999999999E-2</v>
      </c>
      <c r="CH211">
        <v>8.0000000000000002E-3</v>
      </c>
      <c r="CI211">
        <v>-0.51100000000000001</v>
      </c>
      <c r="CJ211">
        <v>-6.6000000000000003E-2</v>
      </c>
      <c r="CK211">
        <v>800</v>
      </c>
      <c r="CL211">
        <v>6</v>
      </c>
      <c r="CM211">
        <v>0.21</v>
      </c>
      <c r="CN211">
        <v>0.02</v>
      </c>
      <c r="CO211">
        <v>-470.86646341463421</v>
      </c>
      <c r="CP211">
        <v>-2.88809059233555</v>
      </c>
      <c r="CQ211">
        <v>0.29442164037320262</v>
      </c>
      <c r="CR211">
        <v>-1</v>
      </c>
      <c r="CS211">
        <v>23.702612195121951</v>
      </c>
      <c r="CT211">
        <v>0.1037707317073164</v>
      </c>
      <c r="CU211">
        <v>1.0430845325563459E-2</v>
      </c>
      <c r="CV211">
        <v>-1</v>
      </c>
      <c r="CW211">
        <v>0</v>
      </c>
      <c r="CX211">
        <v>0</v>
      </c>
      <c r="CY211" t="s">
        <v>333</v>
      </c>
      <c r="CZ211">
        <v>2.3645</v>
      </c>
      <c r="DA211">
        <v>2.7137799999999999</v>
      </c>
      <c r="DB211">
        <v>7.6799599999999996E-2</v>
      </c>
      <c r="DC211">
        <v>0.14605799999999999</v>
      </c>
      <c r="DD211">
        <v>0.13187399999999999</v>
      </c>
      <c r="DE211">
        <v>3.89129E-2</v>
      </c>
      <c r="DF211">
        <v>33693.699999999997</v>
      </c>
      <c r="DG211">
        <v>27500.1</v>
      </c>
      <c r="DH211">
        <v>31157.3</v>
      </c>
      <c r="DI211">
        <v>28061.5</v>
      </c>
      <c r="DJ211">
        <v>36704.699999999997</v>
      </c>
      <c r="DK211">
        <v>38347.9</v>
      </c>
      <c r="DL211">
        <v>44337.8</v>
      </c>
      <c r="DM211">
        <v>42525.7</v>
      </c>
      <c r="DN211">
        <v>1.39015</v>
      </c>
      <c r="DO211">
        <v>2.0341200000000002</v>
      </c>
      <c r="DP211">
        <v>8.1665799999999997E-2</v>
      </c>
      <c r="DQ211">
        <v>0.185393</v>
      </c>
      <c r="DR211">
        <v>25.675000000000001</v>
      </c>
      <c r="DS211">
        <v>25.5565</v>
      </c>
      <c r="DT211">
        <v>17.600000000000001</v>
      </c>
      <c r="DU211">
        <v>29.7</v>
      </c>
      <c r="DV211">
        <v>7.4386599999999996</v>
      </c>
      <c r="DW211">
        <v>61.4512</v>
      </c>
      <c r="DX211">
        <v>37.299700000000001</v>
      </c>
      <c r="DY211">
        <v>1</v>
      </c>
      <c r="DZ211">
        <v>-8.7068099999999995E-2</v>
      </c>
      <c r="EA211">
        <v>-0.287609</v>
      </c>
      <c r="EB211">
        <v>20.1892</v>
      </c>
      <c r="EC211">
        <v>5.2413999999999996</v>
      </c>
      <c r="ED211">
        <v>12.039899999999999</v>
      </c>
      <c r="EE211">
        <v>5.0174500000000002</v>
      </c>
      <c r="EF211">
        <v>3.2879999999999998</v>
      </c>
      <c r="EG211">
        <v>9999</v>
      </c>
      <c r="EH211">
        <v>9999</v>
      </c>
      <c r="EI211">
        <v>9999</v>
      </c>
      <c r="EJ211">
        <v>999.9</v>
      </c>
      <c r="EK211">
        <v>1.86893</v>
      </c>
      <c r="EL211">
        <v>1.8646499999999999</v>
      </c>
      <c r="EM211">
        <v>1.8692</v>
      </c>
      <c r="EN211">
        <v>1.86724</v>
      </c>
      <c r="EO211">
        <v>1.8633999999999999</v>
      </c>
      <c r="EP211">
        <v>1.8645799999999999</v>
      </c>
      <c r="EQ211">
        <v>1.8701700000000001</v>
      </c>
      <c r="ER211">
        <v>1.8694200000000001</v>
      </c>
      <c r="ES211">
        <v>0</v>
      </c>
      <c r="ET211">
        <v>0</v>
      </c>
      <c r="EU211">
        <v>0</v>
      </c>
      <c r="EV211">
        <v>0</v>
      </c>
      <c r="EW211" t="s">
        <v>334</v>
      </c>
      <c r="EX211" t="s">
        <v>335</v>
      </c>
      <c r="EY211" t="s">
        <v>336</v>
      </c>
      <c r="EZ211" t="s">
        <v>336</v>
      </c>
      <c r="FA211" t="s">
        <v>336</v>
      </c>
      <c r="FB211" t="s">
        <v>336</v>
      </c>
      <c r="FC211">
        <v>0</v>
      </c>
      <c r="FD211">
        <v>100</v>
      </c>
      <c r="FE211">
        <v>100</v>
      </c>
      <c r="FF211">
        <v>-0.17799999999999999</v>
      </c>
      <c r="FG211">
        <v>0.19159999999999999</v>
      </c>
      <c r="FH211">
        <v>4.0020685143421282E-2</v>
      </c>
      <c r="FI211">
        <v>-6.1462078757559423E-4</v>
      </c>
      <c r="FJ211">
        <v>-1.8861989874597051E-7</v>
      </c>
      <c r="FK211">
        <v>1.1980462299894961E-10</v>
      </c>
      <c r="FL211">
        <v>0.19160597004026461</v>
      </c>
      <c r="FM211">
        <v>0</v>
      </c>
      <c r="FN211">
        <v>0</v>
      </c>
      <c r="FO211">
        <v>0</v>
      </c>
      <c r="FP211">
        <v>3</v>
      </c>
      <c r="FQ211">
        <v>2158</v>
      </c>
      <c r="FR211">
        <v>1</v>
      </c>
      <c r="FS211">
        <v>19</v>
      </c>
      <c r="FT211">
        <v>40.700000000000003</v>
      </c>
      <c r="FU211">
        <v>40.6</v>
      </c>
      <c r="FV211">
        <v>1.77979</v>
      </c>
      <c r="FW211">
        <v>2.5805699999999998</v>
      </c>
      <c r="FX211">
        <v>1.5490699999999999</v>
      </c>
      <c r="FY211">
        <v>2.3303199999999999</v>
      </c>
      <c r="FZ211">
        <v>1.50146</v>
      </c>
      <c r="GA211">
        <v>2.35107</v>
      </c>
      <c r="GB211">
        <v>33.850900000000003</v>
      </c>
      <c r="GC211">
        <v>23.991199999999999</v>
      </c>
      <c r="GD211">
        <v>19</v>
      </c>
      <c r="GE211">
        <v>248.17599999999999</v>
      </c>
      <c r="GF211">
        <v>582.03399999999999</v>
      </c>
      <c r="GG211">
        <v>25.5318</v>
      </c>
      <c r="GH211">
        <v>26.295300000000001</v>
      </c>
      <c r="GI211">
        <v>30</v>
      </c>
      <c r="GJ211">
        <v>26.430199999999999</v>
      </c>
      <c r="GK211">
        <v>26.402999999999999</v>
      </c>
      <c r="GL211">
        <v>35.581699999999998</v>
      </c>
      <c r="GM211">
        <v>-30</v>
      </c>
      <c r="GN211">
        <v>-30</v>
      </c>
      <c r="GO211">
        <v>25.534800000000001</v>
      </c>
      <c r="GP211">
        <v>800</v>
      </c>
      <c r="GQ211">
        <v>12.5298</v>
      </c>
      <c r="GR211">
        <v>99.6875</v>
      </c>
      <c r="GS211">
        <v>99.487799999999993</v>
      </c>
    </row>
    <row r="212" spans="1:201" x14ac:dyDescent="0.25">
      <c r="A212">
        <v>196</v>
      </c>
      <c r="B212">
        <v>1690214366</v>
      </c>
      <c r="C212">
        <v>2098.5</v>
      </c>
      <c r="D212" t="s">
        <v>723</v>
      </c>
      <c r="E212" t="s">
        <v>724</v>
      </c>
      <c r="F212" t="s">
        <v>330</v>
      </c>
      <c r="H212">
        <v>1690214366</v>
      </c>
      <c r="I212">
        <f t="shared" si="90"/>
        <v>2.1274879851078819E-3</v>
      </c>
      <c r="J212">
        <f t="shared" si="91"/>
        <v>2.1274879851078818</v>
      </c>
      <c r="K212">
        <f t="shared" si="92"/>
        <v>40.328843362112067</v>
      </c>
      <c r="L212">
        <f t="shared" si="93"/>
        <v>328.45800000000003</v>
      </c>
      <c r="M212">
        <f t="shared" si="94"/>
        <v>22.502662697032211</v>
      </c>
      <c r="N212">
        <f t="shared" si="95"/>
        <v>2.2317073584127489</v>
      </c>
      <c r="O212">
        <f t="shared" si="96"/>
        <v>32.574906596551799</v>
      </c>
      <c r="P212">
        <f t="shared" si="97"/>
        <v>0.22406914505426484</v>
      </c>
      <c r="Q212">
        <f t="shared" si="98"/>
        <v>2.014536031938873</v>
      </c>
      <c r="R212">
        <f t="shared" si="99"/>
        <v>0.2110870294641643</v>
      </c>
      <c r="S212">
        <f t="shared" si="100"/>
        <v>0.13303306298714457</v>
      </c>
      <c r="T212">
        <f t="shared" si="101"/>
        <v>276.11308946586979</v>
      </c>
      <c r="U212">
        <f t="shared" si="102"/>
        <v>28.485471742080101</v>
      </c>
      <c r="V212">
        <f t="shared" si="103"/>
        <v>28.485471742080101</v>
      </c>
      <c r="W212">
        <f t="shared" si="104"/>
        <v>3.9035738692011899</v>
      </c>
      <c r="X212">
        <f t="shared" si="105"/>
        <v>82.247794213555892</v>
      </c>
      <c r="Y212">
        <f t="shared" si="106"/>
        <v>2.9384934451930298</v>
      </c>
      <c r="Z212">
        <f t="shared" si="107"/>
        <v>3.572732221320428</v>
      </c>
      <c r="AA212">
        <f t="shared" si="108"/>
        <v>0.96508042400816008</v>
      </c>
      <c r="AB212">
        <f t="shared" si="109"/>
        <v>-93.822220143257596</v>
      </c>
      <c r="AC212">
        <f t="shared" si="110"/>
        <v>-164.65701423560847</v>
      </c>
      <c r="AD212">
        <f t="shared" si="111"/>
        <v>-17.7679906747362</v>
      </c>
      <c r="AE212">
        <f t="shared" si="112"/>
        <v>-0.13413558773248724</v>
      </c>
      <c r="AF212">
        <v>32</v>
      </c>
      <c r="AG212">
        <v>11</v>
      </c>
      <c r="AH212">
        <f t="shared" si="113"/>
        <v>1</v>
      </c>
      <c r="AI212">
        <f t="shared" si="114"/>
        <v>0</v>
      </c>
      <c r="AJ212">
        <f t="shared" si="115"/>
        <v>52525.170501306515</v>
      </c>
      <c r="AK212">
        <f t="shared" si="116"/>
        <v>1799.99</v>
      </c>
      <c r="AL212">
        <f t="shared" si="117"/>
        <v>1499.10489919318</v>
      </c>
      <c r="AM212">
        <f t="shared" si="118"/>
        <v>0.83284068199999994</v>
      </c>
      <c r="AN212">
        <f t="shared" si="119"/>
        <v>0.15339701302</v>
      </c>
      <c r="AO212">
        <v>34.5</v>
      </c>
      <c r="AP212">
        <v>0.5</v>
      </c>
      <c r="AQ212" t="s">
        <v>331</v>
      </c>
      <c r="AR212">
        <v>2</v>
      </c>
      <c r="AS212">
        <v>1690214366</v>
      </c>
      <c r="AT212">
        <v>328.45800000000003</v>
      </c>
      <c r="AU212">
        <v>800.029</v>
      </c>
      <c r="AV212">
        <v>29.629300000000001</v>
      </c>
      <c r="AW212">
        <v>5.9005200000000002</v>
      </c>
      <c r="AX212">
        <v>328.63600000000002</v>
      </c>
      <c r="AY212">
        <v>29.4377</v>
      </c>
      <c r="AZ212">
        <v>300.15699999999998</v>
      </c>
      <c r="BA212">
        <v>99.075299999999999</v>
      </c>
      <c r="BB212">
        <v>9.9957099999999993E-2</v>
      </c>
      <c r="BC212">
        <v>26.9694</v>
      </c>
      <c r="BD212">
        <v>26.9954</v>
      </c>
      <c r="BE212">
        <v>28.582599999999999</v>
      </c>
      <c r="BF212">
        <v>0</v>
      </c>
      <c r="BG212">
        <v>0</v>
      </c>
      <c r="BH212">
        <v>10026.200000000001</v>
      </c>
      <c r="BI212">
        <v>1077.3</v>
      </c>
      <c r="BJ212">
        <v>2.0183800000000001</v>
      </c>
      <c r="BK212">
        <v>-471.57100000000003</v>
      </c>
      <c r="BL212">
        <v>338.48700000000002</v>
      </c>
      <c r="BM212">
        <v>804.77700000000004</v>
      </c>
      <c r="BN212">
        <v>23.7288</v>
      </c>
      <c r="BO212">
        <v>800.029</v>
      </c>
      <c r="BP212">
        <v>5.9005200000000002</v>
      </c>
      <c r="BQ212">
        <v>2.93554</v>
      </c>
      <c r="BR212">
        <v>0.584596</v>
      </c>
      <c r="BS212">
        <v>23.666699999999999</v>
      </c>
      <c r="BT212">
        <v>-0.66596599999999995</v>
      </c>
      <c r="BU212">
        <v>1799.99</v>
      </c>
      <c r="BV212">
        <v>0.91001399999999999</v>
      </c>
      <c r="BW212">
        <v>3.4001000000000003E-2</v>
      </c>
      <c r="BX212">
        <v>2.1995600000000001E-2</v>
      </c>
      <c r="BY212">
        <v>3.3989400000000003E-2</v>
      </c>
      <c r="BZ212">
        <v>26</v>
      </c>
      <c r="CA212">
        <v>33528.400000000001</v>
      </c>
      <c r="CB212">
        <v>1690211922</v>
      </c>
      <c r="CC212" t="s">
        <v>332</v>
      </c>
      <c r="CD212">
        <v>1690211915</v>
      </c>
      <c r="CE212">
        <v>1690211922</v>
      </c>
      <c r="CF212">
        <v>6</v>
      </c>
      <c r="CG212">
        <v>1.0999999999999999E-2</v>
      </c>
      <c r="CH212">
        <v>8.0000000000000002E-3</v>
      </c>
      <c r="CI212">
        <v>-0.51100000000000001</v>
      </c>
      <c r="CJ212">
        <v>-6.6000000000000003E-2</v>
      </c>
      <c r="CK212">
        <v>800</v>
      </c>
      <c r="CL212">
        <v>6</v>
      </c>
      <c r="CM212">
        <v>0.21</v>
      </c>
      <c r="CN212">
        <v>0.02</v>
      </c>
      <c r="CO212">
        <v>-471.2315609756098</v>
      </c>
      <c r="CP212">
        <v>-1.6966829268304271</v>
      </c>
      <c r="CQ212">
        <v>0.17540990999905379</v>
      </c>
      <c r="CR212">
        <v>-1</v>
      </c>
      <c r="CS212">
        <v>23.716780487804879</v>
      </c>
      <c r="CT212">
        <v>7.5050174216044443E-2</v>
      </c>
      <c r="CU212">
        <v>7.4782357222907226E-3</v>
      </c>
      <c r="CV212">
        <v>-1</v>
      </c>
      <c r="CW212">
        <v>0</v>
      </c>
      <c r="CX212">
        <v>0</v>
      </c>
      <c r="CY212" t="s">
        <v>333</v>
      </c>
      <c r="CZ212">
        <v>2.3643999999999998</v>
      </c>
      <c r="DA212">
        <v>2.7137699999999998</v>
      </c>
      <c r="DB212">
        <v>7.6743099999999995E-2</v>
      </c>
      <c r="DC212">
        <v>0.146064</v>
      </c>
      <c r="DD212">
        <v>0.13190399999999999</v>
      </c>
      <c r="DE212">
        <v>3.8908400000000003E-2</v>
      </c>
      <c r="DF212">
        <v>33695.300000000003</v>
      </c>
      <c r="DG212">
        <v>27499.5</v>
      </c>
      <c r="DH212">
        <v>31156.799999999999</v>
      </c>
      <c r="DI212">
        <v>28061</v>
      </c>
      <c r="DJ212">
        <v>36702.699999999997</v>
      </c>
      <c r="DK212">
        <v>38347.5</v>
      </c>
      <c r="DL212">
        <v>44337</v>
      </c>
      <c r="DM212">
        <v>42525</v>
      </c>
      <c r="DN212">
        <v>1.3898999999999999</v>
      </c>
      <c r="DO212">
        <v>2.0341200000000002</v>
      </c>
      <c r="DP212">
        <v>8.0779199999999995E-2</v>
      </c>
      <c r="DQ212">
        <v>0.18509500000000001</v>
      </c>
      <c r="DR212">
        <v>25.672899999999998</v>
      </c>
      <c r="DS212">
        <v>25.555900000000001</v>
      </c>
      <c r="DT212">
        <v>17.600000000000001</v>
      </c>
      <c r="DU212">
        <v>29.7</v>
      </c>
      <c r="DV212">
        <v>7.4389000000000003</v>
      </c>
      <c r="DW212">
        <v>61.681199999999997</v>
      </c>
      <c r="DX212">
        <v>37.087299999999999</v>
      </c>
      <c r="DY212">
        <v>1</v>
      </c>
      <c r="DZ212">
        <v>-8.6935999999999999E-2</v>
      </c>
      <c r="EA212">
        <v>-0.24310200000000001</v>
      </c>
      <c r="EB212">
        <v>20.189299999999999</v>
      </c>
      <c r="EC212">
        <v>5.2415500000000002</v>
      </c>
      <c r="ED212">
        <v>12.039899999999999</v>
      </c>
      <c r="EE212">
        <v>5.0175000000000001</v>
      </c>
      <c r="EF212">
        <v>3.2879999999999998</v>
      </c>
      <c r="EG212">
        <v>9999</v>
      </c>
      <c r="EH212">
        <v>9999</v>
      </c>
      <c r="EI212">
        <v>9999</v>
      </c>
      <c r="EJ212">
        <v>999.9</v>
      </c>
      <c r="EK212">
        <v>1.8689499999999999</v>
      </c>
      <c r="EL212">
        <v>1.86466</v>
      </c>
      <c r="EM212">
        <v>1.8691800000000001</v>
      </c>
      <c r="EN212">
        <v>1.8672299999999999</v>
      </c>
      <c r="EO212">
        <v>1.8633999999999999</v>
      </c>
      <c r="EP212">
        <v>1.86459</v>
      </c>
      <c r="EQ212">
        <v>1.87019</v>
      </c>
      <c r="ER212">
        <v>1.86947</v>
      </c>
      <c r="ES212">
        <v>0</v>
      </c>
      <c r="ET212">
        <v>0</v>
      </c>
      <c r="EU212">
        <v>0</v>
      </c>
      <c r="EV212">
        <v>0</v>
      </c>
      <c r="EW212" t="s">
        <v>334</v>
      </c>
      <c r="EX212" t="s">
        <v>335</v>
      </c>
      <c r="EY212" t="s">
        <v>336</v>
      </c>
      <c r="EZ212" t="s">
        <v>336</v>
      </c>
      <c r="FA212" t="s">
        <v>336</v>
      </c>
      <c r="FB212" t="s">
        <v>336</v>
      </c>
      <c r="FC212">
        <v>0</v>
      </c>
      <c r="FD212">
        <v>100</v>
      </c>
      <c r="FE212">
        <v>100</v>
      </c>
      <c r="FF212">
        <v>-0.17799999999999999</v>
      </c>
      <c r="FG212">
        <v>0.19159999999999999</v>
      </c>
      <c r="FH212">
        <v>4.0020685143421282E-2</v>
      </c>
      <c r="FI212">
        <v>-6.1462078757559423E-4</v>
      </c>
      <c r="FJ212">
        <v>-1.8861989874597051E-7</v>
      </c>
      <c r="FK212">
        <v>1.1980462299894961E-10</v>
      </c>
      <c r="FL212">
        <v>0.19160597004026461</v>
      </c>
      <c r="FM212">
        <v>0</v>
      </c>
      <c r="FN212">
        <v>0</v>
      </c>
      <c r="FO212">
        <v>0</v>
      </c>
      <c r="FP212">
        <v>3</v>
      </c>
      <c r="FQ212">
        <v>2158</v>
      </c>
      <c r="FR212">
        <v>1</v>
      </c>
      <c r="FS212">
        <v>19</v>
      </c>
      <c r="FT212">
        <v>40.9</v>
      </c>
      <c r="FU212">
        <v>40.700000000000003</v>
      </c>
      <c r="FV212">
        <v>1.77979</v>
      </c>
      <c r="FW212">
        <v>2.5842299999999998</v>
      </c>
      <c r="FX212">
        <v>1.5490699999999999</v>
      </c>
      <c r="FY212">
        <v>2.3290999999999999</v>
      </c>
      <c r="FZ212">
        <v>1.50146</v>
      </c>
      <c r="GA212">
        <v>2.3327599999999999</v>
      </c>
      <c r="GB212">
        <v>33.850900000000003</v>
      </c>
      <c r="GC212">
        <v>23.982399999999998</v>
      </c>
      <c r="GD212">
        <v>19</v>
      </c>
      <c r="GE212">
        <v>248.071</v>
      </c>
      <c r="GF212">
        <v>582.03399999999999</v>
      </c>
      <c r="GG212">
        <v>25.526900000000001</v>
      </c>
      <c r="GH212">
        <v>26.295300000000001</v>
      </c>
      <c r="GI212">
        <v>30.0002</v>
      </c>
      <c r="GJ212">
        <v>26.428000000000001</v>
      </c>
      <c r="GK212">
        <v>26.402999999999999</v>
      </c>
      <c r="GL212">
        <v>35.579799999999999</v>
      </c>
      <c r="GM212">
        <v>-30</v>
      </c>
      <c r="GN212">
        <v>-30</v>
      </c>
      <c r="GO212">
        <v>25.5273</v>
      </c>
      <c r="GP212">
        <v>800</v>
      </c>
      <c r="GQ212">
        <v>12.5298</v>
      </c>
      <c r="GR212">
        <v>99.6858</v>
      </c>
      <c r="GS212">
        <v>99.486199999999997</v>
      </c>
    </row>
    <row r="213" spans="1:201" x14ac:dyDescent="0.25">
      <c r="A213">
        <v>197</v>
      </c>
      <c r="B213">
        <v>1690214376</v>
      </c>
      <c r="C213">
        <v>2108.5</v>
      </c>
      <c r="D213" t="s">
        <v>725</v>
      </c>
      <c r="E213" t="s">
        <v>726</v>
      </c>
      <c r="F213" t="s">
        <v>330</v>
      </c>
      <c r="H213">
        <v>1690214376</v>
      </c>
      <c r="I213">
        <f t="shared" si="90"/>
        <v>2.1293187764182425E-3</v>
      </c>
      <c r="J213">
        <f t="shared" si="91"/>
        <v>2.1293187764182426</v>
      </c>
      <c r="K213">
        <f t="shared" si="92"/>
        <v>40.366190959445056</v>
      </c>
      <c r="L213">
        <f t="shared" si="93"/>
        <v>328.137</v>
      </c>
      <c r="M213">
        <f t="shared" si="94"/>
        <v>22.258852805983832</v>
      </c>
      <c r="N213">
        <f t="shared" si="95"/>
        <v>2.2075140944728195</v>
      </c>
      <c r="O213">
        <f t="shared" si="96"/>
        <v>32.542874456822702</v>
      </c>
      <c r="P213">
        <f t="shared" si="97"/>
        <v>0.22435577443194923</v>
      </c>
      <c r="Q213">
        <f t="shared" si="98"/>
        <v>2.0124400635115629</v>
      </c>
      <c r="R213">
        <f t="shared" si="99"/>
        <v>0.21132874965867338</v>
      </c>
      <c r="S213">
        <f t="shared" si="100"/>
        <v>0.13318781863773976</v>
      </c>
      <c r="T213">
        <f t="shared" si="101"/>
        <v>276.11456286600003</v>
      </c>
      <c r="U213">
        <f t="shared" si="102"/>
        <v>28.490831250682472</v>
      </c>
      <c r="V213">
        <f t="shared" si="103"/>
        <v>28.490831250682472</v>
      </c>
      <c r="W213">
        <f t="shared" si="104"/>
        <v>3.9047892796935613</v>
      </c>
      <c r="X213">
        <f t="shared" si="105"/>
        <v>82.267811187594575</v>
      </c>
      <c r="Y213">
        <f t="shared" si="106"/>
        <v>2.94000295733237</v>
      </c>
      <c r="Z213">
        <f t="shared" si="107"/>
        <v>3.5736977985573324</v>
      </c>
      <c r="AA213">
        <f t="shared" si="108"/>
        <v>0.96478632236119122</v>
      </c>
      <c r="AB213">
        <f t="shared" si="109"/>
        <v>-93.902958040044496</v>
      </c>
      <c r="AC213">
        <f t="shared" si="110"/>
        <v>-164.56810402272245</v>
      </c>
      <c r="AD213">
        <f t="shared" si="111"/>
        <v>-17.77777515840916</v>
      </c>
      <c r="AE213">
        <f t="shared" si="112"/>
        <v>-0.13427435517607478</v>
      </c>
      <c r="AF213">
        <v>32</v>
      </c>
      <c r="AG213">
        <v>11</v>
      </c>
      <c r="AH213">
        <f t="shared" si="113"/>
        <v>1</v>
      </c>
      <c r="AI213">
        <f t="shared" si="114"/>
        <v>0</v>
      </c>
      <c r="AJ213">
        <f t="shared" si="115"/>
        <v>52423.592429850505</v>
      </c>
      <c r="AK213">
        <f t="shared" si="116"/>
        <v>1800</v>
      </c>
      <c r="AL213">
        <f t="shared" si="117"/>
        <v>1499.1136415999999</v>
      </c>
      <c r="AM213">
        <f t="shared" si="118"/>
        <v>0.83284091199999999</v>
      </c>
      <c r="AN213">
        <f t="shared" si="119"/>
        <v>0.15339697937000002</v>
      </c>
      <c r="AO213">
        <v>34.5</v>
      </c>
      <c r="AP213">
        <v>0.5</v>
      </c>
      <c r="AQ213" t="s">
        <v>331</v>
      </c>
      <c r="AR213">
        <v>2</v>
      </c>
      <c r="AS213">
        <v>1690214376</v>
      </c>
      <c r="AT213">
        <v>328.137</v>
      </c>
      <c r="AU213">
        <v>800.053</v>
      </c>
      <c r="AV213">
        <v>29.6447</v>
      </c>
      <c r="AW213">
        <v>5.9000700000000004</v>
      </c>
      <c r="AX213">
        <v>328.315</v>
      </c>
      <c r="AY213">
        <v>29.453099999999999</v>
      </c>
      <c r="AZ213">
        <v>300.20999999999998</v>
      </c>
      <c r="BA213">
        <v>99.074700000000007</v>
      </c>
      <c r="BB213">
        <v>9.9957099999999993E-2</v>
      </c>
      <c r="BC213">
        <v>26.974</v>
      </c>
      <c r="BD213">
        <v>27.008199999999999</v>
      </c>
      <c r="BE213">
        <v>28.6084</v>
      </c>
      <c r="BF213">
        <v>0</v>
      </c>
      <c r="BG213">
        <v>0</v>
      </c>
      <c r="BH213">
        <v>10006.200000000001</v>
      </c>
      <c r="BI213">
        <v>1077.29</v>
      </c>
      <c r="BJ213">
        <v>2.0183800000000001</v>
      </c>
      <c r="BK213">
        <v>-471.916</v>
      </c>
      <c r="BL213">
        <v>338.16199999999998</v>
      </c>
      <c r="BM213">
        <v>804.80200000000002</v>
      </c>
      <c r="BN213">
        <v>23.744599999999998</v>
      </c>
      <c r="BO213">
        <v>800.053</v>
      </c>
      <c r="BP213">
        <v>5.9000700000000004</v>
      </c>
      <c r="BQ213">
        <v>2.9370400000000001</v>
      </c>
      <c r="BR213">
        <v>0.58454700000000004</v>
      </c>
      <c r="BS213">
        <v>23.6752</v>
      </c>
      <c r="BT213">
        <v>-0.66709799999999997</v>
      </c>
      <c r="BU213">
        <v>1800</v>
      </c>
      <c r="BV213">
        <v>0.91001600000000005</v>
      </c>
      <c r="BW213">
        <v>3.4000299999999997E-2</v>
      </c>
      <c r="BX213">
        <v>2.19951E-2</v>
      </c>
      <c r="BY213">
        <v>3.3988699999999997E-2</v>
      </c>
      <c r="BZ213">
        <v>26</v>
      </c>
      <c r="CA213">
        <v>33528.5</v>
      </c>
      <c r="CB213">
        <v>1690211922</v>
      </c>
      <c r="CC213" t="s">
        <v>332</v>
      </c>
      <c r="CD213">
        <v>1690211915</v>
      </c>
      <c r="CE213">
        <v>1690211922</v>
      </c>
      <c r="CF213">
        <v>6</v>
      </c>
      <c r="CG213">
        <v>1.0999999999999999E-2</v>
      </c>
      <c r="CH213">
        <v>8.0000000000000002E-3</v>
      </c>
      <c r="CI213">
        <v>-0.51100000000000001</v>
      </c>
      <c r="CJ213">
        <v>-6.6000000000000003E-2</v>
      </c>
      <c r="CK213">
        <v>800</v>
      </c>
      <c r="CL213">
        <v>6</v>
      </c>
      <c r="CM213">
        <v>0.21</v>
      </c>
      <c r="CN213">
        <v>0.02</v>
      </c>
      <c r="CO213">
        <v>-471.57600000000002</v>
      </c>
      <c r="CP213">
        <v>-2.2333508442756171</v>
      </c>
      <c r="CQ213">
        <v>0.22422410664332429</v>
      </c>
      <c r="CR213">
        <v>-1</v>
      </c>
      <c r="CS213">
        <v>23.7292725</v>
      </c>
      <c r="CT213">
        <v>6.7473545966182144E-2</v>
      </c>
      <c r="CU213">
        <v>6.6228765464863421E-3</v>
      </c>
      <c r="CV213">
        <v>-1</v>
      </c>
      <c r="CW213">
        <v>0</v>
      </c>
      <c r="CX213">
        <v>0</v>
      </c>
      <c r="CY213" t="s">
        <v>333</v>
      </c>
      <c r="CZ213">
        <v>2.3645499999999999</v>
      </c>
      <c r="DA213">
        <v>2.7137500000000001</v>
      </c>
      <c r="DB213">
        <v>7.6682799999999995E-2</v>
      </c>
      <c r="DC213">
        <v>0.146067</v>
      </c>
      <c r="DD213">
        <v>0.13195000000000001</v>
      </c>
      <c r="DE213">
        <v>3.89059E-2</v>
      </c>
      <c r="DF213">
        <v>33697.699999999997</v>
      </c>
      <c r="DG213">
        <v>27499.4</v>
      </c>
      <c r="DH213">
        <v>31157</v>
      </c>
      <c r="DI213">
        <v>28061.1</v>
      </c>
      <c r="DJ213">
        <v>36701.1</v>
      </c>
      <c r="DK213">
        <v>38347.800000000003</v>
      </c>
      <c r="DL213">
        <v>44337.4</v>
      </c>
      <c r="DM213">
        <v>42525.3</v>
      </c>
      <c r="DN213">
        <v>1.39</v>
      </c>
      <c r="DO213">
        <v>2.03417</v>
      </c>
      <c r="DP213">
        <v>8.1695599999999993E-2</v>
      </c>
      <c r="DQ213">
        <v>0.18678600000000001</v>
      </c>
      <c r="DR213">
        <v>25.6707</v>
      </c>
      <c r="DS213">
        <v>25.554099999999998</v>
      </c>
      <c r="DT213">
        <v>17.600000000000001</v>
      </c>
      <c r="DU213">
        <v>29.7</v>
      </c>
      <c r="DV213">
        <v>7.4401999999999999</v>
      </c>
      <c r="DW213">
        <v>61.761200000000002</v>
      </c>
      <c r="DX213">
        <v>36.758800000000001</v>
      </c>
      <c r="DY213">
        <v>1</v>
      </c>
      <c r="DZ213">
        <v>-8.7118899999999999E-2</v>
      </c>
      <c r="EA213">
        <v>-0.24812100000000001</v>
      </c>
      <c r="EB213">
        <v>20.189299999999999</v>
      </c>
      <c r="EC213">
        <v>5.24125</v>
      </c>
      <c r="ED213">
        <v>12.039899999999999</v>
      </c>
      <c r="EE213">
        <v>5.0174500000000002</v>
      </c>
      <c r="EF213">
        <v>3.2879999999999998</v>
      </c>
      <c r="EG213">
        <v>9999</v>
      </c>
      <c r="EH213">
        <v>9999</v>
      </c>
      <c r="EI213">
        <v>9999</v>
      </c>
      <c r="EJ213">
        <v>999.9</v>
      </c>
      <c r="EK213">
        <v>1.86893</v>
      </c>
      <c r="EL213">
        <v>1.86466</v>
      </c>
      <c r="EM213">
        <v>1.8692</v>
      </c>
      <c r="EN213">
        <v>1.8672299999999999</v>
      </c>
      <c r="EO213">
        <v>1.8633999999999999</v>
      </c>
      <c r="EP213">
        <v>1.86459</v>
      </c>
      <c r="EQ213">
        <v>1.87022</v>
      </c>
      <c r="ER213">
        <v>1.86947</v>
      </c>
      <c r="ES213">
        <v>0</v>
      </c>
      <c r="ET213">
        <v>0</v>
      </c>
      <c r="EU213">
        <v>0</v>
      </c>
      <c r="EV213">
        <v>0</v>
      </c>
      <c r="EW213" t="s">
        <v>334</v>
      </c>
      <c r="EX213" t="s">
        <v>335</v>
      </c>
      <c r="EY213" t="s">
        <v>336</v>
      </c>
      <c r="EZ213" t="s">
        <v>336</v>
      </c>
      <c r="FA213" t="s">
        <v>336</v>
      </c>
      <c r="FB213" t="s">
        <v>336</v>
      </c>
      <c r="FC213">
        <v>0</v>
      </c>
      <c r="FD213">
        <v>100</v>
      </c>
      <c r="FE213">
        <v>100</v>
      </c>
      <c r="FF213">
        <v>-0.17799999999999999</v>
      </c>
      <c r="FG213">
        <v>0.19159999999999999</v>
      </c>
      <c r="FH213">
        <v>4.0020685143421282E-2</v>
      </c>
      <c r="FI213">
        <v>-6.1462078757559423E-4</v>
      </c>
      <c r="FJ213">
        <v>-1.8861989874597051E-7</v>
      </c>
      <c r="FK213">
        <v>1.1980462299894961E-10</v>
      </c>
      <c r="FL213">
        <v>0.19160597004026461</v>
      </c>
      <c r="FM213">
        <v>0</v>
      </c>
      <c r="FN213">
        <v>0</v>
      </c>
      <c r="FO213">
        <v>0</v>
      </c>
      <c r="FP213">
        <v>3</v>
      </c>
      <c r="FQ213">
        <v>2158</v>
      </c>
      <c r="FR213">
        <v>1</v>
      </c>
      <c r="FS213">
        <v>19</v>
      </c>
      <c r="FT213">
        <v>41</v>
      </c>
      <c r="FU213">
        <v>40.9</v>
      </c>
      <c r="FV213">
        <v>1.77979</v>
      </c>
      <c r="FW213">
        <v>2.5830099999999998</v>
      </c>
      <c r="FX213">
        <v>1.5490699999999999</v>
      </c>
      <c r="FY213">
        <v>2.3290999999999999</v>
      </c>
      <c r="FZ213">
        <v>1.50146</v>
      </c>
      <c r="GA213">
        <v>2.3046899999999999</v>
      </c>
      <c r="GB213">
        <v>33.850900000000003</v>
      </c>
      <c r="GC213">
        <v>23.982399999999998</v>
      </c>
      <c r="GD213">
        <v>19</v>
      </c>
      <c r="GE213">
        <v>248.11</v>
      </c>
      <c r="GF213">
        <v>582.06200000000001</v>
      </c>
      <c r="GG213">
        <v>25.528400000000001</v>
      </c>
      <c r="GH213">
        <v>26.295300000000001</v>
      </c>
      <c r="GI213">
        <v>30</v>
      </c>
      <c r="GJ213">
        <v>26.428000000000001</v>
      </c>
      <c r="GK213">
        <v>26.401900000000001</v>
      </c>
      <c r="GL213">
        <v>35.580800000000004</v>
      </c>
      <c r="GM213">
        <v>-30</v>
      </c>
      <c r="GN213">
        <v>-30</v>
      </c>
      <c r="GO213">
        <v>25.5276</v>
      </c>
      <c r="GP213">
        <v>800</v>
      </c>
      <c r="GQ213">
        <v>12.5298</v>
      </c>
      <c r="GR213">
        <v>99.686599999999999</v>
      </c>
      <c r="GS213">
        <v>99.486599999999996</v>
      </c>
    </row>
    <row r="214" spans="1:201" x14ac:dyDescent="0.25">
      <c r="A214">
        <v>198</v>
      </c>
      <c r="B214">
        <v>1690214386</v>
      </c>
      <c r="C214">
        <v>2118.5</v>
      </c>
      <c r="D214" t="s">
        <v>727</v>
      </c>
      <c r="E214" t="s">
        <v>728</v>
      </c>
      <c r="F214" t="s">
        <v>330</v>
      </c>
      <c r="H214">
        <v>1690214386</v>
      </c>
      <c r="I214">
        <f t="shared" si="90"/>
        <v>2.1300197669565563E-3</v>
      </c>
      <c r="J214">
        <f t="shared" si="91"/>
        <v>2.1300197669565564</v>
      </c>
      <c r="K214">
        <f t="shared" si="92"/>
        <v>40.384260864469468</v>
      </c>
      <c r="L214">
        <f t="shared" si="93"/>
        <v>327.77699999999999</v>
      </c>
      <c r="M214">
        <f t="shared" si="94"/>
        <v>22.402094425372667</v>
      </c>
      <c r="N214">
        <f t="shared" si="95"/>
        <v>2.2217340409877999</v>
      </c>
      <c r="O214">
        <f t="shared" si="96"/>
        <v>32.507376539224801</v>
      </c>
      <c r="P214">
        <f t="shared" si="97"/>
        <v>0.22485693647703414</v>
      </c>
      <c r="Q214">
        <f t="shared" si="98"/>
        <v>2.0111434438798437</v>
      </c>
      <c r="R214">
        <f t="shared" si="99"/>
        <v>0.21176556093590859</v>
      </c>
      <c r="S214">
        <f t="shared" si="100"/>
        <v>0.13346612415426434</v>
      </c>
      <c r="T214">
        <f t="shared" si="101"/>
        <v>276.11456286600003</v>
      </c>
      <c r="U214">
        <f t="shared" si="102"/>
        <v>28.488361496286505</v>
      </c>
      <c r="V214">
        <f t="shared" si="103"/>
        <v>28.488361496286505</v>
      </c>
      <c r="W214">
        <f t="shared" si="104"/>
        <v>3.90422915648722</v>
      </c>
      <c r="X214">
        <f t="shared" si="105"/>
        <v>82.313845134654812</v>
      </c>
      <c r="Y214">
        <f t="shared" si="106"/>
        <v>2.9411124222696801</v>
      </c>
      <c r="Z214">
        <f t="shared" si="107"/>
        <v>3.5730470584364031</v>
      </c>
      <c r="AA214">
        <f t="shared" si="108"/>
        <v>0.96311673421753996</v>
      </c>
      <c r="AB214">
        <f t="shared" si="109"/>
        <v>-93.933871722784133</v>
      </c>
      <c r="AC214">
        <f t="shared" si="110"/>
        <v>-164.53040665713735</v>
      </c>
      <c r="AD214">
        <f t="shared" si="111"/>
        <v>-17.784667862028495</v>
      </c>
      <c r="AE214">
        <f t="shared" si="112"/>
        <v>-0.13438337594993754</v>
      </c>
      <c r="AF214">
        <v>32</v>
      </c>
      <c r="AG214">
        <v>11</v>
      </c>
      <c r="AH214">
        <f t="shared" si="113"/>
        <v>1</v>
      </c>
      <c r="AI214">
        <f t="shared" si="114"/>
        <v>0</v>
      </c>
      <c r="AJ214">
        <f t="shared" si="115"/>
        <v>52361.888086095059</v>
      </c>
      <c r="AK214">
        <f t="shared" si="116"/>
        <v>1800</v>
      </c>
      <c r="AL214">
        <f t="shared" si="117"/>
        <v>1499.1136415999999</v>
      </c>
      <c r="AM214">
        <f t="shared" si="118"/>
        <v>0.83284091199999999</v>
      </c>
      <c r="AN214">
        <f t="shared" si="119"/>
        <v>0.15339697937000002</v>
      </c>
      <c r="AO214">
        <v>34.5</v>
      </c>
      <c r="AP214">
        <v>0.5</v>
      </c>
      <c r="AQ214" t="s">
        <v>331</v>
      </c>
      <c r="AR214">
        <v>2</v>
      </c>
      <c r="AS214">
        <v>1690214386</v>
      </c>
      <c r="AT214">
        <v>327.77699999999999</v>
      </c>
      <c r="AU214">
        <v>799.98099999999999</v>
      </c>
      <c r="AV214">
        <v>29.6557</v>
      </c>
      <c r="AW214">
        <v>5.8991699999999998</v>
      </c>
      <c r="AX214">
        <v>327.95499999999998</v>
      </c>
      <c r="AY214">
        <v>29.464099999999998</v>
      </c>
      <c r="AZ214">
        <v>300.15499999999997</v>
      </c>
      <c r="BA214">
        <v>99.075299999999999</v>
      </c>
      <c r="BB214">
        <v>9.9982399999999999E-2</v>
      </c>
      <c r="BC214">
        <v>26.9709</v>
      </c>
      <c r="BD214">
        <v>26.993200000000002</v>
      </c>
      <c r="BE214">
        <v>28.582599999999999</v>
      </c>
      <c r="BF214">
        <v>0</v>
      </c>
      <c r="BG214">
        <v>0</v>
      </c>
      <c r="BH214">
        <v>9993.75</v>
      </c>
      <c r="BI214">
        <v>1077.28</v>
      </c>
      <c r="BJ214">
        <v>2.0183800000000001</v>
      </c>
      <c r="BK214">
        <v>-472.20400000000001</v>
      </c>
      <c r="BL214">
        <v>337.79399999999998</v>
      </c>
      <c r="BM214">
        <v>804.72799999999995</v>
      </c>
      <c r="BN214">
        <v>23.756499999999999</v>
      </c>
      <c r="BO214">
        <v>799.98099999999999</v>
      </c>
      <c r="BP214">
        <v>5.8991699999999998</v>
      </c>
      <c r="BQ214">
        <v>2.9381400000000002</v>
      </c>
      <c r="BR214">
        <v>0.58446200000000004</v>
      </c>
      <c r="BS214">
        <v>23.6815</v>
      </c>
      <c r="BT214">
        <v>-0.66910899999999995</v>
      </c>
      <c r="BU214">
        <v>1800</v>
      </c>
      <c r="BV214">
        <v>0.91001600000000005</v>
      </c>
      <c r="BW214">
        <v>3.4000299999999997E-2</v>
      </c>
      <c r="BX214">
        <v>2.19951E-2</v>
      </c>
      <c r="BY214">
        <v>3.3988699999999997E-2</v>
      </c>
      <c r="BZ214">
        <v>26</v>
      </c>
      <c r="CA214">
        <v>33528.5</v>
      </c>
      <c r="CB214">
        <v>1690211922</v>
      </c>
      <c r="CC214" t="s">
        <v>332</v>
      </c>
      <c r="CD214">
        <v>1690211915</v>
      </c>
      <c r="CE214">
        <v>1690211922</v>
      </c>
      <c r="CF214">
        <v>6</v>
      </c>
      <c r="CG214">
        <v>1.0999999999999999E-2</v>
      </c>
      <c r="CH214">
        <v>8.0000000000000002E-3</v>
      </c>
      <c r="CI214">
        <v>-0.51100000000000001</v>
      </c>
      <c r="CJ214">
        <v>-6.6000000000000003E-2</v>
      </c>
      <c r="CK214">
        <v>800</v>
      </c>
      <c r="CL214">
        <v>6</v>
      </c>
      <c r="CM214">
        <v>0.21</v>
      </c>
      <c r="CN214">
        <v>0.02</v>
      </c>
      <c r="CO214">
        <v>-471.8715853658536</v>
      </c>
      <c r="CP214">
        <v>-1.6084599303143241</v>
      </c>
      <c r="CQ214">
        <v>0.17985291763261091</v>
      </c>
      <c r="CR214">
        <v>-1</v>
      </c>
      <c r="CS214">
        <v>23.741939024390241</v>
      </c>
      <c r="CT214">
        <v>8.3866202090524228E-2</v>
      </c>
      <c r="CU214">
        <v>8.3252152407181437E-3</v>
      </c>
      <c r="CV214">
        <v>-1</v>
      </c>
      <c r="CW214">
        <v>0</v>
      </c>
      <c r="CX214">
        <v>0</v>
      </c>
      <c r="CY214" t="s">
        <v>333</v>
      </c>
      <c r="CZ214">
        <v>2.3643800000000001</v>
      </c>
      <c r="DA214">
        <v>2.7137699999999998</v>
      </c>
      <c r="DB214">
        <v>7.6616199999999995E-2</v>
      </c>
      <c r="DC214">
        <v>0.14605899999999999</v>
      </c>
      <c r="DD214">
        <v>0.13198399999999999</v>
      </c>
      <c r="DE214">
        <v>3.8901400000000003E-2</v>
      </c>
      <c r="DF214">
        <v>33699.699999999997</v>
      </c>
      <c r="DG214">
        <v>27500.2</v>
      </c>
      <c r="DH214">
        <v>31156.7</v>
      </c>
      <c r="DI214">
        <v>28061.599999999999</v>
      </c>
      <c r="DJ214">
        <v>36699.300000000003</v>
      </c>
      <c r="DK214">
        <v>38348.400000000001</v>
      </c>
      <c r="DL214">
        <v>44337.1</v>
      </c>
      <c r="DM214">
        <v>42525.7</v>
      </c>
      <c r="DN214">
        <v>1.38988</v>
      </c>
      <c r="DO214">
        <v>2.0340799999999999</v>
      </c>
      <c r="DP214">
        <v>8.0756800000000004E-2</v>
      </c>
      <c r="DQ214">
        <v>0.185333</v>
      </c>
      <c r="DR214">
        <v>25.670999999999999</v>
      </c>
      <c r="DS214">
        <v>25.5519</v>
      </c>
      <c r="DT214">
        <v>17.5</v>
      </c>
      <c r="DU214">
        <v>29.7</v>
      </c>
      <c r="DV214">
        <v>7.3963000000000001</v>
      </c>
      <c r="DW214">
        <v>61.721200000000003</v>
      </c>
      <c r="DX214">
        <v>36.342100000000002</v>
      </c>
      <c r="DY214">
        <v>1</v>
      </c>
      <c r="DZ214">
        <v>-8.6943599999999996E-2</v>
      </c>
      <c r="EA214">
        <v>-0.220057</v>
      </c>
      <c r="EB214">
        <v>20.189399999999999</v>
      </c>
      <c r="EC214">
        <v>5.24125</v>
      </c>
      <c r="ED214">
        <v>12.039899999999999</v>
      </c>
      <c r="EE214">
        <v>5.0175000000000001</v>
      </c>
      <c r="EF214">
        <v>3.2879999999999998</v>
      </c>
      <c r="EG214">
        <v>9999</v>
      </c>
      <c r="EH214">
        <v>9999</v>
      </c>
      <c r="EI214">
        <v>9999</v>
      </c>
      <c r="EJ214">
        <v>999.9</v>
      </c>
      <c r="EK214">
        <v>1.86893</v>
      </c>
      <c r="EL214">
        <v>1.86467</v>
      </c>
      <c r="EM214">
        <v>1.8692</v>
      </c>
      <c r="EN214">
        <v>1.86724</v>
      </c>
      <c r="EO214">
        <v>1.8633999999999999</v>
      </c>
      <c r="EP214">
        <v>1.8645799999999999</v>
      </c>
      <c r="EQ214">
        <v>1.87018</v>
      </c>
      <c r="ER214">
        <v>1.86948</v>
      </c>
      <c r="ES214">
        <v>0</v>
      </c>
      <c r="ET214">
        <v>0</v>
      </c>
      <c r="EU214">
        <v>0</v>
      </c>
      <c r="EV214">
        <v>0</v>
      </c>
      <c r="EW214" t="s">
        <v>334</v>
      </c>
      <c r="EX214" t="s">
        <v>335</v>
      </c>
      <c r="EY214" t="s">
        <v>336</v>
      </c>
      <c r="EZ214" t="s">
        <v>336</v>
      </c>
      <c r="FA214" t="s">
        <v>336</v>
      </c>
      <c r="FB214" t="s">
        <v>336</v>
      </c>
      <c r="FC214">
        <v>0</v>
      </c>
      <c r="FD214">
        <v>100</v>
      </c>
      <c r="FE214">
        <v>100</v>
      </c>
      <c r="FF214">
        <v>-0.17799999999999999</v>
      </c>
      <c r="FG214">
        <v>0.19159999999999999</v>
      </c>
      <c r="FH214">
        <v>4.0020685143421282E-2</v>
      </c>
      <c r="FI214">
        <v>-6.1462078757559423E-4</v>
      </c>
      <c r="FJ214">
        <v>-1.8861989874597051E-7</v>
      </c>
      <c r="FK214">
        <v>1.1980462299894961E-10</v>
      </c>
      <c r="FL214">
        <v>0.19160597004026461</v>
      </c>
      <c r="FM214">
        <v>0</v>
      </c>
      <c r="FN214">
        <v>0</v>
      </c>
      <c r="FO214">
        <v>0</v>
      </c>
      <c r="FP214">
        <v>3</v>
      </c>
      <c r="FQ214">
        <v>2158</v>
      </c>
      <c r="FR214">
        <v>1</v>
      </c>
      <c r="FS214">
        <v>19</v>
      </c>
      <c r="FT214">
        <v>41.2</v>
      </c>
      <c r="FU214">
        <v>41.1</v>
      </c>
      <c r="FV214">
        <v>1.77979</v>
      </c>
      <c r="FW214">
        <v>2.5842299999999998</v>
      </c>
      <c r="FX214">
        <v>1.5490699999999999</v>
      </c>
      <c r="FY214">
        <v>2.3303199999999999</v>
      </c>
      <c r="FZ214">
        <v>1.50146</v>
      </c>
      <c r="GA214">
        <v>2.2595200000000002</v>
      </c>
      <c r="GB214">
        <v>33.850900000000003</v>
      </c>
      <c r="GC214">
        <v>23.982399999999998</v>
      </c>
      <c r="GD214">
        <v>19</v>
      </c>
      <c r="GE214">
        <v>248.06100000000001</v>
      </c>
      <c r="GF214">
        <v>581.96699999999998</v>
      </c>
      <c r="GG214">
        <v>25.5198</v>
      </c>
      <c r="GH214">
        <v>26.295300000000001</v>
      </c>
      <c r="GI214">
        <v>30.0002</v>
      </c>
      <c r="GJ214">
        <v>26.428000000000001</v>
      </c>
      <c r="GK214">
        <v>26.4008</v>
      </c>
      <c r="GL214">
        <v>35.582099999999997</v>
      </c>
      <c r="GM214">
        <v>-30</v>
      </c>
      <c r="GN214">
        <v>-30</v>
      </c>
      <c r="GO214">
        <v>25.516400000000001</v>
      </c>
      <c r="GP214">
        <v>800</v>
      </c>
      <c r="GQ214">
        <v>12.5298</v>
      </c>
      <c r="GR214">
        <v>99.685699999999997</v>
      </c>
      <c r="GS214">
        <v>99.488</v>
      </c>
    </row>
    <row r="215" spans="1:201" x14ac:dyDescent="0.25">
      <c r="A215">
        <v>199</v>
      </c>
      <c r="B215">
        <v>1690214396</v>
      </c>
      <c r="C215">
        <v>2128.5</v>
      </c>
      <c r="D215" t="s">
        <v>729</v>
      </c>
      <c r="E215" t="s">
        <v>730</v>
      </c>
      <c r="F215" t="s">
        <v>330</v>
      </c>
      <c r="H215">
        <v>1690214396</v>
      </c>
      <c r="I215">
        <f t="shared" si="90"/>
        <v>2.1311181638824436E-3</v>
      </c>
      <c r="J215">
        <f t="shared" si="91"/>
        <v>2.1311181638824435</v>
      </c>
      <c r="K215">
        <f t="shared" si="92"/>
        <v>40.43218647118362</v>
      </c>
      <c r="L215">
        <f t="shared" si="93"/>
        <v>327.363</v>
      </c>
      <c r="M215">
        <f t="shared" si="94"/>
        <v>22.217816538538674</v>
      </c>
      <c r="N215">
        <f t="shared" si="95"/>
        <v>2.2035607114215292</v>
      </c>
      <c r="O215">
        <f t="shared" si="96"/>
        <v>32.467827966885004</v>
      </c>
      <c r="P215">
        <f t="shared" si="97"/>
        <v>0.2253194212250787</v>
      </c>
      <c r="Q215">
        <f t="shared" si="98"/>
        <v>2.009750041560364</v>
      </c>
      <c r="R215">
        <f t="shared" si="99"/>
        <v>0.21216728518395397</v>
      </c>
      <c r="S215">
        <f t="shared" si="100"/>
        <v>0.13372220076438521</v>
      </c>
      <c r="T215">
        <f t="shared" si="101"/>
        <v>276.11466091200003</v>
      </c>
      <c r="U215">
        <f t="shared" si="102"/>
        <v>28.485413834658555</v>
      </c>
      <c r="V215">
        <f t="shared" si="103"/>
        <v>28.485413834658555</v>
      </c>
      <c r="W215">
        <f t="shared" si="104"/>
        <v>3.9035607389620619</v>
      </c>
      <c r="X215">
        <f t="shared" si="105"/>
        <v>82.347927155621221</v>
      </c>
      <c r="Y215">
        <f t="shared" si="106"/>
        <v>2.9417252756474999</v>
      </c>
      <c r="Z215">
        <f t="shared" si="107"/>
        <v>3.5723124761698291</v>
      </c>
      <c r="AA215">
        <f t="shared" si="108"/>
        <v>0.96183546331456204</v>
      </c>
      <c r="AB215">
        <f t="shared" si="109"/>
        <v>-93.982311027215758</v>
      </c>
      <c r="AC215">
        <f t="shared" si="110"/>
        <v>-164.47625893756685</v>
      </c>
      <c r="AD215">
        <f t="shared" si="111"/>
        <v>-17.79056920099594</v>
      </c>
      <c r="AE215">
        <f t="shared" si="112"/>
        <v>-0.13447825377852496</v>
      </c>
      <c r="AF215">
        <v>32</v>
      </c>
      <c r="AG215">
        <v>11</v>
      </c>
      <c r="AH215">
        <f t="shared" si="113"/>
        <v>1</v>
      </c>
      <c r="AI215">
        <f t="shared" si="114"/>
        <v>0</v>
      </c>
      <c r="AJ215">
        <f t="shared" si="115"/>
        <v>52295.750635720236</v>
      </c>
      <c r="AK215">
        <f t="shared" si="116"/>
        <v>1800</v>
      </c>
      <c r="AL215">
        <f t="shared" si="117"/>
        <v>1499.1140591999999</v>
      </c>
      <c r="AM215">
        <f t="shared" si="118"/>
        <v>0.83284114399999998</v>
      </c>
      <c r="AN215">
        <f t="shared" si="119"/>
        <v>0.15339703384000003</v>
      </c>
      <c r="AO215">
        <v>34.5</v>
      </c>
      <c r="AP215">
        <v>0.5</v>
      </c>
      <c r="AQ215" t="s">
        <v>331</v>
      </c>
      <c r="AR215">
        <v>2</v>
      </c>
      <c r="AS215">
        <v>1690214396</v>
      </c>
      <c r="AT215">
        <v>327.363</v>
      </c>
      <c r="AU215">
        <v>799.96699999999998</v>
      </c>
      <c r="AV215">
        <v>29.660499999999999</v>
      </c>
      <c r="AW215">
        <v>5.8991199999999999</v>
      </c>
      <c r="AX215">
        <v>327.541</v>
      </c>
      <c r="AY215">
        <v>29.468900000000001</v>
      </c>
      <c r="AZ215">
        <v>300.24700000000001</v>
      </c>
      <c r="BA215">
        <v>99.079800000000006</v>
      </c>
      <c r="BB215">
        <v>0.100095</v>
      </c>
      <c r="BC215">
        <v>26.967400000000001</v>
      </c>
      <c r="BD215">
        <v>26.988299999999999</v>
      </c>
      <c r="BE215">
        <v>28.574100000000001</v>
      </c>
      <c r="BF215">
        <v>0</v>
      </c>
      <c r="BG215">
        <v>0</v>
      </c>
      <c r="BH215">
        <v>9980</v>
      </c>
      <c r="BI215">
        <v>1077.18</v>
      </c>
      <c r="BJ215">
        <v>2.0183800000000001</v>
      </c>
      <c r="BK215">
        <v>-472.60399999999998</v>
      </c>
      <c r="BL215">
        <v>337.37</v>
      </c>
      <c r="BM215">
        <v>804.71500000000003</v>
      </c>
      <c r="BN215">
        <v>23.761399999999998</v>
      </c>
      <c r="BO215">
        <v>799.96699999999998</v>
      </c>
      <c r="BP215">
        <v>5.8991199999999999</v>
      </c>
      <c r="BQ215">
        <v>2.9387599999999998</v>
      </c>
      <c r="BR215">
        <v>0.584484</v>
      </c>
      <c r="BS215">
        <v>23.684999999999999</v>
      </c>
      <c r="BT215">
        <v>-0.66857599999999995</v>
      </c>
      <c r="BU215">
        <v>1800</v>
      </c>
      <c r="BV215">
        <v>0.91001600000000005</v>
      </c>
      <c r="BW215">
        <v>3.40004E-2</v>
      </c>
      <c r="BX215">
        <v>2.1995199999999999E-2</v>
      </c>
      <c r="BY215">
        <v>3.39888E-2</v>
      </c>
      <c r="BZ215">
        <v>26</v>
      </c>
      <c r="CA215">
        <v>33528.5</v>
      </c>
      <c r="CB215">
        <v>1690211922</v>
      </c>
      <c r="CC215" t="s">
        <v>332</v>
      </c>
      <c r="CD215">
        <v>1690211915</v>
      </c>
      <c r="CE215">
        <v>1690211922</v>
      </c>
      <c r="CF215">
        <v>6</v>
      </c>
      <c r="CG215">
        <v>1.0999999999999999E-2</v>
      </c>
      <c r="CH215">
        <v>8.0000000000000002E-3</v>
      </c>
      <c r="CI215">
        <v>-0.51100000000000001</v>
      </c>
      <c r="CJ215">
        <v>-6.6000000000000003E-2</v>
      </c>
      <c r="CK215">
        <v>800</v>
      </c>
      <c r="CL215">
        <v>6</v>
      </c>
      <c r="CM215">
        <v>0.21</v>
      </c>
      <c r="CN215">
        <v>0.02</v>
      </c>
      <c r="CO215">
        <v>-472.1471463414635</v>
      </c>
      <c r="CP215">
        <v>-2.125442508712108</v>
      </c>
      <c r="CQ215">
        <v>0.21627078340568359</v>
      </c>
      <c r="CR215">
        <v>-1</v>
      </c>
      <c r="CS215">
        <v>23.754065853658531</v>
      </c>
      <c r="CT215">
        <v>5.7464111498278007E-2</v>
      </c>
      <c r="CU215">
        <v>5.8155221125876112E-3</v>
      </c>
      <c r="CV215">
        <v>-1</v>
      </c>
      <c r="CW215">
        <v>0</v>
      </c>
      <c r="CX215">
        <v>0</v>
      </c>
      <c r="CY215" t="s">
        <v>333</v>
      </c>
      <c r="CZ215">
        <v>2.3647</v>
      </c>
      <c r="DA215">
        <v>2.71387</v>
      </c>
      <c r="DB215">
        <v>7.6542399999999997E-2</v>
      </c>
      <c r="DC215">
        <v>0.146064</v>
      </c>
      <c r="DD215">
        <v>0.13200500000000001</v>
      </c>
      <c r="DE215">
        <v>3.8902899999999997E-2</v>
      </c>
      <c r="DF215">
        <v>33702.400000000001</v>
      </c>
      <c r="DG215">
        <v>27499.7</v>
      </c>
      <c r="DH215">
        <v>31156.7</v>
      </c>
      <c r="DI215">
        <v>28061.3</v>
      </c>
      <c r="DJ215">
        <v>36698.300000000003</v>
      </c>
      <c r="DK215">
        <v>38348</v>
      </c>
      <c r="DL215">
        <v>44337</v>
      </c>
      <c r="DM215">
        <v>42525.4</v>
      </c>
      <c r="DN215">
        <v>1.39018</v>
      </c>
      <c r="DO215">
        <v>2.0337999999999998</v>
      </c>
      <c r="DP215">
        <v>8.0362000000000003E-2</v>
      </c>
      <c r="DQ215">
        <v>0.184946</v>
      </c>
      <c r="DR215">
        <v>25.672699999999999</v>
      </c>
      <c r="DS215">
        <v>25.549800000000001</v>
      </c>
      <c r="DT215">
        <v>17.5</v>
      </c>
      <c r="DU215">
        <v>29.7</v>
      </c>
      <c r="DV215">
        <v>7.3953300000000004</v>
      </c>
      <c r="DW215">
        <v>61.861199999999997</v>
      </c>
      <c r="DX215">
        <v>36.101799999999997</v>
      </c>
      <c r="DY215">
        <v>1</v>
      </c>
      <c r="DZ215">
        <v>-8.7070599999999998E-2</v>
      </c>
      <c r="EA215">
        <v>-0.27722000000000002</v>
      </c>
      <c r="EB215">
        <v>20.189399999999999</v>
      </c>
      <c r="EC215">
        <v>5.2413999999999996</v>
      </c>
      <c r="ED215">
        <v>12.039899999999999</v>
      </c>
      <c r="EE215">
        <v>5.0175999999999998</v>
      </c>
      <c r="EF215">
        <v>3.2879999999999998</v>
      </c>
      <c r="EG215">
        <v>9999</v>
      </c>
      <c r="EH215">
        <v>9999</v>
      </c>
      <c r="EI215">
        <v>9999</v>
      </c>
      <c r="EJ215">
        <v>999.9</v>
      </c>
      <c r="EK215">
        <v>1.86893</v>
      </c>
      <c r="EL215">
        <v>1.86466</v>
      </c>
      <c r="EM215">
        <v>1.8691899999999999</v>
      </c>
      <c r="EN215">
        <v>1.86724</v>
      </c>
      <c r="EO215">
        <v>1.8633900000000001</v>
      </c>
      <c r="EP215">
        <v>1.86456</v>
      </c>
      <c r="EQ215">
        <v>1.8701700000000001</v>
      </c>
      <c r="ER215">
        <v>1.86944</v>
      </c>
      <c r="ES215">
        <v>0</v>
      </c>
      <c r="ET215">
        <v>0</v>
      </c>
      <c r="EU215">
        <v>0</v>
      </c>
      <c r="EV215">
        <v>0</v>
      </c>
      <c r="EW215" t="s">
        <v>334</v>
      </c>
      <c r="EX215" t="s">
        <v>335</v>
      </c>
      <c r="EY215" t="s">
        <v>336</v>
      </c>
      <c r="EZ215" t="s">
        <v>336</v>
      </c>
      <c r="FA215" t="s">
        <v>336</v>
      </c>
      <c r="FB215" t="s">
        <v>336</v>
      </c>
      <c r="FC215">
        <v>0</v>
      </c>
      <c r="FD215">
        <v>100</v>
      </c>
      <c r="FE215">
        <v>100</v>
      </c>
      <c r="FF215">
        <v>-0.17799999999999999</v>
      </c>
      <c r="FG215">
        <v>0.19159999999999999</v>
      </c>
      <c r="FH215">
        <v>4.0020685143421282E-2</v>
      </c>
      <c r="FI215">
        <v>-6.1462078757559423E-4</v>
      </c>
      <c r="FJ215">
        <v>-1.8861989874597051E-7</v>
      </c>
      <c r="FK215">
        <v>1.1980462299894961E-10</v>
      </c>
      <c r="FL215">
        <v>0.19160597004026461</v>
      </c>
      <c r="FM215">
        <v>0</v>
      </c>
      <c r="FN215">
        <v>0</v>
      </c>
      <c r="FO215">
        <v>0</v>
      </c>
      <c r="FP215">
        <v>3</v>
      </c>
      <c r="FQ215">
        <v>2158</v>
      </c>
      <c r="FR215">
        <v>1</v>
      </c>
      <c r="FS215">
        <v>19</v>
      </c>
      <c r="FT215">
        <v>41.4</v>
      </c>
      <c r="FU215">
        <v>41.2</v>
      </c>
      <c r="FV215">
        <v>1.77979</v>
      </c>
      <c r="FW215">
        <v>2.5793499999999998</v>
      </c>
      <c r="FX215">
        <v>1.5490699999999999</v>
      </c>
      <c r="FY215">
        <v>2.3290999999999999</v>
      </c>
      <c r="FZ215">
        <v>1.50146</v>
      </c>
      <c r="GA215">
        <v>2.33887</v>
      </c>
      <c r="GB215">
        <v>33.850900000000003</v>
      </c>
      <c r="GC215">
        <v>23.982399999999998</v>
      </c>
      <c r="GD215">
        <v>19</v>
      </c>
      <c r="GE215">
        <v>248.178</v>
      </c>
      <c r="GF215">
        <v>581.74099999999999</v>
      </c>
      <c r="GG215">
        <v>25.5228</v>
      </c>
      <c r="GH215">
        <v>26.295300000000001</v>
      </c>
      <c r="GI215">
        <v>30</v>
      </c>
      <c r="GJ215">
        <v>26.428000000000001</v>
      </c>
      <c r="GK215">
        <v>26.4008</v>
      </c>
      <c r="GL215">
        <v>35.584299999999999</v>
      </c>
      <c r="GM215">
        <v>-30</v>
      </c>
      <c r="GN215">
        <v>-30</v>
      </c>
      <c r="GO215">
        <v>25.529900000000001</v>
      </c>
      <c r="GP215">
        <v>800</v>
      </c>
      <c r="GQ215">
        <v>12.5298</v>
      </c>
      <c r="GR215">
        <v>99.685500000000005</v>
      </c>
      <c r="GS215">
        <v>99.486999999999995</v>
      </c>
    </row>
    <row r="216" spans="1:201" x14ac:dyDescent="0.25">
      <c r="A216">
        <v>200</v>
      </c>
      <c r="B216">
        <v>1690214406</v>
      </c>
      <c r="C216">
        <v>2138.5</v>
      </c>
      <c r="D216" t="s">
        <v>731</v>
      </c>
      <c r="E216" t="s">
        <v>732</v>
      </c>
      <c r="F216" t="s">
        <v>330</v>
      </c>
      <c r="H216">
        <v>1690214406</v>
      </c>
      <c r="I216">
        <f t="shared" si="90"/>
        <v>2.1313771376321173E-3</v>
      </c>
      <c r="J216">
        <f t="shared" si="91"/>
        <v>2.1313771376321173</v>
      </c>
      <c r="K216">
        <f t="shared" si="92"/>
        <v>40.45338636495373</v>
      </c>
      <c r="L216">
        <f t="shared" si="93"/>
        <v>327.08</v>
      </c>
      <c r="M216">
        <f t="shared" si="94"/>
        <v>22.078716633222296</v>
      </c>
      <c r="N216">
        <f t="shared" si="95"/>
        <v>2.1896085904975608</v>
      </c>
      <c r="O216">
        <f t="shared" si="96"/>
        <v>32.437445965599998</v>
      </c>
      <c r="P216">
        <f t="shared" si="97"/>
        <v>0.22555198318852498</v>
      </c>
      <c r="Q216">
        <f t="shared" si="98"/>
        <v>2.0098071750416491</v>
      </c>
      <c r="R216">
        <f t="shared" si="99"/>
        <v>0.21237388663609283</v>
      </c>
      <c r="S216">
        <f t="shared" si="100"/>
        <v>0.13385347224548486</v>
      </c>
      <c r="T216">
        <f t="shared" si="101"/>
        <v>276.11440749000002</v>
      </c>
      <c r="U216">
        <f t="shared" si="102"/>
        <v>28.483580068547361</v>
      </c>
      <c r="V216">
        <f t="shared" si="103"/>
        <v>28.483580068547361</v>
      </c>
      <c r="W216">
        <f t="shared" si="104"/>
        <v>3.9031449609301903</v>
      </c>
      <c r="X216">
        <f t="shared" si="105"/>
        <v>82.369434148512084</v>
      </c>
      <c r="Y216">
        <f t="shared" si="106"/>
        <v>2.9421997200680003</v>
      </c>
      <c r="Z216">
        <f t="shared" si="107"/>
        <v>3.5719557266391004</v>
      </c>
      <c r="AA216">
        <f t="shared" si="108"/>
        <v>0.96094524086218991</v>
      </c>
      <c r="AB216">
        <f t="shared" si="109"/>
        <v>-93.993731769576371</v>
      </c>
      <c r="AC216">
        <f t="shared" si="110"/>
        <v>-164.46644077120635</v>
      </c>
      <c r="AD216">
        <f t="shared" si="111"/>
        <v>-17.788687942468563</v>
      </c>
      <c r="AE216">
        <f t="shared" si="112"/>
        <v>-0.1344529932512728</v>
      </c>
      <c r="AF216">
        <v>32</v>
      </c>
      <c r="AG216">
        <v>11</v>
      </c>
      <c r="AH216">
        <f t="shared" si="113"/>
        <v>1</v>
      </c>
      <c r="AI216">
        <f t="shared" si="114"/>
        <v>0</v>
      </c>
      <c r="AJ216">
        <f t="shared" si="115"/>
        <v>52298.637274840694</v>
      </c>
      <c r="AK216">
        <f t="shared" si="116"/>
        <v>1800</v>
      </c>
      <c r="AL216">
        <f t="shared" si="117"/>
        <v>1499.1129629999998</v>
      </c>
      <c r="AM216">
        <f t="shared" si="118"/>
        <v>0.83284053499999988</v>
      </c>
      <c r="AN216">
        <f t="shared" si="119"/>
        <v>0.15339689305000001</v>
      </c>
      <c r="AO216">
        <v>34.5</v>
      </c>
      <c r="AP216">
        <v>0.5</v>
      </c>
      <c r="AQ216" t="s">
        <v>331</v>
      </c>
      <c r="AR216">
        <v>2</v>
      </c>
      <c r="AS216">
        <v>1690214406</v>
      </c>
      <c r="AT216">
        <v>327.08</v>
      </c>
      <c r="AU216">
        <v>800.01300000000003</v>
      </c>
      <c r="AV216">
        <v>29.667400000000001</v>
      </c>
      <c r="AW216">
        <v>5.8987100000000003</v>
      </c>
      <c r="AX216">
        <v>327.25700000000001</v>
      </c>
      <c r="AY216">
        <v>29.4758</v>
      </c>
      <c r="AZ216">
        <v>300.18900000000002</v>
      </c>
      <c r="BA216">
        <v>99.072800000000001</v>
      </c>
      <c r="BB216">
        <v>0.10002</v>
      </c>
      <c r="BC216">
        <v>26.965699999999998</v>
      </c>
      <c r="BD216">
        <v>26.998799999999999</v>
      </c>
      <c r="BE216">
        <v>28.584499999999998</v>
      </c>
      <c r="BF216">
        <v>0</v>
      </c>
      <c r="BG216">
        <v>0</v>
      </c>
      <c r="BH216">
        <v>9981.25</v>
      </c>
      <c r="BI216">
        <v>1077.3</v>
      </c>
      <c r="BJ216">
        <v>2.0183800000000001</v>
      </c>
      <c r="BK216">
        <v>-472.93299999999999</v>
      </c>
      <c r="BL216">
        <v>337.08</v>
      </c>
      <c r="BM216">
        <v>804.76</v>
      </c>
      <c r="BN216">
        <v>23.768699999999999</v>
      </c>
      <c r="BO216">
        <v>800.01300000000003</v>
      </c>
      <c r="BP216">
        <v>5.8987100000000003</v>
      </c>
      <c r="BQ216">
        <v>2.9392299999999998</v>
      </c>
      <c r="BR216">
        <v>0.58440099999999995</v>
      </c>
      <c r="BS216">
        <v>23.6876</v>
      </c>
      <c r="BT216">
        <v>-0.67051899999999998</v>
      </c>
      <c r="BU216">
        <v>1800</v>
      </c>
      <c r="BV216">
        <v>0.91001600000000005</v>
      </c>
      <c r="BW216">
        <v>3.4000099999999998E-2</v>
      </c>
      <c r="BX216">
        <v>2.1995000000000001E-2</v>
      </c>
      <c r="BY216">
        <v>3.3988499999999998E-2</v>
      </c>
      <c r="BZ216">
        <v>26</v>
      </c>
      <c r="CA216">
        <v>33528.5</v>
      </c>
      <c r="CB216">
        <v>1690211922</v>
      </c>
      <c r="CC216" t="s">
        <v>332</v>
      </c>
      <c r="CD216">
        <v>1690211915</v>
      </c>
      <c r="CE216">
        <v>1690211922</v>
      </c>
      <c r="CF216">
        <v>6</v>
      </c>
      <c r="CG216">
        <v>1.0999999999999999E-2</v>
      </c>
      <c r="CH216">
        <v>8.0000000000000002E-3</v>
      </c>
      <c r="CI216">
        <v>-0.51100000000000001</v>
      </c>
      <c r="CJ216">
        <v>-6.6000000000000003E-2</v>
      </c>
      <c r="CK216">
        <v>800</v>
      </c>
      <c r="CL216">
        <v>6</v>
      </c>
      <c r="CM216">
        <v>0.21</v>
      </c>
      <c r="CN216">
        <v>0.02</v>
      </c>
      <c r="CO216">
        <v>-472.50812195121949</v>
      </c>
      <c r="CP216">
        <v>-2.6405435540071438</v>
      </c>
      <c r="CQ216">
        <v>0.26572039174913742</v>
      </c>
      <c r="CR216">
        <v>-1</v>
      </c>
      <c r="CS216">
        <v>23.761965853658541</v>
      </c>
      <c r="CT216">
        <v>4.1354006968601212E-2</v>
      </c>
      <c r="CU216">
        <v>4.1553732335726876E-3</v>
      </c>
      <c r="CV216">
        <v>-1</v>
      </c>
      <c r="CW216">
        <v>0</v>
      </c>
      <c r="CX216">
        <v>0</v>
      </c>
      <c r="CY216" t="s">
        <v>333</v>
      </c>
      <c r="CZ216">
        <v>2.3644799999999999</v>
      </c>
      <c r="DA216">
        <v>2.7137899999999999</v>
      </c>
      <c r="DB216">
        <v>7.64846E-2</v>
      </c>
      <c r="DC216">
        <v>0.14605899999999999</v>
      </c>
      <c r="DD216">
        <v>0.132018</v>
      </c>
      <c r="DE216">
        <v>3.8897899999999999E-2</v>
      </c>
      <c r="DF216">
        <v>33704.400000000001</v>
      </c>
      <c r="DG216">
        <v>27500.1</v>
      </c>
      <c r="DH216">
        <v>31156.6</v>
      </c>
      <c r="DI216">
        <v>28061.599999999999</v>
      </c>
      <c r="DJ216">
        <v>36697.699999999997</v>
      </c>
      <c r="DK216">
        <v>38348.699999999997</v>
      </c>
      <c r="DL216">
        <v>44336.9</v>
      </c>
      <c r="DM216">
        <v>42525.9</v>
      </c>
      <c r="DN216">
        <v>1.3900699999999999</v>
      </c>
      <c r="DO216">
        <v>2.0339999999999998</v>
      </c>
      <c r="DP216">
        <v>8.0987799999999999E-2</v>
      </c>
      <c r="DQ216">
        <v>0.18557899999999999</v>
      </c>
      <c r="DR216">
        <v>25.672899999999998</v>
      </c>
      <c r="DS216">
        <v>25.549800000000001</v>
      </c>
      <c r="DT216">
        <v>17.5</v>
      </c>
      <c r="DU216">
        <v>29.7</v>
      </c>
      <c r="DV216">
        <v>7.3980199999999998</v>
      </c>
      <c r="DW216">
        <v>61.611199999999997</v>
      </c>
      <c r="DX216">
        <v>36.001600000000003</v>
      </c>
      <c r="DY216">
        <v>1</v>
      </c>
      <c r="DZ216">
        <v>-8.7169700000000003E-2</v>
      </c>
      <c r="EA216">
        <v>-0.24590699999999999</v>
      </c>
      <c r="EB216">
        <v>20.189399999999999</v>
      </c>
      <c r="EC216">
        <v>5.2411000000000003</v>
      </c>
      <c r="ED216">
        <v>12.039899999999999</v>
      </c>
      <c r="EE216">
        <v>5.0174000000000003</v>
      </c>
      <c r="EF216">
        <v>3.2879999999999998</v>
      </c>
      <c r="EG216">
        <v>9999</v>
      </c>
      <c r="EH216">
        <v>9999</v>
      </c>
      <c r="EI216">
        <v>9999</v>
      </c>
      <c r="EJ216">
        <v>999.9</v>
      </c>
      <c r="EK216">
        <v>1.8689100000000001</v>
      </c>
      <c r="EL216">
        <v>1.86467</v>
      </c>
      <c r="EM216">
        <v>1.8691899999999999</v>
      </c>
      <c r="EN216">
        <v>1.8672500000000001</v>
      </c>
      <c r="EO216">
        <v>1.8633999999999999</v>
      </c>
      <c r="EP216">
        <v>1.8645799999999999</v>
      </c>
      <c r="EQ216">
        <v>1.8701700000000001</v>
      </c>
      <c r="ER216">
        <v>1.8694599999999999</v>
      </c>
      <c r="ES216">
        <v>0</v>
      </c>
      <c r="ET216">
        <v>0</v>
      </c>
      <c r="EU216">
        <v>0</v>
      </c>
      <c r="EV216">
        <v>0</v>
      </c>
      <c r="EW216" t="s">
        <v>334</v>
      </c>
      <c r="EX216" t="s">
        <v>335</v>
      </c>
      <c r="EY216" t="s">
        <v>336</v>
      </c>
      <c r="EZ216" t="s">
        <v>336</v>
      </c>
      <c r="FA216" t="s">
        <v>336</v>
      </c>
      <c r="FB216" t="s">
        <v>336</v>
      </c>
      <c r="FC216">
        <v>0</v>
      </c>
      <c r="FD216">
        <v>100</v>
      </c>
      <c r="FE216">
        <v>100</v>
      </c>
      <c r="FF216">
        <v>-0.17699999999999999</v>
      </c>
      <c r="FG216">
        <v>0.19159999999999999</v>
      </c>
      <c r="FH216">
        <v>4.0020685143421282E-2</v>
      </c>
      <c r="FI216">
        <v>-6.1462078757559423E-4</v>
      </c>
      <c r="FJ216">
        <v>-1.8861989874597051E-7</v>
      </c>
      <c r="FK216">
        <v>1.1980462299894961E-10</v>
      </c>
      <c r="FL216">
        <v>0.19160597004026461</v>
      </c>
      <c r="FM216">
        <v>0</v>
      </c>
      <c r="FN216">
        <v>0</v>
      </c>
      <c r="FO216">
        <v>0</v>
      </c>
      <c r="FP216">
        <v>3</v>
      </c>
      <c r="FQ216">
        <v>2158</v>
      </c>
      <c r="FR216">
        <v>1</v>
      </c>
      <c r="FS216">
        <v>19</v>
      </c>
      <c r="FT216">
        <v>41.5</v>
      </c>
      <c r="FU216">
        <v>41.4</v>
      </c>
      <c r="FV216">
        <v>1.77979</v>
      </c>
      <c r="FW216">
        <v>2.5769000000000002</v>
      </c>
      <c r="FX216">
        <v>1.5490699999999999</v>
      </c>
      <c r="FY216">
        <v>2.3290999999999999</v>
      </c>
      <c r="FZ216">
        <v>1.50146</v>
      </c>
      <c r="GA216">
        <v>2.34131</v>
      </c>
      <c r="GB216">
        <v>33.850900000000003</v>
      </c>
      <c r="GC216">
        <v>23.982399999999998</v>
      </c>
      <c r="GD216">
        <v>19</v>
      </c>
      <c r="GE216">
        <v>248.13300000000001</v>
      </c>
      <c r="GF216">
        <v>581.90599999999995</v>
      </c>
      <c r="GG216">
        <v>25.536899999999999</v>
      </c>
      <c r="GH216">
        <v>26.295300000000001</v>
      </c>
      <c r="GI216">
        <v>30</v>
      </c>
      <c r="GJ216">
        <v>26.426300000000001</v>
      </c>
      <c r="GK216">
        <v>26.4008</v>
      </c>
      <c r="GL216">
        <v>35.580100000000002</v>
      </c>
      <c r="GM216">
        <v>-30</v>
      </c>
      <c r="GN216">
        <v>-30</v>
      </c>
      <c r="GO216">
        <v>25.528700000000001</v>
      </c>
      <c r="GP216">
        <v>800</v>
      </c>
      <c r="GQ216">
        <v>12.5298</v>
      </c>
      <c r="GR216">
        <v>99.685299999999998</v>
      </c>
      <c r="GS216">
        <v>99.488200000000006</v>
      </c>
    </row>
    <row r="217" spans="1:201" x14ac:dyDescent="0.25">
      <c r="A217">
        <v>201</v>
      </c>
      <c r="B217">
        <v>1690214416</v>
      </c>
      <c r="C217">
        <v>2148.5</v>
      </c>
      <c r="D217" t="s">
        <v>733</v>
      </c>
      <c r="E217" t="s">
        <v>734</v>
      </c>
      <c r="F217" t="s">
        <v>330</v>
      </c>
      <c r="H217">
        <v>1690214416</v>
      </c>
      <c r="I217">
        <f t="shared" si="90"/>
        <v>2.1313062428464486E-3</v>
      </c>
      <c r="J217">
        <f t="shared" si="91"/>
        <v>2.1313062428464487</v>
      </c>
      <c r="K217">
        <f t="shared" si="92"/>
        <v>40.488337061317374</v>
      </c>
      <c r="L217">
        <f t="shared" si="93"/>
        <v>326.78399999999999</v>
      </c>
      <c r="M217">
        <f t="shared" si="94"/>
        <v>21.022245108174911</v>
      </c>
      <c r="N217">
        <f t="shared" si="95"/>
        <v>2.0848709417921243</v>
      </c>
      <c r="O217">
        <f t="shared" si="96"/>
        <v>32.408644382976</v>
      </c>
      <c r="P217">
        <f t="shared" si="97"/>
        <v>0.22515910668414119</v>
      </c>
      <c r="Q217">
        <f t="shared" si="98"/>
        <v>2.0092346262881096</v>
      </c>
      <c r="R217">
        <f t="shared" si="99"/>
        <v>0.21202193581263037</v>
      </c>
      <c r="S217">
        <f t="shared" si="100"/>
        <v>0.13363011304838573</v>
      </c>
      <c r="T217">
        <f t="shared" si="101"/>
        <v>276.11457199199998</v>
      </c>
      <c r="U217">
        <f t="shared" si="102"/>
        <v>28.48809206117069</v>
      </c>
      <c r="V217">
        <f t="shared" si="103"/>
        <v>28.48809206117069</v>
      </c>
      <c r="W217">
        <f t="shared" si="104"/>
        <v>3.9041680547073314</v>
      </c>
      <c r="X217">
        <f t="shared" si="105"/>
        <v>82.334071152786166</v>
      </c>
      <c r="Y217">
        <f t="shared" si="106"/>
        <v>2.9416450121082001</v>
      </c>
      <c r="Z217">
        <f t="shared" si="107"/>
        <v>3.5728161755167327</v>
      </c>
      <c r="AA217">
        <f t="shared" si="108"/>
        <v>0.96252304259913135</v>
      </c>
      <c r="AB217">
        <f t="shared" si="109"/>
        <v>-93.990605309528377</v>
      </c>
      <c r="AC217">
        <f t="shared" si="110"/>
        <v>-164.464215796188</v>
      </c>
      <c r="AD217">
        <f t="shared" si="111"/>
        <v>-17.794280671972473</v>
      </c>
      <c r="AE217">
        <f t="shared" si="112"/>
        <v>-0.13452978568884078</v>
      </c>
      <c r="AF217">
        <v>32</v>
      </c>
      <c r="AG217">
        <v>11</v>
      </c>
      <c r="AH217">
        <f t="shared" si="113"/>
        <v>1</v>
      </c>
      <c r="AI217">
        <f t="shared" si="114"/>
        <v>0</v>
      </c>
      <c r="AJ217">
        <f t="shared" si="115"/>
        <v>52270.510359530024</v>
      </c>
      <c r="AK217">
        <f t="shared" si="116"/>
        <v>1800</v>
      </c>
      <c r="AL217">
        <f t="shared" si="117"/>
        <v>1499.1143382</v>
      </c>
      <c r="AM217">
        <f t="shared" si="118"/>
        <v>0.83284129900000003</v>
      </c>
      <c r="AN217">
        <f t="shared" si="119"/>
        <v>0.15339698443999999</v>
      </c>
      <c r="AO217">
        <v>34.5</v>
      </c>
      <c r="AP217">
        <v>0.5</v>
      </c>
      <c r="AQ217" t="s">
        <v>331</v>
      </c>
      <c r="AR217">
        <v>2</v>
      </c>
      <c r="AS217">
        <v>1690214416</v>
      </c>
      <c r="AT217">
        <v>326.78399999999999</v>
      </c>
      <c r="AU217">
        <v>800.01499999999999</v>
      </c>
      <c r="AV217">
        <v>29.661300000000001</v>
      </c>
      <c r="AW217">
        <v>5.8980800000000002</v>
      </c>
      <c r="AX217">
        <v>326.96100000000001</v>
      </c>
      <c r="AY217">
        <v>29.4697</v>
      </c>
      <c r="AZ217">
        <v>300.25</v>
      </c>
      <c r="BA217">
        <v>99.0745</v>
      </c>
      <c r="BB217">
        <v>0.10001400000000001</v>
      </c>
      <c r="BC217">
        <v>26.969799999999999</v>
      </c>
      <c r="BD217">
        <v>26.991900000000001</v>
      </c>
      <c r="BE217">
        <v>28.5809</v>
      </c>
      <c r="BF217">
        <v>0</v>
      </c>
      <c r="BG217">
        <v>0</v>
      </c>
      <c r="BH217">
        <v>9975.6200000000008</v>
      </c>
      <c r="BI217">
        <v>1077.3699999999999</v>
      </c>
      <c r="BJ217">
        <v>2.0183800000000001</v>
      </c>
      <c r="BK217">
        <v>-473.23</v>
      </c>
      <c r="BL217">
        <v>336.774</v>
      </c>
      <c r="BM217">
        <v>804.76099999999997</v>
      </c>
      <c r="BN217">
        <v>23.763300000000001</v>
      </c>
      <c r="BO217">
        <v>800.01499999999999</v>
      </c>
      <c r="BP217">
        <v>5.8980800000000002</v>
      </c>
      <c r="BQ217">
        <v>2.9386800000000002</v>
      </c>
      <c r="BR217">
        <v>0.58435000000000004</v>
      </c>
      <c r="BS217">
        <v>23.6845</v>
      </c>
      <c r="BT217">
        <v>-0.67173400000000005</v>
      </c>
      <c r="BU217">
        <v>1800</v>
      </c>
      <c r="BV217">
        <v>0.91001799999999999</v>
      </c>
      <c r="BW217">
        <v>3.3999700000000001E-2</v>
      </c>
      <c r="BX217">
        <v>2.1994699999999999E-2</v>
      </c>
      <c r="BY217">
        <v>3.3987999999999997E-2</v>
      </c>
      <c r="BZ217">
        <v>26</v>
      </c>
      <c r="CA217">
        <v>33528.400000000001</v>
      </c>
      <c r="CB217">
        <v>1690211922</v>
      </c>
      <c r="CC217" t="s">
        <v>332</v>
      </c>
      <c r="CD217">
        <v>1690211915</v>
      </c>
      <c r="CE217">
        <v>1690211922</v>
      </c>
      <c r="CF217">
        <v>6</v>
      </c>
      <c r="CG217">
        <v>1.0999999999999999E-2</v>
      </c>
      <c r="CH217">
        <v>8.0000000000000002E-3</v>
      </c>
      <c r="CI217">
        <v>-0.51100000000000001</v>
      </c>
      <c r="CJ217">
        <v>-6.6000000000000003E-2</v>
      </c>
      <c r="CK217">
        <v>800</v>
      </c>
      <c r="CL217">
        <v>6</v>
      </c>
      <c r="CM217">
        <v>0.21</v>
      </c>
      <c r="CN217">
        <v>0.02</v>
      </c>
      <c r="CO217">
        <v>-472.90769999999992</v>
      </c>
      <c r="CP217">
        <v>-1.6557073170733489</v>
      </c>
      <c r="CQ217">
        <v>0.1734655873653364</v>
      </c>
      <c r="CR217">
        <v>-1</v>
      </c>
      <c r="CS217">
        <v>23.766112499999998</v>
      </c>
      <c r="CT217">
        <v>3.5628517823165949E-3</v>
      </c>
      <c r="CU217">
        <v>2.0247453543595622E-3</v>
      </c>
      <c r="CV217">
        <v>-1</v>
      </c>
      <c r="CW217">
        <v>0</v>
      </c>
      <c r="CX217">
        <v>0</v>
      </c>
      <c r="CY217" t="s">
        <v>333</v>
      </c>
      <c r="CZ217">
        <v>2.3647</v>
      </c>
      <c r="DA217">
        <v>2.7137799999999999</v>
      </c>
      <c r="DB217">
        <v>7.6430700000000004E-2</v>
      </c>
      <c r="DC217">
        <v>0.146062</v>
      </c>
      <c r="DD217">
        <v>0.13200100000000001</v>
      </c>
      <c r="DE217">
        <v>3.8895199999999998E-2</v>
      </c>
      <c r="DF217">
        <v>33706.699999999997</v>
      </c>
      <c r="DG217">
        <v>27499.9</v>
      </c>
      <c r="DH217">
        <v>31156.9</v>
      </c>
      <c r="DI217">
        <v>28061.4</v>
      </c>
      <c r="DJ217">
        <v>36698.5</v>
      </c>
      <c r="DK217">
        <v>38348.699999999997</v>
      </c>
      <c r="DL217">
        <v>44337.1</v>
      </c>
      <c r="DM217">
        <v>42525.8</v>
      </c>
      <c r="DN217">
        <v>1.3902000000000001</v>
      </c>
      <c r="DO217">
        <v>2.0339</v>
      </c>
      <c r="DP217">
        <v>8.0570600000000006E-2</v>
      </c>
      <c r="DQ217">
        <v>0.185363</v>
      </c>
      <c r="DR217">
        <v>25.672899999999998</v>
      </c>
      <c r="DS217">
        <v>25.549800000000001</v>
      </c>
      <c r="DT217">
        <v>17.5</v>
      </c>
      <c r="DU217">
        <v>29.7</v>
      </c>
      <c r="DV217">
        <v>7.3969399999999998</v>
      </c>
      <c r="DW217">
        <v>61.751199999999997</v>
      </c>
      <c r="DX217">
        <v>36.145800000000001</v>
      </c>
      <c r="DY217">
        <v>1</v>
      </c>
      <c r="DZ217">
        <v>-8.6882600000000004E-2</v>
      </c>
      <c r="EA217">
        <v>-0.22692000000000001</v>
      </c>
      <c r="EB217">
        <v>20.189399999999999</v>
      </c>
      <c r="EC217">
        <v>5.2409499999999998</v>
      </c>
      <c r="ED217">
        <v>12.039899999999999</v>
      </c>
      <c r="EE217">
        <v>5.0172999999999996</v>
      </c>
      <c r="EF217">
        <v>3.2879999999999998</v>
      </c>
      <c r="EG217">
        <v>9999</v>
      </c>
      <c r="EH217">
        <v>9999</v>
      </c>
      <c r="EI217">
        <v>9999</v>
      </c>
      <c r="EJ217">
        <v>999.9</v>
      </c>
      <c r="EK217">
        <v>1.8689100000000001</v>
      </c>
      <c r="EL217">
        <v>1.8646499999999999</v>
      </c>
      <c r="EM217">
        <v>1.8691599999999999</v>
      </c>
      <c r="EN217">
        <v>1.86724</v>
      </c>
      <c r="EO217">
        <v>1.8633999999999999</v>
      </c>
      <c r="EP217">
        <v>1.8645499999999999</v>
      </c>
      <c r="EQ217">
        <v>1.8701700000000001</v>
      </c>
      <c r="ER217">
        <v>1.8694500000000001</v>
      </c>
      <c r="ES217">
        <v>0</v>
      </c>
      <c r="ET217">
        <v>0</v>
      </c>
      <c r="EU217">
        <v>0</v>
      </c>
      <c r="EV217">
        <v>0</v>
      </c>
      <c r="EW217" t="s">
        <v>334</v>
      </c>
      <c r="EX217" t="s">
        <v>335</v>
      </c>
      <c r="EY217" t="s">
        <v>336</v>
      </c>
      <c r="EZ217" t="s">
        <v>336</v>
      </c>
      <c r="FA217" t="s">
        <v>336</v>
      </c>
      <c r="FB217" t="s">
        <v>336</v>
      </c>
      <c r="FC217">
        <v>0</v>
      </c>
      <c r="FD217">
        <v>100</v>
      </c>
      <c r="FE217">
        <v>100</v>
      </c>
      <c r="FF217">
        <v>-0.17699999999999999</v>
      </c>
      <c r="FG217">
        <v>0.19159999999999999</v>
      </c>
      <c r="FH217">
        <v>4.0020685143421282E-2</v>
      </c>
      <c r="FI217">
        <v>-6.1462078757559423E-4</v>
      </c>
      <c r="FJ217">
        <v>-1.8861989874597051E-7</v>
      </c>
      <c r="FK217">
        <v>1.1980462299894961E-10</v>
      </c>
      <c r="FL217">
        <v>0.19160597004026461</v>
      </c>
      <c r="FM217">
        <v>0</v>
      </c>
      <c r="FN217">
        <v>0</v>
      </c>
      <c r="FO217">
        <v>0</v>
      </c>
      <c r="FP217">
        <v>3</v>
      </c>
      <c r="FQ217">
        <v>2158</v>
      </c>
      <c r="FR217">
        <v>1</v>
      </c>
      <c r="FS217">
        <v>19</v>
      </c>
      <c r="FT217">
        <v>41.7</v>
      </c>
      <c r="FU217">
        <v>41.6</v>
      </c>
      <c r="FV217">
        <v>1.77979</v>
      </c>
      <c r="FW217">
        <v>2.5781200000000002</v>
      </c>
      <c r="FX217">
        <v>1.5490699999999999</v>
      </c>
      <c r="FY217">
        <v>2.3303199999999999</v>
      </c>
      <c r="FZ217">
        <v>1.50146</v>
      </c>
      <c r="GA217">
        <v>2.3913600000000002</v>
      </c>
      <c r="GB217">
        <v>33.850900000000003</v>
      </c>
      <c r="GC217">
        <v>23.982399999999998</v>
      </c>
      <c r="GD217">
        <v>19</v>
      </c>
      <c r="GE217">
        <v>248.18</v>
      </c>
      <c r="GF217">
        <v>581.82299999999998</v>
      </c>
      <c r="GG217">
        <v>25.526399999999999</v>
      </c>
      <c r="GH217">
        <v>26.295300000000001</v>
      </c>
      <c r="GI217">
        <v>30.000299999999999</v>
      </c>
      <c r="GJ217">
        <v>26.425799999999999</v>
      </c>
      <c r="GK217">
        <v>26.4008</v>
      </c>
      <c r="GL217">
        <v>35.581800000000001</v>
      </c>
      <c r="GM217">
        <v>-30</v>
      </c>
      <c r="GN217">
        <v>-30</v>
      </c>
      <c r="GO217">
        <v>25.523099999999999</v>
      </c>
      <c r="GP217">
        <v>800</v>
      </c>
      <c r="GQ217">
        <v>12.5298</v>
      </c>
      <c r="GR217">
        <v>99.685900000000004</v>
      </c>
      <c r="GS217">
        <v>99.487899999999996</v>
      </c>
    </row>
    <row r="218" spans="1:201" x14ac:dyDescent="0.25">
      <c r="A218">
        <v>202</v>
      </c>
      <c r="B218">
        <v>1690214426</v>
      </c>
      <c r="C218">
        <v>2158.5</v>
      </c>
      <c r="D218" t="s">
        <v>735</v>
      </c>
      <c r="E218" t="s">
        <v>736</v>
      </c>
      <c r="F218" t="s">
        <v>330</v>
      </c>
      <c r="H218">
        <v>1690214426</v>
      </c>
      <c r="I218">
        <f t="shared" si="90"/>
        <v>2.1316095825717521E-3</v>
      </c>
      <c r="J218">
        <f t="shared" si="91"/>
        <v>2.1316095825717523</v>
      </c>
      <c r="K218">
        <f t="shared" si="92"/>
        <v>40.505740133222325</v>
      </c>
      <c r="L218">
        <f t="shared" si="93"/>
        <v>326.54399999999998</v>
      </c>
      <c r="M218">
        <f t="shared" si="94"/>
        <v>20.92678927136166</v>
      </c>
      <c r="N218">
        <f t="shared" si="95"/>
        <v>2.0754032975693462</v>
      </c>
      <c r="O218">
        <f t="shared" si="96"/>
        <v>32.384829111311994</v>
      </c>
      <c r="P218">
        <f t="shared" si="97"/>
        <v>0.22535343113782519</v>
      </c>
      <c r="Q218">
        <f t="shared" si="98"/>
        <v>2.0121126184774636</v>
      </c>
      <c r="R218">
        <f t="shared" si="99"/>
        <v>0.21221192943419701</v>
      </c>
      <c r="S218">
        <f t="shared" si="100"/>
        <v>0.13374926126642145</v>
      </c>
      <c r="T218">
        <f t="shared" si="101"/>
        <v>276.11436889800001</v>
      </c>
      <c r="U218">
        <f t="shared" si="102"/>
        <v>28.487415578108553</v>
      </c>
      <c r="V218">
        <f t="shared" si="103"/>
        <v>28.487415578108553</v>
      </c>
      <c r="W218">
        <f t="shared" si="104"/>
        <v>3.9040146473513153</v>
      </c>
      <c r="X218">
        <f t="shared" si="105"/>
        <v>82.343364303130485</v>
      </c>
      <c r="Y218">
        <f t="shared" si="106"/>
        <v>2.9422190079382999</v>
      </c>
      <c r="Z218">
        <f t="shared" si="107"/>
        <v>3.5731100287657842</v>
      </c>
      <c r="AA218">
        <f t="shared" si="108"/>
        <v>0.96179563941301538</v>
      </c>
      <c r="AB218">
        <f t="shared" si="109"/>
        <v>-94.003982591414271</v>
      </c>
      <c r="AC218">
        <f t="shared" si="110"/>
        <v>-164.47454074865357</v>
      </c>
      <c r="AD218">
        <f t="shared" si="111"/>
        <v>-17.770008249116039</v>
      </c>
      <c r="AE218">
        <f t="shared" si="112"/>
        <v>-0.13416269118386026</v>
      </c>
      <c r="AF218">
        <v>32</v>
      </c>
      <c r="AG218">
        <v>11</v>
      </c>
      <c r="AH218">
        <f t="shared" si="113"/>
        <v>1</v>
      </c>
      <c r="AI218">
        <f t="shared" si="114"/>
        <v>0</v>
      </c>
      <c r="AJ218">
        <f t="shared" si="115"/>
        <v>52408.347223051125</v>
      </c>
      <c r="AK218">
        <f t="shared" si="116"/>
        <v>1800</v>
      </c>
      <c r="AL218">
        <f t="shared" si="117"/>
        <v>1499.1131177999998</v>
      </c>
      <c r="AM218">
        <f t="shared" si="118"/>
        <v>0.83284062099999989</v>
      </c>
      <c r="AN218">
        <f t="shared" si="119"/>
        <v>0.15339687161000001</v>
      </c>
      <c r="AO218">
        <v>34.5</v>
      </c>
      <c r="AP218">
        <v>0.5</v>
      </c>
      <c r="AQ218" t="s">
        <v>331</v>
      </c>
      <c r="AR218">
        <v>2</v>
      </c>
      <c r="AS218">
        <v>1690214426</v>
      </c>
      <c r="AT218">
        <v>326.54399999999998</v>
      </c>
      <c r="AU218">
        <v>800.02700000000004</v>
      </c>
      <c r="AV218">
        <v>29.667100000000001</v>
      </c>
      <c r="AW218">
        <v>5.8977899999999996</v>
      </c>
      <c r="AX218">
        <v>326.721</v>
      </c>
      <c r="AY218">
        <v>29.4755</v>
      </c>
      <c r="AZ218">
        <v>300.214</v>
      </c>
      <c r="BA218">
        <v>99.074399999999997</v>
      </c>
      <c r="BB218">
        <v>0.100073</v>
      </c>
      <c r="BC218">
        <v>26.9712</v>
      </c>
      <c r="BD218">
        <v>26.979500000000002</v>
      </c>
      <c r="BE218">
        <v>28.579499999999999</v>
      </c>
      <c r="BF218">
        <v>0</v>
      </c>
      <c r="BG218">
        <v>0</v>
      </c>
      <c r="BH218">
        <v>10003.1</v>
      </c>
      <c r="BI218">
        <v>1077.3399999999999</v>
      </c>
      <c r="BJ218">
        <v>2.0183800000000001</v>
      </c>
      <c r="BK218">
        <v>-473.483</v>
      </c>
      <c r="BL218">
        <v>336.52800000000002</v>
      </c>
      <c r="BM218">
        <v>804.77300000000002</v>
      </c>
      <c r="BN218">
        <v>23.769400000000001</v>
      </c>
      <c r="BO218">
        <v>800.02700000000004</v>
      </c>
      <c r="BP218">
        <v>5.8977899999999996</v>
      </c>
      <c r="BQ218">
        <v>2.9392499999999999</v>
      </c>
      <c r="BR218">
        <v>0.58431999999999995</v>
      </c>
      <c r="BS218">
        <v>23.6877</v>
      </c>
      <c r="BT218">
        <v>-0.67242199999999996</v>
      </c>
      <c r="BU218">
        <v>1800</v>
      </c>
      <c r="BV218">
        <v>0.91001699999999996</v>
      </c>
      <c r="BW218">
        <v>3.3999700000000001E-2</v>
      </c>
      <c r="BX218">
        <v>2.1994799999999998E-2</v>
      </c>
      <c r="BY218">
        <v>3.39881E-2</v>
      </c>
      <c r="BZ218">
        <v>26</v>
      </c>
      <c r="CA218">
        <v>33528.5</v>
      </c>
      <c r="CB218">
        <v>1690211922</v>
      </c>
      <c r="CC218" t="s">
        <v>332</v>
      </c>
      <c r="CD218">
        <v>1690211915</v>
      </c>
      <c r="CE218">
        <v>1690211922</v>
      </c>
      <c r="CF218">
        <v>6</v>
      </c>
      <c r="CG218">
        <v>1.0999999999999999E-2</v>
      </c>
      <c r="CH218">
        <v>8.0000000000000002E-3</v>
      </c>
      <c r="CI218">
        <v>-0.51100000000000001</v>
      </c>
      <c r="CJ218">
        <v>-6.6000000000000003E-2</v>
      </c>
      <c r="CK218">
        <v>800</v>
      </c>
      <c r="CL218">
        <v>6</v>
      </c>
      <c r="CM218">
        <v>0.21</v>
      </c>
      <c r="CN218">
        <v>0.02</v>
      </c>
      <c r="CO218">
        <v>-473.18587500000001</v>
      </c>
      <c r="CP218">
        <v>-1.4855572232653189</v>
      </c>
      <c r="CQ218">
        <v>0.15189818753033041</v>
      </c>
      <c r="CR218">
        <v>-1</v>
      </c>
      <c r="CS218">
        <v>23.765650000000001</v>
      </c>
      <c r="CT218">
        <v>-5.295309568521072E-3</v>
      </c>
      <c r="CU218">
        <v>2.004869073031889E-3</v>
      </c>
      <c r="CV218">
        <v>-1</v>
      </c>
      <c r="CW218">
        <v>0</v>
      </c>
      <c r="CX218">
        <v>0</v>
      </c>
      <c r="CY218" t="s">
        <v>333</v>
      </c>
      <c r="CZ218">
        <v>2.3645700000000001</v>
      </c>
      <c r="DA218">
        <v>2.71387</v>
      </c>
      <c r="DB218">
        <v>7.6385700000000001E-2</v>
      </c>
      <c r="DC218">
        <v>0.146064</v>
      </c>
      <c r="DD218">
        <v>0.132019</v>
      </c>
      <c r="DE218">
        <v>3.8893799999999999E-2</v>
      </c>
      <c r="DF218">
        <v>33708.199999999997</v>
      </c>
      <c r="DG218">
        <v>27500</v>
      </c>
      <c r="DH218">
        <v>31156.7</v>
      </c>
      <c r="DI218">
        <v>28061.5</v>
      </c>
      <c r="DJ218">
        <v>36697.800000000003</v>
      </c>
      <c r="DK218">
        <v>38348.800000000003</v>
      </c>
      <c r="DL218">
        <v>44337.1</v>
      </c>
      <c r="DM218">
        <v>42525.8</v>
      </c>
      <c r="DN218">
        <v>1.39005</v>
      </c>
      <c r="DO218">
        <v>2.0340500000000001</v>
      </c>
      <c r="DP218">
        <v>7.9862799999999998E-2</v>
      </c>
      <c r="DQ218">
        <v>0.18527399999999999</v>
      </c>
      <c r="DR218">
        <v>25.672000000000001</v>
      </c>
      <c r="DS218">
        <v>25.549800000000001</v>
      </c>
      <c r="DT218">
        <v>17.5</v>
      </c>
      <c r="DU218">
        <v>29.7</v>
      </c>
      <c r="DV218">
        <v>7.3971999999999998</v>
      </c>
      <c r="DW218">
        <v>61.591200000000001</v>
      </c>
      <c r="DX218">
        <v>36.318100000000001</v>
      </c>
      <c r="DY218">
        <v>1</v>
      </c>
      <c r="DZ218">
        <v>-8.7057899999999994E-2</v>
      </c>
      <c r="EA218">
        <v>-0.247781</v>
      </c>
      <c r="EB218">
        <v>20.189</v>
      </c>
      <c r="EC218">
        <v>5.2406499999999996</v>
      </c>
      <c r="ED218">
        <v>12.039899999999999</v>
      </c>
      <c r="EE218">
        <v>5.0174000000000003</v>
      </c>
      <c r="EF218">
        <v>3.2879999999999998</v>
      </c>
      <c r="EG218">
        <v>9999</v>
      </c>
      <c r="EH218">
        <v>9999</v>
      </c>
      <c r="EI218">
        <v>9999</v>
      </c>
      <c r="EJ218">
        <v>999.9</v>
      </c>
      <c r="EK218">
        <v>1.8689100000000001</v>
      </c>
      <c r="EL218">
        <v>1.86463</v>
      </c>
      <c r="EM218">
        <v>1.8692</v>
      </c>
      <c r="EN218">
        <v>1.8672299999999999</v>
      </c>
      <c r="EO218">
        <v>1.8633999999999999</v>
      </c>
      <c r="EP218">
        <v>1.8645499999999999</v>
      </c>
      <c r="EQ218">
        <v>1.87015</v>
      </c>
      <c r="ER218">
        <v>1.86941</v>
      </c>
      <c r="ES218">
        <v>0</v>
      </c>
      <c r="ET218">
        <v>0</v>
      </c>
      <c r="EU218">
        <v>0</v>
      </c>
      <c r="EV218">
        <v>0</v>
      </c>
      <c r="EW218" t="s">
        <v>334</v>
      </c>
      <c r="EX218" t="s">
        <v>335</v>
      </c>
      <c r="EY218" t="s">
        <v>336</v>
      </c>
      <c r="EZ218" t="s">
        <v>336</v>
      </c>
      <c r="FA218" t="s">
        <v>336</v>
      </c>
      <c r="FB218" t="s">
        <v>336</v>
      </c>
      <c r="FC218">
        <v>0</v>
      </c>
      <c r="FD218">
        <v>100</v>
      </c>
      <c r="FE218">
        <v>100</v>
      </c>
      <c r="FF218">
        <v>-0.17699999999999999</v>
      </c>
      <c r="FG218">
        <v>0.19159999999999999</v>
      </c>
      <c r="FH218">
        <v>4.0020685143421282E-2</v>
      </c>
      <c r="FI218">
        <v>-6.1462078757559423E-4</v>
      </c>
      <c r="FJ218">
        <v>-1.8861989874597051E-7</v>
      </c>
      <c r="FK218">
        <v>1.1980462299894961E-10</v>
      </c>
      <c r="FL218">
        <v>0.19160597004026461</v>
      </c>
      <c r="FM218">
        <v>0</v>
      </c>
      <c r="FN218">
        <v>0</v>
      </c>
      <c r="FO218">
        <v>0</v>
      </c>
      <c r="FP218">
        <v>3</v>
      </c>
      <c r="FQ218">
        <v>2158</v>
      </c>
      <c r="FR218">
        <v>1</v>
      </c>
      <c r="FS218">
        <v>19</v>
      </c>
      <c r="FT218">
        <v>41.9</v>
      </c>
      <c r="FU218">
        <v>41.7</v>
      </c>
      <c r="FV218">
        <v>1.77979</v>
      </c>
      <c r="FW218">
        <v>2.5720200000000002</v>
      </c>
      <c r="FX218">
        <v>1.5490699999999999</v>
      </c>
      <c r="FY218">
        <v>2.3290999999999999</v>
      </c>
      <c r="FZ218">
        <v>1.50146</v>
      </c>
      <c r="GA218">
        <v>2.3706100000000001</v>
      </c>
      <c r="GB218">
        <v>33.850900000000003</v>
      </c>
      <c r="GC218">
        <v>23.991199999999999</v>
      </c>
      <c r="GD218">
        <v>19</v>
      </c>
      <c r="GE218">
        <v>248.12100000000001</v>
      </c>
      <c r="GF218">
        <v>581.92200000000003</v>
      </c>
      <c r="GG218">
        <v>25.525099999999998</v>
      </c>
      <c r="GH218">
        <v>26.295300000000001</v>
      </c>
      <c r="GI218">
        <v>30.0001</v>
      </c>
      <c r="GJ218">
        <v>26.425799999999999</v>
      </c>
      <c r="GK218">
        <v>26.398599999999998</v>
      </c>
      <c r="GL218">
        <v>35.578499999999998</v>
      </c>
      <c r="GM218">
        <v>-30</v>
      </c>
      <c r="GN218">
        <v>-30</v>
      </c>
      <c r="GO218">
        <v>25.525300000000001</v>
      </c>
      <c r="GP218">
        <v>800</v>
      </c>
      <c r="GQ218">
        <v>12.5298</v>
      </c>
      <c r="GR218">
        <v>99.6858</v>
      </c>
      <c r="GS218">
        <v>99.488</v>
      </c>
    </row>
    <row r="219" spans="1:201" x14ac:dyDescent="0.25">
      <c r="A219">
        <v>203</v>
      </c>
      <c r="B219">
        <v>1690214436</v>
      </c>
      <c r="C219">
        <v>2168.5</v>
      </c>
      <c r="D219" t="s">
        <v>737</v>
      </c>
      <c r="E219" t="s">
        <v>738</v>
      </c>
      <c r="F219" t="s">
        <v>330</v>
      </c>
      <c r="H219">
        <v>1690214436</v>
      </c>
      <c r="I219">
        <f t="shared" si="90"/>
        <v>2.1316007797355582E-3</v>
      </c>
      <c r="J219">
        <f t="shared" si="91"/>
        <v>2.1316007797355581</v>
      </c>
      <c r="K219">
        <f t="shared" si="92"/>
        <v>40.533247472330089</v>
      </c>
      <c r="L219">
        <f t="shared" si="93"/>
        <v>326.19799999999998</v>
      </c>
      <c r="M219">
        <f t="shared" si="94"/>
        <v>20.546253953791652</v>
      </c>
      <c r="N219">
        <f t="shared" si="95"/>
        <v>2.0376399099668352</v>
      </c>
      <c r="O219">
        <f t="shared" si="96"/>
        <v>32.35013374439</v>
      </c>
      <c r="P219">
        <f t="shared" si="97"/>
        <v>0.22550281438681832</v>
      </c>
      <c r="Q219">
        <f t="shared" si="98"/>
        <v>2.0085670655797339</v>
      </c>
      <c r="R219">
        <f t="shared" si="99"/>
        <v>0.21232265993923016</v>
      </c>
      <c r="S219">
        <f t="shared" si="100"/>
        <v>0.13382160632969126</v>
      </c>
      <c r="T219">
        <f t="shared" si="101"/>
        <v>276.11302778021252</v>
      </c>
      <c r="U219">
        <f t="shared" si="102"/>
        <v>28.485730513859121</v>
      </c>
      <c r="V219">
        <f t="shared" si="103"/>
        <v>28.485730513859121</v>
      </c>
      <c r="W219">
        <f t="shared" si="104"/>
        <v>3.9036325449720031</v>
      </c>
      <c r="X219">
        <f t="shared" si="105"/>
        <v>82.366949354100413</v>
      </c>
      <c r="Y219">
        <f t="shared" si="106"/>
        <v>2.9423529513839997</v>
      </c>
      <c r="Z219">
        <f t="shared" si="107"/>
        <v>3.5722495181102909</v>
      </c>
      <c r="AA219">
        <f t="shared" si="108"/>
        <v>0.96127959358800341</v>
      </c>
      <c r="AB219">
        <f t="shared" si="109"/>
        <v>-94.003594386338122</v>
      </c>
      <c r="AC219">
        <f t="shared" si="110"/>
        <v>-164.44622281710735</v>
      </c>
      <c r="AD219">
        <f t="shared" si="111"/>
        <v>-17.797798029404767</v>
      </c>
      <c r="AE219">
        <f t="shared" si="112"/>
        <v>-0.13458745263773153</v>
      </c>
      <c r="AF219">
        <v>32</v>
      </c>
      <c r="AG219">
        <v>11</v>
      </c>
      <c r="AH219">
        <f t="shared" si="113"/>
        <v>1</v>
      </c>
      <c r="AI219">
        <f t="shared" si="114"/>
        <v>0</v>
      </c>
      <c r="AJ219">
        <f t="shared" si="115"/>
        <v>52238.965633724671</v>
      </c>
      <c r="AK219">
        <f t="shared" si="116"/>
        <v>1799.99</v>
      </c>
      <c r="AL219">
        <f t="shared" si="117"/>
        <v>1499.1062995854002</v>
      </c>
      <c r="AM219">
        <f t="shared" si="118"/>
        <v>0.83284146000000003</v>
      </c>
      <c r="AN219">
        <f t="shared" si="119"/>
        <v>0.15339697875000002</v>
      </c>
      <c r="AO219">
        <v>34.5</v>
      </c>
      <c r="AP219">
        <v>0.5</v>
      </c>
      <c r="AQ219" t="s">
        <v>331</v>
      </c>
      <c r="AR219">
        <v>2</v>
      </c>
      <c r="AS219">
        <v>1690214436</v>
      </c>
      <c r="AT219">
        <v>326.19799999999998</v>
      </c>
      <c r="AU219">
        <v>800.04700000000003</v>
      </c>
      <c r="AV219">
        <v>29.668800000000001</v>
      </c>
      <c r="AW219">
        <v>5.8967000000000001</v>
      </c>
      <c r="AX219">
        <v>326.37400000000002</v>
      </c>
      <c r="AY219">
        <v>29.4772</v>
      </c>
      <c r="AZ219">
        <v>300.17700000000002</v>
      </c>
      <c r="BA219">
        <v>99.073300000000003</v>
      </c>
      <c r="BB219">
        <v>0.100005</v>
      </c>
      <c r="BC219">
        <v>26.967099999999999</v>
      </c>
      <c r="BD219">
        <v>26.985800000000001</v>
      </c>
      <c r="BE219">
        <v>28.603300000000001</v>
      </c>
      <c r="BF219">
        <v>0</v>
      </c>
      <c r="BG219">
        <v>0</v>
      </c>
      <c r="BH219">
        <v>9969.3799999999992</v>
      </c>
      <c r="BI219">
        <v>1077.32</v>
      </c>
      <c r="BJ219">
        <v>2.0183800000000001</v>
      </c>
      <c r="BK219">
        <v>-473.85</v>
      </c>
      <c r="BL219">
        <v>336.17200000000003</v>
      </c>
      <c r="BM219">
        <v>804.79300000000001</v>
      </c>
      <c r="BN219">
        <v>23.772099999999998</v>
      </c>
      <c r="BO219">
        <v>800.04700000000003</v>
      </c>
      <c r="BP219">
        <v>5.8967000000000001</v>
      </c>
      <c r="BQ219">
        <v>2.9393799999999999</v>
      </c>
      <c r="BR219">
        <v>0.58420499999999997</v>
      </c>
      <c r="BS219">
        <v>23.688500000000001</v>
      </c>
      <c r="BT219">
        <v>-0.67511399999999999</v>
      </c>
      <c r="BU219">
        <v>1799.99</v>
      </c>
      <c r="BV219">
        <v>0.91001900000000002</v>
      </c>
      <c r="BW219">
        <v>3.3999300000000003E-2</v>
      </c>
      <c r="BX219">
        <v>2.19945E-2</v>
      </c>
      <c r="BY219">
        <v>3.3987700000000003E-2</v>
      </c>
      <c r="BZ219">
        <v>26</v>
      </c>
      <c r="CA219">
        <v>33528.300000000003</v>
      </c>
      <c r="CB219">
        <v>1690211922</v>
      </c>
      <c r="CC219" t="s">
        <v>332</v>
      </c>
      <c r="CD219">
        <v>1690211915</v>
      </c>
      <c r="CE219">
        <v>1690211922</v>
      </c>
      <c r="CF219">
        <v>6</v>
      </c>
      <c r="CG219">
        <v>1.0999999999999999E-2</v>
      </c>
      <c r="CH219">
        <v>8.0000000000000002E-3</v>
      </c>
      <c r="CI219">
        <v>-0.51100000000000001</v>
      </c>
      <c r="CJ219">
        <v>-6.6000000000000003E-2</v>
      </c>
      <c r="CK219">
        <v>800</v>
      </c>
      <c r="CL219">
        <v>6</v>
      </c>
      <c r="CM219">
        <v>0.21</v>
      </c>
      <c r="CN219">
        <v>0.02</v>
      </c>
      <c r="CO219">
        <v>-473.49026829268291</v>
      </c>
      <c r="CP219">
        <v>-2.1623414634143612</v>
      </c>
      <c r="CQ219">
        <v>0.22051315146778699</v>
      </c>
      <c r="CR219">
        <v>-1</v>
      </c>
      <c r="CS219">
        <v>23.767475609756101</v>
      </c>
      <c r="CT219">
        <v>3.2172125435503261E-2</v>
      </c>
      <c r="CU219">
        <v>3.284908617937129E-3</v>
      </c>
      <c r="CV219">
        <v>-1</v>
      </c>
      <c r="CW219">
        <v>0</v>
      </c>
      <c r="CX219">
        <v>0</v>
      </c>
      <c r="CY219" t="s">
        <v>333</v>
      </c>
      <c r="CZ219">
        <v>2.3644500000000002</v>
      </c>
      <c r="DA219">
        <v>2.7137699999999998</v>
      </c>
      <c r="DB219">
        <v>7.6320200000000005E-2</v>
      </c>
      <c r="DC219">
        <v>0.146065</v>
      </c>
      <c r="DD219">
        <v>0.132023</v>
      </c>
      <c r="DE219">
        <v>3.8887499999999998E-2</v>
      </c>
      <c r="DF219">
        <v>33711.199999999997</v>
      </c>
      <c r="DG219">
        <v>27499.8</v>
      </c>
      <c r="DH219">
        <v>31157.3</v>
      </c>
      <c r="DI219">
        <v>28061.3</v>
      </c>
      <c r="DJ219">
        <v>36698.1</v>
      </c>
      <c r="DK219">
        <v>38348.699999999997</v>
      </c>
      <c r="DL219">
        <v>44337.599999999999</v>
      </c>
      <c r="DM219">
        <v>42525.4</v>
      </c>
      <c r="DN219">
        <v>1.39</v>
      </c>
      <c r="DO219">
        <v>2.0338699999999998</v>
      </c>
      <c r="DP219">
        <v>8.0458799999999997E-2</v>
      </c>
      <c r="DQ219">
        <v>0.18682299999999999</v>
      </c>
      <c r="DR219">
        <v>25.668600000000001</v>
      </c>
      <c r="DS219">
        <v>25.548400000000001</v>
      </c>
      <c r="DT219">
        <v>17.5</v>
      </c>
      <c r="DU219">
        <v>29.7</v>
      </c>
      <c r="DV219">
        <v>7.3968600000000002</v>
      </c>
      <c r="DW219">
        <v>61.761200000000002</v>
      </c>
      <c r="DX219">
        <v>36.506399999999999</v>
      </c>
      <c r="DY219">
        <v>1</v>
      </c>
      <c r="DZ219">
        <v>-8.7091000000000002E-2</v>
      </c>
      <c r="EA219">
        <v>-0.24843399999999999</v>
      </c>
      <c r="EB219">
        <v>20.1892</v>
      </c>
      <c r="EC219">
        <v>5.2411000000000003</v>
      </c>
      <c r="ED219">
        <v>12.039899999999999</v>
      </c>
      <c r="EE219">
        <v>5.0174000000000003</v>
      </c>
      <c r="EF219">
        <v>3.2879999999999998</v>
      </c>
      <c r="EG219">
        <v>9999</v>
      </c>
      <c r="EH219">
        <v>9999</v>
      </c>
      <c r="EI219">
        <v>9999</v>
      </c>
      <c r="EJ219">
        <v>999.9</v>
      </c>
      <c r="EK219">
        <v>1.8689199999999999</v>
      </c>
      <c r="EL219">
        <v>1.86466</v>
      </c>
      <c r="EM219">
        <v>1.8691899999999999</v>
      </c>
      <c r="EN219">
        <v>1.8672299999999999</v>
      </c>
      <c r="EO219">
        <v>1.8633999999999999</v>
      </c>
      <c r="EP219">
        <v>1.8645</v>
      </c>
      <c r="EQ219">
        <v>1.87018</v>
      </c>
      <c r="ER219">
        <v>1.8694299999999999</v>
      </c>
      <c r="ES219">
        <v>0</v>
      </c>
      <c r="ET219">
        <v>0</v>
      </c>
      <c r="EU219">
        <v>0</v>
      </c>
      <c r="EV219">
        <v>0</v>
      </c>
      <c r="EW219" t="s">
        <v>334</v>
      </c>
      <c r="EX219" t="s">
        <v>335</v>
      </c>
      <c r="EY219" t="s">
        <v>336</v>
      </c>
      <c r="EZ219" t="s">
        <v>336</v>
      </c>
      <c r="FA219" t="s">
        <v>336</v>
      </c>
      <c r="FB219" t="s">
        <v>336</v>
      </c>
      <c r="FC219">
        <v>0</v>
      </c>
      <c r="FD219">
        <v>100</v>
      </c>
      <c r="FE219">
        <v>100</v>
      </c>
      <c r="FF219">
        <v>-0.17599999999999999</v>
      </c>
      <c r="FG219">
        <v>0.19159999999999999</v>
      </c>
      <c r="FH219">
        <v>4.0020685143421282E-2</v>
      </c>
      <c r="FI219">
        <v>-6.1462078757559423E-4</v>
      </c>
      <c r="FJ219">
        <v>-1.8861989874597051E-7</v>
      </c>
      <c r="FK219">
        <v>1.1980462299894961E-10</v>
      </c>
      <c r="FL219">
        <v>0.19160597004026461</v>
      </c>
      <c r="FM219">
        <v>0</v>
      </c>
      <c r="FN219">
        <v>0</v>
      </c>
      <c r="FO219">
        <v>0</v>
      </c>
      <c r="FP219">
        <v>3</v>
      </c>
      <c r="FQ219">
        <v>2158</v>
      </c>
      <c r="FR219">
        <v>1</v>
      </c>
      <c r="FS219">
        <v>19</v>
      </c>
      <c r="FT219">
        <v>42</v>
      </c>
      <c r="FU219">
        <v>41.9</v>
      </c>
      <c r="FV219">
        <v>1.77979</v>
      </c>
      <c r="FW219">
        <v>2.5744600000000002</v>
      </c>
      <c r="FX219">
        <v>1.5490699999999999</v>
      </c>
      <c r="FY219">
        <v>2.3290999999999999</v>
      </c>
      <c r="FZ219">
        <v>1.50146</v>
      </c>
      <c r="GA219">
        <v>2.4023400000000001</v>
      </c>
      <c r="GB219">
        <v>33.850900000000003</v>
      </c>
      <c r="GC219">
        <v>23.991199999999999</v>
      </c>
      <c r="GD219">
        <v>19</v>
      </c>
      <c r="GE219">
        <v>248.102</v>
      </c>
      <c r="GF219">
        <v>581.77800000000002</v>
      </c>
      <c r="GG219">
        <v>25.524899999999999</v>
      </c>
      <c r="GH219">
        <v>26.295300000000001</v>
      </c>
      <c r="GI219">
        <v>30.0001</v>
      </c>
      <c r="GJ219">
        <v>26.425799999999999</v>
      </c>
      <c r="GK219">
        <v>26.398599999999998</v>
      </c>
      <c r="GL219">
        <v>35.576900000000002</v>
      </c>
      <c r="GM219">
        <v>-30</v>
      </c>
      <c r="GN219">
        <v>-30</v>
      </c>
      <c r="GO219">
        <v>25.525099999999998</v>
      </c>
      <c r="GP219">
        <v>800</v>
      </c>
      <c r="GQ219">
        <v>12.5298</v>
      </c>
      <c r="GR219">
        <v>99.687100000000001</v>
      </c>
      <c r="GS219">
        <v>99.487200000000001</v>
      </c>
    </row>
    <row r="220" spans="1:201" x14ac:dyDescent="0.25">
      <c r="A220">
        <v>204</v>
      </c>
      <c r="B220">
        <v>1690214446</v>
      </c>
      <c r="C220">
        <v>2178.5</v>
      </c>
      <c r="D220" t="s">
        <v>739</v>
      </c>
      <c r="E220" t="s">
        <v>740</v>
      </c>
      <c r="F220" t="s">
        <v>330</v>
      </c>
      <c r="H220">
        <v>1690214446</v>
      </c>
      <c r="I220">
        <f t="shared" si="90"/>
        <v>2.1314829411744124E-3</v>
      </c>
      <c r="J220">
        <f t="shared" si="91"/>
        <v>2.1314829411744123</v>
      </c>
      <c r="K220">
        <f t="shared" si="92"/>
        <v>40.552834078998295</v>
      </c>
      <c r="L220">
        <f t="shared" si="93"/>
        <v>325.87099999999998</v>
      </c>
      <c r="M220">
        <f t="shared" si="94"/>
        <v>20.165844351762907</v>
      </c>
      <c r="N220">
        <f t="shared" si="95"/>
        <v>1.9999580594934607</v>
      </c>
      <c r="O220">
        <f t="shared" si="96"/>
        <v>32.318425226178</v>
      </c>
      <c r="P220">
        <f t="shared" si="97"/>
        <v>0.22553856001250011</v>
      </c>
      <c r="Q220">
        <f t="shared" si="98"/>
        <v>2.0139534795196443</v>
      </c>
      <c r="R220">
        <f t="shared" si="99"/>
        <v>0.21238741281457368</v>
      </c>
      <c r="S220">
        <f t="shared" si="100"/>
        <v>0.13385976369159441</v>
      </c>
      <c r="T220">
        <f t="shared" si="101"/>
        <v>276.11432706600004</v>
      </c>
      <c r="U220">
        <f t="shared" si="102"/>
        <v>28.484811942932403</v>
      </c>
      <c r="V220">
        <f t="shared" si="103"/>
        <v>28.484811942932403</v>
      </c>
      <c r="W220">
        <f t="shared" si="104"/>
        <v>3.9034242650871858</v>
      </c>
      <c r="X220">
        <f t="shared" si="105"/>
        <v>82.357111355493501</v>
      </c>
      <c r="Y220">
        <f t="shared" si="106"/>
        <v>2.9424681961974</v>
      </c>
      <c r="Z220">
        <f t="shared" si="107"/>
        <v>3.5728161755167327</v>
      </c>
      <c r="AA220">
        <f t="shared" si="108"/>
        <v>0.9609560688897858</v>
      </c>
      <c r="AB220">
        <f t="shared" si="109"/>
        <v>-93.998397705791589</v>
      </c>
      <c r="AC220">
        <f t="shared" si="110"/>
        <v>-164.49433060054622</v>
      </c>
      <c r="AD220">
        <f t="shared" si="111"/>
        <v>-17.755546921290158</v>
      </c>
      <c r="AE220">
        <f t="shared" si="112"/>
        <v>-0.13394816162792722</v>
      </c>
      <c r="AF220">
        <v>32</v>
      </c>
      <c r="AG220">
        <v>11</v>
      </c>
      <c r="AH220">
        <f t="shared" si="113"/>
        <v>1</v>
      </c>
      <c r="AI220">
        <f t="shared" si="114"/>
        <v>0</v>
      </c>
      <c r="AJ220">
        <f t="shared" si="115"/>
        <v>52497.084512585876</v>
      </c>
      <c r="AK220">
        <f t="shared" si="116"/>
        <v>1800</v>
      </c>
      <c r="AL220">
        <f t="shared" si="117"/>
        <v>1499.1139476000001</v>
      </c>
      <c r="AM220">
        <f t="shared" si="118"/>
        <v>0.83284108200000007</v>
      </c>
      <c r="AN220">
        <f t="shared" si="119"/>
        <v>0.15339684837000003</v>
      </c>
      <c r="AO220">
        <v>34.5</v>
      </c>
      <c r="AP220">
        <v>0.5</v>
      </c>
      <c r="AQ220" t="s">
        <v>331</v>
      </c>
      <c r="AR220">
        <v>2</v>
      </c>
      <c r="AS220">
        <v>1690214446</v>
      </c>
      <c r="AT220">
        <v>325.87099999999998</v>
      </c>
      <c r="AU220">
        <v>800.00300000000004</v>
      </c>
      <c r="AV220">
        <v>29.6693</v>
      </c>
      <c r="AW220">
        <v>5.8952</v>
      </c>
      <c r="AX220">
        <v>326.04700000000003</v>
      </c>
      <c r="AY220">
        <v>29.477699999999999</v>
      </c>
      <c r="AZ220">
        <v>300.13499999999999</v>
      </c>
      <c r="BA220">
        <v>99.075500000000005</v>
      </c>
      <c r="BB220">
        <v>0.100018</v>
      </c>
      <c r="BC220">
        <v>26.969799999999999</v>
      </c>
      <c r="BD220">
        <v>26.995200000000001</v>
      </c>
      <c r="BE220">
        <v>28.596299999999999</v>
      </c>
      <c r="BF220">
        <v>0</v>
      </c>
      <c r="BG220">
        <v>0</v>
      </c>
      <c r="BH220">
        <v>10020.6</v>
      </c>
      <c r="BI220">
        <v>1077.27</v>
      </c>
      <c r="BJ220">
        <v>2.0183800000000001</v>
      </c>
      <c r="BK220">
        <v>-474.13299999999998</v>
      </c>
      <c r="BL220">
        <v>335.83499999999998</v>
      </c>
      <c r="BM220">
        <v>804.74699999999996</v>
      </c>
      <c r="BN220">
        <v>23.774100000000001</v>
      </c>
      <c r="BO220">
        <v>800.00300000000004</v>
      </c>
      <c r="BP220">
        <v>5.8952</v>
      </c>
      <c r="BQ220">
        <v>2.9394999999999998</v>
      </c>
      <c r="BR220">
        <v>0.58406999999999998</v>
      </c>
      <c r="BS220">
        <v>23.6891</v>
      </c>
      <c r="BT220">
        <v>-0.67828599999999994</v>
      </c>
      <c r="BU220">
        <v>1800</v>
      </c>
      <c r="BV220">
        <v>0.91002000000000005</v>
      </c>
      <c r="BW220">
        <v>3.39987E-2</v>
      </c>
      <c r="BX220">
        <v>2.1994099999999999E-2</v>
      </c>
      <c r="BY220">
        <v>3.3987099999999999E-2</v>
      </c>
      <c r="BZ220">
        <v>26</v>
      </c>
      <c r="CA220">
        <v>33528.5</v>
      </c>
      <c r="CB220">
        <v>1690211922</v>
      </c>
      <c r="CC220" t="s">
        <v>332</v>
      </c>
      <c r="CD220">
        <v>1690211915</v>
      </c>
      <c r="CE220">
        <v>1690211922</v>
      </c>
      <c r="CF220">
        <v>6</v>
      </c>
      <c r="CG220">
        <v>1.0999999999999999E-2</v>
      </c>
      <c r="CH220">
        <v>8.0000000000000002E-3</v>
      </c>
      <c r="CI220">
        <v>-0.51100000000000001</v>
      </c>
      <c r="CJ220">
        <v>-6.6000000000000003E-2</v>
      </c>
      <c r="CK220">
        <v>800</v>
      </c>
      <c r="CL220">
        <v>6</v>
      </c>
      <c r="CM220">
        <v>0.21</v>
      </c>
      <c r="CN220">
        <v>0.02</v>
      </c>
      <c r="CO220">
        <v>-473.82397500000002</v>
      </c>
      <c r="CP220">
        <v>-1.6882288930584131</v>
      </c>
      <c r="CQ220">
        <v>0.18043620583186851</v>
      </c>
      <c r="CR220">
        <v>-1</v>
      </c>
      <c r="CS220">
        <v>23.771817500000001</v>
      </c>
      <c r="CT220">
        <v>1.5778986866719701E-2</v>
      </c>
      <c r="CU220">
        <v>1.585699766664562E-3</v>
      </c>
      <c r="CV220">
        <v>-1</v>
      </c>
      <c r="CW220">
        <v>0</v>
      </c>
      <c r="CX220">
        <v>0</v>
      </c>
      <c r="CY220" t="s">
        <v>333</v>
      </c>
      <c r="CZ220">
        <v>2.3643299999999998</v>
      </c>
      <c r="DA220">
        <v>2.7138300000000002</v>
      </c>
      <c r="DB220">
        <v>7.6260800000000004E-2</v>
      </c>
      <c r="DC220">
        <v>0.146063</v>
      </c>
      <c r="DD220">
        <v>0.13202700000000001</v>
      </c>
      <c r="DE220">
        <v>3.88803E-2</v>
      </c>
      <c r="DF220">
        <v>33713</v>
      </c>
      <c r="DG220">
        <v>27499.7</v>
      </c>
      <c r="DH220">
        <v>31156.9</v>
      </c>
      <c r="DI220">
        <v>28061.200000000001</v>
      </c>
      <c r="DJ220">
        <v>36697.5</v>
      </c>
      <c r="DK220">
        <v>38348.800000000003</v>
      </c>
      <c r="DL220">
        <v>44337.1</v>
      </c>
      <c r="DM220">
        <v>42525.2</v>
      </c>
      <c r="DN220">
        <v>1.3901300000000001</v>
      </c>
      <c r="DO220">
        <v>2.0339299999999998</v>
      </c>
      <c r="DP220">
        <v>8.1166600000000005E-2</v>
      </c>
      <c r="DQ220">
        <v>0.18657000000000001</v>
      </c>
      <c r="DR220">
        <v>25.666399999999999</v>
      </c>
      <c r="DS220">
        <v>25.545500000000001</v>
      </c>
      <c r="DT220">
        <v>17.5</v>
      </c>
      <c r="DU220">
        <v>29.7</v>
      </c>
      <c r="DV220">
        <v>7.3966200000000004</v>
      </c>
      <c r="DW220">
        <v>61.331200000000003</v>
      </c>
      <c r="DX220">
        <v>36.991199999999999</v>
      </c>
      <c r="DY220">
        <v>1</v>
      </c>
      <c r="DZ220">
        <v>-8.7238300000000005E-2</v>
      </c>
      <c r="EA220">
        <v>-0.248366</v>
      </c>
      <c r="EB220">
        <v>20.1892</v>
      </c>
      <c r="EC220">
        <v>5.2411000000000003</v>
      </c>
      <c r="ED220">
        <v>12.039899999999999</v>
      </c>
      <c r="EE220">
        <v>5.01755</v>
      </c>
      <c r="EF220">
        <v>3.2879999999999998</v>
      </c>
      <c r="EG220">
        <v>9999</v>
      </c>
      <c r="EH220">
        <v>9999</v>
      </c>
      <c r="EI220">
        <v>9999</v>
      </c>
      <c r="EJ220">
        <v>999.9</v>
      </c>
      <c r="EK220">
        <v>1.86893</v>
      </c>
      <c r="EL220">
        <v>1.86466</v>
      </c>
      <c r="EM220">
        <v>1.8692</v>
      </c>
      <c r="EN220">
        <v>1.8672299999999999</v>
      </c>
      <c r="EO220">
        <v>1.8633999999999999</v>
      </c>
      <c r="EP220">
        <v>1.86456</v>
      </c>
      <c r="EQ220">
        <v>1.8702000000000001</v>
      </c>
      <c r="ER220">
        <v>1.8694299999999999</v>
      </c>
      <c r="ES220">
        <v>0</v>
      </c>
      <c r="ET220">
        <v>0</v>
      </c>
      <c r="EU220">
        <v>0</v>
      </c>
      <c r="EV220">
        <v>0</v>
      </c>
      <c r="EW220" t="s">
        <v>334</v>
      </c>
      <c r="EX220" t="s">
        <v>335</v>
      </c>
      <c r="EY220" t="s">
        <v>336</v>
      </c>
      <c r="EZ220" t="s">
        <v>336</v>
      </c>
      <c r="FA220" t="s">
        <v>336</v>
      </c>
      <c r="FB220" t="s">
        <v>336</v>
      </c>
      <c r="FC220">
        <v>0</v>
      </c>
      <c r="FD220">
        <v>100</v>
      </c>
      <c r="FE220">
        <v>100</v>
      </c>
      <c r="FF220">
        <v>-0.17599999999999999</v>
      </c>
      <c r="FG220">
        <v>0.19159999999999999</v>
      </c>
      <c r="FH220">
        <v>4.0020685143421282E-2</v>
      </c>
      <c r="FI220">
        <v>-6.1462078757559423E-4</v>
      </c>
      <c r="FJ220">
        <v>-1.8861989874597051E-7</v>
      </c>
      <c r="FK220">
        <v>1.1980462299894961E-10</v>
      </c>
      <c r="FL220">
        <v>0.19160597004026461</v>
      </c>
      <c r="FM220">
        <v>0</v>
      </c>
      <c r="FN220">
        <v>0</v>
      </c>
      <c r="FO220">
        <v>0</v>
      </c>
      <c r="FP220">
        <v>3</v>
      </c>
      <c r="FQ220">
        <v>2158</v>
      </c>
      <c r="FR220">
        <v>1</v>
      </c>
      <c r="FS220">
        <v>19</v>
      </c>
      <c r="FT220">
        <v>42.2</v>
      </c>
      <c r="FU220">
        <v>42.1</v>
      </c>
      <c r="FV220">
        <v>1.77979</v>
      </c>
      <c r="FW220">
        <v>2.5793499999999998</v>
      </c>
      <c r="FX220">
        <v>1.5490699999999999</v>
      </c>
      <c r="FY220">
        <v>2.3290999999999999</v>
      </c>
      <c r="FZ220">
        <v>1.50146</v>
      </c>
      <c r="GA220">
        <v>2.4035600000000001</v>
      </c>
      <c r="GB220">
        <v>33.850900000000003</v>
      </c>
      <c r="GC220">
        <v>23.991199999999999</v>
      </c>
      <c r="GD220">
        <v>19</v>
      </c>
      <c r="GE220">
        <v>248.149</v>
      </c>
      <c r="GF220">
        <v>581.81899999999996</v>
      </c>
      <c r="GG220">
        <v>25.524799999999999</v>
      </c>
      <c r="GH220">
        <v>26.295300000000001</v>
      </c>
      <c r="GI220">
        <v>30.0001</v>
      </c>
      <c r="GJ220">
        <v>26.4253</v>
      </c>
      <c r="GK220">
        <v>26.398599999999998</v>
      </c>
      <c r="GL220">
        <v>35.579599999999999</v>
      </c>
      <c r="GM220">
        <v>-30</v>
      </c>
      <c r="GN220">
        <v>-30</v>
      </c>
      <c r="GO220">
        <v>25.524899999999999</v>
      </c>
      <c r="GP220">
        <v>800</v>
      </c>
      <c r="GQ220">
        <v>12.5298</v>
      </c>
      <c r="GR220">
        <v>99.686099999999996</v>
      </c>
      <c r="GS220">
        <v>99.486699999999999</v>
      </c>
    </row>
    <row r="221" spans="1:201" x14ac:dyDescent="0.25">
      <c r="A221">
        <v>205</v>
      </c>
      <c r="B221">
        <v>1690214456</v>
      </c>
      <c r="C221">
        <v>2188.5</v>
      </c>
      <c r="D221" t="s">
        <v>741</v>
      </c>
      <c r="E221" t="s">
        <v>742</v>
      </c>
      <c r="F221" t="s">
        <v>330</v>
      </c>
      <c r="H221">
        <v>1690214456</v>
      </c>
      <c r="I221">
        <f t="shared" si="90"/>
        <v>2.1314421861728886E-3</v>
      </c>
      <c r="J221">
        <f t="shared" si="91"/>
        <v>2.1314421861728885</v>
      </c>
      <c r="K221">
        <f t="shared" si="92"/>
        <v>40.572512658974205</v>
      </c>
      <c r="L221">
        <f t="shared" si="93"/>
        <v>325.72399999999999</v>
      </c>
      <c r="M221">
        <f t="shared" si="94"/>
        <v>19.814987964388958</v>
      </c>
      <c r="N221">
        <f t="shared" si="95"/>
        <v>1.9652238749642725</v>
      </c>
      <c r="O221">
        <f t="shared" si="96"/>
        <v>32.304868546943993</v>
      </c>
      <c r="P221">
        <f t="shared" si="97"/>
        <v>0.22552176280614905</v>
      </c>
      <c r="Q221">
        <f t="shared" si="98"/>
        <v>2.0088193522971194</v>
      </c>
      <c r="R221">
        <f t="shared" si="99"/>
        <v>0.21234101447095149</v>
      </c>
      <c r="S221">
        <f t="shared" si="100"/>
        <v>0.13383313088587812</v>
      </c>
      <c r="T221">
        <f t="shared" si="101"/>
        <v>276.11419042800003</v>
      </c>
      <c r="U221">
        <f t="shared" si="102"/>
        <v>28.483729096072707</v>
      </c>
      <c r="V221">
        <f t="shared" si="103"/>
        <v>28.483729096072707</v>
      </c>
      <c r="W221">
        <f t="shared" si="104"/>
        <v>3.9031787491687111</v>
      </c>
      <c r="X221">
        <f t="shared" si="105"/>
        <v>82.366149644155541</v>
      </c>
      <c r="Y221">
        <f t="shared" si="106"/>
        <v>2.9419959801215998</v>
      </c>
      <c r="Z221">
        <f t="shared" si="107"/>
        <v>3.5718508062254131</v>
      </c>
      <c r="AA221">
        <f t="shared" si="108"/>
        <v>0.96118276904711131</v>
      </c>
      <c r="AB221">
        <f t="shared" si="109"/>
        <v>-93.996600410224389</v>
      </c>
      <c r="AC221">
        <f t="shared" si="110"/>
        <v>-164.45589464582471</v>
      </c>
      <c r="AD221">
        <f t="shared" si="111"/>
        <v>-17.796263116884433</v>
      </c>
      <c r="AE221">
        <f t="shared" si="112"/>
        <v>-0.13456774493354828</v>
      </c>
      <c r="AF221">
        <v>32</v>
      </c>
      <c r="AG221">
        <v>11</v>
      </c>
      <c r="AH221">
        <f t="shared" si="113"/>
        <v>1</v>
      </c>
      <c r="AI221">
        <f t="shared" si="114"/>
        <v>0</v>
      </c>
      <c r="AJ221">
        <f t="shared" si="115"/>
        <v>52251.496833662262</v>
      </c>
      <c r="AK221">
        <f t="shared" si="116"/>
        <v>1800</v>
      </c>
      <c r="AL221">
        <f t="shared" si="117"/>
        <v>1499.1136847999999</v>
      </c>
      <c r="AM221">
        <f t="shared" si="118"/>
        <v>0.83284093599999998</v>
      </c>
      <c r="AN221">
        <f t="shared" si="119"/>
        <v>0.15339677246000002</v>
      </c>
      <c r="AO221">
        <v>34.5</v>
      </c>
      <c r="AP221">
        <v>0.5</v>
      </c>
      <c r="AQ221" t="s">
        <v>331</v>
      </c>
      <c r="AR221">
        <v>2</v>
      </c>
      <c r="AS221">
        <v>1690214456</v>
      </c>
      <c r="AT221">
        <v>325.72399999999999</v>
      </c>
      <c r="AU221">
        <v>799.971</v>
      </c>
      <c r="AV221">
        <v>29.663599999999999</v>
      </c>
      <c r="AW221">
        <v>5.8952</v>
      </c>
      <c r="AX221">
        <v>325.89999999999998</v>
      </c>
      <c r="AY221">
        <v>29.472000000000001</v>
      </c>
      <c r="AZ221">
        <v>300.20299999999997</v>
      </c>
      <c r="BA221">
        <v>99.078599999999994</v>
      </c>
      <c r="BB221">
        <v>0.10005600000000001</v>
      </c>
      <c r="BC221">
        <v>26.965199999999999</v>
      </c>
      <c r="BD221">
        <v>26.9923</v>
      </c>
      <c r="BE221">
        <v>28.587599999999998</v>
      </c>
      <c r="BF221">
        <v>0</v>
      </c>
      <c r="BG221">
        <v>0</v>
      </c>
      <c r="BH221">
        <v>9971.25</v>
      </c>
      <c r="BI221">
        <v>1077.33</v>
      </c>
      <c r="BJ221">
        <v>2.0183800000000001</v>
      </c>
      <c r="BK221">
        <v>-474.24700000000001</v>
      </c>
      <c r="BL221">
        <v>335.68099999999998</v>
      </c>
      <c r="BM221">
        <v>804.71500000000003</v>
      </c>
      <c r="BN221">
        <v>23.7684</v>
      </c>
      <c r="BO221">
        <v>799.971</v>
      </c>
      <c r="BP221">
        <v>5.8952</v>
      </c>
      <c r="BQ221">
        <v>2.9390299999999998</v>
      </c>
      <c r="BR221">
        <v>0.58408899999999997</v>
      </c>
      <c r="BS221">
        <v>23.686499999999999</v>
      </c>
      <c r="BT221">
        <v>-0.67784999999999995</v>
      </c>
      <c r="BU221">
        <v>1800</v>
      </c>
      <c r="BV221">
        <v>0.91002099999999997</v>
      </c>
      <c r="BW221">
        <v>3.3998199999999999E-2</v>
      </c>
      <c r="BX221">
        <v>2.1993800000000001E-2</v>
      </c>
      <c r="BY221">
        <v>3.3986599999999999E-2</v>
      </c>
      <c r="BZ221">
        <v>26</v>
      </c>
      <c r="CA221">
        <v>33528.5</v>
      </c>
      <c r="CB221">
        <v>1690211922</v>
      </c>
      <c r="CC221" t="s">
        <v>332</v>
      </c>
      <c r="CD221">
        <v>1690211915</v>
      </c>
      <c r="CE221">
        <v>1690211922</v>
      </c>
      <c r="CF221">
        <v>6</v>
      </c>
      <c r="CG221">
        <v>1.0999999999999999E-2</v>
      </c>
      <c r="CH221">
        <v>8.0000000000000002E-3</v>
      </c>
      <c r="CI221">
        <v>-0.51100000000000001</v>
      </c>
      <c r="CJ221">
        <v>-6.6000000000000003E-2</v>
      </c>
      <c r="CK221">
        <v>800</v>
      </c>
      <c r="CL221">
        <v>6</v>
      </c>
      <c r="CM221">
        <v>0.21</v>
      </c>
      <c r="CN221">
        <v>0.02</v>
      </c>
      <c r="CO221">
        <v>-474.05052499999999</v>
      </c>
      <c r="CP221">
        <v>-1.438345215760102</v>
      </c>
      <c r="CQ221">
        <v>0.15768813961424069</v>
      </c>
      <c r="CR221">
        <v>-1</v>
      </c>
      <c r="CS221">
        <v>23.77244</v>
      </c>
      <c r="CT221">
        <v>-7.72007504696189E-3</v>
      </c>
      <c r="CU221">
        <v>1.609471963098717E-3</v>
      </c>
      <c r="CV221">
        <v>-1</v>
      </c>
      <c r="CW221">
        <v>0</v>
      </c>
      <c r="CX221">
        <v>0</v>
      </c>
      <c r="CY221" t="s">
        <v>333</v>
      </c>
      <c r="CZ221">
        <v>2.3645299999999998</v>
      </c>
      <c r="DA221">
        <v>2.7138200000000001</v>
      </c>
      <c r="DB221">
        <v>7.6235999999999998E-2</v>
      </c>
      <c r="DC221">
        <v>0.146063</v>
      </c>
      <c r="DD221">
        <v>0.13201399999999999</v>
      </c>
      <c r="DE221">
        <v>3.8881499999999999E-2</v>
      </c>
      <c r="DF221">
        <v>33713.9</v>
      </c>
      <c r="DG221">
        <v>27499.599999999999</v>
      </c>
      <c r="DH221">
        <v>31157</v>
      </c>
      <c r="DI221">
        <v>28061.200000000001</v>
      </c>
      <c r="DJ221">
        <v>36698.199999999997</v>
      </c>
      <c r="DK221">
        <v>38348.9</v>
      </c>
      <c r="DL221">
        <v>44337.3</v>
      </c>
      <c r="DM221">
        <v>42525.4</v>
      </c>
      <c r="DN221">
        <v>1.38995</v>
      </c>
      <c r="DO221">
        <v>2.0338500000000002</v>
      </c>
      <c r="DP221">
        <v>8.0987799999999999E-2</v>
      </c>
      <c r="DQ221">
        <v>0.18590699999999999</v>
      </c>
      <c r="DR221">
        <v>25.666399999999999</v>
      </c>
      <c r="DS221">
        <v>25.547599999999999</v>
      </c>
      <c r="DT221">
        <v>17.5</v>
      </c>
      <c r="DU221">
        <v>29.7</v>
      </c>
      <c r="DV221">
        <v>7.3960400000000002</v>
      </c>
      <c r="DW221">
        <v>61.861199999999997</v>
      </c>
      <c r="DX221">
        <v>37.251600000000003</v>
      </c>
      <c r="DY221">
        <v>1</v>
      </c>
      <c r="DZ221">
        <v>-8.7423799999999996E-2</v>
      </c>
      <c r="EA221">
        <v>-0.24979299999999999</v>
      </c>
      <c r="EB221">
        <v>20.189399999999999</v>
      </c>
      <c r="EC221">
        <v>5.2409499999999998</v>
      </c>
      <c r="ED221">
        <v>12.039899999999999</v>
      </c>
      <c r="EE221">
        <v>5.0174500000000002</v>
      </c>
      <c r="EF221">
        <v>3.2879999999999998</v>
      </c>
      <c r="EG221">
        <v>9999</v>
      </c>
      <c r="EH221">
        <v>9999</v>
      </c>
      <c r="EI221">
        <v>9999</v>
      </c>
      <c r="EJ221">
        <v>999.9</v>
      </c>
      <c r="EK221">
        <v>1.8689100000000001</v>
      </c>
      <c r="EL221">
        <v>1.86463</v>
      </c>
      <c r="EM221">
        <v>1.8691899999999999</v>
      </c>
      <c r="EN221">
        <v>1.8672299999999999</v>
      </c>
      <c r="EO221">
        <v>1.8633999999999999</v>
      </c>
      <c r="EP221">
        <v>1.8645799999999999</v>
      </c>
      <c r="EQ221">
        <v>1.87018</v>
      </c>
      <c r="ER221">
        <v>1.8694299999999999</v>
      </c>
      <c r="ES221">
        <v>0</v>
      </c>
      <c r="ET221">
        <v>0</v>
      </c>
      <c r="EU221">
        <v>0</v>
      </c>
      <c r="EV221">
        <v>0</v>
      </c>
      <c r="EW221" t="s">
        <v>334</v>
      </c>
      <c r="EX221" t="s">
        <v>335</v>
      </c>
      <c r="EY221" t="s">
        <v>336</v>
      </c>
      <c r="EZ221" t="s">
        <v>336</v>
      </c>
      <c r="FA221" t="s">
        <v>336</v>
      </c>
      <c r="FB221" t="s">
        <v>336</v>
      </c>
      <c r="FC221">
        <v>0</v>
      </c>
      <c r="FD221">
        <v>100</v>
      </c>
      <c r="FE221">
        <v>100</v>
      </c>
      <c r="FF221">
        <v>-0.17599999999999999</v>
      </c>
      <c r="FG221">
        <v>0.19159999999999999</v>
      </c>
      <c r="FH221">
        <v>4.0020685143421282E-2</v>
      </c>
      <c r="FI221">
        <v>-6.1462078757559423E-4</v>
      </c>
      <c r="FJ221">
        <v>-1.8861989874597051E-7</v>
      </c>
      <c r="FK221">
        <v>1.1980462299894961E-10</v>
      </c>
      <c r="FL221">
        <v>0.19160597004026461</v>
      </c>
      <c r="FM221">
        <v>0</v>
      </c>
      <c r="FN221">
        <v>0</v>
      </c>
      <c r="FO221">
        <v>0</v>
      </c>
      <c r="FP221">
        <v>3</v>
      </c>
      <c r="FQ221">
        <v>2158</v>
      </c>
      <c r="FR221">
        <v>1</v>
      </c>
      <c r="FS221">
        <v>19</v>
      </c>
      <c r="FT221">
        <v>42.4</v>
      </c>
      <c r="FU221">
        <v>42.2</v>
      </c>
      <c r="FV221">
        <v>1.77979</v>
      </c>
      <c r="FW221">
        <v>2.5805699999999998</v>
      </c>
      <c r="FX221">
        <v>1.5490699999999999</v>
      </c>
      <c r="FY221">
        <v>2.3290999999999999</v>
      </c>
      <c r="FZ221">
        <v>1.50146</v>
      </c>
      <c r="GA221">
        <v>2.3803700000000001</v>
      </c>
      <c r="GB221">
        <v>33.850900000000003</v>
      </c>
      <c r="GC221">
        <v>23.982399999999998</v>
      </c>
      <c r="GD221">
        <v>19</v>
      </c>
      <c r="GE221">
        <v>248.07400000000001</v>
      </c>
      <c r="GF221">
        <v>581.75699999999995</v>
      </c>
      <c r="GG221">
        <v>25.5246</v>
      </c>
      <c r="GH221">
        <v>26.295300000000001</v>
      </c>
      <c r="GI221">
        <v>30.0001</v>
      </c>
      <c r="GJ221">
        <v>26.4236</v>
      </c>
      <c r="GK221">
        <v>26.398599999999998</v>
      </c>
      <c r="GL221">
        <v>35.581099999999999</v>
      </c>
      <c r="GM221">
        <v>-30</v>
      </c>
      <c r="GN221">
        <v>-30</v>
      </c>
      <c r="GO221">
        <v>25.524699999999999</v>
      </c>
      <c r="GP221">
        <v>800</v>
      </c>
      <c r="GQ221">
        <v>12.5298</v>
      </c>
      <c r="GR221">
        <v>99.686400000000006</v>
      </c>
      <c r="GS221">
        <v>99.486800000000002</v>
      </c>
    </row>
    <row r="222" spans="1:201" x14ac:dyDescent="0.25">
      <c r="A222">
        <v>206</v>
      </c>
      <c r="B222">
        <v>1690214466</v>
      </c>
      <c r="C222">
        <v>2198.5</v>
      </c>
      <c r="D222" t="s">
        <v>743</v>
      </c>
      <c r="E222" t="s">
        <v>744</v>
      </c>
      <c r="F222" t="s">
        <v>330</v>
      </c>
      <c r="H222">
        <v>1690214466</v>
      </c>
      <c r="I222">
        <f t="shared" si="90"/>
        <v>2.1316752341848776E-3</v>
      </c>
      <c r="J222">
        <f t="shared" si="91"/>
        <v>2.1316752341848777</v>
      </c>
      <c r="K222">
        <f t="shared" si="92"/>
        <v>40.613891084773655</v>
      </c>
      <c r="L222">
        <f t="shared" si="93"/>
        <v>325.26900000000001</v>
      </c>
      <c r="M222">
        <f t="shared" si="94"/>
        <v>19.132956392988216</v>
      </c>
      <c r="N222">
        <f t="shared" si="95"/>
        <v>1.8976813866501552</v>
      </c>
      <c r="O222">
        <f t="shared" si="96"/>
        <v>32.261450571251999</v>
      </c>
      <c r="P222">
        <f t="shared" si="97"/>
        <v>0.22555773455088007</v>
      </c>
      <c r="Q222">
        <f t="shared" si="98"/>
        <v>2.0123489628733173</v>
      </c>
      <c r="R222">
        <f t="shared" si="99"/>
        <v>0.21239459039854305</v>
      </c>
      <c r="S222">
        <f t="shared" si="100"/>
        <v>0.13386521613869481</v>
      </c>
      <c r="T222">
        <f t="shared" si="101"/>
        <v>276.11436454200003</v>
      </c>
      <c r="U222">
        <f t="shared" si="102"/>
        <v>28.48503383732189</v>
      </c>
      <c r="V222">
        <f t="shared" si="103"/>
        <v>28.48503383732189</v>
      </c>
      <c r="W222">
        <f t="shared" si="104"/>
        <v>3.9034745772850843</v>
      </c>
      <c r="X222">
        <f t="shared" si="105"/>
        <v>82.358510407951059</v>
      </c>
      <c r="Y222">
        <f t="shared" si="106"/>
        <v>2.9423798963371999</v>
      </c>
      <c r="Z222">
        <f t="shared" si="107"/>
        <v>3.5726482688462231</v>
      </c>
      <c r="AA222">
        <f t="shared" si="108"/>
        <v>0.96109468094788442</v>
      </c>
      <c r="AB222">
        <f t="shared" si="109"/>
        <v>-94.006877827553097</v>
      </c>
      <c r="AC222">
        <f t="shared" si="110"/>
        <v>-164.47414304906115</v>
      </c>
      <c r="AD222">
        <f t="shared" si="111"/>
        <v>-17.767472177498057</v>
      </c>
      <c r="AE222">
        <f t="shared" si="112"/>
        <v>-0.13412851211228372</v>
      </c>
      <c r="AF222">
        <v>32</v>
      </c>
      <c r="AG222">
        <v>11</v>
      </c>
      <c r="AH222">
        <f t="shared" si="113"/>
        <v>1</v>
      </c>
      <c r="AI222">
        <f t="shared" si="114"/>
        <v>0</v>
      </c>
      <c r="AJ222">
        <f t="shared" si="115"/>
        <v>52420.28956748436</v>
      </c>
      <c r="AK222">
        <f t="shared" si="116"/>
        <v>1800</v>
      </c>
      <c r="AL222">
        <f t="shared" si="117"/>
        <v>1499.1147791999999</v>
      </c>
      <c r="AM222">
        <f t="shared" si="118"/>
        <v>0.83284154399999999</v>
      </c>
      <c r="AN222">
        <f t="shared" si="119"/>
        <v>0.15339686919000001</v>
      </c>
      <c r="AO222">
        <v>34.5</v>
      </c>
      <c r="AP222">
        <v>0.5</v>
      </c>
      <c r="AQ222" t="s">
        <v>331</v>
      </c>
      <c r="AR222">
        <v>2</v>
      </c>
      <c r="AS222">
        <v>1690214466</v>
      </c>
      <c r="AT222">
        <v>325.26900000000001</v>
      </c>
      <c r="AU222">
        <v>799.98599999999999</v>
      </c>
      <c r="AV222">
        <v>29.665900000000001</v>
      </c>
      <c r="AW222">
        <v>5.8947200000000004</v>
      </c>
      <c r="AX222">
        <v>325.44499999999999</v>
      </c>
      <c r="AY222">
        <v>29.4742</v>
      </c>
      <c r="AZ222">
        <v>300.2</v>
      </c>
      <c r="BA222">
        <v>99.0839</v>
      </c>
      <c r="BB222">
        <v>0.100008</v>
      </c>
      <c r="BC222">
        <v>26.969000000000001</v>
      </c>
      <c r="BD222">
        <v>26.995200000000001</v>
      </c>
      <c r="BE222">
        <v>28.600100000000001</v>
      </c>
      <c r="BF222">
        <v>0</v>
      </c>
      <c r="BG222">
        <v>0</v>
      </c>
      <c r="BH222">
        <v>10004.4</v>
      </c>
      <c r="BI222">
        <v>1077.26</v>
      </c>
      <c r="BJ222">
        <v>2.0183800000000001</v>
      </c>
      <c r="BK222">
        <v>-474.71600000000001</v>
      </c>
      <c r="BL222">
        <v>335.214</v>
      </c>
      <c r="BM222">
        <v>804.73</v>
      </c>
      <c r="BN222">
        <v>23.771100000000001</v>
      </c>
      <c r="BO222">
        <v>799.98599999999999</v>
      </c>
      <c r="BP222">
        <v>5.8947200000000004</v>
      </c>
      <c r="BQ222">
        <v>2.9394100000000001</v>
      </c>
      <c r="BR222">
        <v>0.58407200000000004</v>
      </c>
      <c r="BS222">
        <v>23.688600000000001</v>
      </c>
      <c r="BT222">
        <v>-0.67824200000000001</v>
      </c>
      <c r="BU222">
        <v>1800</v>
      </c>
      <c r="BV222">
        <v>0.910022</v>
      </c>
      <c r="BW222">
        <v>3.3998100000000003E-2</v>
      </c>
      <c r="BX222">
        <v>2.1993700000000001E-2</v>
      </c>
      <c r="BY222">
        <v>3.3986500000000003E-2</v>
      </c>
      <c r="BZ222">
        <v>26</v>
      </c>
      <c r="CA222">
        <v>33528.5</v>
      </c>
      <c r="CB222">
        <v>1690211922</v>
      </c>
      <c r="CC222" t="s">
        <v>332</v>
      </c>
      <c r="CD222">
        <v>1690211915</v>
      </c>
      <c r="CE222">
        <v>1690211922</v>
      </c>
      <c r="CF222">
        <v>6</v>
      </c>
      <c r="CG222">
        <v>1.0999999999999999E-2</v>
      </c>
      <c r="CH222">
        <v>8.0000000000000002E-3</v>
      </c>
      <c r="CI222">
        <v>-0.51100000000000001</v>
      </c>
      <c r="CJ222">
        <v>-6.6000000000000003E-2</v>
      </c>
      <c r="CK222">
        <v>800</v>
      </c>
      <c r="CL222">
        <v>6</v>
      </c>
      <c r="CM222">
        <v>0.21</v>
      </c>
      <c r="CN222">
        <v>0.02</v>
      </c>
      <c r="CO222">
        <v>-474.30895121951221</v>
      </c>
      <c r="CP222">
        <v>-1.8259651567948589</v>
      </c>
      <c r="CQ222">
        <v>0.19553353542071181</v>
      </c>
      <c r="CR222">
        <v>-1</v>
      </c>
      <c r="CS222">
        <v>23.769851219512191</v>
      </c>
      <c r="CT222">
        <v>-2.7146341463374531E-2</v>
      </c>
      <c r="CU222">
        <v>2.956194154422863E-3</v>
      </c>
      <c r="CV222">
        <v>-1</v>
      </c>
      <c r="CW222">
        <v>0</v>
      </c>
      <c r="CX222">
        <v>0</v>
      </c>
      <c r="CY222" t="s">
        <v>333</v>
      </c>
      <c r="CZ222">
        <v>2.3645399999999999</v>
      </c>
      <c r="DA222">
        <v>2.7138</v>
      </c>
      <c r="DB222">
        <v>7.6154899999999998E-2</v>
      </c>
      <c r="DC222">
        <v>0.14607300000000001</v>
      </c>
      <c r="DD222">
        <v>0.13202800000000001</v>
      </c>
      <c r="DE222">
        <v>3.8880900000000003E-2</v>
      </c>
      <c r="DF222">
        <v>33716.699999999997</v>
      </c>
      <c r="DG222">
        <v>27499.200000000001</v>
      </c>
      <c r="DH222">
        <v>31156.799999999999</v>
      </c>
      <c r="DI222">
        <v>28061</v>
      </c>
      <c r="DJ222">
        <v>36697.4</v>
      </c>
      <c r="DK222">
        <v>38348.699999999997</v>
      </c>
      <c r="DL222">
        <v>44337.2</v>
      </c>
      <c r="DM222">
        <v>42525.1</v>
      </c>
      <c r="DN222">
        <v>1.3906499999999999</v>
      </c>
      <c r="DO222">
        <v>2.0340500000000001</v>
      </c>
      <c r="DP222">
        <v>8.1166600000000005E-2</v>
      </c>
      <c r="DQ222">
        <v>0.18667400000000001</v>
      </c>
      <c r="DR222">
        <v>25.666399999999999</v>
      </c>
      <c r="DS222">
        <v>25.547599999999999</v>
      </c>
      <c r="DT222">
        <v>17.5</v>
      </c>
      <c r="DU222">
        <v>29.7</v>
      </c>
      <c r="DV222">
        <v>7.3956999999999997</v>
      </c>
      <c r="DW222">
        <v>61.161200000000001</v>
      </c>
      <c r="DX222">
        <v>37.251600000000003</v>
      </c>
      <c r="DY222">
        <v>1</v>
      </c>
      <c r="DZ222">
        <v>-8.7060499999999999E-2</v>
      </c>
      <c r="EA222">
        <v>-0.27941199999999999</v>
      </c>
      <c r="EB222">
        <v>20.189299999999999</v>
      </c>
      <c r="EC222">
        <v>5.24125</v>
      </c>
      <c r="ED222">
        <v>12.039899999999999</v>
      </c>
      <c r="EE222">
        <v>5.0173500000000004</v>
      </c>
      <c r="EF222">
        <v>3.2879999999999998</v>
      </c>
      <c r="EG222">
        <v>9999</v>
      </c>
      <c r="EH222">
        <v>9999</v>
      </c>
      <c r="EI222">
        <v>9999</v>
      </c>
      <c r="EJ222">
        <v>999.9</v>
      </c>
      <c r="EK222">
        <v>1.8689100000000001</v>
      </c>
      <c r="EL222">
        <v>1.8646400000000001</v>
      </c>
      <c r="EM222">
        <v>1.8691800000000001</v>
      </c>
      <c r="EN222">
        <v>1.8672299999999999</v>
      </c>
      <c r="EO222">
        <v>1.8633999999999999</v>
      </c>
      <c r="EP222">
        <v>1.86456</v>
      </c>
      <c r="EQ222">
        <v>1.8701700000000001</v>
      </c>
      <c r="ER222">
        <v>1.8694299999999999</v>
      </c>
      <c r="ES222">
        <v>0</v>
      </c>
      <c r="ET222">
        <v>0</v>
      </c>
      <c r="EU222">
        <v>0</v>
      </c>
      <c r="EV222">
        <v>0</v>
      </c>
      <c r="EW222" t="s">
        <v>334</v>
      </c>
      <c r="EX222" t="s">
        <v>335</v>
      </c>
      <c r="EY222" t="s">
        <v>336</v>
      </c>
      <c r="EZ222" t="s">
        <v>336</v>
      </c>
      <c r="FA222" t="s">
        <v>336</v>
      </c>
      <c r="FB222" t="s">
        <v>336</v>
      </c>
      <c r="FC222">
        <v>0</v>
      </c>
      <c r="FD222">
        <v>100</v>
      </c>
      <c r="FE222">
        <v>100</v>
      </c>
      <c r="FF222">
        <v>-0.17599999999999999</v>
      </c>
      <c r="FG222">
        <v>0.19170000000000001</v>
      </c>
      <c r="FH222">
        <v>4.0020685143421282E-2</v>
      </c>
      <c r="FI222">
        <v>-6.1462078757559423E-4</v>
      </c>
      <c r="FJ222">
        <v>-1.8861989874597051E-7</v>
      </c>
      <c r="FK222">
        <v>1.1980462299894961E-10</v>
      </c>
      <c r="FL222">
        <v>0.19160597004026461</v>
      </c>
      <c r="FM222">
        <v>0</v>
      </c>
      <c r="FN222">
        <v>0</v>
      </c>
      <c r="FO222">
        <v>0</v>
      </c>
      <c r="FP222">
        <v>3</v>
      </c>
      <c r="FQ222">
        <v>2158</v>
      </c>
      <c r="FR222">
        <v>1</v>
      </c>
      <c r="FS222">
        <v>19</v>
      </c>
      <c r="FT222">
        <v>42.5</v>
      </c>
      <c r="FU222">
        <v>42.4</v>
      </c>
      <c r="FV222">
        <v>1.77979</v>
      </c>
      <c r="FW222">
        <v>2.5817899999999998</v>
      </c>
      <c r="FX222">
        <v>1.5490699999999999</v>
      </c>
      <c r="FY222">
        <v>2.3290999999999999</v>
      </c>
      <c r="FZ222">
        <v>1.50146</v>
      </c>
      <c r="GA222">
        <v>2.34619</v>
      </c>
      <c r="GB222">
        <v>33.850900000000003</v>
      </c>
      <c r="GC222">
        <v>23.982399999999998</v>
      </c>
      <c r="GD222">
        <v>19</v>
      </c>
      <c r="GE222">
        <v>248.346</v>
      </c>
      <c r="GF222">
        <v>581.92200000000003</v>
      </c>
      <c r="GG222">
        <v>25.526299999999999</v>
      </c>
      <c r="GH222">
        <v>26.295300000000001</v>
      </c>
      <c r="GI222">
        <v>30.0001</v>
      </c>
      <c r="GJ222">
        <v>26.4236</v>
      </c>
      <c r="GK222">
        <v>26.398599999999998</v>
      </c>
      <c r="GL222">
        <v>35.581499999999998</v>
      </c>
      <c r="GM222">
        <v>-30</v>
      </c>
      <c r="GN222">
        <v>-30</v>
      </c>
      <c r="GO222">
        <v>25.533200000000001</v>
      </c>
      <c r="GP222">
        <v>800</v>
      </c>
      <c r="GQ222">
        <v>12.5298</v>
      </c>
      <c r="GR222">
        <v>99.686000000000007</v>
      </c>
      <c r="GS222">
        <v>99.4863</v>
      </c>
    </row>
    <row r="223" spans="1:201" x14ac:dyDescent="0.25">
      <c r="A223">
        <v>207</v>
      </c>
      <c r="B223">
        <v>1690214476</v>
      </c>
      <c r="C223">
        <v>2208.5</v>
      </c>
      <c r="D223" t="s">
        <v>745</v>
      </c>
      <c r="E223" t="s">
        <v>746</v>
      </c>
      <c r="F223" t="s">
        <v>330</v>
      </c>
      <c r="H223">
        <v>1690214476</v>
      </c>
      <c r="I223">
        <f t="shared" si="90"/>
        <v>2.1323423276288084E-3</v>
      </c>
      <c r="J223">
        <f t="shared" si="91"/>
        <v>2.1323423276288085</v>
      </c>
      <c r="K223">
        <f t="shared" si="92"/>
        <v>40.631941345382295</v>
      </c>
      <c r="L223">
        <f t="shared" si="93"/>
        <v>325.07499999999999</v>
      </c>
      <c r="M223">
        <f t="shared" si="94"/>
        <v>19.300660779339037</v>
      </c>
      <c r="N223">
        <f t="shared" si="95"/>
        <v>1.9141666954010643</v>
      </c>
      <c r="O223">
        <f t="shared" si="96"/>
        <v>32.239711666950001</v>
      </c>
      <c r="P223">
        <f t="shared" si="97"/>
        <v>0.22595299143605455</v>
      </c>
      <c r="Q223">
        <f t="shared" si="98"/>
        <v>2.0108251190387594</v>
      </c>
      <c r="R223">
        <f t="shared" si="99"/>
        <v>0.21273574276766374</v>
      </c>
      <c r="S223">
        <f t="shared" si="100"/>
        <v>0.134082882327277</v>
      </c>
      <c r="T223">
        <f t="shared" si="101"/>
        <v>276.11436454200003</v>
      </c>
      <c r="U223">
        <f t="shared" si="102"/>
        <v>28.481632492795086</v>
      </c>
      <c r="V223">
        <f t="shared" si="103"/>
        <v>28.481632492795086</v>
      </c>
      <c r="W223">
        <f t="shared" si="104"/>
        <v>3.9027034206245044</v>
      </c>
      <c r="X223">
        <f t="shared" si="105"/>
        <v>82.394111459664501</v>
      </c>
      <c r="Y223">
        <f t="shared" si="106"/>
        <v>2.9429255774562</v>
      </c>
      <c r="Z223">
        <f t="shared" si="107"/>
        <v>3.5717668718314779</v>
      </c>
      <c r="AA223">
        <f t="shared" si="108"/>
        <v>0.95977784316830439</v>
      </c>
      <c r="AB223">
        <f t="shared" si="109"/>
        <v>-94.036296648430451</v>
      </c>
      <c r="AC223">
        <f t="shared" si="110"/>
        <v>-164.43617593661895</v>
      </c>
      <c r="AD223">
        <f t="shared" si="111"/>
        <v>-17.776158310183614</v>
      </c>
      <c r="AE223">
        <f t="shared" si="112"/>
        <v>-0.13426635323298797</v>
      </c>
      <c r="AF223">
        <v>32</v>
      </c>
      <c r="AG223">
        <v>11</v>
      </c>
      <c r="AH223">
        <f t="shared" si="113"/>
        <v>1</v>
      </c>
      <c r="AI223">
        <f t="shared" si="114"/>
        <v>0</v>
      </c>
      <c r="AJ223">
        <f t="shared" si="115"/>
        <v>52347.695689645232</v>
      </c>
      <c r="AK223">
        <f t="shared" si="116"/>
        <v>1800</v>
      </c>
      <c r="AL223">
        <f t="shared" si="117"/>
        <v>1499.1147791999999</v>
      </c>
      <c r="AM223">
        <f t="shared" si="118"/>
        <v>0.83284154399999999</v>
      </c>
      <c r="AN223">
        <f t="shared" si="119"/>
        <v>0.15339686919000001</v>
      </c>
      <c r="AO223">
        <v>34.5</v>
      </c>
      <c r="AP223">
        <v>0.5</v>
      </c>
      <c r="AQ223" t="s">
        <v>331</v>
      </c>
      <c r="AR223">
        <v>2</v>
      </c>
      <c r="AS223">
        <v>1690214476</v>
      </c>
      <c r="AT223">
        <v>325.07499999999999</v>
      </c>
      <c r="AU223">
        <v>800.01300000000003</v>
      </c>
      <c r="AV223">
        <v>29.6737</v>
      </c>
      <c r="AW223">
        <v>5.8944799999999997</v>
      </c>
      <c r="AX223">
        <v>325.25099999999998</v>
      </c>
      <c r="AY223">
        <v>29.482099999999999</v>
      </c>
      <c r="AZ223">
        <v>300.19</v>
      </c>
      <c r="BA223">
        <v>99.0762</v>
      </c>
      <c r="BB223">
        <v>0.100026</v>
      </c>
      <c r="BC223">
        <v>26.9648</v>
      </c>
      <c r="BD223">
        <v>27.003499999999999</v>
      </c>
      <c r="BE223">
        <v>28.600100000000001</v>
      </c>
      <c r="BF223">
        <v>0</v>
      </c>
      <c r="BG223">
        <v>0</v>
      </c>
      <c r="BH223">
        <v>9990.6200000000008</v>
      </c>
      <c r="BI223">
        <v>1077.25</v>
      </c>
      <c r="BJ223">
        <v>2.0183800000000001</v>
      </c>
      <c r="BK223">
        <v>-474.93799999999999</v>
      </c>
      <c r="BL223">
        <v>335.01600000000002</v>
      </c>
      <c r="BM223">
        <v>804.75599999999997</v>
      </c>
      <c r="BN223">
        <v>23.779199999999999</v>
      </c>
      <c r="BO223">
        <v>800.01300000000003</v>
      </c>
      <c r="BP223">
        <v>5.8944799999999997</v>
      </c>
      <c r="BQ223">
        <v>2.9399600000000001</v>
      </c>
      <c r="BR223">
        <v>0.58400200000000002</v>
      </c>
      <c r="BS223">
        <v>23.691700000000001</v>
      </c>
      <c r="BT223">
        <v>-0.67986800000000003</v>
      </c>
      <c r="BU223">
        <v>1800</v>
      </c>
      <c r="BV223">
        <v>0.910022</v>
      </c>
      <c r="BW223">
        <v>3.3998100000000003E-2</v>
      </c>
      <c r="BX223">
        <v>2.1993700000000001E-2</v>
      </c>
      <c r="BY223">
        <v>3.3986500000000003E-2</v>
      </c>
      <c r="BZ223">
        <v>26</v>
      </c>
      <c r="CA223">
        <v>33528.5</v>
      </c>
      <c r="CB223">
        <v>1690211922</v>
      </c>
      <c r="CC223" t="s">
        <v>332</v>
      </c>
      <c r="CD223">
        <v>1690211915</v>
      </c>
      <c r="CE223">
        <v>1690211922</v>
      </c>
      <c r="CF223">
        <v>6</v>
      </c>
      <c r="CG223">
        <v>1.0999999999999999E-2</v>
      </c>
      <c r="CH223">
        <v>8.0000000000000002E-3</v>
      </c>
      <c r="CI223">
        <v>-0.51100000000000001</v>
      </c>
      <c r="CJ223">
        <v>-6.6000000000000003E-2</v>
      </c>
      <c r="CK223">
        <v>800</v>
      </c>
      <c r="CL223">
        <v>6</v>
      </c>
      <c r="CM223">
        <v>0.21</v>
      </c>
      <c r="CN223">
        <v>0.02</v>
      </c>
      <c r="CO223">
        <v>-474.67592500000001</v>
      </c>
      <c r="CP223">
        <v>-2.1646041275796839</v>
      </c>
      <c r="CQ223">
        <v>0.21689252955092961</v>
      </c>
      <c r="CR223">
        <v>-1</v>
      </c>
      <c r="CS223">
        <v>23.771084999999999</v>
      </c>
      <c r="CT223">
        <v>4.0187617260754691E-2</v>
      </c>
      <c r="CU223">
        <v>4.1484665841731178E-3</v>
      </c>
      <c r="CV223">
        <v>-1</v>
      </c>
      <c r="CW223">
        <v>0</v>
      </c>
      <c r="CX223">
        <v>0</v>
      </c>
      <c r="CY223" t="s">
        <v>333</v>
      </c>
      <c r="CZ223">
        <v>2.3644799999999999</v>
      </c>
      <c r="DA223">
        <v>2.7138100000000001</v>
      </c>
      <c r="DB223">
        <v>7.6112799999999994E-2</v>
      </c>
      <c r="DC223">
        <v>0.146065</v>
      </c>
      <c r="DD223">
        <v>0.13204199999999999</v>
      </c>
      <c r="DE223">
        <v>3.88767E-2</v>
      </c>
      <c r="DF223">
        <v>33718</v>
      </c>
      <c r="DG223">
        <v>27499.4</v>
      </c>
      <c r="DH223">
        <v>31156.6</v>
      </c>
      <c r="DI223">
        <v>28061</v>
      </c>
      <c r="DJ223">
        <v>36696.400000000001</v>
      </c>
      <c r="DK223">
        <v>38348.6</v>
      </c>
      <c r="DL223">
        <v>44336.6</v>
      </c>
      <c r="DM223">
        <v>42524.800000000003</v>
      </c>
      <c r="DN223">
        <v>1.3900300000000001</v>
      </c>
      <c r="DO223">
        <v>2.03417</v>
      </c>
      <c r="DP223">
        <v>8.1673300000000004E-2</v>
      </c>
      <c r="DQ223">
        <v>0.186726</v>
      </c>
      <c r="DR223">
        <v>25.666399999999999</v>
      </c>
      <c r="DS223">
        <v>25.546800000000001</v>
      </c>
      <c r="DT223">
        <v>17.5</v>
      </c>
      <c r="DU223">
        <v>29.7</v>
      </c>
      <c r="DV223">
        <v>7.3970700000000003</v>
      </c>
      <c r="DW223">
        <v>61.331200000000003</v>
      </c>
      <c r="DX223">
        <v>37.067300000000003</v>
      </c>
      <c r="DY223">
        <v>1</v>
      </c>
      <c r="DZ223">
        <v>-8.7393299999999993E-2</v>
      </c>
      <c r="EA223">
        <v>-0.269899</v>
      </c>
      <c r="EB223">
        <v>20.189399999999999</v>
      </c>
      <c r="EC223">
        <v>5.2409499999999998</v>
      </c>
      <c r="ED223">
        <v>12.039899999999999</v>
      </c>
      <c r="EE223">
        <v>5.01675</v>
      </c>
      <c r="EF223">
        <v>3.2879999999999998</v>
      </c>
      <c r="EG223">
        <v>9999</v>
      </c>
      <c r="EH223">
        <v>9999</v>
      </c>
      <c r="EI223">
        <v>9999</v>
      </c>
      <c r="EJ223">
        <v>999.9</v>
      </c>
      <c r="EK223">
        <v>1.8689100000000001</v>
      </c>
      <c r="EL223">
        <v>1.8646400000000001</v>
      </c>
      <c r="EM223">
        <v>1.86917</v>
      </c>
      <c r="EN223">
        <v>1.8672299999999999</v>
      </c>
      <c r="EO223">
        <v>1.8633999999999999</v>
      </c>
      <c r="EP223">
        <v>1.86456</v>
      </c>
      <c r="EQ223">
        <v>1.8701700000000001</v>
      </c>
      <c r="ER223">
        <v>1.86944</v>
      </c>
      <c r="ES223">
        <v>0</v>
      </c>
      <c r="ET223">
        <v>0</v>
      </c>
      <c r="EU223">
        <v>0</v>
      </c>
      <c r="EV223">
        <v>0</v>
      </c>
      <c r="EW223" t="s">
        <v>334</v>
      </c>
      <c r="EX223" t="s">
        <v>335</v>
      </c>
      <c r="EY223" t="s">
        <v>336</v>
      </c>
      <c r="EZ223" t="s">
        <v>336</v>
      </c>
      <c r="FA223" t="s">
        <v>336</v>
      </c>
      <c r="FB223" t="s">
        <v>336</v>
      </c>
      <c r="FC223">
        <v>0</v>
      </c>
      <c r="FD223">
        <v>100</v>
      </c>
      <c r="FE223">
        <v>100</v>
      </c>
      <c r="FF223">
        <v>-0.17599999999999999</v>
      </c>
      <c r="FG223">
        <v>0.19159999999999999</v>
      </c>
      <c r="FH223">
        <v>4.0020685143421282E-2</v>
      </c>
      <c r="FI223">
        <v>-6.1462078757559423E-4</v>
      </c>
      <c r="FJ223">
        <v>-1.8861989874597051E-7</v>
      </c>
      <c r="FK223">
        <v>1.1980462299894961E-10</v>
      </c>
      <c r="FL223">
        <v>0.19160597004026461</v>
      </c>
      <c r="FM223">
        <v>0</v>
      </c>
      <c r="FN223">
        <v>0</v>
      </c>
      <c r="FO223">
        <v>0</v>
      </c>
      <c r="FP223">
        <v>3</v>
      </c>
      <c r="FQ223">
        <v>2158</v>
      </c>
      <c r="FR223">
        <v>1</v>
      </c>
      <c r="FS223">
        <v>19</v>
      </c>
      <c r="FT223">
        <v>42.7</v>
      </c>
      <c r="FU223">
        <v>42.6</v>
      </c>
      <c r="FV223">
        <v>1.77979</v>
      </c>
      <c r="FW223">
        <v>2.5842299999999998</v>
      </c>
      <c r="FX223">
        <v>1.5490699999999999</v>
      </c>
      <c r="FY223">
        <v>2.3290999999999999</v>
      </c>
      <c r="FZ223">
        <v>1.50146</v>
      </c>
      <c r="GA223">
        <v>2.3168899999999999</v>
      </c>
      <c r="GB223">
        <v>33.850900000000003</v>
      </c>
      <c r="GC223">
        <v>23.982399999999998</v>
      </c>
      <c r="GD223">
        <v>19</v>
      </c>
      <c r="GE223">
        <v>248.10300000000001</v>
      </c>
      <c r="GF223">
        <v>582.02499999999998</v>
      </c>
      <c r="GG223">
        <v>25.537199999999999</v>
      </c>
      <c r="GH223">
        <v>26.295300000000001</v>
      </c>
      <c r="GI223">
        <v>30.0001</v>
      </c>
      <c r="GJ223">
        <v>26.4236</v>
      </c>
      <c r="GK223">
        <v>26.398599999999998</v>
      </c>
      <c r="GL223">
        <v>35.5794</v>
      </c>
      <c r="GM223">
        <v>-30</v>
      </c>
      <c r="GN223">
        <v>-30</v>
      </c>
      <c r="GO223">
        <v>25.5365</v>
      </c>
      <c r="GP223">
        <v>800</v>
      </c>
      <c r="GQ223">
        <v>12.5298</v>
      </c>
      <c r="GR223">
        <v>99.684899999999999</v>
      </c>
      <c r="GS223">
        <v>99.485799999999998</v>
      </c>
    </row>
    <row r="224" spans="1:201" x14ac:dyDescent="0.25">
      <c r="A224">
        <v>208</v>
      </c>
      <c r="B224">
        <v>1690214486</v>
      </c>
      <c r="C224">
        <v>2218.5</v>
      </c>
      <c r="D224" t="s">
        <v>747</v>
      </c>
      <c r="E224" t="s">
        <v>748</v>
      </c>
      <c r="F224" t="s">
        <v>330</v>
      </c>
      <c r="H224">
        <v>1690214486</v>
      </c>
      <c r="I224">
        <f t="shared" si="90"/>
        <v>2.132579705251882E-3</v>
      </c>
      <c r="J224">
        <f t="shared" si="91"/>
        <v>2.132579705251882</v>
      </c>
      <c r="K224">
        <f t="shared" si="92"/>
        <v>40.644114821821404</v>
      </c>
      <c r="L224">
        <f t="shared" si="93"/>
        <v>324.85300000000001</v>
      </c>
      <c r="M224">
        <f t="shared" si="94"/>
        <v>18.737435180894199</v>
      </c>
      <c r="N224">
        <f t="shared" si="95"/>
        <v>1.8582742850902123</v>
      </c>
      <c r="O224">
        <f t="shared" si="96"/>
        <v>32.217108185112998</v>
      </c>
      <c r="P224">
        <f t="shared" si="97"/>
        <v>0.22572170233044814</v>
      </c>
      <c r="Q224">
        <f t="shared" si="98"/>
        <v>2.0162264080648562</v>
      </c>
      <c r="R224">
        <f t="shared" si="99"/>
        <v>0.21256377763763334</v>
      </c>
      <c r="S224">
        <f t="shared" si="100"/>
        <v>0.13397058669835565</v>
      </c>
      <c r="T224">
        <f t="shared" si="101"/>
        <v>276.11438328000003</v>
      </c>
      <c r="U224">
        <f t="shared" si="102"/>
        <v>28.48736106117542</v>
      </c>
      <c r="V224">
        <f t="shared" si="103"/>
        <v>28.48736106117542</v>
      </c>
      <c r="W224">
        <f t="shared" si="104"/>
        <v>3.9040022846711953</v>
      </c>
      <c r="X224">
        <f t="shared" si="105"/>
        <v>82.360517970664617</v>
      </c>
      <c r="Y224">
        <f t="shared" si="106"/>
        <v>2.9433678885326997</v>
      </c>
      <c r="Z224">
        <f t="shared" si="107"/>
        <v>3.5737607788978161</v>
      </c>
      <c r="AA224">
        <f t="shared" si="108"/>
        <v>0.96063439613849555</v>
      </c>
      <c r="AB224">
        <f t="shared" si="109"/>
        <v>-94.046765001607994</v>
      </c>
      <c r="AC224">
        <f t="shared" si="110"/>
        <v>-164.46791881921899</v>
      </c>
      <c r="AD224">
        <f t="shared" si="111"/>
        <v>-17.733306295665091</v>
      </c>
      <c r="AE224">
        <f t="shared" si="112"/>
        <v>-0.1336068364920493</v>
      </c>
      <c r="AF224">
        <v>32</v>
      </c>
      <c r="AG224">
        <v>11</v>
      </c>
      <c r="AH224">
        <f t="shared" si="113"/>
        <v>1</v>
      </c>
      <c r="AI224">
        <f t="shared" si="114"/>
        <v>0</v>
      </c>
      <c r="AJ224">
        <f t="shared" si="115"/>
        <v>52605.662146926166</v>
      </c>
      <c r="AK224">
        <f t="shared" si="116"/>
        <v>1800</v>
      </c>
      <c r="AL224">
        <f t="shared" si="117"/>
        <v>1499.1151950000001</v>
      </c>
      <c r="AM224">
        <f t="shared" si="118"/>
        <v>0.83284177500000001</v>
      </c>
      <c r="AN224">
        <f t="shared" si="119"/>
        <v>0.15339687960000001</v>
      </c>
      <c r="AO224">
        <v>34.5</v>
      </c>
      <c r="AP224">
        <v>0.5</v>
      </c>
      <c r="AQ224" t="s">
        <v>331</v>
      </c>
      <c r="AR224">
        <v>2</v>
      </c>
      <c r="AS224">
        <v>1690214486</v>
      </c>
      <c r="AT224">
        <v>324.85300000000001</v>
      </c>
      <c r="AU224">
        <v>799.97699999999998</v>
      </c>
      <c r="AV224">
        <v>29.678699999999999</v>
      </c>
      <c r="AW224">
        <v>5.8944200000000002</v>
      </c>
      <c r="AX224">
        <v>325.029</v>
      </c>
      <c r="AY224">
        <v>29.486999999999998</v>
      </c>
      <c r="AZ224">
        <v>300.15800000000002</v>
      </c>
      <c r="BA224">
        <v>99.074399999999997</v>
      </c>
      <c r="BB224">
        <v>0.100021</v>
      </c>
      <c r="BC224">
        <v>26.974299999999999</v>
      </c>
      <c r="BD224">
        <v>27.011500000000002</v>
      </c>
      <c r="BE224">
        <v>28.599299999999999</v>
      </c>
      <c r="BF224">
        <v>0</v>
      </c>
      <c r="BG224">
        <v>0</v>
      </c>
      <c r="BH224">
        <v>10042.5</v>
      </c>
      <c r="BI224">
        <v>1077.24</v>
      </c>
      <c r="BJ224">
        <v>2.0183800000000001</v>
      </c>
      <c r="BK224">
        <v>-475.12400000000002</v>
      </c>
      <c r="BL224">
        <v>334.78899999999999</v>
      </c>
      <c r="BM224">
        <v>804.72</v>
      </c>
      <c r="BN224">
        <v>23.784199999999998</v>
      </c>
      <c r="BO224">
        <v>799.97699999999998</v>
      </c>
      <c r="BP224">
        <v>5.8944200000000002</v>
      </c>
      <c r="BQ224">
        <v>2.9403899999999998</v>
      </c>
      <c r="BR224">
        <v>0.58398600000000001</v>
      </c>
      <c r="BS224">
        <v>23.694199999999999</v>
      </c>
      <c r="BT224">
        <v>-0.68024799999999996</v>
      </c>
      <c r="BU224">
        <v>1800</v>
      </c>
      <c r="BV224">
        <v>0.91002300000000003</v>
      </c>
      <c r="BW224">
        <v>3.3997800000000002E-2</v>
      </c>
      <c r="BX224">
        <v>2.1993499999999999E-2</v>
      </c>
      <c r="BY224">
        <v>3.3986200000000001E-2</v>
      </c>
      <c r="BZ224">
        <v>26</v>
      </c>
      <c r="CA224">
        <v>33528.5</v>
      </c>
      <c r="CB224">
        <v>1690211922</v>
      </c>
      <c r="CC224" t="s">
        <v>332</v>
      </c>
      <c r="CD224">
        <v>1690211915</v>
      </c>
      <c r="CE224">
        <v>1690211922</v>
      </c>
      <c r="CF224">
        <v>6</v>
      </c>
      <c r="CG224">
        <v>1.0999999999999999E-2</v>
      </c>
      <c r="CH224">
        <v>8.0000000000000002E-3</v>
      </c>
      <c r="CI224">
        <v>-0.51100000000000001</v>
      </c>
      <c r="CJ224">
        <v>-6.6000000000000003E-2</v>
      </c>
      <c r="CK224">
        <v>800</v>
      </c>
      <c r="CL224">
        <v>6</v>
      </c>
      <c r="CM224">
        <v>0.21</v>
      </c>
      <c r="CN224">
        <v>0.02</v>
      </c>
      <c r="CO224">
        <v>-474.89756097560968</v>
      </c>
      <c r="CP224">
        <v>-0.85141463414667096</v>
      </c>
      <c r="CQ224">
        <v>0.1003467278697739</v>
      </c>
      <c r="CR224">
        <v>-1</v>
      </c>
      <c r="CS224">
        <v>23.77807073170732</v>
      </c>
      <c r="CT224">
        <v>4.7124041811858267E-2</v>
      </c>
      <c r="CU224">
        <v>4.6815800909021108E-3</v>
      </c>
      <c r="CV224">
        <v>-1</v>
      </c>
      <c r="CW224">
        <v>0</v>
      </c>
      <c r="CX224">
        <v>0</v>
      </c>
      <c r="CY224" t="s">
        <v>333</v>
      </c>
      <c r="CZ224">
        <v>2.3644099999999999</v>
      </c>
      <c r="DA224">
        <v>2.7138499999999999</v>
      </c>
      <c r="DB224">
        <v>7.6069899999999996E-2</v>
      </c>
      <c r="DC224">
        <v>0.14605799999999999</v>
      </c>
      <c r="DD224">
        <v>0.13205500000000001</v>
      </c>
      <c r="DE224">
        <v>3.8875699999999999E-2</v>
      </c>
      <c r="DF224">
        <v>33719.5</v>
      </c>
      <c r="DG224">
        <v>27499.8</v>
      </c>
      <c r="DH224">
        <v>31156.5</v>
      </c>
      <c r="DI224">
        <v>28061.1</v>
      </c>
      <c r="DJ224">
        <v>36695.800000000003</v>
      </c>
      <c r="DK224">
        <v>38349</v>
      </c>
      <c r="DL224">
        <v>44336.5</v>
      </c>
      <c r="DM224">
        <v>42525.2</v>
      </c>
      <c r="DN224">
        <v>1.39025</v>
      </c>
      <c r="DO224">
        <v>2.0341</v>
      </c>
      <c r="DP224">
        <v>8.19415E-2</v>
      </c>
      <c r="DQ224">
        <v>0.18662200000000001</v>
      </c>
      <c r="DR224">
        <v>25.67</v>
      </c>
      <c r="DS224">
        <v>25.547599999999999</v>
      </c>
      <c r="DT224">
        <v>17.5</v>
      </c>
      <c r="DU224">
        <v>29.7</v>
      </c>
      <c r="DV224">
        <v>7.3967700000000001</v>
      </c>
      <c r="DW224">
        <v>61.2012</v>
      </c>
      <c r="DX224">
        <v>36.899000000000001</v>
      </c>
      <c r="DY224">
        <v>1</v>
      </c>
      <c r="DZ224">
        <v>-8.7037600000000007E-2</v>
      </c>
      <c r="EA224">
        <v>-0.25234699999999999</v>
      </c>
      <c r="EB224">
        <v>20.1892</v>
      </c>
      <c r="EC224">
        <v>5.2409499999999998</v>
      </c>
      <c r="ED224">
        <v>12.039899999999999</v>
      </c>
      <c r="EE224">
        <v>5.0171999999999999</v>
      </c>
      <c r="EF224">
        <v>3.2879999999999998</v>
      </c>
      <c r="EG224">
        <v>9999</v>
      </c>
      <c r="EH224">
        <v>9999</v>
      </c>
      <c r="EI224">
        <v>9999</v>
      </c>
      <c r="EJ224">
        <v>999.9</v>
      </c>
      <c r="EK224">
        <v>1.8689199999999999</v>
      </c>
      <c r="EL224">
        <v>1.8646499999999999</v>
      </c>
      <c r="EM224">
        <v>1.8692</v>
      </c>
      <c r="EN224">
        <v>1.8672299999999999</v>
      </c>
      <c r="EO224">
        <v>1.8633999999999999</v>
      </c>
      <c r="EP224">
        <v>1.8645499999999999</v>
      </c>
      <c r="EQ224">
        <v>1.87019</v>
      </c>
      <c r="ER224">
        <v>1.8694299999999999</v>
      </c>
      <c r="ES224">
        <v>0</v>
      </c>
      <c r="ET224">
        <v>0</v>
      </c>
      <c r="EU224">
        <v>0</v>
      </c>
      <c r="EV224">
        <v>0</v>
      </c>
      <c r="EW224" t="s">
        <v>334</v>
      </c>
      <c r="EX224" t="s">
        <v>335</v>
      </c>
      <c r="EY224" t="s">
        <v>336</v>
      </c>
      <c r="EZ224" t="s">
        <v>336</v>
      </c>
      <c r="FA224" t="s">
        <v>336</v>
      </c>
      <c r="FB224" t="s">
        <v>336</v>
      </c>
      <c r="FC224">
        <v>0</v>
      </c>
      <c r="FD224">
        <v>100</v>
      </c>
      <c r="FE224">
        <v>100</v>
      </c>
      <c r="FF224">
        <v>-0.17599999999999999</v>
      </c>
      <c r="FG224">
        <v>0.19170000000000001</v>
      </c>
      <c r="FH224">
        <v>4.0020685143421282E-2</v>
      </c>
      <c r="FI224">
        <v>-6.1462078757559423E-4</v>
      </c>
      <c r="FJ224">
        <v>-1.8861989874597051E-7</v>
      </c>
      <c r="FK224">
        <v>1.1980462299894961E-10</v>
      </c>
      <c r="FL224">
        <v>0.19160597004026461</v>
      </c>
      <c r="FM224">
        <v>0</v>
      </c>
      <c r="FN224">
        <v>0</v>
      </c>
      <c r="FO224">
        <v>0</v>
      </c>
      <c r="FP224">
        <v>3</v>
      </c>
      <c r="FQ224">
        <v>2158</v>
      </c>
      <c r="FR224">
        <v>1</v>
      </c>
      <c r="FS224">
        <v>19</v>
      </c>
      <c r="FT224">
        <v>42.9</v>
      </c>
      <c r="FU224">
        <v>42.7</v>
      </c>
      <c r="FV224">
        <v>1.77979</v>
      </c>
      <c r="FW224">
        <v>2.5830099999999998</v>
      </c>
      <c r="FX224">
        <v>1.5490699999999999</v>
      </c>
      <c r="FY224">
        <v>2.3303199999999999</v>
      </c>
      <c r="FZ224">
        <v>1.50146</v>
      </c>
      <c r="GA224">
        <v>2.31934</v>
      </c>
      <c r="GB224">
        <v>33.850900000000003</v>
      </c>
      <c r="GC224">
        <v>23.982399999999998</v>
      </c>
      <c r="GD224">
        <v>19</v>
      </c>
      <c r="GE224">
        <v>248.19200000000001</v>
      </c>
      <c r="GF224">
        <v>581.96400000000006</v>
      </c>
      <c r="GG224">
        <v>25.532299999999999</v>
      </c>
      <c r="GH224">
        <v>26.295300000000001</v>
      </c>
      <c r="GI224">
        <v>30.0001</v>
      </c>
      <c r="GJ224">
        <v>26.4236</v>
      </c>
      <c r="GK224">
        <v>26.398599999999998</v>
      </c>
      <c r="GL224">
        <v>35.580199999999998</v>
      </c>
      <c r="GM224">
        <v>-30</v>
      </c>
      <c r="GN224">
        <v>-30</v>
      </c>
      <c r="GO224">
        <v>25.532800000000002</v>
      </c>
      <c r="GP224">
        <v>800</v>
      </c>
      <c r="GQ224">
        <v>12.5298</v>
      </c>
      <c r="GR224">
        <v>99.684700000000007</v>
      </c>
      <c r="GS224">
        <v>99.486599999999996</v>
      </c>
    </row>
    <row r="225" spans="1:201" x14ac:dyDescent="0.25">
      <c r="A225">
        <v>209</v>
      </c>
      <c r="B225">
        <v>1690214496</v>
      </c>
      <c r="C225">
        <v>2228.5</v>
      </c>
      <c r="D225" t="s">
        <v>749</v>
      </c>
      <c r="E225" t="s">
        <v>750</v>
      </c>
      <c r="F225" t="s">
        <v>330</v>
      </c>
      <c r="H225">
        <v>1690214496</v>
      </c>
      <c r="I225">
        <f t="shared" si="90"/>
        <v>2.1332302360904973E-3</v>
      </c>
      <c r="J225">
        <f t="shared" si="91"/>
        <v>2.1332302360904971</v>
      </c>
      <c r="K225">
        <f t="shared" si="92"/>
        <v>40.682905698869895</v>
      </c>
      <c r="L225">
        <f t="shared" si="93"/>
        <v>324.53699999999998</v>
      </c>
      <c r="M225">
        <f t="shared" si="94"/>
        <v>18.220097040276919</v>
      </c>
      <c r="N225">
        <f t="shared" si="95"/>
        <v>1.8069692690023018</v>
      </c>
      <c r="O225">
        <f t="shared" si="96"/>
        <v>32.185799250018</v>
      </c>
      <c r="P225">
        <f t="shared" si="97"/>
        <v>0.22579489285123605</v>
      </c>
      <c r="Q225">
        <f t="shared" si="98"/>
        <v>2.0146632597412868</v>
      </c>
      <c r="R225">
        <f t="shared" si="99"/>
        <v>0.21261912525596788</v>
      </c>
      <c r="S225">
        <f t="shared" si="100"/>
        <v>0.13400662909479644</v>
      </c>
      <c r="T225">
        <f t="shared" si="101"/>
        <v>276.11428523400002</v>
      </c>
      <c r="U225">
        <f t="shared" si="102"/>
        <v>28.489080748359513</v>
      </c>
      <c r="V225">
        <f t="shared" si="103"/>
        <v>28.489080748359513</v>
      </c>
      <c r="W225">
        <f t="shared" si="104"/>
        <v>3.9043922706470013</v>
      </c>
      <c r="X225">
        <f t="shared" si="105"/>
        <v>82.365953226926095</v>
      </c>
      <c r="Y225">
        <f t="shared" si="106"/>
        <v>2.9437177594508004</v>
      </c>
      <c r="Z225">
        <f t="shared" si="107"/>
        <v>3.5739497257326409</v>
      </c>
      <c r="AA225">
        <f t="shared" si="108"/>
        <v>0.96067451119620095</v>
      </c>
      <c r="AB225">
        <f t="shared" si="109"/>
        <v>-94.075453411590928</v>
      </c>
      <c r="AC225">
        <f t="shared" si="110"/>
        <v>-164.42943938762107</v>
      </c>
      <c r="AD225">
        <f t="shared" si="111"/>
        <v>-17.743145115769607</v>
      </c>
      <c r="AE225">
        <f t="shared" si="112"/>
        <v>-0.13375268098158699</v>
      </c>
      <c r="AF225">
        <v>32</v>
      </c>
      <c r="AG225">
        <v>11</v>
      </c>
      <c r="AH225">
        <f t="shared" si="113"/>
        <v>1</v>
      </c>
      <c r="AI225">
        <f t="shared" si="114"/>
        <v>0</v>
      </c>
      <c r="AJ225">
        <f t="shared" si="115"/>
        <v>52530.258291600185</v>
      </c>
      <c r="AK225">
        <f t="shared" si="116"/>
        <v>1800</v>
      </c>
      <c r="AL225">
        <f t="shared" si="117"/>
        <v>1499.1147774000001</v>
      </c>
      <c r="AM225">
        <f t="shared" si="118"/>
        <v>0.83284154300000002</v>
      </c>
      <c r="AN225">
        <f t="shared" si="119"/>
        <v>0.15339682513000003</v>
      </c>
      <c r="AO225">
        <v>34.5</v>
      </c>
      <c r="AP225">
        <v>0.5</v>
      </c>
      <c r="AQ225" t="s">
        <v>331</v>
      </c>
      <c r="AR225">
        <v>2</v>
      </c>
      <c r="AS225">
        <v>1690214496</v>
      </c>
      <c r="AT225">
        <v>324.53699999999998</v>
      </c>
      <c r="AU225">
        <v>800.01599999999996</v>
      </c>
      <c r="AV225">
        <v>29.682200000000002</v>
      </c>
      <c r="AW225">
        <v>5.8950300000000002</v>
      </c>
      <c r="AX225">
        <v>324.71199999999999</v>
      </c>
      <c r="AY225">
        <v>29.490600000000001</v>
      </c>
      <c r="AZ225">
        <v>300.21199999999999</v>
      </c>
      <c r="BA225">
        <v>99.0745</v>
      </c>
      <c r="BB225">
        <v>0.10001400000000001</v>
      </c>
      <c r="BC225">
        <v>26.975200000000001</v>
      </c>
      <c r="BD225">
        <v>27.0093</v>
      </c>
      <c r="BE225">
        <v>28.590199999999999</v>
      </c>
      <c r="BF225">
        <v>0</v>
      </c>
      <c r="BG225">
        <v>0</v>
      </c>
      <c r="BH225">
        <v>10027.5</v>
      </c>
      <c r="BI225">
        <v>1077.23</v>
      </c>
      <c r="BJ225">
        <v>2.0183800000000001</v>
      </c>
      <c r="BK225">
        <v>-475.48</v>
      </c>
      <c r="BL225">
        <v>334.464</v>
      </c>
      <c r="BM225">
        <v>804.76</v>
      </c>
      <c r="BN225">
        <v>23.787099999999999</v>
      </c>
      <c r="BO225">
        <v>800.01599999999996</v>
      </c>
      <c r="BP225">
        <v>5.8950300000000002</v>
      </c>
      <c r="BQ225">
        <v>2.9407399999999999</v>
      </c>
      <c r="BR225">
        <v>0.58404699999999998</v>
      </c>
      <c r="BS225">
        <v>23.696200000000001</v>
      </c>
      <c r="BT225">
        <v>-0.67881899999999995</v>
      </c>
      <c r="BU225">
        <v>1800</v>
      </c>
      <c r="BV225">
        <v>0.91002300000000003</v>
      </c>
      <c r="BW225">
        <v>3.3997699999999999E-2</v>
      </c>
      <c r="BX225">
        <v>2.19934E-2</v>
      </c>
      <c r="BY225">
        <v>3.3986099999999998E-2</v>
      </c>
      <c r="BZ225">
        <v>26</v>
      </c>
      <c r="CA225">
        <v>33528.6</v>
      </c>
      <c r="CB225">
        <v>1690211922</v>
      </c>
      <c r="CC225" t="s">
        <v>332</v>
      </c>
      <c r="CD225">
        <v>1690211915</v>
      </c>
      <c r="CE225">
        <v>1690211922</v>
      </c>
      <c r="CF225">
        <v>6</v>
      </c>
      <c r="CG225">
        <v>1.0999999999999999E-2</v>
      </c>
      <c r="CH225">
        <v>8.0000000000000002E-3</v>
      </c>
      <c r="CI225">
        <v>-0.51100000000000001</v>
      </c>
      <c r="CJ225">
        <v>-6.6000000000000003E-2</v>
      </c>
      <c r="CK225">
        <v>800</v>
      </c>
      <c r="CL225">
        <v>6</v>
      </c>
      <c r="CM225">
        <v>0.21</v>
      </c>
      <c r="CN225">
        <v>0.02</v>
      </c>
      <c r="CO225">
        <v>-475.09534999999988</v>
      </c>
      <c r="CP225">
        <v>-1.647489681049803</v>
      </c>
      <c r="CQ225">
        <v>0.16695621431980251</v>
      </c>
      <c r="CR225">
        <v>-1</v>
      </c>
      <c r="CS225">
        <v>23.783862500000001</v>
      </c>
      <c r="CT225">
        <v>1.7618386491517819E-2</v>
      </c>
      <c r="CU225">
        <v>2.063090824467248E-3</v>
      </c>
      <c r="CV225">
        <v>-1</v>
      </c>
      <c r="CW225">
        <v>0</v>
      </c>
      <c r="CX225">
        <v>0</v>
      </c>
      <c r="CY225" t="s">
        <v>333</v>
      </c>
      <c r="CZ225">
        <v>2.3645800000000001</v>
      </c>
      <c r="DA225">
        <v>2.7138300000000002</v>
      </c>
      <c r="DB225">
        <v>7.60107E-2</v>
      </c>
      <c r="DC225">
        <v>0.146063</v>
      </c>
      <c r="DD225">
        <v>0.13206599999999999</v>
      </c>
      <c r="DE225">
        <v>3.8878999999999997E-2</v>
      </c>
      <c r="DF225">
        <v>33721.9</v>
      </c>
      <c r="DG225">
        <v>27499.9</v>
      </c>
      <c r="DH225">
        <v>31156.7</v>
      </c>
      <c r="DI225">
        <v>28061.4</v>
      </c>
      <c r="DJ225">
        <v>36695.699999999997</v>
      </c>
      <c r="DK225">
        <v>38349.4</v>
      </c>
      <c r="DL225">
        <v>44337.1</v>
      </c>
      <c r="DM225">
        <v>42525.8</v>
      </c>
      <c r="DN225">
        <v>1.3906700000000001</v>
      </c>
      <c r="DO225">
        <v>2.0341200000000002</v>
      </c>
      <c r="DP225">
        <v>8.1762699999999994E-2</v>
      </c>
      <c r="DQ225">
        <v>0.18592900000000001</v>
      </c>
      <c r="DR225">
        <v>25.6707</v>
      </c>
      <c r="DS225">
        <v>25.549800000000001</v>
      </c>
      <c r="DT225">
        <v>17.5</v>
      </c>
      <c r="DU225">
        <v>29.7</v>
      </c>
      <c r="DV225">
        <v>7.3967299999999998</v>
      </c>
      <c r="DW225">
        <v>61.311199999999999</v>
      </c>
      <c r="DX225">
        <v>36.514400000000002</v>
      </c>
      <c r="DY225">
        <v>1</v>
      </c>
      <c r="DZ225">
        <v>-8.7037600000000007E-2</v>
      </c>
      <c r="EA225">
        <v>-0.23935200000000001</v>
      </c>
      <c r="EB225">
        <v>20.1892</v>
      </c>
      <c r="EC225">
        <v>5.2413999999999996</v>
      </c>
      <c r="ED225">
        <v>12.039899999999999</v>
      </c>
      <c r="EE225">
        <v>5.0173500000000004</v>
      </c>
      <c r="EF225">
        <v>3.2879999999999998</v>
      </c>
      <c r="EG225">
        <v>9999</v>
      </c>
      <c r="EH225">
        <v>9999</v>
      </c>
      <c r="EI225">
        <v>9999</v>
      </c>
      <c r="EJ225">
        <v>999.9</v>
      </c>
      <c r="EK225">
        <v>1.8689100000000001</v>
      </c>
      <c r="EL225">
        <v>1.8646400000000001</v>
      </c>
      <c r="EM225">
        <v>1.86917</v>
      </c>
      <c r="EN225">
        <v>1.86724</v>
      </c>
      <c r="EO225">
        <v>1.8633999999999999</v>
      </c>
      <c r="EP225">
        <v>1.86459</v>
      </c>
      <c r="EQ225">
        <v>1.8701700000000001</v>
      </c>
      <c r="ER225">
        <v>1.86944</v>
      </c>
      <c r="ES225">
        <v>0</v>
      </c>
      <c r="ET225">
        <v>0</v>
      </c>
      <c r="EU225">
        <v>0</v>
      </c>
      <c r="EV225">
        <v>0</v>
      </c>
      <c r="EW225" t="s">
        <v>334</v>
      </c>
      <c r="EX225" t="s">
        <v>335</v>
      </c>
      <c r="EY225" t="s">
        <v>336</v>
      </c>
      <c r="EZ225" t="s">
        <v>336</v>
      </c>
      <c r="FA225" t="s">
        <v>336</v>
      </c>
      <c r="FB225" t="s">
        <v>336</v>
      </c>
      <c r="FC225">
        <v>0</v>
      </c>
      <c r="FD225">
        <v>100</v>
      </c>
      <c r="FE225">
        <v>100</v>
      </c>
      <c r="FF225">
        <v>-0.17499999999999999</v>
      </c>
      <c r="FG225">
        <v>0.19159999999999999</v>
      </c>
      <c r="FH225">
        <v>4.0020685143421282E-2</v>
      </c>
      <c r="FI225">
        <v>-6.1462078757559423E-4</v>
      </c>
      <c r="FJ225">
        <v>-1.8861989874597051E-7</v>
      </c>
      <c r="FK225">
        <v>1.1980462299894961E-10</v>
      </c>
      <c r="FL225">
        <v>0.19160597004026461</v>
      </c>
      <c r="FM225">
        <v>0</v>
      </c>
      <c r="FN225">
        <v>0</v>
      </c>
      <c r="FO225">
        <v>0</v>
      </c>
      <c r="FP225">
        <v>3</v>
      </c>
      <c r="FQ225">
        <v>2158</v>
      </c>
      <c r="FR225">
        <v>1</v>
      </c>
      <c r="FS225">
        <v>19</v>
      </c>
      <c r="FT225">
        <v>43</v>
      </c>
      <c r="FU225">
        <v>42.9</v>
      </c>
      <c r="FV225">
        <v>1.77979</v>
      </c>
      <c r="FW225">
        <v>2.5866699999999998</v>
      </c>
      <c r="FX225">
        <v>1.5490699999999999</v>
      </c>
      <c r="FY225">
        <v>2.3290999999999999</v>
      </c>
      <c r="FZ225">
        <v>1.50146</v>
      </c>
      <c r="GA225">
        <v>2.2692899999999998</v>
      </c>
      <c r="GB225">
        <v>33.850900000000003</v>
      </c>
      <c r="GC225">
        <v>23.982399999999998</v>
      </c>
      <c r="GD225">
        <v>19</v>
      </c>
      <c r="GE225">
        <v>248.35499999999999</v>
      </c>
      <c r="GF225">
        <v>581.98400000000004</v>
      </c>
      <c r="GG225">
        <v>25.531700000000001</v>
      </c>
      <c r="GH225">
        <v>26.295300000000001</v>
      </c>
      <c r="GI225">
        <v>30.0001</v>
      </c>
      <c r="GJ225">
        <v>26.4236</v>
      </c>
      <c r="GK225">
        <v>26.398599999999998</v>
      </c>
      <c r="GL225">
        <v>35.5807</v>
      </c>
      <c r="GM225">
        <v>-30</v>
      </c>
      <c r="GN225">
        <v>-30</v>
      </c>
      <c r="GO225">
        <v>25.528500000000001</v>
      </c>
      <c r="GP225">
        <v>800</v>
      </c>
      <c r="GQ225">
        <v>12.5298</v>
      </c>
      <c r="GR225">
        <v>99.685699999999997</v>
      </c>
      <c r="GS225">
        <v>99.487899999999996</v>
      </c>
    </row>
    <row r="226" spans="1:201" x14ac:dyDescent="0.25">
      <c r="A226">
        <v>210</v>
      </c>
      <c r="B226">
        <v>1690214506</v>
      </c>
      <c r="C226">
        <v>2238.5</v>
      </c>
      <c r="D226" t="s">
        <v>751</v>
      </c>
      <c r="E226" t="s">
        <v>752</v>
      </c>
      <c r="F226" t="s">
        <v>330</v>
      </c>
      <c r="H226">
        <v>1690214506</v>
      </c>
      <c r="I226">
        <f t="shared" si="90"/>
        <v>2.1324798368000178E-3</v>
      </c>
      <c r="J226">
        <f t="shared" si="91"/>
        <v>2.1324798368000177</v>
      </c>
      <c r="K226">
        <f t="shared" si="92"/>
        <v>40.693571878426077</v>
      </c>
      <c r="L226">
        <f t="shared" si="93"/>
        <v>324.286</v>
      </c>
      <c r="M226">
        <f t="shared" si="94"/>
        <v>17.859895875001794</v>
      </c>
      <c r="N226">
        <f t="shared" si="95"/>
        <v>1.7712305142450682</v>
      </c>
      <c r="O226">
        <f t="shared" si="96"/>
        <v>32.160616308319803</v>
      </c>
      <c r="P226">
        <f t="shared" si="97"/>
        <v>0.22576282227654046</v>
      </c>
      <c r="Q226">
        <f t="shared" si="98"/>
        <v>2.0154372132166207</v>
      </c>
      <c r="R226">
        <f t="shared" si="99"/>
        <v>0.21259542169062767</v>
      </c>
      <c r="S226">
        <f t="shared" si="100"/>
        <v>0.13399113501693083</v>
      </c>
      <c r="T226">
        <f t="shared" si="101"/>
        <v>276.11587692857205</v>
      </c>
      <c r="U226">
        <f t="shared" si="102"/>
        <v>28.487046594052156</v>
      </c>
      <c r="V226">
        <f t="shared" si="103"/>
        <v>28.487046594052156</v>
      </c>
      <c r="W226">
        <f t="shared" si="104"/>
        <v>3.9039309743481114</v>
      </c>
      <c r="X226">
        <f t="shared" si="105"/>
        <v>82.368369426789869</v>
      </c>
      <c r="Y226">
        <f t="shared" si="106"/>
        <v>2.9434928555478601</v>
      </c>
      <c r="Z226">
        <f t="shared" si="107"/>
        <v>3.5735718407829804</v>
      </c>
      <c r="AA226">
        <f t="shared" si="108"/>
        <v>0.96043811880025132</v>
      </c>
      <c r="AB226">
        <f t="shared" si="109"/>
        <v>-94.042360802880779</v>
      </c>
      <c r="AC226">
        <f t="shared" si="110"/>
        <v>-164.46716430755902</v>
      </c>
      <c r="AD226">
        <f t="shared" si="111"/>
        <v>-17.740061455350794</v>
      </c>
      <c r="AE226">
        <f t="shared" si="112"/>
        <v>-0.13370963721851581</v>
      </c>
      <c r="AF226">
        <v>32</v>
      </c>
      <c r="AG226">
        <v>11</v>
      </c>
      <c r="AH226">
        <f t="shared" si="113"/>
        <v>1</v>
      </c>
      <c r="AI226">
        <f t="shared" si="114"/>
        <v>0</v>
      </c>
      <c r="AJ226">
        <f t="shared" si="115"/>
        <v>52567.802933125575</v>
      </c>
      <c r="AK226">
        <f t="shared" si="116"/>
        <v>1800.01</v>
      </c>
      <c r="AL226">
        <f t="shared" si="117"/>
        <v>1499.1224794119501</v>
      </c>
      <c r="AM226">
        <f t="shared" si="118"/>
        <v>0.83284119499999998</v>
      </c>
      <c r="AN226">
        <f t="shared" si="119"/>
        <v>0.15339685720000001</v>
      </c>
      <c r="AO226">
        <v>34.5</v>
      </c>
      <c r="AP226">
        <v>0.5</v>
      </c>
      <c r="AQ226" t="s">
        <v>331</v>
      </c>
      <c r="AR226">
        <v>2</v>
      </c>
      <c r="AS226">
        <v>1690214506</v>
      </c>
      <c r="AT226">
        <v>324.286</v>
      </c>
      <c r="AU226">
        <v>800.02599999999995</v>
      </c>
      <c r="AV226">
        <v>29.680199999999999</v>
      </c>
      <c r="AW226">
        <v>5.89398</v>
      </c>
      <c r="AX226">
        <v>324.46100000000001</v>
      </c>
      <c r="AY226">
        <v>29.488600000000002</v>
      </c>
      <c r="AZ226">
        <v>300.11900000000003</v>
      </c>
      <c r="BA226">
        <v>99.073700000000002</v>
      </c>
      <c r="BB226">
        <v>9.9919300000000003E-2</v>
      </c>
      <c r="BC226">
        <v>26.973400000000002</v>
      </c>
      <c r="BD226">
        <v>26.994700000000002</v>
      </c>
      <c r="BE226">
        <v>28.5944</v>
      </c>
      <c r="BF226">
        <v>0</v>
      </c>
      <c r="BG226">
        <v>0</v>
      </c>
      <c r="BH226">
        <v>10035</v>
      </c>
      <c r="BI226">
        <v>1077.26</v>
      </c>
      <c r="BJ226">
        <v>2.0183800000000001</v>
      </c>
      <c r="BK226">
        <v>-475.74</v>
      </c>
      <c r="BL226">
        <v>334.20499999999998</v>
      </c>
      <c r="BM226">
        <v>804.76900000000001</v>
      </c>
      <c r="BN226">
        <v>23.786200000000001</v>
      </c>
      <c r="BO226">
        <v>800.02599999999995</v>
      </c>
      <c r="BP226">
        <v>5.89398</v>
      </c>
      <c r="BQ226">
        <v>2.9405299999999999</v>
      </c>
      <c r="BR226">
        <v>0.58393799999999996</v>
      </c>
      <c r="BS226">
        <v>23.694900000000001</v>
      </c>
      <c r="BT226">
        <v>-0.68137800000000004</v>
      </c>
      <c r="BU226">
        <v>1800.01</v>
      </c>
      <c r="BV226">
        <v>0.91001900000000002</v>
      </c>
      <c r="BW226">
        <v>3.3997699999999999E-2</v>
      </c>
      <c r="BX226">
        <v>2.1993499999999999E-2</v>
      </c>
      <c r="BY226">
        <v>3.3989999999999999E-2</v>
      </c>
      <c r="BZ226">
        <v>26</v>
      </c>
      <c r="CA226">
        <v>33528.6</v>
      </c>
      <c r="CB226">
        <v>1690211922</v>
      </c>
      <c r="CC226" t="s">
        <v>332</v>
      </c>
      <c r="CD226">
        <v>1690211915</v>
      </c>
      <c r="CE226">
        <v>1690211922</v>
      </c>
      <c r="CF226">
        <v>6</v>
      </c>
      <c r="CG226">
        <v>1.0999999999999999E-2</v>
      </c>
      <c r="CH226">
        <v>8.0000000000000002E-3</v>
      </c>
      <c r="CI226">
        <v>-0.51100000000000001</v>
      </c>
      <c r="CJ226">
        <v>-6.6000000000000003E-2</v>
      </c>
      <c r="CK226">
        <v>800</v>
      </c>
      <c r="CL226">
        <v>6</v>
      </c>
      <c r="CM226">
        <v>0.21</v>
      </c>
      <c r="CN226">
        <v>0.02</v>
      </c>
      <c r="CO226">
        <v>-475.37072499999988</v>
      </c>
      <c r="CP226">
        <v>-1.754577861162832</v>
      </c>
      <c r="CQ226">
        <v>0.17613403809315409</v>
      </c>
      <c r="CR226">
        <v>-1</v>
      </c>
      <c r="CS226">
        <v>23.785757499999999</v>
      </c>
      <c r="CT226">
        <v>4.9519699811917672E-3</v>
      </c>
      <c r="CU226">
        <v>8.2124524351749411E-4</v>
      </c>
      <c r="CV226">
        <v>-1</v>
      </c>
      <c r="CW226">
        <v>0</v>
      </c>
      <c r="CX226">
        <v>0</v>
      </c>
      <c r="CY226" t="s">
        <v>333</v>
      </c>
      <c r="CZ226">
        <v>2.3642699999999999</v>
      </c>
      <c r="DA226">
        <v>2.71374</v>
      </c>
      <c r="DB226">
        <v>7.5963100000000006E-2</v>
      </c>
      <c r="DC226">
        <v>0.146064</v>
      </c>
      <c r="DD226">
        <v>0.13205900000000001</v>
      </c>
      <c r="DE226">
        <v>3.8873199999999997E-2</v>
      </c>
      <c r="DF226">
        <v>33723.699999999997</v>
      </c>
      <c r="DG226">
        <v>27499.7</v>
      </c>
      <c r="DH226">
        <v>31156.799999999999</v>
      </c>
      <c r="DI226">
        <v>28061.3</v>
      </c>
      <c r="DJ226">
        <v>36696</v>
      </c>
      <c r="DK226">
        <v>38349.300000000003</v>
      </c>
      <c r="DL226">
        <v>44337</v>
      </c>
      <c r="DM226">
        <v>42525.5</v>
      </c>
      <c r="DN226">
        <v>1.38995</v>
      </c>
      <c r="DO226">
        <v>2.0344000000000002</v>
      </c>
      <c r="DP226">
        <v>8.0868599999999999E-2</v>
      </c>
      <c r="DQ226">
        <v>0.186056</v>
      </c>
      <c r="DR226">
        <v>25.6707</v>
      </c>
      <c r="DS226">
        <v>25.5519</v>
      </c>
      <c r="DT226">
        <v>17.5</v>
      </c>
      <c r="DU226">
        <v>29.7</v>
      </c>
      <c r="DV226">
        <v>7.39682</v>
      </c>
      <c r="DW226">
        <v>61.2712</v>
      </c>
      <c r="DX226">
        <v>36.298099999999998</v>
      </c>
      <c r="DY226">
        <v>1</v>
      </c>
      <c r="DZ226">
        <v>-8.7063000000000001E-2</v>
      </c>
      <c r="EA226">
        <v>-0.25644099999999997</v>
      </c>
      <c r="EB226">
        <v>20.189299999999999</v>
      </c>
      <c r="EC226">
        <v>5.2408000000000001</v>
      </c>
      <c r="ED226">
        <v>12.039899999999999</v>
      </c>
      <c r="EE226">
        <v>5.0172999999999996</v>
      </c>
      <c r="EF226">
        <v>3.2879999999999998</v>
      </c>
      <c r="EG226">
        <v>9999</v>
      </c>
      <c r="EH226">
        <v>9999</v>
      </c>
      <c r="EI226">
        <v>9999</v>
      </c>
      <c r="EJ226">
        <v>999.9</v>
      </c>
      <c r="EK226">
        <v>1.8689</v>
      </c>
      <c r="EL226">
        <v>1.86466</v>
      </c>
      <c r="EM226">
        <v>1.8691899999999999</v>
      </c>
      <c r="EN226">
        <v>1.8672299999999999</v>
      </c>
      <c r="EO226">
        <v>1.8633999999999999</v>
      </c>
      <c r="EP226">
        <v>1.86456</v>
      </c>
      <c r="EQ226">
        <v>1.8701700000000001</v>
      </c>
      <c r="ER226">
        <v>1.86941</v>
      </c>
      <c r="ES226">
        <v>0</v>
      </c>
      <c r="ET226">
        <v>0</v>
      </c>
      <c r="EU226">
        <v>0</v>
      </c>
      <c r="EV226">
        <v>0</v>
      </c>
      <c r="EW226" t="s">
        <v>334</v>
      </c>
      <c r="EX226" t="s">
        <v>335</v>
      </c>
      <c r="EY226" t="s">
        <v>336</v>
      </c>
      <c r="EZ226" t="s">
        <v>336</v>
      </c>
      <c r="FA226" t="s">
        <v>336</v>
      </c>
      <c r="FB226" t="s">
        <v>336</v>
      </c>
      <c r="FC226">
        <v>0</v>
      </c>
      <c r="FD226">
        <v>100</v>
      </c>
      <c r="FE226">
        <v>100</v>
      </c>
      <c r="FF226">
        <v>-0.17499999999999999</v>
      </c>
      <c r="FG226">
        <v>0.19159999999999999</v>
      </c>
      <c r="FH226">
        <v>4.0020685143421282E-2</v>
      </c>
      <c r="FI226">
        <v>-6.1462078757559423E-4</v>
      </c>
      <c r="FJ226">
        <v>-1.8861989874597051E-7</v>
      </c>
      <c r="FK226">
        <v>1.1980462299894961E-10</v>
      </c>
      <c r="FL226">
        <v>0.19160597004026461</v>
      </c>
      <c r="FM226">
        <v>0</v>
      </c>
      <c r="FN226">
        <v>0</v>
      </c>
      <c r="FO226">
        <v>0</v>
      </c>
      <c r="FP226">
        <v>3</v>
      </c>
      <c r="FQ226">
        <v>2158</v>
      </c>
      <c r="FR226">
        <v>1</v>
      </c>
      <c r="FS226">
        <v>19</v>
      </c>
      <c r="FT226">
        <v>43.2</v>
      </c>
      <c r="FU226">
        <v>43.1</v>
      </c>
      <c r="FV226">
        <v>1.77979</v>
      </c>
      <c r="FW226">
        <v>2.5769000000000002</v>
      </c>
      <c r="FX226">
        <v>1.5490699999999999</v>
      </c>
      <c r="FY226">
        <v>2.3290999999999999</v>
      </c>
      <c r="FZ226">
        <v>1.50146</v>
      </c>
      <c r="GA226">
        <v>2.35229</v>
      </c>
      <c r="GB226">
        <v>33.850900000000003</v>
      </c>
      <c r="GC226">
        <v>23.982399999999998</v>
      </c>
      <c r="GD226">
        <v>19</v>
      </c>
      <c r="GE226">
        <v>248.07400000000001</v>
      </c>
      <c r="GF226">
        <v>582.18600000000004</v>
      </c>
      <c r="GG226">
        <v>25.522400000000001</v>
      </c>
      <c r="GH226">
        <v>26.295300000000001</v>
      </c>
      <c r="GI226">
        <v>30.0001</v>
      </c>
      <c r="GJ226">
        <v>26.4236</v>
      </c>
      <c r="GK226">
        <v>26.3964</v>
      </c>
      <c r="GL226">
        <v>35.5824</v>
      </c>
      <c r="GM226">
        <v>-30</v>
      </c>
      <c r="GN226">
        <v>-30</v>
      </c>
      <c r="GO226">
        <v>25.528199999999998</v>
      </c>
      <c r="GP226">
        <v>800</v>
      </c>
      <c r="GQ226">
        <v>12.5298</v>
      </c>
      <c r="GR226">
        <v>99.685699999999997</v>
      </c>
      <c r="GS226">
        <v>99.487200000000001</v>
      </c>
    </row>
    <row r="227" spans="1:201" x14ac:dyDescent="0.25">
      <c r="A227">
        <v>211</v>
      </c>
      <c r="B227">
        <v>1690214516</v>
      </c>
      <c r="C227">
        <v>2248.5</v>
      </c>
      <c r="D227" t="s">
        <v>753</v>
      </c>
      <c r="E227" t="s">
        <v>754</v>
      </c>
      <c r="F227" t="s">
        <v>330</v>
      </c>
      <c r="H227">
        <v>1690214516</v>
      </c>
      <c r="I227">
        <f t="shared" si="90"/>
        <v>2.1325221026131636E-3</v>
      </c>
      <c r="J227">
        <f t="shared" si="91"/>
        <v>2.1325221026131636</v>
      </c>
      <c r="K227">
        <f t="shared" si="92"/>
        <v>40.715069704634388</v>
      </c>
      <c r="L227">
        <f t="shared" si="93"/>
        <v>324.08800000000002</v>
      </c>
      <c r="M227">
        <f t="shared" si="94"/>
        <v>16.84685061055654</v>
      </c>
      <c r="N227">
        <f t="shared" si="95"/>
        <v>1.6707901998433321</v>
      </c>
      <c r="O227">
        <f t="shared" si="96"/>
        <v>32.141500319800002</v>
      </c>
      <c r="P227">
        <f t="shared" si="97"/>
        <v>0.22527905915071395</v>
      </c>
      <c r="Q227">
        <f t="shared" si="98"/>
        <v>2.0103566725315716</v>
      </c>
      <c r="R227">
        <f t="shared" si="99"/>
        <v>0.21213520597834948</v>
      </c>
      <c r="S227">
        <f t="shared" si="100"/>
        <v>0.13370147631105325</v>
      </c>
      <c r="T227">
        <f t="shared" si="101"/>
        <v>276.11418081599999</v>
      </c>
      <c r="U227">
        <f t="shared" si="102"/>
        <v>28.495164538492048</v>
      </c>
      <c r="V227">
        <f t="shared" si="103"/>
        <v>28.495164538492048</v>
      </c>
      <c r="W227">
        <f t="shared" si="104"/>
        <v>3.9057722087549558</v>
      </c>
      <c r="X227">
        <f t="shared" si="105"/>
        <v>82.338086190791898</v>
      </c>
      <c r="Y227">
        <f t="shared" si="106"/>
        <v>2.9432231523249999</v>
      </c>
      <c r="Z227">
        <f t="shared" si="107"/>
        <v>3.5745586137441081</v>
      </c>
      <c r="AA227">
        <f t="shared" si="108"/>
        <v>0.96254905642995592</v>
      </c>
      <c r="AB227">
        <f t="shared" si="109"/>
        <v>-94.044224725240511</v>
      </c>
      <c r="AC227">
        <f t="shared" si="110"/>
        <v>-164.42301815944944</v>
      </c>
      <c r="AD227">
        <f t="shared" si="111"/>
        <v>-17.781257327340999</v>
      </c>
      <c r="AE227">
        <f t="shared" si="112"/>
        <v>-0.13431939603094634</v>
      </c>
      <c r="AF227">
        <v>32</v>
      </c>
      <c r="AG227">
        <v>11</v>
      </c>
      <c r="AH227">
        <f t="shared" si="113"/>
        <v>1</v>
      </c>
      <c r="AI227">
        <f t="shared" si="114"/>
        <v>0</v>
      </c>
      <c r="AJ227">
        <f t="shared" si="115"/>
        <v>52322.879516894653</v>
      </c>
      <c r="AK227">
        <f t="shared" si="116"/>
        <v>1800</v>
      </c>
      <c r="AL227">
        <f t="shared" si="117"/>
        <v>1499.1139656</v>
      </c>
      <c r="AM227">
        <f t="shared" si="118"/>
        <v>0.83284109200000001</v>
      </c>
      <c r="AN227">
        <f t="shared" si="119"/>
        <v>0.15339676712</v>
      </c>
      <c r="AO227">
        <v>34.5</v>
      </c>
      <c r="AP227">
        <v>0.5</v>
      </c>
      <c r="AQ227" t="s">
        <v>331</v>
      </c>
      <c r="AR227">
        <v>2</v>
      </c>
      <c r="AS227">
        <v>1690214516</v>
      </c>
      <c r="AT227">
        <v>324.08800000000002</v>
      </c>
      <c r="AU227">
        <v>800.00699999999995</v>
      </c>
      <c r="AV227">
        <v>29.677</v>
      </c>
      <c r="AW227">
        <v>5.8933999999999997</v>
      </c>
      <c r="AX227">
        <v>324.26299999999998</v>
      </c>
      <c r="AY227">
        <v>29.485399999999998</v>
      </c>
      <c r="AZ227">
        <v>300.15899999999999</v>
      </c>
      <c r="BA227">
        <v>99.075199999999995</v>
      </c>
      <c r="BB227">
        <v>0.100025</v>
      </c>
      <c r="BC227">
        <v>26.978100000000001</v>
      </c>
      <c r="BD227">
        <v>27.0197</v>
      </c>
      <c r="BE227">
        <v>28.602900000000002</v>
      </c>
      <c r="BF227">
        <v>0</v>
      </c>
      <c r="BG227">
        <v>0</v>
      </c>
      <c r="BH227">
        <v>9986.25</v>
      </c>
      <c r="BI227">
        <v>1077.3499999999999</v>
      </c>
      <c r="BJ227">
        <v>2.0183800000000001</v>
      </c>
      <c r="BK227">
        <v>-475.91800000000001</v>
      </c>
      <c r="BL227">
        <v>334.00099999999998</v>
      </c>
      <c r="BM227">
        <v>804.74900000000002</v>
      </c>
      <c r="BN227">
        <v>23.7836</v>
      </c>
      <c r="BO227">
        <v>800.00699999999995</v>
      </c>
      <c r="BP227">
        <v>5.8933999999999997</v>
      </c>
      <c r="BQ227">
        <v>2.9402499999999998</v>
      </c>
      <c r="BR227">
        <v>0.58389000000000002</v>
      </c>
      <c r="BS227">
        <v>23.6934</v>
      </c>
      <c r="BT227">
        <v>-0.68251300000000004</v>
      </c>
      <c r="BU227">
        <v>1800</v>
      </c>
      <c r="BV227">
        <v>0.910022</v>
      </c>
      <c r="BW227">
        <v>3.3997899999999998E-2</v>
      </c>
      <c r="BX227">
        <v>2.1993599999999999E-2</v>
      </c>
      <c r="BY227">
        <v>3.3986200000000001E-2</v>
      </c>
      <c r="BZ227">
        <v>26</v>
      </c>
      <c r="CA227">
        <v>33528.5</v>
      </c>
      <c r="CB227">
        <v>1690211922</v>
      </c>
      <c r="CC227" t="s">
        <v>332</v>
      </c>
      <c r="CD227">
        <v>1690211915</v>
      </c>
      <c r="CE227">
        <v>1690211922</v>
      </c>
      <c r="CF227">
        <v>6</v>
      </c>
      <c r="CG227">
        <v>1.0999999999999999E-2</v>
      </c>
      <c r="CH227">
        <v>8.0000000000000002E-3</v>
      </c>
      <c r="CI227">
        <v>-0.51100000000000001</v>
      </c>
      <c r="CJ227">
        <v>-6.6000000000000003E-2</v>
      </c>
      <c r="CK227">
        <v>800</v>
      </c>
      <c r="CL227">
        <v>6</v>
      </c>
      <c r="CM227">
        <v>0.21</v>
      </c>
      <c r="CN227">
        <v>0.02</v>
      </c>
      <c r="CO227">
        <v>-475.65121951219521</v>
      </c>
      <c r="CP227">
        <v>-1.3755679442519231</v>
      </c>
      <c r="CQ227">
        <v>0.14022082100624039</v>
      </c>
      <c r="CR227">
        <v>-1</v>
      </c>
      <c r="CS227">
        <v>23.78570975609756</v>
      </c>
      <c r="CT227">
        <v>-7.5846689895351961E-3</v>
      </c>
      <c r="CU227">
        <v>8.9628090055911584E-4</v>
      </c>
      <c r="CV227">
        <v>-1</v>
      </c>
      <c r="CW227">
        <v>0</v>
      </c>
      <c r="CX227">
        <v>0</v>
      </c>
      <c r="CY227" t="s">
        <v>333</v>
      </c>
      <c r="CZ227">
        <v>2.3643900000000002</v>
      </c>
      <c r="DA227">
        <v>2.7138</v>
      </c>
      <c r="DB227">
        <v>7.59272E-2</v>
      </c>
      <c r="DC227">
        <v>0.146063</v>
      </c>
      <c r="DD227">
        <v>0.132051</v>
      </c>
      <c r="DE227">
        <v>3.8870700000000001E-2</v>
      </c>
      <c r="DF227">
        <v>33724.800000000003</v>
      </c>
      <c r="DG227">
        <v>27500.3</v>
      </c>
      <c r="DH227">
        <v>31156.6</v>
      </c>
      <c r="DI227">
        <v>28061.8</v>
      </c>
      <c r="DJ227">
        <v>36696.1</v>
      </c>
      <c r="DK227">
        <v>38350.300000000003</v>
      </c>
      <c r="DL227">
        <v>44336.800000000003</v>
      </c>
      <c r="DM227">
        <v>42526.5</v>
      </c>
      <c r="DN227">
        <v>1.39028</v>
      </c>
      <c r="DO227">
        <v>2.03437</v>
      </c>
      <c r="DP227">
        <v>8.2269300000000004E-2</v>
      </c>
      <c r="DQ227">
        <v>0.18642800000000001</v>
      </c>
      <c r="DR227">
        <v>25.672899999999998</v>
      </c>
      <c r="DS227">
        <v>25.554400000000001</v>
      </c>
      <c r="DT227">
        <v>17.5</v>
      </c>
      <c r="DU227">
        <v>29.7</v>
      </c>
      <c r="DV227">
        <v>7.3967900000000002</v>
      </c>
      <c r="DW227">
        <v>61.801200000000001</v>
      </c>
      <c r="DX227">
        <v>36.097799999999999</v>
      </c>
      <c r="DY227">
        <v>1</v>
      </c>
      <c r="DZ227">
        <v>-8.6946099999999998E-2</v>
      </c>
      <c r="EA227">
        <v>-0.25677800000000001</v>
      </c>
      <c r="EB227">
        <v>20.1892</v>
      </c>
      <c r="EC227">
        <v>5.2409499999999998</v>
      </c>
      <c r="ED227">
        <v>12.039899999999999</v>
      </c>
      <c r="EE227">
        <v>5.0174000000000003</v>
      </c>
      <c r="EF227">
        <v>3.2879999999999998</v>
      </c>
      <c r="EG227">
        <v>9999</v>
      </c>
      <c r="EH227">
        <v>9999</v>
      </c>
      <c r="EI227">
        <v>9999</v>
      </c>
      <c r="EJ227">
        <v>999.9</v>
      </c>
      <c r="EK227">
        <v>1.86893</v>
      </c>
      <c r="EL227">
        <v>1.86466</v>
      </c>
      <c r="EM227">
        <v>1.8692</v>
      </c>
      <c r="EN227">
        <v>1.8672299999999999</v>
      </c>
      <c r="EO227">
        <v>1.8633999999999999</v>
      </c>
      <c r="EP227">
        <v>1.8646100000000001</v>
      </c>
      <c r="EQ227">
        <v>1.8702000000000001</v>
      </c>
      <c r="ER227">
        <v>1.86947</v>
      </c>
      <c r="ES227">
        <v>0</v>
      </c>
      <c r="ET227">
        <v>0</v>
      </c>
      <c r="EU227">
        <v>0</v>
      </c>
      <c r="EV227">
        <v>0</v>
      </c>
      <c r="EW227" t="s">
        <v>334</v>
      </c>
      <c r="EX227" t="s">
        <v>335</v>
      </c>
      <c r="EY227" t="s">
        <v>336</v>
      </c>
      <c r="EZ227" t="s">
        <v>336</v>
      </c>
      <c r="FA227" t="s">
        <v>336</v>
      </c>
      <c r="FB227" t="s">
        <v>336</v>
      </c>
      <c r="FC227">
        <v>0</v>
      </c>
      <c r="FD227">
        <v>100</v>
      </c>
      <c r="FE227">
        <v>100</v>
      </c>
      <c r="FF227">
        <v>-0.17499999999999999</v>
      </c>
      <c r="FG227">
        <v>0.19159999999999999</v>
      </c>
      <c r="FH227">
        <v>4.0020685143421282E-2</v>
      </c>
      <c r="FI227">
        <v>-6.1462078757559423E-4</v>
      </c>
      <c r="FJ227">
        <v>-1.8861989874597051E-7</v>
      </c>
      <c r="FK227">
        <v>1.1980462299894961E-10</v>
      </c>
      <c r="FL227">
        <v>0.19160597004026461</v>
      </c>
      <c r="FM227">
        <v>0</v>
      </c>
      <c r="FN227">
        <v>0</v>
      </c>
      <c r="FO227">
        <v>0</v>
      </c>
      <c r="FP227">
        <v>3</v>
      </c>
      <c r="FQ227">
        <v>2158</v>
      </c>
      <c r="FR227">
        <v>1</v>
      </c>
      <c r="FS227">
        <v>19</v>
      </c>
      <c r="FT227">
        <v>43.4</v>
      </c>
      <c r="FU227">
        <v>43.2</v>
      </c>
      <c r="FV227">
        <v>1.77979</v>
      </c>
      <c r="FW227">
        <v>2.5781200000000002</v>
      </c>
      <c r="FX227">
        <v>1.5490699999999999</v>
      </c>
      <c r="FY227">
        <v>2.3290999999999999</v>
      </c>
      <c r="FZ227">
        <v>1.50146</v>
      </c>
      <c r="GA227">
        <v>2.34131</v>
      </c>
      <c r="GB227">
        <v>33.850900000000003</v>
      </c>
      <c r="GC227">
        <v>23.991199999999999</v>
      </c>
      <c r="GD227">
        <v>19</v>
      </c>
      <c r="GE227">
        <v>248.2</v>
      </c>
      <c r="GF227">
        <v>582.16499999999996</v>
      </c>
      <c r="GG227">
        <v>25.5304</v>
      </c>
      <c r="GH227">
        <v>26.295300000000001</v>
      </c>
      <c r="GI227">
        <v>30.000299999999999</v>
      </c>
      <c r="GJ227">
        <v>26.4236</v>
      </c>
      <c r="GK227">
        <v>26.3964</v>
      </c>
      <c r="GL227">
        <v>35.581699999999998</v>
      </c>
      <c r="GM227">
        <v>-30</v>
      </c>
      <c r="GN227">
        <v>-30</v>
      </c>
      <c r="GO227">
        <v>25.5288</v>
      </c>
      <c r="GP227">
        <v>800</v>
      </c>
      <c r="GQ227">
        <v>12.5298</v>
      </c>
      <c r="GR227">
        <v>99.685299999999998</v>
      </c>
      <c r="GS227">
        <v>99.489400000000003</v>
      </c>
    </row>
    <row r="228" spans="1:201" x14ac:dyDescent="0.25">
      <c r="A228">
        <v>212</v>
      </c>
      <c r="B228">
        <v>1690214526</v>
      </c>
      <c r="C228">
        <v>2258.5</v>
      </c>
      <c r="D228" t="s">
        <v>755</v>
      </c>
      <c r="E228" t="s">
        <v>756</v>
      </c>
      <c r="F228" t="s">
        <v>330</v>
      </c>
      <c r="H228">
        <v>1690214526</v>
      </c>
      <c r="I228">
        <f t="shared" si="90"/>
        <v>2.1325700156431164E-3</v>
      </c>
      <c r="J228">
        <f t="shared" si="91"/>
        <v>2.1325700156431164</v>
      </c>
      <c r="K228">
        <f t="shared" si="92"/>
        <v>40.74524066321306</v>
      </c>
      <c r="L228">
        <f t="shared" si="93"/>
        <v>323.74200000000002</v>
      </c>
      <c r="M228">
        <f t="shared" si="94"/>
        <v>16.579550962564586</v>
      </c>
      <c r="N228">
        <f t="shared" si="95"/>
        <v>1.6442533889329187</v>
      </c>
      <c r="O228">
        <f t="shared" si="96"/>
        <v>32.106652456501799</v>
      </c>
      <c r="P228">
        <f t="shared" si="97"/>
        <v>0.22550502735787845</v>
      </c>
      <c r="Q228">
        <f t="shared" si="98"/>
        <v>2.0112563800850958</v>
      </c>
      <c r="R228">
        <f t="shared" si="99"/>
        <v>0.21234114208719063</v>
      </c>
      <c r="S228">
        <f t="shared" si="100"/>
        <v>0.13383185529241878</v>
      </c>
      <c r="T228">
        <f t="shared" si="101"/>
        <v>276.11568083548264</v>
      </c>
      <c r="U228">
        <f t="shared" si="102"/>
        <v>28.491051687814867</v>
      </c>
      <c r="V228">
        <f t="shared" si="103"/>
        <v>28.491051687814867</v>
      </c>
      <c r="W228">
        <f t="shared" si="104"/>
        <v>3.9048392767167086</v>
      </c>
      <c r="X228">
        <f t="shared" si="105"/>
        <v>82.354758887126295</v>
      </c>
      <c r="Y228">
        <f t="shared" si="106"/>
        <v>2.9432139407694597</v>
      </c>
      <c r="Z228">
        <f t="shared" si="107"/>
        <v>3.5738237602071874</v>
      </c>
      <c r="AA228">
        <f t="shared" si="108"/>
        <v>0.96162533594724886</v>
      </c>
      <c r="AB228">
        <f t="shared" si="109"/>
        <v>-94.046337689861431</v>
      </c>
      <c r="AC228">
        <f t="shared" si="110"/>
        <v>-164.43015150362282</v>
      </c>
      <c r="AD228">
        <f t="shared" si="111"/>
        <v>-17.773399228401249</v>
      </c>
      <c r="AE228">
        <f t="shared" si="112"/>
        <v>-0.13420758640290842</v>
      </c>
      <c r="AF228">
        <v>32</v>
      </c>
      <c r="AG228">
        <v>11</v>
      </c>
      <c r="AH228">
        <f t="shared" si="113"/>
        <v>1</v>
      </c>
      <c r="AI228">
        <f t="shared" si="114"/>
        <v>0</v>
      </c>
      <c r="AJ228">
        <f t="shared" si="115"/>
        <v>52366.626112204758</v>
      </c>
      <c r="AK228">
        <f t="shared" si="116"/>
        <v>1800.01</v>
      </c>
      <c r="AL228">
        <f t="shared" si="117"/>
        <v>1499.1216442073103</v>
      </c>
      <c r="AM228">
        <f t="shared" si="118"/>
        <v>0.83284073100000011</v>
      </c>
      <c r="AN228">
        <f t="shared" si="119"/>
        <v>0.15339674826000002</v>
      </c>
      <c r="AO228">
        <v>34.5</v>
      </c>
      <c r="AP228">
        <v>0.5</v>
      </c>
      <c r="AQ228" t="s">
        <v>331</v>
      </c>
      <c r="AR228">
        <v>2</v>
      </c>
      <c r="AS228">
        <v>1690214526</v>
      </c>
      <c r="AT228">
        <v>323.74200000000002</v>
      </c>
      <c r="AU228">
        <v>800.00900000000001</v>
      </c>
      <c r="AV228">
        <v>29.677399999999999</v>
      </c>
      <c r="AW228">
        <v>5.8928000000000003</v>
      </c>
      <c r="AX228">
        <v>323.91699999999997</v>
      </c>
      <c r="AY228">
        <v>29.485800000000001</v>
      </c>
      <c r="AZ228">
        <v>300.15300000000002</v>
      </c>
      <c r="BA228">
        <v>99.073599999999999</v>
      </c>
      <c r="BB228">
        <v>9.9977899999999995E-2</v>
      </c>
      <c r="BC228">
        <v>26.974599999999999</v>
      </c>
      <c r="BD228">
        <v>26.991499999999998</v>
      </c>
      <c r="BE228">
        <v>28.612100000000002</v>
      </c>
      <c r="BF228">
        <v>0</v>
      </c>
      <c r="BG228">
        <v>0</v>
      </c>
      <c r="BH228">
        <v>9995</v>
      </c>
      <c r="BI228">
        <v>1077.3399999999999</v>
      </c>
      <c r="BJ228">
        <v>2.0183800000000001</v>
      </c>
      <c r="BK228">
        <v>-476.26600000000002</v>
      </c>
      <c r="BL228">
        <v>333.64400000000001</v>
      </c>
      <c r="BM228">
        <v>804.75099999999998</v>
      </c>
      <c r="BN228">
        <v>23.784600000000001</v>
      </c>
      <c r="BO228">
        <v>800.00900000000001</v>
      </c>
      <c r="BP228">
        <v>5.8928000000000003</v>
      </c>
      <c r="BQ228">
        <v>2.9402499999999998</v>
      </c>
      <c r="BR228">
        <v>0.58382100000000003</v>
      </c>
      <c r="BS228">
        <v>23.693300000000001</v>
      </c>
      <c r="BT228">
        <v>-0.68411500000000003</v>
      </c>
      <c r="BU228">
        <v>1800.01</v>
      </c>
      <c r="BV228">
        <v>0.91001900000000002</v>
      </c>
      <c r="BW228">
        <v>3.39975E-2</v>
      </c>
      <c r="BX228">
        <v>2.19933E-2</v>
      </c>
      <c r="BY228">
        <v>3.3989800000000001E-2</v>
      </c>
      <c r="BZ228">
        <v>26</v>
      </c>
      <c r="CA228">
        <v>33528.699999999997</v>
      </c>
      <c r="CB228">
        <v>1690211922</v>
      </c>
      <c r="CC228" t="s">
        <v>332</v>
      </c>
      <c r="CD228">
        <v>1690211915</v>
      </c>
      <c r="CE228">
        <v>1690211922</v>
      </c>
      <c r="CF228">
        <v>6</v>
      </c>
      <c r="CG228">
        <v>1.0999999999999999E-2</v>
      </c>
      <c r="CH228">
        <v>8.0000000000000002E-3</v>
      </c>
      <c r="CI228">
        <v>-0.51100000000000001</v>
      </c>
      <c r="CJ228">
        <v>-6.6000000000000003E-2</v>
      </c>
      <c r="CK228">
        <v>800</v>
      </c>
      <c r="CL228">
        <v>6</v>
      </c>
      <c r="CM228">
        <v>0.21</v>
      </c>
      <c r="CN228">
        <v>0.02</v>
      </c>
      <c r="CO228">
        <v>-475.94056097560969</v>
      </c>
      <c r="CP228">
        <v>-1.8072752613238281</v>
      </c>
      <c r="CQ228">
        <v>0.18357042229213219</v>
      </c>
      <c r="CR228">
        <v>-1</v>
      </c>
      <c r="CS228">
        <v>23.784690243902439</v>
      </c>
      <c r="CT228">
        <v>-4.9149825783831322E-3</v>
      </c>
      <c r="CU228">
        <v>8.773032064921198E-4</v>
      </c>
      <c r="CV228">
        <v>-1</v>
      </c>
      <c r="CW228">
        <v>0</v>
      </c>
      <c r="CX228">
        <v>0</v>
      </c>
      <c r="CY228" t="s">
        <v>333</v>
      </c>
      <c r="CZ228">
        <v>2.3643700000000001</v>
      </c>
      <c r="DA228">
        <v>2.7137600000000002</v>
      </c>
      <c r="DB228">
        <v>7.5861200000000004E-2</v>
      </c>
      <c r="DC228">
        <v>0.146061</v>
      </c>
      <c r="DD228">
        <v>0.13205</v>
      </c>
      <c r="DE228">
        <v>3.8866900000000003E-2</v>
      </c>
      <c r="DF228">
        <v>33727</v>
      </c>
      <c r="DG228">
        <v>27500</v>
      </c>
      <c r="DH228">
        <v>31156.400000000001</v>
      </c>
      <c r="DI228">
        <v>28061.5</v>
      </c>
      <c r="DJ228">
        <v>36696</v>
      </c>
      <c r="DK228">
        <v>38349.9</v>
      </c>
      <c r="DL228">
        <v>44336.6</v>
      </c>
      <c r="DM228">
        <v>42525.9</v>
      </c>
      <c r="DN228">
        <v>1.3894</v>
      </c>
      <c r="DO228">
        <v>2.0342199999999999</v>
      </c>
      <c r="DP228">
        <v>8.0324699999999999E-2</v>
      </c>
      <c r="DQ228">
        <v>0.186749</v>
      </c>
      <c r="DR228">
        <v>25.676500000000001</v>
      </c>
      <c r="DS228">
        <v>25.558399999999999</v>
      </c>
      <c r="DT228">
        <v>17.5</v>
      </c>
      <c r="DU228">
        <v>29.7</v>
      </c>
      <c r="DV228">
        <v>7.3971200000000001</v>
      </c>
      <c r="DW228">
        <v>61.731200000000001</v>
      </c>
      <c r="DX228">
        <v>36.189900000000002</v>
      </c>
      <c r="DY228">
        <v>1</v>
      </c>
      <c r="DZ228">
        <v>-8.7111300000000003E-2</v>
      </c>
      <c r="EA228">
        <v>-0.25729600000000002</v>
      </c>
      <c r="EB228">
        <v>20.1892</v>
      </c>
      <c r="EC228">
        <v>5.2411000000000003</v>
      </c>
      <c r="ED228">
        <v>12.039899999999999</v>
      </c>
      <c r="EE228">
        <v>5.01715</v>
      </c>
      <c r="EF228">
        <v>3.2879999999999998</v>
      </c>
      <c r="EG228">
        <v>9999</v>
      </c>
      <c r="EH228">
        <v>9999</v>
      </c>
      <c r="EI228">
        <v>9999</v>
      </c>
      <c r="EJ228">
        <v>999.9</v>
      </c>
      <c r="EK228">
        <v>1.8689100000000001</v>
      </c>
      <c r="EL228">
        <v>1.8646400000000001</v>
      </c>
      <c r="EM228">
        <v>1.8691899999999999</v>
      </c>
      <c r="EN228">
        <v>1.8672299999999999</v>
      </c>
      <c r="EO228">
        <v>1.8633999999999999</v>
      </c>
      <c r="EP228">
        <v>1.8646</v>
      </c>
      <c r="EQ228">
        <v>1.8701700000000001</v>
      </c>
      <c r="ER228">
        <v>1.8694500000000001</v>
      </c>
      <c r="ES228">
        <v>0</v>
      </c>
      <c r="ET228">
        <v>0</v>
      </c>
      <c r="EU228">
        <v>0</v>
      </c>
      <c r="EV228">
        <v>0</v>
      </c>
      <c r="EW228" t="s">
        <v>334</v>
      </c>
      <c r="EX228" t="s">
        <v>335</v>
      </c>
      <c r="EY228" t="s">
        <v>336</v>
      </c>
      <c r="EZ228" t="s">
        <v>336</v>
      </c>
      <c r="FA228" t="s">
        <v>336</v>
      </c>
      <c r="FB228" t="s">
        <v>336</v>
      </c>
      <c r="FC228">
        <v>0</v>
      </c>
      <c r="FD228">
        <v>100</v>
      </c>
      <c r="FE228">
        <v>100</v>
      </c>
      <c r="FF228">
        <v>-0.17499999999999999</v>
      </c>
      <c r="FG228">
        <v>0.19159999999999999</v>
      </c>
      <c r="FH228">
        <v>4.0020685143421282E-2</v>
      </c>
      <c r="FI228">
        <v>-6.1462078757559423E-4</v>
      </c>
      <c r="FJ228">
        <v>-1.8861989874597051E-7</v>
      </c>
      <c r="FK228">
        <v>1.1980462299894961E-10</v>
      </c>
      <c r="FL228">
        <v>0.19160597004026461</v>
      </c>
      <c r="FM228">
        <v>0</v>
      </c>
      <c r="FN228">
        <v>0</v>
      </c>
      <c r="FO228">
        <v>0</v>
      </c>
      <c r="FP228">
        <v>3</v>
      </c>
      <c r="FQ228">
        <v>2158</v>
      </c>
      <c r="FR228">
        <v>1</v>
      </c>
      <c r="FS228">
        <v>19</v>
      </c>
      <c r="FT228">
        <v>43.5</v>
      </c>
      <c r="FU228">
        <v>43.4</v>
      </c>
      <c r="FV228">
        <v>1.77979</v>
      </c>
      <c r="FW228">
        <v>2.5769000000000002</v>
      </c>
      <c r="FX228">
        <v>1.5490699999999999</v>
      </c>
      <c r="FY228">
        <v>2.3290999999999999</v>
      </c>
      <c r="FZ228">
        <v>1.50146</v>
      </c>
      <c r="GA228">
        <v>2.3889200000000002</v>
      </c>
      <c r="GB228">
        <v>33.850900000000003</v>
      </c>
      <c r="GC228">
        <v>23.991199999999999</v>
      </c>
      <c r="GD228">
        <v>19</v>
      </c>
      <c r="GE228">
        <v>247.85900000000001</v>
      </c>
      <c r="GF228">
        <v>582.04200000000003</v>
      </c>
      <c r="GG228">
        <v>25.5139</v>
      </c>
      <c r="GH228">
        <v>26.295300000000001</v>
      </c>
      <c r="GI228">
        <v>30</v>
      </c>
      <c r="GJ228">
        <v>26.422999999999998</v>
      </c>
      <c r="GK228">
        <v>26.3964</v>
      </c>
      <c r="GL228">
        <v>35.580399999999997</v>
      </c>
      <c r="GM228">
        <v>-30</v>
      </c>
      <c r="GN228">
        <v>-30</v>
      </c>
      <c r="GO228">
        <v>25.523399999999999</v>
      </c>
      <c r="GP228">
        <v>800</v>
      </c>
      <c r="GQ228">
        <v>12.5298</v>
      </c>
      <c r="GR228">
        <v>99.684700000000007</v>
      </c>
      <c r="GS228">
        <v>99.488</v>
      </c>
    </row>
    <row r="229" spans="1:201" x14ac:dyDescent="0.25">
      <c r="A229">
        <v>213</v>
      </c>
      <c r="B229">
        <v>1690214536</v>
      </c>
      <c r="C229">
        <v>2268.5</v>
      </c>
      <c r="D229" t="s">
        <v>757</v>
      </c>
      <c r="E229" t="s">
        <v>758</v>
      </c>
      <c r="F229" t="s">
        <v>330</v>
      </c>
      <c r="H229">
        <v>1690214536</v>
      </c>
      <c r="I229">
        <f t="shared" si="90"/>
        <v>2.133313556414434E-3</v>
      </c>
      <c r="J229">
        <f t="shared" si="91"/>
        <v>2.1333135564144339</v>
      </c>
      <c r="K229">
        <f t="shared" si="92"/>
        <v>40.754917280687941</v>
      </c>
      <c r="L229">
        <f t="shared" si="93"/>
        <v>323.65899999999999</v>
      </c>
      <c r="M229">
        <f t="shared" si="94"/>
        <v>16.788578830048134</v>
      </c>
      <c r="N229">
        <f t="shared" si="95"/>
        <v>1.6649796714692695</v>
      </c>
      <c r="O229">
        <f t="shared" si="96"/>
        <v>32.098348582286</v>
      </c>
      <c r="P229">
        <f t="shared" si="97"/>
        <v>0.22577529684805142</v>
      </c>
      <c r="Q229">
        <f t="shared" si="98"/>
        <v>2.0134706261645392</v>
      </c>
      <c r="R229">
        <f t="shared" si="99"/>
        <v>0.21259443038862141</v>
      </c>
      <c r="S229">
        <f t="shared" si="100"/>
        <v>0.13399159763103766</v>
      </c>
      <c r="T229">
        <f t="shared" si="101"/>
        <v>276.11423814599999</v>
      </c>
      <c r="U229">
        <f t="shared" si="102"/>
        <v>28.489360439399043</v>
      </c>
      <c r="V229">
        <f t="shared" si="103"/>
        <v>28.489360439399043</v>
      </c>
      <c r="W229">
        <f t="shared" si="104"/>
        <v>3.9044557014316652</v>
      </c>
      <c r="X229">
        <f t="shared" si="105"/>
        <v>82.366299076202722</v>
      </c>
      <c r="Y229">
        <f t="shared" si="106"/>
        <v>2.9436436587572001</v>
      </c>
      <c r="Z229">
        <f t="shared" si="107"/>
        <v>3.5738447541922858</v>
      </c>
      <c r="AA229">
        <f t="shared" si="108"/>
        <v>0.96081204267446507</v>
      </c>
      <c r="AB229">
        <f t="shared" si="109"/>
        <v>-94.079127837876541</v>
      </c>
      <c r="AC229">
        <f t="shared" si="110"/>
        <v>-164.41673664185208</v>
      </c>
      <c r="AD229">
        <f t="shared" si="111"/>
        <v>-17.752263941714499</v>
      </c>
      <c r="AE229">
        <f t="shared" si="112"/>
        <v>-0.13389027544312171</v>
      </c>
      <c r="AF229">
        <v>32</v>
      </c>
      <c r="AG229">
        <v>11</v>
      </c>
      <c r="AH229">
        <f t="shared" si="113"/>
        <v>1</v>
      </c>
      <c r="AI229">
        <f t="shared" si="114"/>
        <v>0</v>
      </c>
      <c r="AJ229">
        <f t="shared" si="115"/>
        <v>52472.963081017304</v>
      </c>
      <c r="AK229">
        <f t="shared" si="116"/>
        <v>1800</v>
      </c>
      <c r="AL229">
        <f t="shared" si="117"/>
        <v>1499.1142265999999</v>
      </c>
      <c r="AM229">
        <f t="shared" si="118"/>
        <v>0.83284123700000001</v>
      </c>
      <c r="AN229">
        <f t="shared" si="119"/>
        <v>0.15339679897</v>
      </c>
      <c r="AO229">
        <v>34.5</v>
      </c>
      <c r="AP229">
        <v>0.5</v>
      </c>
      <c r="AQ229" t="s">
        <v>331</v>
      </c>
      <c r="AR229">
        <v>2</v>
      </c>
      <c r="AS229">
        <v>1690214536</v>
      </c>
      <c r="AT229">
        <v>323.65899999999999</v>
      </c>
      <c r="AU229">
        <v>799.98400000000004</v>
      </c>
      <c r="AV229">
        <v>29.681799999999999</v>
      </c>
      <c r="AW229">
        <v>5.8917099999999998</v>
      </c>
      <c r="AX229">
        <v>323.834</v>
      </c>
      <c r="AY229">
        <v>29.490100000000002</v>
      </c>
      <c r="AZ229">
        <v>300.18700000000001</v>
      </c>
      <c r="BA229">
        <v>99.073300000000003</v>
      </c>
      <c r="BB229">
        <v>0.100054</v>
      </c>
      <c r="BC229">
        <v>26.974699999999999</v>
      </c>
      <c r="BD229">
        <v>27.005500000000001</v>
      </c>
      <c r="BE229">
        <v>28.607900000000001</v>
      </c>
      <c r="BF229">
        <v>0</v>
      </c>
      <c r="BG229">
        <v>0</v>
      </c>
      <c r="BH229">
        <v>10016.200000000001</v>
      </c>
      <c r="BI229">
        <v>1077.3699999999999</v>
      </c>
      <c r="BJ229">
        <v>2.0183800000000001</v>
      </c>
      <c r="BK229">
        <v>-476.32499999999999</v>
      </c>
      <c r="BL229">
        <v>333.56</v>
      </c>
      <c r="BM229">
        <v>804.72500000000002</v>
      </c>
      <c r="BN229">
        <v>23.79</v>
      </c>
      <c r="BO229">
        <v>799.98400000000004</v>
      </c>
      <c r="BP229">
        <v>5.8917099999999998</v>
      </c>
      <c r="BQ229">
        <v>2.9406699999999999</v>
      </c>
      <c r="BR229">
        <v>0.58371099999999998</v>
      </c>
      <c r="BS229">
        <v>23.695699999999999</v>
      </c>
      <c r="BT229">
        <v>-0.68670900000000001</v>
      </c>
      <c r="BU229">
        <v>1800</v>
      </c>
      <c r="BV229">
        <v>0.910022</v>
      </c>
      <c r="BW229">
        <v>3.3998E-2</v>
      </c>
      <c r="BX229">
        <v>2.1993599999999999E-2</v>
      </c>
      <c r="BY229">
        <v>3.3986299999999997E-2</v>
      </c>
      <c r="BZ229">
        <v>26</v>
      </c>
      <c r="CA229">
        <v>33528.5</v>
      </c>
      <c r="CB229">
        <v>1690211922</v>
      </c>
      <c r="CC229" t="s">
        <v>332</v>
      </c>
      <c r="CD229">
        <v>1690211915</v>
      </c>
      <c r="CE229">
        <v>1690211922</v>
      </c>
      <c r="CF229">
        <v>6</v>
      </c>
      <c r="CG229">
        <v>1.0999999999999999E-2</v>
      </c>
      <c r="CH229">
        <v>8.0000000000000002E-3</v>
      </c>
      <c r="CI229">
        <v>-0.51100000000000001</v>
      </c>
      <c r="CJ229">
        <v>-6.6000000000000003E-2</v>
      </c>
      <c r="CK229">
        <v>800</v>
      </c>
      <c r="CL229">
        <v>6</v>
      </c>
      <c r="CM229">
        <v>0.21</v>
      </c>
      <c r="CN229">
        <v>0.02</v>
      </c>
      <c r="CO229">
        <v>-476.17773170731709</v>
      </c>
      <c r="CP229">
        <v>-1.09574216027744</v>
      </c>
      <c r="CQ229">
        <v>0.1230272673306224</v>
      </c>
      <c r="CR229">
        <v>-1</v>
      </c>
      <c r="CS229">
        <v>23.78612195121951</v>
      </c>
      <c r="CT229">
        <v>2.4399303135972852E-2</v>
      </c>
      <c r="CU229">
        <v>2.7058664538209022E-3</v>
      </c>
      <c r="CV229">
        <v>-1</v>
      </c>
      <c r="CW229">
        <v>0</v>
      </c>
      <c r="CX229">
        <v>0</v>
      </c>
      <c r="CY229" t="s">
        <v>333</v>
      </c>
      <c r="CZ229">
        <v>2.36449</v>
      </c>
      <c r="DA229">
        <v>2.7138599999999999</v>
      </c>
      <c r="DB229">
        <v>7.5845800000000005E-2</v>
      </c>
      <c r="DC229">
        <v>0.14605799999999999</v>
      </c>
      <c r="DD229">
        <v>0.13206399999999999</v>
      </c>
      <c r="DE229">
        <v>3.8860800000000001E-2</v>
      </c>
      <c r="DF229">
        <v>33727</v>
      </c>
      <c r="DG229">
        <v>27500</v>
      </c>
      <c r="DH229">
        <v>31155.9</v>
      </c>
      <c r="DI229">
        <v>28061.4</v>
      </c>
      <c r="DJ229">
        <v>36694.800000000003</v>
      </c>
      <c r="DK229">
        <v>38350</v>
      </c>
      <c r="DL229">
        <v>44335.8</v>
      </c>
      <c r="DM229">
        <v>42525.7</v>
      </c>
      <c r="DN229">
        <v>1.3901300000000001</v>
      </c>
      <c r="DO229">
        <v>2.0337299999999998</v>
      </c>
      <c r="DP229">
        <v>8.1002699999999997E-2</v>
      </c>
      <c r="DQ229">
        <v>0.186361</v>
      </c>
      <c r="DR229">
        <v>25.679400000000001</v>
      </c>
      <c r="DS229">
        <v>25.560500000000001</v>
      </c>
      <c r="DT229">
        <v>17.5</v>
      </c>
      <c r="DU229">
        <v>29.7</v>
      </c>
      <c r="DV229">
        <v>7.39567</v>
      </c>
      <c r="DW229">
        <v>61.601199999999999</v>
      </c>
      <c r="DX229">
        <v>36.262</v>
      </c>
      <c r="DY229">
        <v>1</v>
      </c>
      <c r="DZ229">
        <v>-8.7024900000000002E-2</v>
      </c>
      <c r="EA229">
        <v>-0.25290600000000002</v>
      </c>
      <c r="EB229">
        <v>20.189499999999999</v>
      </c>
      <c r="EC229">
        <v>5.2411000000000003</v>
      </c>
      <c r="ED229">
        <v>12.039899999999999</v>
      </c>
      <c r="EE229">
        <v>5.0170000000000003</v>
      </c>
      <c r="EF229">
        <v>3.2879999999999998</v>
      </c>
      <c r="EG229">
        <v>9999</v>
      </c>
      <c r="EH229">
        <v>9999</v>
      </c>
      <c r="EI229">
        <v>9999</v>
      </c>
      <c r="EJ229">
        <v>999.9</v>
      </c>
      <c r="EK229">
        <v>1.8689100000000001</v>
      </c>
      <c r="EL229">
        <v>1.86467</v>
      </c>
      <c r="EM229">
        <v>1.8691899999999999</v>
      </c>
      <c r="EN229">
        <v>1.8672500000000001</v>
      </c>
      <c r="EO229">
        <v>1.8633999999999999</v>
      </c>
      <c r="EP229">
        <v>1.8646</v>
      </c>
      <c r="EQ229">
        <v>1.8702099999999999</v>
      </c>
      <c r="ER229">
        <v>1.8694500000000001</v>
      </c>
      <c r="ES229">
        <v>0</v>
      </c>
      <c r="ET229">
        <v>0</v>
      </c>
      <c r="EU229">
        <v>0</v>
      </c>
      <c r="EV229">
        <v>0</v>
      </c>
      <c r="EW229" t="s">
        <v>334</v>
      </c>
      <c r="EX229" t="s">
        <v>335</v>
      </c>
      <c r="EY229" t="s">
        <v>336</v>
      </c>
      <c r="EZ229" t="s">
        <v>336</v>
      </c>
      <c r="FA229" t="s">
        <v>336</v>
      </c>
      <c r="FB229" t="s">
        <v>336</v>
      </c>
      <c r="FC229">
        <v>0</v>
      </c>
      <c r="FD229">
        <v>100</v>
      </c>
      <c r="FE229">
        <v>100</v>
      </c>
      <c r="FF229">
        <v>-0.17499999999999999</v>
      </c>
      <c r="FG229">
        <v>0.19170000000000001</v>
      </c>
      <c r="FH229">
        <v>4.0020685143421282E-2</v>
      </c>
      <c r="FI229">
        <v>-6.1462078757559423E-4</v>
      </c>
      <c r="FJ229">
        <v>-1.8861989874597051E-7</v>
      </c>
      <c r="FK229">
        <v>1.1980462299894961E-10</v>
      </c>
      <c r="FL229">
        <v>0.19160597004026461</v>
      </c>
      <c r="FM229">
        <v>0</v>
      </c>
      <c r="FN229">
        <v>0</v>
      </c>
      <c r="FO229">
        <v>0</v>
      </c>
      <c r="FP229">
        <v>3</v>
      </c>
      <c r="FQ229">
        <v>2158</v>
      </c>
      <c r="FR229">
        <v>1</v>
      </c>
      <c r="FS229">
        <v>19</v>
      </c>
      <c r="FT229">
        <v>43.7</v>
      </c>
      <c r="FU229">
        <v>43.6</v>
      </c>
      <c r="FV229">
        <v>1.77979</v>
      </c>
      <c r="FW229">
        <v>2.5744600000000002</v>
      </c>
      <c r="FX229">
        <v>1.5490699999999999</v>
      </c>
      <c r="FY229">
        <v>2.3290999999999999</v>
      </c>
      <c r="FZ229">
        <v>1.50146</v>
      </c>
      <c r="GA229">
        <v>2.36816</v>
      </c>
      <c r="GB229">
        <v>33.850900000000003</v>
      </c>
      <c r="GC229">
        <v>23.991199999999999</v>
      </c>
      <c r="GD229">
        <v>19</v>
      </c>
      <c r="GE229">
        <v>248.13399999999999</v>
      </c>
      <c r="GF229">
        <v>581.63</v>
      </c>
      <c r="GG229">
        <v>25.5259</v>
      </c>
      <c r="GH229">
        <v>26.293700000000001</v>
      </c>
      <c r="GI229">
        <v>30.0001</v>
      </c>
      <c r="GJ229">
        <v>26.421299999999999</v>
      </c>
      <c r="GK229">
        <v>26.3964</v>
      </c>
      <c r="GL229">
        <v>35.582000000000001</v>
      </c>
      <c r="GM229">
        <v>-30</v>
      </c>
      <c r="GN229">
        <v>-30</v>
      </c>
      <c r="GO229">
        <v>25.524000000000001</v>
      </c>
      <c r="GP229">
        <v>800</v>
      </c>
      <c r="GQ229">
        <v>12.5298</v>
      </c>
      <c r="GR229">
        <v>99.683000000000007</v>
      </c>
      <c r="GS229">
        <v>99.4876</v>
      </c>
    </row>
    <row r="230" spans="1:201" x14ac:dyDescent="0.25">
      <c r="A230">
        <v>214</v>
      </c>
      <c r="B230">
        <v>1690214546</v>
      </c>
      <c r="C230">
        <v>2278.5</v>
      </c>
      <c r="D230" t="s">
        <v>759</v>
      </c>
      <c r="E230" t="s">
        <v>760</v>
      </c>
      <c r="F230" t="s">
        <v>330</v>
      </c>
      <c r="H230">
        <v>1690214546</v>
      </c>
      <c r="I230">
        <f t="shared" si="90"/>
        <v>2.1327307827871036E-3</v>
      </c>
      <c r="J230">
        <f t="shared" si="91"/>
        <v>2.1327307827871036</v>
      </c>
      <c r="K230">
        <f t="shared" si="92"/>
        <v>40.780138934575007</v>
      </c>
      <c r="L230">
        <f t="shared" si="93"/>
        <v>323.33100000000002</v>
      </c>
      <c r="M230">
        <f t="shared" si="94"/>
        <v>15.803646562238896</v>
      </c>
      <c r="N230">
        <f t="shared" si="95"/>
        <v>1.5673232010347271</v>
      </c>
      <c r="O230">
        <f t="shared" si="96"/>
        <v>32.066281406508899</v>
      </c>
      <c r="P230">
        <f t="shared" si="97"/>
        <v>0.22541546923694381</v>
      </c>
      <c r="Q230">
        <f t="shared" si="98"/>
        <v>2.0115956945534847</v>
      </c>
      <c r="R230">
        <f t="shared" si="99"/>
        <v>0.21226379035609458</v>
      </c>
      <c r="S230">
        <f t="shared" si="100"/>
        <v>0.13378250722993956</v>
      </c>
      <c r="T230">
        <f t="shared" si="101"/>
        <v>276.11423530200005</v>
      </c>
      <c r="U230">
        <f t="shared" si="102"/>
        <v>28.49324591986025</v>
      </c>
      <c r="V230">
        <f t="shared" si="103"/>
        <v>28.49324591986025</v>
      </c>
      <c r="W230">
        <f t="shared" si="104"/>
        <v>3.9053369777148261</v>
      </c>
      <c r="X230">
        <f t="shared" si="105"/>
        <v>82.344497402960656</v>
      </c>
      <c r="Y230">
        <f t="shared" si="106"/>
        <v>2.94327942479363</v>
      </c>
      <c r="Z230">
        <f t="shared" si="107"/>
        <v>3.5743486421325898</v>
      </c>
      <c r="AA230">
        <f t="shared" si="108"/>
        <v>0.9620575529211961</v>
      </c>
      <c r="AB230">
        <f t="shared" si="109"/>
        <v>-94.053427520911271</v>
      </c>
      <c r="AC230">
        <f t="shared" si="110"/>
        <v>-164.42473186489434</v>
      </c>
      <c r="AD230">
        <f t="shared" si="111"/>
        <v>-17.770231527714056</v>
      </c>
      <c r="AE230">
        <f t="shared" si="112"/>
        <v>-0.13415561151958855</v>
      </c>
      <c r="AF230">
        <v>32</v>
      </c>
      <c r="AG230">
        <v>11</v>
      </c>
      <c r="AH230">
        <f t="shared" si="113"/>
        <v>1</v>
      </c>
      <c r="AI230">
        <f t="shared" si="114"/>
        <v>0</v>
      </c>
      <c r="AJ230">
        <f t="shared" si="115"/>
        <v>52382.503706463765</v>
      </c>
      <c r="AK230">
        <f t="shared" si="116"/>
        <v>1800</v>
      </c>
      <c r="AL230">
        <f t="shared" si="117"/>
        <v>1499.1140141999999</v>
      </c>
      <c r="AM230">
        <f t="shared" si="118"/>
        <v>0.83284111900000002</v>
      </c>
      <c r="AN230">
        <f t="shared" si="119"/>
        <v>0.15339679739000003</v>
      </c>
      <c r="AO230">
        <v>34.5</v>
      </c>
      <c r="AP230">
        <v>0.5</v>
      </c>
      <c r="AQ230" t="s">
        <v>331</v>
      </c>
      <c r="AR230">
        <v>2</v>
      </c>
      <c r="AS230">
        <v>1690214546</v>
      </c>
      <c r="AT230">
        <v>323.33100000000002</v>
      </c>
      <c r="AU230">
        <v>800.02300000000002</v>
      </c>
      <c r="AV230">
        <v>29.677700000000002</v>
      </c>
      <c r="AW230">
        <v>5.8896499999999996</v>
      </c>
      <c r="AX230">
        <v>323.50599999999997</v>
      </c>
      <c r="AY230">
        <v>29.4861</v>
      </c>
      <c r="AZ230">
        <v>300.13200000000001</v>
      </c>
      <c r="BA230">
        <v>99.074799999999996</v>
      </c>
      <c r="BB230">
        <v>9.9981899999999999E-2</v>
      </c>
      <c r="BC230">
        <v>26.9771</v>
      </c>
      <c r="BD230">
        <v>27.0046</v>
      </c>
      <c r="BE230">
        <v>28.597200000000001</v>
      </c>
      <c r="BF230">
        <v>0</v>
      </c>
      <c r="BG230">
        <v>0</v>
      </c>
      <c r="BH230">
        <v>9998.1200000000008</v>
      </c>
      <c r="BI230">
        <v>1077.3800000000001</v>
      </c>
      <c r="BJ230">
        <v>2.0183800000000001</v>
      </c>
      <c r="BK230">
        <v>-476.69200000000001</v>
      </c>
      <c r="BL230">
        <v>333.221</v>
      </c>
      <c r="BM230">
        <v>804.76300000000003</v>
      </c>
      <c r="BN230">
        <v>23.7881</v>
      </c>
      <c r="BO230">
        <v>800.02300000000002</v>
      </c>
      <c r="BP230">
        <v>5.8896499999999996</v>
      </c>
      <c r="BQ230">
        <v>2.9403199999999998</v>
      </c>
      <c r="BR230">
        <v>0.58351600000000003</v>
      </c>
      <c r="BS230">
        <v>23.6937</v>
      </c>
      <c r="BT230">
        <v>-0.69127400000000006</v>
      </c>
      <c r="BU230">
        <v>1800</v>
      </c>
      <c r="BV230">
        <v>0.91002000000000005</v>
      </c>
      <c r="BW230">
        <v>3.3997300000000001E-2</v>
      </c>
      <c r="BX230">
        <v>2.1993200000000001E-2</v>
      </c>
      <c r="BY230">
        <v>3.3989499999999999E-2</v>
      </c>
      <c r="BZ230">
        <v>26</v>
      </c>
      <c r="CA230">
        <v>33528.5</v>
      </c>
      <c r="CB230">
        <v>1690211922</v>
      </c>
      <c r="CC230" t="s">
        <v>332</v>
      </c>
      <c r="CD230">
        <v>1690211915</v>
      </c>
      <c r="CE230">
        <v>1690211922</v>
      </c>
      <c r="CF230">
        <v>6</v>
      </c>
      <c r="CG230">
        <v>1.0999999999999999E-2</v>
      </c>
      <c r="CH230">
        <v>8.0000000000000002E-3</v>
      </c>
      <c r="CI230">
        <v>-0.51100000000000001</v>
      </c>
      <c r="CJ230">
        <v>-6.6000000000000003E-2</v>
      </c>
      <c r="CK230">
        <v>800</v>
      </c>
      <c r="CL230">
        <v>6</v>
      </c>
      <c r="CM230">
        <v>0.21</v>
      </c>
      <c r="CN230">
        <v>0.02</v>
      </c>
      <c r="CO230">
        <v>-476.3944146341463</v>
      </c>
      <c r="CP230">
        <v>-1.595038327526185</v>
      </c>
      <c r="CQ230">
        <v>0.17478850992121089</v>
      </c>
      <c r="CR230">
        <v>-1</v>
      </c>
      <c r="CS230">
        <v>23.788363414634151</v>
      </c>
      <c r="CT230">
        <v>1.405714285715946E-2</v>
      </c>
      <c r="CU230">
        <v>2.160031176102915E-3</v>
      </c>
      <c r="CV230">
        <v>-1</v>
      </c>
      <c r="CW230">
        <v>0</v>
      </c>
      <c r="CX230">
        <v>0</v>
      </c>
      <c r="CY230" t="s">
        <v>333</v>
      </c>
      <c r="CZ230">
        <v>2.3643100000000001</v>
      </c>
      <c r="DA230">
        <v>2.7137699999999998</v>
      </c>
      <c r="DB230">
        <v>7.5785400000000003E-2</v>
      </c>
      <c r="DC230">
        <v>0.146065</v>
      </c>
      <c r="DD230">
        <v>0.132053</v>
      </c>
      <c r="DE230">
        <v>3.8850299999999997E-2</v>
      </c>
      <c r="DF230">
        <v>33729.5</v>
      </c>
      <c r="DG230">
        <v>27499.7</v>
      </c>
      <c r="DH230">
        <v>31156.2</v>
      </c>
      <c r="DI230">
        <v>28061.3</v>
      </c>
      <c r="DJ230">
        <v>36695.5</v>
      </c>
      <c r="DK230">
        <v>38350.400000000001</v>
      </c>
      <c r="DL230">
        <v>44336.2</v>
      </c>
      <c r="DM230">
        <v>42525.599999999999</v>
      </c>
      <c r="DN230">
        <v>1.3900699999999999</v>
      </c>
      <c r="DO230">
        <v>2.0341999999999998</v>
      </c>
      <c r="DP230">
        <v>8.0950599999999998E-2</v>
      </c>
      <c r="DQ230">
        <v>0.18570600000000001</v>
      </c>
      <c r="DR230">
        <v>25.679400000000001</v>
      </c>
      <c r="DS230">
        <v>25.560500000000001</v>
      </c>
      <c r="DT230">
        <v>17.5</v>
      </c>
      <c r="DU230">
        <v>29.7</v>
      </c>
      <c r="DV230">
        <v>7.3951599999999997</v>
      </c>
      <c r="DW230">
        <v>61.7712</v>
      </c>
      <c r="DX230">
        <v>36.694699999999997</v>
      </c>
      <c r="DY230">
        <v>1</v>
      </c>
      <c r="DZ230">
        <v>-8.7218000000000004E-2</v>
      </c>
      <c r="EA230">
        <v>-0.23280500000000001</v>
      </c>
      <c r="EB230">
        <v>20.189299999999999</v>
      </c>
      <c r="EC230">
        <v>5.2413999999999996</v>
      </c>
      <c r="ED230">
        <v>12.039899999999999</v>
      </c>
      <c r="EE230">
        <v>5.0168499999999998</v>
      </c>
      <c r="EF230">
        <v>3.2879999999999998</v>
      </c>
      <c r="EG230">
        <v>9999</v>
      </c>
      <c r="EH230">
        <v>9999</v>
      </c>
      <c r="EI230">
        <v>9999</v>
      </c>
      <c r="EJ230">
        <v>999.9</v>
      </c>
      <c r="EK230">
        <v>1.8689199999999999</v>
      </c>
      <c r="EL230">
        <v>1.8646499999999999</v>
      </c>
      <c r="EM230">
        <v>1.8691899999999999</v>
      </c>
      <c r="EN230">
        <v>1.8672299999999999</v>
      </c>
      <c r="EO230">
        <v>1.8633999999999999</v>
      </c>
      <c r="EP230">
        <v>1.8645700000000001</v>
      </c>
      <c r="EQ230">
        <v>1.8701700000000001</v>
      </c>
      <c r="ER230">
        <v>1.8694200000000001</v>
      </c>
      <c r="ES230">
        <v>0</v>
      </c>
      <c r="ET230">
        <v>0</v>
      </c>
      <c r="EU230">
        <v>0</v>
      </c>
      <c r="EV230">
        <v>0</v>
      </c>
      <c r="EW230" t="s">
        <v>334</v>
      </c>
      <c r="EX230" t="s">
        <v>335</v>
      </c>
      <c r="EY230" t="s">
        <v>336</v>
      </c>
      <c r="EZ230" t="s">
        <v>336</v>
      </c>
      <c r="FA230" t="s">
        <v>336</v>
      </c>
      <c r="FB230" t="s">
        <v>336</v>
      </c>
      <c r="FC230">
        <v>0</v>
      </c>
      <c r="FD230">
        <v>100</v>
      </c>
      <c r="FE230">
        <v>100</v>
      </c>
      <c r="FF230">
        <v>-0.17499999999999999</v>
      </c>
      <c r="FG230">
        <v>0.19159999999999999</v>
      </c>
      <c r="FH230">
        <v>4.0020685143421282E-2</v>
      </c>
      <c r="FI230">
        <v>-6.1462078757559423E-4</v>
      </c>
      <c r="FJ230">
        <v>-1.8861989874597051E-7</v>
      </c>
      <c r="FK230">
        <v>1.1980462299894961E-10</v>
      </c>
      <c r="FL230">
        <v>0.19160597004026461</v>
      </c>
      <c r="FM230">
        <v>0</v>
      </c>
      <c r="FN230">
        <v>0</v>
      </c>
      <c r="FO230">
        <v>0</v>
      </c>
      <c r="FP230">
        <v>3</v>
      </c>
      <c r="FQ230">
        <v>2158</v>
      </c>
      <c r="FR230">
        <v>1</v>
      </c>
      <c r="FS230">
        <v>19</v>
      </c>
      <c r="FT230">
        <v>43.9</v>
      </c>
      <c r="FU230">
        <v>43.7</v>
      </c>
      <c r="FV230">
        <v>1.77979</v>
      </c>
      <c r="FW230">
        <v>2.5732400000000002</v>
      </c>
      <c r="FX230">
        <v>1.5490699999999999</v>
      </c>
      <c r="FY230">
        <v>2.3290999999999999</v>
      </c>
      <c r="FZ230">
        <v>1.50146</v>
      </c>
      <c r="GA230">
        <v>2.4035600000000001</v>
      </c>
      <c r="GB230">
        <v>33.850900000000003</v>
      </c>
      <c r="GC230">
        <v>23.991199999999999</v>
      </c>
      <c r="GD230">
        <v>19</v>
      </c>
      <c r="GE230">
        <v>248.114</v>
      </c>
      <c r="GF230">
        <v>582.02099999999996</v>
      </c>
      <c r="GG230">
        <v>25.517700000000001</v>
      </c>
      <c r="GH230">
        <v>26.293099999999999</v>
      </c>
      <c r="GI230">
        <v>30</v>
      </c>
      <c r="GJ230">
        <v>26.421299999999999</v>
      </c>
      <c r="GK230">
        <v>26.3964</v>
      </c>
      <c r="GL230">
        <v>35.580500000000001</v>
      </c>
      <c r="GM230">
        <v>-30</v>
      </c>
      <c r="GN230">
        <v>-30</v>
      </c>
      <c r="GO230">
        <v>25.516300000000001</v>
      </c>
      <c r="GP230">
        <v>800</v>
      </c>
      <c r="GQ230">
        <v>12.5298</v>
      </c>
      <c r="GR230">
        <v>99.683800000000005</v>
      </c>
      <c r="GS230">
        <v>99.487499999999997</v>
      </c>
    </row>
    <row r="231" spans="1:201" x14ac:dyDescent="0.25">
      <c r="A231">
        <v>215</v>
      </c>
      <c r="B231">
        <v>1690214556</v>
      </c>
      <c r="C231">
        <v>2288.5</v>
      </c>
      <c r="D231" t="s">
        <v>761</v>
      </c>
      <c r="E231" t="s">
        <v>762</v>
      </c>
      <c r="F231" t="s">
        <v>330</v>
      </c>
      <c r="H231">
        <v>1690214556</v>
      </c>
      <c r="I231">
        <f t="shared" si="90"/>
        <v>2.1342791822720909E-3</v>
      </c>
      <c r="J231">
        <f t="shared" si="91"/>
        <v>2.134279182272091</v>
      </c>
      <c r="K231">
        <f t="shared" si="92"/>
        <v>40.787496150623554</v>
      </c>
      <c r="L231">
        <f t="shared" si="93"/>
        <v>323.23399999999998</v>
      </c>
      <c r="M231">
        <f t="shared" si="94"/>
        <v>16.543829900062917</v>
      </c>
      <c r="N231">
        <f t="shared" si="95"/>
        <v>1.64069108973053</v>
      </c>
      <c r="O231">
        <f t="shared" si="96"/>
        <v>32.055887113294197</v>
      </c>
      <c r="P231">
        <f t="shared" si="97"/>
        <v>0.22611008216721748</v>
      </c>
      <c r="Q231">
        <f t="shared" si="98"/>
        <v>2.0118299038262797</v>
      </c>
      <c r="R231">
        <f t="shared" si="99"/>
        <v>0.21288122159513312</v>
      </c>
      <c r="S231">
        <f t="shared" si="100"/>
        <v>0.13417478138178074</v>
      </c>
      <c r="T231">
        <f t="shared" si="101"/>
        <v>276.11419678200002</v>
      </c>
      <c r="U231">
        <f t="shared" si="102"/>
        <v>28.489921416313585</v>
      </c>
      <c r="V231">
        <f t="shared" si="103"/>
        <v>28.489921416313585</v>
      </c>
      <c r="W231">
        <f t="shared" si="104"/>
        <v>3.9045829274010444</v>
      </c>
      <c r="X231">
        <f t="shared" si="105"/>
        <v>82.395322882381166</v>
      </c>
      <c r="Y231">
        <f t="shared" si="106"/>
        <v>2.94464632849686</v>
      </c>
      <c r="Z231">
        <f t="shared" si="107"/>
        <v>3.5738027663297407</v>
      </c>
      <c r="AA231">
        <f t="shared" si="108"/>
        <v>0.95993659890418437</v>
      </c>
      <c r="AB231">
        <f t="shared" si="109"/>
        <v>-94.121711938199212</v>
      </c>
      <c r="AC231">
        <f t="shared" si="110"/>
        <v>-164.36529483011915</v>
      </c>
      <c r="AD231">
        <f t="shared" si="111"/>
        <v>-17.761214905961822</v>
      </c>
      <c r="AE231">
        <f t="shared" si="112"/>
        <v>-0.13402489228016634</v>
      </c>
      <c r="AF231">
        <v>32</v>
      </c>
      <c r="AG231">
        <v>11</v>
      </c>
      <c r="AH231">
        <f t="shared" si="113"/>
        <v>1</v>
      </c>
      <c r="AI231">
        <f t="shared" si="114"/>
        <v>0</v>
      </c>
      <c r="AJ231">
        <f t="shared" si="115"/>
        <v>52394.150970871604</v>
      </c>
      <c r="AK231">
        <f t="shared" si="116"/>
        <v>1800</v>
      </c>
      <c r="AL231">
        <f t="shared" si="117"/>
        <v>1499.1119532</v>
      </c>
      <c r="AM231">
        <f t="shared" si="118"/>
        <v>0.83283997399999998</v>
      </c>
      <c r="AN231">
        <f t="shared" si="119"/>
        <v>0.15339677599000001</v>
      </c>
      <c r="AO231">
        <v>34.5</v>
      </c>
      <c r="AP231">
        <v>0.5</v>
      </c>
      <c r="AQ231" t="s">
        <v>331</v>
      </c>
      <c r="AR231">
        <v>2</v>
      </c>
      <c r="AS231">
        <v>1690214556</v>
      </c>
      <c r="AT231">
        <v>323.23399999999998</v>
      </c>
      <c r="AU231">
        <v>799.97900000000004</v>
      </c>
      <c r="AV231">
        <v>29.6922</v>
      </c>
      <c r="AW231">
        <v>5.8889800000000001</v>
      </c>
      <c r="AX231">
        <v>323.40800000000002</v>
      </c>
      <c r="AY231">
        <v>29.500599999999999</v>
      </c>
      <c r="AZ231">
        <v>300.154</v>
      </c>
      <c r="BA231">
        <v>99.072400000000002</v>
      </c>
      <c r="BB231">
        <v>9.99863E-2</v>
      </c>
      <c r="BC231">
        <v>26.974499999999999</v>
      </c>
      <c r="BD231">
        <v>26.988</v>
      </c>
      <c r="BE231">
        <v>28.577400000000001</v>
      </c>
      <c r="BF231">
        <v>0</v>
      </c>
      <c r="BG231">
        <v>0</v>
      </c>
      <c r="BH231">
        <v>10000.6</v>
      </c>
      <c r="BI231">
        <v>1077.3800000000001</v>
      </c>
      <c r="BJ231">
        <v>1.6903900000000001</v>
      </c>
      <c r="BK231">
        <v>-476.745</v>
      </c>
      <c r="BL231">
        <v>333.125</v>
      </c>
      <c r="BM231">
        <v>804.71799999999996</v>
      </c>
      <c r="BN231">
        <v>23.8033</v>
      </c>
      <c r="BO231">
        <v>799.97900000000004</v>
      </c>
      <c r="BP231">
        <v>5.8889800000000001</v>
      </c>
      <c r="BQ231">
        <v>2.9416799999999999</v>
      </c>
      <c r="BR231">
        <v>0.58343500000000004</v>
      </c>
      <c r="BS231">
        <v>23.7014</v>
      </c>
      <c r="BT231">
        <v>-0.69317099999999998</v>
      </c>
      <c r="BU231">
        <v>1800</v>
      </c>
      <c r="BV231">
        <v>0.91000999999999999</v>
      </c>
      <c r="BW231">
        <v>3.3996499999999999E-2</v>
      </c>
      <c r="BX231">
        <v>2.19927E-2</v>
      </c>
      <c r="BY231">
        <v>3.4000500000000003E-2</v>
      </c>
      <c r="BZ231">
        <v>26</v>
      </c>
      <c r="CA231">
        <v>33528.5</v>
      </c>
      <c r="CB231">
        <v>1690211922</v>
      </c>
      <c r="CC231" t="s">
        <v>332</v>
      </c>
      <c r="CD231">
        <v>1690211915</v>
      </c>
      <c r="CE231">
        <v>1690211922</v>
      </c>
      <c r="CF231">
        <v>6</v>
      </c>
      <c r="CG231">
        <v>1.0999999999999999E-2</v>
      </c>
      <c r="CH231">
        <v>8.0000000000000002E-3</v>
      </c>
      <c r="CI231">
        <v>-0.51100000000000001</v>
      </c>
      <c r="CJ231">
        <v>-6.6000000000000003E-2</v>
      </c>
      <c r="CK231">
        <v>800</v>
      </c>
      <c r="CL231">
        <v>6</v>
      </c>
      <c r="CM231">
        <v>0.21</v>
      </c>
      <c r="CN231">
        <v>0.02</v>
      </c>
      <c r="CO231">
        <v>-476.63544999999999</v>
      </c>
      <c r="CP231">
        <v>-0.784840525326854</v>
      </c>
      <c r="CQ231">
        <v>0.1195345033871018</v>
      </c>
      <c r="CR231">
        <v>-1</v>
      </c>
      <c r="CS231">
        <v>23.790692499999999</v>
      </c>
      <c r="CT231">
        <v>2.1551594746698152E-2</v>
      </c>
      <c r="CU231">
        <v>3.1261307954080228E-3</v>
      </c>
      <c r="CV231">
        <v>-1</v>
      </c>
      <c r="CW231">
        <v>0</v>
      </c>
      <c r="CX231">
        <v>0</v>
      </c>
      <c r="CY231" t="s">
        <v>333</v>
      </c>
      <c r="CZ231">
        <v>2.3643800000000001</v>
      </c>
      <c r="DA231">
        <v>2.7137799999999999</v>
      </c>
      <c r="DB231">
        <v>7.5765399999999997E-2</v>
      </c>
      <c r="DC231">
        <v>0.14605599999999999</v>
      </c>
      <c r="DD231">
        <v>0.13209499999999999</v>
      </c>
      <c r="DE231">
        <v>3.88458E-2</v>
      </c>
      <c r="DF231">
        <v>33730.699999999997</v>
      </c>
      <c r="DG231">
        <v>27500.1</v>
      </c>
      <c r="DH231">
        <v>31156.6</v>
      </c>
      <c r="DI231">
        <v>28061.4</v>
      </c>
      <c r="DJ231">
        <v>36694.1</v>
      </c>
      <c r="DK231">
        <v>38350.800000000003</v>
      </c>
      <c r="DL231">
        <v>44336.6</v>
      </c>
      <c r="DM231">
        <v>42525.9</v>
      </c>
      <c r="DN231">
        <v>1.39005</v>
      </c>
      <c r="DO231">
        <v>2.0339299999999998</v>
      </c>
      <c r="DP231">
        <v>7.9929799999999995E-2</v>
      </c>
      <c r="DQ231">
        <v>0.18449099999999999</v>
      </c>
      <c r="DR231">
        <v>25.679400000000001</v>
      </c>
      <c r="DS231">
        <v>25.560500000000001</v>
      </c>
      <c r="DT231">
        <v>17.5</v>
      </c>
      <c r="DU231">
        <v>29.7</v>
      </c>
      <c r="DV231">
        <v>7.3968400000000001</v>
      </c>
      <c r="DW231">
        <v>61.5212</v>
      </c>
      <c r="DX231">
        <v>36.887</v>
      </c>
      <c r="DY231">
        <v>1</v>
      </c>
      <c r="DZ231">
        <v>-8.7212899999999996E-2</v>
      </c>
      <c r="EA231">
        <v>-0.22797400000000001</v>
      </c>
      <c r="EB231">
        <v>20.189399999999999</v>
      </c>
      <c r="EC231">
        <v>5.2415500000000002</v>
      </c>
      <c r="ED231">
        <v>12.039899999999999</v>
      </c>
      <c r="EE231">
        <v>5.0171999999999999</v>
      </c>
      <c r="EF231">
        <v>3.2879999999999998</v>
      </c>
      <c r="EG231">
        <v>9999</v>
      </c>
      <c r="EH231">
        <v>9999</v>
      </c>
      <c r="EI231">
        <v>9999</v>
      </c>
      <c r="EJ231">
        <v>999.9</v>
      </c>
      <c r="EK231">
        <v>1.8689199999999999</v>
      </c>
      <c r="EL231">
        <v>1.86466</v>
      </c>
      <c r="EM231">
        <v>1.8691899999999999</v>
      </c>
      <c r="EN231">
        <v>1.8672200000000001</v>
      </c>
      <c r="EO231">
        <v>1.8633999999999999</v>
      </c>
      <c r="EP231">
        <v>1.86459</v>
      </c>
      <c r="EQ231">
        <v>1.87018</v>
      </c>
      <c r="ER231">
        <v>1.8694500000000001</v>
      </c>
      <c r="ES231">
        <v>0</v>
      </c>
      <c r="ET231">
        <v>0</v>
      </c>
      <c r="EU231">
        <v>0</v>
      </c>
      <c r="EV231">
        <v>0</v>
      </c>
      <c r="EW231" t="s">
        <v>334</v>
      </c>
      <c r="EX231" t="s">
        <v>335</v>
      </c>
      <c r="EY231" t="s">
        <v>336</v>
      </c>
      <c r="EZ231" t="s">
        <v>336</v>
      </c>
      <c r="FA231" t="s">
        <v>336</v>
      </c>
      <c r="FB231" t="s">
        <v>336</v>
      </c>
      <c r="FC231">
        <v>0</v>
      </c>
      <c r="FD231">
        <v>100</v>
      </c>
      <c r="FE231">
        <v>100</v>
      </c>
      <c r="FF231">
        <v>-0.17399999999999999</v>
      </c>
      <c r="FG231">
        <v>0.19159999999999999</v>
      </c>
      <c r="FH231">
        <v>4.0020685143421282E-2</v>
      </c>
      <c r="FI231">
        <v>-6.1462078757559423E-4</v>
      </c>
      <c r="FJ231">
        <v>-1.8861989874597051E-7</v>
      </c>
      <c r="FK231">
        <v>1.1980462299894961E-10</v>
      </c>
      <c r="FL231">
        <v>0.19160597004026461</v>
      </c>
      <c r="FM231">
        <v>0</v>
      </c>
      <c r="FN231">
        <v>0</v>
      </c>
      <c r="FO231">
        <v>0</v>
      </c>
      <c r="FP231">
        <v>3</v>
      </c>
      <c r="FQ231">
        <v>2158</v>
      </c>
      <c r="FR231">
        <v>1</v>
      </c>
      <c r="FS231">
        <v>19</v>
      </c>
      <c r="FT231">
        <v>44</v>
      </c>
      <c r="FU231">
        <v>43.9</v>
      </c>
      <c r="FV231">
        <v>1.77979</v>
      </c>
      <c r="FW231">
        <v>2.5842299999999998</v>
      </c>
      <c r="FX231">
        <v>1.5490699999999999</v>
      </c>
      <c r="FY231">
        <v>2.3290999999999999</v>
      </c>
      <c r="FZ231">
        <v>1.50146</v>
      </c>
      <c r="GA231">
        <v>2.3791500000000001</v>
      </c>
      <c r="GB231">
        <v>33.850900000000003</v>
      </c>
      <c r="GC231">
        <v>23.982399999999998</v>
      </c>
      <c r="GD231">
        <v>19</v>
      </c>
      <c r="GE231">
        <v>248.10499999999999</v>
      </c>
      <c r="GF231">
        <v>581.79399999999998</v>
      </c>
      <c r="GG231">
        <v>25.510999999999999</v>
      </c>
      <c r="GH231">
        <v>26.293099999999999</v>
      </c>
      <c r="GI231">
        <v>30.0001</v>
      </c>
      <c r="GJ231">
        <v>26.421299999999999</v>
      </c>
      <c r="GK231">
        <v>26.3964</v>
      </c>
      <c r="GL231">
        <v>35.579099999999997</v>
      </c>
      <c r="GM231">
        <v>-30</v>
      </c>
      <c r="GN231">
        <v>-30</v>
      </c>
      <c r="GO231">
        <v>25.509899999999998</v>
      </c>
      <c r="GP231">
        <v>800</v>
      </c>
      <c r="GQ231">
        <v>12.5298</v>
      </c>
      <c r="GR231">
        <v>99.684899999999999</v>
      </c>
      <c r="GS231">
        <v>99.488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2023-07-24T16:05:11Z</dcterms:created>
  <dcterms:modified xsi:type="dcterms:W3CDTF">2023-07-24T22:20:29Z</dcterms:modified>
</cp:coreProperties>
</file>